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Finn" sheetId="2" r:id="rId5"/>
    <sheet state="visible" name="Gib" sheetId="3" r:id="rId6"/>
    <sheet state="visible" name="Jean-Baptiste" sheetId="4" r:id="rId7"/>
    <sheet state="visible" name="Meike" sheetId="5" r:id="rId8"/>
    <sheet state="visible" name="Steve" sheetId="6" r:id="rId9"/>
    <sheet state="visible" name="Source" sheetId="7" r:id="rId10"/>
    <sheet state="visible" name="Final Review" sheetId="8" r:id="rId11"/>
    <sheet state="visible" name="Output" sheetId="9" r:id="rId12"/>
    <sheet state="hidden" name="Comparison" sheetId="10" r:id="rId13"/>
  </sheets>
  <definedNames>
    <definedName hidden="1" localSheetId="1" name="_xlnm._FilterDatabase">Finn!$A$1:$E$101</definedName>
    <definedName hidden="1" localSheetId="6" name="_xlnm._FilterDatabase">Source!$A$1:$K$101</definedName>
    <definedName hidden="1" localSheetId="7" name="_xlnm._FilterDatabase">'Final Review'!$A$1:$S$1000</definedName>
    <definedName hidden="1" localSheetId="8" name="_xlnm._FilterDatabase">Output!$A$1:$G$961</definedName>
    <definedName hidden="1" localSheetId="9" name="_xlnm._FilterDatabase">Comparison!$A$1:$T$101</definedName>
  </definedNames>
  <calcPr/>
</workbook>
</file>

<file path=xl/sharedStrings.xml><?xml version="1.0" encoding="utf-8"?>
<sst xmlns="http://schemas.openxmlformats.org/spreadsheetml/2006/main" count="3067" uniqueCount="747">
  <si>
    <t>Hello 👋</t>
  </si>
  <si>
    <t>Welcome to the labeling exercise for SDG 5.</t>
  </si>
  <si>
    <t>The objective of this exercise is to label 100 texts in terms of their relevance to SDG 5.</t>
  </si>
  <si>
    <t>Your Labeling Sheet</t>
  </si>
  <si>
    <t>You have your own personal sheet for assigning the labels. You will find it by clicking on your name in the list at the bottom of this page.</t>
  </si>
  <si>
    <t>Each sheet has the same 100 texts, but the order in which they appear has been randomized.</t>
  </si>
  <si>
    <t>Later on, we will put everyone's labels side-by-side. This will help us identify texts with high and low alignment.</t>
  </si>
  <si>
    <t>At our next meeting, we will discuss the texts where we have disagreements and see if we can reach a consensus for the "true" label for every text.</t>
  </si>
  <si>
    <t>Please resist the temptation to look at other people's labels until you are done labeling. 🙂</t>
  </si>
  <si>
    <t>Explanation of Labels</t>
  </si>
  <si>
    <t>On your personal sheet, you will find the text in column C.</t>
  </si>
  <si>
    <t>Column D contains a drop-down for picking the appropriate label. The options are:</t>
  </si>
  <si>
    <t>This text is relevant to SDG 5</t>
  </si>
  <si>
    <t>This text is not relevant to SDG 5</t>
  </si>
  <si>
    <t>SKIP</t>
  </si>
  <si>
    <t>You can use this if you are not sure about the label</t>
  </si>
  <si>
    <t>If you want, you can put any comments in column E.</t>
  </si>
  <si>
    <t>Instructions for Labeling</t>
  </si>
  <si>
    <t>The text should be annotated as SDG 5 only if:</t>
  </si>
  <si>
    <r>
      <rPr>
        <rFont val="Arial"/>
        <color theme="1"/>
        <u/>
      </rPr>
      <t xml:space="preserve">1. The text addresses </t>
    </r>
    <r>
      <rPr>
        <rFont val="Arial"/>
        <b/>
        <color theme="1"/>
        <u/>
      </rPr>
      <t>SDG 5 or one of its targets</t>
    </r>
  </si>
  <si>
    <t>See the official definitions of SDG 5 and its targets below ("SDG 5 Description &amp; Targets").</t>
  </si>
  <si>
    <t>AND</t>
  </si>
  <si>
    <r>
      <rPr>
        <rFont val="Arial"/>
        <color theme="1"/>
        <u/>
      </rPr>
      <t xml:space="preserve">2. The text addresses SDG 5 or its targets </t>
    </r>
    <r>
      <rPr>
        <rFont val="Arial"/>
        <b/>
        <color theme="1"/>
        <u/>
      </rPr>
      <t>directly</t>
    </r>
    <r>
      <rPr>
        <rFont val="Arial"/>
        <color theme="1"/>
        <u/>
      </rPr>
      <t>:</t>
    </r>
  </si>
  <si>
    <t>- the text should be directly relevant to SDG 5 or to achieving SDG 5</t>
  </si>
  <si>
    <t>- if a text only has an indirect or implicit relevance, it should not be labeled SDG 5</t>
  </si>
  <si>
    <r>
      <rPr>
        <rFont val="Arial"/>
        <color theme="1"/>
        <u/>
      </rPr>
      <t xml:space="preserve">3. The text addresses SDG 5 or its targets </t>
    </r>
    <r>
      <rPr>
        <rFont val="Arial"/>
        <b/>
        <color theme="1"/>
        <u/>
      </rPr>
      <t>specifically</t>
    </r>
    <r>
      <rPr>
        <rFont val="Arial"/>
        <color theme="1"/>
        <u/>
      </rPr>
      <t>:</t>
    </r>
  </si>
  <si>
    <t>- the text should be specific to SDG 5 and its targets</t>
  </si>
  <si>
    <r>
      <rPr>
        <rFont val="Arial"/>
        <color theme="1"/>
        <u/>
      </rPr>
      <t xml:space="preserve">4. Annotate as SDG 5 regardless of </t>
    </r>
    <r>
      <rPr>
        <rFont val="Arial"/>
        <b/>
        <color theme="1"/>
        <u/>
      </rPr>
      <t>valence</t>
    </r>
    <r>
      <rPr>
        <rFont val="Arial"/>
        <color theme="1"/>
        <u/>
      </rPr>
      <t xml:space="preserve"> and </t>
    </r>
    <r>
      <rPr>
        <rFont val="Arial"/>
        <b/>
        <color theme="1"/>
        <u/>
      </rPr>
      <t>other SDGs</t>
    </r>
    <r>
      <rPr>
        <rFont val="Arial"/>
        <color theme="1"/>
        <u/>
      </rPr>
      <t>:</t>
    </r>
  </si>
  <si>
    <t>- annotate as SDG 5 regardless of whether the content is discussed in a positive or negative light. We ignore valence (sentiment) for now.</t>
  </si>
  <si>
    <t>- annotate as SDG 5 even if other SDGs are mentioned and annotate as SDG 5 even if SDG 5 is not the "most important" SDG in the text</t>
  </si>
  <si>
    <t>With all that said, please do trust your judgment! I am sure we will have important discussions about these issues next time — which is exactly what we want 😊</t>
  </si>
  <si>
    <t>SDG 5 Description &amp; Targets</t>
  </si>
  <si>
    <t>The official text for SDG 5 is: "Achieve gender equality and empower all women and girls". Below you can see the targets for SDG 5.</t>
  </si>
  <si>
    <t>Click here to see all other SDGs and targets.</t>
  </si>
  <si>
    <t>Labeling Sheets</t>
  </si>
  <si>
    <t>Please click on your name to access your personal labeling sheet. Names are listed in alphabetical order.</t>
  </si>
  <si>
    <t>Name</t>
  </si>
  <si>
    <r>
      <rPr>
        <rFont val="Arial"/>
        <b/>
        <color theme="1"/>
      </rPr>
      <t>Progress</t>
    </r>
    <r>
      <rPr>
        <rFont val="Arial"/>
        <b val="0"/>
        <color theme="1"/>
      </rPr>
      <t xml:space="preserve"> (will update automatically)</t>
    </r>
  </si>
  <si>
    <t>Finn</t>
  </si>
  <si>
    <t>Gib</t>
  </si>
  <si>
    <t>Jean-Baptiste</t>
  </si>
  <si>
    <t>Meike</t>
  </si>
  <si>
    <t>Steve</t>
  </si>
  <si>
    <t>Thank you for being part of this exercise and thanks to OSDG for the dataset! ❤️</t>
  </si>
  <si>
    <t>Text Selection</t>
  </si>
  <si>
    <t>FYI: You do not need to read this section. We are just documenting how the texts for this exercise were selected.</t>
  </si>
  <si>
    <t>In total, 100 texts were selected from the OSDG dataset for SDG 5. The reason for selecting each text is documented in the "Source" sheet.</t>
  </si>
  <si>
    <t>Random Selection</t>
  </si>
  <si>
    <t>50 texts were selected at random (using Google Sheet's RAND() function)</t>
  </si>
  <si>
    <t>- 25 texts that OSDG community labeled as "SDG 5"</t>
  </si>
  <si>
    <t>- 25 texts that OSDG community labeled as "not SDG 5"</t>
  </si>
  <si>
    <t>In the OSDG dataset, each text has an agreement score between 0 (equal positive and negative labels) to 1 (full consensus).</t>
  </si>
  <si>
    <t>Each set of the 25 texts above consist of:</t>
  </si>
  <si>
    <t>- 5 texts with agreement score &gt; 0.8</t>
  </si>
  <si>
    <t>- 5 texts with agreement score &gt; 0.6 and &lt;= 0.8</t>
  </si>
  <si>
    <t>- 5 texts with agreement score &gt; 0.4 and &lt;= 0.6</t>
  </si>
  <si>
    <t>- 5 texts with agreement score &gt; 0.2 and &lt;= 0.4</t>
  </si>
  <si>
    <t>- 5 texts with agrement score &gt; 0 and &lt;= 0.2</t>
  </si>
  <si>
    <t>Manual Selection</t>
  </si>
  <si>
    <t>50 texts were selected manually to try to cover the nine targets of SDG 5.</t>
  </si>
  <si>
    <t>For each target, 5 texts were selected:</t>
  </si>
  <si>
    <t>- 2 texts with a positive label</t>
  </si>
  <si>
    <t>- 2 texts with a negative label</t>
  </si>
  <si>
    <t>- 1 text with a tie (agreement score = 0)</t>
  </si>
  <si>
    <t>The remaining five texts were also chosen manually from the set of texts with a negative label:</t>
  </si>
  <si>
    <t>- 1 text with agreement score &gt; 0.8</t>
  </si>
  <si>
    <t>- 1 text with agreement score &gt; 0.6 and &lt;= 0.8</t>
  </si>
  <si>
    <t>- 1 text with agreement score &gt; 0.4 and &lt;= 0.6</t>
  </si>
  <si>
    <t>- 1 text with agreement score &gt; 0.2 and &lt;= 0.4</t>
  </si>
  <si>
    <t>- 1 text with agrement score &gt; 0 and &lt;= 0.2</t>
  </si>
  <si>
    <t>DOI</t>
  </si>
  <si>
    <t>Text ID</t>
  </si>
  <si>
    <t>Text</t>
  </si>
  <si>
    <t>SDG 5 Label</t>
  </si>
  <si>
    <t>Comments (optional)</t>
  </si>
  <si>
    <t>10.1787/9789264224636-4-en</t>
  </si>
  <si>
    <t>1212f63edf3c0cc3d070ffe8800ea6d3</t>
  </si>
  <si>
    <t>Equality under the law, equality of opportunity' and equality of (political) voice have not yet been fully achieved in many MENA countries. Despite a number of steps taken, women in the MENA region continue to have a rather low level of legal protection against gender-based discrimination. The domestic laws in MENA countries are not always consistent with the gender equality principles set by international law, including the CEDAW.</t>
  </si>
  <si>
    <t>10.18356/efc21c19-en</t>
  </si>
  <si>
    <t>4c1b31c7bec2e84a3ca6802a5c46a8ca</t>
  </si>
  <si>
    <t>The maturity stages of e-Government for Gender Equality, which is an adaptation of the EGDI’s four-stage model, suggest key characteristics of the e-Government evolution regarding the usefulness of contents and services, technical sophistication and ease of use, degree of integration, etc. The framework was used for the analysis of national gender machinery websites from 11 countries presented in Chapter 3 of this report. They have links to ministries, departments and other branches of government.</t>
  </si>
  <si>
    <t>10.18356/77d08b03-en</t>
  </si>
  <si>
    <t>f040d7270a4160b55f0ba9f8508bfb76</t>
  </si>
  <si>
    <t>They entail wide-ranging coordination between different authorities, i.e., they are not the exclusive responsibility of labour ministries (ECLAC, 2005). Labour regulation policies, on the other hand, are those that act upon the relationship between workers and employers through provisions designed to secure rights: non-discrimination, minimum wages and social security, among others. Labour market policies, for their part, have the object of combating unemployment, mitigating its effects and supporting the population at risk of joblessness. These policies can be divided into passive ones designed to offset the loss of pay, such as subsidies, and active ones, which are meant to preserve existing jobs and support the creation of new ones, help the unemployed find work, facilitate the connection between labour supply and demand and improve the skills of the unemployed and those working in microenterprises and small businesses (Samaniego, 2002).</t>
  </si>
  <si>
    <t>not specific to gender</t>
  </si>
  <si>
    <t>10.1787/9789264179370-6-en</t>
  </si>
  <si>
    <t>e1338993d5cbc255cb6640d43c46fee1</t>
  </si>
  <si>
    <t>The survey was carried out in 2011 by Gallup Inc. as part of its Gallup World Poll, and covered over 150 000 people. The target population was the entire civilian population aged 15 and older. Interviews were conducted face-to-face in economies where telephone coverage represented less than 80% of the population and by telephone in countries with higher coverage.</t>
  </si>
  <si>
    <t>10.6027/9789289338974-12-en</t>
  </si>
  <si>
    <t>bdc51a5af542282c68a617bd88facd08</t>
  </si>
  <si>
    <t>Marshall defined social citizenship as "including social rights, these being the right to a modicum of economic welfare and security and right to live the life of a civilized being (quoted in Jenson, 2006:6)" (Poppel, M. 2014: 127). You can be provided for by your family, by charity organizations or by friends. Fulfilling the norms of a given community gives access to its resources.</t>
  </si>
  <si>
    <t>10.18356/0899dee9-en</t>
  </si>
  <si>
    <t>f9180ca14ff754bcd98d9ea8e1d7314f</t>
  </si>
  <si>
    <t>Organized in the Red de Genera y Familia, the first step was convening Care Dialogues, an advocacy strategy which aimed to raise the visibility of care on the public agenda.154 But in contrast to the above-mentioned cases, it was die engagement with the ruling party, Frente Amplio, and the inclusion of the SNIC as part of the electoral campaign programme for 2010-2015 that proved crucial.155 Care thus became a political, and not only a technical, public policy issue. Because the importance of unpaid care and domestic work had already been recognized, the discussion could centre on concrete policy design and implementation. These data have yielded, for example, measurements of “time poverty”168 and its relation with income poverty.</t>
  </si>
  <si>
    <t>10.18356/a5e42fa0-en</t>
  </si>
  <si>
    <t>8a0c60386ec53a00c7302c3a929f50b3</t>
  </si>
  <si>
    <t>Despite this progress, bilateral aid to LDCs fell by 3.9 per cent in real terms. However, remittances to developing countries fell in 2016 for a second consecutive year, declining by 2.4 per cent over 2015. This section provides a few highlights of these interconnections in the context of the theme and Goals under review at the High-Level Political Forum on Sustainable Development in July 2017.</t>
  </si>
  <si>
    <t>10.18356/1c6c11de-en</t>
  </si>
  <si>
    <t>8d7dc9b37931f38c5039e8cb2eef2d6f</t>
  </si>
  <si>
    <t>Savings' made from cutting back on government funding of public services often increase demands on unpaid care and domestic work. Because these hidden costs are not recognized in economic planning, this can create the illusion of efficiency gains when in fact costs are being transferred from the public sector to the private sphere.32 In the health sector, for example, efficiency may seem to increase when the time that patients spend in the hospital decreases and as a result the cost of providing treatment per patient appears to drop. But cuts to public health expenditure can have substantial and unrecognized knock-on effects for caregivers in households, who may be forced to take time off paid work to care for a sick family member.</t>
  </si>
  <si>
    <t>not specific to gender; but neither is the target</t>
  </si>
  <si>
    <t>10.18356/f5ce8f94-en</t>
  </si>
  <si>
    <t>3382aade6de482a469b43b0ac076bdee</t>
  </si>
  <si>
    <t>Intimate partner violence against women: experiences from a woman-focused development programme in matlab, Bangladesh, Journal of Health Population and Nutrition 23(1): 95-101. Combating gender-based violence and enhancing economic empowerment of women in Northern Uganda through cash transfers. Love on the Rocks: Domestic Violence and Alcohol Abuse in Rural Mexico. The B.E. Journal of Economic Analysis &amp; Policy: 8(1), article 43.</t>
  </si>
  <si>
    <t>5d71c3bd1a3b9b86517b23e200483317</t>
  </si>
  <si>
    <t>Enrolment is increasing in all regions of the world but still varies widely between and within regions. In Central and Eastern Europe, and Latin America and the Caribbean, enrolment is high due to a historically strong public education sector. In Central Asia, the Arab States and sub-Saharan Africa, enrolment rates are very low, although there are some intra-regional variations. Even in regions with better coverage, the inclusion of marginalized populations is still a challenge. In the Arab States, private providers cover almost half of all enrolment and in Africa around 60 percent. In Kenya, for example, the government programmes target children aged 4 to 5 years, even though the policy framework identifies children within the 0 to 5 age range as intended beneficiaries.</t>
  </si>
  <si>
    <t>10.18356/2c8682bc-en</t>
  </si>
  <si>
    <t>4b810c6f99caddec8b250387b1589964</t>
  </si>
  <si>
    <t>Its effect on the quality of Lw is related to the values transmitted through education within households and to the health care carried out there. Domestic labour also influences the number of hours of wage labour available, as it releases this from care responsibilities. Reproduction is caught between a given wage and people’s needs and wants. “</t>
  </si>
  <si>
    <t>10.18356/caeceb38-en</t>
  </si>
  <si>
    <t>097588fda30192cce1b6fb3efb5a1f66</t>
  </si>
  <si>
    <t>As we would expect, these proportions increase with age such that between half and three quarters of older adolescents are working, or seeking work. However, adolescents frequently combine school and work. Research in South Africa and Zimbabwe on distribution shows that most working adolescents live in very poor households in rural areas and are engaged in subsistence agriculture, many combining this with domestic work (including care) and commercial agriculture (Robson, 2004, Bray, 2012, Dawes et al.,</t>
  </si>
  <si>
    <t>10.1787/soc/aag-2014-5-en</t>
  </si>
  <si>
    <t>aa2e650903052a45c6c1b6828135bfac</t>
  </si>
  <si>
    <t>This is the case in Azerbaijan (90%), the Kyrgyz Republic (87%), Armenia (83%), New Zealand (82%), Myanmar (81%), Korea (76%) and Australia (72%). As in most OECD countries, health and the humanities are the other most popular degrees women obtain in the Asia/Pacific region (Figure 2.3). Women, on the other hand, are underrepresented among students and graduates of degrees in the so-called STEM fields of study - science, technology, engineering and mathematics (STEM). Innovation can benefit from a concentration of individuals with STEM skills.</t>
  </si>
  <si>
    <t>10.14217/9781848599451-24-en</t>
  </si>
  <si>
    <t>56bdf2e958ecda277070ad0e78ae42a0</t>
  </si>
  <si>
    <t>The success of GBV integrated service provision depends on co-ordinated programming that engages the different sectors across multiple levels with institutional buy-in of key stakeholders. Collaboration between the various service providers (medical, legal, police) is essential and services that are adequately resourced and located under one roof can be more readily accessed, leading to increased report and service demand as more people are able to benefit. The last decade has been the most progressive in terms of introducing new laws aimed at preventing VAWG.</t>
  </si>
  <si>
    <t>VAWG = violence against women and girls</t>
  </si>
  <si>
    <t>10.1787/5js30tvj21hh-en</t>
  </si>
  <si>
    <t>b41993950e8ada940f2ce81ffe3a2781</t>
  </si>
  <si>
    <t>This result is significant, and it is quite high compared to other factors. The marginal effect is less important than having technical or vocational education, but NREG is particularly well fitted for rural female work. It gives a local (computed on the household who did enter the programme) evaluation of the effect, which is more accurate. The average treatment effect on the treated (part of the programme) is 0.095.</t>
  </si>
  <si>
    <t>Mahatma Gandhi National Rural Employment Guarantee Scheme (MGNREGS); indirect benefit only?</t>
  </si>
  <si>
    <t>10.18356/5085bf5a-en</t>
  </si>
  <si>
    <t>6a390516c7b15f3b27739ce3b4337184</t>
  </si>
  <si>
    <t>Although a number of countries, mostly in Europe, that have adopted such measures have experienced modest increases in fertility between 2000-2005 and 2005-2010 (United Nations, 2013a), the implementation and effectiveness of such measures have been difficult to ascertain. While the percentage of Governments with policies to raise fertility has increased steadily from just 9 per cent in 1976 to 27 per cent in 2013, the percentage of Governments with policies to lower fertility increased from 27 per cent in 1976 to 42 per cent in 1996, and then remained at 43 per cent in 2013. During this time, the percentage of Governments that did not have policies to influence fertility has declined steadily from 52 per cent in 1976 to 13 per cent in 2013 (table III.l). In 1976, only about one in every five Governments in more developed regions had policies to raise fertility, but by 2013 this proportion had risen steadily to more than two thirds.</t>
  </si>
  <si>
    <t>10.1787/9789264213944-8-en</t>
  </si>
  <si>
    <t>c63b1ade007787cd8e30feacb3a31f18</t>
  </si>
  <si>
    <t>It provides the financing and capital necessary for their development, it supports the entrepreneur when strategic decisions have to be made, and it facilitates the improvement of the company’s potential for generating value for its customers, shareholders and all officers and employees. The objective of this stage, which is financially very risky, is to finalise the development of a technological prototype that makes it possible to meet the technological challenge, and begin to assess the existence of a potential market. The signing of a first client constitutes the transition to the venture capital stage. The few successful projects should more than offset the capital losses of those who fail.</t>
  </si>
  <si>
    <t>10.18356/604a5a2e-en</t>
  </si>
  <si>
    <t>3170e6ccd61878ce07fbc1a0149eba25</t>
  </si>
  <si>
    <t>Pregnant women have blood and body fluids that could expose health workers to the virus," Jallah says. I suffered a lot and was afraid I was going to die. The only thing I hoped for was for a miracle to happen," she says. One did: Comfort gave birth to two healthy baby girls with the assistance of a nurse aid who happened to pass by at the right time.</t>
  </si>
  <si>
    <t>Target 3.1</t>
  </si>
  <si>
    <t>10.18356/c30f3d31-en</t>
  </si>
  <si>
    <t>64889f77b8ac3876aa12ab72f6e3ea1f</t>
  </si>
  <si>
    <t>Coverage and enforcement of legal minimum wages are equally important. In developing countries many women in the informal economy are not legally covered by minimum wages. However, minimum wage legislation can still play a positive role:first there is some evidence that minimum wages in the formal sector improve wage levels in the informal sector too, known as a "lighthouse effect"” and second, the minimum wage sets a standard for pressure groups and trade unions to aim at when pressingfor improved conditions for informal workers in a subcontracting chain.</t>
  </si>
  <si>
    <t>54adceba3c4278906b489527f4097858</t>
  </si>
  <si>
    <t>An efficient use of ICT can disseminate government information to a broader audience in a fast and convenient manner. At the initial stage of national e-Government development, an ideal point of entry for developing countries would be setting up a website for the national gender machinery. The website, as an official gateway to gender-related policies and programmes, would provide a ready access to online information ranging from the organizational structure of the national gender machinery to government statistics, publications, government services and programmes aimed for women’s empowerment. Through the use of technology, the interaction between the governments and women can be stimulated and become more effective. Basic forms of interactivity available through emails, downloadable forms, discussion forums and online polls not only provide an improved delivery of basic services, but also build up a basis for online participation.</t>
  </si>
  <si>
    <t>10.18356/07f2a46c-en</t>
  </si>
  <si>
    <t>e2c0b3bd85978d0798b4069b139c32fe</t>
  </si>
  <si>
    <t>While in Cambodia and Thailand the epidemic is slowing down, this is not yet the case with Indonesia and Viet Nam. More and more, however, new cases of infections are women who have acquired HIV from unsafe sex with their stable partners. In Thailand, this group accounted for more than 4 in 10 (or 43 per cent) of new infections in 2005 (UNAIDS and WHO, 2008, p. 16).</t>
  </si>
  <si>
    <t>10.18356/3a0cd6ba-en</t>
  </si>
  <si>
    <t>d6641ebe70f6fbd4981994ea47fc1e99</t>
  </si>
  <si>
    <t>The most significant gaps were in: technology and technology transfer, access to finance, promotion of entrepreneurial education, cheaper, faster start-up and better regulations, and access to support services. These gaps reflected weaknesses in national legal frameworks and SME agencies, as well as in the elaboration and implementation of specific policy measures. Drawing on the World Economic Forum’s Global Competitiveness Index, this framework focuses on key entrepreneurial conditions (Box 2).'9 GEM is the basis for an annual national Adult Population Survey, along with National Expert Surveys.</t>
  </si>
  <si>
    <t>10.1787/9789264265493-8-en</t>
  </si>
  <si>
    <t>810c738ee49a6592c53e055950cddf2e</t>
  </si>
  <si>
    <t>Leaders and managers in organisations, who likely made time sacrifices to reach their current rank, often have difficulty accepting that work can be done in fewer hours. In some workplaces, “non-compliers” - those employees who opt to take flexible work hours and family leave - may actually be punished via denied promotions, reduced visibility to superiors, or exclusion from important projects. In-office “face time” remains an important metric of evaluating employees, even if it does not correspond with output (Elsbach and Cable, 2012).</t>
  </si>
  <si>
    <t>this is indirectly limiting women's ability to take leadership roles</t>
  </si>
  <si>
    <t>db5fb32cbad0993b82ca58f3da36a8bf</t>
  </si>
  <si>
    <t>Since the mid-1990s, the proportion of Governments that viewed adolescent fertility as a major concern has risen steadily in all major world regions, except in Northern America. Such programmes also include innovative educational approaches, including peer counselling for young people and orientation for parents, as well as strengthening education on reproductive and sexual health in non-formal settings, vocational training programmes and youth clubs (United Nations Population Fund, 2007). In 2013, 94 per cent of Governments in less developed regions had policies and programmes to reduce adolescent fertility, compared with 77 per cent of Governments in more developed regions. All Governments in Latin America and the Caribbean, Northern America and Oceania, and all but one Government in Africa, had policies and programmes to reduce adolescent fertility in 2013, whereas 23 per cent of Governments in Europe and 19 per cent in Asia did not have such policies or programmes.</t>
  </si>
  <si>
    <t>10.18356/ca9f4916-en</t>
  </si>
  <si>
    <t>b6dee1e7c9523d4f0a3984cad1d2bbc7</t>
  </si>
  <si>
    <t>The sheer volume of women adding their voices to the conversation, saying “I hear you, I understand you, I believe you”, has enabled them to find courage. Providing women with a chance to unburden painful experiences, and ultimately find relief, serves as collective therapy that is free and open to all. Women everywhere can say “me too” to someone else, whether that means “it happened to me” or simply “I believe you.”</t>
  </si>
  <si>
    <t>10.18356/27e660be-en</t>
  </si>
  <si>
    <t>772a64e323ae3b9a00ab99cef581966a</t>
  </si>
  <si>
    <t>A diverse group of women through the Liberian Women's Initiative prevailed upon warlords and political leaders in concerted actions all over Liberia, as well as in Nigeria and Ghana during the peace negotiation processes (African Women and Peace Support Group, 2004). Through the Women of Liberia Mass Action for Peace under the banner of the Women in Peacebuilding Network, which I coordinated, Liberian women mobilized aggressively for peace between 2000 and 2003, using advocacy, mass protests and sit-ins as well as the presentation of petitions to the former Liberian President Charles Taylor and other international actors. Our activism combined with international action on war crimes and military action resulted in the signing of the peace agreement, officially ending the war. While these causes are diverse, social, political and economic inequality plays a significant role together with state collapse, economic decline, and historical patterns of conflict and battles for control of natural resources (DFID, 2001).</t>
  </si>
  <si>
    <t>10.18356/914e7bcc-en</t>
  </si>
  <si>
    <t>f43d0e85dc177042358b28e93e6c51ea</t>
  </si>
  <si>
    <t>In terms of context, these CoSOs may precede the eruption of conflict, may deal with issues not relating to the conflict (in Israel and Turkey for example) or may be established as a result of the conflict (in Bosnia, Cyprus and Thrkey). In terms of identity, the vast majority of these CoSOs are civic, post-national or multicultural. In terms of FOA the organizations work on issues directly relating to the conflict, but also on political issues that do not relate strictu sensu to the conflict.</t>
  </si>
  <si>
    <t>10.1787/9789264027862-12-en</t>
  </si>
  <si>
    <t>291fef8c6e48972332d63f5ab0ffdff2</t>
  </si>
  <si>
    <t>Policies that increase and improve family contact are also essential as well as policies to prevent and respond to sexual harassment and rape of male and female prisoners. Female prisoners are likely to find strip searches particularly traumatic, and policies regarding strip searching should be separately and carefully formulated as it regards male and female prisoners. Other matters to be considered include: arrangements for privacy when people are required to remove their clothing, privacy in toilets and showers, use of private locks on cells, provision of hygiene items for women, and minimising indignity in the way urine and other samples are collected for drug testing. Poor prison conditions, lack of proper care and facilities, and the high level of stress that accompanies incarceration may place at risk both the health of a pregnant woman and that of her unborn child. Pregnant women should only be held in prison in the most extreme circumstances, such as when there is a concrete threat of violent crime. Special provisions should be made for ante and post-natal care and treatment, and babies should not be born in prison.</t>
  </si>
  <si>
    <t>10.1787/9789264281318-13-en</t>
  </si>
  <si>
    <t>1d739c81852aec6acdf3904d919d0524</t>
  </si>
  <si>
    <t>The 2015 OECD/INFE survey showed that in 15 countries and economies men are less likely than women to agree with at least one of the statements: “Before I buy something I carefully consider whether I can afford it” and “I keep a close personal watch on my financial affairs”. In 13 countries and economies men are more likely to agree with at least one of the statements: “I tend to live for today and let tomorrow take care of itself’ and “I find it more satisfying to spend money than to save it for the long term” (Table 10.A 1.3 in OnUne Annex 10.A1). Fewer women than men in 19 out of 30 countries and economies would be prepared to risk some of their own money when saving or making an investment.</t>
  </si>
  <si>
    <t>10.14217/967bd43c-en</t>
  </si>
  <si>
    <t>1e0a700a4aabfbb4408648e08f6daf33</t>
  </si>
  <si>
    <t>For purposes of this paper the definition will focus on ‘forced marriage’ and ‘early marriage.’ The reason for this is that by definition, ‘child’ marriages7 can be considered ‘forced marriage’, or a form thereof, because children especially those under the age of 15 are not able to make an informed decision as to whether or not they want to be married. Most often this decision is influenced by a parent or family member.</t>
  </si>
  <si>
    <t>10.1787/9789264259157-5-en</t>
  </si>
  <si>
    <t>63068a4c52e7d377dee1d40aed455865</t>
  </si>
  <si>
    <t>There is a lot that companies can do to prevent long hours. The overarching goal is to adjust workplace culture so that managers prioritise tasks, time management, and efficient output rather than time in the office. Leaders must recognise that working long hours is not necessaiy for high-quality work and may even prevent it.</t>
  </si>
  <si>
    <t>10.18356/2e1a4924-en</t>
  </si>
  <si>
    <t>1bbfbe8960be36484e2a78c9ace6b313</t>
  </si>
  <si>
    <t>Second, qr is less sensitive than ols to outliers in the dependent variable since it minimizes the weighted sum of absolute deviations. Moreover, when the error terms are non-normal, qr also gives a more efficient estimator than least squares. Lastly, qr has a linear programming representation that makes estimation easy.</t>
  </si>
  <si>
    <t>10.1787/9789264259157-7-en</t>
  </si>
  <si>
    <t>b4567b9a5b7330fb9b2f60323c881bb5</t>
  </si>
  <si>
    <t>A recent reform has further enabled parents of children bom after June 2016 to make even more flexible use of the job protection provision: With the employer’s consent, they can use 12 months of the 36 month employment-protection period any time between the child’s third and eighth birthday. But, beyond the provisions of parental leave (Elternzeit) and family care leave (Pflegezeit and Familienpflegezeit), employees in Germany are not legally entitled to resume full-time work once their reduced working hours have been approved by their employer (see Chapter 3 for an international comparison of legal provisions). On average, full-time working mothers in Germany put in nearly 42 hours per week, outstripped only by Swiss and Austrian mothers with about 44 hours per week (Figure 4.6).</t>
  </si>
  <si>
    <t>10.18356/fa8ae033-en</t>
  </si>
  <si>
    <t>b06f04f91816c525adcc20747a5dee7b</t>
  </si>
  <si>
    <t>Gender Equality Observatory of Latin America and the Caribbean: Annual Report 2012-A Look at Grants, Support and Burden for Women. Santiago, Chile: ECLAC. Accessed 14 September 2017, https://www.cepa!. The Impact of Conditional Cash Transfer Programs on the Time Allocation of Beneficiaries: The Case of’Oportunidades’ Program in Mexico."</t>
  </si>
  <si>
    <t>10.18356/b82bdbfb-en</t>
  </si>
  <si>
    <t>318fe8fdc7167bdb17eedef9d584aac9</t>
  </si>
  <si>
    <t>Evidence demonstrates that when a critical mass of women participates in decision-making, their contributions and needs are more likely to be recognized and addressed. Even though attention has largely focused on women's leadership and participation in national parliaments, there is a pressing need to realize women’s leadership throughout the daily lives of all Africans - in the home, in the economy and markets, and in society as broadly defined. Reducing inequalities in access to health and education, in addition to giving women greater choice in family decisionmaking, can have significant benefits for women and important inter-generational benefits.</t>
  </si>
  <si>
    <t>10.18356/8146c4ff-en</t>
  </si>
  <si>
    <t>a983e648796057f81f6185b8e43331c3</t>
  </si>
  <si>
    <t>However, the larger agenda of recognition of the care needs of migrants and valuation of social reproduction as a central axis of the analysis of migration would require the tough political challenge of transformative, universalized access to childcare services in both Australia and Lebanon that is delinked from parents'income levels,from productivist assumptions (as in Australia) and from parents’ migrant status (as in Lebanon). Power,production and social reproduction: Human in/security in the global political economy. In Transnational Families, Migration and the Circulation of Care: Understanding Mobility and Absence in Family Life, edited by Loretta Baldassar and Laura Merla.</t>
  </si>
  <si>
    <t>10.1787/9789264265493-7-en</t>
  </si>
  <si>
    <t>4b3e00eda804bc06de54bf2c37995ede</t>
  </si>
  <si>
    <t>Providing both parents with flexible work schedules and the possibility of short-term part-time work can also ease tensions between caregiving and work as children age (Chapter 4). Designed to be used around childbirth and when children are very young, employment-protected leave provides job security while allowing mothers to recuperate from childbirth and gives both parents time to care for young children. Paid leave gives families valuable income support at a time of increased stress on household budgets.</t>
  </si>
  <si>
    <t>10.1787/5jm2hz8dgls6-en</t>
  </si>
  <si>
    <t>afb2f20182972c1ba7041c3f86b05e84</t>
  </si>
  <si>
    <t>It is an average of the squares of its five sub-indices (equation 10). It ranges from 0, indicating very low levels of discrimination, to 1, indicating very high levels of discrimination. Three-years average (2009-11). Three-years average (2009-11). Three-years average (2009-11). Three-years average (2009-11).</t>
  </si>
  <si>
    <t>10.18356/cb17bdad-en</t>
  </si>
  <si>
    <t>4916d8af58848267431dae37fcbf81d0</t>
  </si>
  <si>
    <t>Poverty is not solely a lack of income, but rather is characterized by a vicious cycle of powerlessness, stigmatization,discrimination, exclusion and material deprivation,which all mutually reinforce each other' (ibid, para. The vicious cycle means that ‘the greater the inequality, the less the participation, the less the participation, the greater the inequality’ (ibid, para. Lack of participation is both a cause and consequence of poverty. Poverty is itself a ground of discrimination, but people living in poverty often experience other forms of discrimination based on,for example, gender, disability, ethnicity, and so on.</t>
  </si>
  <si>
    <t>10.1787/9789264224636-7-en</t>
  </si>
  <si>
    <t>3f641e23050c65d90672a8290295bb67</t>
  </si>
  <si>
    <t>The committee facilitates the integration of women’s needs in the government’s work plan as well as monitors and evaluates the mainstreaming of women’s needs in national policies. Furthermore, it also supports the creation of gender-sensitive budgets. The committee conducts studies and reviews the impact of policies on women and men. It is composed of parliamentarians from all political parties and includes a chair, two vice-chairs and eight members who study, evaluate and report on matters and bills relating to the status of women.</t>
  </si>
  <si>
    <t>10.1787/9789264265493-9-en</t>
  </si>
  <si>
    <t>72bc2099057c5d0da7d38f1cee7f3e77</t>
  </si>
  <si>
    <t>The concept of critical mass as applied to women’s political representation, and the UN targets that have flowed from it, have played an important role in supporting countries in the adoption of gender quotas in various spheres of the public and private sectors. According to data provided by the Inter-Parliamentary Union (IPU, 2015), the global average of women in national parliaments has nearly doubled in the past 20 years from 11.3% in 1995 to 22.1% in 2015 (a rise of 10.8 points). However, recent socio-political studies (Childs and Krook, 2008), as well as IPU data (IPU, 2015) confirm that the achievement of a critical mass is no longer seen as the sole target of efforts to bring about gender-equal participation in positions of leadership.</t>
  </si>
  <si>
    <t>650df03322e86b6f089f407ba080b21a</t>
  </si>
  <si>
    <t>If all those reforms happened in a particularly rigid state - as it is likely to be the case, it is highly probable that employment will still suffer from this former rigidity. It will then introduce a negative bias in the evaluation. A positive value means a pro-worker state’s legislation (often tied to institutional rigidity) and a negative value means pro-employer legislation (more liberal). Conversely to labor reform’s index we do not have this index for every states.</t>
  </si>
  <si>
    <t>10.1787/5jm0xdx0b06g-en</t>
  </si>
  <si>
    <t>68cc56f99f7433126251488792ae8b82</t>
  </si>
  <si>
    <t>The law entered into force the last quarter of 2014, though some provisions will be phased in over the 2015-2018 period. The overall goal tax reform is to raise the tax-to-GDP ratio to finance a large increase in education spending. The tax measures aim to raise an extra 3% of GDP. More than half of the increased revenues are forecasted to come from increased income taxation, mainly from corporate income (Table 1). Increases in compliance are forecast to increase revenues by 0.5% of GDP (17% of the overall reform revenue goal), while expansions in the VAT base will account for 0.3% of GDP (12% of the overall reform target. To raise more revenues Chile could focus on broadening the tax base of the personal income tax (PIT), which does not contribute significantly to reduce inequality.</t>
  </si>
  <si>
    <t>10.1787/9789264210745-6-en</t>
  </si>
  <si>
    <t>8b8efdd6ae34ef52bbded7d658b5866a</t>
  </si>
  <si>
    <t>The Inter-Departmental Co-ordination Group assumes responsibility for: promoting co-operation between ministries, adopting a federal plan of action, preparing an intermediary' report and a final report at the end of the term, and exchanging good practices and promoting instruments useful to enforcing the law. The representatives of the ministries participating in the co-ordination group are also appointed as gender focal points in their respective entities. They receive compulsory' training on gender mainstreaming and are tasked with ensuring follow-up on the diverse measures foreseen by the law (e.g, gender statistics, gender-responsive budgeting and the “gender test”).</t>
  </si>
  <si>
    <t>10.18356/ea8c16ef-en</t>
  </si>
  <si>
    <t>cc7ff9087fabcdc500e8966e260520e3</t>
  </si>
  <si>
    <t>They reported that cash transfers had the greatest impact on marriage-related indicators, noting that the transfers worked as an incentive to stay in school and increase financial independence, both of which could have reduced adolescent marriage. Enrolment rates were higher for children participating in the programme, and there was a slight increase in the number of years of schooling they received. The mixed results suggest that the design of transfer programmes may be important for achieving outcomes. Cash payments made directly to girls rather than their parents had the greatest impact on reducing adolescent pregnancy and HIV in Malawi’s Zomba programme (Baird et al.,</t>
  </si>
  <si>
    <t>2cc009dd9dffb00802a9ff617a66100d</t>
  </si>
  <si>
    <t>According to official figures, there were 7,133 humanitarian entrants from Ethiopia in 1991-2015 (Government of Australia undated). Several thousand more Ethiopians have been sponsored under categories of spouse or family reunification visas, and the 2011 census records 8,452 Ethiopian-born people in the population. Like other humanitarian entrants who have been granted Permanent Protection Visas, Ethiopian refugees receive resettlement assistance through the Humanitarian Settlement Strategy (HSS), which was introduced in 2000 to provide a range of specialized services for humanitarian entrants.</t>
  </si>
  <si>
    <t>419163df6dbb548003cfb59af8e8565d</t>
  </si>
  <si>
    <t>Countiy Group 4: France, Iceland, Norway and Sweden Source: OECD calculations based on European Union Statistics on Income and Living Conditions (EU SILC) 2012. Country' Group 2: Italy, Greece, Spain, Portugal, Lithuania, Poland and Slovenia. Country Group 3: the Czech Republic, Estonia, Finland, Hungary, Latvia and the Slovak Republic.</t>
  </si>
  <si>
    <t>10.14217/9e070c99-en</t>
  </si>
  <si>
    <t>54206b6ebcc7a64bd3916a62d01a2f7d</t>
  </si>
  <si>
    <t>Judicial officers ensure the authoritative adjudication of controversies over the application of laws in specific situations, make law and public policy, especially when they exercise their power of judicial review to declare laws, government actions or omissions as unconstitutional, act as administrators for out-of-court settlements, and ensure enforcement of decisions. Judicial officers are barometers of a society’s conscience and must be seen to take restorative steps with impartiality and professionalism to address VAW by establishing and enforcing social and behavioural norms in line with the principles of the rule of law, as embodied in the law applicable and the practice before adjudicating institutions, and educating within and outside the court system. Failure to hold perpetrators accountable makes victims lose confidence in the institution of the judiciary and in the ability of the state to protect them from violence.</t>
  </si>
  <si>
    <t>10.1787/9789264210745-5-en</t>
  </si>
  <si>
    <t>53c49d95e8e01516bc7a3cf10eaee6f9</t>
  </si>
  <si>
    <t>The employer’s role is largely associated with the obligation to act as a model employer. There is an expectation that the public sector, by the excellence of its modern employment policies and practices, will act as a leading force and as an example for the rest of the country’s employers. Therefore, it is crucial that the public sector embeds and exemplifies gender equality in its own employment policies.</t>
  </si>
  <si>
    <t>10.18356/b620ec70-en</t>
  </si>
  <si>
    <t>65679dcea5d83c2d52fe028007f3f341</t>
  </si>
  <si>
    <t>Providing and Paying for Long Term Care, Paris, 2011, Starting Strong II. Early Childhood Education and Care, 2006: International Labour Organization (ILO), Un buen comienzo: la educadbnyioseducadores delaprimera infancla, Geneva, 2012: Ran American Health Organization (PAHO), "Ensenanza de la enfermeriaen saiud del adulto mayor", Human Resource for Health Series No. Few countries integrate this kind of nursing as a specific course in the undergraduate nursing curriculum. A diagnostic performed by the Pan American Health Organization (PAHO) for the region (PAHO, 2012) found that the main difficulties in strengthening nurse training in this area had to do with the lack of suitable clinical fields, the shortage of teachers trained to teach nursing of older persons, and the shortage of candidates interested in the area.</t>
  </si>
  <si>
    <t>10.1787/9789264224636-11-en</t>
  </si>
  <si>
    <t>747776de24dc6a898960383ef0997e0b</t>
  </si>
  <si>
    <t>Overall, assistance for victims of violence, hotlines, shelters and counselling services remains very limited in MENA countries. More shelters are needed to ensure that all victims throughout the country can access immediate protection. According to recommendations of the Council of Europe, all countries should provide one place in a shelter per 7 500 residents, this coverage is not achieved by the existing geographical distribution of shelters (Council of Europe, 2007: 18). There is also a need for greater provision of free legal aid and advice services for victims of violence.</t>
  </si>
  <si>
    <t>10.1787/9789264279322-7-en</t>
  </si>
  <si>
    <t>d0a96662f990a04e6eec02af04738769</t>
  </si>
  <si>
    <t>A widow will receive one-eighth of her deceased husband’s assets or one-fourth if he has no children. For example, it is not uncommon for the family to pressure female heirs into relinquishing their full inheritance rights in favour of male relatives. Many women do not know that they can refuse to cede their rights or can appeal to the courts.</t>
  </si>
  <si>
    <t>10.1787/5db444d4-en</t>
  </si>
  <si>
    <t>2619f36e9742dfe92717ebfcf7b0250c</t>
  </si>
  <si>
    <t>Addressing structural inequalities also requires an approach that cuts across silos. For example, promoting women’s business ownership requires a smart policy mix, which, among others, takes into consideration gender impacts of regulatory policies and competition frameworks, while removing potential barriers in access to public procurement and finance. These efforts must be coupled with an enabling social infrastructure (e.g. accessible and affordable child/elderly care) to reduce the burden of unpaid care work, as well as partnerships between the public and private sectors.</t>
  </si>
  <si>
    <t>10.18356/e617261d-en</t>
  </si>
  <si>
    <t>e95d9b6864d5595d1cd7f4e8dca7d4d2</t>
  </si>
  <si>
    <t>Another 25 per cent said that they would like to stay in the Russian Federation and live there permanently, while 21 per cent said that they would like to live in the Russian Federation for several years and then return home permanently (Tyuryukanova, 2011, p. 155). Among them, females from Uzbekistan more often wanted to "come and go" (66 per cent) and were the least willing to apply for Russian citizenship (70 per cent of them did not have such plans) (Tyuryukanova, 2011, pp. Contrary to these findings, another survey of Central Asian female migrants in the Russian Federation showed that 70 per cent of them had firm plans to return home (Agadjanian and others, 2014).</t>
  </si>
  <si>
    <t>0bdff1a16124338ba120c46cbd9b44cd</t>
  </si>
  <si>
    <t>The work is regarded as voluntary, and working conditions are casual.91 In the case of South Africa, the pay levels of ECEC workers do not allow them to move out of poverty. Sometimes ECEC workers enrol in training, topping up their incomes with the EPWP stipend. However, when the training ends, they have higher skills but the same remuneration as before 92 Poor worker remuneration is also common in ECEC programmes in other African countries, like those reviewed in Kenya95 and Nigeria. Improvements in national legislation in South Africa and Uruguay, and the ratification of the ILO’s Domestic Workers Convention (No.</t>
  </si>
  <si>
    <t>10.18356/ecc83295-en</t>
  </si>
  <si>
    <t>007f06a3cc366285d2d1530065749c62</t>
  </si>
  <si>
    <t>Some countries have responded to shrinking populations with policies to attract migrants, especially younger people who can fill gaps in labour forces. By the 1970s, the fertility transition had occurred in Australia, Japan, and all highly developed countries in Europe and North America. Fertility in China fell sharply in the 1970s in response to policies to promote later and less frequent childbearing, and the introduction of the country’s 1979 family planning policy, which generally limited couples to one child.</t>
  </si>
  <si>
    <t>reproductive rights</t>
  </si>
  <si>
    <t>10.18356/fa683360-en</t>
  </si>
  <si>
    <t>f81b06bcdbc7a57989e6e445bb53808b</t>
  </si>
  <si>
    <t>Key factors in not completing the initial process were being disbelieved or fear of the police and the criminal justice system. For example, it is not always clear whether cases were “lost” or “dropped”. Dropped cases are those where either the police or prosecutor makes a clear and explicit decision not to proceed with a case.</t>
  </si>
  <si>
    <t>13bd9f055dab0f9d915f1ab5c8617225</t>
  </si>
  <si>
    <t>At the regional level, the right to equality and non-discrimination is also guaranteed by, for example, the African Charter on Human and People's Rights (arts. This means that States must take all necessary legislative, administrative and other measures to ensure that no family may be subject to discrimination on any ground. Any right, benefit, privilege or obligation to one ‘family’ (e.g., in social or welfare benefits, inheritance, social security and pensions) must be accorded to all of them.</t>
  </si>
  <si>
    <t>not specific to gender?</t>
  </si>
  <si>
    <t>aebeb8ff59842b3e252c0a01e1fa88e1</t>
  </si>
  <si>
    <t>Differences in the dynamics of women's and men's employment also appear to be less pronounced when exchange rates are kept at a competitive level. When demand for labour grows slowly relative to supply, levels of open unemployment increase, informal employment expands and other atypical and non-standard forms of work—such as part-time work, short-term hires and day labour markets— proliferate. At the same time, bargaining power shifts in favour of employers and the owners of firms. A reduced share of public sector jobs in overall employment reinforces this trend.</t>
  </si>
  <si>
    <t>10.18356/137d57b2-en</t>
  </si>
  <si>
    <t>33f15d8472ee9dac57b488d9ad445543</t>
  </si>
  <si>
    <t>In a mega-city such as Lagos, Nigeria, planners are trying to redevelop neighbourhoods and create more cohesive, manageable and livable communities. Nations like Ethiopia and India have launched campaigns to end child marriages and prevent life-threatening adolescent pregnancies. With good planning and thoughtful policies. When young people can claim their rights to health, education and decent working conditions, they become a powerful force for economic development and positive change. Throughout the developing world, social scientists and policymakers want to make the most of large youthful populations, for the sake of hopeful young people themselves as well as in the interests of economic growth and development.</t>
  </si>
  <si>
    <t>244c387f232fa8b0e81f78f3793a63f5</t>
  </si>
  <si>
    <t>In Article 198, the law defines ‘marital rape’ as any act of sexual intercourse committed by one spouse on the other by violence, threat or trickery. The penalty for ‘marital rape’ is found in Article 199, where is provided that such a person shall be liable to a term of imprisonment of at least two (2) months but less than six (6) months and a fine of one hundred thousand (100,000) to three hundred thousand (300,000) Rwandan francs or one of these penalties. If ‘marital rape’ results in an ordinary disease, the offender shall be liable to a term of imprisonment of six (6) months to two (2) years.</t>
  </si>
  <si>
    <t>10.1787/9789264224636-13-en</t>
  </si>
  <si>
    <t>4d07e5e027cb0c07a4c1e9f269c70c0d</t>
  </si>
  <si>
    <t>Djibouti Law of 27 December 2007. With the arrival of many citizens from African countries and from transit countries, Egypt is becoming a transit zone for women, or crossing South-East Asia, the former Soviet Union and Eastern Europe. What is more, since 2003 the Suez Canal has been considered a very important factor in the trafficking of human beings and of counterfeit goods. Amongst these missions, the committee must draw up plans for the implementation, supervised implementation and revision of legislation in order to prevent human trafficking, and also to draw up proposals or recommendations, and to publish a national directory including instructions and pertinent educational material, and the adoption of measures that aim to protect victims of human trafficking. The committee will also lead an awareness-raising campaign for the benefit of employers who bring in foreign workers, on issues relating to human trafficking, and will also examine reports of national and international organisations on the banning of human trafficking, and co-operate with all official and non-official programmes that provide social support for victims affected physically or psychologically or people affected by human trafficking crimes.</t>
  </si>
  <si>
    <t>00f5ff6cbf35b0736888a769b8e02d49</t>
  </si>
  <si>
    <t>In these aspects, there are no statistically significant differences between female and male migrants. The only difference is in situations when respondents were taken from the workplace to die Federal Migration Service, which happened to 23 per cent of male migrants and 8 per cent of females.18 Agadjanian and others (2017) showed diat 34 per cent of female migrants from Central Asia had faced ethnicity-based harassment. Migrants in the Russian Federation do not settle in ethnic neighbourhoods but are spread out across cities (Vendina, 2012) so there are no places to avoid discrimination in the "mainstream" housing market (Agadjanian and Zotova, 2011).</t>
  </si>
  <si>
    <t>7f640e6d16c269e5e8b2f71de1be4ae5</t>
  </si>
  <si>
    <t>Evidence brought together in this review suggests that such attempts would also require working with existing power structures at local levels, and perhaps more broadly. It also requires substantial local choice, power, management and ultimately ownership of both the "trigger" (the actual stimulus for change) and the process (Panter-Brick et al., 2006).Thus far, parenting programmes are the chosen trigger through which the feasibility of offering parenting support is being tested in the region. However, there are many other models that exist around the world (Daly et al.,</t>
  </si>
  <si>
    <t>10.18356/56f09402-en</t>
  </si>
  <si>
    <t>34e246391352524b78302363287313a1</t>
  </si>
  <si>
    <t>In addition to sexuality education, this effort involves implementing change processes in health services and putting in place guidelines and care protocols for prevention and for the sexual and reproductive health of this population, with an approach that differs from the one used for the adult population. The countries of Latin America have made significant progress in this direction, through different instruments. To this end there is a specific list of medicines that must be provided free to the requestor, with a proper medical prescription.</t>
  </si>
  <si>
    <t>10.1787/9789264279322-4-en</t>
  </si>
  <si>
    <t>69954e2fd1e94c64dbb6825f2919bd69</t>
  </si>
  <si>
    <t>Legislation in some countries may have changed since this period, and can be expected to change in the future. Such instances should be considered and factored in during any follow'-up discussions at the country level or in international fora. Eventually, this work may also call for a revised draft to acknowledge progress and impacts made. It offers policy recommendations for boosting women’s employment and entrepreneurship through changes to legislative and institutional frameworks. The recommendations are general and will need tailoring to the particular context of each country.</t>
  </si>
  <si>
    <t>0bd5c32157352edddc8533212da40462</t>
  </si>
  <si>
    <t>Collaboration over domestic work (for girls) or maintaining the home (for boys) is a vehicle through which parents ascribe value to adolescents, model appropriate behaviour and include them in social reproduction in ways that are consistent with the aspirations of parenting captured in the WHO's five dimensions. Adolescents are proud of their participation in the running of the family and prioritise their "right to help in the home" as well as engage in family activities (Bray, 2012,Thorpe, 2005). For reasons we go on to explain, the pressures and motivations around work influence the notion of 'good parenting' in this region, differing from those commonly expected or assessed using standard measures. Poverty plus additional vulnerability due to HIV, including orphanhood and family dispersal, lies behind adolescent engagement in commercial sex work (Nyambedha, 2007), while transactional sex in the community is commonplace across poor neighbourhoods (Juma et al., 2013).Young people's reliance on these informal and often exploitative relationships increases where lone mothers, or small families, cannot meet material needs or connect adolescents to genuine alternative routes towards upward social mobility (Ngugi et al.,</t>
  </si>
  <si>
    <t>10.18356/401c524c-en</t>
  </si>
  <si>
    <t>0b177884ae8cc3bcdb52efa3286336a5</t>
  </si>
  <si>
    <t>These results were related to shifts in power and changes in norms, often in relation to traditional practices. An example is the establishment of villages free of female genital mutilation. Transformative outcomes generally emerge from a change process that has several stages, moving from awareness raising, to attitude change, to change in behaviour and rules, often accompanied by institutionalization of a new norm (as described in the Gender@Work framework). In such cases, UNDP was one actor among many that contributed to the end result.</t>
  </si>
  <si>
    <t>f4f48b94110197a2586938f4a9226d0d</t>
  </si>
  <si>
    <t>Even software engineers argue that programming errors are more likely to occur (and take longer to fix) after long hours, despite the tech industiy’s glorification of seemingly endless workdays (Robinson, 2005). Working-hour legislation and the legal right to request flexible working arrangements have historically helped protect workers. However, real change needs to occur in organisational culture and practice.</t>
  </si>
  <si>
    <t>00550a0fe64ba38833102f529118d5be</t>
  </si>
  <si>
    <t>Early marriage, also refers to marriages where both spouses are 18 years and over but certain factors make them unready to consent to marriage, for example their level of physical, emotional, sexual and psychosocial development, or lack of information regarding the person’s life options.10 Within the context of the law in East Africa, CEFM does not have a concrete definition. Most information gathered on CEFM places child marriages into two categories: those married before 15 years and those married before 18 years. This categorisation is of importance as it enables those researching CEFM to understand the trends in various countries.</t>
  </si>
  <si>
    <t>10.18356/0a98da25-en</t>
  </si>
  <si>
    <t>e851c33286390a6e3b9ae4ee35c6f113</t>
  </si>
  <si>
    <t>First, higher interest rates dampen aggregate demand and thus employment. Second, the policy interest rate tails to address the underlying causes of inflationary pressures in many countries. Those pressures are often best dealt with through targeted fiscal policies in education,health care.and investment in strategic sectors, such as agriculture and infrastructure. The lens for identifying appropriate public investment projects and credit targets needs to be gendered and ethnically representative, underscoring the important role of affirmative action in private and public decision-making bodies.</t>
  </si>
  <si>
    <t>10.18356/36aba0c4-en</t>
  </si>
  <si>
    <t>f19db2735a2f32ec978a5e1c0961207c</t>
  </si>
  <si>
    <t>As such, pursuing a shift to demand-led growth, on its own, is unlikely to address the environmental costs associated with sustained growth, unless the higher wages and earnings of lower income groups that will result from such a shift are spent on goods that are less reliant on fossil fuels and natural resource extraction, and increased public expenditure and investment is also allocated to fuel-efficient sectors and technologies. This is where proposals for green economy become relevant. There are, however, different variants of green economy.</t>
  </si>
  <si>
    <t>10.18356/1cef4f1d-en</t>
  </si>
  <si>
    <t>5fcdf01bc70595a35bcbd3c03c7d6ed0</t>
  </si>
  <si>
    <t>This is despite (or because of) its attendant market deregulation, attrition of the public realm, and the increasingly crowded and competitive scramble for an advantageous spot in the emerging international division of labour. It has largely followed a supply-side approach, one that overlooks the fact that individuals are already integrated into the global economy, but on exclusionary terms that stem from prevailing rules, norms and policies. The global policy narrative on women’s economic empowerment, which seems to focus largely on their inclusion in markets, is an example of this limited perspective.</t>
  </si>
  <si>
    <t>10.18356/c45e5372-en</t>
  </si>
  <si>
    <t>290cccf721087d8cfd64f720caf883b2</t>
  </si>
  <si>
    <t>Companies with appropriate certification can register as diverse suppliers in a Supplier Diversity Registration Portal. Its global Supplier Inclusion and Diversity programme started in 2002 in the United States and now spans more than 16 countries and three regions. The focus is to integrate more women-owned businesses into supply chains.</t>
  </si>
  <si>
    <t>10.14217/2d08a027-en</t>
  </si>
  <si>
    <t>b1b6995b10ce561b7bfc2333f49aa089</t>
  </si>
  <si>
    <t>We protested against political parties requesting huge sums of money as part of the party nomination process.' In 2016, the organisation signed an agreement with the Cameroon government to empower hundreds of youth and women in elections participation. This process involved building capacity to reinforce leadership and civic education.</t>
  </si>
  <si>
    <t>0033dadef04b7adbdd14320547f92c95</t>
  </si>
  <si>
    <t>This paper examines the effects of child, early and forced marriages (CEFM) within the Commonwealth, with a specific focus on East Africa, and highlights how to best address the issue using international, regional, and national legal norms and judicial processes currently in place. The East African countries examined are Kenya, Rwanda, Uganda and Tanzania. The introduction is then followed by the background section which gives a historical overview of CEFM at the global level.</t>
  </si>
  <si>
    <t>10.18356/32ea1505-en</t>
  </si>
  <si>
    <t>97056e9d8418caf1b9cb18de4249b46a</t>
  </si>
  <si>
    <t>While all female-headed households with outstanding loans used land as collateral, male-headed households also used livestock, houses and other property (UNCTAD, 2014). Major obstacles include target groups’ lack of awareness and inability to comply with lending requirements. Cooperatives and other civil society organizations could serve as a bridge between these lending institutions and individual women, but establishment and registration procedures are often cumbersome and involve high transaction costs, and civil society organizations often lack the financial and human resources necessary to perform such a role on a large scale (UNCTAD, 2014).</t>
  </si>
  <si>
    <t>d6ca8e89fd99a81141f2fc79638f5711</t>
  </si>
  <si>
    <t>In 2008, an estimated 44 million induced abortions occurred in the world (6 million in developed countries and 38 million in developing countries), almost half of which were carried out using unsafe procedures (Guttmacher Institute, 2012). Globally, it is estimated that 47,000 women die each year from complications associated with unsafe abortion. Many of these deaths could be prevented through better access to sexuality education, contraceptive information and supplies, and safe abortion services where allowed by law (Shah and Ahman, 2010).</t>
  </si>
  <si>
    <t>10.1787/empl/outlook-2016-8-en</t>
  </si>
  <si>
    <t>7d9eea8c9d93b2273037530717ae79ec</t>
  </si>
  <si>
    <t>Providing employers with a code of good practice can help them to navigate the existing legislation, which can often be complex, and reduce non-compliance. Lowering the burden of proof for plaintiffs and shifting it to employers can be a step in the right direction, but should be accompanied by measures to help complainants gather the necessary evidence to initiate the case and sustain the costs of the trial (OECD, 2008, Chapter 3). In the early 2000s, most European countries lowered the burden of proof for plaintiffs, who are now only required to provide evidence of differential treatment without having to prove that it was indeed due to discrimination.</t>
  </si>
  <si>
    <t>ba0b47e69221eb2f34cbe80257d4d636</t>
  </si>
  <si>
    <t>In Latin America there is strong evidence of the conditions in which young people enter the labour market. Youth unemployment has traditionally been higher than in other age groups, and it is usually the first to rise in times of economic crisis and the last to fall in booms (Tokman, 1997, ECLAC, 2010). In other words, "the young are among those who bear the brunt of the recessionary and regressive effects of crises" (ECLAC, 2012a, p. 89). As a result, adolescents and youths are still overrepresented among the unemployed.</t>
  </si>
  <si>
    <t>10.18356/6f7c638a-en</t>
  </si>
  <si>
    <t>00dd087c250922be90724c77bf6de004</t>
  </si>
  <si>
    <t>In Uruguay for example, data is collected on care provided to dependent persons aged 65 or older and questions focus on care for adults who require assistance with personal hygiene, feeding or medical care, including transportation to health centres. The national time-use survey in Mexico collects information on the time spent caring for persons aged 60 or older, including support in the use of information technology, transportation and accompaniment, even when the older person is not dependent or does not have a disability. In households where persons in this age range are present, women spend 18 hours per week on average caring for them, compared with 15 hours spent by men.</t>
  </si>
  <si>
    <t>d86780cec7d02f4c9590e02a42f77295</t>
  </si>
  <si>
    <t>One of the targets of Goal 8 of the 2030 Agenda for Sustainable Development is the reduction in the number of young people in this situation, which means there is a need for information that explains the barriers to their integration into the labour market and the education system. The time-use data for this age group show that, on average, women who are out of school and the labour market spend at least 40 hours per week on unpaid domestic work, which confirms that they are not in school and not being paid for their work (ECLAC, 2016a). For example, in Costa Rica and Mexico, young people spend more than 70 hours per week on domestic and care work (see figure IV.6).</t>
  </si>
  <si>
    <t>10.14217/9781848591561-7-en</t>
  </si>
  <si>
    <t>6c1f5aea016e803275bc8304b47a0147</t>
  </si>
  <si>
    <t>Following a typical banking model may not be sufficient to cater to the financial and non-financial needs of unbanked women. Savings and credit products need to be fine-tuned to cater to the various lifecycle needs of women, such as children’s education, a daughter’s marriage or long-term saving for old age and medical emergencies. While savings and credit products remain the most important pillars for a women-owned/ managed SACO, other services such as financial literacy awareness programmes, insurance services or pension products can also be delivered through the same co-operative banking channel, if regulatory institutions permit such product offering. Although the grass-roots women owners and senior managers of the SACO need to be mentored and trained in the initial years, it is necessary to let them lead and choose the path for the organisation once they have matured in their leadership roles. As their sense of ownership increases, the women become more involved in runningthese enterprises. Grass-roots women are more aware of the key challenges that plague poor women clients.</t>
  </si>
  <si>
    <t>09fc4d592aa2455c6f662a78a77379e1</t>
  </si>
  <si>
    <t>The part of the brain primarily responsible for the detection of, and reaction to, a threat is called the amygdala. Threat detection and survival is given priority over all other brain functions. The human system will respond to the perceived threat in one or more of five predictable ways: friend, fight, fright, freeze and/or flop.</t>
  </si>
  <si>
    <t>6d49772b7e0bfae5e119cc583570a9d2</t>
  </si>
  <si>
    <t>Adopted in March 2007 by a group of human rights experts convened by the International Commission of Jurists and the I nternational Service for H u ma n Rights on beha If of a coa I i-tion of human rights organizations. From these developments, it is evident that States have a positive duty to prevent, protect and punish cases of violence even when the harm takes place within the family. In its General Recommendation No.</t>
  </si>
  <si>
    <t>259637989620bd5f167fc67894ccc7c9</t>
  </si>
  <si>
    <t>Successful programmes, she says, provide timely, sufficient and scientific information, tailored to the needs of each age group. “ Evaluation studies have shown that sex education has an impact in delaying the age at the first sexual intercourse, in increasing the use of contraception methods and condoms, and in decreasing the levels of violence against young girls,” she says. “ The above implies the reduction of early and unwanted pregnancies, and the decrease of HIV/AIDS.” It looks at the decisions that individuals make—or would like to make, if they had the opportunity.</t>
  </si>
  <si>
    <t>10.1787/7ddddd07-en</t>
  </si>
  <si>
    <t>db3642428aed20e21239f80b89d96d02</t>
  </si>
  <si>
    <t>Recent studies of high growth start-ups in the United States find that only 10-15% of them are founded by women (Brush etal., Looking more specifically at start-up funding, several studies have shown that women are extremely under-represented among venture-backed entrepreneurs in the United States. Gompers and Wang (2017[i2]) find that just 10.7% of US venture-backed founders were women from 2010-2015. 2014(H)) estimate the number to be 15% using data from 2011-2013.</t>
  </si>
  <si>
    <t>b543ea0cea2c54404f4f83e1fd619f27</t>
  </si>
  <si>
    <t>Women are generally as active as men in cash crop production, often providing the bulk of labour on contracted farms. There are, however, important gender differences in control over the commercial proceeds (men are contracted, while women supply unpaid family labour) and in the scale of operations (due to the constraints women face on increasing sales of their produce). Global Employment Trends 2014: supporting data sets: Employment by status and sex (http://www.ilo.org/legacy/english/geiy2014/GET_sector_share.xlsx) (accessed July 2015). Note: Data for the following countries are unavailable: Djibouti, Kiribati, Sao Tome and Principe, South Sudan, Sudan (Former), Timor-Leste, Tuvalu and Vanuatu. Evidence from a number of studies points to similar dynamics in both traditional export sectors (e.g. cocoa, coffee and tea) and non-traditional exports (e.g. fruit, horticulture and flowers).</t>
  </si>
  <si>
    <t>10.18356/c93219ca-en</t>
  </si>
  <si>
    <t>9912d14c0ab6c021c89160b486b1d27d</t>
  </si>
  <si>
    <t>The section then presents current practices to promote access to sexual and reproductive health and reproductive rights for persons with disabilities, before concluding with recommendations for the way forward. Target 5.6, which is placed under the goal calling for gender equality and empowerment of all women and girls, calls for ensuring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 The CPRD is the first Convention to explicitly recognize the need for sexual and reproductive health for persons with disabilities. Article 25 underscores the need to provide persons with disabilities with the same range, quality and standard of free or affordable sexual and reproductive health care and programmes as provided to other persons.</t>
  </si>
  <si>
    <t>10.18356/5f92f30f-en</t>
  </si>
  <si>
    <t>15ef01a67332f8f91841d700c1bafbf3</t>
  </si>
  <si>
    <t>Emergency contraception is a method to prevent pregnancy within five days of unprotected intercourse, failure or misuse of a contraceptive (such as a forgotten pill), rape or coerced sex. It disrupts ovulation and reduces the likelihood of pregnancy by up to 90 per cent. It cannot prevent implantation of a fertilized egg, harm a developing embryo or end a pregnancy. Even in countries where emergency contraception is available, adolescents may be reluctant to obtain it from traditional health outlets, such as clinics, which may be staffed by judgmental providers. The initiative trained pharmacy staff and peer educators to provide accurate, up-to-date information on emergency contraception and other reproductive health services.</t>
  </si>
  <si>
    <t>10.18356/8a6d677c-en</t>
  </si>
  <si>
    <t>ed20f3ece97567ca70521b9a806d9ba1</t>
  </si>
  <si>
    <t>For each spotlight, pressing data gaps and measurement challenges are also highlighted. These supplemental indicators were selected based on an open consultation with civil society organizations and inputs from other international experts (see Box 3.1). Respondents, including international agencies and civil society organizations, submitted suggestions for additional indicators, along with information on their relevance and, where possible, data sources and how often the data are produced. The recommendations included, for instance, monitoring the "average weekly time spent by women and girls on water collection" for Goal 6 and the "share of women aged 15-49 whose BMI [body mass index] is less than 18.5 (underweight)" for Goal 2.</t>
  </si>
  <si>
    <t>c668a492db5a964d3b747b541f4eaa0e</t>
  </si>
  <si>
    <t>Again, the private sector would provide the bulk of credit, but it would be characterized by low interest rates leveraged with government loan guarantees. The real targeting approach might also be complemented by other policies, such as capital management techniques to deal with possible capital flight (discussed in more detail below). These loan guarantees substitute for collateral, leveraging access to credit and potentially bringing informal sector businesses into the formal sector.</t>
  </si>
  <si>
    <t>10.18356/70095f8a-en</t>
  </si>
  <si>
    <t>3557e13e2d3c31da34ba81b195b13145</t>
  </si>
  <si>
    <t>Key elements to achieve this are: empowering client communities to become active parties in decision-making instead of considering them mere subjects of consultations, incorporating information feedback loops to avoid knowledge being reserved for a selected few, and ensuring accountability at a personal, individual level so that policies, strategic plans, budgets, performance management systems and individual accountability and responsibility are all aligned. Finally, students and their families, users, affected groups, communities and taxpayers must play an integral part in defining the parameters and systems of monitoring and evaluation. In South Africa, although there seems to be higher educational achievement, many observers question the quality of education received in state schools, asking whether the pass rate actually reflects students’ learning achievements. A recent court judgment finding the Government in contempt of court for ignoring earlier court orders to provide textbooks for schoolchildren appears to support this argument (Nkosi, 2012).</t>
  </si>
  <si>
    <t>10.1787/5k8xb6hw1wjf-en</t>
  </si>
  <si>
    <t>c220beceff9bca5dfa440eb2842a49f4</t>
  </si>
  <si>
    <t>However, a cash-for-care payment may be made to parents taking care of a child until he/she reaches his or her third birthday. In Sweden, a municipal child-raising allowance (“vardnadsbidrag”) was reinstituted since 2008 on top of the statutory period of leave. Since 2009, the country’s municipalities have been able to choose whether or not to allocate benefit to parents with a child of between one and three years old who do not use publicly funded childcare services and who have already used 250 days of parental leave to care for the child.</t>
  </si>
  <si>
    <t>recognizing unpaid care work</t>
  </si>
  <si>
    <t>68bb5eab1e1f88a44ec3334d96430377</t>
  </si>
  <si>
    <t>In this way, the Council harmonises strategies of relevant organisations and provides for transfer of information and a sharing of resources. Additionally, there are extended plenary meetings twice per year with the mandate of nurturing political leadership. The CEO oversees the technical task teams for programmes (i.e. policy and legislation, research, prevention), monitoring and evaluation, administration, communication and resource mobilisation teams.</t>
  </si>
  <si>
    <t>10.18356/9c9efe4c-en</t>
  </si>
  <si>
    <t>32f44f50fcc3f9dfccaa4a22c0e4013f</t>
  </si>
  <si>
    <t>According to the United Nations Environment Programme (UNEP), which launched its Green Economy Initiative in 2008, a green economy is one that results in improved human well-being and social equity, while significantly reducing environmental risks and ecological scarcities, it is low-carbon, resource-efficient and socially inclusive (UNEP, 2011). This general definition integrates economic, social and environmental concerns in ways akin to sustainable development. Yet in practice, as the World Survey shows, there are many versions of green economy thinking. It is argued that the emerging green technology economy will be worth $4.2 trillion annually by 2020.’3 Other strands emphasize market-based approaches to environmental protection through financial valuation of natural capital, payments for ecosystem services and schemes for trading carbon and biodiversity credits and offsets.</t>
  </si>
  <si>
    <t>10.18356/8e0dd871-en</t>
  </si>
  <si>
    <t>dacdf4451bcdcd917e1f922f2349752f</t>
  </si>
  <si>
    <t>Target 3.7 calls for universal access to sexual and reproductive health care services (including family planning), information and education, which would help to prevent adolescent childbearing and unintended pregnancies. Globally, childbearing among adolescents declined by 21 per cent between 2000 and 2015. Central and Southern Asia made the greatest progress: the region reduced the adolescent birth rate by more than 50 per cent, largely due to advances in Southern Asia.</t>
  </si>
  <si>
    <t>46085ee4d03cb4e81ad600c2469e9814</t>
  </si>
  <si>
    <t>A growing proportion of initiation ceremonies are being devised by Christian groups to teach young people about what is expected of them as they enter adulthood - including pre-marital sexual abstinence - as an alternative to the alleged sexual focus of teaching in traditional practice (Munthali, 2007). Ncaca, 2014).The last decade has seen increasing public debate about whether and how male circumcision should be continued following media reports of problems including commercialisation, malpractice by guardians, and deaths or permanent injury from botched circumcision (Ntombana, 2011b). However, studies also report the beneficial role of circumcision against sexually transmitted infections (Lagarde et al.,</t>
  </si>
  <si>
    <t>10.14217/9781848599451-18-en</t>
  </si>
  <si>
    <t>b7da16da7c29f33f10e1938d32ceb20f</t>
  </si>
  <si>
    <t>This assistance is designed to help people cope with their trauma, provide strategies for protecting themselves and their families, and make the necessary plans to achieve safety and stability. The minister emphasised the need for collaboration and co-operation at the national, community and individual levels in order to reduce and abate GBV, calling for a holistic approach that went beyond the government to include churches, NGOs, trade unions, the healthcare sector and others. These include (but are not limited to): lack of special DVUs or mechanisms, inadequate psychological support services for abusers, lack of legal aid services and victim support programmes, insufficient shelter, psychological and legal counselling and education support services, lack of sufficient preparation by healthcare providers to collect and present medical/legal evidence, lack of sufficient co-ordination between the medical, law enforcement, social services and justice sectors, and prevalence of stigma, discrimination, victim blaming and gender inequality.</t>
  </si>
  <si>
    <t>10.18356/ea56e86b-en</t>
  </si>
  <si>
    <t>75c1fd7e470a6f66ae0657eb63a63c40</t>
  </si>
  <si>
    <t>Let us shift the focus away from mutilation to education," the Secretary-General said at a special event in February 2016 marking the 2030 commitment. " Let us make a world where FGM stands for Focus on Girls’ Minds. To fast-track progress, in March 2016, UNFPA and UNICEF launched the Global Programme to Accelerate Action to End Child Marriage.</t>
  </si>
  <si>
    <t>not specifically about women</t>
  </si>
  <si>
    <t>not specific enough to be about women</t>
  </si>
  <si>
    <t>Not sure. It's more about youth in general rather than girls</t>
  </si>
  <si>
    <t>About different preference in financial decison between men-women. Not really about inequality yet.</t>
  </si>
  <si>
    <t>Can eventually be extrapolated to women vs men work opportunity. But this is not explicit here.</t>
  </si>
  <si>
    <t>Assuming that caregivers are likely to be women. Could also be false.</t>
  </si>
  <si>
    <t>Assuming that caregivers and domestic workers are likely to be women. Could also be false.</t>
  </si>
  <si>
    <t>Not sure. Child care benefits are usually linked to women work opportunity. But this is not explicitly stated here.</t>
  </si>
  <si>
    <t>TO DO</t>
  </si>
  <si>
    <t>it mentions that women spend more time on caring but not how this is unfair or should be dealth with</t>
  </si>
  <si>
    <t>it mentions that women are less likely entrepeneurs, but now whether (and how) this would be increased. but extremely underrepresented has a negative connotation</t>
  </si>
  <si>
    <t>promote gender equality via website</t>
  </si>
  <si>
    <t>most about parents, not on how this ensures equality between genders. just a remark about high working hours among german women</t>
  </si>
  <si>
    <t>while women protest, it doesnt say anything about inequality between women and men</t>
  </si>
  <si>
    <t>child marriage policy</t>
  </si>
  <si>
    <t>does not say anything about how women might benefit</t>
  </si>
  <si>
    <t>policy to protect girls</t>
  </si>
  <si>
    <t>fact statement diff migrants women and men</t>
  </si>
  <si>
    <t>doesnt say how women in STEM will be increased</t>
  </si>
  <si>
    <t>end harmful practice</t>
  </si>
  <si>
    <t>a bit implicit, because nothing is proposed to create equality</t>
  </si>
  <si>
    <t>doesnt say how unpaid domestic work will be more equally distributed</t>
  </si>
  <si>
    <t>about migration among women, not about equality</t>
  </si>
  <si>
    <t>not about women per se</t>
  </si>
  <si>
    <t>policy ideas for achieving gender equality? eventhough also related to other goals?</t>
  </si>
  <si>
    <t>gendered representative stresses that the policy needs to reduce gender inequality, or is this merely implied?</t>
  </si>
  <si>
    <t>tthe examples show that the inequality mentioned in frist sentence relates to gender inequalty</t>
  </si>
  <si>
    <t>trafficking is referred to, and in 2nd sentence that this applies to trafficking of women. so for rest of text it is implied about women?</t>
  </si>
  <si>
    <t>access to reproductive health, but only implied for gender equality?</t>
  </si>
  <si>
    <t>reproductive health, implied to benefit gender equality</t>
  </si>
  <si>
    <t>not specifically about gender inequality, it treats vulnerability of youth</t>
  </si>
  <si>
    <t>about sex health, women are implied to suffer from men who cheat and get diseases</t>
  </si>
  <si>
    <t>is tthis about the targets, or just personal story? no reference to policy or measure to protect women</t>
  </si>
  <si>
    <t>5.a</t>
  </si>
  <si>
    <t>mentions discrimination based on (for example) gender, linking to 5.1</t>
  </si>
  <si>
    <t>Links to active participation and leadership of women (5.5)</t>
  </si>
  <si>
    <t>vaguely linked to 5.a on women ownership and access to economic resources</t>
  </si>
  <si>
    <t>would link to 5.3 on eliminating harmful practices, but indicators explicitly mention women and not men</t>
  </si>
  <si>
    <t>not specifically linked to any gender-related aspects</t>
  </si>
  <si>
    <t>gender-based violence</t>
  </si>
  <si>
    <t>too vague of a link, just saying that analytical lens needs to be gender-sensitive is not enough</t>
  </si>
  <si>
    <t>links also to 5.6</t>
  </si>
  <si>
    <t>links to 5.4 but does not mention gender-specific issue in the context of unpaid domestic work, but 5.4 does not have gender-specific focus</t>
  </si>
  <si>
    <t>missing actual call to action on 5.4</t>
  </si>
  <si>
    <t>5.3, though no direct sentiment/call to action, it's just a definition#</t>
  </si>
  <si>
    <t>no direct gender-related reference</t>
  </si>
  <si>
    <t>again more on general definition than call to action or sentiment</t>
  </si>
  <si>
    <t>missing call to action or specific link to a target</t>
  </si>
  <si>
    <t>no direct link to objectives of SDG 5</t>
  </si>
  <si>
    <t>In theory clearly linked to 5.2, but the gender-reference is missing</t>
  </si>
  <si>
    <t>no direct link to SDG5 objectives</t>
  </si>
  <si>
    <t>no gender ref</t>
  </si>
  <si>
    <t>5.b</t>
  </si>
  <si>
    <t>5.2 and 5.3</t>
  </si>
  <si>
    <t xml:space="preserve">relates more to discrimination based on ethnicity rather than gender? </t>
  </si>
  <si>
    <t>access to economic rresources</t>
  </si>
  <si>
    <t>Assuming it refers to SA's NREG programme it is a: "gender neutral programme which promotes participation of women by providing wage parity with men, provision of separate schedule of rates of wages for women, facilities for crèche, work-side sheds for children, and child care services."</t>
  </si>
  <si>
    <t>not specifically gender-focused</t>
  </si>
  <si>
    <t>not gender-specific</t>
  </si>
  <si>
    <t>no direct gender ref</t>
  </si>
  <si>
    <t>vaguely links to access to reproductive and sexual health</t>
  </si>
  <si>
    <t>not specifically linked to SDG 5 objectives</t>
  </si>
  <si>
    <t>GBV 5.2</t>
  </si>
  <si>
    <t>not clear what kind of discrimination against whom</t>
  </si>
  <si>
    <t>too weak of a link to 5.4</t>
  </si>
  <si>
    <t>just gender-aggregated statistics, no link to SDG 5 targets</t>
  </si>
  <si>
    <t xml:space="preserve">harmful practices mentioned under 5.3, though not gender-specific? </t>
  </si>
  <si>
    <t>missing gender dimension</t>
  </si>
  <si>
    <t>doi</t>
  </si>
  <si>
    <t>text_id</t>
  </si>
  <si>
    <t>text</t>
  </si>
  <si>
    <t>sdg</t>
  </si>
  <si>
    <t>labels_negative</t>
  </si>
  <si>
    <t>labels_positive</t>
  </si>
  <si>
    <t>labels_total</t>
  </si>
  <si>
    <t>agreement</t>
  </si>
  <si>
    <t>label</t>
  </si>
  <si>
    <t>difficulty</t>
  </si>
  <si>
    <t>selection reason</t>
  </si>
  <si>
    <t>medium</t>
  </si>
  <si>
    <t>random selection</t>
  </si>
  <si>
    <t>target 5.6</t>
  </si>
  <si>
    <t>easy</t>
  </si>
  <si>
    <t>manual selection</t>
  </si>
  <si>
    <t>very hard</t>
  </si>
  <si>
    <t>target 5.a</t>
  </si>
  <si>
    <t>target 5.b</t>
  </si>
  <si>
    <t>target 5.5</t>
  </si>
  <si>
    <t>target 5.c</t>
  </si>
  <si>
    <t>very easy</t>
  </si>
  <si>
    <t>hard</t>
  </si>
  <si>
    <t>target 5.3</t>
  </si>
  <si>
    <t>target 5.4</t>
  </si>
  <si>
    <t>UNDECIDED</t>
  </si>
  <si>
    <t>target 5.1</t>
  </si>
  <si>
    <t>target 5.2</t>
  </si>
  <si>
    <t>Group</t>
  </si>
  <si>
    <t>Alignment</t>
  </si>
  <si>
    <t>Comments</t>
  </si>
  <si>
    <t>Consensus</t>
  </si>
  <si>
    <t>Rationale</t>
  </si>
  <si>
    <t>Notes</t>
  </si>
  <si>
    <t/>
  </si>
  <si>
    <t>- Meike: about sex health, women are implied to suffer from men who cheat and get diseases
- Steve: not specifically linked to SDG 5 objectives</t>
  </si>
  <si>
    <t>- Steve: vaguely linked to 5.a on women ownership and access to economic resources</t>
  </si>
  <si>
    <t>women's economic inclusion falls under target 5.a</t>
  </si>
  <si>
    <t>- Steve: would link to 5.3 on eliminating harmful practices, but indicators explicitly mention women and not men</t>
  </si>
  <si>
    <t>sexual and reproductive rights and health falls under target 5.6</t>
  </si>
  <si>
    <t>- Gib: not specifically about women</t>
  </si>
  <si>
    <t>fertility policy is not about SDG 5, more about demographics</t>
  </si>
  <si>
    <t>- Finn: reproductive rights</t>
  </si>
  <si>
    <t>- Gib: Not sure. It's more about youth in general rather than girls
- Meike: not specifically about gender inequality, it treats vulnerability of youth</t>
  </si>
  <si>
    <t>- Meike: tthe examples show that the inequality mentioned in frist sentence relates to gender inequalty</t>
  </si>
  <si>
    <t>- Finn: not specific to gender</t>
  </si>
  <si>
    <t>- Meike: it mentions that women spend more time on caring but not how this is unfair or should be dealth with
- Steve: missing actual call to action on 5.4</t>
  </si>
  <si>
    <t>- Meike: policy to protect girls</t>
  </si>
  <si>
    <t>- Finn: not specific to gender; but neither is the target
- Gib: Assuming that caregivers are likely to be women. Could also be false.</t>
  </si>
  <si>
    <t>- Steve: again more on general definition than call to action or sentiment</t>
  </si>
  <si>
    <t>- Meike: not about women per se
- Steve: no gender ref</t>
  </si>
  <si>
    <t>- Gib: About different preference in financial decison between men-women. Not really about inequality yet.
- Steve: no direct link to SDG5 objectives</t>
  </si>
  <si>
    <t>- Steve: not specifically linked to any gender-related aspects</t>
  </si>
  <si>
    <t>- Meike: doesnt say how women in STEM will be increased</t>
  </si>
  <si>
    <t>- Steve: no direct gender-related reference</t>
  </si>
  <si>
    <t>- Finn: Target 3.1
- Meike: is tthis about the targets, or just personal story? no reference to policy or measure to protect women
- Steve: vaguely links to access to reproductive and sexual health</t>
  </si>
  <si>
    <t>- Meike: while women protest, it doesnt say anything about inequality between women and men
- Steve: Links to active participation and leadership of women (5.5)</t>
  </si>
  <si>
    <t>- Finn: VAWG = violence against women and girls
- Gib: VAWG = violence against women and girls
- Steve: GBV 5.2</t>
  </si>
  <si>
    <t>- Steve: no direct gender ref</t>
  </si>
  <si>
    <t>- Finn: not specific to gender
- Steve: not clear what kind of discrimination against whom</t>
  </si>
  <si>
    <t>- Steve: 5.6</t>
  </si>
  <si>
    <t>- Steve: missing call to action or specific link to a target</t>
  </si>
  <si>
    <t>- Meike: most about parents, not on how this ensures equality between genders. just a remark about high working hours among german women</t>
  </si>
  <si>
    <t>- Meike: reproductive health, implied to benefit gender equality
- Steve: 5.6</t>
  </si>
  <si>
    <t>- Meike: a bit implicit, because nothing is proposed to create equality
- Steve: just gender-aggregated statistics, no link to SDG 5 targets</t>
  </si>
  <si>
    <t>- Meike: end harmful practice
- Steve: 5.2 and 5.3</t>
  </si>
  <si>
    <t>- Meike: promote gender equality via website
- Steve: 5.b</t>
  </si>
  <si>
    <t>- Finn: recognizing unpaid care work
- Gib: Not sure. Child care benefits are usually linked to women work opportunity. But this is not explicitly stated here.
- Meike: does not say anything about how women might benefit
- Steve: too weak of a link to 5.4</t>
  </si>
  <si>
    <t>- Gib: not specific enough to be about women</t>
  </si>
  <si>
    <t xml:space="preserve">- Meike: fact statement diff migrants women and men
- Steve: relates more to discrimination based on ethnicity rather than gender? </t>
  </si>
  <si>
    <t>- Meike: gendered representative stresses that the policy needs to reduce gender inequality, or is this merely implied?
- Steve: too vague of a link, just saying that analytical lens needs to be gender-sensitive is not enough</t>
  </si>
  <si>
    <t>- Steve: 5.b</t>
  </si>
  <si>
    <t>- Finn: Mahatma Gandhi National Rural Employment Guarantee Scheme (MGNREGS); indirect benefit only?
- Steve: Assuming it refers to SA's NREG programme it is a: "gender neutral programme which promotes participation of women by providing wage parity with men, provision of separate schedule of rates of wages for women, facilities for crèche, work-side sheds for children, and child care services."</t>
  </si>
  <si>
    <t>- Meike: about migration among women, not about equality
- Steve: no direct link to objectives of SDG 5</t>
  </si>
  <si>
    <t>- Steve: In theory clearly linked to 5.2, but the gender-reference is missing</t>
  </si>
  <si>
    <t>- Steve: gender-based violence</t>
  </si>
  <si>
    <t>- Steve: mentions discrimination based on (for example) gender, linking to 5.1</t>
  </si>
  <si>
    <t>- Steve: links also to 5.6</t>
  </si>
  <si>
    <t>- Meike: it mentions that women are less likely entrepeneurs, but now whether (and how) this would be increased. but extremely underrepresented has a negative connotation</t>
  </si>
  <si>
    <t>- Meike: policy ideas for achieving gender equality? eventhough also related to other goals?</t>
  </si>
  <si>
    <t>- Steve: access to economic rresources</t>
  </si>
  <si>
    <t>- Steve: 5.3, though no direct sentiment/call to action, it's just a definition#</t>
  </si>
  <si>
    <t>- Meike: doesnt say how unpaid domestic work will be more equally distributed</t>
  </si>
  <si>
    <t>- Steve: 5.a</t>
  </si>
  <si>
    <t>- Meike: trafficking is referred to, and in 2nd sentence that this applies to trafficking of women. so for rest of text it is implied about women?
- Steve: 5.2</t>
  </si>
  <si>
    <t>- Finn: not specific to gender?
- Gib: not specifically about women
- Steve: missing gender dimension</t>
  </si>
  <si>
    <t>- Steve: 5.4</t>
  </si>
  <si>
    <t xml:space="preserve">- Meike: child marriage policy
- Steve: harmful practices mentioned under 5.3, though not gender-specific? </t>
  </si>
  <si>
    <t>- Finn: not specific to gender; but neither is the target</t>
  </si>
  <si>
    <t>- Gib: Assuming that caregivers and domestic workers are likely to be women. Could also be false.
- Steve: links to 5.4 but does not mention gender-specific issue in the context of unpaid domestic work, but 5.4 does not have gender-specific focus</t>
  </si>
  <si>
    <t>unpaid care works falls under target 5.4</t>
  </si>
  <si>
    <t>- Steve: not gender-specific</t>
  </si>
  <si>
    <t>- Finn: this is indirectly limiting women's ability to take leadership roles
- Gib: Can eventually be extrapolated to women vs men work opportunity. But this is not explicit here.</t>
  </si>
  <si>
    <t>- Meike: access to reproductive health, but only implied for gender equality?
- Steve: not specifically gender-focused</t>
  </si>
  <si>
    <t>id</t>
  </si>
  <si>
    <t>osdg_text_id</t>
  </si>
  <si>
    <t>comment</t>
  </si>
  <si>
    <t>The Inter-Departmental Co-ordination Group assumes responsibility for: promoting co-operation between ministries, adopting a federal plan of action, preparing an intermediary' report and a final report at the end of the term, and exchanging good practices and promoting instruments useful to enforcing the law. The representatives of the ministries participating in the co-ordination group are also appointed as gender focal points in their respective entities. They receive compulsory training on gender mainstreaming and are tasked with ensuring follow-up on the diverse measures foreseen by the law (e.g, gender statistics, gender-responsive budgeting and the “gender test”).</t>
  </si>
  <si>
    <t>removed unnecessary quotation mark</t>
  </si>
  <si>
    <t>Country Group 4: France, Iceland, Norway and Sweden Source: OECD calculations based on European Union Statistics on Income and Living Conditions (EU SILC) 2012. Country' Group 2: Italy, Greece, Spain, Portugal, Lithuania, Poland and Slovenia. Country Group 3: the Czech Republic, Estonia, Finland, Hungary, Latvia and the Slovak Republic.</t>
  </si>
  <si>
    <t>fixed typo "Country"</t>
  </si>
  <si>
    <t>The work is regarded as voluntary, and working conditions are casual. In the case of South Africa, the pay levels of ECEC workers do not allow them to move out of poverty. Sometimes ECEC workers enrol in training, topping up their incomes with the EPWP stipend. However, when the training ends, they have higher skills but the same remuneration as before. Poor worker remuneration is also common in ECEC programmes in other African countries, like those reviewed in Kenya95 and Nigeria. Improvements in national legislation in South Africa and Uruguay, and the ratification of the ILO’s Domestic Workers Convention (No.</t>
  </si>
  <si>
    <t>removed line numbers from text</t>
  </si>
  <si>
    <t>However, the larger agenda of recognition of the care needs of migrants and valuation of social reproduction as a central axis of the analysis of migration would require the tough political challenge of transformative, universalized access to childcare services in both Australia and Lebanon that is delinked from parents' income levels,from productivist assumptions (as in Australia) and from parents' migrant status (as in Lebanon). Power, production and social reproduction: Human in/security in the global political economy. In Transnational Families, Migration and the Circulation of Care: Understanding Mobility and Absence in Family Life, edited by Loretta Baldassar and Laura Merla.</t>
  </si>
  <si>
    <t>added missing whitespaces</t>
  </si>
  <si>
    <t>Even software engineers argue that programming errors are more likely to occur (and take longer to fix) after long hours, despite the tech industry’s glorification of seemingly endless workdays (Robinson, 2005). Working-hour legislation and the legal right to request flexible working arrangements have historically helped protect workers. However, real change needs to occur in organisational culture and practice.</t>
  </si>
  <si>
    <t>fixed typo "industry"</t>
  </si>
  <si>
    <t>If all those reforms happened in a particularly rigid state - as it is likely to be the case, it is highly probable that employment will still suffer from this former rigidity. It will then introduce a negative bias in the evaluation. A positive value means a pro-worker state’s legislation (often tied to institutional rigidity) and a negative value means pro-employer legislation (more liberal). Conversely to labor reform’s index we do not have this index for every state.</t>
  </si>
  <si>
    <t>fixed grammar</t>
  </si>
  <si>
    <t>Gender Equality Observatory of Latin America and the Caribbean: Annual Report 2012-A Look at Grants, Support and Burden for Women. Santiago, Chile: ECLAC. Accessed 14 September 2017, https://www.cepa!. The Impact of Conditional Cash Transfer Programs on the Time Allocation of Beneficiaries: The Case of ’Oportunidades’ Program in Mexico."</t>
  </si>
  <si>
    <t>added missing whitespace</t>
  </si>
  <si>
    <t>In terms of context, these CoSOs may precede the eruption of conflict, may deal with issues not relating to the conflict (in Israel and Turkey for example) or may be established as a result of the conflict (in Bosnia, Cyprus and Turkey). In terms of identity, the vast majority of these CoSOs are civic, post-national or multicultural. In terms of FOA the organizations work on issues directly relating to the conflict, but also on political issues that do not relate strictu sensu to the conflict.</t>
  </si>
  <si>
    <t>fixed typo "Turkey</t>
  </si>
  <si>
    <t>Following a typical banking model may not be sufficient to cater to the financial and non-financial needs of unbanked women. Savings and credit products need to be fine-tuned to cater to the various lifecycle needs of women, such as children’s education, a daughter’s marriage or long-term saving for old age and medical emergencies. While savings and credit products remain the most important pillars for a women-owned/ managed SACO, other services such as financial literacy awareness programmes, insurance services or pension products can also be delivered through the same co-operative banking channel, if regulatory institutions permit such product offering. Although the grass-roots women owners and senior managers of the SACO need to be mentored and trained in the initial years, it is necessary to let them lead and choose the path for the organisation once they have matured in their leadership roles. As their sense of ownership increases, the women become more involved in running these enterprises. Grass-roots women are more aware of the key challenges that plague poor women clients.</t>
  </si>
  <si>
    <t>There is a lot that companies can do to prevent long hours. The overarching goal is to adjust workplace culture so that managers prioritise tasks, time management, and efficient output rather than time in the office. Leaders must recognise that working long hours is not necessary for high-quality work and may even prevent it.</t>
  </si>
  <si>
    <t>fixed typo "necessary"</t>
  </si>
  <si>
    <t>Dina</t>
  </si>
  <si>
    <t>Result</t>
  </si>
  <si>
    <t>OSDG Community</t>
  </si>
  <si>
    <t>Difficulty</t>
  </si>
  <si>
    <t>Accurate</t>
  </si>
  <si>
    <t>00481f7457e44697cbe4fbbf0bff4330</t>
  </si>
  <si>
    <t>The modern State was founded on a sharp separation between the public and private spheres and on a hierarchical gender order. Politicizing the private (in the twofold sense of making it an object of policy and conceiving it as a space of power and negotiation) is part of the equality agenda we are proposing here. This is an extreme expression of discrimination against women and of their lack of autonomy, not only physical autonomy, but also economic and decision-making autonomy. Violence against women cannot be analysed and tackled in isolation, but must be considered bound up with the economic, social and cultural inequality that operate in the power relations between men and women, which are in turn mirrored in inequality of resources in the private and public domains and are directly related to the unequal distribution of labour, especially unpaid domestic work.</t>
  </si>
  <si>
    <t>00ceed0d4ec969b70e475c613be65c80</t>
  </si>
  <si>
    <t>One wants an institution in which the developing countries have more voice than say the World Bank, and one wants an institution that is less committed to the neoclassical model (in which there is no unemployment) and more committed to development. The GTF could also compensate developing countries in the case of other trade violations (including for already existing rights) where it is determined existing enforcement mechanisms are inadequate, e.g. because the implementation of such sanctions would impose significant costs on the developing country. The gains in ‘equity’ from such targeted taxation have to be balanced against the resulting distortions, which given the proposed rates are likely to be very small.</t>
  </si>
  <si>
    <t>02b8877817cd13051521cc3677b997f5</t>
  </si>
  <si>
    <t>Commodity assets managed by financial investors have increased over the past decade from less than $10 billion to $404 billion in June 2012. Loose monetary policies of the developed world, most notably quantitative easing (QE) in the United States, along with the unwillingness of governments to regulate participants in commodity markets, have continued to draw excess funds to the commodities markets due to the markets’ comparatively high expected returns. The presence of financial investors, betting on an increase in fundamental prices due to supply shortages, serves to exaggerate price increases.</t>
  </si>
  <si>
    <t>033a1be7794b888cc99233128e5348c6</t>
  </si>
  <si>
    <t>Nonetheless, South Africa’s changing population shares imply that a policy focus on race-based redistribution will become increasingly limited in the future as the foundation for further broad-based social development. Rather, it would seem that a more dynamically sustainable direction lies in addressing seriously the increasing inequality within each race group. However, before w,e proceed to this discussion of social spending, Chapter 2 interrogates and adds to the review of post-Apartheid inequality and poverty of this first chapter by comparing the empirical picture of poverty and inequality from three national household survey data sets from 1993, 2000 and 2008. Careful attention is given to making these data sets as consistent as possible.</t>
  </si>
  <si>
    <t>033c59b8b7bf0a1c254c95299e16e02a</t>
  </si>
  <si>
    <t>Intergenerational earnings mobility is low in countries with high inequality such as Italy, the United Kingdom, and the United States, and much higher in the Nordic countries, where income is distributed more evenly (OECD, 2008). The resulting inequality of opportunity will inevitably impact economic performance as a whole, even if the relationship is not straightforward. Inequality also raises political challenges because it breeds social resentment and generates political instability. It can also fuel populist, protectionist, and anti-globalisation sentiments.</t>
  </si>
  <si>
    <t>03ac42348183681d47ff5f7c3e33aee0</t>
  </si>
  <si>
    <t>Policy reforms enacted in the early and mid 1990s reduced income gaps at the bottom to below their 1978 value (as measured by the p50/p10 ratio, not reported here). But no equalising effects of policies could be discerned for the upper part of the distribution (p90/p50 ratio). For the period as a whole, tax policy changes appear to have slightly exacerbated trends towards widening income gaps at the top. The interpretation is that the tax system in the mid-2000s would have been somewhat more redistributive if policy makers had implemented no reform at all and had, instead, simply adjusted all monetary tax parameters in line with inflation.</t>
  </si>
  <si>
    <t>0445bf82b3b36a1e622e74e253bb1cd2</t>
  </si>
  <si>
    <t>The employment services for college graduates should be strengthened and the assistance system for college graduates from poor families should be improved. Enterprises are encouraged to keep more migrants. Those having financial difficulties can adopt flexible employment, elastic working times and on-the-job training to stabilise jobs.</t>
  </si>
  <si>
    <t>056fe6375457163efc2881eceed67a4b</t>
  </si>
  <si>
    <t>To assist in this undertaking, OHCHR developed "Guidelines for national plans of action for human rights education". I, Programme of Action, para. Starting from the recognition of the State's current situation, a national action plan against racial discrimination constitutes a comprehensive programme of activities aimed at progressively bringing about improvements in the promotion of racial equality.</t>
  </si>
  <si>
    <t>0aa8154dba5b223ce10f365518c2ae07</t>
  </si>
  <si>
    <t>From a methodological perspective, one reason for not finding any significant effects may be that the state-level analysis presented here does not provide sufficient variation in the supply of Seguro Popular over time. However, further analysis reported in Del Valle et al. ( A more important reason for not finding any significant effects may be that there is substantial heterogeneity in the impact of Seguro Popular across different groups of workers or that the impact of Seguro Popular is only concentrated in a specific segment of the workforce.</t>
  </si>
  <si>
    <t>0ecf88bd9d1e21ec8849d172310851af</t>
  </si>
  <si>
    <t>The World Bank estimates the figure to be between 26% and 43%, depending on the methodology used. This may explain, partly, why remittance flows were not affected by recessions in advanced countries and political developments in the Middle East. If this is the case, then a generalized slowdown in the region may adversely affect remittance flows. For the top remittance-receiving countries, such as India, China and the Philippines, remittances surpassed ODA and FDI inflows.</t>
  </si>
  <si>
    <t>12421a375c25295bedc747e9597f469c</t>
  </si>
  <si>
    <t>An ethnic group generally shares a common sense of identity and common characteristics such as language, religion, tribe, nationality, race or a combination thereof. In other cases, indigenous peoples became minorities as a result of the settlement and colonization of their native territories by other peoples. Those distinctions have important political and practical implications.</t>
  </si>
  <si>
    <t>19a1ac184539a1f248a1dfc8e759ecd9</t>
  </si>
  <si>
    <t>Thus, while limited differentiation may mean that, in the immediate term at least, regional supply chains might need to be less differentiated than most Asian supply chains (or only part of the production chain can be located in this region), the prevalence of manufactured product in regional exports also means that some basic infrastructure for the production of manufactured goods already exists in South Asia. Countries such as Bangladesh, Nepal, and Pakistan may be able to host, simultaneously, both labour-intensive assembly-type activities and more technically demanding intermediate activity across different supply chains, while India may be able to straddle all but the most technically demanding aspects of the production process. In short, it is unlikely that South Asia will replicate the ‘flying geese’ model in the classic sense, so famously attributed to East Asian industrial development.</t>
  </si>
  <si>
    <t>19df86e35fc7eb3246717bff64dec115</t>
  </si>
  <si>
    <t>The measure of wage provided refers to hourly labour cost, or gross earnings, i.e. includes labour income taxes and social security contributions as well as fringe benefits. In particular, it accounts for bonuses and executive compensation. Wage premia are calculated as the average of the wage premium for each triplet consisting of one age bracket, one education level and the gender, weighted by the number of financial sector employees in the triplet. Hence, the aggregate measure uses the relative frequency of financial sector employees in the different triplet categories.</t>
  </si>
  <si>
    <t>1a07683b888fd3838c4e12f268e0adb5</t>
  </si>
  <si>
    <t>The fall has been generated by a combination of demand and supply factors. Global oil production in excess of worldwide consumption has been the primary driving force behind the decline, while weaker-than-expected growth in Europe and Asia has also been a contributing factor (Husain et al. Additionally, there has been a broad-based weakness in non-oil commodity prices.</t>
  </si>
  <si>
    <t>1a3065312d4ebbc284558943141df896</t>
  </si>
  <si>
    <t>In other words, over the past two decades a megacity has been added every two years. Fifteen of 21 megacities are located in developing countries. Most losses were in Latin America and Africa, while there was some recovery in North America, Europe and parts of Asia. Biodiversity in the tropics is declining most dramatically, which is seen to be associated with high depletion rates of primary forests and transformation of forest into agriculture land and pasture (WWF 2010).</t>
  </si>
  <si>
    <t>1c59666e3e0f6ca62043443df5ef941a</t>
  </si>
  <si>
    <t>Recent evidence of deteriorating health indicators in mental health and infectious diseases (Box 2.6) highlight the need for maintaining critical preventive public health services, which will tend to benefit more the low-income groups who are likely to be more prone to these diseases (Karanikolos et al., Widespread tax evasion, however, distorts its distributional effects and reduces its effectiveness in terms of tax collection (Chapter 1). Based on micro-simulation analysis, Leventi and Matsaganis (2013b) conclude that the extended income underreporting (at an average rate of 12.2% in 2009), incurred mainly among self-employment, increases inequality and makes the tax system considerably more regressive (by around 32% on the basis of the difference in the value of redistribution indices under tax evasion and full compliance).</t>
  </si>
  <si>
    <t>2304f5665e08dfc6ff03eb59a63365f6</t>
  </si>
  <si>
    <t>Telecommunications operators in Sudan have difficulties trying to expand their coverage into conflict-ridden areas. Drug trafficking, terrorism and illegal immigration affect Mauritania's national security. While in Yemen, there are ongoing conflicts in some regions between the government forces and local insurgents.</t>
  </si>
  <si>
    <t>23a7ee15cd8a1d72b62d2ae6beb62646</t>
  </si>
  <si>
    <t>Estimates by Sutherland et al. ( Firstly, given the relevance of quality teaching for schooling achievements (Hanushek and Wossman, 2007, Slater et al., Individual schools should be provided with tools and incentives to hire, reward and replace teachers according to their performance. Extending these practices to Local Authority maintained schools could also increase their competitiveness relative to independent schools, academies, faith schools and Free Schools.</t>
  </si>
  <si>
    <t>2cdeb69e80eac58a792e3e3c271a1c85</t>
  </si>
  <si>
    <t>These countries have diversified their exports into tourism (particularly the island LDCs, but also Nepal) or government services (Afghanistan and Djibouti). Diversification of exports towards services has an impact on the economic vulnerability index (EVI), but does not necessarily mean structural transformation of the economy. It tends to boost income growth, but this is not necessarily associated with commensurate human development or with economic diversification.</t>
  </si>
  <si>
    <t>2d7a6bfba5a81444ced39ed343d187e2</t>
  </si>
  <si>
    <t>About 60 per cent of population in the LDCs are under 25 years of age (UNDESA 2011). Consequently, the propensity for mobility tended to be high in these countries. As a World Bank (2008) study pointed out, in 2005 almost 22 million or 2.9 per cent of the population left an LDC for overseas. However, during and after the global economic and financial crises period, the flow of migrants to the USA, a major traditional destination, as well as to other developed countries, slowed down.5 Whilst the destination of the overwhelming majority of emigrants from the Asian LDCs was found to be the developing countries, for small Pacific island LDCs the common feature was intra-regional migration. This was also true for African LDCs, where a significant number of migrant workers were destined for countries within the continent. In terms of quality, workers with higher education and professional skills tended to go more to the Organisation for Economic Co-operation and Development (OECD) countries (Docquier and Marfouk 2006, Docquier et al.</t>
  </si>
  <si>
    <t>2d7e4fc2800638a6df49715d80c51860</t>
  </si>
  <si>
    <t>Unless reversed, the mega trends sketched above suggest migratory pressures should be expected to increase substantially moving forward. International migration is bringing benefits to both countries of origin and destination, including remittances, knowledge sharing and mitigation of labour shortages. It also comes with important costs to migrants themselves and the societies they live in, as migrants often face much less secure job situations, discrimination, and less than full access to health, education and other social services, while vast migration inflows has been a source of political and social tensions in many recipient countries.</t>
  </si>
  <si>
    <t>3233f1257d210a58f1bc224b71e07d9c</t>
  </si>
  <si>
    <t>At the same time, policy decisions tended to place a greater emphasis on achieving fiscal balance, and much less than in the past on other macroeconomic or development needs. The general tendency to reduce the role of the State in the economy meant that whenever budgetary adjustment was considered necessary, it was sought through spending cuts rather than by raising additional revenue. These institutions also emphasized the need to strengthen the financial position of the public sector and reduce government interference in the allocation of resources (TDR 2006, chap. It argues that more progressive taxation can help to reduce inequality in the distribution of income and wealth without curtailing incentives to undertake investment in fixed capital, innovation and skills acquisition.</t>
  </si>
  <si>
    <t>3809f83309783b614e9efc13ae8737f4</t>
  </si>
  <si>
    <t>They believed it hindered social mobility, in that it prevented the rise of the most dynamic individuals in the society, and that it weakened economic incentives for an efficient use of labour, land and machinery.1 They also saw it as generating excessive consumption by the upper classes, contrasting with the precarious conditions of the popular masses. In their view, income inequality does not translate into stronger capital accumulation, as ostentatious consumption by the rich reduces savings. Consequently, State-led redistribution policies must seek to reduce consumption by the upper income groups in order to increase savings and direct them to capital accumulation (Prebisch, 1963, Pinto, 1970).</t>
  </si>
  <si>
    <t>40777aa446d0f4e69e0c29769c475ab4</t>
  </si>
  <si>
    <t>The settlement rate for all mediation services completed in 2011 was 80%. If no agreement can be reached, the matter is referred to the district court. Pre-trial mediation is on voluntary basis, but the court may direct the parties to mediation by order. The employee/complainant has the burden of proof except for the cases of discrimination. The ratio of settlement by mediation is about 0.1% of the entire labour cases in 2011. There is a pilot project in selected courts whereby the court will suggest mediation as an alternative to using the court.</t>
  </si>
  <si>
    <t>414267767c88951a8be0f21c1cf5fc35</t>
  </si>
  <si>
    <t>Since the financial crisis, this line of thinking has come under fire. Many now argue that stock options can promote short-term thinking among managers, who may try to boost the firm’s share price in the short run to make a quick killing, even if it hurts the firm’s long-term prospects. And these days, finance is not short of critics.</t>
  </si>
  <si>
    <t>4a4e68548fd5488b163ed981d8fb9237</t>
  </si>
  <si>
    <t>Both of these papers also conclude that the optimal generosity of UI rises in a recession, because its role in smoothing consumption for unemployed workers who are liquidity constrained becomes more important. However, this evidence must be viewed as very preliminary and weighed against the much more extensive evidence supporting a link between permanent increases in benefit generosity and duration, and increases in the equilibrium unemployment rate associated with a stable rate of inflation (the so-called “NAIRU”) (De Serres et al., In Canada, both the number of hours required to qualify for regular benefits as well as regular employment insurance (El) benefit duration automatically vary based on the unemployment rate in the region where unemployed individuals live (there are 58 economic regions across Canada). Building on the automatic features of the regular El benefit programme, a discretionary choice was made to temporarily extend El benefit duration for long-tenured workers in 2009 and 2010.54 In Israel, benefit coverage was temporarily extended through a reduced qualifying period (i.e. having worked nine out of the last 18 months instead of 12 out of 18 months) conditional on the national unemployment rate exceeding 7.5%.</t>
  </si>
  <si>
    <t>4ccf9e90754564ee7ea621b6d7dbe51e</t>
  </si>
  <si>
    <t>It is scarcely less difficult or costly to train teachers, accountants or professionals with other lost skills. Yet much of this is qualitative and not measurable. In both Samoa and Tonga, science and mathematics teachers from secondary schools are the ones most often lost, partly through migration and partly from attrition, since sciences and mathematics teachers are most easily able to find better paid jobs within the public sector. In Tonga, the loss of industrial arts and technical and vocational education and training teachers is a particular problem.</t>
  </si>
  <si>
    <t>4e6bf3d8052b79f7fe410428b1f44c7c</t>
  </si>
  <si>
    <t>However, those that raise the production costs of environmentally-harmful activities (such as the removal of some subsidies) will help to ensure that future gross domestic product (GDP) growth is on a sustainable path. In both cases reforms generate higher revenues, but only in the case of employment are they likely to significantly improve the budget balance. This is the case of policies that reduce barriers to investment (including foreign direct investments [FDI]), or that reduce private incentives to save, such as extending the coverage and level of social protection.</t>
  </si>
  <si>
    <t>537ba825bf423cb6116ce3cde881b6b6</t>
  </si>
  <si>
    <t>Several farm subsidy programmes that were seen as WTO-illegal - such as the Countercyclical Payment Program and the Average Crop Revenue Program - have been either scrapped or modified. Conversely, the bill introduces five new crop subsidy programmes and replenishes four disaster programmes, set up in 2008 and only partially funded through to 2011, for the next five years. The programme is an area-based insurance product where payments are triggered whenever actual average revenues at the area level fall below 10 per cent of their expected levels.</t>
  </si>
  <si>
    <t>545233579eac2e02b96b6cbb34e822ab</t>
  </si>
  <si>
    <t>Global Development and Environment Institute Working Paper No. J. (2008), “The Unintended Consequences of Encouraging Work: Tax Incidence and the EITC”, CEPS Working Paper, No. The Geneva Papers on Risk and Insurance - Issues and Practice 34, pp. Tax Notes, Tax Policy Center, Urban and Brookings Institution, 2 May 2011.</t>
  </si>
  <si>
    <t>59176c283f5080a0c113971fc001e40b</t>
  </si>
  <si>
    <t>But it’s far from clear whether typical workers reaped any benefits during the early stages of the Industrial Revolution, many workers were clearly hurt.” Over just the past few decades, the number of people employed as telephone operators and shorthand typists has dwindled markedly. Other jobs will go in the future, including some “knowledge work” that today might seem to be immune to technology.</t>
  </si>
  <si>
    <t>5c08e62632ad938fad4047f360cb3e12</t>
  </si>
  <si>
    <t>Despite this strong growth and the low unemployment rate (5.9% in 2014) (World Bank 2016a), Malta remains exposed to many of the same risks as Cyprus. Both are members of the eurozone, which has experienced very slow growth (0.9% in 2014) (World Bank 2016a), and could also be affected by any further Greek debt crises. There is also uncertainty surrounding the UK’s relationship with the European Union. Malta was affected by the upsurge in irregular migration in 2014 and 2015, as was Cyprus to a lesser extent, because of their proximity to conflict zones in Libya and Syria.</t>
  </si>
  <si>
    <t>628de0ab613a79a72e1760446ff1bd20</t>
  </si>
  <si>
    <t>In most cases, data for 2009 are expected to be released later during 2011 or early in 2012. Relative to 2007, benefit receipts under public assistance programmes have slightly decreased for households in the first quintile. This may reflect an increase in the share of the population in the first quintile receiving benefits from other public sources, such as the UI programme, as well as the financing of the Temporary Assistance for Needy Families through a Federal block grants to the states that are not adjusted for inflation nor changes in caseloads. The American Recovery and Reinvestment Act (ARRA) included a temporary increase in EITC and expanded the credit for workers with three or more qualifying children.</t>
  </si>
  <si>
    <t>6921a172036c9bf539248df15e08fcb7</t>
  </si>
  <si>
    <t>If such easing is undertaken in an environment in which other structural barriers that hamper the returns to investment, such as energy shortages, are removed, the cheaper price of credit can spur the activities of the private sector. Reducing the cost of credit by expansionary monetary policy will not necessarily lead to increased inflation if it is ensured that credits are directed through regulatory measures to productive investments, especially to agriculture and not to speculative investments in assets. It becomes negative only beyond moderate rates of inflation, ranging from 13% to 17%.</t>
  </si>
  <si>
    <t>6960565fa5e0d4fc44a3c2aaf34ef470</t>
  </si>
  <si>
    <t>This would involve educating and informing lawmakers and regulators with the necessary information and skills, to be able to fully understand the sector, its intricacies and challenges. Any effort to facilitate trade in services would be incomplete if it did not commence with addressing this core concern. Aid for Trade can help be used, with the support of the Governments, to create platforms, where LDC service suppliers can access such information, and keep up to date on regulations, and policy, globally, on their respective industries.</t>
  </si>
  <si>
    <t>6a10d24d418d2b733cf61bf70b2592c6</t>
  </si>
  <si>
    <t>The Gini measures reported in Chapter 6 refer to working-age individuals and are somewhat different from the ones shown here which refer to individuals in working-age households and thus include children living in the same household as observations in their own right. In Switzerland the subsequent equalising effect on the distribution of disposable income was further strengthened by a trend towards more redistribution. Market-income inequality has also been the main determinant of differences across countries.</t>
  </si>
  <si>
    <t>6d85009879d9c9f3e17f4a440b25a155</t>
  </si>
  <si>
    <t>This entails re-organizing production to create a model that is structured and managed on the basis of the new technological platforms. This process needs to take account of scale economies related to the development of key skills and knowledge that require collective responses and configure new service networks for firms, such as testing and certification laboratories, specialized research and development centres or vocational and technical training firms. First, specific measures to support MSMEs must be coordinated with enabling policies, to create the basic conditions needed to compete in domestic and international markets.</t>
  </si>
  <si>
    <t>6dc472e8794394197a14a2983430f120</t>
  </si>
  <si>
    <t>Financial market reforms, domestic banking supervision and macro-prudential regulations designed to reduce financial fragility are not covered in country-specific Going for Growth priorities as this in an area where collective rather than isolated action is needed (see Box 1.1 in Going for Groioth 2011). A growing body of research highlights that rapid increases in domestic credit have can have predictive power over subsequent crisis (Gourinchas and Obstfled, 2012, Jorda, Schularick and Taylor, 2011, Schularick and Taylor, 2012, Borio and Lowe, 2002). In looking at the implications for the current account, the section considers the impact of structural reforms on both public and private investment and saving rates, and hence including the effect occurring through a change in the fiscal balance.</t>
  </si>
  <si>
    <t>72b372a87564b5d381e050e3b09bebb1</t>
  </si>
  <si>
    <t>Contributes also to reduce precautionary saving by providing households with better diversmed source of incomes Reduce private saving as workers have extra years to build retirement income. Saving is also expected to rise as productivity gains are realised, but by less than investment Contributes by raising private investment in the short run. The effect can fade in the medium term.</t>
  </si>
  <si>
    <t>74cfcd50c847fd8b3ed4d208d28f56dd</t>
  </si>
  <si>
    <t>But Pillar Two of the R2P principle recognizes the role of the international community in preventing mass atrocities through exerting pressure on states to comply with their international obligations and by assisting states to build capacity via, for example, a UN or regional presence or development assistance (UNSG, 2009: paras. Early warning and assessment are also an important part of the preventive strategy advocated by the Secretary-General (UNSG, 2010). This is especially important, given that ethnic cleansing is one of the four atrocity crimes.</t>
  </si>
  <si>
    <t>76567fe3716bd0234692d651cf0619e1</t>
  </si>
  <si>
    <t>One advantage of the simulation is that it can hold “everything else” constant (unemployment levels, market-income inequality, household composition, etc.), For instance, it can show whether a given family at the bottom, middle and top of the income distribution is now better or worse off than they it have been with unchanged policies. By comparing the mechanical income effects of redistribution systems between different periods, it is possible to identify family and earnings situations that are better or worse off as a result of policy reforms. For simplicity, we refer to these families, respectively, as “gainers” and “losers”. Results are shown for the same 8 OECD countries that were included in the above summary of policy changes. For each family, changes in tax burdens and benefit entitlements do not only result from policy action, they can also occur if policies are not adjusted.</t>
  </si>
  <si>
    <t>7a93c47e2c956f2f322a592bf221e82e</t>
  </si>
  <si>
    <t>However, notwithstanding the Bali success, in the absence of a significant change in the border policy environment a ‘business as usual’ approach is unlikely to yield results that are radically different from what WTO members have achieved so far. Mindful of this reality, several members are exploring new ways of conducting negotiations, as already hinted at by ministers at the December 2011 Ministerial Conference. Under this scenario, the single undertaking principle is likely to be further questioned and pushes for plurilateral approaches will probably intensify.</t>
  </si>
  <si>
    <t>7d0db7b13980bc5444f9876e6f770f19</t>
  </si>
  <si>
    <t>Unemployment assistance has been merged with social assistance in 2005. Initial eligibility conditions have also become more demanding in at least three countries, while none appear to have lowered the barriers to access the benefit system. Some countries raised benefit durations and ceilings - in two of them the rise in the first period was followed by a reduction in the second.</t>
  </si>
  <si>
    <t>7f312470a94fd3a63bd29b695c04dff5</t>
  </si>
  <si>
    <t>Accordingly, talking openly about this "lost dimension" of development means expanding the notion of citizenship to include recognition of the importance to society of domestic responsibilities and caregiving. Because care responsibilities have been confined almost exclusively to the private sphere, and therefore treated as a private matter, it has been very difficult to make caregiving a real object of law (Fraser, 1997). And since women invest so much more of their time than men in care activities, they ultimately suffer more "time poverty". Accordingly, the feminist literature and gender demands have turned a spotlight on another dimension of inequality: inequality of disposable time between men and women, which undoubtedly implies inequality in terms of the ability to develop resources and capacities.</t>
  </si>
  <si>
    <t>8265c92b78b72fc7c3b062191bf1275c</t>
  </si>
  <si>
    <t>Without greater national self-sufficiency, migration will be encouraged in one form or another. The ministers of health from PICs agreed in 2005 to develop a Pacific Code to provide a mechanism to facilitate recruitment of health workers between and from PICs within a framework based on ‘mutuality of benefits’ for all, a form of managed migration (see section 6.10). This so-called Samoa Commitment recognised that the loss of skilled health workers through migration, where there was already a shortage, had serious implications for the health of Pacific people.</t>
  </si>
  <si>
    <t>868c490a5b547b1cca363d67aa7847ef</t>
  </si>
  <si>
    <t>This was confirmed in the Treaty of Maastricht in 1992 and reaffirmed when the Lisbon Agenda was announced in 2000.3 For the EU, as well as for the OECD, social cohesion is something to strive towards, to be created via ‘modernised’ social policies, regional redistribution and new forms of governance involving both more active citizenship and mechanisms for identifying best practices. With the 2005 mid-term review and adjustment of the Lisbon Strategy the policy directions have been modified, but the overall goal remains. Social cohesion is a flagship concept which constantly reminds us of the need to be collectively attentive to, and aware of, any kind of discrimination, inequality, marginality or exclusion.</t>
  </si>
  <si>
    <t>873314619a317623b192e66b0213b8f1</t>
  </si>
  <si>
    <t>Two findings are interesting here. First, the migrants' earnings exhibit a more even distribution than do local workers' earnings. For instance, the Gini coefficients for urban local workers and migrant workers are 0.424 and 0.310, respectively. Second, when including migrants with urban residents, inequality in urban areas decreases: the Gini falls from 0.424 to 0.405, and more significantly, GE (-1) falls from 0.523 to 0.461.’</t>
  </si>
  <si>
    <t>88eb947c8315d5a7d7afddf1658f54d7</t>
  </si>
  <si>
    <t>By 2009, the average had come down to USD 10.88, and 12 countries were offering the basket of services for less than USD 5. Guinea and Madagascar had joined Bangladesh in the lowest-cost group from among the 49 LDCs. Sudan, Cambodia, Ethiopia, Haiti, and Senegal were among those that showed satisfactory performance, with prices below the average for the 77 countries (Chart 3.2). Special edition 99, p.12. Expanding Horizons, 2/2009, p.ll.</t>
  </si>
  <si>
    <t>8ef188f7040af2b32828f1f246175739</t>
  </si>
  <si>
    <t>Such tentative scenarios are derived mechanically but are not inconsistent with country-specific reform experiences identified in Bouis et al. ( Empirical Evidence from a Panel of OECD countries”, OECD Economics Department Working Paper, No. Evidence from OECD Countries”, OECD Economics Department Working Papers, No.</t>
  </si>
  <si>
    <t>90b34b4fad4b420c9726da12a8a25cef</t>
  </si>
  <si>
    <t>Any group of poor individuals harmed by a trade policy of another country should therefore have the right to bring a case before the WTO. There should exist an office (‘Defender of the Right to Trade’), potentially located within UNCTAD, that would have the right to bring suit against any country seen as violating the right to trade as defined above. They have recognised that opening up their markets to these countries would have little impact on their own economies (indeed, to the extent that trade restrictions are distortionary, benefiting producers at the expense of consumers, overall welfare would probably increase), but could be of enormous benefit to the least-developed countries.</t>
  </si>
  <si>
    <t>92b3c1749e1b2116cee7ba25610512c8</t>
  </si>
  <si>
    <t>The PIAAC survey provides a measure of the numeracy and literacy skills. One obvious concern in the context of the present analysis is to what extent these measures actually reflect skills acquired while in education, given that skills are likely to depreciate with age, and might be complemented by those accumulated at work. These concerns are addressed both empirically and based on previous results suggesting that PIAAC skills largely reflect those accumulated while studying (see Annex 3 for a discussion).</t>
  </si>
  <si>
    <t>96421935166f1f445b3012ea5cf3b498</t>
  </si>
  <si>
    <t>Rapid income growth has been concentrated in coastal areas which benefited from deep trade integration as a result of policies promoting openness pursued since the mid-1980s. These effects are magnified when structural change occurs in economies that undergo significant ownership changes, such as land ownership reform and the dismantling of State-owned enterprises (SOEs). In China, for example, the acceleration of land ownership and labour-market reforms in the late 1990s was followed by a decline of employment in manufacturing in most provinces.</t>
  </si>
  <si>
    <t>9fac8dc5e9f8662df8c846aa19be104f</t>
  </si>
  <si>
    <t>One observer notes that this shift towards the issuance of local currency debt “has been facilitated by increasing demand from foreign investors for higher-yielding local currency assets” (LeijonhufVud, 2007: 1839). This increase is also likely to have been supported by attempts in emerging market economies to strengthen their stock markets by opening them to foreign investors. Indeed, a fourth source of possible adverse macroeconomic and distributional effects accompanying financial integration is the potential of capital surges to produce asset price or real estate bubbles.</t>
  </si>
  <si>
    <t>a21d0a0cfcff6238f80f27751d737833</t>
  </si>
  <si>
    <t>It would impact their ability to effectively export financial services, and for their financial institutions to compete with developed and developing country institutions. Virtual interactions and e-transmissions require the support of skilled professionals, seamless connectivity, and high-end technology, together with strong distribution networks, customer service set-ups, adequate financial support, and an efficient regulatory system that facilitates trade and enhances the ease of doing business. The inadequacy of such structures in LDCs and small states hinders the productivity and efficiency of service suppliers and their ability to compete in the global market and to connect effectively to global supply chains. Smaller service suppliers from small states, LDCs and developing countries, which plug into these supply chains, and business models, and complete the loop, makes them critically dependent on such niche firms.</t>
  </si>
  <si>
    <t>a4c6a290c604e5a56ea41390bd67bdf8</t>
  </si>
  <si>
    <t>Income Inequality has declined in many of the countries that experienced sustained economic growth, while increasing in countries with negative growth. In most countries whose per capita income/consumption grew during this period, growth was faster for the bottom 40 per cent of the population. Others have a more :omplex decision-making mechanism in place.</t>
  </si>
  <si>
    <t>a5031d2d171f51ba766a53aef1b28a4e</t>
  </si>
  <si>
    <t>This process has gained momentum in the United States, Germany, the United Kingdom, France and countries of East Asia, where policies are being designed to incorporate and spread the use of these instruments. Relative productivity is defined as the labour productivity of a country or region with respect to a benchmark country on the technological frontier. This indicator is a proxy for the behaviour of the gap in technology capacity.</t>
  </si>
  <si>
    <t>abcc8486cedcdff20004f1809a397736</t>
  </si>
  <si>
    <t>The countries with the greatest improvements in the indicator are the Bolivarian Republic of Venezuela, Honduras, Nicaragua, Paraguay, Peru and the Plurinational State of Bolivia, which were generally the ones with the greatest inequality in respect of durable goods in 2002. At the end of the period, the countries with the lowest levels of inequality in durable goods access were the Bolivarian Republic of Venezuela, Brazil and Uruguay. Figure 11.12 illustrates changes in the indicator across the distribution for each country.</t>
  </si>
  <si>
    <t>b1e906f54a8bafb9a69bf208053f0d3f</t>
  </si>
  <si>
    <t>Indeed, despite a slowing of the trend towards greater market-income disparities, income inequality after adding benefits and taxes has increased at faster rate since the mid-90s than it had in the decade before. Benefits have a much stronger impact on inequality than social contributions or taxes, despite the bigger aggregate size of direct taxes and, hence, their bigger average impact on household incomes. In general, changes on the benefit side can therefore be expected to be a more significant driver of the extent of overall redistribution and inequality. On average across 29 OECD countries, cash support for working-age individuals and their families has grown in real terms but has accounted for a declining share of total social spending (the share fell from 27% in 1985 to 25% in 1995 and 21% in 2005).</t>
  </si>
  <si>
    <t>b2edb23a9c590d51219fb8822b1089d0</t>
  </si>
  <si>
    <t>Second, technological progress shifted production technologies in both industries and services in favour of skilled labour. In that time, trade integration - the sum of imports and exports as a share of GDP - doubled in many OECD countries. But globalisation is not only about trade in goods and services.</t>
  </si>
  <si>
    <t>b6498bf61027f351fbcd713fa3800b74</t>
  </si>
  <si>
    <t>Byiers and Lui (2013) in this volume (Chapter 8) examine the regional corridor approaches in delivering AfT. They argue that corridors, by providing a focused and targeted approach to addressing trade-related bottlenecks, can alleviate many of the challenges related to the effectiveness of AfT. However, they also point to practical constraints, such as the need for specific financial mechanisms to establish and operate joint programmes at borders (Table 6.2). However, Karingi and Fabberoni (2011: 83) find very large disparities in AfT per capita in Africa as well as high volatility. More importantly, the fact that supply may be aligned with demand globally does not mean that the most critical projects are in fact being implemented at the national level and attention to this may neglect the fact that high-demand countries are frequently not those capable of absorbing large amounts of assistance.</t>
  </si>
  <si>
    <t>b9d19d65f307d55cb83a3f0d63025e8d</t>
  </si>
  <si>
    <t>This was vividly demonstrated when the WTO's Appellate Body ruled in favour of Antigua and Barbuda in its dispute with the USA over measures applied by central, regional and local authorities in the USA that affected the cross-border supply of gambling and betting services. Antigua and Barbuda is yet to recourse to the favourable ruling. Many observers however caution that accessing the WTO dispute settlement system is challenging for capacity-constrained countries such as least-developed countries (LDCs).</t>
  </si>
  <si>
    <t>ba7cc2264c7b58ee4cb3ab3698c84aa7</t>
  </si>
  <si>
    <t>The surges in consumption in recent years, as examined in chapter IV, could easily be erased by a reversal of the business cycle, threatening access to basic consumer staples for this broad swathe of the population. The most evident of these features is that the poverty rate for children is considerably higher than for the rest of the population. Poverty rates among children aged 15 and under are between 1.1 and 2.0 times greater than for the general population, with the largest discrepancies seen in countries with lowest overall poverty rates. With a number of exceptions, in many countries poverty and age tend to be inversely correlated.</t>
  </si>
  <si>
    <t>bd37a0228e72821156c093072c171445</t>
  </si>
  <si>
    <t>International reserves held by emerging and other developing countries totalled more than $7 trillion at the end of 2011, after adding another $1 trillion in a single year (United Nations, 2012). These buffers indeed have helped many developing countries (but more so for some than others) to steer with some resilience through the 2008-2009 global crisis. At the same time, however, the reserve accumulation by developing countries has been part and parcel of the problem of the global imbalances and helped finance widening deficits in the developed world, the United States in particular.</t>
  </si>
  <si>
    <t>c1ee388930bb0d5350567d2ec43048ca</t>
  </si>
  <si>
    <t>However, this standard was not always applied in the previous updates. Correcting this lack of harmonisation has led to several revisions of scores in many countries. Third, whenever employers can avoid enforcement of reinstatement orders by simply paying compensation or can choose between compensation and reinstatement, a score equal to 0 is normally attributed to the indicator measuring the extent of reinstatement. Specific methodological features of the 2013 update round and the revision of published indicators (cont.) Published” refers to scores as published in Venn (2009). The summary indicator is obtained as a weighted average of EPRC and EPT, with weights 7/12 and 5/12.The data refer to 2009 in the case of France and Portugal.</t>
  </si>
  <si>
    <t>c33175346cc048ff8ab22ef1cc73d90a</t>
  </si>
  <si>
    <t>Yet, the policies, rules and institutions established to govern these processes are mostly national, while global mechanisms are strongly compartmentalized. Without reform, tensions will grow between decision-making processes at the national level and those at the global level. The question is how to reform the institutions responsible for global governance so as to make them better equipped to address these challenges coherently while allowing nations and their people to have the necessary space to determine their own destinies.</t>
  </si>
  <si>
    <t>c48b2da866fc5c41a6b057b4ce922249</t>
  </si>
  <si>
    <t>In Greece, a reform in 2010, followed by an additional adjustment in 2012, significantly reduced notice periods and severance pay. In Estonia, the new Labour Code enforced in July 2009, radically changed the menu of remedies available to courts in the case of unfair dismissals, by making the possibility of reinstatement conditional on the agreement of both parties - except in certain discrimination cases - and halving the amount of compensation that should be paid to the worker. In addition, notification requirements for individual dismissals were simplified and notice periods and severance pay schedules made more progressive with respect to job tenure and, on average, somewhat smaller. In the Slovak Republic, the reform of the Labour Code of September 2011 reduced notice periods, suppressed severance pay conditional on observing notice and lifted the obligation of negotiating with government authorities in the case of collective dismissals.</t>
  </si>
  <si>
    <t>c5d901326feefdb41e74e3557b364ca2</t>
  </si>
  <si>
    <t>Evidence from the ground suggests that emerging partners have also provided significant amounts of AfT, although this goes largely unrecorded. In the future, there might therefore be a greater need to monitor more effectively Southern partners’ AfT activities in LDCs to capture more fully their impact on host economies. China launched a dutyfree scheme for LDCs’ exports in 2010. While it is too early to meaningfully assess the impact of the scheme, available evidence seems to suggest that it has not stimulated non-oil exports from LDCs.</t>
  </si>
  <si>
    <t>c706fb5d5eafb9e2b7abfabda0bd0f9c</t>
  </si>
  <si>
    <t>Available data shows that Europe and North America - the two regions that represent the majority of developed countries - account for 11 per cent and 25 per cent respectively of SPS measures in force in 2013 (Figure 7.15). Conversely, Latin America and the Caribbean, and East Asia - two developing regions - together account for 49 per cent of all SPS measures, and each applies more such measures than Europe. More generally, NTMs are often perceived as beyond-the-border constraints imposed by the importing country. In reality, a whole range of ‘behind-the-border’ measures, such as pre-shipment export inspection, certification required by local authorities, export licensing (or prohibitions), export taxes and charges, and foreign exchange regulation, tend to constrain LDC exports and raise the cost of exporting. For example, the ITC survey of Malawian exporters registered 58 NTM cases applied by the government of Malawi compared with 48 by importing partners (ITC 2012). Indeed, to the extent that domestic NTMs affect exports to all countries (perhaps some more than others), they are a more serious concern for exporters than are NTMs applied by importing countries.</t>
  </si>
  <si>
    <t>ccdea66c6dadd25ec34019ff581dbab8</t>
  </si>
  <si>
    <t>Capital and financial market liberalisation and banking deregulation often led to an increase in instability, with adverse effects on inequality and growth (see Stiglitz 2008, 2010, 2011, 2012). And trade ministers, especially from the developed countries, were ill-prepared to analyse the implications of alternative proposals for development. Under GATT, developing countries were somewhat protected by the commitment towards Special and Differential Treatment.</t>
  </si>
  <si>
    <t>cdffa6562bffd5b42bdc7277e11fada4</t>
  </si>
  <si>
    <t>In addition, maximum wind speeds from tropical cyclones are likely to increase, though not in every watershed. All in all, the increase in exposure to these events will result in greater direct economic losses (IPCC, 2013). Extreme waves are becoming more common and will shape the design of maritime infrastructure works in the region, since failing to consider long-term change factors would reduce the viability of such works to about 60% of their current level by 2070. The impacts and adaptation processes will undoubtedly be of significant magnitude, and will increase over the course of the century across many areas of economic activity such as the agriculture sector, the water sector, land use changes, biodiversity, tourism, infrastructure and the health of the population.</t>
  </si>
  <si>
    <t>ce3be8ffb38d7bc4d4815dcc1e00b33f</t>
  </si>
  <si>
    <t>Tourism is the second-largest source of hard currency earnings, following remittances. The tourism sector has potential but is weakly developed, cruise ship numbers have recently declined and tourism numbers are presently declining. In 2011 GDP was estimated at $378 million with GDP per capita estimated at $3,648. Real GDP growth fell in both 2008-09 and 2009-2010 but for 2010-11 was expected to grow at around 1.4 per cent.</t>
  </si>
  <si>
    <t>cf07882dff4cee251d32f9d09b2f0970</t>
  </si>
  <si>
    <t>Finger and Schuler (2000) estimated the implementation costs of just three areas (customs valuation, Trade Related Aspects of Intellectual Property Rights [TRIPS] and sanitary/phytosanitary measures) would cost each developing country around US$150 million - a huge sum for many least-developed countries. Overall the agreement was not only unbalanced, it was unjust. For instance, access to lifesaving generic medicines was restricted, countries’ health budgets were hit badly and/or access to life-saving medicines was diminished, and newly flourishing generic drug companies in developing countries saw their prospects wane.</t>
  </si>
  <si>
    <t>d0566fef03672130ba0fe966beb87e27</t>
  </si>
  <si>
    <t>The development of new technological options that promote low carbon intensity, as well as the economic costs of mitigation processes, will certainly be significant in areas such as energy, transportation and forest conservation, which will modify the current patterns of economic development (Galindo, 2009). Although these actions can have marginal mitigation effects at the global scale, they are important for ensuring environmentally sustainable development in the region. Building a culture of risk prevention and developing a large-scale climate change adaptation strategy are essential steps. Of its 550 million people, 77% live in cities of more than 2,000 inhabitants, a rate that approaches 90% in the Southern Cone and is forecast to rise across the region to 85% by 2030. Cities with more than 20,000 inhabitants alone are home to two thirds of the region's population, the highest rate in the world (ECLAC, 2012d). The system of cities in Latin America is highly varied in terms of size and conformation, but in general, the countries tend to have several megalopolises alongside strong urbanization and growing importance for medium-sized cities.</t>
  </si>
  <si>
    <t>d2086a785882f435a0bbb1639f0496b9</t>
  </si>
  <si>
    <t>In all these cases, LDCs participate in the research efforts and derive benefits from research results. Knowledge flows and technical cooperation have become major components of South-South economic relations, diversifying the sources of knowledge transfer and partnership for LDCs (UNCTAD, 2010: chaps. South-South technology transfer is complementary to North-South knowledge flows, the two sometimes being combined in triangular cooperation, whereby South-South knowledge flows are facilitated and boosted by developed country donors (UNDP, 2009). Achieving the Goals and the objectives of the IPoA will require a major increase in ODA to LDCs, to meet the international target of 0.15-0.2 per cent of donor country gross national income.</t>
  </si>
  <si>
    <t>d3792a39e0f564e3432d3235e1e67600</t>
  </si>
  <si>
    <t>Conversely, the maximum duration of successive contracts is very short in Chile and France, while no substantial limits are found in about one-third of OECD countries37 as well as in India and South Africa (see Figure 2.7). In Belgium, Ireland, Italy, the Netherlands and Saudi Arabia, there is no limitation for the first contract, but cumulative time limits step in when a renewal occur, or a new contract between the same employer and employee is signed. In this case, workers are hired by an agency and temporarily assigned for work into a user firm, typically to perform temporary tasks outside the “core” business of the user firm or to enable it to cope with short-term increases in workload.</t>
  </si>
  <si>
    <t>d46dab4d24146fe37b43f4c97f8ca019</t>
  </si>
  <si>
    <t>In recent days, there are discussions on the introduction of school enrolment and attendance as conditionalities for receipt of the CSG. A comparison between the potential labour market effects of the OAP and the CSG, two programmes with different target populations, eligibility rules and more importantly different levels of benefits paid, allows a better understanding of the mechanism through which CTs may affect labour market outcomes. In the case of most emerging economies, where extended families are the norm, spillover effects of CT receipt on other household members can be particularly important if income is pooled in the household.</t>
  </si>
  <si>
    <t>d6f44e4cd923c9c50b1a33a56ee1d168</t>
  </si>
  <si>
    <t>The inference is that poverty may have a different social significance in countries of similar income levels and that richer countries may have greater scope for engaging in a national debate about what poverty is and who should be classified as poor. Setting a poverty threshold is therefore a technical exercise of an extremely political nature, which can serve an increasingly important social cohesion goal, as countries’ average living standards improve and grow. Locally weighted regression lines approximate the economic gradients of both sets of poverty lines, above USD 1.25/day.</t>
  </si>
  <si>
    <t>dc92bc747fe1609443f3a897b0987795</t>
  </si>
  <si>
    <t>Trade liberalisation (the removal of barriers to cross-border trade) has historically been negotiated at the World Trade Organization (WTO), trade agreements negotiated there translate into impacts within countries and therefore have significant implications for household wellbeing and gender equality1. There is now considerable empirical evidence that international trade agreements have a differential impact on women and men at household, firm and national levels (Randriamaro, 2006, Carr and Williams, 2010, World Bank, 2012, United Nations Conference on Trade and Development (UNCTAD), 2012), creating disparities in how the opportunities and challenges of globalisation are experienced. Yet, there have been only limited attempts over the decades during which global trade negotiations have been taking place to mainstream2, or integrate, gender concerns into trade policy and negotiations. Our research confirms that the first hurdle, that of holding the position of ambassador or head of mission (HoM)3, shapes progression on to the decision-making and accountable committees and councils of the WTO.</t>
  </si>
  <si>
    <t>de053e9649c188b15b14945820888bca</t>
  </si>
  <si>
    <t>Strong household income growth in the Nordics has lifted incomes from the bottom to the top of the distribution from the mid-1990s to 2014 (Figure 3). This contrast with developments in Germany and the United States, were stagnating incomes at the bottom of the income distribution imply that material living standards have improved very little relative to the mid-1990s. National sources report an increase around four Gini points from 1990 to 2014 (Statistics Norway), but the applied household income definition is not fully comparable with the one used for OECD figures (see Causa et al.</t>
  </si>
  <si>
    <t>def5984e8302f90725087a43b1027181</t>
  </si>
  <si>
    <t>An example is the adoption of the internet as a means of communication. To correct for these biases time fixed effects are introduced under the assumption that the source for unobserved heterogeneity does not vary across countries. They propose the use of a dynamic specification using a Least Squares Dummy Variable Corrected (LSDVC) estimator to account for this. Additionally complications in the estimation can also arise from the truncated nature of the dependent variable. The Gini coefficient which is used as dependent variable lies in the 0-1 interval and this may require the use of a logistic estimation.</t>
  </si>
  <si>
    <t>e027349d4c32e4b36fbf64dbfde481f4</t>
  </si>
  <si>
    <t>Cars and other vehicles have also been sent as remittances, especially in Samoa, after the change over to driving on the left in 2009, and are distinguished as a separate category in national remittance data. It was generally accepted that remittances were an important part of the benefits of migration for all Pacific islanders. As early as 1962, Pirie and Barrett (1962: 95) predicted that emigration and the resulting remittances would become central to Samoan economic planning, and quite quickly the predicted level of remittances formed a crucial element in the formulation of early national development plans. More than 50 years ago, Pirie observed that Samoans in New Zealand had remitted some US$15 million and that this was of major assistance to Western Samoa in meeting its overseas payments (1960: 596).</t>
  </si>
  <si>
    <t>e4d107c99f7c461acc42b02190570670</t>
  </si>
  <si>
    <t>Bonuses can be viewed as a form of remuneration through which firms improve incentives while transferring some of their profitability risks to employees. However, they are frequently tied to short-term performance without claw-back provisions and may therefore come at the expense of firm-level stability with particularly damaging consequences in the case of systemically-important financial institutions. Data for Germany relate to 2006.</t>
  </si>
  <si>
    <t>e68584aef0067c16097c1425d1a6a72c</t>
  </si>
  <si>
    <t>The pattern of globalization of the past decades has fortified the interdependencies of the major underlying factors that have led to these multiple crises. This pattern was characterized by strong consumer demand in the United States, funded by easy credit and booming housing prices. Far-reaching financial deregulation facilitated a massive and unfettered expansion of new financial instruments, such as securitized sub-prime mortgage lending, sold on financial markets worldwide.</t>
  </si>
  <si>
    <t>e877eff1cc095677fc3db733f8bd349d</t>
  </si>
  <si>
    <t>This may free up resources that could be used to help those with insufficient savings. These systems have an essential role to play in addressing persistent poverty, protecting households against income and health-related risks and tackling income inequality. It revealed that having social protection systems in place before a crisis strengthens the effectiveness of social policy responses to changing needs. The first is to ensure that social protection systems provide adequate support to those who need it in a context of limited fiscal resources and weak administration and a high rate of informal work that leaves large parts of the workforce uncovered by the main instruments of social policy.</t>
  </si>
  <si>
    <t>e944bc41f2bd2723bbad8afb75ccf261</t>
  </si>
  <si>
    <t>There is growing consensus that assessments of economic performance should not focus solely on overall income growth, but also take into account income distribution. Some see poverty as the relevant concern while others are concerned with income inequality more generally. A key question is whether the type of growth-enhancing policy reforms advocated for each OECD countiy and the BRIICS in Going for Growth might have positive or negative side effects on income inequality.</t>
  </si>
  <si>
    <t>edd1b6e058ea9698e915a3d48b7d4c51</t>
  </si>
  <si>
    <t>The union movement in Chile was persecuted during the military dictatorship and never regained its influence after the return to democracy in 1990: unionisation levels are currently below 10% (Solimano, 2011). It is recognition of that fact that is behind the current attempts to establish a working collective bargaining process in China and tripartite committees for social dialogue in Korea. Moreover, the mounting body of evidence from labour institutions has generally toned down the view (based on perfectly competitive labour market models) that labour regulations were the source of many woes, from informality to rigidity.</t>
  </si>
  <si>
    <t>f0647b431140672c144262de9259fbf9</t>
  </si>
  <si>
    <t>Where this has not been the case in the past, systems have languished because data providers lose enthusiasm and reports have either not been produced in a timely manner or have lacked complete data from which sensible conclusions can be drawn. The Commonwealth, in close collaboration with the Pacific Islands Forum Secretariat, could implement this recommendation. This is an area where the Commonwealth could be involved and share the experiences of regionalism from the Caribbean and Africa.</t>
  </si>
  <si>
    <t>f1426dc96be530dba5c08a40f3b64c0f</t>
  </si>
  <si>
    <t>In addition, international actors have been criticised for permitting a "blame culture" in which risks were unfairly distributed along the partnership chain, with front-line responders exposed to the most significant risk. The RMU was established in 2011 to help UN agencies to better asses and understand risk. It is funded by Denmark, DFID and the Common Humanitarian Fund for Somalia. The RMU carries out risk assessments and monitoring, conducts due diligence on implementing partners, and manages a database of risk-related evidence on UN implementing partners.</t>
  </si>
  <si>
    <t>f3f3e481b4ecc83b99d6a0d81bc3a653</t>
  </si>
  <si>
    <t>In 1995, the average level of the minimum wages was CNY 195 per month, which went up to CNY 616 in 2008. Most cities have strengthened implementation in recent years, which could be reflected in a high adjustment frequency, a greater absolute increase in minimum wage rates, and high growth rates. In particular, in 2006, nearly 90% adjusted their minimum wages, which reflects that the minimum wage policy is beginning to be valued by local governments, and the minimum wage is now used as a policy instrument.</t>
  </si>
  <si>
    <t>f5bf078d5423491fcd8f4e82efda7ed5</t>
  </si>
  <si>
    <t>Decomposing wage developments of earners between the 90th (top) and the 10th (bottom) percentiles allows a comparison of the ratio of wages at the 90th percentile with that of the 50th percentile (the 90-50 ratio) and the ratio of wages at the 50th percentile with that of the 10th percentile (the 50-10 ratio). Data points for members of the EU are ordered by changes in the share of highest-paying occupations. By contrast, the 50-10 ratio has remained fairly stable at a level of about 15 per cent above its level of the early 1970s. More detailed evidence indicates that the gap between the 10th percentile and the median has substantially contracted over the past few years (Acemoglu and Autor, 2012: 13).</t>
  </si>
  <si>
    <t>f7590f3ee0dd584fe6a923af51ebcf9b</t>
  </si>
  <si>
    <t>These can facilitate labour management, but do not guarantee the skills or productivity required for the job. In the absence of formal institutions, informal institutions are considered an important mechanism of risk management. In the long term, as businesses grow and attract new investments, formal institutions will need to be strengthened to increase confidence in court systems and legal arrangements.</t>
  </si>
  <si>
    <t>f7b793b661b1b0ffdf3c563be3c4c3d0</t>
  </si>
  <si>
    <t>At the time of writing there were only five qualified plumbers in Tonga, not only is it hard to get access to them but they have no time to be tutors in plumbing at the Tonga Institute of Science and Technology. Here too, migration and attrition are combined. In Samoa, 52 teachers left the service in three and a half years between 2000 and 2005, eroding the quality of curriculum delivery (Afamasaga 2006). Tonga was losing teachers at a similar rate.</t>
  </si>
  <si>
    <t>f931e5cb5f515c9e08fe7f43427333f6</t>
  </si>
  <si>
    <t>Southern partners can also provide better market access for LDC exports. While China and India already have duty-free schemes in place, they (especially India’s DFQF scheme) could be improved in terms of product coverage and RoO while addressing potential non-tariff barriers to LDC exports. Existing schemes should also consider extending preferential market access to services.</t>
  </si>
  <si>
    <t>f9ab23a84961d99b5f4738d64f1266cf</t>
  </si>
  <si>
    <t>Background paper for World Economic and Social Survey 2008. Evolving structure of world agricultural trade and requirements for new world trade rules. Paper presented at the FAO Expert Meeting on How to Feed the World in 2050, Food and Agriculture Organization of the United Nations, Rome, 24-26 June 2009. Sharma, Krishnan, Arun Kashyap, Manuel Montes, and Paul Ladd (2011).</t>
  </si>
  <si>
    <t>fa2ddefba5e478258ef60c19ecac5d00</t>
  </si>
  <si>
    <t>Building on Keynesian theoretical insights, Governments made employment, stability and growth important subjects of public policy and took responsibility for assuring their citizens a degree of economic wellbeing, with such steps leading to the creation of the welfare state. In Europe and Japan, industrial policies were key elements in post-war reconstruction. Poor countries would need to move away from a dependence on primary exports and the rural economy and develop manufacturing industries in order to foster more dynamic growth processes, major investments in infrastructure and new activities would be needed to create the right initial conditions.</t>
  </si>
  <si>
    <t>fa88082558c0359f4a944641d75284ba</t>
  </si>
  <si>
    <t>On this front, many of the region's countries have made real efforts to conserve their natural wealth by establishing protected areas, especially under the Convention on Biological Diversity. Important regional efforts and experiences in this regard include the creation of the Mesoamerican Biological Corridor, in which Mexico and seven Central American countries participate, the expansion of the Serranfa del Chiribiquete natural park in Colombia and that country's policy of conservation in the Amazon region, as well as the tropical rainforest conservation programme in Brazil, which has spurred a strong expansion in protected areas in the region and has become the driving force in reducing deforestation in the Amazon region. One example was the domestication of plants of tremendous economic value that were grown in species-rich areas inhabited by sophisticated ancient civilizations. This process was key in the development of agriculture and gave rise to hubs of origin of major crops such as maize, yucca, potatoes, peanuts, beans, squash, tomatoes, cacao, quinoa and others.</t>
  </si>
  <si>
    <t>faf6ad250d3ebbf2bea48a9057ed8709</t>
  </si>
  <si>
    <t>Overall, these findings signal synergies across policy objectives, i.e. that reforms aimed at encouraging exports among domestic firms could boost efficiency and equity. This finding could reflect FDI-induced demand for unskilled labour and associated employment creation, and it would suggest that policy reforms aimed at easing barriers to entry for foreign firms could serve both the efficiency and equity objectives. By contrast, there is some evidence of negative effects on household incomes of the lower-middle class and the poor.</t>
  </si>
  <si>
    <t>fc5e675a741b6dcf1ed1f829bea5893a</t>
  </si>
  <si>
    <t>The IMF metal price index also fell by 10.2 per cent in 2013-14 and by another 23.1 per cent between 2014 and 2015 (Figure 1.5). The IMF’s energy index saw the sharpest decline between 2014 and 2015, at 44.9 per cent (Figure 1.5). The continued decline in commodity prices indicates an end to the commodity supercycle that commenced in the early 2000s. The oil price fall is expected to yield a windfall for the majority of Commonwealth small states, which are net importers of oil, although in general the pass-through to retail prices has been relatively limited thus far, reflecting short-term price rigidities and exchange rate fluctuations.</t>
  </si>
  <si>
    <t>fd8439ed3e23d608249e508fba33c517</t>
  </si>
  <si>
    <t>The levels of inequality in some emerging-economy countries of the region are also approaching that of Latin American countries. However, a transition towards more proactive fiscal policies to adjust income distribution and an enhanced role of progressive direct taxes in particular, as observed in Latin America, has yet to happen. For the more advanced developing countries of the region, the progress achieved in Latin American countries since the 2000s is not beyond reach. In 2015 total tax revenue averaged 16.4 per cent of GDP in the region, compared to developing country average of 20.2 per cent and developed country average of 25.1 per cent.110 This regional average conceals the vast differences between countries.</t>
  </si>
  <si>
    <t>ff747a5b0d3db54ea870bee5d6d674e5</t>
  </si>
  <si>
    <t>Jobs and income growth of top earners and the causes of changing income inequality: Evidence from U.S. tax return data. Working paper, Williams College, William-stown, MA. Cash transfers for older people reduce poverty and inequality. In: Bebbington AJ, Dani AA, De Haan A, and Walton M, eds. Institutional Pathways to Equity: Addressing Inequality Traps.</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</si>
</sst>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sz val="17.0"/>
      <color rgb="FF000000"/>
      <name val="&quot;Arial&quot;"/>
    </font>
    <font>
      <sz val="14.0"/>
      <color theme="1"/>
      <name val="Arial"/>
      <scheme val="minor"/>
    </font>
    <font>
      <color rgb="FF000000"/>
      <name val="&quot;Arial&quot;"/>
    </font>
    <font>
      <color rgb="FF000000"/>
      <name val="Arial"/>
      <scheme val="minor"/>
    </font>
    <font>
      <color theme="1"/>
      <name val="Arial"/>
      <scheme val="minor"/>
    </font>
    <font>
      <b/>
      <u/>
      <sz val="14.0"/>
      <color rgb="FF000000"/>
      <name val="Oswald"/>
    </font>
    <font>
      <u/>
      <color theme="1"/>
      <name val="Arial"/>
      <scheme val="minor"/>
    </font>
    <font>
      <i/>
      <color theme="1"/>
      <name val="Arial"/>
      <scheme val="minor"/>
    </font>
    <font>
      <b/>
      <color rgb="FF000000"/>
      <name val="&quot;Arial&quot;"/>
    </font>
    <font>
      <u/>
      <color rgb="FF0000FF"/>
    </font>
    <font>
      <b/>
      <color theme="1"/>
      <name val="Arial"/>
      <scheme val="minor"/>
    </font>
    <font>
      <sz val="13.0"/>
      <color theme="1"/>
      <name val="Arial"/>
      <scheme val="minor"/>
    </font>
    <font>
      <b/>
      <u/>
      <color theme="1"/>
      <name val="Arial"/>
      <scheme val="minor"/>
    </font>
    <font>
      <b/>
      <color theme="1"/>
      <name val="Calibri"/>
    </font>
    <font>
      <b/>
      <sz val="10.0"/>
      <color theme="1"/>
      <name val="Arial"/>
      <scheme val="minor"/>
    </font>
    <font>
      <color theme="1"/>
      <name val="Calibri"/>
    </font>
    <font>
      <sz val="11.0"/>
      <color theme="1"/>
      <name val="Arial"/>
      <scheme val="minor"/>
    </font>
    <font>
      <sz val="11.0"/>
      <color theme="1"/>
      <name val="Arial"/>
    </font>
    <font>
      <color theme="1"/>
      <name val="Arial"/>
    </font>
    <font>
      <b/>
      <color theme="1"/>
      <name val="Arial"/>
    </font>
    <font>
      <b/>
      <sz val="10.0"/>
      <color theme="1"/>
      <name val="Arial"/>
    </font>
    <font>
      <sz val="10.0"/>
      <color theme="1"/>
      <name val="Arial"/>
      <scheme val="minor"/>
    </font>
    <font>
      <sz val="9.0"/>
      <color theme="1"/>
      <name val="Arial"/>
      <scheme val="minor"/>
    </font>
    <font>
      <sz val="10.0"/>
      <color theme="1"/>
      <name val="Arial"/>
    </font>
  </fonts>
  <fills count="5">
    <fill>
      <patternFill patternType="none"/>
    </fill>
    <fill>
      <patternFill patternType="lightGray"/>
    </fill>
    <fill>
      <patternFill patternType="solid">
        <fgColor theme="0"/>
        <bgColor theme="0"/>
      </patternFill>
    </fill>
    <fill>
      <patternFill patternType="solid">
        <fgColor rgb="FFB6D7A8"/>
        <bgColor rgb="FFB6D7A8"/>
      </patternFill>
    </fill>
    <fill>
      <patternFill patternType="solid">
        <fgColor rgb="FFEA9999"/>
        <bgColor rgb="FFEA9999"/>
      </patternFill>
    </fill>
  </fills>
  <borders count="3">
    <border/>
    <border>
      <left style="thick">
        <color rgb="FF000000"/>
      </left>
    </border>
    <border>
      <right style="thick">
        <color rgb="FF000000"/>
      </right>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Alignment="1" applyFont="1">
      <alignment horizontal="center" readingOrder="0"/>
    </xf>
    <xf borderId="0" fillId="0" fontId="5" numFmtId="0" xfId="0" applyAlignment="1" applyFont="1">
      <alignment readingOrder="0" shrinkToFit="0" vertical="center" wrapText="1"/>
    </xf>
    <xf borderId="0" fillId="0" fontId="7" numFmtId="0" xfId="0" applyAlignment="1" applyFont="1">
      <alignment readingOrder="0"/>
    </xf>
    <xf borderId="0" fillId="0" fontId="5" numFmtId="0" xfId="0" applyAlignment="1" applyFont="1">
      <alignment readingOrder="0"/>
    </xf>
    <xf borderId="0" fillId="0" fontId="8" numFmtId="0" xfId="0" applyAlignment="1" applyFont="1">
      <alignment readingOrder="0"/>
    </xf>
    <xf borderId="0" fillId="0" fontId="5" numFmtId="0" xfId="0" applyAlignment="1" applyFont="1">
      <alignment readingOrder="0" shrinkToFit="0" wrapText="1"/>
    </xf>
    <xf borderId="0" fillId="0" fontId="9"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5" numFmtId="0" xfId="0" applyFont="1"/>
    <xf borderId="0" fillId="0" fontId="0" numFmtId="0" xfId="0" applyAlignment="1" applyFont="1">
      <alignment horizontal="right"/>
    </xf>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readingOrder="0" vertical="bottom"/>
    </xf>
    <xf borderId="0" fillId="0" fontId="14" numFmtId="0" xfId="0" applyAlignment="1" applyFont="1">
      <alignment readingOrder="0" shrinkToFit="0" vertical="bottom" wrapText="1"/>
    </xf>
    <xf borderId="0" fillId="0" fontId="15" numFmtId="0" xfId="0" applyAlignment="1" applyFont="1">
      <alignment horizontal="center" readingOrder="0" vertical="bottom"/>
    </xf>
    <xf borderId="0" fillId="0" fontId="16" numFmtId="0" xfId="0" applyAlignment="1" applyFont="1">
      <alignment vertical="bottom"/>
    </xf>
    <xf borderId="0" fillId="0" fontId="16" numFmtId="0" xfId="0" applyAlignment="1" applyFont="1">
      <alignment shrinkToFit="0" vertical="bottom" wrapText="1"/>
    </xf>
    <xf borderId="0" fillId="0" fontId="17" numFmtId="0" xfId="0" applyAlignment="1" applyFont="1">
      <alignment horizontal="center" readingOrder="0" vertical="center"/>
    </xf>
    <xf borderId="0" fillId="0" fontId="5" numFmtId="0" xfId="0" applyAlignment="1" applyFont="1">
      <alignment shrinkToFit="0" wrapText="1"/>
    </xf>
    <xf borderId="0" fillId="0" fontId="17" numFmtId="0" xfId="0" applyAlignment="1" applyFont="1">
      <alignment horizontal="center" vertical="center"/>
    </xf>
    <xf borderId="0" fillId="0" fontId="17" numFmtId="0" xfId="0" applyAlignment="1" applyFont="1">
      <alignment vertical="center"/>
    </xf>
    <xf borderId="0" fillId="2" fontId="16" numFmtId="0" xfId="0" applyAlignment="1" applyFill="1" applyFont="1">
      <alignment shrinkToFit="0" vertical="bottom" wrapText="1"/>
    </xf>
    <xf borderId="0" fillId="3" fontId="16" numFmtId="0" xfId="0" applyAlignment="1" applyFill="1" applyFont="1">
      <alignment shrinkToFit="0" vertical="bottom" wrapText="1"/>
    </xf>
    <xf borderId="0" fillId="4" fontId="16" numFmtId="0" xfId="0" applyAlignment="1" applyFill="1" applyFont="1">
      <alignment shrinkToFit="0" vertical="bottom" wrapText="1"/>
    </xf>
    <xf borderId="0" fillId="0" fontId="18" numFmtId="0" xfId="0" applyAlignment="1" applyFont="1">
      <alignment horizontal="right"/>
    </xf>
    <xf borderId="0" fillId="0" fontId="19" numFmtId="0" xfId="0" applyFont="1"/>
    <xf borderId="0" fillId="0" fontId="20" numFmtId="0" xfId="0" applyAlignment="1" applyFont="1">
      <alignment vertical="bottom"/>
    </xf>
    <xf borderId="0" fillId="0" fontId="20" numFmtId="0" xfId="0" applyAlignment="1" applyFont="1">
      <alignment vertical="bottom"/>
    </xf>
    <xf borderId="0" fillId="0" fontId="20" numFmtId="0" xfId="0" applyAlignment="1" applyFont="1">
      <alignment horizontal="right" readingOrder="0" vertical="bottom"/>
    </xf>
    <xf borderId="0" fillId="0" fontId="11" numFmtId="0" xfId="0" applyFont="1"/>
    <xf borderId="0" fillId="0" fontId="19" numFmtId="0" xfId="0" applyAlignment="1" applyFont="1">
      <alignment vertical="bottom"/>
    </xf>
    <xf borderId="0" fillId="0" fontId="19" numFmtId="0" xfId="0" applyAlignment="1" applyFont="1">
      <alignment horizontal="right" vertical="bottom"/>
    </xf>
    <xf borderId="0" fillId="0" fontId="19" numFmtId="0" xfId="0" applyAlignment="1" applyFont="1">
      <alignment horizontal="center" vertical="bottom"/>
    </xf>
    <xf borderId="0" fillId="0" fontId="5" numFmtId="0" xfId="0" applyAlignment="1" applyFont="1">
      <alignment horizontal="right"/>
    </xf>
    <xf borderId="0" fillId="0" fontId="20" numFmtId="0" xfId="0" applyAlignment="1" applyFont="1">
      <alignment horizontal="center" readingOrder="0" vertical="bottom"/>
    </xf>
    <xf borderId="0" fillId="0" fontId="20" numFmtId="0" xfId="0" applyAlignment="1" applyFont="1">
      <alignment horizontal="center" vertical="bottom"/>
    </xf>
    <xf borderId="0" fillId="0" fontId="21" numFmtId="0" xfId="0" applyAlignment="1" applyFont="1">
      <alignment readingOrder="0" vertical="bottom"/>
    </xf>
    <xf borderId="1" fillId="0" fontId="11" numFmtId="0" xfId="0" applyAlignment="1" applyBorder="1" applyFont="1">
      <alignment horizontal="center" readingOrder="0"/>
    </xf>
    <xf borderId="0" fillId="0" fontId="5" numFmtId="0" xfId="0" applyAlignment="1" applyFont="1">
      <alignment horizontal="center"/>
    </xf>
    <xf borderId="0" fillId="0" fontId="5" numFmtId="0" xfId="0" applyAlignment="1" applyFont="1">
      <alignment horizontal="center" vertical="center"/>
    </xf>
    <xf borderId="0" fillId="0" fontId="22" numFmtId="10" xfId="0" applyFont="1" applyNumberFormat="1"/>
    <xf borderId="0" fillId="0" fontId="23" numFmtId="10" xfId="0" applyFont="1" applyNumberFormat="1"/>
    <xf borderId="1" fillId="0" fontId="5" numFmtId="0" xfId="0" applyAlignment="1" applyBorder="1" applyFont="1">
      <alignment horizontal="center" readingOrder="0"/>
    </xf>
    <xf borderId="0" fillId="0" fontId="22" numFmtId="0" xfId="0" applyFont="1"/>
    <xf borderId="1" fillId="0" fontId="5" numFmtId="0" xfId="0" applyAlignment="1" applyBorder="1" applyFont="1">
      <alignment horizontal="center"/>
    </xf>
    <xf borderId="0" fillId="0" fontId="24" numFmtId="0" xfId="0" applyAlignment="1" applyFont="1">
      <alignment vertical="bottom"/>
    </xf>
    <xf borderId="0" fillId="0" fontId="14" numFmtId="0" xfId="0" applyAlignment="1" applyFont="1">
      <alignment readingOrder="0" shrinkToFit="0" vertical="bottom" wrapText="0"/>
    </xf>
    <xf borderId="1" fillId="0" fontId="11" numFmtId="0" xfId="0" applyAlignment="1" applyBorder="1" applyFont="1">
      <alignment readingOrder="0"/>
    </xf>
    <xf borderId="2" fillId="0" fontId="11" numFmtId="0" xfId="0" applyAlignment="1" applyBorder="1" applyFont="1">
      <alignment readingOrder="0" shrinkToFit="0" wrapText="0"/>
    </xf>
    <xf borderId="1" fillId="0" fontId="5" numFmtId="10" xfId="0" applyBorder="1" applyFont="1" applyNumberFormat="1"/>
    <xf borderId="2" fillId="0" fontId="5" numFmtId="0" xfId="0" applyAlignment="1" applyBorder="1" applyFont="1">
      <alignment shrinkToFit="0" wrapText="0"/>
    </xf>
    <xf borderId="0" fillId="0" fontId="5" numFmtId="0" xfId="0" applyAlignment="1" applyFont="1">
      <alignment shrinkToFit="0" wrapText="0"/>
    </xf>
    <xf borderId="1" fillId="0" fontId="5" numFmtId="0" xfId="0" applyBorder="1" applyFont="1"/>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color rgb="FFB7B7B7"/>
      </font>
      <fill>
        <patternFill patternType="none"/>
      </fill>
      <border/>
    </dxf>
    <dxf>
      <font/>
      <fill>
        <patternFill patternType="solid">
          <fgColor rgb="FF6D9EEB"/>
          <bgColor rgb="FF6D9EE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257175</xdr:colOff>
      <xdr:row>49</xdr:row>
      <xdr:rowOff>-209550</xdr:rowOff>
    </xdr:from>
    <xdr:ext cx="8077200" cy="4953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38100</xdr:colOff>
      <xdr:row>6</xdr:row>
      <xdr:rowOff>238125</xdr:rowOff>
    </xdr:from>
    <xdr:ext cx="9877425" cy="8896350"/>
    <xdr:sp>
      <xdr:nvSpPr>
        <xdr:cNvPr id="3" name="Shape 3"/>
        <xdr:cNvSpPr txBox="1"/>
      </xdr:nvSpPr>
      <xdr:spPr>
        <a:xfrm>
          <a:off x="706675" y="181625"/>
          <a:ext cx="9857400" cy="8876400"/>
        </a:xfrm>
        <a:prstGeom prst="rect">
          <a:avLst/>
        </a:prstGeom>
        <a:solidFill>
          <a:srgbClr val="CFE2F3"/>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General comments &amp; reminder (for myself)</a:t>
          </a:r>
          <a:endParaRPr sz="1400"/>
        </a:p>
        <a:p>
          <a:pPr indent="-317500" lvl="0" marL="457200" rtl="0" algn="l">
            <a:spcBef>
              <a:spcPts val="0"/>
            </a:spcBef>
            <a:spcAft>
              <a:spcPts val="0"/>
            </a:spcAft>
            <a:buSzPts val="1400"/>
            <a:buChar char="●"/>
          </a:pPr>
          <a:r>
            <a:rPr lang="en-US" sz="1400"/>
            <a:t>Label as SDG 10 if I am very sure the passage belongs to a document that talks about (global) income inequality. Relevance to targets give the hints.</a:t>
          </a:r>
          <a:endParaRPr sz="1400"/>
        </a:p>
        <a:p>
          <a:pPr indent="0" lvl="0" marL="0" rtl="0" algn="l">
            <a:spcBef>
              <a:spcPts val="0"/>
            </a:spcBef>
            <a:spcAft>
              <a:spcPts val="0"/>
            </a:spcAft>
            <a:buNone/>
          </a:pPr>
          <a:r>
            <a:t/>
          </a:r>
          <a:endParaRPr sz="1400"/>
        </a:p>
        <a:p>
          <a:pPr indent="-317500" lvl="0" marL="457200" rtl="0" algn="l">
            <a:spcBef>
              <a:spcPts val="0"/>
            </a:spcBef>
            <a:spcAft>
              <a:spcPts val="0"/>
            </a:spcAft>
            <a:buSzPts val="1400"/>
            <a:buChar char="●"/>
          </a:pPr>
          <a:r>
            <a:rPr lang="en-US" sz="1400"/>
            <a:t>SDG 10’s motivation and targets are seemingly inconsistent:</a:t>
          </a:r>
          <a:endParaRPr sz="1400"/>
        </a:p>
        <a:p>
          <a:pPr indent="-317500" lvl="1" marL="914400" rtl="0" algn="l">
            <a:spcBef>
              <a:spcPts val="0"/>
            </a:spcBef>
            <a:spcAft>
              <a:spcPts val="0"/>
            </a:spcAft>
            <a:buSzPts val="1400"/>
            <a:buChar char="○"/>
          </a:pPr>
          <a:r>
            <a:rPr lang="en-US" sz="1400"/>
            <a:t>The </a:t>
          </a:r>
          <a:r>
            <a:rPr lang="en-US" sz="1400"/>
            <a:t>motivation</a:t>
          </a:r>
          <a:r>
            <a:rPr lang="en-US" sz="1400"/>
            <a:t> describes only </a:t>
          </a:r>
          <a:r>
            <a:rPr b="1" lang="en-US" sz="1400"/>
            <a:t>global</a:t>
          </a:r>
          <a:r>
            <a:rPr lang="en-US" sz="1400"/>
            <a:t> income inequality</a:t>
          </a:r>
          <a:endParaRPr sz="1400"/>
        </a:p>
        <a:p>
          <a:pPr indent="-317500" lvl="1" marL="914400" rtl="0" algn="l">
            <a:spcBef>
              <a:spcPts val="0"/>
            </a:spcBef>
            <a:spcAft>
              <a:spcPts val="0"/>
            </a:spcAft>
            <a:buSzPts val="1400"/>
            <a:buChar char="○"/>
          </a:pPr>
          <a:r>
            <a:rPr lang="en-US" sz="1400"/>
            <a:t>The target 10.2 is mainly about </a:t>
          </a:r>
          <a:r>
            <a:rPr b="1" lang="en-US" sz="1400"/>
            <a:t>social inclusion</a:t>
          </a:r>
          <a:r>
            <a:rPr lang="en-US" sz="1400"/>
            <a:t> and barely has anything to do with income. This overlaps somewhat with SDG 5 (which should be renamed as “Equal rights for women”).</a:t>
          </a:r>
          <a:endParaRPr sz="1400"/>
        </a:p>
        <a:p>
          <a:pPr indent="-317500" lvl="1" marL="914400" rtl="0" algn="l">
            <a:spcBef>
              <a:spcPts val="0"/>
            </a:spcBef>
            <a:spcAft>
              <a:spcPts val="0"/>
            </a:spcAft>
            <a:buSzPts val="1400"/>
            <a:buChar char="○"/>
          </a:pPr>
          <a:r>
            <a:rPr lang="en-US" sz="1400"/>
            <a:t>The target 10.7 on migration assumes that migration has some (in)direct link to inequality, although the mechanism is not clear.</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After considering the motivation and targets, here is my understanding about SDG 10</a:t>
          </a:r>
          <a:endParaRPr sz="1400"/>
        </a:p>
        <a:p>
          <a:pPr indent="-317500" lvl="0" marL="457200" rtl="0" algn="l">
            <a:spcBef>
              <a:spcPts val="0"/>
            </a:spcBef>
            <a:spcAft>
              <a:spcPts val="0"/>
            </a:spcAft>
            <a:buSzPts val="1400"/>
            <a:buAutoNum type="arabicPeriod"/>
          </a:pPr>
          <a:r>
            <a:rPr lang="en-US" sz="1400"/>
            <a:t>SDG 10 is </a:t>
          </a:r>
          <a:r>
            <a:rPr b="1" lang="en-US" sz="1400"/>
            <a:t>not only </a:t>
          </a:r>
          <a:r>
            <a:rPr lang="en-US" sz="1400"/>
            <a:t>about </a:t>
          </a:r>
          <a:r>
            <a:rPr b="1" lang="en-US" sz="1400"/>
            <a:t>poverty, education, social inclusion</a:t>
          </a:r>
          <a:r>
            <a:rPr lang="en-US" sz="1400"/>
            <a:t>. </a:t>
          </a:r>
          <a:endParaRPr sz="1400"/>
        </a:p>
        <a:p>
          <a:pPr indent="-317500" lvl="0" marL="457200" rtl="0" algn="l">
            <a:spcBef>
              <a:spcPts val="0"/>
            </a:spcBef>
            <a:spcAft>
              <a:spcPts val="0"/>
            </a:spcAft>
            <a:buSzPts val="1400"/>
            <a:buAutoNum type="arabicPeriod"/>
          </a:pPr>
          <a:r>
            <a:rPr lang="en-US" sz="1400"/>
            <a:t>Measure for SDG 10 is </a:t>
          </a:r>
          <a:r>
            <a:rPr b="1" lang="en-US" sz="1400"/>
            <a:t>Gini Coefficient</a:t>
          </a:r>
          <a:r>
            <a:rPr lang="en-US" sz="1400"/>
            <a:t> of income inequality within and between countries, with emphasis on </a:t>
          </a:r>
          <a:r>
            <a:rPr b="1" lang="en-US" sz="1400"/>
            <a:t>global</a:t>
          </a:r>
          <a:r>
            <a:rPr lang="en-US" sz="1400"/>
            <a:t>.</a:t>
          </a:r>
          <a:endParaRPr sz="1400"/>
        </a:p>
        <a:p>
          <a:pPr indent="-317500" lvl="0" marL="457200" rtl="0" algn="l">
            <a:spcBef>
              <a:spcPts val="0"/>
            </a:spcBef>
            <a:spcAft>
              <a:spcPts val="0"/>
            </a:spcAft>
            <a:buSzPts val="1400"/>
            <a:buAutoNum type="arabicPeriod"/>
          </a:pPr>
          <a:r>
            <a:rPr lang="en-US" sz="1400"/>
            <a:t>Therefore, any policy that reduces the Gini Coefficient is SDG 10</a:t>
          </a:r>
          <a:endParaRPr sz="1400"/>
        </a:p>
        <a:p>
          <a:pPr indent="-317500" lvl="0" marL="457200" rtl="0" algn="l">
            <a:spcBef>
              <a:spcPts val="0"/>
            </a:spcBef>
            <a:spcAft>
              <a:spcPts val="0"/>
            </a:spcAft>
            <a:buSzPts val="1400"/>
            <a:buAutoNum type="arabicPeriod"/>
          </a:pPr>
          <a:r>
            <a:rPr lang="en-US" sz="1400"/>
            <a:t>This means that, </a:t>
          </a:r>
          <a:r>
            <a:rPr b="1" lang="en-US" sz="1400"/>
            <a:t>within a country</a:t>
          </a:r>
          <a:r>
            <a:rPr lang="en-US" sz="1400"/>
            <a:t>, if a policy makes low &amp; middle income population in Germany earn more so that they catch up with </a:t>
          </a:r>
          <a:r>
            <a:rPr lang="en-US" sz="1400"/>
            <a:t>the top 10%, then it will be SDG 10, even though not all these people live in poverty.</a:t>
          </a:r>
          <a:r>
            <a:rPr lang="en-US" sz="1400"/>
            <a:t> </a:t>
          </a:r>
          <a:endParaRPr sz="1400"/>
        </a:p>
        <a:p>
          <a:pPr indent="-317500" lvl="0" marL="457200" rtl="0" algn="l">
            <a:spcBef>
              <a:spcPts val="0"/>
            </a:spcBef>
            <a:spcAft>
              <a:spcPts val="0"/>
            </a:spcAft>
            <a:buSzPts val="1400"/>
            <a:buAutoNum type="arabicPeriod"/>
          </a:pPr>
          <a:r>
            <a:rPr lang="en-US" sz="1400"/>
            <a:t>The targets are written with the assumptions that </a:t>
          </a:r>
          <a:r>
            <a:rPr b="1" lang="en-US" sz="1400"/>
            <a:t>global income inequality</a:t>
          </a:r>
          <a:r>
            <a:rPr lang="en-US" sz="1400"/>
            <a:t> (i.e. </a:t>
          </a:r>
          <a:r>
            <a:rPr lang="en-US" sz="1400"/>
            <a:t>Make everyone other than the rich 1% earn more</a:t>
          </a:r>
          <a:r>
            <a:rPr lang="en-US" sz="1400"/>
            <a:t>) can be reduced specifically by (putting in plainer words)</a:t>
          </a:r>
          <a:endParaRPr sz="1400"/>
        </a:p>
        <a:p>
          <a:pPr indent="-317500" lvl="1" marL="914400" rtl="0" algn="l">
            <a:spcBef>
              <a:spcPts val="0"/>
            </a:spcBef>
            <a:spcAft>
              <a:spcPts val="0"/>
            </a:spcAft>
            <a:buSzPts val="1400"/>
            <a:buAutoNum type="alphaLcPeriod"/>
          </a:pPr>
          <a:r>
            <a:rPr lang="en-US" sz="1400" u="sng"/>
            <a:t>Within country policies</a:t>
          </a:r>
          <a:endParaRPr sz="1400" u="sng"/>
        </a:p>
        <a:p>
          <a:pPr indent="-317500" lvl="2" marL="1371600" rtl="0" algn="l">
            <a:spcBef>
              <a:spcPts val="0"/>
            </a:spcBef>
            <a:spcAft>
              <a:spcPts val="0"/>
            </a:spcAft>
            <a:buSzPts val="1400"/>
            <a:buAutoNum type="romanLcPeriod"/>
          </a:pPr>
          <a:r>
            <a:rPr lang="en-US" sz="1400"/>
            <a:t>10.1 increases income of the bottom 40% (somehow) and the level must stay (ideally in real-term, not just inflation)</a:t>
          </a:r>
          <a:endParaRPr sz="1400"/>
        </a:p>
        <a:p>
          <a:pPr indent="-317500" lvl="2" marL="1371600" rtl="0" algn="l">
            <a:spcBef>
              <a:spcPts val="0"/>
            </a:spcBef>
            <a:spcAft>
              <a:spcPts val="0"/>
            </a:spcAft>
            <a:buSzPts val="1400"/>
            <a:buAutoNum type="romanLcPeriod"/>
          </a:pPr>
          <a:r>
            <a:rPr lang="en-US" sz="1400"/>
            <a:t>10.2 &amp; 10.3 no discrimination in hiring</a:t>
          </a:r>
          <a:endParaRPr sz="1400"/>
        </a:p>
        <a:p>
          <a:pPr indent="-317500" lvl="2" marL="1371600" rtl="0" algn="l">
            <a:spcBef>
              <a:spcPts val="0"/>
            </a:spcBef>
            <a:spcAft>
              <a:spcPts val="0"/>
            </a:spcAft>
            <a:buSzPts val="1400"/>
            <a:buAutoNum type="romanLcPeriod"/>
          </a:pPr>
          <a:r>
            <a:rPr lang="en-US" sz="1400"/>
            <a:t>10.4 implement income safety nets, e.g. savings for retirements, insurances against anything that will send </a:t>
          </a:r>
          <a:r>
            <a:rPr lang="en-US" sz="1400"/>
            <a:t>people</a:t>
          </a:r>
          <a:r>
            <a:rPr lang="en-US" sz="1400"/>
            <a:t> into lower income status</a:t>
          </a:r>
          <a:endParaRPr sz="1400"/>
        </a:p>
        <a:p>
          <a:pPr indent="-317500" lvl="2" marL="1371600" rtl="0" algn="l">
            <a:spcBef>
              <a:spcPts val="0"/>
            </a:spcBef>
            <a:spcAft>
              <a:spcPts val="0"/>
            </a:spcAft>
            <a:buSzPts val="1400"/>
            <a:buAutoNum type="romanLcPeriod"/>
          </a:pPr>
          <a:r>
            <a:rPr lang="en-US" sz="1400"/>
            <a:t>10.5 Prevent speculative investments, especially by the rich through financial market regulations</a:t>
          </a:r>
          <a:endParaRPr sz="1400"/>
        </a:p>
        <a:p>
          <a:pPr indent="-317500" lvl="2" marL="1371600" rtl="0" algn="l">
            <a:spcBef>
              <a:spcPts val="0"/>
            </a:spcBef>
            <a:spcAft>
              <a:spcPts val="0"/>
            </a:spcAft>
            <a:buSzPts val="1400"/>
            <a:buAutoNum type="romanLcPeriod"/>
          </a:pPr>
          <a:r>
            <a:rPr lang="en-US" sz="1400"/>
            <a:t>(10.7 &amp; 10.8) </a:t>
          </a:r>
          <a:endParaRPr sz="1400"/>
        </a:p>
        <a:p>
          <a:pPr indent="-317500" lvl="1" marL="914400" rtl="0" algn="l">
            <a:spcBef>
              <a:spcPts val="0"/>
            </a:spcBef>
            <a:spcAft>
              <a:spcPts val="0"/>
            </a:spcAft>
            <a:buSzPts val="1400"/>
            <a:buAutoNum type="alphaLcPeriod"/>
          </a:pPr>
          <a:r>
            <a:rPr lang="en-US" sz="1400" u="sng"/>
            <a:t>International policies</a:t>
          </a:r>
          <a:endParaRPr sz="1400" u="sng"/>
        </a:p>
        <a:p>
          <a:pPr indent="-317500" lvl="2" marL="1371600" rtl="0" algn="l">
            <a:spcBef>
              <a:spcPts val="0"/>
            </a:spcBef>
            <a:spcAft>
              <a:spcPts val="0"/>
            </a:spcAft>
            <a:buSzPts val="1400"/>
            <a:buAutoNum type="romanLcPeriod"/>
          </a:pPr>
          <a:r>
            <a:rPr lang="en-US" sz="1400"/>
            <a:t>10.5 Make global financial market fair &amp; inclusive. No predatory &amp; speculative investment in other countries disguised as FDI. </a:t>
          </a:r>
          <a:endParaRPr sz="1400"/>
        </a:p>
        <a:p>
          <a:pPr indent="-317500" lvl="2" marL="1371600" rtl="0" algn="l">
            <a:spcBef>
              <a:spcPts val="0"/>
            </a:spcBef>
            <a:spcAft>
              <a:spcPts val="0"/>
            </a:spcAft>
            <a:buSzPts val="1400"/>
            <a:buAutoNum type="romanLcPeriod"/>
          </a:pPr>
          <a:r>
            <a:rPr lang="en-US" sz="1400"/>
            <a:t>10.6 Listen to the developing countries before implementing any </a:t>
          </a:r>
          <a:r>
            <a:rPr lang="en-US" sz="1400"/>
            <a:t>financial &amp; trade</a:t>
          </a:r>
          <a:r>
            <a:rPr lang="en-US" sz="1400"/>
            <a:t> laws that will affect them (e.g. import tax, international income / corporate tax laws, international trade agreement)</a:t>
          </a:r>
          <a:endParaRPr sz="1400"/>
        </a:p>
        <a:p>
          <a:pPr indent="-317500" lvl="2" marL="1371600" rtl="0" algn="l">
            <a:spcBef>
              <a:spcPts val="0"/>
            </a:spcBef>
            <a:spcAft>
              <a:spcPts val="0"/>
            </a:spcAft>
            <a:buSzPts val="1400"/>
            <a:buAutoNum type="romanLcPeriod"/>
          </a:pPr>
          <a:r>
            <a:rPr lang="en-US" sz="1400"/>
            <a:t>10.8 Give handicap to least developed &amp; developing countries in international trade</a:t>
          </a:r>
          <a:endParaRPr sz="1400"/>
        </a:p>
        <a:p>
          <a:pPr indent="-317500" lvl="2" marL="1371600" rtl="0" algn="l">
            <a:spcBef>
              <a:spcPts val="0"/>
            </a:spcBef>
            <a:spcAft>
              <a:spcPts val="0"/>
            </a:spcAft>
            <a:buSzPts val="1400"/>
            <a:buAutoNum type="romanLcPeriod"/>
          </a:pPr>
          <a:r>
            <a:rPr lang="en-US" sz="1400"/>
            <a:t>10.9 FDI prioritizes least developed countries, Africa, Polynesia &amp; co., landlocked developing countries (e.g. Laos, which is practically forgotten.)</a:t>
          </a:r>
          <a:endParaRPr sz="1400"/>
        </a:p>
        <a:p>
          <a:pPr indent="-317500" lvl="2" marL="1371600" rtl="0" algn="l">
            <a:spcBef>
              <a:spcPts val="0"/>
            </a:spcBef>
            <a:spcAft>
              <a:spcPts val="0"/>
            </a:spcAft>
            <a:buSzPts val="1400"/>
            <a:buAutoNum type="romanLcPeriod"/>
          </a:pPr>
          <a:r>
            <a:rPr lang="en-US" sz="1400"/>
            <a:t>10.7 &amp; 10.8 Support foreign workers so that they can earn better than in their poorer home countries and send the money back home. Any migration that doesn’t involve sending money home is not SDG 10.</a:t>
          </a:r>
          <a:endParaRPr sz="1400"/>
        </a:p>
        <a:p>
          <a:pPr indent="0" lvl="0" marL="0" rtl="0" algn="l">
            <a:spcBef>
              <a:spcPts val="0"/>
            </a:spcBef>
            <a:spcAft>
              <a:spcPts val="0"/>
            </a:spcAft>
            <a:buNone/>
          </a:pPr>
          <a:r>
            <a:t/>
          </a:r>
          <a:endParaRPr sz="1400"/>
        </a:p>
        <a:p>
          <a:pPr indent="0" lvl="0" marL="0" rtl="0" algn="l">
            <a:spcBef>
              <a:spcPts val="0"/>
            </a:spcBef>
            <a:spcAft>
              <a:spcPts val="0"/>
            </a:spcAft>
            <a:buNone/>
          </a:pPr>
          <a:r>
            <a:rPr lang="en-US" sz="1400"/>
            <a:t>I think UNDP </a:t>
          </a:r>
          <a:r>
            <a:rPr b="1" lang="en-US" sz="1400"/>
            <a:t>didn’t consider within-country migration</a:t>
          </a:r>
          <a:r>
            <a:rPr lang="en-US" sz="1400"/>
            <a:t> when it wrote down the SDGs, since </a:t>
          </a:r>
          <a:r>
            <a:rPr i="1" lang="en-US" sz="1400"/>
            <a:t>remittance </a:t>
          </a:r>
          <a:r>
            <a:rPr lang="en-US" sz="1400"/>
            <a:t>is almost always mentioned in international migration.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KCI6yswUKtks84SBjK2OGY4P-cIgkcF/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9.25"/>
    <col customWidth="1" min="3" max="3" width="127.5"/>
  </cols>
  <sheetData>
    <row r="1">
      <c r="A1" s="1"/>
    </row>
    <row r="2">
      <c r="B2" s="2" t="s">
        <v>0</v>
      </c>
    </row>
    <row r="3">
      <c r="B3" s="3"/>
    </row>
    <row r="4">
      <c r="B4" s="4" t="s">
        <v>1</v>
      </c>
    </row>
    <row r="5">
      <c r="B5" s="5" t="s">
        <v>2</v>
      </c>
    </row>
    <row r="6">
      <c r="B6" s="5"/>
    </row>
    <row r="7">
      <c r="B7" s="6" t="s">
        <v>3</v>
      </c>
    </row>
    <row r="8">
      <c r="B8" s="5" t="s">
        <v>4</v>
      </c>
    </row>
    <row r="9">
      <c r="B9" s="5" t="s">
        <v>5</v>
      </c>
    </row>
    <row r="10">
      <c r="B10" s="5" t="s">
        <v>6</v>
      </c>
    </row>
    <row r="11">
      <c r="B11" s="5" t="s">
        <v>7</v>
      </c>
    </row>
    <row r="12">
      <c r="B12" s="5" t="s">
        <v>8</v>
      </c>
    </row>
    <row r="13">
      <c r="B13" s="5"/>
    </row>
    <row r="14">
      <c r="B14" s="6" t="s">
        <v>9</v>
      </c>
    </row>
    <row r="15">
      <c r="B15" s="5" t="s">
        <v>10</v>
      </c>
    </row>
    <row r="16">
      <c r="B16" s="5" t="s">
        <v>11</v>
      </c>
    </row>
    <row r="17">
      <c r="B17" s="5"/>
      <c r="C17" s="5"/>
    </row>
    <row r="18">
      <c r="B18" s="7" t="b">
        <v>1</v>
      </c>
      <c r="C18" s="5" t="s">
        <v>12</v>
      </c>
    </row>
    <row r="19">
      <c r="B19" s="7" t="b">
        <v>0</v>
      </c>
      <c r="C19" s="5" t="s">
        <v>13</v>
      </c>
    </row>
    <row r="20">
      <c r="B20" s="7" t="s">
        <v>14</v>
      </c>
      <c r="C20" s="5" t="s">
        <v>15</v>
      </c>
    </row>
    <row r="22">
      <c r="B22" s="5" t="s">
        <v>16</v>
      </c>
    </row>
    <row r="24">
      <c r="B24" s="6" t="s">
        <v>17</v>
      </c>
    </row>
    <row r="25">
      <c r="B25" s="5" t="s">
        <v>18</v>
      </c>
      <c r="C25" s="8"/>
    </row>
    <row r="26">
      <c r="B26" s="9"/>
      <c r="C26" s="8"/>
    </row>
    <row r="27">
      <c r="B27" s="9" t="s">
        <v>19</v>
      </c>
      <c r="C27" s="8"/>
    </row>
    <row r="28">
      <c r="B28" s="10" t="s">
        <v>20</v>
      </c>
      <c r="C28" s="8"/>
    </row>
    <row r="29">
      <c r="B29" s="5"/>
      <c r="C29" s="8"/>
    </row>
    <row r="30">
      <c r="B30" s="11" t="s">
        <v>21</v>
      </c>
      <c r="C30" s="8"/>
    </row>
    <row r="31">
      <c r="B31" s="5"/>
      <c r="C31" s="8"/>
    </row>
    <row r="32">
      <c r="B32" s="9" t="s">
        <v>22</v>
      </c>
      <c r="C32" s="8"/>
    </row>
    <row r="33">
      <c r="B33" s="5" t="s">
        <v>23</v>
      </c>
      <c r="C33" s="8"/>
    </row>
    <row r="34">
      <c r="B34" s="5" t="s">
        <v>24</v>
      </c>
      <c r="C34" s="8"/>
    </row>
    <row r="35">
      <c r="C35" s="8"/>
    </row>
    <row r="36">
      <c r="B36" s="11" t="s">
        <v>21</v>
      </c>
      <c r="C36" s="8"/>
    </row>
    <row r="37">
      <c r="C37" s="8"/>
    </row>
    <row r="38">
      <c r="B38" s="9" t="s">
        <v>25</v>
      </c>
      <c r="C38" s="8"/>
    </row>
    <row r="39">
      <c r="B39" s="5" t="s">
        <v>26</v>
      </c>
      <c r="C39" s="8"/>
    </row>
    <row r="40">
      <c r="C40" s="8"/>
    </row>
    <row r="41">
      <c r="B41" s="9" t="s">
        <v>27</v>
      </c>
      <c r="C41" s="12"/>
    </row>
    <row r="42">
      <c r="B42" s="5" t="s">
        <v>28</v>
      </c>
    </row>
    <row r="43">
      <c r="B43" s="5" t="s">
        <v>29</v>
      </c>
    </row>
    <row r="44">
      <c r="B44" s="13"/>
    </row>
    <row r="45">
      <c r="B45" s="3" t="s">
        <v>30</v>
      </c>
    </row>
    <row r="47">
      <c r="B47" s="6" t="s">
        <v>31</v>
      </c>
    </row>
    <row r="48">
      <c r="B48" s="5" t="s">
        <v>32</v>
      </c>
    </row>
    <row r="74">
      <c r="B74" s="14" t="s">
        <v>33</v>
      </c>
    </row>
    <row r="76">
      <c r="B76" s="6" t="s">
        <v>34</v>
      </c>
    </row>
    <row r="77">
      <c r="B77" s="5" t="s">
        <v>35</v>
      </c>
    </row>
    <row r="78">
      <c r="B78" s="5"/>
    </row>
    <row r="79">
      <c r="B79" s="15" t="s">
        <v>36</v>
      </c>
      <c r="C79" s="15" t="s">
        <v>37</v>
      </c>
    </row>
    <row r="80">
      <c r="B80" s="14" t="s">
        <v>38</v>
      </c>
      <c r="C80" s="16" t="str">
        <f>IFERROR(__xludf.DUMMYFUNCTION("SPARKLINE((100-COUNTIF(INDIRECT(B80&amp;""!D:D""), ""TO DO""))/100+0.01,{""charttype"",""bar"";""max"",1.01;""min"",0; ""color1"", ""#4285f4""})"),"")</f>
        <v/>
      </c>
      <c r="D80" s="17" t="str">
        <f t="shared" ref="D80:D84" si="1">(100-COUNTIF(INDIRECT(B80&amp;"!D:D"), "TO DO")) &amp; " / 100"</f>
        <v>100 / 100</v>
      </c>
    </row>
    <row r="81">
      <c r="B81" s="14" t="s">
        <v>39</v>
      </c>
      <c r="C81" s="16" t="str">
        <f>IFERROR(__xludf.DUMMYFUNCTION("SPARKLINE((100-COUNTIF(INDIRECT(B81&amp;""!D:D""), ""TO DO""))/100+0.01,{""charttype"",""bar"";""max"",1.01;""min"",0; ""color1"", ""#4285f4""})"),"")</f>
        <v/>
      </c>
      <c r="D81" s="17" t="str">
        <f t="shared" si="1"/>
        <v>62 / 100</v>
      </c>
    </row>
    <row r="82">
      <c r="B82" s="14" t="s">
        <v>40</v>
      </c>
      <c r="C82" s="16" t="str">
        <f>IFERROR(__xludf.DUMMYFUNCTION("SPARKLINE((100-COUNTIF(INDIRECT(B82&amp;""!D:D""), ""TO DO""))/100+0.01,{""charttype"",""bar"";""max"",1.01;""min"",0; ""color1"", ""#4285f4""})"),"")</f>
        <v/>
      </c>
      <c r="D82" s="17" t="str">
        <f t="shared" si="1"/>
        <v>0 / 100</v>
      </c>
    </row>
    <row r="83">
      <c r="B83" s="14" t="s">
        <v>41</v>
      </c>
      <c r="C83" s="16" t="str">
        <f>IFERROR(__xludf.DUMMYFUNCTION("SPARKLINE((100-COUNTIF(INDIRECT(B83&amp;""!D:D""), ""TO DO""))/100+0.01,{""charttype"",""bar"";""max"",1.01;""min"",0; ""color1"", ""#4285f4""})"),"")</f>
        <v/>
      </c>
      <c r="D83" s="17" t="str">
        <f t="shared" si="1"/>
        <v>100 / 100</v>
      </c>
    </row>
    <row r="84">
      <c r="B84" s="14" t="s">
        <v>42</v>
      </c>
      <c r="C84" s="16" t="str">
        <f>IFERROR(__xludf.DUMMYFUNCTION("SPARKLINE((100-COUNTIF(INDIRECT(B84&amp;""!D:D""), ""TO DO""))/100+0.01,{""charttype"",""bar"";""max"",1.01;""min"",0; ""color1"", ""#4285f4""})"),"")</f>
        <v/>
      </c>
      <c r="D84" s="17" t="str">
        <f t="shared" si="1"/>
        <v>100 / 100</v>
      </c>
    </row>
    <row r="86">
      <c r="B86" s="18" t="s">
        <v>43</v>
      </c>
    </row>
    <row r="88">
      <c r="B88" s="6" t="s">
        <v>44</v>
      </c>
    </row>
    <row r="89">
      <c r="B89" s="5" t="s">
        <v>45</v>
      </c>
    </row>
    <row r="90">
      <c r="B90" s="5"/>
    </row>
    <row r="91">
      <c r="B91" s="5" t="s">
        <v>46</v>
      </c>
    </row>
    <row r="92">
      <c r="B92" s="5"/>
    </row>
    <row r="93">
      <c r="B93" s="19" t="s">
        <v>47</v>
      </c>
    </row>
    <row r="94">
      <c r="B94" s="5" t="s">
        <v>48</v>
      </c>
    </row>
    <row r="95">
      <c r="B95" s="5" t="s">
        <v>49</v>
      </c>
    </row>
    <row r="96">
      <c r="B96" s="5" t="s">
        <v>50</v>
      </c>
    </row>
    <row r="97">
      <c r="B97" s="5" t="s">
        <v>51</v>
      </c>
    </row>
    <row r="98">
      <c r="B98" s="5" t="s">
        <v>52</v>
      </c>
    </row>
    <row r="99">
      <c r="B99" s="5" t="s">
        <v>53</v>
      </c>
    </row>
    <row r="100">
      <c r="B100" s="5" t="s">
        <v>54</v>
      </c>
    </row>
    <row r="101">
      <c r="B101" s="5" t="s">
        <v>55</v>
      </c>
    </row>
    <row r="102">
      <c r="B102" s="5" t="s">
        <v>56</v>
      </c>
    </row>
    <row r="103">
      <c r="B103" s="5" t="s">
        <v>57</v>
      </c>
    </row>
    <row r="105">
      <c r="B105" s="19" t="s">
        <v>58</v>
      </c>
    </row>
    <row r="106">
      <c r="B106" s="5" t="s">
        <v>59</v>
      </c>
    </row>
    <row r="107">
      <c r="B107" s="5" t="s">
        <v>60</v>
      </c>
    </row>
    <row r="108">
      <c r="B108" s="5" t="s">
        <v>61</v>
      </c>
    </row>
    <row r="109">
      <c r="B109" s="5" t="s">
        <v>62</v>
      </c>
    </row>
    <row r="110">
      <c r="B110" s="5" t="s">
        <v>63</v>
      </c>
    </row>
    <row r="112">
      <c r="B112" s="5" t="s">
        <v>64</v>
      </c>
    </row>
    <row r="113">
      <c r="B113" s="5" t="s">
        <v>65</v>
      </c>
    </row>
    <row r="114">
      <c r="B114" s="5" t="s">
        <v>66</v>
      </c>
    </row>
    <row r="115">
      <c r="B115" s="5" t="s">
        <v>67</v>
      </c>
    </row>
    <row r="116">
      <c r="B116" s="5" t="s">
        <v>68</v>
      </c>
    </row>
    <row r="117">
      <c r="B117" s="5" t="s">
        <v>69</v>
      </c>
    </row>
  </sheetData>
  <dataValidations>
    <dataValidation type="list" allowBlank="1" showErrorMessage="1" sqref="B18:B20">
      <formula1>"TRUE,FALSE,SKIP"</formula1>
    </dataValidation>
  </dataValidations>
  <hyperlinks>
    <hyperlink r:id="rId1" ref="B74"/>
    <hyperlink display="Finn" location="Finn!A1" ref="B80"/>
    <hyperlink display="Gib" location="Gib!A1" ref="B81"/>
    <hyperlink display="Jean-Baptiste" location="'Jean-Baptiste'!A1" ref="B82"/>
    <hyperlink display="Meike" location="Meike!A1" ref="B83"/>
    <hyperlink display="Steve" location="Steve!A1" ref="B8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1.75"/>
    <col customWidth="1" min="4" max="4" width="19.75"/>
    <col customWidth="1" min="5" max="5" width="34.63"/>
  </cols>
  <sheetData>
    <row r="1">
      <c r="A1" s="20" t="s">
        <v>70</v>
      </c>
      <c r="B1" s="20" t="s">
        <v>71</v>
      </c>
      <c r="C1" s="21" t="s">
        <v>72</v>
      </c>
      <c r="D1" s="22" t="s">
        <v>73</v>
      </c>
      <c r="E1" s="15" t="s">
        <v>74</v>
      </c>
    </row>
    <row r="2">
      <c r="A2" s="23" t="s">
        <v>75</v>
      </c>
      <c r="B2" s="23" t="s">
        <v>76</v>
      </c>
      <c r="C2" s="24" t="s">
        <v>77</v>
      </c>
      <c r="D2" s="25" t="b">
        <v>1</v>
      </c>
    </row>
    <row r="3">
      <c r="A3" s="23" t="s">
        <v>78</v>
      </c>
      <c r="B3" s="23" t="s">
        <v>79</v>
      </c>
      <c r="C3" s="24" t="s">
        <v>80</v>
      </c>
      <c r="D3" s="25" t="b">
        <v>1</v>
      </c>
    </row>
    <row r="4">
      <c r="A4" s="23" t="s">
        <v>81</v>
      </c>
      <c r="B4" s="23" t="s">
        <v>82</v>
      </c>
      <c r="C4" s="24" t="s">
        <v>83</v>
      </c>
      <c r="D4" s="25" t="b">
        <v>0</v>
      </c>
      <c r="E4" s="5" t="s">
        <v>84</v>
      </c>
    </row>
    <row r="5">
      <c r="A5" s="23" t="s">
        <v>85</v>
      </c>
      <c r="B5" s="23" t="s">
        <v>86</v>
      </c>
      <c r="C5" s="24" t="s">
        <v>87</v>
      </c>
      <c r="D5" s="25" t="b">
        <v>0</v>
      </c>
    </row>
    <row r="6">
      <c r="A6" s="23" t="s">
        <v>88</v>
      </c>
      <c r="B6" s="23" t="s">
        <v>89</v>
      </c>
      <c r="C6" s="24" t="s">
        <v>90</v>
      </c>
      <c r="D6" s="25" t="b">
        <v>0</v>
      </c>
    </row>
    <row r="7">
      <c r="A7" s="23" t="s">
        <v>91</v>
      </c>
      <c r="B7" s="23" t="s">
        <v>92</v>
      </c>
      <c r="C7" s="24" t="s">
        <v>93</v>
      </c>
      <c r="D7" s="25" t="b">
        <v>1</v>
      </c>
    </row>
    <row r="8">
      <c r="A8" s="23" t="s">
        <v>94</v>
      </c>
      <c r="B8" s="23" t="s">
        <v>95</v>
      </c>
      <c r="C8" s="24" t="s">
        <v>96</v>
      </c>
      <c r="D8" s="25" t="b">
        <v>0</v>
      </c>
    </row>
    <row r="9">
      <c r="A9" s="23" t="s">
        <v>97</v>
      </c>
      <c r="B9" s="23" t="s">
        <v>98</v>
      </c>
      <c r="C9" s="24" t="s">
        <v>99</v>
      </c>
      <c r="D9" s="25" t="b">
        <v>1</v>
      </c>
      <c r="E9" s="5" t="s">
        <v>100</v>
      </c>
    </row>
    <row r="10">
      <c r="A10" s="23" t="s">
        <v>101</v>
      </c>
      <c r="B10" s="23" t="s">
        <v>102</v>
      </c>
      <c r="C10" s="24" t="s">
        <v>103</v>
      </c>
      <c r="D10" s="25" t="b">
        <v>1</v>
      </c>
    </row>
    <row r="11">
      <c r="A11" s="23" t="s">
        <v>91</v>
      </c>
      <c r="B11" s="23" t="s">
        <v>104</v>
      </c>
      <c r="C11" s="24" t="s">
        <v>105</v>
      </c>
      <c r="D11" s="25" t="b">
        <v>0</v>
      </c>
    </row>
    <row r="12">
      <c r="A12" s="23" t="s">
        <v>106</v>
      </c>
      <c r="B12" s="23" t="s">
        <v>107</v>
      </c>
      <c r="C12" s="24" t="s">
        <v>108</v>
      </c>
      <c r="D12" s="25" t="b">
        <v>1</v>
      </c>
      <c r="E12" s="5" t="s">
        <v>100</v>
      </c>
    </row>
    <row r="13">
      <c r="A13" s="23" t="s">
        <v>109</v>
      </c>
      <c r="B13" s="23" t="s">
        <v>110</v>
      </c>
      <c r="C13" s="24" t="s">
        <v>111</v>
      </c>
      <c r="D13" s="25" t="b">
        <v>0</v>
      </c>
    </row>
    <row r="14">
      <c r="A14" s="23" t="s">
        <v>112</v>
      </c>
      <c r="B14" s="23" t="s">
        <v>113</v>
      </c>
      <c r="C14" s="24" t="s">
        <v>114</v>
      </c>
      <c r="D14" s="25" t="b">
        <v>1</v>
      </c>
    </row>
    <row r="15">
      <c r="A15" s="23" t="s">
        <v>115</v>
      </c>
      <c r="B15" s="23" t="s">
        <v>116</v>
      </c>
      <c r="C15" s="24" t="s">
        <v>117</v>
      </c>
      <c r="D15" s="25" t="b">
        <v>1</v>
      </c>
      <c r="E15" s="5" t="s">
        <v>118</v>
      </c>
    </row>
    <row r="16">
      <c r="A16" s="23" t="s">
        <v>119</v>
      </c>
      <c r="B16" s="23" t="s">
        <v>120</v>
      </c>
      <c r="C16" s="24" t="s">
        <v>121</v>
      </c>
      <c r="D16" s="25" t="b">
        <v>1</v>
      </c>
      <c r="E16" s="5" t="s">
        <v>122</v>
      </c>
    </row>
    <row r="17">
      <c r="A17" s="23" t="s">
        <v>123</v>
      </c>
      <c r="B17" s="23" t="s">
        <v>124</v>
      </c>
      <c r="C17" s="24" t="s">
        <v>125</v>
      </c>
      <c r="D17" s="25" t="b">
        <v>1</v>
      </c>
    </row>
    <row r="18">
      <c r="A18" s="23" t="s">
        <v>126</v>
      </c>
      <c r="B18" s="23" t="s">
        <v>127</v>
      </c>
      <c r="C18" s="24" t="s">
        <v>128</v>
      </c>
      <c r="D18" s="25" t="b">
        <v>0</v>
      </c>
    </row>
    <row r="19">
      <c r="A19" s="23" t="s">
        <v>129</v>
      </c>
      <c r="B19" s="23" t="s">
        <v>130</v>
      </c>
      <c r="C19" s="24" t="s">
        <v>131</v>
      </c>
      <c r="D19" s="25" t="b">
        <v>0</v>
      </c>
      <c r="E19" s="5" t="s">
        <v>132</v>
      </c>
    </row>
    <row r="20">
      <c r="A20" s="23" t="s">
        <v>133</v>
      </c>
      <c r="B20" s="23" t="s">
        <v>134</v>
      </c>
      <c r="C20" s="24" t="s">
        <v>135</v>
      </c>
      <c r="D20" s="25" t="b">
        <v>1</v>
      </c>
    </row>
    <row r="21">
      <c r="A21" s="23" t="s">
        <v>78</v>
      </c>
      <c r="B21" s="23" t="s">
        <v>136</v>
      </c>
      <c r="C21" s="24" t="s">
        <v>137</v>
      </c>
      <c r="D21" s="25" t="b">
        <v>1</v>
      </c>
    </row>
    <row r="22">
      <c r="A22" s="23" t="s">
        <v>138</v>
      </c>
      <c r="B22" s="23" t="s">
        <v>139</v>
      </c>
      <c r="C22" s="24" t="s">
        <v>140</v>
      </c>
      <c r="D22" s="25" t="b">
        <v>1</v>
      </c>
    </row>
    <row r="23">
      <c r="A23" s="23" t="s">
        <v>141</v>
      </c>
      <c r="B23" s="23" t="s">
        <v>142</v>
      </c>
      <c r="C23" s="24" t="s">
        <v>143</v>
      </c>
      <c r="D23" s="25" t="b">
        <v>0</v>
      </c>
    </row>
    <row r="24">
      <c r="A24" s="23" t="s">
        <v>144</v>
      </c>
      <c r="B24" s="23" t="s">
        <v>145</v>
      </c>
      <c r="C24" s="24" t="s">
        <v>146</v>
      </c>
      <c r="D24" s="25" t="b">
        <v>0</v>
      </c>
      <c r="E24" s="5" t="s">
        <v>147</v>
      </c>
    </row>
    <row r="25">
      <c r="A25" s="23" t="s">
        <v>123</v>
      </c>
      <c r="B25" s="23" t="s">
        <v>148</v>
      </c>
      <c r="C25" s="24" t="s">
        <v>149</v>
      </c>
      <c r="D25" s="25" t="b">
        <v>1</v>
      </c>
    </row>
    <row r="26">
      <c r="A26" s="23" t="s">
        <v>150</v>
      </c>
      <c r="B26" s="23" t="s">
        <v>151</v>
      </c>
      <c r="C26" s="24" t="s">
        <v>152</v>
      </c>
      <c r="D26" s="25" t="b">
        <v>1</v>
      </c>
    </row>
    <row r="27">
      <c r="A27" s="23" t="s">
        <v>153</v>
      </c>
      <c r="B27" s="23" t="s">
        <v>154</v>
      </c>
      <c r="C27" s="24" t="s">
        <v>155</v>
      </c>
      <c r="D27" s="25" t="b">
        <v>0</v>
      </c>
    </row>
    <row r="28">
      <c r="A28" s="23" t="s">
        <v>156</v>
      </c>
      <c r="B28" s="23" t="s">
        <v>157</v>
      </c>
      <c r="C28" s="24" t="s">
        <v>158</v>
      </c>
      <c r="D28" s="25" t="b">
        <v>0</v>
      </c>
    </row>
    <row r="29">
      <c r="A29" s="23" t="s">
        <v>159</v>
      </c>
      <c r="B29" s="23" t="s">
        <v>160</v>
      </c>
      <c r="C29" s="24" t="s">
        <v>161</v>
      </c>
      <c r="D29" s="25" t="b">
        <v>1</v>
      </c>
    </row>
    <row r="30">
      <c r="A30" s="23" t="s">
        <v>162</v>
      </c>
      <c r="B30" s="23" t="s">
        <v>163</v>
      </c>
      <c r="C30" s="24" t="s">
        <v>164</v>
      </c>
      <c r="D30" s="25" t="b">
        <v>1</v>
      </c>
    </row>
    <row r="31">
      <c r="A31" s="23" t="s">
        <v>165</v>
      </c>
      <c r="B31" s="23" t="s">
        <v>166</v>
      </c>
      <c r="C31" s="24" t="s">
        <v>167</v>
      </c>
      <c r="D31" s="25" t="b">
        <v>1</v>
      </c>
    </row>
    <row r="32">
      <c r="A32" s="23" t="s">
        <v>168</v>
      </c>
      <c r="B32" s="23" t="s">
        <v>169</v>
      </c>
      <c r="C32" s="24" t="s">
        <v>170</v>
      </c>
      <c r="D32" s="25" t="b">
        <v>0</v>
      </c>
    </row>
    <row r="33">
      <c r="A33" s="23" t="s">
        <v>171</v>
      </c>
      <c r="B33" s="23" t="s">
        <v>172</v>
      </c>
      <c r="C33" s="24" t="s">
        <v>173</v>
      </c>
      <c r="D33" s="25" t="b">
        <v>0</v>
      </c>
    </row>
    <row r="34">
      <c r="A34" s="23" t="s">
        <v>174</v>
      </c>
      <c r="B34" s="23" t="s">
        <v>175</v>
      </c>
      <c r="C34" s="24" t="s">
        <v>176</v>
      </c>
      <c r="D34" s="25" t="b">
        <v>1</v>
      </c>
    </row>
    <row r="35">
      <c r="A35" s="23" t="s">
        <v>177</v>
      </c>
      <c r="B35" s="23" t="s">
        <v>178</v>
      </c>
      <c r="C35" s="24" t="s">
        <v>179</v>
      </c>
      <c r="D35" s="25" t="b">
        <v>1</v>
      </c>
    </row>
    <row r="36">
      <c r="A36" s="23" t="s">
        <v>180</v>
      </c>
      <c r="B36" s="23" t="s">
        <v>181</v>
      </c>
      <c r="C36" s="24" t="s">
        <v>182</v>
      </c>
      <c r="D36" s="25" t="b">
        <v>1</v>
      </c>
    </row>
    <row r="37">
      <c r="A37" s="23" t="s">
        <v>183</v>
      </c>
      <c r="B37" s="23" t="s">
        <v>184</v>
      </c>
      <c r="C37" s="24" t="s">
        <v>185</v>
      </c>
      <c r="D37" s="25" t="b">
        <v>0</v>
      </c>
    </row>
    <row r="38">
      <c r="A38" s="23" t="s">
        <v>186</v>
      </c>
      <c r="B38" s="23" t="s">
        <v>187</v>
      </c>
      <c r="C38" s="24" t="s">
        <v>188</v>
      </c>
      <c r="D38" s="25" t="b">
        <v>1</v>
      </c>
    </row>
    <row r="39">
      <c r="A39" s="23" t="s">
        <v>189</v>
      </c>
      <c r="B39" s="23" t="s">
        <v>190</v>
      </c>
      <c r="C39" s="24" t="s">
        <v>191</v>
      </c>
      <c r="D39" s="25" t="b">
        <v>0</v>
      </c>
      <c r="E39" s="5" t="s">
        <v>84</v>
      </c>
    </row>
    <row r="40">
      <c r="A40" s="23" t="s">
        <v>192</v>
      </c>
      <c r="B40" s="23" t="s">
        <v>193</v>
      </c>
      <c r="C40" s="24" t="s">
        <v>194</v>
      </c>
      <c r="D40" s="25" t="b">
        <v>1</v>
      </c>
    </row>
    <row r="41">
      <c r="A41" s="23" t="s">
        <v>195</v>
      </c>
      <c r="B41" s="23" t="s">
        <v>196</v>
      </c>
      <c r="C41" s="24" t="s">
        <v>197</v>
      </c>
      <c r="D41" s="25" t="b">
        <v>1</v>
      </c>
    </row>
    <row r="42">
      <c r="A42" s="23" t="s">
        <v>198</v>
      </c>
      <c r="B42" s="23" t="s">
        <v>199</v>
      </c>
      <c r="C42" s="24" t="s">
        <v>200</v>
      </c>
      <c r="D42" s="25" t="b">
        <v>1</v>
      </c>
    </row>
    <row r="43">
      <c r="A43" s="23" t="s">
        <v>119</v>
      </c>
      <c r="B43" s="23" t="s">
        <v>201</v>
      </c>
      <c r="C43" s="24" t="s">
        <v>202</v>
      </c>
      <c r="D43" s="25" t="b">
        <v>0</v>
      </c>
    </row>
    <row r="44">
      <c r="A44" s="23" t="s">
        <v>203</v>
      </c>
      <c r="B44" s="23" t="s">
        <v>204</v>
      </c>
      <c r="C44" s="24" t="s">
        <v>205</v>
      </c>
      <c r="D44" s="25" t="b">
        <v>0</v>
      </c>
    </row>
    <row r="45">
      <c r="A45" s="23" t="s">
        <v>206</v>
      </c>
      <c r="B45" s="23" t="s">
        <v>207</v>
      </c>
      <c r="C45" s="24" t="s">
        <v>208</v>
      </c>
      <c r="D45" s="25" t="b">
        <v>1</v>
      </c>
    </row>
    <row r="46">
      <c r="A46" s="23" t="s">
        <v>209</v>
      </c>
      <c r="B46" s="23" t="s">
        <v>210</v>
      </c>
      <c r="C46" s="24" t="s">
        <v>211</v>
      </c>
      <c r="D46" s="25" t="b">
        <v>1</v>
      </c>
    </row>
    <row r="47">
      <c r="A47" s="23" t="s">
        <v>183</v>
      </c>
      <c r="B47" s="23" t="s">
        <v>212</v>
      </c>
      <c r="C47" s="24" t="s">
        <v>213</v>
      </c>
      <c r="D47" s="25" t="b">
        <v>0</v>
      </c>
    </row>
    <row r="48">
      <c r="A48" s="23" t="s">
        <v>174</v>
      </c>
      <c r="B48" s="23" t="s">
        <v>214</v>
      </c>
      <c r="C48" s="24" t="s">
        <v>215</v>
      </c>
      <c r="D48" s="25" t="b">
        <v>0</v>
      </c>
    </row>
    <row r="49">
      <c r="A49" s="23" t="s">
        <v>216</v>
      </c>
      <c r="B49" s="23" t="s">
        <v>217</v>
      </c>
      <c r="C49" s="24" t="s">
        <v>218</v>
      </c>
      <c r="D49" s="25" t="b">
        <v>1</v>
      </c>
    </row>
    <row r="50">
      <c r="A50" s="23" t="s">
        <v>219</v>
      </c>
      <c r="B50" s="23" t="s">
        <v>220</v>
      </c>
      <c r="C50" s="24" t="s">
        <v>221</v>
      </c>
      <c r="D50" s="25" t="b">
        <v>1</v>
      </c>
    </row>
    <row r="51">
      <c r="A51" s="23" t="s">
        <v>222</v>
      </c>
      <c r="B51" s="23" t="s">
        <v>223</v>
      </c>
      <c r="C51" s="24" t="s">
        <v>224</v>
      </c>
      <c r="D51" s="25" t="b">
        <v>0</v>
      </c>
    </row>
    <row r="52">
      <c r="A52" s="23" t="s">
        <v>225</v>
      </c>
      <c r="B52" s="23" t="s">
        <v>226</v>
      </c>
      <c r="C52" s="24" t="s">
        <v>227</v>
      </c>
      <c r="D52" s="25" t="b">
        <v>1</v>
      </c>
    </row>
    <row r="53">
      <c r="A53" s="23" t="s">
        <v>228</v>
      </c>
      <c r="B53" s="23" t="s">
        <v>229</v>
      </c>
      <c r="C53" s="24" t="s">
        <v>230</v>
      </c>
      <c r="D53" s="25" t="b">
        <v>1</v>
      </c>
    </row>
    <row r="54">
      <c r="A54" s="23" t="s">
        <v>231</v>
      </c>
      <c r="B54" s="23" t="s">
        <v>232</v>
      </c>
      <c r="C54" s="24" t="s">
        <v>233</v>
      </c>
      <c r="D54" s="25" t="b">
        <v>1</v>
      </c>
    </row>
    <row r="55">
      <c r="A55" s="23" t="s">
        <v>234</v>
      </c>
      <c r="B55" s="23" t="s">
        <v>235</v>
      </c>
      <c r="C55" s="24" t="s">
        <v>236</v>
      </c>
      <c r="D55" s="25" t="b">
        <v>0</v>
      </c>
    </row>
    <row r="56">
      <c r="A56" s="23" t="s">
        <v>91</v>
      </c>
      <c r="B56" s="23" t="s">
        <v>237</v>
      </c>
      <c r="C56" s="24" t="s">
        <v>238</v>
      </c>
      <c r="D56" s="25" t="b">
        <v>0</v>
      </c>
    </row>
    <row r="57">
      <c r="A57" s="23" t="s">
        <v>239</v>
      </c>
      <c r="B57" s="23" t="s">
        <v>240</v>
      </c>
      <c r="C57" s="24" t="s">
        <v>241</v>
      </c>
      <c r="D57" s="25" t="b">
        <v>1</v>
      </c>
      <c r="E57" s="5" t="s">
        <v>242</v>
      </c>
    </row>
    <row r="58">
      <c r="A58" s="23" t="s">
        <v>243</v>
      </c>
      <c r="B58" s="23" t="s">
        <v>244</v>
      </c>
      <c r="C58" s="24" t="s">
        <v>245</v>
      </c>
      <c r="D58" s="25" t="b">
        <v>0</v>
      </c>
    </row>
    <row r="59">
      <c r="A59" s="23" t="s">
        <v>177</v>
      </c>
      <c r="B59" s="23" t="s">
        <v>246</v>
      </c>
      <c r="C59" s="24" t="s">
        <v>247</v>
      </c>
      <c r="D59" s="25" t="b">
        <v>0</v>
      </c>
      <c r="E59" s="5" t="s">
        <v>248</v>
      </c>
    </row>
    <row r="60">
      <c r="A60" s="23" t="s">
        <v>97</v>
      </c>
      <c r="B60" s="23" t="s">
        <v>249</v>
      </c>
      <c r="C60" s="24" t="s">
        <v>250</v>
      </c>
      <c r="D60" s="25" t="b">
        <v>1</v>
      </c>
    </row>
    <row r="61">
      <c r="A61" s="23" t="s">
        <v>251</v>
      </c>
      <c r="B61" s="23" t="s">
        <v>252</v>
      </c>
      <c r="C61" s="24" t="s">
        <v>253</v>
      </c>
      <c r="D61" s="25" t="b">
        <v>1</v>
      </c>
    </row>
    <row r="62">
      <c r="A62" s="23" t="s">
        <v>165</v>
      </c>
      <c r="B62" s="23" t="s">
        <v>254</v>
      </c>
      <c r="C62" s="24" t="s">
        <v>255</v>
      </c>
      <c r="D62" s="25" t="b">
        <v>1</v>
      </c>
    </row>
    <row r="63">
      <c r="A63" s="23" t="s">
        <v>256</v>
      </c>
      <c r="B63" s="23" t="s">
        <v>257</v>
      </c>
      <c r="C63" s="24" t="s">
        <v>258</v>
      </c>
      <c r="D63" s="25" t="b">
        <v>1</v>
      </c>
    </row>
    <row r="64">
      <c r="A64" s="23" t="s">
        <v>234</v>
      </c>
      <c r="B64" s="23" t="s">
        <v>259</v>
      </c>
      <c r="C64" s="24" t="s">
        <v>260</v>
      </c>
      <c r="D64" s="25" t="b">
        <v>1</v>
      </c>
    </row>
    <row r="65">
      <c r="A65" s="23" t="s">
        <v>109</v>
      </c>
      <c r="B65" s="23" t="s">
        <v>261</v>
      </c>
      <c r="C65" s="24" t="s">
        <v>262</v>
      </c>
      <c r="D65" s="25" t="b">
        <v>0</v>
      </c>
    </row>
    <row r="66">
      <c r="A66" s="23" t="s">
        <v>263</v>
      </c>
      <c r="B66" s="23" t="s">
        <v>264</v>
      </c>
      <c r="C66" s="24" t="s">
        <v>265</v>
      </c>
      <c r="D66" s="25" t="b">
        <v>1</v>
      </c>
    </row>
    <row r="67">
      <c r="A67" s="23" t="s">
        <v>266</v>
      </c>
      <c r="B67" s="23" t="s">
        <v>267</v>
      </c>
      <c r="C67" s="24" t="s">
        <v>268</v>
      </c>
      <c r="D67" s="25" t="b">
        <v>1</v>
      </c>
    </row>
    <row r="68">
      <c r="A68" s="23" t="s">
        <v>109</v>
      </c>
      <c r="B68" s="23" t="s">
        <v>269</v>
      </c>
      <c r="C68" s="24" t="s">
        <v>270</v>
      </c>
      <c r="D68" s="25" t="b">
        <v>1</v>
      </c>
    </row>
    <row r="69">
      <c r="A69" s="23" t="s">
        <v>271</v>
      </c>
      <c r="B69" s="23" t="s">
        <v>272</v>
      </c>
      <c r="C69" s="24" t="s">
        <v>273</v>
      </c>
      <c r="D69" s="25" t="b">
        <v>1</v>
      </c>
    </row>
    <row r="70">
      <c r="A70" s="23" t="s">
        <v>168</v>
      </c>
      <c r="B70" s="23" t="s">
        <v>274</v>
      </c>
      <c r="C70" s="24" t="s">
        <v>275</v>
      </c>
      <c r="D70" s="25" t="b">
        <v>0</v>
      </c>
    </row>
    <row r="71">
      <c r="A71" s="23" t="s">
        <v>165</v>
      </c>
      <c r="B71" s="23" t="s">
        <v>276</v>
      </c>
      <c r="C71" s="24" t="s">
        <v>277</v>
      </c>
      <c r="D71" s="25" t="b">
        <v>1</v>
      </c>
    </row>
    <row r="72">
      <c r="A72" s="23" t="s">
        <v>278</v>
      </c>
      <c r="B72" s="23" t="s">
        <v>279</v>
      </c>
      <c r="C72" s="24" t="s">
        <v>280</v>
      </c>
      <c r="D72" s="25" t="b">
        <v>1</v>
      </c>
    </row>
    <row r="73">
      <c r="A73" s="23" t="s">
        <v>281</v>
      </c>
      <c r="B73" s="23" t="s">
        <v>282</v>
      </c>
      <c r="C73" s="24" t="s">
        <v>283</v>
      </c>
      <c r="D73" s="25" t="b">
        <v>0</v>
      </c>
    </row>
    <row r="74">
      <c r="A74" s="23" t="s">
        <v>284</v>
      </c>
      <c r="B74" s="23" t="s">
        <v>285</v>
      </c>
      <c r="C74" s="24" t="s">
        <v>286</v>
      </c>
      <c r="D74" s="25" t="b">
        <v>1</v>
      </c>
    </row>
    <row r="75">
      <c r="A75" s="23" t="s">
        <v>287</v>
      </c>
      <c r="B75" s="23" t="s">
        <v>288</v>
      </c>
      <c r="C75" s="24" t="s">
        <v>289</v>
      </c>
      <c r="D75" s="25" t="b">
        <v>1</v>
      </c>
    </row>
    <row r="76">
      <c r="A76" s="23" t="s">
        <v>290</v>
      </c>
      <c r="B76" s="23" t="s">
        <v>291</v>
      </c>
      <c r="C76" s="24" t="s">
        <v>292</v>
      </c>
      <c r="D76" s="25" t="b">
        <v>1</v>
      </c>
    </row>
    <row r="77">
      <c r="A77" s="23" t="s">
        <v>165</v>
      </c>
      <c r="B77" s="23" t="s">
        <v>293</v>
      </c>
      <c r="C77" s="24" t="s">
        <v>294</v>
      </c>
      <c r="D77" s="25" t="b">
        <v>1</v>
      </c>
    </row>
    <row r="78">
      <c r="A78" s="23" t="s">
        <v>295</v>
      </c>
      <c r="B78" s="23" t="s">
        <v>296</v>
      </c>
      <c r="C78" s="24" t="s">
        <v>297</v>
      </c>
      <c r="D78" s="25" t="b">
        <v>1</v>
      </c>
    </row>
    <row r="79">
      <c r="A79" s="23" t="s">
        <v>123</v>
      </c>
      <c r="B79" s="23" t="s">
        <v>298</v>
      </c>
      <c r="C79" s="24" t="s">
        <v>299</v>
      </c>
      <c r="D79" s="25" t="b">
        <v>1</v>
      </c>
    </row>
    <row r="80">
      <c r="A80" s="23" t="s">
        <v>300</v>
      </c>
      <c r="B80" s="23" t="s">
        <v>301</v>
      </c>
      <c r="C80" s="24" t="s">
        <v>302</v>
      </c>
      <c r="D80" s="25" t="b">
        <v>0</v>
      </c>
      <c r="E80" s="5" t="s">
        <v>84</v>
      </c>
    </row>
    <row r="81">
      <c r="A81" s="23" t="s">
        <v>263</v>
      </c>
      <c r="B81" s="23" t="s">
        <v>303</v>
      </c>
      <c r="C81" s="24" t="s">
        <v>304</v>
      </c>
      <c r="D81" s="25" t="b">
        <v>0</v>
      </c>
    </row>
    <row r="82">
      <c r="A82" s="23" t="s">
        <v>305</v>
      </c>
      <c r="B82" s="23" t="s">
        <v>306</v>
      </c>
      <c r="C82" s="24" t="s">
        <v>307</v>
      </c>
      <c r="D82" s="25" t="b">
        <v>1</v>
      </c>
    </row>
    <row r="83">
      <c r="A83" s="23" t="s">
        <v>305</v>
      </c>
      <c r="B83" s="23" t="s">
        <v>308</v>
      </c>
      <c r="C83" s="24" t="s">
        <v>309</v>
      </c>
      <c r="D83" s="25" t="b">
        <v>1</v>
      </c>
    </row>
    <row r="84">
      <c r="A84" s="23" t="s">
        <v>310</v>
      </c>
      <c r="B84" s="23" t="s">
        <v>311</v>
      </c>
      <c r="C84" s="24" t="s">
        <v>312</v>
      </c>
      <c r="D84" s="25" t="b">
        <v>1</v>
      </c>
    </row>
    <row r="85">
      <c r="A85" s="23" t="s">
        <v>243</v>
      </c>
      <c r="B85" s="23" t="s">
        <v>313</v>
      </c>
      <c r="C85" s="24" t="s">
        <v>314</v>
      </c>
      <c r="D85" s="25" t="b">
        <v>0</v>
      </c>
    </row>
    <row r="86">
      <c r="A86" s="23" t="s">
        <v>177</v>
      </c>
      <c r="B86" s="23" t="s">
        <v>315</v>
      </c>
      <c r="C86" s="24" t="s">
        <v>316</v>
      </c>
      <c r="D86" s="25" t="b">
        <v>1</v>
      </c>
    </row>
    <row r="87">
      <c r="A87" s="23" t="s">
        <v>251</v>
      </c>
      <c r="B87" s="23" t="s">
        <v>317</v>
      </c>
      <c r="C87" s="24" t="s">
        <v>318</v>
      </c>
      <c r="D87" s="25" t="b">
        <v>1</v>
      </c>
    </row>
    <row r="88">
      <c r="A88" s="23" t="s">
        <v>319</v>
      </c>
      <c r="B88" s="23" t="s">
        <v>320</v>
      </c>
      <c r="C88" s="24" t="s">
        <v>321</v>
      </c>
      <c r="D88" s="25" t="b">
        <v>1</v>
      </c>
    </row>
    <row r="89">
      <c r="A89" s="23" t="s">
        <v>295</v>
      </c>
      <c r="B89" s="23" t="s">
        <v>322</v>
      </c>
      <c r="C89" s="24" t="s">
        <v>323</v>
      </c>
      <c r="D89" s="25" t="b">
        <v>1</v>
      </c>
    </row>
    <row r="90">
      <c r="A90" s="23" t="s">
        <v>324</v>
      </c>
      <c r="B90" s="23" t="s">
        <v>325</v>
      </c>
      <c r="C90" s="24" t="s">
        <v>326</v>
      </c>
      <c r="D90" s="25" t="b">
        <v>1</v>
      </c>
    </row>
    <row r="91">
      <c r="A91" s="23" t="s">
        <v>327</v>
      </c>
      <c r="B91" s="23" t="s">
        <v>328</v>
      </c>
      <c r="C91" s="24" t="s">
        <v>329</v>
      </c>
      <c r="D91" s="25" t="b">
        <v>1</v>
      </c>
    </row>
    <row r="92">
      <c r="A92" s="23" t="s">
        <v>330</v>
      </c>
      <c r="B92" s="23" t="s">
        <v>331</v>
      </c>
      <c r="C92" s="24" t="s">
        <v>332</v>
      </c>
      <c r="D92" s="25" t="b">
        <v>1</v>
      </c>
    </row>
    <row r="93">
      <c r="A93" s="23" t="s">
        <v>278</v>
      </c>
      <c r="B93" s="23" t="s">
        <v>333</v>
      </c>
      <c r="C93" s="24" t="s">
        <v>334</v>
      </c>
      <c r="D93" s="25" t="b">
        <v>0</v>
      </c>
    </row>
    <row r="94">
      <c r="A94" s="23" t="s">
        <v>335</v>
      </c>
      <c r="B94" s="23" t="s">
        <v>336</v>
      </c>
      <c r="C94" s="24" t="s">
        <v>337</v>
      </c>
      <c r="D94" s="25" t="b">
        <v>0</v>
      </c>
    </row>
    <row r="95">
      <c r="A95" s="23" t="s">
        <v>338</v>
      </c>
      <c r="B95" s="23" t="s">
        <v>339</v>
      </c>
      <c r="C95" s="24" t="s">
        <v>340</v>
      </c>
      <c r="D95" s="25" t="b">
        <v>1</v>
      </c>
      <c r="E95" s="5" t="s">
        <v>341</v>
      </c>
    </row>
    <row r="96">
      <c r="A96" s="23" t="s">
        <v>206</v>
      </c>
      <c r="B96" s="23" t="s">
        <v>342</v>
      </c>
      <c r="C96" s="24" t="s">
        <v>343</v>
      </c>
      <c r="D96" s="25" t="b">
        <v>0</v>
      </c>
    </row>
    <row r="97">
      <c r="A97" s="23" t="s">
        <v>344</v>
      </c>
      <c r="B97" s="23" t="s">
        <v>345</v>
      </c>
      <c r="C97" s="24" t="s">
        <v>346</v>
      </c>
      <c r="D97" s="25" t="b">
        <v>0</v>
      </c>
    </row>
    <row r="98">
      <c r="A98" s="23" t="s">
        <v>347</v>
      </c>
      <c r="B98" s="23" t="s">
        <v>348</v>
      </c>
      <c r="C98" s="24" t="s">
        <v>349</v>
      </c>
      <c r="D98" s="25" t="b">
        <v>1</v>
      </c>
    </row>
    <row r="99">
      <c r="A99" s="23" t="s">
        <v>109</v>
      </c>
      <c r="B99" s="23" t="s">
        <v>350</v>
      </c>
      <c r="C99" s="24" t="s">
        <v>351</v>
      </c>
      <c r="D99" s="25" t="b">
        <v>1</v>
      </c>
    </row>
    <row r="100">
      <c r="A100" s="23" t="s">
        <v>352</v>
      </c>
      <c r="B100" s="23" t="s">
        <v>353</v>
      </c>
      <c r="C100" s="24" t="s">
        <v>354</v>
      </c>
      <c r="D100" s="25" t="b">
        <v>1</v>
      </c>
    </row>
    <row r="101">
      <c r="A101" s="23" t="s">
        <v>355</v>
      </c>
      <c r="B101" s="23" t="s">
        <v>356</v>
      </c>
      <c r="C101" s="24" t="s">
        <v>357</v>
      </c>
      <c r="D101" s="25" t="b">
        <v>1</v>
      </c>
    </row>
    <row r="102">
      <c r="C102" s="26"/>
      <c r="D102" s="27"/>
    </row>
    <row r="103">
      <c r="C103" s="26"/>
      <c r="D103" s="27"/>
    </row>
    <row r="104">
      <c r="C104" s="26"/>
      <c r="D104" s="27"/>
    </row>
    <row r="105">
      <c r="C105" s="26"/>
      <c r="D105" s="27"/>
    </row>
    <row r="106">
      <c r="C106" s="26"/>
      <c r="D106" s="27"/>
    </row>
    <row r="107">
      <c r="C107" s="26"/>
      <c r="D107" s="27"/>
    </row>
    <row r="108">
      <c r="C108" s="26"/>
      <c r="D108" s="27"/>
    </row>
    <row r="109">
      <c r="C109" s="26"/>
      <c r="D109" s="27"/>
    </row>
    <row r="110">
      <c r="C110" s="26"/>
      <c r="D110" s="27"/>
    </row>
    <row r="111">
      <c r="C111" s="26"/>
      <c r="D111" s="27"/>
    </row>
    <row r="112">
      <c r="C112" s="26"/>
      <c r="D112" s="27"/>
    </row>
    <row r="113">
      <c r="C113" s="26"/>
      <c r="D113" s="27"/>
    </row>
    <row r="114">
      <c r="C114" s="26"/>
      <c r="D114" s="27"/>
    </row>
    <row r="115">
      <c r="C115" s="26"/>
      <c r="D115" s="27"/>
    </row>
    <row r="116">
      <c r="C116" s="26"/>
      <c r="D116" s="27"/>
    </row>
    <row r="117">
      <c r="C117" s="26"/>
      <c r="D117" s="27"/>
    </row>
    <row r="118">
      <c r="C118" s="26"/>
      <c r="D118" s="27"/>
    </row>
    <row r="119">
      <c r="C119" s="26"/>
      <c r="D119" s="27"/>
    </row>
    <row r="120">
      <c r="C120" s="26"/>
      <c r="D120" s="27"/>
    </row>
    <row r="121">
      <c r="C121" s="26"/>
      <c r="D121" s="27"/>
    </row>
    <row r="122">
      <c r="C122" s="26"/>
      <c r="D122" s="27"/>
    </row>
    <row r="123">
      <c r="C123" s="26"/>
      <c r="D123" s="27"/>
    </row>
    <row r="124">
      <c r="C124" s="26"/>
      <c r="D124" s="27"/>
    </row>
    <row r="125">
      <c r="C125" s="26"/>
      <c r="D125" s="27"/>
    </row>
    <row r="126">
      <c r="C126" s="26"/>
      <c r="D126" s="27"/>
    </row>
    <row r="127">
      <c r="C127" s="26"/>
      <c r="D127" s="27"/>
    </row>
    <row r="128">
      <c r="C128" s="26"/>
      <c r="D128" s="27"/>
    </row>
    <row r="129">
      <c r="C129" s="26"/>
      <c r="D129" s="27"/>
    </row>
    <row r="130">
      <c r="C130" s="26"/>
      <c r="D130" s="27"/>
    </row>
    <row r="131">
      <c r="C131" s="26"/>
      <c r="D131" s="27"/>
    </row>
    <row r="132">
      <c r="C132" s="26"/>
      <c r="D132" s="27"/>
    </row>
    <row r="133">
      <c r="C133" s="26"/>
      <c r="D133" s="27"/>
    </row>
    <row r="134">
      <c r="C134" s="26"/>
      <c r="D134" s="27"/>
    </row>
    <row r="135">
      <c r="C135" s="26"/>
      <c r="D135" s="27"/>
    </row>
    <row r="136">
      <c r="C136" s="26"/>
      <c r="D136" s="27"/>
    </row>
    <row r="137">
      <c r="C137" s="26"/>
      <c r="D137" s="27"/>
    </row>
    <row r="138">
      <c r="C138" s="26"/>
      <c r="D138" s="27"/>
    </row>
    <row r="139">
      <c r="C139" s="26"/>
      <c r="D139" s="27"/>
    </row>
    <row r="140">
      <c r="C140" s="26"/>
      <c r="D140" s="27"/>
    </row>
    <row r="141">
      <c r="C141" s="26"/>
      <c r="D141" s="27"/>
    </row>
    <row r="142">
      <c r="C142" s="26"/>
      <c r="D142" s="27"/>
    </row>
    <row r="143">
      <c r="C143" s="26"/>
      <c r="D143" s="27"/>
    </row>
    <row r="144">
      <c r="C144" s="26"/>
      <c r="D144" s="27"/>
    </row>
    <row r="145">
      <c r="C145" s="26"/>
      <c r="D145" s="27"/>
    </row>
    <row r="146">
      <c r="C146" s="26"/>
      <c r="D146" s="27"/>
    </row>
    <row r="147">
      <c r="C147" s="26"/>
      <c r="D147" s="27"/>
    </row>
    <row r="148">
      <c r="C148" s="26"/>
      <c r="D148" s="27"/>
    </row>
    <row r="149">
      <c r="C149" s="26"/>
      <c r="D149" s="27"/>
    </row>
    <row r="150">
      <c r="C150" s="26"/>
      <c r="D150" s="27"/>
    </row>
    <row r="151">
      <c r="C151" s="26"/>
      <c r="D151" s="27"/>
    </row>
    <row r="152">
      <c r="C152" s="26"/>
      <c r="D152" s="27"/>
    </row>
    <row r="153">
      <c r="C153" s="26"/>
      <c r="D153" s="27"/>
    </row>
    <row r="154">
      <c r="C154" s="26"/>
      <c r="D154" s="27"/>
    </row>
    <row r="155">
      <c r="C155" s="26"/>
      <c r="D155" s="27"/>
    </row>
    <row r="156">
      <c r="C156" s="26"/>
      <c r="D156" s="27"/>
    </row>
    <row r="157">
      <c r="C157" s="26"/>
      <c r="D157" s="27"/>
    </row>
    <row r="158">
      <c r="C158" s="26"/>
      <c r="D158" s="27"/>
    </row>
    <row r="159">
      <c r="C159" s="26"/>
      <c r="D159" s="27"/>
    </row>
    <row r="160">
      <c r="C160" s="26"/>
      <c r="D160" s="27"/>
    </row>
    <row r="161">
      <c r="C161" s="26"/>
      <c r="D161" s="27"/>
    </row>
    <row r="162">
      <c r="C162" s="26"/>
      <c r="D162" s="27"/>
    </row>
    <row r="163">
      <c r="C163" s="26"/>
      <c r="D163" s="27"/>
    </row>
    <row r="164">
      <c r="C164" s="26"/>
      <c r="D164" s="27"/>
    </row>
    <row r="165">
      <c r="C165" s="26"/>
      <c r="D165" s="27"/>
    </row>
    <row r="166">
      <c r="C166" s="26"/>
      <c r="D166" s="27"/>
    </row>
    <row r="167">
      <c r="C167" s="26"/>
      <c r="D167" s="27"/>
    </row>
    <row r="168">
      <c r="C168" s="26"/>
      <c r="D168" s="27"/>
    </row>
    <row r="169">
      <c r="C169" s="26"/>
      <c r="D169" s="27"/>
    </row>
    <row r="170">
      <c r="C170" s="26"/>
      <c r="D170" s="27"/>
    </row>
    <row r="171">
      <c r="C171" s="26"/>
      <c r="D171" s="27"/>
    </row>
    <row r="172">
      <c r="C172" s="26"/>
      <c r="D172" s="27"/>
    </row>
    <row r="173">
      <c r="C173" s="26"/>
      <c r="D173" s="27"/>
    </row>
    <row r="174">
      <c r="C174" s="26"/>
      <c r="D174" s="27"/>
    </row>
    <row r="175">
      <c r="C175" s="26"/>
      <c r="D175" s="27"/>
    </row>
    <row r="176">
      <c r="C176" s="26"/>
      <c r="D176" s="27"/>
    </row>
    <row r="177">
      <c r="C177" s="26"/>
      <c r="D177" s="27"/>
    </row>
    <row r="178">
      <c r="C178" s="26"/>
      <c r="D178" s="27"/>
    </row>
    <row r="179">
      <c r="C179" s="26"/>
      <c r="D179" s="27"/>
    </row>
    <row r="180">
      <c r="C180" s="26"/>
      <c r="D180" s="27"/>
    </row>
    <row r="181">
      <c r="C181" s="26"/>
      <c r="D181" s="27"/>
    </row>
    <row r="182">
      <c r="C182" s="26"/>
      <c r="D182" s="27"/>
    </row>
    <row r="183">
      <c r="C183" s="26"/>
      <c r="D183" s="27"/>
    </row>
    <row r="184">
      <c r="C184" s="26"/>
      <c r="D184" s="27"/>
    </row>
    <row r="185">
      <c r="C185" s="26"/>
      <c r="D185" s="27"/>
    </row>
    <row r="186">
      <c r="C186" s="26"/>
      <c r="D186" s="27"/>
    </row>
    <row r="187">
      <c r="C187" s="26"/>
      <c r="D187" s="27"/>
    </row>
    <row r="188">
      <c r="C188" s="26"/>
      <c r="D188" s="27"/>
    </row>
    <row r="189">
      <c r="C189" s="26"/>
      <c r="D189" s="27"/>
    </row>
    <row r="190">
      <c r="C190" s="26"/>
      <c r="D190" s="27"/>
    </row>
    <row r="191">
      <c r="C191" s="26"/>
      <c r="D191" s="27"/>
    </row>
    <row r="192">
      <c r="C192" s="26"/>
      <c r="D192" s="27"/>
    </row>
    <row r="193">
      <c r="C193" s="26"/>
      <c r="D193" s="27"/>
    </row>
    <row r="194">
      <c r="C194" s="26"/>
      <c r="D194" s="27"/>
    </row>
    <row r="195">
      <c r="C195" s="26"/>
      <c r="D195" s="27"/>
    </row>
    <row r="196">
      <c r="C196" s="26"/>
      <c r="D196" s="27"/>
    </row>
    <row r="197">
      <c r="C197" s="26"/>
      <c r="D197" s="27"/>
    </row>
    <row r="198">
      <c r="C198" s="26"/>
      <c r="D198" s="27"/>
    </row>
    <row r="199">
      <c r="C199" s="26"/>
      <c r="D199" s="27"/>
    </row>
    <row r="200">
      <c r="C200" s="26"/>
      <c r="D200" s="27"/>
    </row>
    <row r="201">
      <c r="C201" s="26"/>
      <c r="D201" s="27"/>
    </row>
    <row r="202">
      <c r="C202" s="26"/>
      <c r="D202" s="27"/>
    </row>
    <row r="203">
      <c r="C203" s="26"/>
      <c r="D203" s="27"/>
    </row>
    <row r="204">
      <c r="C204" s="26"/>
      <c r="D204" s="27"/>
    </row>
    <row r="205">
      <c r="C205" s="26"/>
      <c r="D205" s="27"/>
    </row>
    <row r="206">
      <c r="C206" s="26"/>
      <c r="D206" s="27"/>
    </row>
    <row r="207">
      <c r="C207" s="26"/>
      <c r="D207" s="27"/>
    </row>
    <row r="208">
      <c r="C208" s="26"/>
      <c r="D208" s="27"/>
    </row>
    <row r="209">
      <c r="C209" s="26"/>
      <c r="D209" s="27"/>
    </row>
    <row r="210">
      <c r="C210" s="26"/>
      <c r="D210" s="27"/>
    </row>
    <row r="211">
      <c r="C211" s="26"/>
      <c r="D211" s="27"/>
    </row>
    <row r="212">
      <c r="C212" s="26"/>
      <c r="D212" s="27"/>
    </row>
    <row r="213">
      <c r="C213" s="26"/>
      <c r="D213" s="27"/>
    </row>
    <row r="214">
      <c r="C214" s="26"/>
      <c r="D214" s="27"/>
    </row>
    <row r="215">
      <c r="C215" s="26"/>
      <c r="D215" s="27"/>
    </row>
    <row r="216">
      <c r="C216" s="26"/>
      <c r="D216" s="27"/>
    </row>
    <row r="217">
      <c r="C217" s="26"/>
      <c r="D217" s="27"/>
    </row>
    <row r="218">
      <c r="C218" s="26"/>
      <c r="D218" s="27"/>
    </row>
    <row r="219">
      <c r="C219" s="26"/>
      <c r="D219" s="27"/>
    </row>
    <row r="220">
      <c r="C220" s="26"/>
      <c r="D220" s="27"/>
    </row>
    <row r="221">
      <c r="C221" s="26"/>
      <c r="D221" s="27"/>
    </row>
    <row r="222">
      <c r="C222" s="26"/>
      <c r="D222" s="27"/>
    </row>
    <row r="223">
      <c r="C223" s="26"/>
      <c r="D223" s="27"/>
    </row>
    <row r="224">
      <c r="C224" s="26"/>
      <c r="D224" s="27"/>
    </row>
    <row r="225">
      <c r="C225" s="26"/>
      <c r="D225" s="27"/>
    </row>
    <row r="226">
      <c r="C226" s="26"/>
      <c r="D226" s="27"/>
    </row>
    <row r="227">
      <c r="C227" s="26"/>
      <c r="D227" s="27"/>
    </row>
    <row r="228">
      <c r="C228" s="26"/>
      <c r="D228" s="27"/>
    </row>
    <row r="229">
      <c r="C229" s="26"/>
      <c r="D229" s="27"/>
    </row>
    <row r="230">
      <c r="C230" s="26"/>
      <c r="D230" s="27"/>
    </row>
    <row r="231">
      <c r="C231" s="26"/>
      <c r="D231" s="27"/>
    </row>
    <row r="232">
      <c r="C232" s="26"/>
      <c r="D232" s="27"/>
    </row>
    <row r="233">
      <c r="C233" s="26"/>
      <c r="D233" s="27"/>
    </row>
    <row r="234">
      <c r="C234" s="26"/>
      <c r="D234" s="27"/>
    </row>
    <row r="235">
      <c r="C235" s="26"/>
      <c r="D235" s="27"/>
    </row>
    <row r="236">
      <c r="C236" s="26"/>
      <c r="D236" s="27"/>
    </row>
    <row r="237">
      <c r="C237" s="26"/>
      <c r="D237" s="27"/>
    </row>
    <row r="238">
      <c r="C238" s="26"/>
      <c r="D238" s="27"/>
    </row>
    <row r="239">
      <c r="C239" s="26"/>
      <c r="D239" s="27"/>
    </row>
    <row r="240">
      <c r="C240" s="26"/>
      <c r="D240" s="27"/>
    </row>
    <row r="241">
      <c r="C241" s="26"/>
      <c r="D241" s="27"/>
    </row>
    <row r="242">
      <c r="C242" s="26"/>
      <c r="D242" s="27"/>
    </row>
    <row r="243">
      <c r="C243" s="26"/>
      <c r="D243" s="27"/>
    </row>
    <row r="244">
      <c r="C244" s="26"/>
      <c r="D244" s="27"/>
    </row>
    <row r="245">
      <c r="C245" s="26"/>
      <c r="D245" s="27"/>
    </row>
    <row r="246">
      <c r="C246" s="26"/>
      <c r="D246" s="27"/>
    </row>
    <row r="247">
      <c r="C247" s="26"/>
      <c r="D247" s="27"/>
    </row>
    <row r="248">
      <c r="C248" s="26"/>
      <c r="D248" s="27"/>
    </row>
    <row r="249">
      <c r="C249" s="26"/>
      <c r="D249" s="27"/>
    </row>
    <row r="250">
      <c r="C250" s="26"/>
      <c r="D250" s="27"/>
    </row>
    <row r="251">
      <c r="C251" s="26"/>
      <c r="D251" s="27"/>
    </row>
    <row r="252">
      <c r="C252" s="26"/>
      <c r="D252" s="27"/>
    </row>
    <row r="253">
      <c r="C253" s="26"/>
      <c r="D253" s="27"/>
    </row>
    <row r="254">
      <c r="C254" s="26"/>
      <c r="D254" s="27"/>
    </row>
    <row r="255">
      <c r="C255" s="26"/>
      <c r="D255" s="27"/>
    </row>
    <row r="256">
      <c r="C256" s="26"/>
      <c r="D256" s="27"/>
    </row>
    <row r="257">
      <c r="C257" s="26"/>
      <c r="D257" s="27"/>
    </row>
    <row r="258">
      <c r="C258" s="26"/>
      <c r="D258" s="27"/>
    </row>
    <row r="259">
      <c r="C259" s="26"/>
      <c r="D259" s="27"/>
    </row>
    <row r="260">
      <c r="C260" s="26"/>
      <c r="D260" s="27"/>
    </row>
    <row r="261">
      <c r="C261" s="26"/>
      <c r="D261" s="27"/>
    </row>
    <row r="262">
      <c r="C262" s="26"/>
      <c r="D262" s="27"/>
    </row>
    <row r="263">
      <c r="C263" s="26"/>
      <c r="D263" s="27"/>
    </row>
    <row r="264">
      <c r="C264" s="26"/>
      <c r="D264" s="27"/>
    </row>
    <row r="265">
      <c r="C265" s="26"/>
      <c r="D265" s="27"/>
    </row>
    <row r="266">
      <c r="C266" s="26"/>
      <c r="D266" s="27"/>
    </row>
    <row r="267">
      <c r="C267" s="26"/>
      <c r="D267" s="27"/>
    </row>
    <row r="268">
      <c r="C268" s="26"/>
      <c r="D268" s="27"/>
    </row>
    <row r="269">
      <c r="C269" s="26"/>
      <c r="D269" s="27"/>
    </row>
    <row r="270">
      <c r="C270" s="26"/>
      <c r="D270" s="27"/>
    </row>
    <row r="271">
      <c r="C271" s="26"/>
      <c r="D271" s="27"/>
    </row>
    <row r="272">
      <c r="C272" s="26"/>
      <c r="D272" s="27"/>
    </row>
    <row r="273">
      <c r="C273" s="26"/>
      <c r="D273" s="27"/>
    </row>
    <row r="274">
      <c r="C274" s="26"/>
      <c r="D274" s="27"/>
    </row>
    <row r="275">
      <c r="C275" s="26"/>
      <c r="D275" s="27"/>
    </row>
    <row r="276">
      <c r="C276" s="26"/>
      <c r="D276" s="27"/>
    </row>
    <row r="277">
      <c r="C277" s="26"/>
      <c r="D277" s="27"/>
    </row>
    <row r="278">
      <c r="C278" s="26"/>
      <c r="D278" s="27"/>
    </row>
    <row r="279">
      <c r="C279" s="26"/>
      <c r="D279" s="27"/>
    </row>
    <row r="280">
      <c r="C280" s="26"/>
      <c r="D280" s="27"/>
    </row>
    <row r="281">
      <c r="C281" s="26"/>
      <c r="D281" s="27"/>
    </row>
    <row r="282">
      <c r="C282" s="26"/>
      <c r="D282" s="27"/>
    </row>
    <row r="283">
      <c r="C283" s="26"/>
      <c r="D283" s="27"/>
    </row>
    <row r="284">
      <c r="C284" s="26"/>
      <c r="D284" s="27"/>
    </row>
    <row r="285">
      <c r="C285" s="26"/>
      <c r="D285" s="27"/>
    </row>
    <row r="286">
      <c r="C286" s="26"/>
      <c r="D286" s="27"/>
    </row>
    <row r="287">
      <c r="C287" s="26"/>
      <c r="D287" s="27"/>
    </row>
    <row r="288">
      <c r="C288" s="26"/>
      <c r="D288" s="27"/>
    </row>
    <row r="289">
      <c r="C289" s="26"/>
      <c r="D289" s="27"/>
    </row>
    <row r="290">
      <c r="C290" s="26"/>
      <c r="D290" s="27"/>
    </row>
    <row r="291">
      <c r="C291" s="26"/>
      <c r="D291" s="27"/>
    </row>
    <row r="292">
      <c r="C292" s="26"/>
      <c r="D292" s="27"/>
    </row>
    <row r="293">
      <c r="C293" s="26"/>
      <c r="D293" s="27"/>
    </row>
    <row r="294">
      <c r="C294" s="26"/>
      <c r="D294" s="27"/>
    </row>
    <row r="295">
      <c r="C295" s="26"/>
      <c r="D295" s="27"/>
    </row>
    <row r="296">
      <c r="C296" s="26"/>
      <c r="D296" s="27"/>
    </row>
    <row r="297">
      <c r="C297" s="26"/>
      <c r="D297" s="27"/>
    </row>
    <row r="298">
      <c r="C298" s="26"/>
      <c r="D298" s="27"/>
    </row>
    <row r="299">
      <c r="C299" s="26"/>
      <c r="D299" s="27"/>
    </row>
    <row r="300">
      <c r="C300" s="26"/>
      <c r="D300" s="27"/>
    </row>
    <row r="301">
      <c r="C301" s="26"/>
      <c r="D301" s="27"/>
    </row>
    <row r="302">
      <c r="C302" s="26"/>
      <c r="D302" s="27"/>
    </row>
    <row r="303">
      <c r="C303" s="26"/>
      <c r="D303" s="27"/>
    </row>
    <row r="304">
      <c r="C304" s="26"/>
      <c r="D304" s="27"/>
    </row>
    <row r="305">
      <c r="C305" s="26"/>
      <c r="D305" s="27"/>
    </row>
    <row r="306">
      <c r="C306" s="26"/>
      <c r="D306" s="27"/>
    </row>
    <row r="307">
      <c r="C307" s="26"/>
      <c r="D307" s="27"/>
    </row>
    <row r="308">
      <c r="C308" s="26"/>
      <c r="D308" s="27"/>
    </row>
    <row r="309">
      <c r="C309" s="26"/>
      <c r="D309" s="27"/>
    </row>
    <row r="310">
      <c r="C310" s="26"/>
      <c r="D310" s="27"/>
    </row>
    <row r="311">
      <c r="C311" s="26"/>
      <c r="D311" s="27"/>
    </row>
    <row r="312">
      <c r="C312" s="26"/>
      <c r="D312" s="27"/>
    </row>
    <row r="313">
      <c r="C313" s="26"/>
      <c r="D313" s="27"/>
    </row>
    <row r="314">
      <c r="C314" s="26"/>
      <c r="D314" s="27"/>
    </row>
    <row r="315">
      <c r="C315" s="26"/>
      <c r="D315" s="27"/>
    </row>
    <row r="316">
      <c r="C316" s="26"/>
      <c r="D316" s="27"/>
    </row>
    <row r="317">
      <c r="C317" s="26"/>
      <c r="D317" s="27"/>
    </row>
    <row r="318">
      <c r="C318" s="26"/>
      <c r="D318" s="27"/>
    </row>
    <row r="319">
      <c r="C319" s="26"/>
      <c r="D319" s="27"/>
    </row>
    <row r="320">
      <c r="C320" s="26"/>
      <c r="D320" s="27"/>
    </row>
    <row r="321">
      <c r="C321" s="26"/>
      <c r="D321" s="27"/>
    </row>
    <row r="322">
      <c r="C322" s="26"/>
      <c r="D322" s="27"/>
    </row>
    <row r="323">
      <c r="C323" s="26"/>
      <c r="D323" s="27"/>
    </row>
    <row r="324">
      <c r="C324" s="26"/>
      <c r="D324" s="27"/>
    </row>
    <row r="325">
      <c r="C325" s="26"/>
      <c r="D325" s="27"/>
    </row>
    <row r="326">
      <c r="C326" s="26"/>
      <c r="D326" s="27"/>
    </row>
    <row r="327">
      <c r="C327" s="26"/>
      <c r="D327" s="27"/>
    </row>
    <row r="328">
      <c r="C328" s="26"/>
      <c r="D328" s="27"/>
    </row>
    <row r="329">
      <c r="C329" s="26"/>
      <c r="D329" s="27"/>
    </row>
    <row r="330">
      <c r="C330" s="26"/>
      <c r="D330" s="27"/>
    </row>
    <row r="331">
      <c r="C331" s="26"/>
      <c r="D331" s="27"/>
    </row>
    <row r="332">
      <c r="C332" s="26"/>
      <c r="D332" s="27"/>
    </row>
    <row r="333">
      <c r="C333" s="26"/>
      <c r="D333" s="27"/>
    </row>
    <row r="334">
      <c r="C334" s="26"/>
      <c r="D334" s="27"/>
    </row>
    <row r="335">
      <c r="C335" s="26"/>
      <c r="D335" s="27"/>
    </row>
    <row r="336">
      <c r="C336" s="26"/>
      <c r="D336" s="27"/>
    </row>
    <row r="337">
      <c r="C337" s="26"/>
      <c r="D337" s="27"/>
    </row>
    <row r="338">
      <c r="C338" s="26"/>
      <c r="D338" s="27"/>
    </row>
    <row r="339">
      <c r="C339" s="26"/>
      <c r="D339" s="27"/>
    </row>
    <row r="340">
      <c r="C340" s="26"/>
      <c r="D340" s="27"/>
    </row>
    <row r="341">
      <c r="C341" s="26"/>
      <c r="D341" s="27"/>
    </row>
    <row r="342">
      <c r="C342" s="26"/>
      <c r="D342" s="27"/>
    </row>
    <row r="343">
      <c r="C343" s="26"/>
      <c r="D343" s="27"/>
    </row>
    <row r="344">
      <c r="C344" s="26"/>
      <c r="D344" s="27"/>
    </row>
    <row r="345">
      <c r="C345" s="26"/>
      <c r="D345" s="27"/>
    </row>
    <row r="346">
      <c r="C346" s="26"/>
      <c r="D346" s="27"/>
    </row>
    <row r="347">
      <c r="C347" s="26"/>
      <c r="D347" s="27"/>
    </row>
    <row r="348">
      <c r="C348" s="26"/>
      <c r="D348" s="27"/>
    </row>
    <row r="349">
      <c r="C349" s="26"/>
      <c r="D349" s="27"/>
    </row>
    <row r="350">
      <c r="C350" s="26"/>
      <c r="D350" s="27"/>
    </row>
    <row r="351">
      <c r="C351" s="26"/>
      <c r="D351" s="27"/>
    </row>
    <row r="352">
      <c r="C352" s="26"/>
      <c r="D352" s="27"/>
    </row>
    <row r="353">
      <c r="C353" s="26"/>
      <c r="D353" s="27"/>
    </row>
    <row r="354">
      <c r="C354" s="26"/>
      <c r="D354" s="27"/>
    </row>
    <row r="355">
      <c r="C355" s="26"/>
      <c r="D355" s="27"/>
    </row>
    <row r="356">
      <c r="C356" s="26"/>
      <c r="D356" s="27"/>
    </row>
    <row r="357">
      <c r="C357" s="26"/>
      <c r="D357" s="27"/>
    </row>
    <row r="358">
      <c r="C358" s="26"/>
      <c r="D358" s="27"/>
    </row>
    <row r="359">
      <c r="C359" s="26"/>
      <c r="D359" s="27"/>
    </row>
    <row r="360">
      <c r="C360" s="26"/>
      <c r="D360" s="27"/>
    </row>
    <row r="361">
      <c r="C361" s="26"/>
      <c r="D361" s="27"/>
    </row>
    <row r="362">
      <c r="C362" s="26"/>
      <c r="D362" s="27"/>
    </row>
    <row r="363">
      <c r="C363" s="26"/>
      <c r="D363" s="27"/>
    </row>
    <row r="364">
      <c r="C364" s="26"/>
      <c r="D364" s="27"/>
    </row>
    <row r="365">
      <c r="C365" s="26"/>
      <c r="D365" s="27"/>
    </row>
    <row r="366">
      <c r="C366" s="26"/>
      <c r="D366" s="27"/>
    </row>
    <row r="367">
      <c r="C367" s="26"/>
      <c r="D367" s="27"/>
    </row>
    <row r="368">
      <c r="C368" s="26"/>
      <c r="D368" s="27"/>
    </row>
    <row r="369">
      <c r="C369" s="26"/>
      <c r="D369" s="27"/>
    </row>
    <row r="370">
      <c r="C370" s="26"/>
      <c r="D370" s="27"/>
    </row>
    <row r="371">
      <c r="C371" s="26"/>
      <c r="D371" s="27"/>
    </row>
    <row r="372">
      <c r="C372" s="26"/>
      <c r="D372" s="27"/>
    </row>
    <row r="373">
      <c r="C373" s="26"/>
      <c r="D373" s="27"/>
    </row>
    <row r="374">
      <c r="C374" s="26"/>
      <c r="D374" s="27"/>
    </row>
    <row r="375">
      <c r="C375" s="26"/>
      <c r="D375" s="27"/>
    </row>
    <row r="376">
      <c r="C376" s="26"/>
      <c r="D376" s="27"/>
    </row>
    <row r="377">
      <c r="C377" s="26"/>
      <c r="D377" s="27"/>
    </row>
    <row r="378">
      <c r="C378" s="26"/>
      <c r="D378" s="27"/>
    </row>
    <row r="379">
      <c r="C379" s="26"/>
      <c r="D379" s="27"/>
    </row>
    <row r="380">
      <c r="C380" s="26"/>
      <c r="D380" s="27"/>
    </row>
    <row r="381">
      <c r="C381" s="26"/>
      <c r="D381" s="27"/>
    </row>
    <row r="382">
      <c r="C382" s="26"/>
      <c r="D382" s="27"/>
    </row>
    <row r="383">
      <c r="C383" s="26"/>
      <c r="D383" s="27"/>
    </row>
    <row r="384">
      <c r="C384" s="26"/>
      <c r="D384" s="27"/>
    </row>
    <row r="385">
      <c r="C385" s="26"/>
      <c r="D385" s="27"/>
    </row>
    <row r="386">
      <c r="C386" s="26"/>
      <c r="D386" s="27"/>
    </row>
    <row r="387">
      <c r="C387" s="26"/>
      <c r="D387" s="27"/>
    </row>
    <row r="388">
      <c r="C388" s="26"/>
      <c r="D388" s="27"/>
    </row>
    <row r="389">
      <c r="C389" s="26"/>
      <c r="D389" s="27"/>
    </row>
    <row r="390">
      <c r="C390" s="26"/>
      <c r="D390" s="27"/>
    </row>
    <row r="391">
      <c r="C391" s="26"/>
      <c r="D391" s="27"/>
    </row>
    <row r="392">
      <c r="C392" s="26"/>
      <c r="D392" s="27"/>
    </row>
    <row r="393">
      <c r="C393" s="26"/>
      <c r="D393" s="27"/>
    </row>
    <row r="394">
      <c r="C394" s="26"/>
      <c r="D394" s="27"/>
    </row>
    <row r="395">
      <c r="C395" s="26"/>
      <c r="D395" s="27"/>
    </row>
    <row r="396">
      <c r="C396" s="26"/>
      <c r="D396" s="27"/>
    </row>
    <row r="397">
      <c r="C397" s="26"/>
      <c r="D397" s="27"/>
    </row>
    <row r="398">
      <c r="C398" s="26"/>
      <c r="D398" s="27"/>
    </row>
    <row r="399">
      <c r="C399" s="26"/>
      <c r="D399" s="27"/>
    </row>
    <row r="400">
      <c r="C400" s="26"/>
      <c r="D400" s="27"/>
    </row>
    <row r="401">
      <c r="C401" s="26"/>
      <c r="D401" s="27"/>
    </row>
    <row r="402">
      <c r="C402" s="26"/>
      <c r="D402" s="27"/>
    </row>
    <row r="403">
      <c r="C403" s="26"/>
      <c r="D403" s="27"/>
    </row>
    <row r="404">
      <c r="C404" s="26"/>
      <c r="D404" s="27"/>
    </row>
    <row r="405">
      <c r="C405" s="26"/>
      <c r="D405" s="27"/>
    </row>
    <row r="406">
      <c r="C406" s="26"/>
      <c r="D406" s="27"/>
    </row>
    <row r="407">
      <c r="C407" s="26"/>
      <c r="D407" s="27"/>
    </row>
    <row r="408">
      <c r="C408" s="26"/>
      <c r="D408" s="27"/>
    </row>
    <row r="409">
      <c r="C409" s="26"/>
      <c r="D409" s="27"/>
    </row>
    <row r="410">
      <c r="C410" s="26"/>
      <c r="D410" s="27"/>
    </row>
    <row r="411">
      <c r="C411" s="26"/>
      <c r="D411" s="27"/>
    </row>
    <row r="412">
      <c r="C412" s="26"/>
      <c r="D412" s="27"/>
    </row>
    <row r="413">
      <c r="C413" s="26"/>
      <c r="D413" s="27"/>
    </row>
    <row r="414">
      <c r="C414" s="26"/>
      <c r="D414" s="27"/>
    </row>
    <row r="415">
      <c r="C415" s="26"/>
      <c r="D415" s="27"/>
    </row>
    <row r="416">
      <c r="C416" s="26"/>
      <c r="D416" s="27"/>
    </row>
    <row r="417">
      <c r="C417" s="26"/>
      <c r="D417" s="27"/>
    </row>
    <row r="418">
      <c r="C418" s="26"/>
      <c r="D418" s="27"/>
    </row>
    <row r="419">
      <c r="C419" s="26"/>
      <c r="D419" s="27"/>
    </row>
    <row r="420">
      <c r="C420" s="26"/>
      <c r="D420" s="27"/>
    </row>
    <row r="421">
      <c r="C421" s="26"/>
      <c r="D421" s="27"/>
    </row>
    <row r="422">
      <c r="C422" s="26"/>
      <c r="D422" s="27"/>
    </row>
    <row r="423">
      <c r="C423" s="26"/>
      <c r="D423" s="27"/>
    </row>
    <row r="424">
      <c r="C424" s="26"/>
      <c r="D424" s="27"/>
    </row>
    <row r="425">
      <c r="C425" s="26"/>
      <c r="D425" s="27"/>
    </row>
    <row r="426">
      <c r="C426" s="26"/>
      <c r="D426" s="27"/>
    </row>
    <row r="427">
      <c r="C427" s="26"/>
      <c r="D427" s="27"/>
    </row>
    <row r="428">
      <c r="C428" s="26"/>
      <c r="D428" s="27"/>
    </row>
    <row r="429">
      <c r="C429" s="26"/>
      <c r="D429" s="27"/>
    </row>
    <row r="430">
      <c r="C430" s="26"/>
      <c r="D430" s="27"/>
    </row>
    <row r="431">
      <c r="C431" s="26"/>
      <c r="D431" s="27"/>
    </row>
    <row r="432">
      <c r="C432" s="26"/>
      <c r="D432" s="27"/>
    </row>
    <row r="433">
      <c r="C433" s="26"/>
      <c r="D433" s="27"/>
    </row>
    <row r="434">
      <c r="C434" s="26"/>
      <c r="D434" s="27"/>
    </row>
    <row r="435">
      <c r="C435" s="26"/>
      <c r="D435" s="27"/>
    </row>
    <row r="436">
      <c r="C436" s="26"/>
      <c r="D436" s="27"/>
    </row>
    <row r="437">
      <c r="C437" s="26"/>
      <c r="D437" s="27"/>
    </row>
    <row r="438">
      <c r="C438" s="26"/>
      <c r="D438" s="27"/>
    </row>
    <row r="439">
      <c r="C439" s="26"/>
      <c r="D439" s="27"/>
    </row>
    <row r="440">
      <c r="C440" s="26"/>
      <c r="D440" s="27"/>
    </row>
    <row r="441">
      <c r="C441" s="26"/>
      <c r="D441" s="27"/>
    </row>
    <row r="442">
      <c r="C442" s="26"/>
      <c r="D442" s="27"/>
    </row>
    <row r="443">
      <c r="C443" s="26"/>
      <c r="D443" s="27"/>
    </row>
    <row r="444">
      <c r="C444" s="26"/>
      <c r="D444" s="27"/>
    </row>
    <row r="445">
      <c r="C445" s="26"/>
      <c r="D445" s="27"/>
    </row>
    <row r="446">
      <c r="C446" s="26"/>
      <c r="D446" s="27"/>
    </row>
    <row r="447">
      <c r="C447" s="26"/>
      <c r="D447" s="27"/>
    </row>
    <row r="448">
      <c r="C448" s="26"/>
      <c r="D448" s="27"/>
    </row>
    <row r="449">
      <c r="C449" s="26"/>
      <c r="D449" s="27"/>
    </row>
    <row r="450">
      <c r="C450" s="26"/>
      <c r="D450" s="27"/>
    </row>
    <row r="451">
      <c r="C451" s="26"/>
      <c r="D451" s="27"/>
    </row>
    <row r="452">
      <c r="C452" s="26"/>
      <c r="D452" s="27"/>
    </row>
    <row r="453">
      <c r="C453" s="26"/>
      <c r="D453" s="27"/>
    </row>
    <row r="454">
      <c r="C454" s="26"/>
      <c r="D454" s="27"/>
    </row>
    <row r="455">
      <c r="C455" s="26"/>
      <c r="D455" s="27"/>
    </row>
    <row r="456">
      <c r="C456" s="26"/>
      <c r="D456" s="27"/>
    </row>
    <row r="457">
      <c r="C457" s="26"/>
      <c r="D457" s="27"/>
    </row>
    <row r="458">
      <c r="C458" s="26"/>
      <c r="D458" s="27"/>
    </row>
    <row r="459">
      <c r="C459" s="26"/>
      <c r="D459" s="27"/>
    </row>
    <row r="460">
      <c r="C460" s="26"/>
      <c r="D460" s="27"/>
    </row>
    <row r="461">
      <c r="C461" s="26"/>
      <c r="D461" s="27"/>
    </row>
    <row r="462">
      <c r="C462" s="26"/>
      <c r="D462" s="27"/>
    </row>
    <row r="463">
      <c r="C463" s="26"/>
      <c r="D463" s="27"/>
    </row>
    <row r="464">
      <c r="C464" s="26"/>
      <c r="D464" s="27"/>
    </row>
    <row r="465">
      <c r="C465" s="26"/>
      <c r="D465" s="27"/>
    </row>
    <row r="466">
      <c r="C466" s="26"/>
      <c r="D466" s="27"/>
    </row>
    <row r="467">
      <c r="C467" s="26"/>
      <c r="D467" s="27"/>
    </row>
    <row r="468">
      <c r="C468" s="26"/>
      <c r="D468" s="27"/>
    </row>
    <row r="469">
      <c r="C469" s="26"/>
      <c r="D469" s="27"/>
    </row>
    <row r="470">
      <c r="C470" s="26"/>
      <c r="D470" s="27"/>
    </row>
    <row r="471">
      <c r="C471" s="26"/>
      <c r="D471" s="27"/>
    </row>
    <row r="472">
      <c r="C472" s="26"/>
      <c r="D472" s="27"/>
    </row>
    <row r="473">
      <c r="C473" s="26"/>
      <c r="D473" s="27"/>
    </row>
    <row r="474">
      <c r="C474" s="26"/>
      <c r="D474" s="27"/>
    </row>
    <row r="475">
      <c r="C475" s="26"/>
      <c r="D475" s="27"/>
    </row>
    <row r="476">
      <c r="C476" s="26"/>
      <c r="D476" s="27"/>
    </row>
    <row r="477">
      <c r="C477" s="26"/>
      <c r="D477" s="27"/>
    </row>
    <row r="478">
      <c r="C478" s="26"/>
      <c r="D478" s="27"/>
    </row>
    <row r="479">
      <c r="C479" s="26"/>
      <c r="D479" s="27"/>
    </row>
    <row r="480">
      <c r="C480" s="26"/>
      <c r="D480" s="27"/>
    </row>
    <row r="481">
      <c r="C481" s="26"/>
      <c r="D481" s="27"/>
    </row>
    <row r="482">
      <c r="C482" s="26"/>
      <c r="D482" s="27"/>
    </row>
    <row r="483">
      <c r="C483" s="26"/>
      <c r="D483" s="27"/>
    </row>
    <row r="484">
      <c r="C484" s="26"/>
      <c r="D484" s="27"/>
    </row>
    <row r="485">
      <c r="C485" s="26"/>
      <c r="D485" s="27"/>
    </row>
    <row r="486">
      <c r="C486" s="26"/>
      <c r="D486" s="27"/>
    </row>
    <row r="487">
      <c r="C487" s="26"/>
      <c r="D487" s="27"/>
    </row>
    <row r="488">
      <c r="C488" s="26"/>
      <c r="D488" s="27"/>
    </row>
    <row r="489">
      <c r="C489" s="26"/>
      <c r="D489" s="27"/>
    </row>
    <row r="490">
      <c r="C490" s="26"/>
      <c r="D490" s="27"/>
    </row>
    <row r="491">
      <c r="C491" s="26"/>
      <c r="D491" s="27"/>
    </row>
    <row r="492">
      <c r="C492" s="26"/>
      <c r="D492" s="27"/>
    </row>
    <row r="493">
      <c r="C493" s="26"/>
      <c r="D493" s="27"/>
    </row>
    <row r="494">
      <c r="C494" s="26"/>
      <c r="D494" s="27"/>
    </row>
    <row r="495">
      <c r="C495" s="26"/>
      <c r="D495" s="27"/>
    </row>
    <row r="496">
      <c r="C496" s="26"/>
      <c r="D496" s="27"/>
    </row>
    <row r="497">
      <c r="C497" s="26"/>
      <c r="D497" s="27"/>
    </row>
    <row r="498">
      <c r="C498" s="26"/>
      <c r="D498" s="27"/>
    </row>
    <row r="499">
      <c r="C499" s="26"/>
      <c r="D499" s="27"/>
    </row>
    <row r="500">
      <c r="C500" s="26"/>
      <c r="D500" s="27"/>
    </row>
    <row r="501">
      <c r="C501" s="26"/>
      <c r="D501" s="27"/>
    </row>
    <row r="502">
      <c r="C502" s="26"/>
      <c r="D502" s="27"/>
    </row>
    <row r="503">
      <c r="C503" s="26"/>
      <c r="D503" s="27"/>
    </row>
    <row r="504">
      <c r="C504" s="26"/>
      <c r="D504" s="27"/>
    </row>
    <row r="505">
      <c r="C505" s="26"/>
      <c r="D505" s="27"/>
    </row>
    <row r="506">
      <c r="C506" s="26"/>
      <c r="D506" s="27"/>
    </row>
    <row r="507">
      <c r="C507" s="26"/>
      <c r="D507" s="27"/>
    </row>
    <row r="508">
      <c r="C508" s="26"/>
      <c r="D508" s="27"/>
    </row>
    <row r="509">
      <c r="C509" s="26"/>
      <c r="D509" s="27"/>
    </row>
    <row r="510">
      <c r="C510" s="26"/>
      <c r="D510" s="27"/>
    </row>
    <row r="511">
      <c r="C511" s="26"/>
      <c r="D511" s="27"/>
    </row>
    <row r="512">
      <c r="C512" s="26"/>
      <c r="D512" s="27"/>
    </row>
    <row r="513">
      <c r="C513" s="26"/>
      <c r="D513" s="27"/>
    </row>
    <row r="514">
      <c r="C514" s="26"/>
      <c r="D514" s="27"/>
    </row>
    <row r="515">
      <c r="C515" s="26"/>
      <c r="D515" s="27"/>
    </row>
    <row r="516">
      <c r="C516" s="26"/>
      <c r="D516" s="27"/>
    </row>
    <row r="517">
      <c r="C517" s="26"/>
      <c r="D517" s="27"/>
    </row>
    <row r="518">
      <c r="C518" s="26"/>
      <c r="D518" s="27"/>
    </row>
    <row r="519">
      <c r="C519" s="26"/>
      <c r="D519" s="27"/>
    </row>
    <row r="520">
      <c r="C520" s="26"/>
      <c r="D520" s="27"/>
    </row>
    <row r="521">
      <c r="C521" s="26"/>
      <c r="D521" s="27"/>
    </row>
    <row r="522">
      <c r="C522" s="26"/>
      <c r="D522" s="27"/>
    </row>
    <row r="523">
      <c r="C523" s="26"/>
      <c r="D523" s="27"/>
    </row>
    <row r="524">
      <c r="C524" s="26"/>
      <c r="D524" s="27"/>
    </row>
    <row r="525">
      <c r="C525" s="26"/>
      <c r="D525" s="27"/>
    </row>
    <row r="526">
      <c r="C526" s="26"/>
      <c r="D526" s="27"/>
    </row>
    <row r="527">
      <c r="C527" s="26"/>
      <c r="D527" s="27"/>
    </row>
    <row r="528">
      <c r="C528" s="26"/>
      <c r="D528" s="27"/>
    </row>
    <row r="529">
      <c r="C529" s="26"/>
      <c r="D529" s="27"/>
    </row>
    <row r="530">
      <c r="C530" s="26"/>
      <c r="D530" s="27"/>
    </row>
    <row r="531">
      <c r="C531" s="26"/>
      <c r="D531" s="27"/>
    </row>
    <row r="532">
      <c r="C532" s="26"/>
      <c r="D532" s="27"/>
    </row>
    <row r="533">
      <c r="C533" s="26"/>
      <c r="D533" s="27"/>
    </row>
    <row r="534">
      <c r="C534" s="26"/>
      <c r="D534" s="27"/>
    </row>
    <row r="535">
      <c r="C535" s="26"/>
      <c r="D535" s="27"/>
    </row>
    <row r="536">
      <c r="C536" s="26"/>
      <c r="D536" s="27"/>
    </row>
    <row r="537">
      <c r="C537" s="26"/>
      <c r="D537" s="27"/>
    </row>
    <row r="538">
      <c r="C538" s="26"/>
      <c r="D538" s="27"/>
    </row>
    <row r="539">
      <c r="C539" s="26"/>
      <c r="D539" s="27"/>
    </row>
    <row r="540">
      <c r="C540" s="26"/>
      <c r="D540" s="27"/>
    </row>
    <row r="541">
      <c r="C541" s="26"/>
      <c r="D541" s="27"/>
    </row>
    <row r="542">
      <c r="C542" s="26"/>
      <c r="D542" s="27"/>
    </row>
    <row r="543">
      <c r="C543" s="26"/>
      <c r="D543" s="27"/>
    </row>
    <row r="544">
      <c r="C544" s="26"/>
      <c r="D544" s="27"/>
    </row>
    <row r="545">
      <c r="C545" s="26"/>
      <c r="D545" s="27"/>
    </row>
    <row r="546">
      <c r="C546" s="26"/>
      <c r="D546" s="27"/>
    </row>
    <row r="547">
      <c r="C547" s="26"/>
      <c r="D547" s="27"/>
    </row>
    <row r="548">
      <c r="C548" s="26"/>
      <c r="D548" s="27"/>
    </row>
    <row r="549">
      <c r="C549" s="26"/>
      <c r="D549" s="27"/>
    </row>
    <row r="550">
      <c r="C550" s="26"/>
      <c r="D550" s="27"/>
    </row>
    <row r="551">
      <c r="C551" s="26"/>
      <c r="D551" s="27"/>
    </row>
    <row r="552">
      <c r="C552" s="26"/>
      <c r="D552" s="27"/>
    </row>
    <row r="553">
      <c r="C553" s="26"/>
      <c r="D553" s="27"/>
    </row>
    <row r="554">
      <c r="C554" s="26"/>
      <c r="D554" s="27"/>
    </row>
    <row r="555">
      <c r="C555" s="26"/>
      <c r="D555" s="27"/>
    </row>
    <row r="556">
      <c r="C556" s="26"/>
      <c r="D556" s="27"/>
    </row>
    <row r="557">
      <c r="C557" s="26"/>
      <c r="D557" s="27"/>
    </row>
    <row r="558">
      <c r="C558" s="26"/>
      <c r="D558" s="27"/>
    </row>
    <row r="559">
      <c r="C559" s="26"/>
      <c r="D559" s="27"/>
    </row>
    <row r="560">
      <c r="C560" s="26"/>
      <c r="D560" s="27"/>
    </row>
    <row r="561">
      <c r="C561" s="26"/>
      <c r="D561" s="27"/>
    </row>
    <row r="562">
      <c r="C562" s="26"/>
      <c r="D562" s="27"/>
    </row>
    <row r="563">
      <c r="C563" s="26"/>
      <c r="D563" s="27"/>
    </row>
    <row r="564">
      <c r="C564" s="26"/>
      <c r="D564" s="27"/>
    </row>
    <row r="565">
      <c r="C565" s="26"/>
      <c r="D565" s="27"/>
    </row>
    <row r="566">
      <c r="C566" s="26"/>
      <c r="D566" s="27"/>
    </row>
    <row r="567">
      <c r="C567" s="26"/>
      <c r="D567" s="27"/>
    </row>
    <row r="568">
      <c r="C568" s="26"/>
      <c r="D568" s="27"/>
    </row>
    <row r="569">
      <c r="C569" s="26"/>
      <c r="D569" s="27"/>
    </row>
    <row r="570">
      <c r="C570" s="26"/>
      <c r="D570" s="27"/>
    </row>
    <row r="571">
      <c r="C571" s="26"/>
      <c r="D571" s="27"/>
    </row>
    <row r="572">
      <c r="C572" s="26"/>
      <c r="D572" s="27"/>
    </row>
    <row r="573">
      <c r="C573" s="26"/>
      <c r="D573" s="27"/>
    </row>
    <row r="574">
      <c r="C574" s="26"/>
      <c r="D574" s="27"/>
    </row>
    <row r="575">
      <c r="C575" s="26"/>
      <c r="D575" s="27"/>
    </row>
    <row r="576">
      <c r="C576" s="26"/>
      <c r="D576" s="27"/>
    </row>
    <row r="577">
      <c r="C577" s="26"/>
      <c r="D577" s="27"/>
    </row>
    <row r="578">
      <c r="C578" s="26"/>
      <c r="D578" s="27"/>
    </row>
    <row r="579">
      <c r="C579" s="26"/>
      <c r="D579" s="27"/>
    </row>
    <row r="580">
      <c r="C580" s="26"/>
      <c r="D580" s="27"/>
    </row>
    <row r="581">
      <c r="C581" s="26"/>
      <c r="D581" s="27"/>
    </row>
    <row r="582">
      <c r="C582" s="26"/>
      <c r="D582" s="27"/>
    </row>
    <row r="583">
      <c r="C583" s="26"/>
      <c r="D583" s="27"/>
    </row>
    <row r="584">
      <c r="C584" s="26"/>
      <c r="D584" s="27"/>
    </row>
    <row r="585">
      <c r="C585" s="26"/>
      <c r="D585" s="27"/>
    </row>
    <row r="586">
      <c r="C586" s="26"/>
      <c r="D586" s="27"/>
    </row>
    <row r="587">
      <c r="C587" s="26"/>
      <c r="D587" s="27"/>
    </row>
    <row r="588">
      <c r="C588" s="26"/>
      <c r="D588" s="27"/>
    </row>
    <row r="589">
      <c r="C589" s="26"/>
      <c r="D589" s="27"/>
    </row>
    <row r="590">
      <c r="C590" s="26"/>
      <c r="D590" s="27"/>
    </row>
    <row r="591">
      <c r="C591" s="26"/>
      <c r="D591" s="27"/>
    </row>
    <row r="592">
      <c r="C592" s="26"/>
      <c r="D592" s="27"/>
    </row>
    <row r="593">
      <c r="C593" s="26"/>
      <c r="D593" s="27"/>
    </row>
    <row r="594">
      <c r="C594" s="26"/>
      <c r="D594" s="27"/>
    </row>
    <row r="595">
      <c r="C595" s="26"/>
      <c r="D595" s="27"/>
    </row>
    <row r="596">
      <c r="C596" s="26"/>
      <c r="D596" s="27"/>
    </row>
    <row r="597">
      <c r="C597" s="26"/>
      <c r="D597" s="27"/>
    </row>
    <row r="598">
      <c r="C598" s="26"/>
      <c r="D598" s="27"/>
    </row>
    <row r="599">
      <c r="C599" s="26"/>
      <c r="D599" s="27"/>
    </row>
    <row r="600">
      <c r="C600" s="26"/>
      <c r="D600" s="27"/>
    </row>
    <row r="601">
      <c r="C601" s="26"/>
      <c r="D601" s="27"/>
    </row>
    <row r="602">
      <c r="C602" s="26"/>
      <c r="D602" s="27"/>
    </row>
    <row r="603">
      <c r="C603" s="26"/>
      <c r="D603" s="27"/>
    </row>
    <row r="604">
      <c r="C604" s="26"/>
      <c r="D604" s="27"/>
    </row>
    <row r="605">
      <c r="C605" s="26"/>
      <c r="D605" s="27"/>
    </row>
    <row r="606">
      <c r="C606" s="26"/>
      <c r="D606" s="27"/>
    </row>
    <row r="607">
      <c r="C607" s="26"/>
      <c r="D607" s="27"/>
    </row>
    <row r="608">
      <c r="C608" s="26"/>
      <c r="D608" s="27"/>
    </row>
    <row r="609">
      <c r="C609" s="26"/>
      <c r="D609" s="27"/>
    </row>
    <row r="610">
      <c r="C610" s="26"/>
      <c r="D610" s="27"/>
    </row>
    <row r="611">
      <c r="C611" s="26"/>
      <c r="D611" s="27"/>
    </row>
    <row r="612">
      <c r="C612" s="26"/>
      <c r="D612" s="27"/>
    </row>
    <row r="613">
      <c r="C613" s="26"/>
      <c r="D613" s="27"/>
    </row>
    <row r="614">
      <c r="C614" s="26"/>
      <c r="D614" s="27"/>
    </row>
    <row r="615">
      <c r="C615" s="26"/>
      <c r="D615" s="27"/>
    </row>
    <row r="616">
      <c r="C616" s="26"/>
      <c r="D616" s="27"/>
    </row>
    <row r="617">
      <c r="C617" s="26"/>
      <c r="D617" s="27"/>
    </row>
    <row r="618">
      <c r="C618" s="26"/>
      <c r="D618" s="27"/>
    </row>
    <row r="619">
      <c r="C619" s="26"/>
      <c r="D619" s="27"/>
    </row>
    <row r="620">
      <c r="C620" s="26"/>
      <c r="D620" s="27"/>
    </row>
    <row r="621">
      <c r="C621" s="26"/>
      <c r="D621" s="27"/>
    </row>
    <row r="622">
      <c r="C622" s="26"/>
      <c r="D622" s="27"/>
    </row>
    <row r="623">
      <c r="C623" s="26"/>
      <c r="D623" s="27"/>
    </row>
    <row r="624">
      <c r="C624" s="26"/>
      <c r="D624" s="27"/>
    </row>
    <row r="625">
      <c r="C625" s="26"/>
      <c r="D625" s="27"/>
    </row>
    <row r="626">
      <c r="C626" s="26"/>
      <c r="D626" s="27"/>
    </row>
    <row r="627">
      <c r="C627" s="26"/>
      <c r="D627" s="27"/>
    </row>
    <row r="628">
      <c r="C628" s="26"/>
      <c r="D628" s="27"/>
    </row>
    <row r="629">
      <c r="C629" s="26"/>
      <c r="D629" s="27"/>
    </row>
    <row r="630">
      <c r="C630" s="26"/>
      <c r="D630" s="27"/>
    </row>
    <row r="631">
      <c r="C631" s="26"/>
      <c r="D631" s="27"/>
    </row>
    <row r="632">
      <c r="C632" s="26"/>
      <c r="D632" s="27"/>
    </row>
    <row r="633">
      <c r="C633" s="26"/>
      <c r="D633" s="27"/>
    </row>
    <row r="634">
      <c r="C634" s="26"/>
      <c r="D634" s="27"/>
    </row>
    <row r="635">
      <c r="C635" s="26"/>
      <c r="D635" s="27"/>
    </row>
    <row r="636">
      <c r="C636" s="26"/>
      <c r="D636" s="27"/>
    </row>
    <row r="637">
      <c r="C637" s="26"/>
      <c r="D637" s="27"/>
    </row>
    <row r="638">
      <c r="C638" s="26"/>
      <c r="D638" s="27"/>
    </row>
    <row r="639">
      <c r="C639" s="26"/>
      <c r="D639" s="27"/>
    </row>
    <row r="640">
      <c r="C640" s="26"/>
      <c r="D640" s="27"/>
    </row>
    <row r="641">
      <c r="C641" s="26"/>
      <c r="D641" s="27"/>
    </row>
    <row r="642">
      <c r="C642" s="26"/>
      <c r="D642" s="27"/>
    </row>
    <row r="643">
      <c r="C643" s="26"/>
      <c r="D643" s="27"/>
    </row>
    <row r="644">
      <c r="C644" s="26"/>
      <c r="D644" s="27"/>
    </row>
    <row r="645">
      <c r="C645" s="26"/>
      <c r="D645" s="27"/>
    </row>
    <row r="646">
      <c r="C646" s="26"/>
      <c r="D646" s="27"/>
    </row>
    <row r="647">
      <c r="C647" s="26"/>
      <c r="D647" s="27"/>
    </row>
    <row r="648">
      <c r="C648" s="26"/>
      <c r="D648" s="27"/>
    </row>
    <row r="649">
      <c r="C649" s="26"/>
      <c r="D649" s="27"/>
    </row>
    <row r="650">
      <c r="C650" s="26"/>
      <c r="D650" s="27"/>
    </row>
    <row r="651">
      <c r="C651" s="26"/>
      <c r="D651" s="27"/>
    </row>
    <row r="652">
      <c r="C652" s="26"/>
      <c r="D652" s="27"/>
    </row>
    <row r="653">
      <c r="C653" s="26"/>
      <c r="D653" s="27"/>
    </row>
    <row r="654">
      <c r="C654" s="26"/>
      <c r="D654" s="27"/>
    </row>
    <row r="655">
      <c r="C655" s="26"/>
      <c r="D655" s="27"/>
    </row>
    <row r="656">
      <c r="C656" s="26"/>
      <c r="D656" s="27"/>
    </row>
    <row r="657">
      <c r="C657" s="26"/>
      <c r="D657" s="27"/>
    </row>
    <row r="658">
      <c r="C658" s="26"/>
      <c r="D658" s="27"/>
    </row>
    <row r="659">
      <c r="C659" s="26"/>
      <c r="D659" s="27"/>
    </row>
    <row r="660">
      <c r="C660" s="26"/>
      <c r="D660" s="27"/>
    </row>
    <row r="661">
      <c r="C661" s="26"/>
      <c r="D661" s="27"/>
    </row>
    <row r="662">
      <c r="C662" s="26"/>
      <c r="D662" s="27"/>
    </row>
    <row r="663">
      <c r="C663" s="26"/>
      <c r="D663" s="27"/>
    </row>
    <row r="664">
      <c r="C664" s="26"/>
      <c r="D664" s="27"/>
    </row>
    <row r="665">
      <c r="C665" s="26"/>
      <c r="D665" s="27"/>
    </row>
    <row r="666">
      <c r="C666" s="26"/>
      <c r="D666" s="27"/>
    </row>
    <row r="667">
      <c r="C667" s="26"/>
      <c r="D667" s="27"/>
    </row>
    <row r="668">
      <c r="C668" s="26"/>
      <c r="D668" s="27"/>
    </row>
    <row r="669">
      <c r="C669" s="26"/>
      <c r="D669" s="27"/>
    </row>
    <row r="670">
      <c r="C670" s="26"/>
      <c r="D670" s="27"/>
    </row>
    <row r="671">
      <c r="C671" s="26"/>
      <c r="D671" s="27"/>
    </row>
    <row r="672">
      <c r="C672" s="26"/>
      <c r="D672" s="27"/>
    </row>
    <row r="673">
      <c r="C673" s="26"/>
      <c r="D673" s="27"/>
    </row>
    <row r="674">
      <c r="C674" s="26"/>
      <c r="D674" s="27"/>
    </row>
    <row r="675">
      <c r="C675" s="26"/>
      <c r="D675" s="27"/>
    </row>
    <row r="676">
      <c r="C676" s="26"/>
      <c r="D676" s="27"/>
    </row>
    <row r="677">
      <c r="C677" s="26"/>
      <c r="D677" s="27"/>
    </row>
    <row r="678">
      <c r="C678" s="26"/>
      <c r="D678" s="27"/>
    </row>
    <row r="679">
      <c r="C679" s="26"/>
      <c r="D679" s="27"/>
    </row>
    <row r="680">
      <c r="C680" s="26"/>
      <c r="D680" s="27"/>
    </row>
    <row r="681">
      <c r="C681" s="26"/>
      <c r="D681" s="27"/>
    </row>
    <row r="682">
      <c r="C682" s="26"/>
      <c r="D682" s="27"/>
    </row>
    <row r="683">
      <c r="C683" s="26"/>
      <c r="D683" s="27"/>
    </row>
    <row r="684">
      <c r="C684" s="26"/>
      <c r="D684" s="27"/>
    </row>
    <row r="685">
      <c r="C685" s="26"/>
      <c r="D685" s="27"/>
    </row>
    <row r="686">
      <c r="C686" s="26"/>
      <c r="D686" s="27"/>
    </row>
    <row r="687">
      <c r="C687" s="26"/>
      <c r="D687" s="27"/>
    </row>
    <row r="688">
      <c r="C688" s="26"/>
      <c r="D688" s="27"/>
    </row>
    <row r="689">
      <c r="C689" s="26"/>
      <c r="D689" s="27"/>
    </row>
    <row r="690">
      <c r="C690" s="26"/>
      <c r="D690" s="27"/>
    </row>
    <row r="691">
      <c r="C691" s="26"/>
      <c r="D691" s="27"/>
    </row>
    <row r="692">
      <c r="C692" s="26"/>
      <c r="D692" s="27"/>
    </row>
    <row r="693">
      <c r="C693" s="26"/>
      <c r="D693" s="27"/>
    </row>
    <row r="694">
      <c r="C694" s="26"/>
      <c r="D694" s="27"/>
    </row>
    <row r="695">
      <c r="C695" s="26"/>
      <c r="D695" s="27"/>
    </row>
    <row r="696">
      <c r="C696" s="26"/>
      <c r="D696" s="27"/>
    </row>
    <row r="697">
      <c r="C697" s="26"/>
      <c r="D697" s="27"/>
    </row>
    <row r="698">
      <c r="C698" s="26"/>
      <c r="D698" s="27"/>
    </row>
    <row r="699">
      <c r="C699" s="26"/>
      <c r="D699" s="27"/>
    </row>
    <row r="700">
      <c r="C700" s="26"/>
      <c r="D700" s="27"/>
    </row>
    <row r="701">
      <c r="C701" s="26"/>
      <c r="D701" s="27"/>
    </row>
    <row r="702">
      <c r="C702" s="26"/>
      <c r="D702" s="27"/>
    </row>
    <row r="703">
      <c r="C703" s="26"/>
      <c r="D703" s="27"/>
    </row>
    <row r="704">
      <c r="C704" s="26"/>
      <c r="D704" s="27"/>
    </row>
    <row r="705">
      <c r="C705" s="26"/>
      <c r="D705" s="27"/>
    </row>
    <row r="706">
      <c r="C706" s="26"/>
      <c r="D706" s="27"/>
    </row>
    <row r="707">
      <c r="C707" s="26"/>
      <c r="D707" s="27"/>
    </row>
    <row r="708">
      <c r="C708" s="26"/>
      <c r="D708" s="27"/>
    </row>
    <row r="709">
      <c r="C709" s="26"/>
      <c r="D709" s="27"/>
    </row>
    <row r="710">
      <c r="C710" s="26"/>
      <c r="D710" s="27"/>
    </row>
    <row r="711">
      <c r="C711" s="26"/>
      <c r="D711" s="27"/>
    </row>
    <row r="712">
      <c r="C712" s="26"/>
      <c r="D712" s="27"/>
    </row>
    <row r="713">
      <c r="C713" s="26"/>
      <c r="D713" s="27"/>
    </row>
    <row r="714">
      <c r="C714" s="26"/>
      <c r="D714" s="27"/>
    </row>
    <row r="715">
      <c r="C715" s="26"/>
      <c r="D715" s="27"/>
    </row>
    <row r="716">
      <c r="C716" s="26"/>
      <c r="D716" s="27"/>
    </row>
    <row r="717">
      <c r="C717" s="26"/>
      <c r="D717" s="27"/>
    </row>
    <row r="718">
      <c r="C718" s="26"/>
      <c r="D718" s="27"/>
    </row>
    <row r="719">
      <c r="C719" s="26"/>
      <c r="D719" s="27"/>
    </row>
    <row r="720">
      <c r="C720" s="26"/>
      <c r="D720" s="27"/>
    </row>
    <row r="721">
      <c r="C721" s="26"/>
      <c r="D721" s="27"/>
    </row>
    <row r="722">
      <c r="C722" s="26"/>
      <c r="D722" s="27"/>
    </row>
    <row r="723">
      <c r="C723" s="26"/>
      <c r="D723" s="27"/>
    </row>
    <row r="724">
      <c r="C724" s="26"/>
      <c r="D724" s="27"/>
    </row>
    <row r="725">
      <c r="C725" s="26"/>
      <c r="D725" s="27"/>
    </row>
    <row r="726">
      <c r="C726" s="26"/>
      <c r="D726" s="27"/>
    </row>
    <row r="727">
      <c r="C727" s="26"/>
      <c r="D727" s="27"/>
    </row>
    <row r="728">
      <c r="C728" s="26"/>
      <c r="D728" s="27"/>
    </row>
    <row r="729">
      <c r="C729" s="26"/>
      <c r="D729" s="27"/>
    </row>
    <row r="730">
      <c r="C730" s="26"/>
      <c r="D730" s="27"/>
    </row>
    <row r="731">
      <c r="C731" s="26"/>
      <c r="D731" s="27"/>
    </row>
    <row r="732">
      <c r="C732" s="26"/>
      <c r="D732" s="27"/>
    </row>
    <row r="733">
      <c r="C733" s="26"/>
      <c r="D733" s="27"/>
    </row>
    <row r="734">
      <c r="C734" s="26"/>
      <c r="D734" s="27"/>
    </row>
    <row r="735">
      <c r="C735" s="26"/>
      <c r="D735" s="27"/>
    </row>
    <row r="736">
      <c r="C736" s="26"/>
      <c r="D736" s="27"/>
    </row>
    <row r="737">
      <c r="C737" s="26"/>
      <c r="D737" s="27"/>
    </row>
    <row r="738">
      <c r="C738" s="26"/>
      <c r="D738" s="27"/>
    </row>
    <row r="739">
      <c r="C739" s="26"/>
      <c r="D739" s="27"/>
    </row>
    <row r="740">
      <c r="C740" s="26"/>
      <c r="D740" s="27"/>
    </row>
    <row r="741">
      <c r="C741" s="26"/>
      <c r="D741" s="27"/>
    </row>
    <row r="742">
      <c r="C742" s="26"/>
      <c r="D742" s="27"/>
    </row>
    <row r="743">
      <c r="C743" s="26"/>
      <c r="D743" s="27"/>
    </row>
    <row r="744">
      <c r="C744" s="26"/>
      <c r="D744" s="27"/>
    </row>
    <row r="745">
      <c r="C745" s="26"/>
      <c r="D745" s="27"/>
    </row>
    <row r="746">
      <c r="C746" s="26"/>
      <c r="D746" s="27"/>
    </row>
    <row r="747">
      <c r="C747" s="26"/>
      <c r="D747" s="27"/>
    </row>
    <row r="748">
      <c r="C748" s="26"/>
      <c r="D748" s="27"/>
    </row>
    <row r="749">
      <c r="C749" s="26"/>
      <c r="D749" s="27"/>
    </row>
    <row r="750">
      <c r="C750" s="26"/>
      <c r="D750" s="27"/>
    </row>
    <row r="751">
      <c r="C751" s="26"/>
      <c r="D751" s="27"/>
    </row>
    <row r="752">
      <c r="C752" s="26"/>
      <c r="D752" s="27"/>
    </row>
    <row r="753">
      <c r="C753" s="26"/>
      <c r="D753" s="27"/>
    </row>
    <row r="754">
      <c r="C754" s="26"/>
      <c r="D754" s="27"/>
    </row>
    <row r="755">
      <c r="C755" s="26"/>
      <c r="D755" s="27"/>
    </row>
    <row r="756">
      <c r="C756" s="26"/>
      <c r="D756" s="27"/>
    </row>
    <row r="757">
      <c r="C757" s="26"/>
      <c r="D757" s="27"/>
    </row>
    <row r="758">
      <c r="C758" s="26"/>
      <c r="D758" s="27"/>
    </row>
    <row r="759">
      <c r="C759" s="26"/>
      <c r="D759" s="27"/>
    </row>
    <row r="760">
      <c r="C760" s="26"/>
      <c r="D760" s="27"/>
    </row>
    <row r="761">
      <c r="C761" s="26"/>
      <c r="D761" s="27"/>
    </row>
    <row r="762">
      <c r="C762" s="26"/>
      <c r="D762" s="27"/>
    </row>
    <row r="763">
      <c r="C763" s="26"/>
      <c r="D763" s="27"/>
    </row>
    <row r="764">
      <c r="C764" s="26"/>
      <c r="D764" s="27"/>
    </row>
    <row r="765">
      <c r="C765" s="26"/>
      <c r="D765" s="27"/>
    </row>
    <row r="766">
      <c r="C766" s="26"/>
      <c r="D766" s="27"/>
    </row>
    <row r="767">
      <c r="C767" s="26"/>
      <c r="D767" s="27"/>
    </row>
    <row r="768">
      <c r="C768" s="26"/>
      <c r="D768" s="27"/>
    </row>
    <row r="769">
      <c r="C769" s="26"/>
      <c r="D769" s="27"/>
    </row>
    <row r="770">
      <c r="C770" s="26"/>
      <c r="D770" s="27"/>
    </row>
    <row r="771">
      <c r="C771" s="26"/>
      <c r="D771" s="27"/>
    </row>
    <row r="772">
      <c r="C772" s="26"/>
      <c r="D772" s="27"/>
    </row>
    <row r="773">
      <c r="C773" s="26"/>
      <c r="D773" s="27"/>
    </row>
    <row r="774">
      <c r="C774" s="26"/>
      <c r="D774" s="27"/>
    </row>
    <row r="775">
      <c r="C775" s="26"/>
      <c r="D775" s="27"/>
    </row>
    <row r="776">
      <c r="C776" s="26"/>
      <c r="D776" s="27"/>
    </row>
    <row r="777">
      <c r="C777" s="26"/>
      <c r="D777" s="27"/>
    </row>
    <row r="778">
      <c r="C778" s="26"/>
      <c r="D778" s="27"/>
    </row>
    <row r="779">
      <c r="C779" s="26"/>
      <c r="D779" s="27"/>
    </row>
    <row r="780">
      <c r="C780" s="26"/>
      <c r="D780" s="27"/>
    </row>
    <row r="781">
      <c r="C781" s="26"/>
      <c r="D781" s="27"/>
    </row>
    <row r="782">
      <c r="C782" s="26"/>
      <c r="D782" s="27"/>
    </row>
    <row r="783">
      <c r="C783" s="26"/>
      <c r="D783" s="27"/>
    </row>
    <row r="784">
      <c r="C784" s="26"/>
      <c r="D784" s="27"/>
    </row>
    <row r="785">
      <c r="C785" s="26"/>
      <c r="D785" s="27"/>
    </row>
    <row r="786">
      <c r="C786" s="26"/>
      <c r="D786" s="27"/>
    </row>
    <row r="787">
      <c r="C787" s="26"/>
      <c r="D787" s="27"/>
    </row>
    <row r="788">
      <c r="C788" s="26"/>
      <c r="D788" s="27"/>
    </row>
    <row r="789">
      <c r="C789" s="26"/>
      <c r="D789" s="27"/>
    </row>
    <row r="790">
      <c r="C790" s="26"/>
      <c r="D790" s="27"/>
    </row>
    <row r="791">
      <c r="C791" s="26"/>
      <c r="D791" s="27"/>
    </row>
    <row r="792">
      <c r="C792" s="26"/>
      <c r="D792" s="27"/>
    </row>
    <row r="793">
      <c r="C793" s="26"/>
      <c r="D793" s="27"/>
    </row>
    <row r="794">
      <c r="C794" s="26"/>
      <c r="D794" s="27"/>
    </row>
    <row r="795">
      <c r="C795" s="26"/>
      <c r="D795" s="27"/>
    </row>
    <row r="796">
      <c r="C796" s="26"/>
      <c r="D796" s="27"/>
    </row>
    <row r="797">
      <c r="C797" s="26"/>
      <c r="D797" s="27"/>
    </row>
    <row r="798">
      <c r="C798" s="26"/>
      <c r="D798" s="27"/>
    </row>
    <row r="799">
      <c r="C799" s="26"/>
      <c r="D799" s="27"/>
    </row>
    <row r="800">
      <c r="C800" s="26"/>
      <c r="D800" s="27"/>
    </row>
    <row r="801">
      <c r="C801" s="26"/>
      <c r="D801" s="27"/>
    </row>
    <row r="802">
      <c r="C802" s="26"/>
      <c r="D802" s="27"/>
    </row>
    <row r="803">
      <c r="C803" s="26"/>
      <c r="D803" s="27"/>
    </row>
    <row r="804">
      <c r="C804" s="26"/>
      <c r="D804" s="27"/>
    </row>
    <row r="805">
      <c r="C805" s="26"/>
      <c r="D805" s="27"/>
    </row>
    <row r="806">
      <c r="C806" s="26"/>
      <c r="D806" s="27"/>
    </row>
    <row r="807">
      <c r="C807" s="26"/>
      <c r="D807" s="27"/>
    </row>
    <row r="808">
      <c r="C808" s="26"/>
      <c r="D808" s="27"/>
    </row>
    <row r="809">
      <c r="C809" s="26"/>
      <c r="D809" s="27"/>
    </row>
    <row r="810">
      <c r="C810" s="26"/>
      <c r="D810" s="27"/>
    </row>
    <row r="811">
      <c r="C811" s="26"/>
      <c r="D811" s="27"/>
    </row>
    <row r="812">
      <c r="C812" s="26"/>
      <c r="D812" s="27"/>
    </row>
    <row r="813">
      <c r="C813" s="26"/>
      <c r="D813" s="27"/>
    </row>
    <row r="814">
      <c r="C814" s="26"/>
      <c r="D814" s="27"/>
    </row>
    <row r="815">
      <c r="C815" s="26"/>
      <c r="D815" s="27"/>
    </row>
    <row r="816">
      <c r="C816" s="26"/>
      <c r="D816" s="27"/>
    </row>
    <row r="817">
      <c r="C817" s="26"/>
      <c r="D817" s="27"/>
    </row>
    <row r="818">
      <c r="C818" s="26"/>
      <c r="D818" s="27"/>
    </row>
    <row r="819">
      <c r="C819" s="26"/>
      <c r="D819" s="27"/>
    </row>
    <row r="820">
      <c r="C820" s="26"/>
      <c r="D820" s="27"/>
    </row>
    <row r="821">
      <c r="C821" s="26"/>
      <c r="D821" s="27"/>
    </row>
    <row r="822">
      <c r="C822" s="26"/>
      <c r="D822" s="27"/>
    </row>
    <row r="823">
      <c r="C823" s="26"/>
      <c r="D823" s="27"/>
    </row>
    <row r="824">
      <c r="C824" s="26"/>
      <c r="D824" s="27"/>
    </row>
    <row r="825">
      <c r="C825" s="26"/>
      <c r="D825" s="27"/>
    </row>
    <row r="826">
      <c r="C826" s="26"/>
      <c r="D826" s="27"/>
    </row>
    <row r="827">
      <c r="C827" s="26"/>
      <c r="D827" s="27"/>
    </row>
    <row r="828">
      <c r="C828" s="26"/>
      <c r="D828" s="27"/>
    </row>
    <row r="829">
      <c r="C829" s="26"/>
      <c r="D829" s="27"/>
    </row>
    <row r="830">
      <c r="C830" s="26"/>
      <c r="D830" s="27"/>
    </row>
    <row r="831">
      <c r="C831" s="26"/>
      <c r="D831" s="27"/>
    </row>
    <row r="832">
      <c r="C832" s="26"/>
      <c r="D832" s="27"/>
    </row>
    <row r="833">
      <c r="C833" s="26"/>
      <c r="D833" s="27"/>
    </row>
    <row r="834">
      <c r="C834" s="26"/>
      <c r="D834" s="27"/>
    </row>
    <row r="835">
      <c r="C835" s="26"/>
      <c r="D835" s="27"/>
    </row>
    <row r="836">
      <c r="C836" s="26"/>
      <c r="D836" s="27"/>
    </row>
    <row r="837">
      <c r="C837" s="26"/>
      <c r="D837" s="27"/>
    </row>
    <row r="838">
      <c r="C838" s="26"/>
      <c r="D838" s="27"/>
    </row>
    <row r="839">
      <c r="C839" s="26"/>
      <c r="D839" s="27"/>
    </row>
    <row r="840">
      <c r="C840" s="26"/>
      <c r="D840" s="27"/>
    </row>
    <row r="841">
      <c r="C841" s="26"/>
      <c r="D841" s="27"/>
    </row>
    <row r="842">
      <c r="C842" s="26"/>
      <c r="D842" s="27"/>
    </row>
    <row r="843">
      <c r="C843" s="26"/>
      <c r="D843" s="27"/>
    </row>
    <row r="844">
      <c r="C844" s="26"/>
      <c r="D844" s="27"/>
    </row>
    <row r="845">
      <c r="C845" s="26"/>
      <c r="D845" s="27"/>
    </row>
    <row r="846">
      <c r="C846" s="26"/>
      <c r="D846" s="27"/>
    </row>
    <row r="847">
      <c r="C847" s="26"/>
      <c r="D847" s="27"/>
    </row>
    <row r="848">
      <c r="C848" s="26"/>
      <c r="D848" s="27"/>
    </row>
    <row r="849">
      <c r="C849" s="26"/>
      <c r="D849" s="27"/>
    </row>
    <row r="850">
      <c r="C850" s="26"/>
      <c r="D850" s="27"/>
    </row>
    <row r="851">
      <c r="C851" s="26"/>
      <c r="D851" s="27"/>
    </row>
    <row r="852">
      <c r="C852" s="26"/>
      <c r="D852" s="27"/>
    </row>
    <row r="853">
      <c r="C853" s="26"/>
      <c r="D853" s="27"/>
    </row>
    <row r="854">
      <c r="C854" s="26"/>
      <c r="D854" s="27"/>
    </row>
    <row r="855">
      <c r="C855" s="26"/>
      <c r="D855" s="27"/>
    </row>
    <row r="856">
      <c r="C856" s="26"/>
      <c r="D856" s="27"/>
    </row>
    <row r="857">
      <c r="C857" s="26"/>
      <c r="D857" s="27"/>
    </row>
    <row r="858">
      <c r="C858" s="26"/>
      <c r="D858" s="27"/>
    </row>
    <row r="859">
      <c r="C859" s="26"/>
      <c r="D859" s="27"/>
    </row>
    <row r="860">
      <c r="C860" s="26"/>
      <c r="D860" s="27"/>
    </row>
    <row r="861">
      <c r="C861" s="26"/>
      <c r="D861" s="27"/>
    </row>
    <row r="862">
      <c r="C862" s="26"/>
      <c r="D862" s="27"/>
    </row>
    <row r="863">
      <c r="C863" s="26"/>
      <c r="D863" s="27"/>
    </row>
    <row r="864">
      <c r="C864" s="26"/>
      <c r="D864" s="27"/>
    </row>
    <row r="865">
      <c r="C865" s="26"/>
      <c r="D865" s="27"/>
    </row>
    <row r="866">
      <c r="C866" s="26"/>
      <c r="D866" s="27"/>
    </row>
    <row r="867">
      <c r="C867" s="26"/>
      <c r="D867" s="27"/>
    </row>
    <row r="868">
      <c r="C868" s="26"/>
      <c r="D868" s="27"/>
    </row>
    <row r="869">
      <c r="C869" s="26"/>
      <c r="D869" s="27"/>
    </row>
    <row r="870">
      <c r="C870" s="26"/>
      <c r="D870" s="27"/>
    </row>
    <row r="871">
      <c r="C871" s="26"/>
      <c r="D871" s="27"/>
    </row>
    <row r="872">
      <c r="C872" s="26"/>
      <c r="D872" s="27"/>
    </row>
    <row r="873">
      <c r="C873" s="26"/>
      <c r="D873" s="27"/>
    </row>
    <row r="874">
      <c r="C874" s="26"/>
      <c r="D874" s="27"/>
    </row>
    <row r="875">
      <c r="C875" s="26"/>
      <c r="D875" s="27"/>
    </row>
    <row r="876">
      <c r="C876" s="26"/>
      <c r="D876" s="27"/>
    </row>
    <row r="877">
      <c r="C877" s="26"/>
      <c r="D877" s="27"/>
    </row>
    <row r="878">
      <c r="C878" s="26"/>
      <c r="D878" s="27"/>
    </row>
    <row r="879">
      <c r="C879" s="26"/>
      <c r="D879" s="27"/>
    </row>
    <row r="880">
      <c r="C880" s="26"/>
      <c r="D880" s="27"/>
    </row>
    <row r="881">
      <c r="C881" s="26"/>
      <c r="D881" s="27"/>
    </row>
    <row r="882">
      <c r="C882" s="26"/>
      <c r="D882" s="27"/>
    </row>
    <row r="883">
      <c r="C883" s="26"/>
      <c r="D883" s="27"/>
    </row>
    <row r="884">
      <c r="C884" s="26"/>
      <c r="D884" s="27"/>
    </row>
    <row r="885">
      <c r="C885" s="26"/>
      <c r="D885" s="27"/>
    </row>
    <row r="886">
      <c r="C886" s="26"/>
      <c r="D886" s="27"/>
    </row>
    <row r="887">
      <c r="C887" s="26"/>
      <c r="D887" s="27"/>
    </row>
    <row r="888">
      <c r="C888" s="26"/>
      <c r="D888" s="27"/>
    </row>
    <row r="889">
      <c r="C889" s="26"/>
      <c r="D889" s="27"/>
    </row>
    <row r="890">
      <c r="C890" s="26"/>
      <c r="D890" s="27"/>
    </row>
    <row r="891">
      <c r="C891" s="26"/>
      <c r="D891" s="27"/>
    </row>
    <row r="892">
      <c r="C892" s="26"/>
      <c r="D892" s="27"/>
    </row>
    <row r="893">
      <c r="C893" s="26"/>
      <c r="D893" s="27"/>
    </row>
    <row r="894">
      <c r="C894" s="26"/>
      <c r="D894" s="27"/>
    </row>
    <row r="895">
      <c r="C895" s="26"/>
      <c r="D895" s="27"/>
    </row>
    <row r="896">
      <c r="C896" s="26"/>
      <c r="D896" s="27"/>
    </row>
    <row r="897">
      <c r="C897" s="26"/>
      <c r="D897" s="27"/>
    </row>
    <row r="898">
      <c r="C898" s="26"/>
      <c r="D898" s="27"/>
    </row>
    <row r="899">
      <c r="C899" s="26"/>
      <c r="D899" s="27"/>
    </row>
    <row r="900">
      <c r="C900" s="26"/>
      <c r="D900" s="27"/>
    </row>
    <row r="901">
      <c r="C901" s="26"/>
      <c r="D901" s="27"/>
    </row>
    <row r="902">
      <c r="C902" s="26"/>
      <c r="D902" s="27"/>
    </row>
    <row r="903">
      <c r="C903" s="26"/>
      <c r="D903" s="27"/>
    </row>
    <row r="904">
      <c r="C904" s="26"/>
      <c r="D904" s="27"/>
    </row>
    <row r="905">
      <c r="C905" s="26"/>
      <c r="D905" s="27"/>
    </row>
    <row r="906">
      <c r="C906" s="26"/>
      <c r="D906" s="27"/>
    </row>
    <row r="907">
      <c r="C907" s="26"/>
      <c r="D907" s="27"/>
    </row>
    <row r="908">
      <c r="C908" s="26"/>
      <c r="D908" s="27"/>
    </row>
    <row r="909">
      <c r="C909" s="26"/>
      <c r="D909" s="27"/>
    </row>
    <row r="910">
      <c r="C910" s="26"/>
      <c r="D910" s="27"/>
    </row>
    <row r="911">
      <c r="C911" s="26"/>
      <c r="D911" s="27"/>
    </row>
    <row r="912">
      <c r="C912" s="26"/>
      <c r="D912" s="27"/>
    </row>
    <row r="913">
      <c r="C913" s="26"/>
      <c r="D913" s="27"/>
    </row>
    <row r="914">
      <c r="C914" s="26"/>
      <c r="D914" s="27"/>
    </row>
    <row r="915">
      <c r="C915" s="26"/>
      <c r="D915" s="27"/>
    </row>
    <row r="916">
      <c r="C916" s="26"/>
      <c r="D916" s="27"/>
    </row>
    <row r="917">
      <c r="C917" s="26"/>
      <c r="D917" s="27"/>
    </row>
    <row r="918">
      <c r="C918" s="26"/>
      <c r="D918" s="27"/>
    </row>
    <row r="919">
      <c r="C919" s="26"/>
      <c r="D919" s="27"/>
    </row>
    <row r="920">
      <c r="C920" s="26"/>
      <c r="D920" s="27"/>
    </row>
    <row r="921">
      <c r="C921" s="26"/>
      <c r="D921" s="27"/>
    </row>
    <row r="922">
      <c r="C922" s="26"/>
      <c r="D922" s="27"/>
    </row>
    <row r="923">
      <c r="C923" s="26"/>
      <c r="D923" s="27"/>
    </row>
    <row r="924">
      <c r="C924" s="26"/>
      <c r="D924" s="27"/>
    </row>
    <row r="925">
      <c r="C925" s="26"/>
      <c r="D925" s="27"/>
    </row>
    <row r="926">
      <c r="C926" s="26"/>
      <c r="D926" s="27"/>
    </row>
    <row r="927">
      <c r="C927" s="26"/>
      <c r="D927" s="27"/>
    </row>
    <row r="928">
      <c r="C928" s="26"/>
      <c r="D928" s="27"/>
    </row>
    <row r="929">
      <c r="C929" s="26"/>
      <c r="D929" s="27"/>
    </row>
    <row r="930">
      <c r="C930" s="26"/>
      <c r="D930" s="27"/>
    </row>
    <row r="931">
      <c r="C931" s="26"/>
      <c r="D931" s="27"/>
    </row>
    <row r="932">
      <c r="C932" s="26"/>
      <c r="D932" s="27"/>
    </row>
    <row r="933">
      <c r="C933" s="26"/>
      <c r="D933" s="27"/>
    </row>
    <row r="934">
      <c r="C934" s="26"/>
      <c r="D934" s="27"/>
    </row>
    <row r="935">
      <c r="C935" s="26"/>
      <c r="D935" s="27"/>
    </row>
    <row r="936">
      <c r="C936" s="26"/>
      <c r="D936" s="27"/>
    </row>
    <row r="937">
      <c r="C937" s="26"/>
      <c r="D937" s="27"/>
    </row>
    <row r="938">
      <c r="C938" s="26"/>
      <c r="D938" s="27"/>
    </row>
    <row r="939">
      <c r="C939" s="26"/>
      <c r="D939" s="27"/>
    </row>
    <row r="940">
      <c r="C940" s="26"/>
      <c r="D940" s="27"/>
    </row>
    <row r="941">
      <c r="C941" s="26"/>
      <c r="D941" s="27"/>
    </row>
    <row r="942">
      <c r="C942" s="26"/>
      <c r="D942" s="27"/>
    </row>
    <row r="943">
      <c r="C943" s="26"/>
      <c r="D943" s="27"/>
    </row>
    <row r="944">
      <c r="C944" s="26"/>
      <c r="D944" s="27"/>
    </row>
    <row r="945">
      <c r="C945" s="26"/>
      <c r="D945" s="27"/>
    </row>
    <row r="946">
      <c r="C946" s="26"/>
      <c r="D946" s="27"/>
    </row>
    <row r="947">
      <c r="C947" s="26"/>
      <c r="D947" s="27"/>
    </row>
    <row r="948">
      <c r="C948" s="26"/>
      <c r="D948" s="27"/>
    </row>
    <row r="949">
      <c r="C949" s="26"/>
      <c r="D949" s="27"/>
    </row>
    <row r="950">
      <c r="C950" s="26"/>
      <c r="D950" s="27"/>
    </row>
    <row r="951">
      <c r="C951" s="26"/>
      <c r="D951" s="27"/>
    </row>
    <row r="952">
      <c r="C952" s="26"/>
      <c r="D952" s="27"/>
    </row>
    <row r="953">
      <c r="C953" s="26"/>
      <c r="D953" s="27"/>
    </row>
    <row r="954">
      <c r="C954" s="26"/>
      <c r="D954" s="27"/>
    </row>
    <row r="955">
      <c r="C955" s="26"/>
      <c r="D955" s="27"/>
    </row>
    <row r="956">
      <c r="C956" s="26"/>
      <c r="D956" s="27"/>
    </row>
    <row r="957">
      <c r="C957" s="26"/>
      <c r="D957" s="27"/>
    </row>
    <row r="958">
      <c r="C958" s="26"/>
      <c r="D958" s="27"/>
    </row>
    <row r="959">
      <c r="C959" s="26"/>
      <c r="D959" s="27"/>
    </row>
    <row r="960">
      <c r="C960" s="26"/>
      <c r="D960" s="27"/>
    </row>
    <row r="961">
      <c r="C961" s="26"/>
      <c r="D961" s="27"/>
    </row>
    <row r="962">
      <c r="C962" s="26"/>
      <c r="D962" s="27"/>
    </row>
    <row r="963">
      <c r="C963" s="26"/>
      <c r="D963" s="27"/>
    </row>
    <row r="964">
      <c r="C964" s="26"/>
      <c r="D964" s="27"/>
    </row>
    <row r="965">
      <c r="C965" s="26"/>
      <c r="D965" s="27"/>
    </row>
    <row r="966">
      <c r="C966" s="26"/>
      <c r="D966" s="27"/>
    </row>
    <row r="967">
      <c r="C967" s="26"/>
      <c r="D967" s="27"/>
    </row>
    <row r="968">
      <c r="C968" s="26"/>
      <c r="D968" s="27"/>
    </row>
    <row r="969">
      <c r="C969" s="26"/>
      <c r="D969" s="27"/>
    </row>
    <row r="970">
      <c r="C970" s="26"/>
      <c r="D970" s="27"/>
    </row>
    <row r="971">
      <c r="C971" s="26"/>
      <c r="D971" s="27"/>
    </row>
    <row r="972">
      <c r="C972" s="26"/>
      <c r="D972" s="27"/>
    </row>
    <row r="973">
      <c r="C973" s="26"/>
      <c r="D973" s="27"/>
    </row>
    <row r="974">
      <c r="C974" s="26"/>
      <c r="D974" s="27"/>
    </row>
    <row r="975">
      <c r="C975" s="26"/>
      <c r="D975" s="27"/>
    </row>
    <row r="976">
      <c r="C976" s="26"/>
      <c r="D976" s="27"/>
    </row>
    <row r="977">
      <c r="C977" s="26"/>
      <c r="D977" s="27"/>
    </row>
    <row r="978">
      <c r="C978" s="26"/>
      <c r="D978" s="27"/>
    </row>
    <row r="979">
      <c r="C979" s="26"/>
      <c r="D979" s="27"/>
    </row>
    <row r="980">
      <c r="C980" s="26"/>
      <c r="D980" s="27"/>
    </row>
    <row r="981">
      <c r="C981" s="26"/>
      <c r="D981" s="27"/>
    </row>
    <row r="982">
      <c r="C982" s="26"/>
      <c r="D982" s="27"/>
    </row>
    <row r="983">
      <c r="C983" s="26"/>
      <c r="D983" s="27"/>
    </row>
    <row r="984">
      <c r="C984" s="26"/>
      <c r="D984" s="27"/>
    </row>
    <row r="985">
      <c r="C985" s="26"/>
      <c r="D985" s="27"/>
    </row>
    <row r="986">
      <c r="C986" s="26"/>
      <c r="D986" s="27"/>
    </row>
    <row r="987">
      <c r="C987" s="26"/>
      <c r="D987" s="27"/>
    </row>
    <row r="988">
      <c r="C988" s="26"/>
      <c r="D988" s="27"/>
    </row>
    <row r="989">
      <c r="C989" s="26"/>
      <c r="D989" s="27"/>
    </row>
    <row r="990">
      <c r="C990" s="26"/>
      <c r="D990" s="27"/>
    </row>
    <row r="991">
      <c r="C991" s="26"/>
      <c r="D991" s="27"/>
    </row>
    <row r="992">
      <c r="C992" s="26"/>
      <c r="D992" s="27"/>
    </row>
    <row r="993">
      <c r="C993" s="26"/>
      <c r="D993" s="27"/>
    </row>
    <row r="994">
      <c r="C994" s="26"/>
      <c r="D994" s="27"/>
    </row>
    <row r="995">
      <c r="C995" s="26"/>
      <c r="D995" s="27"/>
    </row>
    <row r="996">
      <c r="C996" s="26"/>
      <c r="D996" s="27"/>
    </row>
    <row r="997">
      <c r="C997" s="26"/>
      <c r="D997" s="27"/>
    </row>
    <row r="998">
      <c r="C998" s="26"/>
      <c r="D998" s="27"/>
    </row>
    <row r="999">
      <c r="C999" s="26"/>
      <c r="D999" s="27"/>
    </row>
    <row r="1000">
      <c r="C1000" s="26"/>
      <c r="D1000" s="27"/>
    </row>
  </sheetData>
  <autoFilter ref="$A$1:$E$101"/>
  <dataValidations>
    <dataValidation type="list" allowBlank="1" showErrorMessage="1" sqref="D2:D101">
      <formula1>"TO DO,TRUE,FALSE,SKIP"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1.75"/>
    <col customWidth="1" min="4" max="4" width="19.75"/>
    <col customWidth="1" min="5" max="5" width="60.63"/>
  </cols>
  <sheetData>
    <row r="1">
      <c r="A1" s="20" t="s">
        <v>70</v>
      </c>
      <c r="B1" s="20" t="s">
        <v>71</v>
      </c>
      <c r="C1" s="21" t="s">
        <v>72</v>
      </c>
      <c r="D1" s="22" t="s">
        <v>73</v>
      </c>
      <c r="E1" s="15" t="s">
        <v>74</v>
      </c>
    </row>
    <row r="2">
      <c r="A2" s="23" t="s">
        <v>327</v>
      </c>
      <c r="B2" s="23" t="s">
        <v>328</v>
      </c>
      <c r="C2" s="24" t="s">
        <v>329</v>
      </c>
      <c r="D2" s="25" t="b">
        <v>1</v>
      </c>
    </row>
    <row r="3">
      <c r="A3" s="23" t="s">
        <v>177</v>
      </c>
      <c r="B3" s="23" t="s">
        <v>315</v>
      </c>
      <c r="C3" s="24" t="s">
        <v>316</v>
      </c>
      <c r="D3" s="25" t="b">
        <v>0</v>
      </c>
    </row>
    <row r="4">
      <c r="A4" s="23" t="s">
        <v>281</v>
      </c>
      <c r="B4" s="23" t="s">
        <v>282</v>
      </c>
      <c r="C4" s="24" t="s">
        <v>283</v>
      </c>
      <c r="D4" s="25" t="b">
        <v>0</v>
      </c>
    </row>
    <row r="5">
      <c r="A5" s="23" t="s">
        <v>290</v>
      </c>
      <c r="B5" s="23" t="s">
        <v>291</v>
      </c>
      <c r="C5" s="24" t="s">
        <v>292</v>
      </c>
      <c r="D5" s="25" t="b">
        <v>1</v>
      </c>
    </row>
    <row r="6">
      <c r="A6" s="23" t="s">
        <v>78</v>
      </c>
      <c r="B6" s="23" t="s">
        <v>79</v>
      </c>
      <c r="C6" s="24" t="s">
        <v>80</v>
      </c>
      <c r="D6" s="25" t="b">
        <v>1</v>
      </c>
    </row>
    <row r="7">
      <c r="A7" s="23" t="s">
        <v>295</v>
      </c>
      <c r="B7" s="23" t="s">
        <v>322</v>
      </c>
      <c r="C7" s="24" t="s">
        <v>323</v>
      </c>
      <c r="D7" s="25" t="b">
        <v>1</v>
      </c>
    </row>
    <row r="8">
      <c r="A8" s="23" t="s">
        <v>109</v>
      </c>
      <c r="B8" s="23" t="s">
        <v>110</v>
      </c>
      <c r="C8" s="24" t="s">
        <v>111</v>
      </c>
      <c r="D8" s="25" t="b">
        <v>0</v>
      </c>
    </row>
    <row r="9">
      <c r="A9" s="23" t="s">
        <v>251</v>
      </c>
      <c r="B9" s="23" t="s">
        <v>317</v>
      </c>
      <c r="C9" s="24" t="s">
        <v>318</v>
      </c>
      <c r="D9" s="25" t="b">
        <v>1</v>
      </c>
    </row>
    <row r="10">
      <c r="A10" s="23" t="s">
        <v>310</v>
      </c>
      <c r="B10" s="23" t="s">
        <v>311</v>
      </c>
      <c r="C10" s="24" t="s">
        <v>312</v>
      </c>
      <c r="D10" s="25" t="b">
        <v>1</v>
      </c>
    </row>
    <row r="11">
      <c r="A11" s="23" t="s">
        <v>228</v>
      </c>
      <c r="B11" s="23" t="s">
        <v>229</v>
      </c>
      <c r="C11" s="24" t="s">
        <v>230</v>
      </c>
      <c r="D11" s="25" t="b">
        <v>1</v>
      </c>
    </row>
    <row r="12">
      <c r="A12" s="23" t="s">
        <v>234</v>
      </c>
      <c r="B12" s="23" t="s">
        <v>259</v>
      </c>
      <c r="C12" s="24" t="s">
        <v>260</v>
      </c>
      <c r="D12" s="25" t="b">
        <v>1</v>
      </c>
    </row>
    <row r="13">
      <c r="A13" s="23" t="s">
        <v>278</v>
      </c>
      <c r="B13" s="23" t="s">
        <v>333</v>
      </c>
      <c r="C13" s="24" t="s">
        <v>334</v>
      </c>
      <c r="D13" s="25" t="b">
        <v>0</v>
      </c>
    </row>
    <row r="14">
      <c r="A14" s="23" t="s">
        <v>284</v>
      </c>
      <c r="B14" s="23" t="s">
        <v>285</v>
      </c>
      <c r="C14" s="24" t="s">
        <v>286</v>
      </c>
      <c r="D14" s="25" t="b">
        <v>1</v>
      </c>
    </row>
    <row r="15">
      <c r="A15" s="23" t="s">
        <v>189</v>
      </c>
      <c r="B15" s="23" t="s">
        <v>190</v>
      </c>
      <c r="C15" s="24" t="s">
        <v>191</v>
      </c>
      <c r="D15" s="25" t="b">
        <v>0</v>
      </c>
    </row>
    <row r="16">
      <c r="A16" s="23" t="s">
        <v>94</v>
      </c>
      <c r="B16" s="23" t="s">
        <v>95</v>
      </c>
      <c r="C16" s="24" t="s">
        <v>96</v>
      </c>
      <c r="D16" s="25" t="b">
        <v>0</v>
      </c>
    </row>
    <row r="17">
      <c r="A17" s="23" t="s">
        <v>266</v>
      </c>
      <c r="B17" s="23" t="s">
        <v>267</v>
      </c>
      <c r="C17" s="24" t="s">
        <v>268</v>
      </c>
      <c r="D17" s="25" t="b">
        <v>1</v>
      </c>
    </row>
    <row r="18">
      <c r="A18" s="23" t="s">
        <v>75</v>
      </c>
      <c r="B18" s="23" t="s">
        <v>76</v>
      </c>
      <c r="C18" s="24" t="s">
        <v>77</v>
      </c>
      <c r="D18" s="25" t="b">
        <v>1</v>
      </c>
    </row>
    <row r="19">
      <c r="A19" s="23" t="s">
        <v>335</v>
      </c>
      <c r="B19" s="23" t="s">
        <v>336</v>
      </c>
      <c r="C19" s="24" t="s">
        <v>337</v>
      </c>
      <c r="D19" s="25" t="b">
        <v>0</v>
      </c>
    </row>
    <row r="20">
      <c r="A20" s="23" t="s">
        <v>123</v>
      </c>
      <c r="B20" s="23" t="s">
        <v>148</v>
      </c>
      <c r="C20" s="24" t="s">
        <v>149</v>
      </c>
      <c r="D20" s="25" t="b">
        <v>1</v>
      </c>
    </row>
    <row r="21">
      <c r="A21" s="23" t="s">
        <v>123</v>
      </c>
      <c r="B21" s="23" t="s">
        <v>124</v>
      </c>
      <c r="C21" s="24" t="s">
        <v>125</v>
      </c>
      <c r="D21" s="25" t="b">
        <v>0</v>
      </c>
      <c r="E21" s="5" t="s">
        <v>358</v>
      </c>
    </row>
    <row r="22">
      <c r="A22" s="23" t="s">
        <v>177</v>
      </c>
      <c r="B22" s="23" t="s">
        <v>246</v>
      </c>
      <c r="C22" s="24" t="s">
        <v>247</v>
      </c>
      <c r="D22" s="25" t="b">
        <v>0</v>
      </c>
      <c r="E22" s="5" t="s">
        <v>358</v>
      </c>
    </row>
    <row r="23">
      <c r="A23" s="23" t="s">
        <v>112</v>
      </c>
      <c r="B23" s="23" t="s">
        <v>113</v>
      </c>
      <c r="C23" s="24" t="s">
        <v>114</v>
      </c>
      <c r="D23" s="25" t="b">
        <v>1</v>
      </c>
    </row>
    <row r="24">
      <c r="A24" s="23" t="s">
        <v>305</v>
      </c>
      <c r="B24" s="23" t="s">
        <v>308</v>
      </c>
      <c r="C24" s="24" t="s">
        <v>309</v>
      </c>
      <c r="D24" s="25" t="b">
        <v>1</v>
      </c>
    </row>
    <row r="25">
      <c r="A25" s="23" t="s">
        <v>183</v>
      </c>
      <c r="B25" s="23" t="s">
        <v>184</v>
      </c>
      <c r="C25" s="24" t="s">
        <v>185</v>
      </c>
      <c r="D25" s="25" t="b">
        <v>0</v>
      </c>
      <c r="E25" s="5" t="s">
        <v>359</v>
      </c>
    </row>
    <row r="26">
      <c r="A26" s="23" t="s">
        <v>206</v>
      </c>
      <c r="B26" s="23" t="s">
        <v>207</v>
      </c>
      <c r="C26" s="24" t="s">
        <v>208</v>
      </c>
      <c r="D26" s="25" t="b">
        <v>1</v>
      </c>
    </row>
    <row r="27">
      <c r="A27" s="23" t="s">
        <v>119</v>
      </c>
      <c r="B27" s="23" t="s">
        <v>201</v>
      </c>
      <c r="C27" s="24" t="s">
        <v>202</v>
      </c>
      <c r="D27" s="25" t="b">
        <v>0</v>
      </c>
    </row>
    <row r="28">
      <c r="A28" s="23" t="s">
        <v>300</v>
      </c>
      <c r="B28" s="23" t="s">
        <v>301</v>
      </c>
      <c r="C28" s="24" t="s">
        <v>302</v>
      </c>
      <c r="D28" s="25" t="b">
        <v>0</v>
      </c>
    </row>
    <row r="29">
      <c r="A29" s="23" t="s">
        <v>165</v>
      </c>
      <c r="B29" s="23" t="s">
        <v>166</v>
      </c>
      <c r="C29" s="24" t="s">
        <v>167</v>
      </c>
      <c r="D29" s="25" t="b">
        <v>1</v>
      </c>
    </row>
    <row r="30">
      <c r="A30" s="23" t="s">
        <v>251</v>
      </c>
      <c r="B30" s="23" t="s">
        <v>252</v>
      </c>
      <c r="C30" s="24" t="s">
        <v>253</v>
      </c>
      <c r="D30" s="25" t="b">
        <v>1</v>
      </c>
    </row>
    <row r="31">
      <c r="A31" s="23" t="s">
        <v>123</v>
      </c>
      <c r="B31" s="23" t="s">
        <v>298</v>
      </c>
      <c r="C31" s="24" t="s">
        <v>299</v>
      </c>
      <c r="D31" s="25" t="b">
        <v>1</v>
      </c>
    </row>
    <row r="32">
      <c r="A32" s="23" t="s">
        <v>129</v>
      </c>
      <c r="B32" s="23" t="s">
        <v>130</v>
      </c>
      <c r="C32" s="24" t="s">
        <v>131</v>
      </c>
      <c r="D32" s="25" t="b">
        <v>1</v>
      </c>
    </row>
    <row r="33">
      <c r="A33" s="23" t="s">
        <v>165</v>
      </c>
      <c r="B33" s="23" t="s">
        <v>254</v>
      </c>
      <c r="C33" s="24" t="s">
        <v>255</v>
      </c>
      <c r="D33" s="25" t="b">
        <v>1</v>
      </c>
    </row>
    <row r="34">
      <c r="A34" s="23" t="s">
        <v>106</v>
      </c>
      <c r="B34" s="23" t="s">
        <v>107</v>
      </c>
      <c r="C34" s="24" t="s">
        <v>108</v>
      </c>
      <c r="D34" s="25" t="b">
        <v>0</v>
      </c>
    </row>
    <row r="35">
      <c r="A35" s="23" t="s">
        <v>156</v>
      </c>
      <c r="B35" s="23" t="s">
        <v>157</v>
      </c>
      <c r="C35" s="24" t="s">
        <v>158</v>
      </c>
      <c r="D35" s="25" t="b">
        <v>0</v>
      </c>
    </row>
    <row r="36">
      <c r="A36" s="23" t="s">
        <v>234</v>
      </c>
      <c r="B36" s="23" t="s">
        <v>235</v>
      </c>
      <c r="C36" s="24" t="s">
        <v>236</v>
      </c>
      <c r="D36" s="25" t="b">
        <v>0</v>
      </c>
    </row>
    <row r="37">
      <c r="A37" s="23" t="s">
        <v>243</v>
      </c>
      <c r="B37" s="23" t="s">
        <v>244</v>
      </c>
      <c r="C37" s="24" t="s">
        <v>245</v>
      </c>
      <c r="D37" s="25" t="b">
        <v>0</v>
      </c>
    </row>
    <row r="38">
      <c r="A38" s="23" t="s">
        <v>91</v>
      </c>
      <c r="B38" s="23" t="s">
        <v>237</v>
      </c>
      <c r="C38" s="24" t="s">
        <v>238</v>
      </c>
      <c r="D38" s="25" t="b">
        <v>0</v>
      </c>
    </row>
    <row r="39">
      <c r="A39" s="23" t="s">
        <v>109</v>
      </c>
      <c r="B39" s="23" t="s">
        <v>269</v>
      </c>
      <c r="C39" s="24" t="s">
        <v>270</v>
      </c>
      <c r="D39" s="25" t="b">
        <v>0</v>
      </c>
      <c r="E39" s="5" t="s">
        <v>360</v>
      </c>
    </row>
    <row r="40">
      <c r="A40" s="23" t="s">
        <v>141</v>
      </c>
      <c r="B40" s="23" t="s">
        <v>142</v>
      </c>
      <c r="C40" s="24" t="s">
        <v>143</v>
      </c>
      <c r="D40" s="25" t="b">
        <v>0</v>
      </c>
    </row>
    <row r="41">
      <c r="A41" s="23" t="s">
        <v>198</v>
      </c>
      <c r="B41" s="23" t="s">
        <v>199</v>
      </c>
      <c r="C41" s="24" t="s">
        <v>200</v>
      </c>
      <c r="D41" s="25" t="b">
        <v>1</v>
      </c>
    </row>
    <row r="42">
      <c r="A42" s="23" t="s">
        <v>324</v>
      </c>
      <c r="B42" s="23" t="s">
        <v>325</v>
      </c>
      <c r="C42" s="24" t="s">
        <v>326</v>
      </c>
      <c r="D42" s="25" t="b">
        <v>1</v>
      </c>
    </row>
    <row r="43">
      <c r="A43" s="23" t="s">
        <v>78</v>
      </c>
      <c r="B43" s="23" t="s">
        <v>136</v>
      </c>
      <c r="C43" s="24" t="s">
        <v>137</v>
      </c>
      <c r="D43" s="25" t="b">
        <v>1</v>
      </c>
    </row>
    <row r="44">
      <c r="A44" s="23" t="s">
        <v>355</v>
      </c>
      <c r="B44" s="23" t="s">
        <v>356</v>
      </c>
      <c r="C44" s="24" t="s">
        <v>357</v>
      </c>
      <c r="D44" s="25" t="b">
        <v>1</v>
      </c>
    </row>
    <row r="45">
      <c r="A45" s="23" t="s">
        <v>171</v>
      </c>
      <c r="B45" s="23" t="s">
        <v>172</v>
      </c>
      <c r="C45" s="24" t="s">
        <v>173</v>
      </c>
      <c r="D45" s="25" t="b">
        <v>0</v>
      </c>
    </row>
    <row r="46">
      <c r="A46" s="23" t="s">
        <v>115</v>
      </c>
      <c r="B46" s="23" t="s">
        <v>116</v>
      </c>
      <c r="C46" s="24" t="s">
        <v>117</v>
      </c>
      <c r="D46" s="25" t="b">
        <v>1</v>
      </c>
      <c r="E46" s="5" t="s">
        <v>118</v>
      </c>
    </row>
    <row r="47">
      <c r="A47" s="23" t="s">
        <v>162</v>
      </c>
      <c r="B47" s="23" t="s">
        <v>163</v>
      </c>
      <c r="C47" s="24" t="s">
        <v>164</v>
      </c>
      <c r="D47" s="25" t="b">
        <v>0</v>
      </c>
      <c r="E47" s="5" t="s">
        <v>361</v>
      </c>
    </row>
    <row r="48">
      <c r="A48" s="23" t="s">
        <v>144</v>
      </c>
      <c r="B48" s="23" t="s">
        <v>145</v>
      </c>
      <c r="C48" s="24" t="s">
        <v>146</v>
      </c>
      <c r="D48" s="25" t="b">
        <v>0</v>
      </c>
      <c r="E48" s="5" t="s">
        <v>362</v>
      </c>
    </row>
    <row r="49">
      <c r="A49" s="23" t="s">
        <v>109</v>
      </c>
      <c r="B49" s="23" t="s">
        <v>350</v>
      </c>
      <c r="C49" s="24" t="s">
        <v>351</v>
      </c>
      <c r="D49" s="25" t="b">
        <v>1</v>
      </c>
    </row>
    <row r="50">
      <c r="A50" s="23" t="s">
        <v>97</v>
      </c>
      <c r="B50" s="23" t="s">
        <v>98</v>
      </c>
      <c r="C50" s="24" t="s">
        <v>99</v>
      </c>
      <c r="D50" s="25" t="b">
        <v>1</v>
      </c>
      <c r="E50" s="5" t="s">
        <v>363</v>
      </c>
    </row>
    <row r="51">
      <c r="A51" s="23" t="s">
        <v>91</v>
      </c>
      <c r="B51" s="23" t="s">
        <v>92</v>
      </c>
      <c r="C51" s="24" t="s">
        <v>93</v>
      </c>
      <c r="D51" s="25" t="b">
        <v>1</v>
      </c>
      <c r="E51" s="5" t="s">
        <v>364</v>
      </c>
    </row>
    <row r="52">
      <c r="A52" s="23" t="s">
        <v>168</v>
      </c>
      <c r="B52" s="23" t="s">
        <v>169</v>
      </c>
      <c r="C52" s="24" t="s">
        <v>170</v>
      </c>
      <c r="D52" s="25" t="b">
        <v>0</v>
      </c>
    </row>
    <row r="53">
      <c r="A53" s="23" t="s">
        <v>183</v>
      </c>
      <c r="B53" s="23" t="s">
        <v>212</v>
      </c>
      <c r="C53" s="24" t="s">
        <v>213</v>
      </c>
      <c r="D53" s="25" t="b">
        <v>0</v>
      </c>
    </row>
    <row r="54">
      <c r="A54" s="23" t="s">
        <v>338</v>
      </c>
      <c r="B54" s="23" t="s">
        <v>339</v>
      </c>
      <c r="C54" s="24" t="s">
        <v>340</v>
      </c>
      <c r="D54" s="25" t="b">
        <v>0</v>
      </c>
      <c r="E54" s="5" t="s">
        <v>365</v>
      </c>
    </row>
    <row r="55">
      <c r="A55" s="23" t="s">
        <v>97</v>
      </c>
      <c r="B55" s="23" t="s">
        <v>249</v>
      </c>
      <c r="C55" s="24" t="s">
        <v>250</v>
      </c>
      <c r="D55" s="25" t="b">
        <v>1</v>
      </c>
    </row>
    <row r="56">
      <c r="A56" s="23" t="s">
        <v>192</v>
      </c>
      <c r="B56" s="23" t="s">
        <v>193</v>
      </c>
      <c r="C56" s="24" t="s">
        <v>194</v>
      </c>
      <c r="D56" s="25" t="b">
        <v>1</v>
      </c>
    </row>
    <row r="57">
      <c r="A57" s="23" t="s">
        <v>243</v>
      </c>
      <c r="B57" s="23" t="s">
        <v>313</v>
      </c>
      <c r="C57" s="24" t="s">
        <v>314</v>
      </c>
      <c r="D57" s="25" t="b">
        <v>0</v>
      </c>
    </row>
    <row r="58">
      <c r="A58" s="23" t="s">
        <v>263</v>
      </c>
      <c r="B58" s="23" t="s">
        <v>303</v>
      </c>
      <c r="C58" s="24" t="s">
        <v>304</v>
      </c>
      <c r="D58" s="25" t="b">
        <v>0</v>
      </c>
    </row>
    <row r="59">
      <c r="A59" s="23" t="s">
        <v>180</v>
      </c>
      <c r="B59" s="23" t="s">
        <v>181</v>
      </c>
      <c r="C59" s="24" t="s">
        <v>182</v>
      </c>
      <c r="D59" s="25" t="b">
        <v>1</v>
      </c>
    </row>
    <row r="60">
      <c r="A60" s="23" t="s">
        <v>133</v>
      </c>
      <c r="B60" s="23" t="s">
        <v>134</v>
      </c>
      <c r="C60" s="24" t="s">
        <v>135</v>
      </c>
      <c r="D60" s="25" t="b">
        <v>1</v>
      </c>
    </row>
    <row r="61">
      <c r="A61" s="23" t="s">
        <v>195</v>
      </c>
      <c r="B61" s="23" t="s">
        <v>196</v>
      </c>
      <c r="C61" s="24" t="s">
        <v>197</v>
      </c>
      <c r="D61" s="25" t="b">
        <v>1</v>
      </c>
    </row>
    <row r="62">
      <c r="A62" s="23" t="s">
        <v>91</v>
      </c>
      <c r="B62" s="23" t="s">
        <v>104</v>
      </c>
      <c r="C62" s="24" t="s">
        <v>105</v>
      </c>
      <c r="D62" s="25" t="b">
        <v>0</v>
      </c>
    </row>
    <row r="63">
      <c r="A63" s="23" t="s">
        <v>295</v>
      </c>
      <c r="B63" s="23" t="s">
        <v>296</v>
      </c>
      <c r="C63" s="24" t="s">
        <v>297</v>
      </c>
      <c r="D63" s="25" t="b">
        <v>1</v>
      </c>
    </row>
    <row r="64">
      <c r="A64" s="23" t="s">
        <v>344</v>
      </c>
      <c r="B64" s="23" t="s">
        <v>345</v>
      </c>
      <c r="C64" s="24" t="s">
        <v>346</v>
      </c>
      <c r="D64" s="25" t="s">
        <v>366</v>
      </c>
    </row>
    <row r="65">
      <c r="A65" s="23" t="s">
        <v>239</v>
      </c>
      <c r="B65" s="23" t="s">
        <v>240</v>
      </c>
      <c r="C65" s="24" t="s">
        <v>241</v>
      </c>
      <c r="D65" s="25" t="s">
        <v>366</v>
      </c>
    </row>
    <row r="66">
      <c r="A66" s="23" t="s">
        <v>216</v>
      </c>
      <c r="B66" s="23" t="s">
        <v>217</v>
      </c>
      <c r="C66" s="24" t="s">
        <v>218</v>
      </c>
      <c r="D66" s="25" t="s">
        <v>366</v>
      </c>
    </row>
    <row r="67">
      <c r="A67" s="23" t="s">
        <v>138</v>
      </c>
      <c r="B67" s="23" t="s">
        <v>139</v>
      </c>
      <c r="C67" s="24" t="s">
        <v>140</v>
      </c>
      <c r="D67" s="25" t="s">
        <v>366</v>
      </c>
    </row>
    <row r="68">
      <c r="A68" s="23" t="s">
        <v>153</v>
      </c>
      <c r="B68" s="23" t="s">
        <v>154</v>
      </c>
      <c r="C68" s="24" t="s">
        <v>155</v>
      </c>
      <c r="D68" s="25" t="s">
        <v>366</v>
      </c>
    </row>
    <row r="69">
      <c r="A69" s="23" t="s">
        <v>150</v>
      </c>
      <c r="B69" s="23" t="s">
        <v>151</v>
      </c>
      <c r="C69" s="24" t="s">
        <v>152</v>
      </c>
      <c r="D69" s="25" t="s">
        <v>366</v>
      </c>
    </row>
    <row r="70">
      <c r="A70" s="23" t="s">
        <v>165</v>
      </c>
      <c r="B70" s="23" t="s">
        <v>293</v>
      </c>
      <c r="C70" s="24" t="s">
        <v>294</v>
      </c>
      <c r="D70" s="25" t="s">
        <v>366</v>
      </c>
    </row>
    <row r="71">
      <c r="A71" s="23" t="s">
        <v>222</v>
      </c>
      <c r="B71" s="23" t="s">
        <v>223</v>
      </c>
      <c r="C71" s="24" t="s">
        <v>224</v>
      </c>
      <c r="D71" s="25" t="s">
        <v>366</v>
      </c>
    </row>
    <row r="72">
      <c r="A72" s="23" t="s">
        <v>271</v>
      </c>
      <c r="B72" s="23" t="s">
        <v>272</v>
      </c>
      <c r="C72" s="24" t="s">
        <v>273</v>
      </c>
      <c r="D72" s="25" t="s">
        <v>366</v>
      </c>
    </row>
    <row r="73">
      <c r="A73" s="23" t="s">
        <v>319</v>
      </c>
      <c r="B73" s="23" t="s">
        <v>320</v>
      </c>
      <c r="C73" s="24" t="s">
        <v>321</v>
      </c>
      <c r="D73" s="25" t="s">
        <v>366</v>
      </c>
    </row>
    <row r="74">
      <c r="A74" s="23" t="s">
        <v>177</v>
      </c>
      <c r="B74" s="23" t="s">
        <v>178</v>
      </c>
      <c r="C74" s="24" t="s">
        <v>179</v>
      </c>
      <c r="D74" s="25" t="s">
        <v>366</v>
      </c>
    </row>
    <row r="75">
      <c r="A75" s="23" t="s">
        <v>119</v>
      </c>
      <c r="B75" s="23" t="s">
        <v>120</v>
      </c>
      <c r="C75" s="24" t="s">
        <v>121</v>
      </c>
      <c r="D75" s="25" t="s">
        <v>366</v>
      </c>
    </row>
    <row r="76">
      <c r="A76" s="23" t="s">
        <v>159</v>
      </c>
      <c r="B76" s="23" t="s">
        <v>160</v>
      </c>
      <c r="C76" s="24" t="s">
        <v>161</v>
      </c>
      <c r="D76" s="25" t="s">
        <v>366</v>
      </c>
    </row>
    <row r="77">
      <c r="A77" s="23" t="s">
        <v>206</v>
      </c>
      <c r="B77" s="23" t="s">
        <v>342</v>
      </c>
      <c r="C77" s="24" t="s">
        <v>343</v>
      </c>
      <c r="D77" s="25" t="s">
        <v>366</v>
      </c>
    </row>
    <row r="78">
      <c r="A78" s="23" t="s">
        <v>330</v>
      </c>
      <c r="B78" s="23" t="s">
        <v>331</v>
      </c>
      <c r="C78" s="24" t="s">
        <v>332</v>
      </c>
      <c r="D78" s="25" t="s">
        <v>366</v>
      </c>
    </row>
    <row r="79">
      <c r="A79" s="23" t="s">
        <v>81</v>
      </c>
      <c r="B79" s="23" t="s">
        <v>82</v>
      </c>
      <c r="C79" s="24" t="s">
        <v>83</v>
      </c>
      <c r="D79" s="25" t="s">
        <v>366</v>
      </c>
    </row>
    <row r="80">
      <c r="A80" s="23" t="s">
        <v>126</v>
      </c>
      <c r="B80" s="23" t="s">
        <v>127</v>
      </c>
      <c r="C80" s="24" t="s">
        <v>128</v>
      </c>
      <c r="D80" s="25" t="s">
        <v>366</v>
      </c>
    </row>
    <row r="81">
      <c r="A81" s="23" t="s">
        <v>278</v>
      </c>
      <c r="B81" s="23" t="s">
        <v>279</v>
      </c>
      <c r="C81" s="24" t="s">
        <v>280</v>
      </c>
      <c r="D81" s="25" t="s">
        <v>366</v>
      </c>
    </row>
    <row r="82">
      <c r="A82" s="23" t="s">
        <v>225</v>
      </c>
      <c r="B82" s="23" t="s">
        <v>226</v>
      </c>
      <c r="C82" s="24" t="s">
        <v>227</v>
      </c>
      <c r="D82" s="25" t="s">
        <v>366</v>
      </c>
    </row>
    <row r="83">
      <c r="A83" s="23" t="s">
        <v>85</v>
      </c>
      <c r="B83" s="23" t="s">
        <v>86</v>
      </c>
      <c r="C83" s="24" t="s">
        <v>87</v>
      </c>
      <c r="D83" s="25" t="s">
        <v>366</v>
      </c>
    </row>
    <row r="84">
      <c r="A84" s="23" t="s">
        <v>109</v>
      </c>
      <c r="B84" s="23" t="s">
        <v>261</v>
      </c>
      <c r="C84" s="24" t="s">
        <v>262</v>
      </c>
      <c r="D84" s="25" t="s">
        <v>366</v>
      </c>
    </row>
    <row r="85">
      <c r="A85" s="23" t="s">
        <v>203</v>
      </c>
      <c r="B85" s="23" t="s">
        <v>204</v>
      </c>
      <c r="C85" s="24" t="s">
        <v>205</v>
      </c>
      <c r="D85" s="25" t="s">
        <v>366</v>
      </c>
    </row>
    <row r="86">
      <c r="A86" s="23" t="s">
        <v>219</v>
      </c>
      <c r="B86" s="23" t="s">
        <v>220</v>
      </c>
      <c r="C86" s="24" t="s">
        <v>221</v>
      </c>
      <c r="D86" s="25" t="s">
        <v>366</v>
      </c>
    </row>
    <row r="87">
      <c r="A87" s="23" t="s">
        <v>101</v>
      </c>
      <c r="B87" s="23" t="s">
        <v>102</v>
      </c>
      <c r="C87" s="24" t="s">
        <v>103</v>
      </c>
      <c r="D87" s="25" t="s">
        <v>366</v>
      </c>
    </row>
    <row r="88">
      <c r="A88" s="23" t="s">
        <v>287</v>
      </c>
      <c r="B88" s="23" t="s">
        <v>288</v>
      </c>
      <c r="C88" s="24" t="s">
        <v>289</v>
      </c>
      <c r="D88" s="25" t="s">
        <v>366</v>
      </c>
    </row>
    <row r="89">
      <c r="A89" s="23" t="s">
        <v>352</v>
      </c>
      <c r="B89" s="23" t="s">
        <v>353</v>
      </c>
      <c r="C89" s="24" t="s">
        <v>354</v>
      </c>
      <c r="D89" s="25" t="s">
        <v>366</v>
      </c>
    </row>
    <row r="90">
      <c r="A90" s="23" t="s">
        <v>256</v>
      </c>
      <c r="B90" s="23" t="s">
        <v>257</v>
      </c>
      <c r="C90" s="24" t="s">
        <v>258</v>
      </c>
      <c r="D90" s="25" t="s">
        <v>366</v>
      </c>
    </row>
    <row r="91">
      <c r="A91" s="23" t="s">
        <v>186</v>
      </c>
      <c r="B91" s="23" t="s">
        <v>187</v>
      </c>
      <c r="C91" s="24" t="s">
        <v>188</v>
      </c>
      <c r="D91" s="25" t="s">
        <v>366</v>
      </c>
    </row>
    <row r="92">
      <c r="A92" s="23" t="s">
        <v>347</v>
      </c>
      <c r="B92" s="23" t="s">
        <v>348</v>
      </c>
      <c r="C92" s="24" t="s">
        <v>349</v>
      </c>
      <c r="D92" s="25" t="s">
        <v>366</v>
      </c>
    </row>
    <row r="93">
      <c r="A93" s="23" t="s">
        <v>88</v>
      </c>
      <c r="B93" s="23" t="s">
        <v>89</v>
      </c>
      <c r="C93" s="24" t="s">
        <v>90</v>
      </c>
      <c r="D93" s="25" t="s">
        <v>366</v>
      </c>
    </row>
    <row r="94">
      <c r="A94" s="23" t="s">
        <v>174</v>
      </c>
      <c r="B94" s="23" t="s">
        <v>175</v>
      </c>
      <c r="C94" s="24" t="s">
        <v>176</v>
      </c>
      <c r="D94" s="25" t="s">
        <v>366</v>
      </c>
    </row>
    <row r="95">
      <c r="A95" s="23" t="s">
        <v>168</v>
      </c>
      <c r="B95" s="23" t="s">
        <v>274</v>
      </c>
      <c r="C95" s="24" t="s">
        <v>275</v>
      </c>
      <c r="D95" s="25" t="s">
        <v>366</v>
      </c>
    </row>
    <row r="96">
      <c r="A96" s="23" t="s">
        <v>305</v>
      </c>
      <c r="B96" s="23" t="s">
        <v>306</v>
      </c>
      <c r="C96" s="24" t="s">
        <v>307</v>
      </c>
      <c r="D96" s="25" t="s">
        <v>366</v>
      </c>
    </row>
    <row r="97">
      <c r="A97" s="23" t="s">
        <v>209</v>
      </c>
      <c r="B97" s="23" t="s">
        <v>210</v>
      </c>
      <c r="C97" s="24" t="s">
        <v>211</v>
      </c>
      <c r="D97" s="25" t="s">
        <v>366</v>
      </c>
    </row>
    <row r="98">
      <c r="A98" s="23" t="s">
        <v>174</v>
      </c>
      <c r="B98" s="23" t="s">
        <v>214</v>
      </c>
      <c r="C98" s="24" t="s">
        <v>215</v>
      </c>
      <c r="D98" s="25" t="s">
        <v>366</v>
      </c>
    </row>
    <row r="99">
      <c r="A99" s="23" t="s">
        <v>231</v>
      </c>
      <c r="B99" s="23" t="s">
        <v>232</v>
      </c>
      <c r="C99" s="24" t="s">
        <v>233</v>
      </c>
      <c r="D99" s="25" t="s">
        <v>366</v>
      </c>
    </row>
    <row r="100">
      <c r="A100" s="23" t="s">
        <v>165</v>
      </c>
      <c r="B100" s="23" t="s">
        <v>276</v>
      </c>
      <c r="C100" s="24" t="s">
        <v>277</v>
      </c>
      <c r="D100" s="25" t="s">
        <v>366</v>
      </c>
    </row>
    <row r="101">
      <c r="A101" s="23" t="s">
        <v>263</v>
      </c>
      <c r="B101" s="23" t="s">
        <v>264</v>
      </c>
      <c r="C101" s="24" t="s">
        <v>265</v>
      </c>
      <c r="D101" s="25" t="s">
        <v>366</v>
      </c>
    </row>
    <row r="102">
      <c r="C102" s="26"/>
      <c r="D102" s="28"/>
    </row>
    <row r="103">
      <c r="C103" s="26"/>
      <c r="D103" s="28"/>
    </row>
    <row r="104">
      <c r="C104" s="26"/>
      <c r="D104" s="28"/>
    </row>
    <row r="105">
      <c r="C105" s="26"/>
      <c r="D105" s="28"/>
    </row>
    <row r="106">
      <c r="C106" s="26"/>
      <c r="D106" s="28"/>
    </row>
    <row r="107">
      <c r="C107" s="26"/>
      <c r="D107" s="28"/>
    </row>
    <row r="108">
      <c r="C108" s="26"/>
      <c r="D108" s="28"/>
    </row>
    <row r="109">
      <c r="C109" s="26"/>
      <c r="D109" s="28"/>
    </row>
    <row r="110">
      <c r="C110" s="26"/>
      <c r="D110" s="28"/>
    </row>
    <row r="111">
      <c r="C111" s="26"/>
      <c r="D111" s="28"/>
    </row>
    <row r="112">
      <c r="C112" s="26"/>
      <c r="D112" s="28"/>
    </row>
    <row r="113">
      <c r="C113" s="26"/>
      <c r="D113" s="28"/>
    </row>
    <row r="114">
      <c r="C114" s="26"/>
      <c r="D114" s="28"/>
    </row>
    <row r="115">
      <c r="C115" s="26"/>
      <c r="D115" s="28"/>
    </row>
    <row r="116">
      <c r="C116" s="26"/>
      <c r="D116" s="28"/>
    </row>
    <row r="117">
      <c r="C117" s="26"/>
      <c r="D117" s="28"/>
    </row>
    <row r="118">
      <c r="C118" s="26"/>
      <c r="D118" s="28"/>
    </row>
    <row r="119">
      <c r="C119" s="26"/>
      <c r="D119" s="28"/>
    </row>
    <row r="120">
      <c r="C120" s="26"/>
      <c r="D120" s="28"/>
    </row>
    <row r="121">
      <c r="C121" s="26"/>
      <c r="D121" s="28"/>
    </row>
    <row r="122">
      <c r="C122" s="26"/>
      <c r="D122" s="28"/>
    </row>
    <row r="123">
      <c r="C123" s="26"/>
      <c r="D123" s="28"/>
    </row>
    <row r="124">
      <c r="C124" s="26"/>
      <c r="D124" s="28"/>
    </row>
    <row r="125">
      <c r="C125" s="26"/>
      <c r="D125" s="28"/>
    </row>
    <row r="126">
      <c r="C126" s="26"/>
      <c r="D126" s="28"/>
    </row>
    <row r="127">
      <c r="C127" s="26"/>
      <c r="D127" s="28"/>
    </row>
    <row r="128">
      <c r="C128" s="26"/>
      <c r="D128" s="28"/>
    </row>
    <row r="129">
      <c r="C129" s="26"/>
      <c r="D129" s="28"/>
    </row>
    <row r="130">
      <c r="C130" s="26"/>
      <c r="D130" s="28"/>
    </row>
    <row r="131">
      <c r="C131" s="26"/>
      <c r="D131" s="28"/>
    </row>
    <row r="132">
      <c r="C132" s="26"/>
      <c r="D132" s="28"/>
    </row>
    <row r="133">
      <c r="C133" s="26"/>
      <c r="D133" s="28"/>
    </row>
    <row r="134">
      <c r="C134" s="26"/>
      <c r="D134" s="28"/>
    </row>
    <row r="135">
      <c r="C135" s="26"/>
      <c r="D135" s="28"/>
    </row>
    <row r="136">
      <c r="C136" s="26"/>
      <c r="D136" s="28"/>
    </row>
    <row r="137">
      <c r="C137" s="26"/>
      <c r="D137" s="28"/>
    </row>
    <row r="138">
      <c r="C138" s="26"/>
      <c r="D138" s="28"/>
    </row>
    <row r="139">
      <c r="C139" s="26"/>
      <c r="D139" s="28"/>
    </row>
    <row r="140">
      <c r="C140" s="26"/>
      <c r="D140" s="28"/>
    </row>
    <row r="141">
      <c r="C141" s="26"/>
      <c r="D141" s="28"/>
    </row>
    <row r="142">
      <c r="C142" s="26"/>
      <c r="D142" s="28"/>
    </row>
    <row r="143">
      <c r="C143" s="26"/>
      <c r="D143" s="28"/>
    </row>
    <row r="144">
      <c r="C144" s="26"/>
      <c r="D144" s="28"/>
    </row>
    <row r="145">
      <c r="C145" s="26"/>
      <c r="D145" s="28"/>
    </row>
    <row r="146">
      <c r="C146" s="26"/>
      <c r="D146" s="28"/>
    </row>
    <row r="147">
      <c r="C147" s="26"/>
      <c r="D147" s="28"/>
    </row>
    <row r="148">
      <c r="C148" s="26"/>
      <c r="D148" s="28"/>
    </row>
    <row r="149">
      <c r="C149" s="26"/>
      <c r="D149" s="28"/>
    </row>
    <row r="150">
      <c r="C150" s="26"/>
      <c r="D150" s="28"/>
    </row>
    <row r="151">
      <c r="C151" s="26"/>
      <c r="D151" s="28"/>
    </row>
    <row r="152">
      <c r="C152" s="26"/>
      <c r="D152" s="28"/>
    </row>
    <row r="153">
      <c r="C153" s="26"/>
      <c r="D153" s="28"/>
    </row>
    <row r="154">
      <c r="C154" s="26"/>
      <c r="D154" s="28"/>
    </row>
    <row r="155">
      <c r="C155" s="26"/>
      <c r="D155" s="28"/>
    </row>
    <row r="156">
      <c r="C156" s="26"/>
      <c r="D156" s="28"/>
    </row>
    <row r="157">
      <c r="C157" s="26"/>
      <c r="D157" s="28"/>
    </row>
    <row r="158">
      <c r="C158" s="26"/>
      <c r="D158" s="28"/>
    </row>
    <row r="159">
      <c r="C159" s="26"/>
      <c r="D159" s="28"/>
    </row>
    <row r="160">
      <c r="C160" s="26"/>
      <c r="D160" s="28"/>
    </row>
    <row r="161">
      <c r="C161" s="26"/>
      <c r="D161" s="28"/>
    </row>
    <row r="162">
      <c r="C162" s="26"/>
      <c r="D162" s="28"/>
    </row>
    <row r="163">
      <c r="C163" s="26"/>
      <c r="D163" s="28"/>
    </row>
    <row r="164">
      <c r="C164" s="26"/>
      <c r="D164" s="28"/>
    </row>
    <row r="165">
      <c r="C165" s="26"/>
      <c r="D165" s="28"/>
    </row>
    <row r="166">
      <c r="C166" s="26"/>
      <c r="D166" s="28"/>
    </row>
    <row r="167">
      <c r="C167" s="26"/>
      <c r="D167" s="28"/>
    </row>
    <row r="168">
      <c r="C168" s="26"/>
      <c r="D168" s="28"/>
    </row>
    <row r="169">
      <c r="C169" s="26"/>
      <c r="D169" s="28"/>
    </row>
    <row r="170">
      <c r="C170" s="26"/>
      <c r="D170" s="28"/>
    </row>
    <row r="171">
      <c r="C171" s="26"/>
      <c r="D171" s="28"/>
    </row>
    <row r="172">
      <c r="C172" s="26"/>
      <c r="D172" s="28"/>
    </row>
    <row r="173">
      <c r="C173" s="26"/>
      <c r="D173" s="28"/>
    </row>
    <row r="174">
      <c r="C174" s="26"/>
      <c r="D174" s="28"/>
    </row>
    <row r="175">
      <c r="C175" s="26"/>
      <c r="D175" s="28"/>
    </row>
    <row r="176">
      <c r="C176" s="26"/>
      <c r="D176" s="28"/>
    </row>
    <row r="177">
      <c r="C177" s="26"/>
      <c r="D177" s="28"/>
    </row>
    <row r="178">
      <c r="C178" s="26"/>
      <c r="D178" s="28"/>
    </row>
    <row r="179">
      <c r="C179" s="26"/>
      <c r="D179" s="28"/>
    </row>
    <row r="180">
      <c r="C180" s="26"/>
      <c r="D180" s="28"/>
    </row>
    <row r="181">
      <c r="C181" s="26"/>
      <c r="D181" s="28"/>
    </row>
    <row r="182">
      <c r="C182" s="26"/>
      <c r="D182" s="28"/>
    </row>
    <row r="183">
      <c r="C183" s="26"/>
      <c r="D183" s="28"/>
    </row>
    <row r="184">
      <c r="C184" s="26"/>
      <c r="D184" s="28"/>
    </row>
    <row r="185">
      <c r="C185" s="26"/>
      <c r="D185" s="28"/>
    </row>
    <row r="186">
      <c r="C186" s="26"/>
      <c r="D186" s="28"/>
    </row>
    <row r="187">
      <c r="C187" s="26"/>
      <c r="D187" s="28"/>
    </row>
    <row r="188">
      <c r="C188" s="26"/>
      <c r="D188" s="28"/>
    </row>
    <row r="189">
      <c r="C189" s="26"/>
      <c r="D189" s="28"/>
    </row>
    <row r="190">
      <c r="C190" s="26"/>
      <c r="D190" s="28"/>
    </row>
    <row r="191">
      <c r="C191" s="26"/>
      <c r="D191" s="28"/>
    </row>
    <row r="192">
      <c r="C192" s="26"/>
      <c r="D192" s="28"/>
    </row>
    <row r="193">
      <c r="C193" s="26"/>
      <c r="D193" s="28"/>
    </row>
    <row r="194">
      <c r="C194" s="26"/>
      <c r="D194" s="28"/>
    </row>
    <row r="195">
      <c r="C195" s="26"/>
      <c r="D195" s="28"/>
    </row>
    <row r="196">
      <c r="C196" s="26"/>
      <c r="D196" s="28"/>
    </row>
    <row r="197">
      <c r="C197" s="26"/>
      <c r="D197" s="28"/>
    </row>
    <row r="198">
      <c r="C198" s="26"/>
      <c r="D198" s="28"/>
    </row>
    <row r="199">
      <c r="C199" s="26"/>
      <c r="D199" s="28"/>
    </row>
    <row r="200">
      <c r="C200" s="26"/>
      <c r="D200" s="28"/>
    </row>
    <row r="201">
      <c r="C201" s="26"/>
      <c r="D201" s="28"/>
    </row>
    <row r="202">
      <c r="C202" s="26"/>
      <c r="D202" s="28"/>
    </row>
    <row r="203">
      <c r="C203" s="26"/>
      <c r="D203" s="28"/>
    </row>
    <row r="204">
      <c r="C204" s="26"/>
      <c r="D204" s="28"/>
    </row>
    <row r="205">
      <c r="C205" s="26"/>
      <c r="D205" s="28"/>
    </row>
    <row r="206">
      <c r="C206" s="26"/>
      <c r="D206" s="28"/>
    </row>
    <row r="207">
      <c r="C207" s="26"/>
      <c r="D207" s="28"/>
    </row>
    <row r="208">
      <c r="C208" s="26"/>
      <c r="D208" s="28"/>
    </row>
    <row r="209">
      <c r="C209" s="26"/>
      <c r="D209" s="28"/>
    </row>
    <row r="210">
      <c r="C210" s="26"/>
      <c r="D210" s="28"/>
    </row>
    <row r="211">
      <c r="C211" s="26"/>
      <c r="D211" s="28"/>
    </row>
    <row r="212">
      <c r="C212" s="26"/>
      <c r="D212" s="28"/>
    </row>
    <row r="213">
      <c r="C213" s="26"/>
      <c r="D213" s="28"/>
    </row>
    <row r="214">
      <c r="C214" s="26"/>
      <c r="D214" s="28"/>
    </row>
    <row r="215">
      <c r="C215" s="26"/>
      <c r="D215" s="28"/>
    </row>
    <row r="216">
      <c r="C216" s="26"/>
      <c r="D216" s="28"/>
    </row>
    <row r="217">
      <c r="C217" s="26"/>
      <c r="D217" s="28"/>
    </row>
    <row r="218">
      <c r="C218" s="26"/>
      <c r="D218" s="28"/>
    </row>
    <row r="219">
      <c r="C219" s="26"/>
      <c r="D219" s="28"/>
    </row>
    <row r="220">
      <c r="C220" s="26"/>
      <c r="D220" s="28"/>
    </row>
    <row r="221">
      <c r="C221" s="26"/>
      <c r="D221" s="28"/>
    </row>
    <row r="222">
      <c r="C222" s="26"/>
      <c r="D222" s="28"/>
    </row>
    <row r="223">
      <c r="C223" s="26"/>
      <c r="D223" s="28"/>
    </row>
    <row r="224">
      <c r="C224" s="26"/>
      <c r="D224" s="28"/>
    </row>
    <row r="225">
      <c r="C225" s="26"/>
      <c r="D225" s="28"/>
    </row>
    <row r="226">
      <c r="C226" s="26"/>
      <c r="D226" s="28"/>
    </row>
    <row r="227">
      <c r="C227" s="26"/>
      <c r="D227" s="28"/>
    </row>
    <row r="228">
      <c r="C228" s="26"/>
      <c r="D228" s="28"/>
    </row>
    <row r="229">
      <c r="C229" s="26"/>
      <c r="D229" s="28"/>
    </row>
    <row r="230">
      <c r="C230" s="26"/>
      <c r="D230" s="28"/>
    </row>
    <row r="231">
      <c r="C231" s="26"/>
      <c r="D231" s="28"/>
    </row>
    <row r="232">
      <c r="C232" s="26"/>
      <c r="D232" s="28"/>
    </row>
    <row r="233">
      <c r="C233" s="26"/>
      <c r="D233" s="28"/>
    </row>
    <row r="234">
      <c r="C234" s="26"/>
      <c r="D234" s="28"/>
    </row>
    <row r="235">
      <c r="C235" s="26"/>
      <c r="D235" s="28"/>
    </row>
    <row r="236">
      <c r="C236" s="26"/>
      <c r="D236" s="28"/>
    </row>
    <row r="237">
      <c r="C237" s="26"/>
      <c r="D237" s="28"/>
    </row>
    <row r="238">
      <c r="C238" s="26"/>
      <c r="D238" s="28"/>
    </row>
    <row r="239">
      <c r="C239" s="26"/>
      <c r="D239" s="28"/>
    </row>
    <row r="240">
      <c r="C240" s="26"/>
      <c r="D240" s="28"/>
    </row>
    <row r="241">
      <c r="C241" s="26"/>
      <c r="D241" s="28"/>
    </row>
    <row r="242">
      <c r="C242" s="26"/>
      <c r="D242" s="28"/>
    </row>
    <row r="243">
      <c r="C243" s="26"/>
      <c r="D243" s="28"/>
    </row>
    <row r="244">
      <c r="C244" s="26"/>
      <c r="D244" s="28"/>
    </row>
    <row r="245">
      <c r="C245" s="26"/>
      <c r="D245" s="28"/>
    </row>
    <row r="246">
      <c r="C246" s="26"/>
      <c r="D246" s="28"/>
    </row>
    <row r="247">
      <c r="C247" s="26"/>
      <c r="D247" s="28"/>
    </row>
    <row r="248">
      <c r="C248" s="26"/>
      <c r="D248" s="28"/>
    </row>
    <row r="249">
      <c r="C249" s="26"/>
      <c r="D249" s="28"/>
    </row>
    <row r="250">
      <c r="C250" s="26"/>
      <c r="D250" s="28"/>
    </row>
    <row r="251">
      <c r="C251" s="26"/>
      <c r="D251" s="28"/>
    </row>
    <row r="252">
      <c r="C252" s="26"/>
      <c r="D252" s="28"/>
    </row>
    <row r="253">
      <c r="C253" s="26"/>
      <c r="D253" s="28"/>
    </row>
    <row r="254">
      <c r="C254" s="26"/>
      <c r="D254" s="28"/>
    </row>
    <row r="255">
      <c r="C255" s="26"/>
      <c r="D255" s="28"/>
    </row>
    <row r="256">
      <c r="C256" s="26"/>
      <c r="D256" s="28"/>
    </row>
    <row r="257">
      <c r="C257" s="26"/>
      <c r="D257" s="28"/>
    </row>
    <row r="258">
      <c r="C258" s="26"/>
      <c r="D258" s="28"/>
    </row>
    <row r="259">
      <c r="C259" s="26"/>
      <c r="D259" s="28"/>
    </row>
    <row r="260">
      <c r="C260" s="26"/>
      <c r="D260" s="28"/>
    </row>
    <row r="261">
      <c r="C261" s="26"/>
      <c r="D261" s="28"/>
    </row>
    <row r="262">
      <c r="C262" s="26"/>
      <c r="D262" s="28"/>
    </row>
    <row r="263">
      <c r="C263" s="26"/>
      <c r="D263" s="28"/>
    </row>
    <row r="264">
      <c r="C264" s="26"/>
      <c r="D264" s="28"/>
    </row>
    <row r="265">
      <c r="C265" s="26"/>
      <c r="D265" s="28"/>
    </row>
    <row r="266">
      <c r="C266" s="26"/>
      <c r="D266" s="28"/>
    </row>
    <row r="267">
      <c r="C267" s="26"/>
      <c r="D267" s="28"/>
    </row>
    <row r="268">
      <c r="C268" s="26"/>
      <c r="D268" s="28"/>
    </row>
    <row r="269">
      <c r="C269" s="26"/>
      <c r="D269" s="28"/>
    </row>
    <row r="270">
      <c r="C270" s="26"/>
      <c r="D270" s="28"/>
    </row>
    <row r="271">
      <c r="C271" s="26"/>
      <c r="D271" s="28"/>
    </row>
    <row r="272">
      <c r="C272" s="26"/>
      <c r="D272" s="28"/>
    </row>
    <row r="273">
      <c r="C273" s="26"/>
      <c r="D273" s="28"/>
    </row>
    <row r="274">
      <c r="C274" s="26"/>
      <c r="D274" s="28"/>
    </row>
    <row r="275">
      <c r="C275" s="26"/>
      <c r="D275" s="28"/>
    </row>
    <row r="276">
      <c r="C276" s="26"/>
      <c r="D276" s="28"/>
    </row>
    <row r="277">
      <c r="C277" s="26"/>
      <c r="D277" s="28"/>
    </row>
    <row r="278">
      <c r="C278" s="26"/>
      <c r="D278" s="28"/>
    </row>
    <row r="279">
      <c r="C279" s="26"/>
      <c r="D279" s="28"/>
    </row>
    <row r="280">
      <c r="C280" s="26"/>
      <c r="D280" s="28"/>
    </row>
    <row r="281">
      <c r="C281" s="26"/>
      <c r="D281" s="28"/>
    </row>
    <row r="282">
      <c r="C282" s="26"/>
      <c r="D282" s="28"/>
    </row>
    <row r="283">
      <c r="C283" s="26"/>
      <c r="D283" s="28"/>
    </row>
    <row r="284">
      <c r="C284" s="26"/>
      <c r="D284" s="28"/>
    </row>
    <row r="285">
      <c r="C285" s="26"/>
      <c r="D285" s="28"/>
    </row>
    <row r="286">
      <c r="C286" s="26"/>
      <c r="D286" s="28"/>
    </row>
    <row r="287">
      <c r="C287" s="26"/>
      <c r="D287" s="28"/>
    </row>
    <row r="288">
      <c r="C288" s="26"/>
      <c r="D288" s="28"/>
    </row>
    <row r="289">
      <c r="C289" s="26"/>
      <c r="D289" s="28"/>
    </row>
    <row r="290">
      <c r="C290" s="26"/>
      <c r="D290" s="28"/>
    </row>
    <row r="291">
      <c r="C291" s="26"/>
      <c r="D291" s="28"/>
    </row>
    <row r="292">
      <c r="C292" s="26"/>
      <c r="D292" s="28"/>
    </row>
    <row r="293">
      <c r="C293" s="26"/>
      <c r="D293" s="28"/>
    </row>
    <row r="294">
      <c r="C294" s="26"/>
      <c r="D294" s="28"/>
    </row>
    <row r="295">
      <c r="C295" s="26"/>
      <c r="D295" s="28"/>
    </row>
    <row r="296">
      <c r="C296" s="26"/>
      <c r="D296" s="28"/>
    </row>
    <row r="297">
      <c r="C297" s="26"/>
      <c r="D297" s="28"/>
    </row>
    <row r="298">
      <c r="C298" s="26"/>
      <c r="D298" s="28"/>
    </row>
    <row r="299">
      <c r="C299" s="26"/>
      <c r="D299" s="28"/>
    </row>
    <row r="300">
      <c r="C300" s="26"/>
      <c r="D300" s="28"/>
    </row>
    <row r="301">
      <c r="C301" s="26"/>
      <c r="D301" s="28"/>
    </row>
    <row r="302">
      <c r="C302" s="26"/>
      <c r="D302" s="28"/>
    </row>
    <row r="303">
      <c r="C303" s="26"/>
      <c r="D303" s="28"/>
    </row>
    <row r="304">
      <c r="C304" s="26"/>
      <c r="D304" s="28"/>
    </row>
    <row r="305">
      <c r="C305" s="26"/>
      <c r="D305" s="28"/>
    </row>
    <row r="306">
      <c r="C306" s="26"/>
      <c r="D306" s="28"/>
    </row>
    <row r="307">
      <c r="C307" s="26"/>
      <c r="D307" s="28"/>
    </row>
    <row r="308">
      <c r="C308" s="26"/>
      <c r="D308" s="28"/>
    </row>
    <row r="309">
      <c r="C309" s="26"/>
      <c r="D309" s="28"/>
    </row>
    <row r="310">
      <c r="C310" s="26"/>
      <c r="D310" s="28"/>
    </row>
    <row r="311">
      <c r="C311" s="26"/>
      <c r="D311" s="28"/>
    </row>
    <row r="312">
      <c r="C312" s="26"/>
      <c r="D312" s="28"/>
    </row>
    <row r="313">
      <c r="C313" s="26"/>
      <c r="D313" s="28"/>
    </row>
    <row r="314">
      <c r="C314" s="26"/>
      <c r="D314" s="28"/>
    </row>
    <row r="315">
      <c r="C315" s="26"/>
      <c r="D315" s="28"/>
    </row>
    <row r="316">
      <c r="C316" s="26"/>
      <c r="D316" s="28"/>
    </row>
    <row r="317">
      <c r="C317" s="26"/>
      <c r="D317" s="28"/>
    </row>
    <row r="318">
      <c r="C318" s="26"/>
      <c r="D318" s="28"/>
    </row>
    <row r="319">
      <c r="C319" s="26"/>
      <c r="D319" s="28"/>
    </row>
    <row r="320">
      <c r="C320" s="26"/>
      <c r="D320" s="28"/>
    </row>
    <row r="321">
      <c r="C321" s="26"/>
      <c r="D321" s="28"/>
    </row>
    <row r="322">
      <c r="C322" s="26"/>
      <c r="D322" s="28"/>
    </row>
    <row r="323">
      <c r="C323" s="26"/>
      <c r="D323" s="28"/>
    </row>
    <row r="324">
      <c r="C324" s="26"/>
      <c r="D324" s="28"/>
    </row>
    <row r="325">
      <c r="C325" s="26"/>
      <c r="D325" s="28"/>
    </row>
    <row r="326">
      <c r="C326" s="26"/>
      <c r="D326" s="28"/>
    </row>
    <row r="327">
      <c r="C327" s="26"/>
      <c r="D327" s="28"/>
    </row>
    <row r="328">
      <c r="C328" s="26"/>
      <c r="D328" s="28"/>
    </row>
    <row r="329">
      <c r="C329" s="26"/>
      <c r="D329" s="28"/>
    </row>
    <row r="330">
      <c r="C330" s="26"/>
      <c r="D330" s="28"/>
    </row>
    <row r="331">
      <c r="C331" s="26"/>
      <c r="D331" s="28"/>
    </row>
    <row r="332">
      <c r="C332" s="26"/>
      <c r="D332" s="28"/>
    </row>
    <row r="333">
      <c r="C333" s="26"/>
      <c r="D333" s="28"/>
    </row>
    <row r="334">
      <c r="C334" s="26"/>
      <c r="D334" s="28"/>
    </row>
    <row r="335">
      <c r="C335" s="26"/>
      <c r="D335" s="28"/>
    </row>
    <row r="336">
      <c r="C336" s="26"/>
      <c r="D336" s="28"/>
    </row>
    <row r="337">
      <c r="C337" s="26"/>
      <c r="D337" s="28"/>
    </row>
    <row r="338">
      <c r="C338" s="26"/>
      <c r="D338" s="28"/>
    </row>
    <row r="339">
      <c r="C339" s="26"/>
      <c r="D339" s="28"/>
    </row>
    <row r="340">
      <c r="C340" s="26"/>
      <c r="D340" s="28"/>
    </row>
    <row r="341">
      <c r="C341" s="26"/>
      <c r="D341" s="28"/>
    </row>
    <row r="342">
      <c r="C342" s="26"/>
      <c r="D342" s="28"/>
    </row>
    <row r="343">
      <c r="C343" s="26"/>
      <c r="D343" s="28"/>
    </row>
    <row r="344">
      <c r="C344" s="26"/>
      <c r="D344" s="28"/>
    </row>
    <row r="345">
      <c r="C345" s="26"/>
      <c r="D345" s="28"/>
    </row>
    <row r="346">
      <c r="C346" s="26"/>
      <c r="D346" s="28"/>
    </row>
    <row r="347">
      <c r="C347" s="26"/>
      <c r="D347" s="28"/>
    </row>
    <row r="348">
      <c r="C348" s="26"/>
      <c r="D348" s="28"/>
    </row>
    <row r="349">
      <c r="C349" s="26"/>
      <c r="D349" s="28"/>
    </row>
    <row r="350">
      <c r="C350" s="26"/>
      <c r="D350" s="28"/>
    </row>
    <row r="351">
      <c r="C351" s="26"/>
      <c r="D351" s="28"/>
    </row>
    <row r="352">
      <c r="C352" s="26"/>
      <c r="D352" s="28"/>
    </row>
    <row r="353">
      <c r="C353" s="26"/>
      <c r="D353" s="28"/>
    </row>
    <row r="354">
      <c r="C354" s="26"/>
      <c r="D354" s="28"/>
    </row>
    <row r="355">
      <c r="C355" s="26"/>
      <c r="D355" s="28"/>
    </row>
    <row r="356">
      <c r="C356" s="26"/>
      <c r="D356" s="28"/>
    </row>
    <row r="357">
      <c r="C357" s="26"/>
      <c r="D357" s="28"/>
    </row>
    <row r="358">
      <c r="C358" s="26"/>
      <c r="D358" s="28"/>
    </row>
    <row r="359">
      <c r="C359" s="26"/>
      <c r="D359" s="28"/>
    </row>
    <row r="360">
      <c r="C360" s="26"/>
      <c r="D360" s="28"/>
    </row>
    <row r="361">
      <c r="C361" s="26"/>
      <c r="D361" s="28"/>
    </row>
    <row r="362">
      <c r="C362" s="26"/>
      <c r="D362" s="28"/>
    </row>
    <row r="363">
      <c r="C363" s="26"/>
      <c r="D363" s="28"/>
    </row>
    <row r="364">
      <c r="C364" s="26"/>
      <c r="D364" s="28"/>
    </row>
    <row r="365">
      <c r="C365" s="26"/>
      <c r="D365" s="28"/>
    </row>
    <row r="366">
      <c r="C366" s="26"/>
      <c r="D366" s="28"/>
    </row>
    <row r="367">
      <c r="C367" s="26"/>
      <c r="D367" s="28"/>
    </row>
    <row r="368">
      <c r="C368" s="26"/>
      <c r="D368" s="28"/>
    </row>
    <row r="369">
      <c r="C369" s="26"/>
      <c r="D369" s="28"/>
    </row>
    <row r="370">
      <c r="C370" s="26"/>
      <c r="D370" s="28"/>
    </row>
    <row r="371">
      <c r="C371" s="26"/>
      <c r="D371" s="28"/>
    </row>
    <row r="372">
      <c r="C372" s="26"/>
      <c r="D372" s="28"/>
    </row>
    <row r="373">
      <c r="C373" s="26"/>
      <c r="D373" s="28"/>
    </row>
    <row r="374">
      <c r="C374" s="26"/>
      <c r="D374" s="28"/>
    </row>
    <row r="375">
      <c r="C375" s="26"/>
      <c r="D375" s="28"/>
    </row>
    <row r="376">
      <c r="C376" s="26"/>
      <c r="D376" s="28"/>
    </row>
    <row r="377">
      <c r="C377" s="26"/>
      <c r="D377" s="28"/>
    </row>
    <row r="378">
      <c r="C378" s="26"/>
      <c r="D378" s="28"/>
    </row>
    <row r="379">
      <c r="C379" s="26"/>
      <c r="D379" s="28"/>
    </row>
    <row r="380">
      <c r="C380" s="26"/>
      <c r="D380" s="28"/>
    </row>
    <row r="381">
      <c r="C381" s="26"/>
      <c r="D381" s="28"/>
    </row>
    <row r="382">
      <c r="C382" s="26"/>
      <c r="D382" s="28"/>
    </row>
    <row r="383">
      <c r="C383" s="26"/>
      <c r="D383" s="28"/>
    </row>
    <row r="384">
      <c r="C384" s="26"/>
      <c r="D384" s="28"/>
    </row>
    <row r="385">
      <c r="C385" s="26"/>
      <c r="D385" s="28"/>
    </row>
    <row r="386">
      <c r="C386" s="26"/>
      <c r="D386" s="28"/>
    </row>
    <row r="387">
      <c r="C387" s="26"/>
      <c r="D387" s="28"/>
    </row>
    <row r="388">
      <c r="C388" s="26"/>
      <c r="D388" s="28"/>
    </row>
    <row r="389">
      <c r="C389" s="26"/>
      <c r="D389" s="28"/>
    </row>
    <row r="390">
      <c r="C390" s="26"/>
      <c r="D390" s="28"/>
    </row>
    <row r="391">
      <c r="C391" s="26"/>
      <c r="D391" s="28"/>
    </row>
    <row r="392">
      <c r="C392" s="26"/>
      <c r="D392" s="28"/>
    </row>
    <row r="393">
      <c r="C393" s="26"/>
      <c r="D393" s="28"/>
    </row>
    <row r="394">
      <c r="C394" s="26"/>
      <c r="D394" s="28"/>
    </row>
    <row r="395">
      <c r="C395" s="26"/>
      <c r="D395" s="28"/>
    </row>
    <row r="396">
      <c r="C396" s="26"/>
      <c r="D396" s="28"/>
    </row>
    <row r="397">
      <c r="C397" s="26"/>
      <c r="D397" s="28"/>
    </row>
    <row r="398">
      <c r="C398" s="26"/>
      <c r="D398" s="28"/>
    </row>
    <row r="399">
      <c r="C399" s="26"/>
      <c r="D399" s="28"/>
    </row>
    <row r="400">
      <c r="C400" s="26"/>
      <c r="D400" s="28"/>
    </row>
    <row r="401">
      <c r="C401" s="26"/>
      <c r="D401" s="28"/>
    </row>
    <row r="402">
      <c r="C402" s="26"/>
      <c r="D402" s="28"/>
    </row>
    <row r="403">
      <c r="C403" s="26"/>
      <c r="D403" s="28"/>
    </row>
    <row r="404">
      <c r="C404" s="26"/>
      <c r="D404" s="28"/>
    </row>
    <row r="405">
      <c r="C405" s="26"/>
      <c r="D405" s="28"/>
    </row>
    <row r="406">
      <c r="C406" s="26"/>
      <c r="D406" s="28"/>
    </row>
    <row r="407">
      <c r="C407" s="26"/>
      <c r="D407" s="28"/>
    </row>
    <row r="408">
      <c r="C408" s="26"/>
      <c r="D408" s="28"/>
    </row>
    <row r="409">
      <c r="C409" s="26"/>
      <c r="D409" s="28"/>
    </row>
    <row r="410">
      <c r="C410" s="26"/>
      <c r="D410" s="28"/>
    </row>
    <row r="411">
      <c r="C411" s="26"/>
      <c r="D411" s="28"/>
    </row>
    <row r="412">
      <c r="C412" s="26"/>
      <c r="D412" s="28"/>
    </row>
    <row r="413">
      <c r="C413" s="26"/>
      <c r="D413" s="28"/>
    </row>
    <row r="414">
      <c r="C414" s="26"/>
      <c r="D414" s="28"/>
    </row>
    <row r="415">
      <c r="C415" s="26"/>
      <c r="D415" s="28"/>
    </row>
    <row r="416">
      <c r="C416" s="26"/>
      <c r="D416" s="28"/>
    </row>
    <row r="417">
      <c r="C417" s="26"/>
      <c r="D417" s="28"/>
    </row>
    <row r="418">
      <c r="C418" s="26"/>
      <c r="D418" s="28"/>
    </row>
    <row r="419">
      <c r="C419" s="26"/>
      <c r="D419" s="28"/>
    </row>
    <row r="420">
      <c r="C420" s="26"/>
      <c r="D420" s="28"/>
    </row>
    <row r="421">
      <c r="C421" s="26"/>
      <c r="D421" s="28"/>
    </row>
    <row r="422">
      <c r="C422" s="26"/>
      <c r="D422" s="28"/>
    </row>
    <row r="423">
      <c r="C423" s="26"/>
      <c r="D423" s="28"/>
    </row>
    <row r="424">
      <c r="C424" s="26"/>
      <c r="D424" s="28"/>
    </row>
    <row r="425">
      <c r="C425" s="26"/>
      <c r="D425" s="28"/>
    </row>
    <row r="426">
      <c r="C426" s="26"/>
      <c r="D426" s="28"/>
    </row>
    <row r="427">
      <c r="C427" s="26"/>
      <c r="D427" s="28"/>
    </row>
    <row r="428">
      <c r="C428" s="26"/>
      <c r="D428" s="28"/>
    </row>
    <row r="429">
      <c r="C429" s="26"/>
      <c r="D429" s="28"/>
    </row>
    <row r="430">
      <c r="C430" s="26"/>
      <c r="D430" s="28"/>
    </row>
    <row r="431">
      <c r="C431" s="26"/>
      <c r="D431" s="28"/>
    </row>
    <row r="432">
      <c r="C432" s="26"/>
      <c r="D432" s="28"/>
    </row>
    <row r="433">
      <c r="C433" s="26"/>
      <c r="D433" s="28"/>
    </row>
    <row r="434">
      <c r="C434" s="26"/>
      <c r="D434" s="28"/>
    </row>
    <row r="435">
      <c r="C435" s="26"/>
      <c r="D435" s="28"/>
    </row>
    <row r="436">
      <c r="C436" s="26"/>
      <c r="D436" s="28"/>
    </row>
    <row r="437">
      <c r="C437" s="26"/>
      <c r="D437" s="28"/>
    </row>
    <row r="438">
      <c r="C438" s="26"/>
      <c r="D438" s="28"/>
    </row>
    <row r="439">
      <c r="C439" s="26"/>
      <c r="D439" s="28"/>
    </row>
    <row r="440">
      <c r="C440" s="26"/>
      <c r="D440" s="28"/>
    </row>
    <row r="441">
      <c r="C441" s="26"/>
      <c r="D441" s="28"/>
    </row>
    <row r="442">
      <c r="C442" s="26"/>
      <c r="D442" s="28"/>
    </row>
    <row r="443">
      <c r="C443" s="26"/>
      <c r="D443" s="28"/>
    </row>
    <row r="444">
      <c r="C444" s="26"/>
      <c r="D444" s="28"/>
    </row>
    <row r="445">
      <c r="C445" s="26"/>
      <c r="D445" s="28"/>
    </row>
    <row r="446">
      <c r="C446" s="26"/>
      <c r="D446" s="28"/>
    </row>
    <row r="447">
      <c r="C447" s="26"/>
      <c r="D447" s="28"/>
    </row>
    <row r="448">
      <c r="C448" s="26"/>
      <c r="D448" s="28"/>
    </row>
    <row r="449">
      <c r="C449" s="26"/>
      <c r="D449" s="28"/>
    </row>
    <row r="450">
      <c r="C450" s="26"/>
      <c r="D450" s="28"/>
    </row>
    <row r="451">
      <c r="C451" s="26"/>
      <c r="D451" s="28"/>
    </row>
    <row r="452">
      <c r="C452" s="26"/>
      <c r="D452" s="28"/>
    </row>
    <row r="453">
      <c r="C453" s="26"/>
      <c r="D453" s="28"/>
    </row>
    <row r="454">
      <c r="C454" s="26"/>
      <c r="D454" s="28"/>
    </row>
    <row r="455">
      <c r="C455" s="26"/>
      <c r="D455" s="28"/>
    </row>
    <row r="456">
      <c r="C456" s="26"/>
      <c r="D456" s="28"/>
    </row>
    <row r="457">
      <c r="C457" s="26"/>
      <c r="D457" s="28"/>
    </row>
    <row r="458">
      <c r="C458" s="26"/>
      <c r="D458" s="28"/>
    </row>
    <row r="459">
      <c r="C459" s="26"/>
      <c r="D459" s="28"/>
    </row>
    <row r="460">
      <c r="C460" s="26"/>
      <c r="D460" s="28"/>
    </row>
    <row r="461">
      <c r="C461" s="26"/>
      <c r="D461" s="28"/>
    </row>
    <row r="462">
      <c r="C462" s="26"/>
      <c r="D462" s="28"/>
    </row>
    <row r="463">
      <c r="C463" s="26"/>
      <c r="D463" s="28"/>
    </row>
    <row r="464">
      <c r="C464" s="26"/>
      <c r="D464" s="28"/>
    </row>
    <row r="465">
      <c r="C465" s="26"/>
      <c r="D465" s="28"/>
    </row>
    <row r="466">
      <c r="C466" s="26"/>
      <c r="D466" s="28"/>
    </row>
    <row r="467">
      <c r="C467" s="26"/>
      <c r="D467" s="28"/>
    </row>
    <row r="468">
      <c r="C468" s="26"/>
      <c r="D468" s="28"/>
    </row>
    <row r="469">
      <c r="C469" s="26"/>
      <c r="D469" s="28"/>
    </row>
    <row r="470">
      <c r="C470" s="26"/>
      <c r="D470" s="28"/>
    </row>
    <row r="471">
      <c r="C471" s="26"/>
      <c r="D471" s="28"/>
    </row>
    <row r="472">
      <c r="C472" s="26"/>
      <c r="D472" s="28"/>
    </row>
    <row r="473">
      <c r="C473" s="26"/>
      <c r="D473" s="28"/>
    </row>
    <row r="474">
      <c r="C474" s="26"/>
      <c r="D474" s="28"/>
    </row>
    <row r="475">
      <c r="C475" s="26"/>
      <c r="D475" s="28"/>
    </row>
    <row r="476">
      <c r="C476" s="26"/>
      <c r="D476" s="28"/>
    </row>
    <row r="477">
      <c r="C477" s="26"/>
      <c r="D477" s="28"/>
    </row>
    <row r="478">
      <c r="C478" s="26"/>
      <c r="D478" s="28"/>
    </row>
    <row r="479">
      <c r="C479" s="26"/>
      <c r="D479" s="28"/>
    </row>
    <row r="480">
      <c r="C480" s="26"/>
      <c r="D480" s="28"/>
    </row>
    <row r="481">
      <c r="C481" s="26"/>
      <c r="D481" s="28"/>
    </row>
    <row r="482">
      <c r="C482" s="26"/>
      <c r="D482" s="28"/>
    </row>
    <row r="483">
      <c r="C483" s="26"/>
      <c r="D483" s="28"/>
    </row>
    <row r="484">
      <c r="C484" s="26"/>
      <c r="D484" s="28"/>
    </row>
    <row r="485">
      <c r="C485" s="26"/>
      <c r="D485" s="28"/>
    </row>
    <row r="486">
      <c r="C486" s="26"/>
      <c r="D486" s="28"/>
    </row>
    <row r="487">
      <c r="C487" s="26"/>
      <c r="D487" s="28"/>
    </row>
    <row r="488">
      <c r="C488" s="26"/>
      <c r="D488" s="28"/>
    </row>
    <row r="489">
      <c r="C489" s="26"/>
      <c r="D489" s="28"/>
    </row>
    <row r="490">
      <c r="C490" s="26"/>
      <c r="D490" s="28"/>
    </row>
    <row r="491">
      <c r="C491" s="26"/>
      <c r="D491" s="28"/>
    </row>
    <row r="492">
      <c r="C492" s="26"/>
      <c r="D492" s="28"/>
    </row>
    <row r="493">
      <c r="C493" s="26"/>
      <c r="D493" s="28"/>
    </row>
    <row r="494">
      <c r="C494" s="26"/>
      <c r="D494" s="28"/>
    </row>
    <row r="495">
      <c r="C495" s="26"/>
      <c r="D495" s="28"/>
    </row>
    <row r="496">
      <c r="C496" s="26"/>
      <c r="D496" s="28"/>
    </row>
    <row r="497">
      <c r="C497" s="26"/>
      <c r="D497" s="28"/>
    </row>
    <row r="498">
      <c r="C498" s="26"/>
      <c r="D498" s="28"/>
    </row>
    <row r="499">
      <c r="C499" s="26"/>
      <c r="D499" s="28"/>
    </row>
    <row r="500">
      <c r="C500" s="26"/>
      <c r="D500" s="28"/>
    </row>
    <row r="501">
      <c r="C501" s="26"/>
      <c r="D501" s="28"/>
    </row>
    <row r="502">
      <c r="C502" s="26"/>
      <c r="D502" s="28"/>
    </row>
    <row r="503">
      <c r="C503" s="26"/>
      <c r="D503" s="28"/>
    </row>
    <row r="504">
      <c r="C504" s="26"/>
      <c r="D504" s="28"/>
    </row>
    <row r="505">
      <c r="C505" s="26"/>
      <c r="D505" s="28"/>
    </row>
    <row r="506">
      <c r="C506" s="26"/>
      <c r="D506" s="28"/>
    </row>
    <row r="507">
      <c r="C507" s="26"/>
      <c r="D507" s="28"/>
    </row>
    <row r="508">
      <c r="C508" s="26"/>
      <c r="D508" s="28"/>
    </row>
    <row r="509">
      <c r="C509" s="26"/>
      <c r="D509" s="28"/>
    </row>
    <row r="510">
      <c r="C510" s="26"/>
      <c r="D510" s="28"/>
    </row>
    <row r="511">
      <c r="C511" s="26"/>
      <c r="D511" s="28"/>
    </row>
    <row r="512">
      <c r="C512" s="26"/>
      <c r="D512" s="28"/>
    </row>
    <row r="513">
      <c r="C513" s="26"/>
      <c r="D513" s="28"/>
    </row>
    <row r="514">
      <c r="C514" s="26"/>
      <c r="D514" s="28"/>
    </row>
    <row r="515">
      <c r="C515" s="26"/>
      <c r="D515" s="28"/>
    </row>
    <row r="516">
      <c r="C516" s="26"/>
      <c r="D516" s="28"/>
    </row>
    <row r="517">
      <c r="C517" s="26"/>
      <c r="D517" s="28"/>
    </row>
    <row r="518">
      <c r="C518" s="26"/>
      <c r="D518" s="28"/>
    </row>
    <row r="519">
      <c r="C519" s="26"/>
      <c r="D519" s="28"/>
    </row>
    <row r="520">
      <c r="C520" s="26"/>
      <c r="D520" s="28"/>
    </row>
    <row r="521">
      <c r="C521" s="26"/>
      <c r="D521" s="28"/>
    </row>
    <row r="522">
      <c r="C522" s="26"/>
      <c r="D522" s="28"/>
    </row>
    <row r="523">
      <c r="C523" s="26"/>
      <c r="D523" s="28"/>
    </row>
    <row r="524">
      <c r="C524" s="26"/>
      <c r="D524" s="28"/>
    </row>
    <row r="525">
      <c r="C525" s="26"/>
      <c r="D525" s="28"/>
    </row>
    <row r="526">
      <c r="C526" s="26"/>
      <c r="D526" s="28"/>
    </row>
    <row r="527">
      <c r="C527" s="26"/>
      <c r="D527" s="28"/>
    </row>
    <row r="528">
      <c r="C528" s="26"/>
      <c r="D528" s="28"/>
    </row>
    <row r="529">
      <c r="C529" s="26"/>
      <c r="D529" s="28"/>
    </row>
    <row r="530">
      <c r="C530" s="26"/>
      <c r="D530" s="28"/>
    </row>
    <row r="531">
      <c r="C531" s="26"/>
      <c r="D531" s="28"/>
    </row>
    <row r="532">
      <c r="C532" s="26"/>
      <c r="D532" s="28"/>
    </row>
    <row r="533">
      <c r="C533" s="26"/>
      <c r="D533" s="28"/>
    </row>
    <row r="534">
      <c r="C534" s="26"/>
      <c r="D534" s="28"/>
    </row>
    <row r="535">
      <c r="C535" s="26"/>
      <c r="D535" s="28"/>
    </row>
    <row r="536">
      <c r="C536" s="26"/>
      <c r="D536" s="28"/>
    </row>
    <row r="537">
      <c r="C537" s="26"/>
      <c r="D537" s="28"/>
    </row>
    <row r="538">
      <c r="C538" s="26"/>
      <c r="D538" s="28"/>
    </row>
    <row r="539">
      <c r="C539" s="26"/>
      <c r="D539" s="28"/>
    </row>
    <row r="540">
      <c r="C540" s="26"/>
      <c r="D540" s="28"/>
    </row>
    <row r="541">
      <c r="C541" s="26"/>
      <c r="D541" s="28"/>
    </row>
    <row r="542">
      <c r="C542" s="26"/>
      <c r="D542" s="28"/>
    </row>
    <row r="543">
      <c r="C543" s="26"/>
      <c r="D543" s="28"/>
    </row>
    <row r="544">
      <c r="C544" s="26"/>
      <c r="D544" s="28"/>
    </row>
    <row r="545">
      <c r="C545" s="26"/>
      <c r="D545" s="28"/>
    </row>
    <row r="546">
      <c r="C546" s="26"/>
      <c r="D546" s="28"/>
    </row>
    <row r="547">
      <c r="C547" s="26"/>
      <c r="D547" s="28"/>
    </row>
    <row r="548">
      <c r="C548" s="26"/>
      <c r="D548" s="28"/>
    </row>
    <row r="549">
      <c r="C549" s="26"/>
      <c r="D549" s="28"/>
    </row>
    <row r="550">
      <c r="C550" s="26"/>
      <c r="D550" s="28"/>
    </row>
    <row r="551">
      <c r="C551" s="26"/>
      <c r="D551" s="28"/>
    </row>
    <row r="552">
      <c r="C552" s="26"/>
      <c r="D552" s="28"/>
    </row>
    <row r="553">
      <c r="C553" s="26"/>
      <c r="D553" s="28"/>
    </row>
    <row r="554">
      <c r="C554" s="26"/>
      <c r="D554" s="28"/>
    </row>
    <row r="555">
      <c r="C555" s="26"/>
      <c r="D555" s="28"/>
    </row>
    <row r="556">
      <c r="C556" s="26"/>
      <c r="D556" s="28"/>
    </row>
    <row r="557">
      <c r="C557" s="26"/>
      <c r="D557" s="28"/>
    </row>
    <row r="558">
      <c r="C558" s="26"/>
      <c r="D558" s="28"/>
    </row>
    <row r="559">
      <c r="C559" s="26"/>
      <c r="D559" s="28"/>
    </row>
    <row r="560">
      <c r="C560" s="26"/>
      <c r="D560" s="28"/>
    </row>
    <row r="561">
      <c r="C561" s="26"/>
      <c r="D561" s="28"/>
    </row>
    <row r="562">
      <c r="C562" s="26"/>
      <c r="D562" s="28"/>
    </row>
    <row r="563">
      <c r="C563" s="26"/>
      <c r="D563" s="28"/>
    </row>
    <row r="564">
      <c r="C564" s="26"/>
      <c r="D564" s="28"/>
    </row>
    <row r="565">
      <c r="C565" s="26"/>
      <c r="D565" s="28"/>
    </row>
    <row r="566">
      <c r="C566" s="26"/>
      <c r="D566" s="28"/>
    </row>
    <row r="567">
      <c r="C567" s="26"/>
      <c r="D567" s="28"/>
    </row>
    <row r="568">
      <c r="C568" s="26"/>
      <c r="D568" s="28"/>
    </row>
    <row r="569">
      <c r="C569" s="26"/>
      <c r="D569" s="28"/>
    </row>
    <row r="570">
      <c r="C570" s="26"/>
      <c r="D570" s="28"/>
    </row>
    <row r="571">
      <c r="C571" s="26"/>
      <c r="D571" s="28"/>
    </row>
    <row r="572">
      <c r="C572" s="26"/>
      <c r="D572" s="28"/>
    </row>
    <row r="573">
      <c r="C573" s="26"/>
      <c r="D573" s="28"/>
    </row>
    <row r="574">
      <c r="C574" s="26"/>
      <c r="D574" s="28"/>
    </row>
    <row r="575">
      <c r="C575" s="26"/>
      <c r="D575" s="28"/>
    </row>
    <row r="576">
      <c r="C576" s="26"/>
      <c r="D576" s="28"/>
    </row>
    <row r="577">
      <c r="C577" s="26"/>
      <c r="D577" s="28"/>
    </row>
    <row r="578">
      <c r="C578" s="26"/>
      <c r="D578" s="28"/>
    </row>
    <row r="579">
      <c r="C579" s="26"/>
      <c r="D579" s="28"/>
    </row>
    <row r="580">
      <c r="C580" s="26"/>
      <c r="D580" s="28"/>
    </row>
    <row r="581">
      <c r="C581" s="26"/>
      <c r="D581" s="28"/>
    </row>
    <row r="582">
      <c r="C582" s="26"/>
      <c r="D582" s="28"/>
    </row>
    <row r="583">
      <c r="C583" s="26"/>
      <c r="D583" s="28"/>
    </row>
    <row r="584">
      <c r="C584" s="26"/>
      <c r="D584" s="28"/>
    </row>
    <row r="585">
      <c r="C585" s="26"/>
      <c r="D585" s="28"/>
    </row>
    <row r="586">
      <c r="C586" s="26"/>
      <c r="D586" s="28"/>
    </row>
    <row r="587">
      <c r="C587" s="26"/>
      <c r="D587" s="28"/>
    </row>
    <row r="588">
      <c r="C588" s="26"/>
      <c r="D588" s="28"/>
    </row>
    <row r="589">
      <c r="C589" s="26"/>
      <c r="D589" s="28"/>
    </row>
    <row r="590">
      <c r="C590" s="26"/>
      <c r="D590" s="28"/>
    </row>
    <row r="591">
      <c r="C591" s="26"/>
      <c r="D591" s="28"/>
    </row>
    <row r="592">
      <c r="C592" s="26"/>
      <c r="D592" s="28"/>
    </row>
    <row r="593">
      <c r="C593" s="26"/>
      <c r="D593" s="28"/>
    </row>
    <row r="594">
      <c r="C594" s="26"/>
      <c r="D594" s="28"/>
    </row>
    <row r="595">
      <c r="C595" s="26"/>
      <c r="D595" s="28"/>
    </row>
    <row r="596">
      <c r="C596" s="26"/>
      <c r="D596" s="28"/>
    </row>
    <row r="597">
      <c r="C597" s="26"/>
      <c r="D597" s="28"/>
    </row>
    <row r="598">
      <c r="C598" s="26"/>
      <c r="D598" s="28"/>
    </row>
    <row r="599">
      <c r="C599" s="26"/>
      <c r="D599" s="28"/>
    </row>
    <row r="600">
      <c r="C600" s="26"/>
      <c r="D600" s="28"/>
    </row>
    <row r="601">
      <c r="C601" s="26"/>
      <c r="D601" s="28"/>
    </row>
    <row r="602">
      <c r="C602" s="26"/>
      <c r="D602" s="28"/>
    </row>
    <row r="603">
      <c r="C603" s="26"/>
      <c r="D603" s="28"/>
    </row>
    <row r="604">
      <c r="C604" s="26"/>
      <c r="D604" s="28"/>
    </row>
    <row r="605">
      <c r="C605" s="26"/>
      <c r="D605" s="28"/>
    </row>
    <row r="606">
      <c r="C606" s="26"/>
      <c r="D606" s="28"/>
    </row>
    <row r="607">
      <c r="C607" s="26"/>
      <c r="D607" s="28"/>
    </row>
    <row r="608">
      <c r="C608" s="26"/>
      <c r="D608" s="28"/>
    </row>
    <row r="609">
      <c r="C609" s="26"/>
      <c r="D609" s="28"/>
    </row>
    <row r="610">
      <c r="C610" s="26"/>
      <c r="D610" s="28"/>
    </row>
    <row r="611">
      <c r="C611" s="26"/>
      <c r="D611" s="28"/>
    </row>
    <row r="612">
      <c r="C612" s="26"/>
      <c r="D612" s="28"/>
    </row>
    <row r="613">
      <c r="C613" s="26"/>
      <c r="D613" s="28"/>
    </row>
    <row r="614">
      <c r="C614" s="26"/>
      <c r="D614" s="28"/>
    </row>
    <row r="615">
      <c r="C615" s="26"/>
      <c r="D615" s="28"/>
    </row>
    <row r="616">
      <c r="C616" s="26"/>
      <c r="D616" s="28"/>
    </row>
    <row r="617">
      <c r="C617" s="26"/>
      <c r="D617" s="28"/>
    </row>
    <row r="618">
      <c r="C618" s="26"/>
      <c r="D618" s="28"/>
    </row>
    <row r="619">
      <c r="C619" s="26"/>
      <c r="D619" s="28"/>
    </row>
    <row r="620">
      <c r="C620" s="26"/>
      <c r="D620" s="28"/>
    </row>
    <row r="621">
      <c r="C621" s="26"/>
      <c r="D621" s="28"/>
    </row>
    <row r="622">
      <c r="C622" s="26"/>
      <c r="D622" s="28"/>
    </row>
    <row r="623">
      <c r="C623" s="26"/>
      <c r="D623" s="28"/>
    </row>
    <row r="624">
      <c r="C624" s="26"/>
      <c r="D624" s="28"/>
    </row>
    <row r="625">
      <c r="C625" s="26"/>
      <c r="D625" s="28"/>
    </row>
    <row r="626">
      <c r="C626" s="26"/>
      <c r="D626" s="28"/>
    </row>
    <row r="627">
      <c r="C627" s="26"/>
      <c r="D627" s="28"/>
    </row>
    <row r="628">
      <c r="C628" s="26"/>
      <c r="D628" s="28"/>
    </row>
    <row r="629">
      <c r="C629" s="26"/>
      <c r="D629" s="28"/>
    </row>
    <row r="630">
      <c r="C630" s="26"/>
      <c r="D630" s="28"/>
    </row>
    <row r="631">
      <c r="C631" s="26"/>
      <c r="D631" s="28"/>
    </row>
    <row r="632">
      <c r="C632" s="26"/>
      <c r="D632" s="28"/>
    </row>
    <row r="633">
      <c r="C633" s="26"/>
      <c r="D633" s="28"/>
    </row>
    <row r="634">
      <c r="C634" s="26"/>
      <c r="D634" s="28"/>
    </row>
    <row r="635">
      <c r="C635" s="26"/>
      <c r="D635" s="28"/>
    </row>
    <row r="636">
      <c r="C636" s="26"/>
      <c r="D636" s="28"/>
    </row>
    <row r="637">
      <c r="C637" s="26"/>
      <c r="D637" s="28"/>
    </row>
    <row r="638">
      <c r="C638" s="26"/>
      <c r="D638" s="28"/>
    </row>
    <row r="639">
      <c r="C639" s="26"/>
      <c r="D639" s="28"/>
    </row>
    <row r="640">
      <c r="C640" s="26"/>
      <c r="D640" s="28"/>
    </row>
    <row r="641">
      <c r="C641" s="26"/>
      <c r="D641" s="28"/>
    </row>
    <row r="642">
      <c r="C642" s="26"/>
      <c r="D642" s="28"/>
    </row>
    <row r="643">
      <c r="C643" s="26"/>
      <c r="D643" s="28"/>
    </row>
    <row r="644">
      <c r="C644" s="26"/>
      <c r="D644" s="28"/>
    </row>
    <row r="645">
      <c r="C645" s="26"/>
      <c r="D645" s="28"/>
    </row>
    <row r="646">
      <c r="C646" s="26"/>
      <c r="D646" s="28"/>
    </row>
    <row r="647">
      <c r="C647" s="26"/>
      <c r="D647" s="28"/>
    </row>
    <row r="648">
      <c r="C648" s="26"/>
      <c r="D648" s="28"/>
    </row>
    <row r="649">
      <c r="C649" s="26"/>
      <c r="D649" s="28"/>
    </row>
    <row r="650">
      <c r="C650" s="26"/>
      <c r="D650" s="28"/>
    </row>
    <row r="651">
      <c r="C651" s="26"/>
      <c r="D651" s="28"/>
    </row>
    <row r="652">
      <c r="C652" s="26"/>
      <c r="D652" s="28"/>
    </row>
    <row r="653">
      <c r="C653" s="26"/>
      <c r="D653" s="28"/>
    </row>
    <row r="654">
      <c r="C654" s="26"/>
      <c r="D654" s="28"/>
    </row>
    <row r="655">
      <c r="C655" s="26"/>
      <c r="D655" s="28"/>
    </row>
    <row r="656">
      <c r="C656" s="26"/>
      <c r="D656" s="28"/>
    </row>
    <row r="657">
      <c r="C657" s="26"/>
      <c r="D657" s="28"/>
    </row>
    <row r="658">
      <c r="C658" s="26"/>
      <c r="D658" s="28"/>
    </row>
    <row r="659">
      <c r="C659" s="26"/>
      <c r="D659" s="28"/>
    </row>
    <row r="660">
      <c r="C660" s="26"/>
      <c r="D660" s="28"/>
    </row>
    <row r="661">
      <c r="C661" s="26"/>
      <c r="D661" s="28"/>
    </row>
    <row r="662">
      <c r="C662" s="26"/>
      <c r="D662" s="28"/>
    </row>
    <row r="663">
      <c r="C663" s="26"/>
      <c r="D663" s="28"/>
    </row>
    <row r="664">
      <c r="C664" s="26"/>
      <c r="D664" s="28"/>
    </row>
    <row r="665">
      <c r="C665" s="26"/>
      <c r="D665" s="28"/>
    </row>
    <row r="666">
      <c r="C666" s="26"/>
      <c r="D666" s="28"/>
    </row>
    <row r="667">
      <c r="C667" s="26"/>
      <c r="D667" s="28"/>
    </row>
    <row r="668">
      <c r="C668" s="26"/>
      <c r="D668" s="28"/>
    </row>
    <row r="669">
      <c r="C669" s="26"/>
      <c r="D669" s="28"/>
    </row>
    <row r="670">
      <c r="C670" s="26"/>
      <c r="D670" s="28"/>
    </row>
    <row r="671">
      <c r="C671" s="26"/>
      <c r="D671" s="28"/>
    </row>
    <row r="672">
      <c r="C672" s="26"/>
      <c r="D672" s="28"/>
    </row>
    <row r="673">
      <c r="C673" s="26"/>
      <c r="D673" s="28"/>
    </row>
    <row r="674">
      <c r="C674" s="26"/>
      <c r="D674" s="28"/>
    </row>
    <row r="675">
      <c r="C675" s="26"/>
      <c r="D675" s="28"/>
    </row>
    <row r="676">
      <c r="C676" s="26"/>
      <c r="D676" s="28"/>
    </row>
    <row r="677">
      <c r="C677" s="26"/>
      <c r="D677" s="28"/>
    </row>
    <row r="678">
      <c r="C678" s="26"/>
      <c r="D678" s="28"/>
    </row>
    <row r="679">
      <c r="C679" s="26"/>
      <c r="D679" s="28"/>
    </row>
    <row r="680">
      <c r="C680" s="26"/>
      <c r="D680" s="28"/>
    </row>
    <row r="681">
      <c r="C681" s="26"/>
      <c r="D681" s="28"/>
    </row>
    <row r="682">
      <c r="C682" s="26"/>
      <c r="D682" s="28"/>
    </row>
    <row r="683">
      <c r="C683" s="26"/>
      <c r="D683" s="28"/>
    </row>
    <row r="684">
      <c r="C684" s="26"/>
      <c r="D684" s="28"/>
    </row>
    <row r="685">
      <c r="C685" s="26"/>
      <c r="D685" s="28"/>
    </row>
    <row r="686">
      <c r="C686" s="26"/>
      <c r="D686" s="28"/>
    </row>
    <row r="687">
      <c r="C687" s="26"/>
      <c r="D687" s="28"/>
    </row>
    <row r="688">
      <c r="C688" s="26"/>
      <c r="D688" s="28"/>
    </row>
    <row r="689">
      <c r="C689" s="26"/>
      <c r="D689" s="28"/>
    </row>
    <row r="690">
      <c r="C690" s="26"/>
      <c r="D690" s="28"/>
    </row>
    <row r="691">
      <c r="C691" s="26"/>
      <c r="D691" s="28"/>
    </row>
    <row r="692">
      <c r="C692" s="26"/>
      <c r="D692" s="28"/>
    </row>
    <row r="693">
      <c r="C693" s="26"/>
      <c r="D693" s="28"/>
    </row>
    <row r="694">
      <c r="C694" s="26"/>
      <c r="D694" s="28"/>
    </row>
    <row r="695">
      <c r="C695" s="26"/>
      <c r="D695" s="28"/>
    </row>
    <row r="696">
      <c r="C696" s="26"/>
      <c r="D696" s="28"/>
    </row>
    <row r="697">
      <c r="C697" s="26"/>
      <c r="D697" s="28"/>
    </row>
    <row r="698">
      <c r="C698" s="26"/>
      <c r="D698" s="28"/>
    </row>
    <row r="699">
      <c r="C699" s="26"/>
      <c r="D699" s="28"/>
    </row>
    <row r="700">
      <c r="C700" s="26"/>
      <c r="D700" s="28"/>
    </row>
    <row r="701">
      <c r="C701" s="26"/>
      <c r="D701" s="28"/>
    </row>
    <row r="702">
      <c r="C702" s="26"/>
      <c r="D702" s="28"/>
    </row>
    <row r="703">
      <c r="C703" s="26"/>
      <c r="D703" s="28"/>
    </row>
    <row r="704">
      <c r="C704" s="26"/>
      <c r="D704" s="28"/>
    </row>
    <row r="705">
      <c r="C705" s="26"/>
      <c r="D705" s="28"/>
    </row>
    <row r="706">
      <c r="C706" s="26"/>
      <c r="D706" s="28"/>
    </row>
    <row r="707">
      <c r="C707" s="26"/>
      <c r="D707" s="28"/>
    </row>
    <row r="708">
      <c r="C708" s="26"/>
      <c r="D708" s="28"/>
    </row>
    <row r="709">
      <c r="C709" s="26"/>
      <c r="D709" s="28"/>
    </row>
    <row r="710">
      <c r="C710" s="26"/>
      <c r="D710" s="28"/>
    </row>
    <row r="711">
      <c r="C711" s="26"/>
      <c r="D711" s="28"/>
    </row>
    <row r="712">
      <c r="C712" s="26"/>
      <c r="D712" s="28"/>
    </row>
    <row r="713">
      <c r="C713" s="26"/>
      <c r="D713" s="28"/>
    </row>
    <row r="714">
      <c r="C714" s="26"/>
      <c r="D714" s="28"/>
    </row>
    <row r="715">
      <c r="C715" s="26"/>
      <c r="D715" s="28"/>
    </row>
    <row r="716">
      <c r="C716" s="26"/>
      <c r="D716" s="28"/>
    </row>
    <row r="717">
      <c r="C717" s="26"/>
      <c r="D717" s="28"/>
    </row>
    <row r="718">
      <c r="C718" s="26"/>
      <c r="D718" s="28"/>
    </row>
    <row r="719">
      <c r="C719" s="26"/>
      <c r="D719" s="28"/>
    </row>
    <row r="720">
      <c r="C720" s="26"/>
      <c r="D720" s="28"/>
    </row>
    <row r="721">
      <c r="C721" s="26"/>
      <c r="D721" s="28"/>
    </row>
    <row r="722">
      <c r="C722" s="26"/>
      <c r="D722" s="28"/>
    </row>
    <row r="723">
      <c r="C723" s="26"/>
      <c r="D723" s="28"/>
    </row>
    <row r="724">
      <c r="C724" s="26"/>
      <c r="D724" s="28"/>
    </row>
    <row r="725">
      <c r="C725" s="26"/>
      <c r="D725" s="28"/>
    </row>
    <row r="726">
      <c r="C726" s="26"/>
      <c r="D726" s="28"/>
    </row>
    <row r="727">
      <c r="C727" s="26"/>
      <c r="D727" s="28"/>
    </row>
    <row r="728">
      <c r="C728" s="26"/>
      <c r="D728" s="28"/>
    </row>
    <row r="729">
      <c r="C729" s="26"/>
      <c r="D729" s="28"/>
    </row>
    <row r="730">
      <c r="C730" s="26"/>
      <c r="D730" s="28"/>
    </row>
    <row r="731">
      <c r="C731" s="26"/>
      <c r="D731" s="28"/>
    </row>
    <row r="732">
      <c r="C732" s="26"/>
      <c r="D732" s="28"/>
    </row>
    <row r="733">
      <c r="C733" s="26"/>
      <c r="D733" s="28"/>
    </row>
    <row r="734">
      <c r="C734" s="26"/>
      <c r="D734" s="28"/>
    </row>
    <row r="735">
      <c r="C735" s="26"/>
      <c r="D735" s="28"/>
    </row>
    <row r="736">
      <c r="C736" s="26"/>
      <c r="D736" s="28"/>
    </row>
    <row r="737">
      <c r="C737" s="26"/>
      <c r="D737" s="28"/>
    </row>
    <row r="738">
      <c r="C738" s="26"/>
      <c r="D738" s="28"/>
    </row>
    <row r="739">
      <c r="C739" s="26"/>
      <c r="D739" s="28"/>
    </row>
    <row r="740">
      <c r="C740" s="26"/>
      <c r="D740" s="28"/>
    </row>
    <row r="741">
      <c r="C741" s="26"/>
      <c r="D741" s="28"/>
    </row>
    <row r="742">
      <c r="C742" s="26"/>
      <c r="D742" s="28"/>
    </row>
    <row r="743">
      <c r="C743" s="26"/>
      <c r="D743" s="28"/>
    </row>
    <row r="744">
      <c r="C744" s="26"/>
      <c r="D744" s="28"/>
    </row>
    <row r="745">
      <c r="C745" s="26"/>
      <c r="D745" s="28"/>
    </row>
    <row r="746">
      <c r="C746" s="26"/>
      <c r="D746" s="28"/>
    </row>
    <row r="747">
      <c r="C747" s="26"/>
      <c r="D747" s="28"/>
    </row>
    <row r="748">
      <c r="C748" s="26"/>
      <c r="D748" s="28"/>
    </row>
    <row r="749">
      <c r="C749" s="26"/>
      <c r="D749" s="28"/>
    </row>
    <row r="750">
      <c r="C750" s="26"/>
      <c r="D750" s="28"/>
    </row>
    <row r="751">
      <c r="C751" s="26"/>
      <c r="D751" s="28"/>
    </row>
    <row r="752">
      <c r="C752" s="26"/>
      <c r="D752" s="28"/>
    </row>
    <row r="753">
      <c r="C753" s="26"/>
      <c r="D753" s="28"/>
    </row>
    <row r="754">
      <c r="C754" s="26"/>
      <c r="D754" s="28"/>
    </row>
    <row r="755">
      <c r="C755" s="26"/>
      <c r="D755" s="28"/>
    </row>
    <row r="756">
      <c r="C756" s="26"/>
      <c r="D756" s="28"/>
    </row>
    <row r="757">
      <c r="C757" s="26"/>
      <c r="D757" s="28"/>
    </row>
    <row r="758">
      <c r="C758" s="26"/>
      <c r="D758" s="28"/>
    </row>
    <row r="759">
      <c r="C759" s="26"/>
      <c r="D759" s="28"/>
    </row>
    <row r="760">
      <c r="C760" s="26"/>
      <c r="D760" s="28"/>
    </row>
    <row r="761">
      <c r="C761" s="26"/>
      <c r="D761" s="28"/>
    </row>
    <row r="762">
      <c r="C762" s="26"/>
      <c r="D762" s="28"/>
    </row>
    <row r="763">
      <c r="C763" s="26"/>
      <c r="D763" s="28"/>
    </row>
    <row r="764">
      <c r="C764" s="26"/>
      <c r="D764" s="28"/>
    </row>
    <row r="765">
      <c r="C765" s="26"/>
      <c r="D765" s="28"/>
    </row>
    <row r="766">
      <c r="C766" s="26"/>
      <c r="D766" s="28"/>
    </row>
    <row r="767">
      <c r="C767" s="26"/>
      <c r="D767" s="28"/>
    </row>
    <row r="768">
      <c r="C768" s="26"/>
      <c r="D768" s="28"/>
    </row>
    <row r="769">
      <c r="C769" s="26"/>
      <c r="D769" s="28"/>
    </row>
    <row r="770">
      <c r="C770" s="26"/>
      <c r="D770" s="28"/>
    </row>
    <row r="771">
      <c r="C771" s="26"/>
      <c r="D771" s="28"/>
    </row>
    <row r="772">
      <c r="C772" s="26"/>
      <c r="D772" s="28"/>
    </row>
    <row r="773">
      <c r="C773" s="26"/>
      <c r="D773" s="28"/>
    </row>
    <row r="774">
      <c r="C774" s="26"/>
      <c r="D774" s="28"/>
    </row>
    <row r="775">
      <c r="C775" s="26"/>
      <c r="D775" s="28"/>
    </row>
    <row r="776">
      <c r="C776" s="26"/>
      <c r="D776" s="28"/>
    </row>
    <row r="777">
      <c r="C777" s="26"/>
      <c r="D777" s="28"/>
    </row>
    <row r="778">
      <c r="C778" s="26"/>
      <c r="D778" s="28"/>
    </row>
    <row r="779">
      <c r="C779" s="26"/>
      <c r="D779" s="28"/>
    </row>
    <row r="780">
      <c r="C780" s="26"/>
      <c r="D780" s="28"/>
    </row>
    <row r="781">
      <c r="C781" s="26"/>
      <c r="D781" s="28"/>
    </row>
    <row r="782">
      <c r="C782" s="26"/>
      <c r="D782" s="28"/>
    </row>
    <row r="783">
      <c r="C783" s="26"/>
      <c r="D783" s="28"/>
    </row>
    <row r="784">
      <c r="C784" s="26"/>
      <c r="D784" s="28"/>
    </row>
    <row r="785">
      <c r="C785" s="26"/>
      <c r="D785" s="28"/>
    </row>
    <row r="786">
      <c r="C786" s="26"/>
      <c r="D786" s="28"/>
    </row>
    <row r="787">
      <c r="C787" s="26"/>
      <c r="D787" s="28"/>
    </row>
    <row r="788">
      <c r="C788" s="26"/>
      <c r="D788" s="28"/>
    </row>
    <row r="789">
      <c r="C789" s="26"/>
      <c r="D789" s="28"/>
    </row>
    <row r="790">
      <c r="C790" s="26"/>
      <c r="D790" s="28"/>
    </row>
    <row r="791">
      <c r="C791" s="26"/>
      <c r="D791" s="28"/>
    </row>
    <row r="792">
      <c r="C792" s="26"/>
      <c r="D792" s="28"/>
    </row>
    <row r="793">
      <c r="C793" s="26"/>
      <c r="D793" s="28"/>
    </row>
    <row r="794">
      <c r="C794" s="26"/>
      <c r="D794" s="28"/>
    </row>
    <row r="795">
      <c r="C795" s="26"/>
      <c r="D795" s="28"/>
    </row>
    <row r="796">
      <c r="C796" s="26"/>
      <c r="D796" s="28"/>
    </row>
    <row r="797">
      <c r="C797" s="26"/>
      <c r="D797" s="28"/>
    </row>
    <row r="798">
      <c r="C798" s="26"/>
      <c r="D798" s="28"/>
    </row>
    <row r="799">
      <c r="C799" s="26"/>
      <c r="D799" s="28"/>
    </row>
    <row r="800">
      <c r="C800" s="26"/>
      <c r="D800" s="28"/>
    </row>
    <row r="801">
      <c r="C801" s="26"/>
      <c r="D801" s="28"/>
    </row>
    <row r="802">
      <c r="C802" s="26"/>
      <c r="D802" s="28"/>
    </row>
    <row r="803">
      <c r="C803" s="26"/>
      <c r="D803" s="28"/>
    </row>
    <row r="804">
      <c r="C804" s="26"/>
      <c r="D804" s="28"/>
    </row>
    <row r="805">
      <c r="C805" s="26"/>
      <c r="D805" s="28"/>
    </row>
    <row r="806">
      <c r="C806" s="26"/>
      <c r="D806" s="28"/>
    </row>
    <row r="807">
      <c r="C807" s="26"/>
      <c r="D807" s="28"/>
    </row>
    <row r="808">
      <c r="C808" s="26"/>
      <c r="D808" s="28"/>
    </row>
    <row r="809">
      <c r="C809" s="26"/>
      <c r="D809" s="28"/>
    </row>
    <row r="810">
      <c r="C810" s="26"/>
      <c r="D810" s="28"/>
    </row>
    <row r="811">
      <c r="C811" s="26"/>
      <c r="D811" s="28"/>
    </row>
    <row r="812">
      <c r="C812" s="26"/>
      <c r="D812" s="28"/>
    </row>
    <row r="813">
      <c r="C813" s="26"/>
      <c r="D813" s="28"/>
    </row>
    <row r="814">
      <c r="C814" s="26"/>
      <c r="D814" s="28"/>
    </row>
    <row r="815">
      <c r="C815" s="26"/>
      <c r="D815" s="28"/>
    </row>
    <row r="816">
      <c r="C816" s="26"/>
      <c r="D816" s="28"/>
    </row>
    <row r="817">
      <c r="C817" s="26"/>
      <c r="D817" s="28"/>
    </row>
    <row r="818">
      <c r="C818" s="26"/>
      <c r="D818" s="28"/>
    </row>
    <row r="819">
      <c r="C819" s="26"/>
      <c r="D819" s="28"/>
    </row>
    <row r="820">
      <c r="C820" s="26"/>
      <c r="D820" s="28"/>
    </row>
    <row r="821">
      <c r="C821" s="26"/>
      <c r="D821" s="28"/>
    </row>
    <row r="822">
      <c r="C822" s="26"/>
      <c r="D822" s="28"/>
    </row>
    <row r="823">
      <c r="C823" s="26"/>
      <c r="D823" s="28"/>
    </row>
    <row r="824">
      <c r="C824" s="26"/>
      <c r="D824" s="28"/>
    </row>
    <row r="825">
      <c r="C825" s="26"/>
      <c r="D825" s="28"/>
    </row>
    <row r="826">
      <c r="C826" s="26"/>
      <c r="D826" s="28"/>
    </row>
    <row r="827">
      <c r="C827" s="26"/>
      <c r="D827" s="28"/>
    </row>
    <row r="828">
      <c r="C828" s="26"/>
      <c r="D828" s="28"/>
    </row>
    <row r="829">
      <c r="C829" s="26"/>
      <c r="D829" s="28"/>
    </row>
    <row r="830">
      <c r="C830" s="26"/>
      <c r="D830" s="28"/>
    </row>
    <row r="831">
      <c r="C831" s="26"/>
      <c r="D831" s="28"/>
    </row>
    <row r="832">
      <c r="C832" s="26"/>
      <c r="D832" s="28"/>
    </row>
    <row r="833">
      <c r="C833" s="26"/>
      <c r="D833" s="28"/>
    </row>
    <row r="834">
      <c r="C834" s="26"/>
      <c r="D834" s="28"/>
    </row>
    <row r="835">
      <c r="C835" s="26"/>
      <c r="D835" s="28"/>
    </row>
    <row r="836">
      <c r="C836" s="26"/>
      <c r="D836" s="28"/>
    </row>
    <row r="837">
      <c r="C837" s="26"/>
      <c r="D837" s="28"/>
    </row>
    <row r="838">
      <c r="C838" s="26"/>
      <c r="D838" s="28"/>
    </row>
    <row r="839">
      <c r="C839" s="26"/>
      <c r="D839" s="28"/>
    </row>
    <row r="840">
      <c r="C840" s="26"/>
      <c r="D840" s="28"/>
    </row>
    <row r="841">
      <c r="C841" s="26"/>
      <c r="D841" s="28"/>
    </row>
    <row r="842">
      <c r="C842" s="26"/>
      <c r="D842" s="28"/>
    </row>
    <row r="843">
      <c r="C843" s="26"/>
      <c r="D843" s="28"/>
    </row>
    <row r="844">
      <c r="C844" s="26"/>
      <c r="D844" s="28"/>
    </row>
    <row r="845">
      <c r="C845" s="26"/>
      <c r="D845" s="28"/>
    </row>
    <row r="846">
      <c r="C846" s="26"/>
      <c r="D846" s="28"/>
    </row>
    <row r="847">
      <c r="C847" s="26"/>
      <c r="D847" s="28"/>
    </row>
    <row r="848">
      <c r="C848" s="26"/>
      <c r="D848" s="28"/>
    </row>
    <row r="849">
      <c r="C849" s="26"/>
      <c r="D849" s="28"/>
    </row>
    <row r="850">
      <c r="C850" s="26"/>
      <c r="D850" s="28"/>
    </row>
    <row r="851">
      <c r="C851" s="26"/>
      <c r="D851" s="28"/>
    </row>
    <row r="852">
      <c r="C852" s="26"/>
      <c r="D852" s="28"/>
    </row>
    <row r="853">
      <c r="C853" s="26"/>
      <c r="D853" s="28"/>
    </row>
    <row r="854">
      <c r="C854" s="26"/>
      <c r="D854" s="28"/>
    </row>
    <row r="855">
      <c r="C855" s="26"/>
      <c r="D855" s="28"/>
    </row>
    <row r="856">
      <c r="C856" s="26"/>
      <c r="D856" s="28"/>
    </row>
    <row r="857">
      <c r="C857" s="26"/>
      <c r="D857" s="28"/>
    </row>
    <row r="858">
      <c r="C858" s="26"/>
      <c r="D858" s="28"/>
    </row>
    <row r="859">
      <c r="C859" s="26"/>
      <c r="D859" s="28"/>
    </row>
    <row r="860">
      <c r="C860" s="26"/>
      <c r="D860" s="28"/>
    </row>
    <row r="861">
      <c r="C861" s="26"/>
      <c r="D861" s="28"/>
    </row>
    <row r="862">
      <c r="C862" s="26"/>
      <c r="D862" s="28"/>
    </row>
    <row r="863">
      <c r="C863" s="26"/>
      <c r="D863" s="28"/>
    </row>
    <row r="864">
      <c r="C864" s="26"/>
      <c r="D864" s="28"/>
    </row>
    <row r="865">
      <c r="C865" s="26"/>
      <c r="D865" s="28"/>
    </row>
    <row r="866">
      <c r="C866" s="26"/>
      <c r="D866" s="28"/>
    </row>
    <row r="867">
      <c r="C867" s="26"/>
      <c r="D867" s="28"/>
    </row>
    <row r="868">
      <c r="C868" s="26"/>
      <c r="D868" s="28"/>
    </row>
    <row r="869">
      <c r="C869" s="26"/>
      <c r="D869" s="28"/>
    </row>
    <row r="870">
      <c r="C870" s="26"/>
      <c r="D870" s="28"/>
    </row>
    <row r="871">
      <c r="C871" s="26"/>
      <c r="D871" s="28"/>
    </row>
    <row r="872">
      <c r="C872" s="26"/>
      <c r="D872" s="28"/>
    </row>
    <row r="873">
      <c r="C873" s="26"/>
      <c r="D873" s="28"/>
    </row>
    <row r="874">
      <c r="C874" s="26"/>
      <c r="D874" s="28"/>
    </row>
    <row r="875">
      <c r="C875" s="26"/>
      <c r="D875" s="28"/>
    </row>
    <row r="876">
      <c r="C876" s="26"/>
      <c r="D876" s="28"/>
    </row>
    <row r="877">
      <c r="C877" s="26"/>
      <c r="D877" s="28"/>
    </row>
    <row r="878">
      <c r="C878" s="26"/>
      <c r="D878" s="28"/>
    </row>
    <row r="879">
      <c r="C879" s="26"/>
      <c r="D879" s="28"/>
    </row>
    <row r="880">
      <c r="C880" s="26"/>
      <c r="D880" s="28"/>
    </row>
    <row r="881">
      <c r="C881" s="26"/>
      <c r="D881" s="28"/>
    </row>
    <row r="882">
      <c r="C882" s="26"/>
      <c r="D882" s="28"/>
    </row>
    <row r="883">
      <c r="C883" s="26"/>
      <c r="D883" s="28"/>
    </row>
    <row r="884">
      <c r="C884" s="26"/>
      <c r="D884" s="28"/>
    </row>
    <row r="885">
      <c r="C885" s="26"/>
      <c r="D885" s="28"/>
    </row>
    <row r="886">
      <c r="C886" s="26"/>
      <c r="D886" s="28"/>
    </row>
    <row r="887">
      <c r="C887" s="26"/>
      <c r="D887" s="28"/>
    </row>
    <row r="888">
      <c r="C888" s="26"/>
      <c r="D888" s="28"/>
    </row>
    <row r="889">
      <c r="C889" s="26"/>
      <c r="D889" s="28"/>
    </row>
    <row r="890">
      <c r="C890" s="26"/>
      <c r="D890" s="28"/>
    </row>
    <row r="891">
      <c r="C891" s="26"/>
      <c r="D891" s="28"/>
    </row>
    <row r="892">
      <c r="C892" s="26"/>
      <c r="D892" s="28"/>
    </row>
    <row r="893">
      <c r="C893" s="26"/>
      <c r="D893" s="28"/>
    </row>
    <row r="894">
      <c r="C894" s="26"/>
      <c r="D894" s="28"/>
    </row>
    <row r="895">
      <c r="C895" s="26"/>
      <c r="D895" s="28"/>
    </row>
    <row r="896">
      <c r="C896" s="26"/>
      <c r="D896" s="28"/>
    </row>
    <row r="897">
      <c r="C897" s="26"/>
      <c r="D897" s="28"/>
    </row>
    <row r="898">
      <c r="C898" s="26"/>
      <c r="D898" s="28"/>
    </row>
    <row r="899">
      <c r="C899" s="26"/>
      <c r="D899" s="28"/>
    </row>
    <row r="900">
      <c r="C900" s="26"/>
      <c r="D900" s="28"/>
    </row>
    <row r="901">
      <c r="C901" s="26"/>
      <c r="D901" s="28"/>
    </row>
    <row r="902">
      <c r="C902" s="26"/>
      <c r="D902" s="28"/>
    </row>
    <row r="903">
      <c r="C903" s="26"/>
      <c r="D903" s="28"/>
    </row>
    <row r="904">
      <c r="C904" s="26"/>
      <c r="D904" s="28"/>
    </row>
    <row r="905">
      <c r="C905" s="26"/>
      <c r="D905" s="28"/>
    </row>
    <row r="906">
      <c r="C906" s="26"/>
      <c r="D906" s="28"/>
    </row>
    <row r="907">
      <c r="C907" s="26"/>
      <c r="D907" s="28"/>
    </row>
    <row r="908">
      <c r="C908" s="26"/>
      <c r="D908" s="28"/>
    </row>
    <row r="909">
      <c r="C909" s="26"/>
      <c r="D909" s="28"/>
    </row>
    <row r="910">
      <c r="C910" s="26"/>
      <c r="D910" s="28"/>
    </row>
    <row r="911">
      <c r="C911" s="26"/>
      <c r="D911" s="28"/>
    </row>
    <row r="912">
      <c r="C912" s="26"/>
      <c r="D912" s="28"/>
    </row>
    <row r="913">
      <c r="C913" s="26"/>
      <c r="D913" s="28"/>
    </row>
    <row r="914">
      <c r="C914" s="26"/>
      <c r="D914" s="28"/>
    </row>
    <row r="915">
      <c r="C915" s="26"/>
      <c r="D915" s="28"/>
    </row>
    <row r="916">
      <c r="C916" s="26"/>
      <c r="D916" s="28"/>
    </row>
    <row r="917">
      <c r="C917" s="26"/>
      <c r="D917" s="28"/>
    </row>
    <row r="918">
      <c r="C918" s="26"/>
      <c r="D918" s="28"/>
    </row>
    <row r="919">
      <c r="C919" s="26"/>
      <c r="D919" s="28"/>
    </row>
    <row r="920">
      <c r="C920" s="26"/>
      <c r="D920" s="28"/>
    </row>
    <row r="921">
      <c r="C921" s="26"/>
      <c r="D921" s="28"/>
    </row>
    <row r="922">
      <c r="C922" s="26"/>
      <c r="D922" s="28"/>
    </row>
    <row r="923">
      <c r="C923" s="26"/>
      <c r="D923" s="28"/>
    </row>
    <row r="924">
      <c r="C924" s="26"/>
      <c r="D924" s="28"/>
    </row>
    <row r="925">
      <c r="C925" s="26"/>
      <c r="D925" s="28"/>
    </row>
    <row r="926">
      <c r="C926" s="26"/>
      <c r="D926" s="28"/>
    </row>
    <row r="927">
      <c r="C927" s="26"/>
      <c r="D927" s="28"/>
    </row>
    <row r="928">
      <c r="C928" s="26"/>
      <c r="D928" s="28"/>
    </row>
    <row r="929">
      <c r="C929" s="26"/>
      <c r="D929" s="28"/>
    </row>
    <row r="930">
      <c r="C930" s="26"/>
      <c r="D930" s="28"/>
    </row>
    <row r="931">
      <c r="C931" s="26"/>
      <c r="D931" s="28"/>
    </row>
    <row r="932">
      <c r="C932" s="26"/>
      <c r="D932" s="28"/>
    </row>
    <row r="933">
      <c r="C933" s="26"/>
      <c r="D933" s="28"/>
    </row>
    <row r="934">
      <c r="C934" s="26"/>
      <c r="D934" s="28"/>
    </row>
    <row r="935">
      <c r="C935" s="26"/>
      <c r="D935" s="28"/>
    </row>
    <row r="936">
      <c r="C936" s="26"/>
      <c r="D936" s="28"/>
    </row>
    <row r="937">
      <c r="C937" s="26"/>
      <c r="D937" s="28"/>
    </row>
    <row r="938">
      <c r="C938" s="26"/>
      <c r="D938" s="28"/>
    </row>
    <row r="939">
      <c r="C939" s="26"/>
      <c r="D939" s="28"/>
    </row>
    <row r="940">
      <c r="C940" s="26"/>
      <c r="D940" s="28"/>
    </row>
    <row r="941">
      <c r="C941" s="26"/>
      <c r="D941" s="28"/>
    </row>
    <row r="942">
      <c r="C942" s="26"/>
      <c r="D942" s="28"/>
    </row>
    <row r="943">
      <c r="C943" s="26"/>
      <c r="D943" s="28"/>
    </row>
    <row r="944">
      <c r="C944" s="26"/>
      <c r="D944" s="28"/>
    </row>
    <row r="945">
      <c r="C945" s="26"/>
      <c r="D945" s="28"/>
    </row>
    <row r="946">
      <c r="C946" s="26"/>
      <c r="D946" s="28"/>
    </row>
    <row r="947">
      <c r="C947" s="26"/>
      <c r="D947" s="28"/>
    </row>
    <row r="948">
      <c r="C948" s="26"/>
      <c r="D948" s="28"/>
    </row>
    <row r="949">
      <c r="C949" s="26"/>
      <c r="D949" s="28"/>
    </row>
    <row r="950">
      <c r="C950" s="26"/>
      <c r="D950" s="28"/>
    </row>
    <row r="951">
      <c r="C951" s="26"/>
      <c r="D951" s="28"/>
    </row>
    <row r="952">
      <c r="C952" s="26"/>
      <c r="D952" s="28"/>
    </row>
    <row r="953">
      <c r="C953" s="26"/>
      <c r="D953" s="28"/>
    </row>
    <row r="954">
      <c r="C954" s="26"/>
      <c r="D954" s="28"/>
    </row>
    <row r="955">
      <c r="C955" s="26"/>
      <c r="D955" s="28"/>
    </row>
    <row r="956">
      <c r="C956" s="26"/>
      <c r="D956" s="28"/>
    </row>
    <row r="957">
      <c r="C957" s="26"/>
      <c r="D957" s="28"/>
    </row>
    <row r="958">
      <c r="C958" s="26"/>
      <c r="D958" s="28"/>
    </row>
    <row r="959">
      <c r="C959" s="26"/>
      <c r="D959" s="28"/>
    </row>
    <row r="960">
      <c r="C960" s="26"/>
      <c r="D960" s="28"/>
    </row>
    <row r="961">
      <c r="C961" s="26"/>
      <c r="D961" s="28"/>
    </row>
    <row r="962">
      <c r="C962" s="26"/>
      <c r="D962" s="28"/>
    </row>
    <row r="963">
      <c r="C963" s="26"/>
      <c r="D963" s="28"/>
    </row>
    <row r="964">
      <c r="C964" s="26"/>
      <c r="D964" s="28"/>
    </row>
    <row r="965">
      <c r="C965" s="26"/>
      <c r="D965" s="28"/>
    </row>
    <row r="966">
      <c r="C966" s="26"/>
      <c r="D966" s="28"/>
    </row>
    <row r="967">
      <c r="C967" s="26"/>
      <c r="D967" s="28"/>
    </row>
    <row r="968">
      <c r="C968" s="26"/>
      <c r="D968" s="28"/>
    </row>
    <row r="969">
      <c r="C969" s="26"/>
      <c r="D969" s="28"/>
    </row>
    <row r="970">
      <c r="C970" s="26"/>
      <c r="D970" s="28"/>
    </row>
    <row r="971">
      <c r="C971" s="26"/>
      <c r="D971" s="28"/>
    </row>
    <row r="972">
      <c r="C972" s="26"/>
      <c r="D972" s="28"/>
    </row>
    <row r="973">
      <c r="C973" s="26"/>
      <c r="D973" s="28"/>
    </row>
    <row r="974">
      <c r="C974" s="26"/>
      <c r="D974" s="28"/>
    </row>
    <row r="975">
      <c r="C975" s="26"/>
      <c r="D975" s="28"/>
    </row>
    <row r="976">
      <c r="C976" s="26"/>
      <c r="D976" s="28"/>
    </row>
    <row r="977">
      <c r="C977" s="26"/>
      <c r="D977" s="28"/>
    </row>
    <row r="978">
      <c r="C978" s="26"/>
      <c r="D978" s="28"/>
    </row>
    <row r="979">
      <c r="C979" s="26"/>
      <c r="D979" s="28"/>
    </row>
    <row r="980">
      <c r="C980" s="26"/>
      <c r="D980" s="28"/>
    </row>
    <row r="981">
      <c r="C981" s="26"/>
      <c r="D981" s="28"/>
    </row>
    <row r="982">
      <c r="C982" s="26"/>
      <c r="D982" s="28"/>
    </row>
    <row r="983">
      <c r="C983" s="26"/>
      <c r="D983" s="28"/>
    </row>
    <row r="984">
      <c r="C984" s="26"/>
      <c r="D984" s="28"/>
    </row>
    <row r="985">
      <c r="C985" s="26"/>
      <c r="D985" s="28"/>
    </row>
    <row r="986">
      <c r="C986" s="26"/>
      <c r="D986" s="28"/>
    </row>
    <row r="987">
      <c r="C987" s="26"/>
      <c r="D987" s="28"/>
    </row>
    <row r="988">
      <c r="C988" s="26"/>
      <c r="D988" s="28"/>
    </row>
    <row r="989">
      <c r="C989" s="26"/>
      <c r="D989" s="28"/>
    </row>
    <row r="990">
      <c r="C990" s="26"/>
      <c r="D990" s="28"/>
    </row>
    <row r="991">
      <c r="C991" s="26"/>
      <c r="D991" s="28"/>
    </row>
    <row r="992">
      <c r="C992" s="26"/>
      <c r="D992" s="28"/>
    </row>
    <row r="993">
      <c r="C993" s="26"/>
      <c r="D993" s="28"/>
    </row>
    <row r="994">
      <c r="C994" s="26"/>
      <c r="D994" s="28"/>
    </row>
    <row r="995">
      <c r="C995" s="26"/>
      <c r="D995" s="28"/>
    </row>
    <row r="996">
      <c r="C996" s="26"/>
      <c r="D996" s="28"/>
    </row>
    <row r="997">
      <c r="C997" s="26"/>
      <c r="D997" s="28"/>
    </row>
    <row r="998">
      <c r="C998" s="26"/>
      <c r="D998" s="28"/>
    </row>
    <row r="999">
      <c r="C999" s="26"/>
      <c r="D999" s="28"/>
    </row>
    <row r="1000">
      <c r="C1000" s="26"/>
      <c r="D1000" s="28"/>
    </row>
  </sheetData>
  <dataValidations>
    <dataValidation type="list" allowBlank="1" showErrorMessage="1" sqref="D2:D101">
      <formula1>"TO DO,TRUE,FALSE,SKIP"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21.75"/>
    <col customWidth="1" min="4" max="4" width="19.75"/>
    <col customWidth="1" min="5" max="5" width="60.63"/>
  </cols>
  <sheetData>
    <row r="1">
      <c r="A1" s="20" t="s">
        <v>70</v>
      </c>
      <c r="B1" s="20" t="s">
        <v>71</v>
      </c>
      <c r="C1" s="21" t="s">
        <v>72</v>
      </c>
      <c r="D1" s="22" t="s">
        <v>73</v>
      </c>
      <c r="E1" s="15" t="s">
        <v>74</v>
      </c>
    </row>
    <row r="2">
      <c r="A2" s="23" t="s">
        <v>305</v>
      </c>
      <c r="B2" s="23" t="s">
        <v>308</v>
      </c>
      <c r="C2" s="24" t="s">
        <v>309</v>
      </c>
      <c r="D2" s="25" t="s">
        <v>366</v>
      </c>
    </row>
    <row r="3">
      <c r="A3" s="23" t="s">
        <v>256</v>
      </c>
      <c r="B3" s="23" t="s">
        <v>257</v>
      </c>
      <c r="C3" s="24" t="s">
        <v>258</v>
      </c>
      <c r="D3" s="25" t="s">
        <v>366</v>
      </c>
    </row>
    <row r="4">
      <c r="A4" s="23" t="s">
        <v>228</v>
      </c>
      <c r="B4" s="23" t="s">
        <v>229</v>
      </c>
      <c r="C4" s="24" t="s">
        <v>230</v>
      </c>
      <c r="D4" s="25" t="s">
        <v>366</v>
      </c>
    </row>
    <row r="5">
      <c r="A5" s="23" t="s">
        <v>129</v>
      </c>
      <c r="B5" s="23" t="s">
        <v>130</v>
      </c>
      <c r="C5" s="24" t="s">
        <v>131</v>
      </c>
      <c r="D5" s="25" t="s">
        <v>366</v>
      </c>
    </row>
    <row r="6">
      <c r="A6" s="23" t="s">
        <v>278</v>
      </c>
      <c r="B6" s="23" t="s">
        <v>279</v>
      </c>
      <c r="C6" s="24" t="s">
        <v>280</v>
      </c>
      <c r="D6" s="25" t="s">
        <v>366</v>
      </c>
    </row>
    <row r="7">
      <c r="A7" s="23" t="s">
        <v>85</v>
      </c>
      <c r="B7" s="23" t="s">
        <v>86</v>
      </c>
      <c r="C7" s="24" t="s">
        <v>87</v>
      </c>
      <c r="D7" s="25" t="s">
        <v>366</v>
      </c>
    </row>
    <row r="8">
      <c r="A8" s="23" t="s">
        <v>266</v>
      </c>
      <c r="B8" s="23" t="s">
        <v>267</v>
      </c>
      <c r="C8" s="24" t="s">
        <v>268</v>
      </c>
      <c r="D8" s="25" t="s">
        <v>366</v>
      </c>
    </row>
    <row r="9">
      <c r="A9" s="23" t="s">
        <v>153</v>
      </c>
      <c r="B9" s="23" t="s">
        <v>154</v>
      </c>
      <c r="C9" s="24" t="s">
        <v>155</v>
      </c>
      <c r="D9" s="25" t="s">
        <v>366</v>
      </c>
    </row>
    <row r="10">
      <c r="A10" s="23" t="s">
        <v>251</v>
      </c>
      <c r="B10" s="23" t="s">
        <v>317</v>
      </c>
      <c r="C10" s="24" t="s">
        <v>318</v>
      </c>
      <c r="D10" s="25" t="s">
        <v>366</v>
      </c>
    </row>
    <row r="11">
      <c r="A11" s="23" t="s">
        <v>112</v>
      </c>
      <c r="B11" s="23" t="s">
        <v>113</v>
      </c>
      <c r="C11" s="24" t="s">
        <v>114</v>
      </c>
      <c r="D11" s="25" t="s">
        <v>366</v>
      </c>
    </row>
    <row r="12">
      <c r="A12" s="23" t="s">
        <v>177</v>
      </c>
      <c r="B12" s="23" t="s">
        <v>178</v>
      </c>
      <c r="C12" s="24" t="s">
        <v>179</v>
      </c>
      <c r="D12" s="25" t="s">
        <v>366</v>
      </c>
    </row>
    <row r="13">
      <c r="A13" s="23" t="s">
        <v>106</v>
      </c>
      <c r="B13" s="23" t="s">
        <v>107</v>
      </c>
      <c r="C13" s="24" t="s">
        <v>108</v>
      </c>
      <c r="D13" s="25" t="s">
        <v>366</v>
      </c>
    </row>
    <row r="14">
      <c r="A14" s="23" t="s">
        <v>344</v>
      </c>
      <c r="B14" s="23" t="s">
        <v>345</v>
      </c>
      <c r="C14" s="24" t="s">
        <v>346</v>
      </c>
      <c r="D14" s="25" t="s">
        <v>366</v>
      </c>
    </row>
    <row r="15">
      <c r="A15" s="23" t="s">
        <v>192</v>
      </c>
      <c r="B15" s="23" t="s">
        <v>193</v>
      </c>
      <c r="C15" s="24" t="s">
        <v>194</v>
      </c>
      <c r="D15" s="25" t="s">
        <v>366</v>
      </c>
    </row>
    <row r="16">
      <c r="A16" s="23" t="s">
        <v>109</v>
      </c>
      <c r="B16" s="23" t="s">
        <v>269</v>
      </c>
      <c r="C16" s="24" t="s">
        <v>270</v>
      </c>
      <c r="D16" s="25" t="s">
        <v>366</v>
      </c>
    </row>
    <row r="17">
      <c r="A17" s="23" t="s">
        <v>234</v>
      </c>
      <c r="B17" s="23" t="s">
        <v>235</v>
      </c>
      <c r="C17" s="24" t="s">
        <v>236</v>
      </c>
      <c r="D17" s="25" t="s">
        <v>366</v>
      </c>
    </row>
    <row r="18">
      <c r="A18" s="23" t="s">
        <v>243</v>
      </c>
      <c r="B18" s="23" t="s">
        <v>313</v>
      </c>
      <c r="C18" s="24" t="s">
        <v>314</v>
      </c>
      <c r="D18" s="25" t="s">
        <v>366</v>
      </c>
    </row>
    <row r="19">
      <c r="A19" s="23" t="s">
        <v>300</v>
      </c>
      <c r="B19" s="23" t="s">
        <v>301</v>
      </c>
      <c r="C19" s="24" t="s">
        <v>302</v>
      </c>
      <c r="D19" s="25" t="s">
        <v>366</v>
      </c>
    </row>
    <row r="20">
      <c r="A20" s="23" t="s">
        <v>126</v>
      </c>
      <c r="B20" s="23" t="s">
        <v>127</v>
      </c>
      <c r="C20" s="24" t="s">
        <v>128</v>
      </c>
      <c r="D20" s="25" t="s">
        <v>366</v>
      </c>
    </row>
    <row r="21">
      <c r="A21" s="23" t="s">
        <v>101</v>
      </c>
      <c r="B21" s="23" t="s">
        <v>102</v>
      </c>
      <c r="C21" s="24" t="s">
        <v>103</v>
      </c>
      <c r="D21" s="25" t="s">
        <v>366</v>
      </c>
    </row>
    <row r="22">
      <c r="A22" s="23" t="s">
        <v>287</v>
      </c>
      <c r="B22" s="23" t="s">
        <v>288</v>
      </c>
      <c r="C22" s="24" t="s">
        <v>289</v>
      </c>
      <c r="D22" s="25" t="s">
        <v>366</v>
      </c>
    </row>
    <row r="23">
      <c r="A23" s="23" t="s">
        <v>165</v>
      </c>
      <c r="B23" s="23" t="s">
        <v>166</v>
      </c>
      <c r="C23" s="24" t="s">
        <v>167</v>
      </c>
      <c r="D23" s="25" t="s">
        <v>366</v>
      </c>
    </row>
    <row r="24">
      <c r="A24" s="23" t="s">
        <v>239</v>
      </c>
      <c r="B24" s="23" t="s">
        <v>240</v>
      </c>
      <c r="C24" s="24" t="s">
        <v>241</v>
      </c>
      <c r="D24" s="25" t="s">
        <v>366</v>
      </c>
    </row>
    <row r="25">
      <c r="A25" s="23" t="s">
        <v>335</v>
      </c>
      <c r="B25" s="23" t="s">
        <v>336</v>
      </c>
      <c r="C25" s="24" t="s">
        <v>337</v>
      </c>
      <c r="D25" s="25" t="s">
        <v>366</v>
      </c>
    </row>
    <row r="26">
      <c r="A26" s="23" t="s">
        <v>347</v>
      </c>
      <c r="B26" s="23" t="s">
        <v>348</v>
      </c>
      <c r="C26" s="24" t="s">
        <v>349</v>
      </c>
      <c r="D26" s="25" t="s">
        <v>366</v>
      </c>
    </row>
    <row r="27">
      <c r="A27" s="23" t="s">
        <v>290</v>
      </c>
      <c r="B27" s="23" t="s">
        <v>291</v>
      </c>
      <c r="C27" s="24" t="s">
        <v>292</v>
      </c>
      <c r="D27" s="25" t="s">
        <v>366</v>
      </c>
    </row>
    <row r="28">
      <c r="A28" s="23" t="s">
        <v>225</v>
      </c>
      <c r="B28" s="23" t="s">
        <v>226</v>
      </c>
      <c r="C28" s="24" t="s">
        <v>227</v>
      </c>
      <c r="D28" s="25" t="s">
        <v>366</v>
      </c>
    </row>
    <row r="29">
      <c r="A29" s="23" t="s">
        <v>109</v>
      </c>
      <c r="B29" s="23" t="s">
        <v>261</v>
      </c>
      <c r="C29" s="24" t="s">
        <v>262</v>
      </c>
      <c r="D29" s="25" t="s">
        <v>366</v>
      </c>
    </row>
    <row r="30">
      <c r="A30" s="23" t="s">
        <v>222</v>
      </c>
      <c r="B30" s="23" t="s">
        <v>223</v>
      </c>
      <c r="C30" s="24" t="s">
        <v>224</v>
      </c>
      <c r="D30" s="25" t="s">
        <v>366</v>
      </c>
    </row>
    <row r="31">
      <c r="A31" s="23" t="s">
        <v>141</v>
      </c>
      <c r="B31" s="23" t="s">
        <v>142</v>
      </c>
      <c r="C31" s="24" t="s">
        <v>143</v>
      </c>
      <c r="D31" s="25" t="s">
        <v>366</v>
      </c>
    </row>
    <row r="32">
      <c r="A32" s="23" t="s">
        <v>119</v>
      </c>
      <c r="B32" s="23" t="s">
        <v>120</v>
      </c>
      <c r="C32" s="24" t="s">
        <v>121</v>
      </c>
      <c r="D32" s="25" t="s">
        <v>366</v>
      </c>
    </row>
    <row r="33">
      <c r="A33" s="23" t="s">
        <v>174</v>
      </c>
      <c r="B33" s="23" t="s">
        <v>175</v>
      </c>
      <c r="C33" s="24" t="s">
        <v>176</v>
      </c>
      <c r="D33" s="25" t="s">
        <v>366</v>
      </c>
    </row>
    <row r="34">
      <c r="A34" s="23" t="s">
        <v>209</v>
      </c>
      <c r="B34" s="23" t="s">
        <v>210</v>
      </c>
      <c r="C34" s="24" t="s">
        <v>211</v>
      </c>
      <c r="D34" s="25" t="s">
        <v>366</v>
      </c>
    </row>
    <row r="35">
      <c r="A35" s="23" t="s">
        <v>162</v>
      </c>
      <c r="B35" s="23" t="s">
        <v>163</v>
      </c>
      <c r="C35" s="24" t="s">
        <v>164</v>
      </c>
      <c r="D35" s="25" t="s">
        <v>366</v>
      </c>
    </row>
    <row r="36">
      <c r="A36" s="23" t="s">
        <v>319</v>
      </c>
      <c r="B36" s="23" t="s">
        <v>320</v>
      </c>
      <c r="C36" s="24" t="s">
        <v>321</v>
      </c>
      <c r="D36" s="25" t="s">
        <v>366</v>
      </c>
    </row>
    <row r="37">
      <c r="A37" s="23" t="s">
        <v>138</v>
      </c>
      <c r="B37" s="23" t="s">
        <v>139</v>
      </c>
      <c r="C37" s="24" t="s">
        <v>140</v>
      </c>
      <c r="D37" s="25" t="s">
        <v>366</v>
      </c>
    </row>
    <row r="38">
      <c r="A38" s="23" t="s">
        <v>174</v>
      </c>
      <c r="B38" s="23" t="s">
        <v>214</v>
      </c>
      <c r="C38" s="24" t="s">
        <v>215</v>
      </c>
      <c r="D38" s="25" t="s">
        <v>366</v>
      </c>
    </row>
    <row r="39">
      <c r="A39" s="23" t="s">
        <v>203</v>
      </c>
      <c r="B39" s="23" t="s">
        <v>204</v>
      </c>
      <c r="C39" s="24" t="s">
        <v>205</v>
      </c>
      <c r="D39" s="25" t="s">
        <v>366</v>
      </c>
    </row>
    <row r="40">
      <c r="A40" s="23" t="s">
        <v>284</v>
      </c>
      <c r="B40" s="23" t="s">
        <v>285</v>
      </c>
      <c r="C40" s="24" t="s">
        <v>286</v>
      </c>
      <c r="D40" s="25" t="s">
        <v>366</v>
      </c>
    </row>
    <row r="41">
      <c r="A41" s="23" t="s">
        <v>171</v>
      </c>
      <c r="B41" s="23" t="s">
        <v>172</v>
      </c>
      <c r="C41" s="24" t="s">
        <v>173</v>
      </c>
      <c r="D41" s="25" t="s">
        <v>366</v>
      </c>
    </row>
    <row r="42">
      <c r="A42" s="23" t="s">
        <v>263</v>
      </c>
      <c r="B42" s="23" t="s">
        <v>264</v>
      </c>
      <c r="C42" s="24" t="s">
        <v>265</v>
      </c>
      <c r="D42" s="25" t="s">
        <v>366</v>
      </c>
    </row>
    <row r="43">
      <c r="A43" s="23" t="s">
        <v>183</v>
      </c>
      <c r="B43" s="23" t="s">
        <v>184</v>
      </c>
      <c r="C43" s="24" t="s">
        <v>185</v>
      </c>
      <c r="D43" s="25" t="s">
        <v>366</v>
      </c>
    </row>
    <row r="44">
      <c r="A44" s="23" t="s">
        <v>355</v>
      </c>
      <c r="B44" s="23" t="s">
        <v>356</v>
      </c>
      <c r="C44" s="24" t="s">
        <v>357</v>
      </c>
      <c r="D44" s="25" t="s">
        <v>366</v>
      </c>
    </row>
    <row r="45">
      <c r="A45" s="23" t="s">
        <v>295</v>
      </c>
      <c r="B45" s="23" t="s">
        <v>322</v>
      </c>
      <c r="C45" s="24" t="s">
        <v>323</v>
      </c>
      <c r="D45" s="25" t="s">
        <v>366</v>
      </c>
    </row>
    <row r="46">
      <c r="A46" s="23" t="s">
        <v>156</v>
      </c>
      <c r="B46" s="23" t="s">
        <v>157</v>
      </c>
      <c r="C46" s="24" t="s">
        <v>158</v>
      </c>
      <c r="D46" s="25" t="s">
        <v>366</v>
      </c>
    </row>
    <row r="47">
      <c r="A47" s="23" t="s">
        <v>165</v>
      </c>
      <c r="B47" s="23" t="s">
        <v>293</v>
      </c>
      <c r="C47" s="24" t="s">
        <v>294</v>
      </c>
      <c r="D47" s="25" t="s">
        <v>366</v>
      </c>
    </row>
    <row r="48">
      <c r="A48" s="23" t="s">
        <v>281</v>
      </c>
      <c r="B48" s="23" t="s">
        <v>282</v>
      </c>
      <c r="C48" s="24" t="s">
        <v>283</v>
      </c>
      <c r="D48" s="25" t="s">
        <v>366</v>
      </c>
    </row>
    <row r="49">
      <c r="A49" s="23" t="s">
        <v>330</v>
      </c>
      <c r="B49" s="23" t="s">
        <v>331</v>
      </c>
      <c r="C49" s="24" t="s">
        <v>332</v>
      </c>
      <c r="D49" s="25" t="s">
        <v>366</v>
      </c>
    </row>
    <row r="50">
      <c r="A50" s="23" t="s">
        <v>78</v>
      </c>
      <c r="B50" s="23" t="s">
        <v>79</v>
      </c>
      <c r="C50" s="24" t="s">
        <v>80</v>
      </c>
      <c r="D50" s="25" t="s">
        <v>366</v>
      </c>
    </row>
    <row r="51">
      <c r="A51" s="23" t="s">
        <v>75</v>
      </c>
      <c r="B51" s="23" t="s">
        <v>76</v>
      </c>
      <c r="C51" s="24" t="s">
        <v>77</v>
      </c>
      <c r="D51" s="25" t="s">
        <v>366</v>
      </c>
    </row>
    <row r="52">
      <c r="A52" s="23" t="s">
        <v>115</v>
      </c>
      <c r="B52" s="23" t="s">
        <v>116</v>
      </c>
      <c r="C52" s="24" t="s">
        <v>117</v>
      </c>
      <c r="D52" s="25" t="s">
        <v>366</v>
      </c>
    </row>
    <row r="53">
      <c r="A53" s="23" t="s">
        <v>231</v>
      </c>
      <c r="B53" s="23" t="s">
        <v>232</v>
      </c>
      <c r="C53" s="24" t="s">
        <v>233</v>
      </c>
      <c r="D53" s="25" t="s">
        <v>366</v>
      </c>
    </row>
    <row r="54">
      <c r="A54" s="23" t="s">
        <v>78</v>
      </c>
      <c r="B54" s="23" t="s">
        <v>136</v>
      </c>
      <c r="C54" s="24" t="s">
        <v>137</v>
      </c>
      <c r="D54" s="25" t="s">
        <v>366</v>
      </c>
    </row>
    <row r="55">
      <c r="A55" s="23" t="s">
        <v>109</v>
      </c>
      <c r="B55" s="23" t="s">
        <v>350</v>
      </c>
      <c r="C55" s="24" t="s">
        <v>351</v>
      </c>
      <c r="D55" s="25" t="s">
        <v>366</v>
      </c>
    </row>
    <row r="56">
      <c r="A56" s="23" t="s">
        <v>119</v>
      </c>
      <c r="B56" s="23" t="s">
        <v>201</v>
      </c>
      <c r="C56" s="24" t="s">
        <v>202</v>
      </c>
      <c r="D56" s="25" t="s">
        <v>366</v>
      </c>
    </row>
    <row r="57">
      <c r="A57" s="23" t="s">
        <v>168</v>
      </c>
      <c r="B57" s="23" t="s">
        <v>274</v>
      </c>
      <c r="C57" s="24" t="s">
        <v>275</v>
      </c>
      <c r="D57" s="25" t="s">
        <v>366</v>
      </c>
    </row>
    <row r="58">
      <c r="A58" s="23" t="s">
        <v>159</v>
      </c>
      <c r="B58" s="23" t="s">
        <v>160</v>
      </c>
      <c r="C58" s="24" t="s">
        <v>161</v>
      </c>
      <c r="D58" s="25" t="s">
        <v>366</v>
      </c>
    </row>
    <row r="59">
      <c r="A59" s="23" t="s">
        <v>216</v>
      </c>
      <c r="B59" s="23" t="s">
        <v>217</v>
      </c>
      <c r="C59" s="24" t="s">
        <v>218</v>
      </c>
      <c r="D59" s="25" t="s">
        <v>366</v>
      </c>
    </row>
    <row r="60">
      <c r="A60" s="23" t="s">
        <v>133</v>
      </c>
      <c r="B60" s="23" t="s">
        <v>134</v>
      </c>
      <c r="C60" s="24" t="s">
        <v>135</v>
      </c>
      <c r="D60" s="25" t="s">
        <v>366</v>
      </c>
    </row>
    <row r="61">
      <c r="A61" s="23" t="s">
        <v>189</v>
      </c>
      <c r="B61" s="23" t="s">
        <v>190</v>
      </c>
      <c r="C61" s="24" t="s">
        <v>191</v>
      </c>
      <c r="D61" s="25" t="s">
        <v>366</v>
      </c>
    </row>
    <row r="62">
      <c r="A62" s="23" t="s">
        <v>81</v>
      </c>
      <c r="B62" s="23" t="s">
        <v>82</v>
      </c>
      <c r="C62" s="24" t="s">
        <v>83</v>
      </c>
      <c r="D62" s="25" t="s">
        <v>366</v>
      </c>
    </row>
    <row r="63">
      <c r="A63" s="23" t="s">
        <v>278</v>
      </c>
      <c r="B63" s="23" t="s">
        <v>333</v>
      </c>
      <c r="C63" s="24" t="s">
        <v>334</v>
      </c>
      <c r="D63" s="25" t="s">
        <v>366</v>
      </c>
    </row>
    <row r="64">
      <c r="A64" s="23" t="s">
        <v>123</v>
      </c>
      <c r="B64" s="23" t="s">
        <v>298</v>
      </c>
      <c r="C64" s="24" t="s">
        <v>299</v>
      </c>
      <c r="D64" s="25" t="s">
        <v>366</v>
      </c>
    </row>
    <row r="65">
      <c r="A65" s="23" t="s">
        <v>243</v>
      </c>
      <c r="B65" s="23" t="s">
        <v>244</v>
      </c>
      <c r="C65" s="24" t="s">
        <v>245</v>
      </c>
      <c r="D65" s="25" t="s">
        <v>366</v>
      </c>
    </row>
    <row r="66">
      <c r="A66" s="23" t="s">
        <v>234</v>
      </c>
      <c r="B66" s="23" t="s">
        <v>259</v>
      </c>
      <c r="C66" s="24" t="s">
        <v>260</v>
      </c>
      <c r="D66" s="25" t="s">
        <v>366</v>
      </c>
    </row>
    <row r="67">
      <c r="A67" s="23" t="s">
        <v>91</v>
      </c>
      <c r="B67" s="23" t="s">
        <v>237</v>
      </c>
      <c r="C67" s="24" t="s">
        <v>238</v>
      </c>
      <c r="D67" s="25" t="s">
        <v>366</v>
      </c>
    </row>
    <row r="68">
      <c r="A68" s="23" t="s">
        <v>165</v>
      </c>
      <c r="B68" s="23" t="s">
        <v>254</v>
      </c>
      <c r="C68" s="24" t="s">
        <v>255</v>
      </c>
      <c r="D68" s="25" t="s">
        <v>366</v>
      </c>
    </row>
    <row r="69">
      <c r="A69" s="23" t="s">
        <v>305</v>
      </c>
      <c r="B69" s="23" t="s">
        <v>306</v>
      </c>
      <c r="C69" s="24" t="s">
        <v>307</v>
      </c>
      <c r="D69" s="25" t="s">
        <v>366</v>
      </c>
    </row>
    <row r="70">
      <c r="A70" s="23" t="s">
        <v>271</v>
      </c>
      <c r="B70" s="23" t="s">
        <v>272</v>
      </c>
      <c r="C70" s="24" t="s">
        <v>273</v>
      </c>
      <c r="D70" s="25" t="s">
        <v>366</v>
      </c>
    </row>
    <row r="71">
      <c r="A71" s="23" t="s">
        <v>150</v>
      </c>
      <c r="B71" s="23" t="s">
        <v>151</v>
      </c>
      <c r="C71" s="24" t="s">
        <v>152</v>
      </c>
      <c r="D71" s="25" t="s">
        <v>366</v>
      </c>
    </row>
    <row r="72">
      <c r="A72" s="23" t="s">
        <v>310</v>
      </c>
      <c r="B72" s="23" t="s">
        <v>311</v>
      </c>
      <c r="C72" s="24" t="s">
        <v>312</v>
      </c>
      <c r="D72" s="25" t="s">
        <v>366</v>
      </c>
    </row>
    <row r="73">
      <c r="A73" s="23" t="s">
        <v>352</v>
      </c>
      <c r="B73" s="23" t="s">
        <v>353</v>
      </c>
      <c r="C73" s="24" t="s">
        <v>354</v>
      </c>
      <c r="D73" s="25" t="s">
        <v>366</v>
      </c>
    </row>
    <row r="74">
      <c r="A74" s="23" t="s">
        <v>177</v>
      </c>
      <c r="B74" s="23" t="s">
        <v>315</v>
      </c>
      <c r="C74" s="24" t="s">
        <v>316</v>
      </c>
      <c r="D74" s="25" t="s">
        <v>366</v>
      </c>
    </row>
    <row r="75">
      <c r="A75" s="23" t="s">
        <v>206</v>
      </c>
      <c r="B75" s="23" t="s">
        <v>207</v>
      </c>
      <c r="C75" s="24" t="s">
        <v>208</v>
      </c>
      <c r="D75" s="25" t="s">
        <v>366</v>
      </c>
    </row>
    <row r="76">
      <c r="A76" s="23" t="s">
        <v>324</v>
      </c>
      <c r="B76" s="23" t="s">
        <v>325</v>
      </c>
      <c r="C76" s="24" t="s">
        <v>326</v>
      </c>
      <c r="D76" s="25" t="s">
        <v>366</v>
      </c>
    </row>
    <row r="77">
      <c r="A77" s="23" t="s">
        <v>195</v>
      </c>
      <c r="B77" s="23" t="s">
        <v>196</v>
      </c>
      <c r="C77" s="24" t="s">
        <v>197</v>
      </c>
      <c r="D77" s="25" t="s">
        <v>366</v>
      </c>
    </row>
    <row r="78">
      <c r="A78" s="23" t="s">
        <v>186</v>
      </c>
      <c r="B78" s="23" t="s">
        <v>187</v>
      </c>
      <c r="C78" s="24" t="s">
        <v>188</v>
      </c>
      <c r="D78" s="25" t="s">
        <v>366</v>
      </c>
    </row>
    <row r="79">
      <c r="A79" s="23" t="s">
        <v>177</v>
      </c>
      <c r="B79" s="23" t="s">
        <v>246</v>
      </c>
      <c r="C79" s="24" t="s">
        <v>247</v>
      </c>
      <c r="D79" s="25" t="s">
        <v>366</v>
      </c>
    </row>
    <row r="80">
      <c r="A80" s="23" t="s">
        <v>198</v>
      </c>
      <c r="B80" s="23" t="s">
        <v>199</v>
      </c>
      <c r="C80" s="24" t="s">
        <v>200</v>
      </c>
      <c r="D80" s="25" t="s">
        <v>366</v>
      </c>
    </row>
    <row r="81">
      <c r="A81" s="23" t="s">
        <v>251</v>
      </c>
      <c r="B81" s="23" t="s">
        <v>252</v>
      </c>
      <c r="C81" s="24" t="s">
        <v>253</v>
      </c>
      <c r="D81" s="25" t="s">
        <v>366</v>
      </c>
    </row>
    <row r="82">
      <c r="A82" s="23" t="s">
        <v>219</v>
      </c>
      <c r="B82" s="23" t="s">
        <v>220</v>
      </c>
      <c r="C82" s="24" t="s">
        <v>221</v>
      </c>
      <c r="D82" s="25" t="s">
        <v>366</v>
      </c>
    </row>
    <row r="83">
      <c r="A83" s="23" t="s">
        <v>168</v>
      </c>
      <c r="B83" s="23" t="s">
        <v>169</v>
      </c>
      <c r="C83" s="24" t="s">
        <v>170</v>
      </c>
      <c r="D83" s="25" t="s">
        <v>366</v>
      </c>
    </row>
    <row r="84">
      <c r="A84" s="23" t="s">
        <v>165</v>
      </c>
      <c r="B84" s="23" t="s">
        <v>276</v>
      </c>
      <c r="C84" s="24" t="s">
        <v>277</v>
      </c>
      <c r="D84" s="25" t="s">
        <v>366</v>
      </c>
    </row>
    <row r="85">
      <c r="A85" s="23" t="s">
        <v>144</v>
      </c>
      <c r="B85" s="23" t="s">
        <v>145</v>
      </c>
      <c r="C85" s="24" t="s">
        <v>146</v>
      </c>
      <c r="D85" s="25" t="s">
        <v>366</v>
      </c>
    </row>
    <row r="86">
      <c r="A86" s="23" t="s">
        <v>206</v>
      </c>
      <c r="B86" s="23" t="s">
        <v>342</v>
      </c>
      <c r="C86" s="24" t="s">
        <v>343</v>
      </c>
      <c r="D86" s="25" t="s">
        <v>366</v>
      </c>
    </row>
    <row r="87">
      <c r="A87" s="23" t="s">
        <v>91</v>
      </c>
      <c r="B87" s="23" t="s">
        <v>104</v>
      </c>
      <c r="C87" s="24" t="s">
        <v>105</v>
      </c>
      <c r="D87" s="25" t="s">
        <v>366</v>
      </c>
    </row>
    <row r="88">
      <c r="A88" s="23" t="s">
        <v>91</v>
      </c>
      <c r="B88" s="23" t="s">
        <v>92</v>
      </c>
      <c r="C88" s="24" t="s">
        <v>93</v>
      </c>
      <c r="D88" s="25" t="s">
        <v>366</v>
      </c>
    </row>
    <row r="89">
      <c r="A89" s="23" t="s">
        <v>97</v>
      </c>
      <c r="B89" s="23" t="s">
        <v>98</v>
      </c>
      <c r="C89" s="24" t="s">
        <v>99</v>
      </c>
      <c r="D89" s="25" t="s">
        <v>366</v>
      </c>
    </row>
    <row r="90">
      <c r="A90" s="23" t="s">
        <v>94</v>
      </c>
      <c r="B90" s="23" t="s">
        <v>95</v>
      </c>
      <c r="C90" s="24" t="s">
        <v>96</v>
      </c>
      <c r="D90" s="25" t="s">
        <v>366</v>
      </c>
    </row>
    <row r="91">
      <c r="A91" s="23" t="s">
        <v>97</v>
      </c>
      <c r="B91" s="23" t="s">
        <v>249</v>
      </c>
      <c r="C91" s="24" t="s">
        <v>250</v>
      </c>
      <c r="D91" s="25" t="s">
        <v>366</v>
      </c>
    </row>
    <row r="92">
      <c r="A92" s="23" t="s">
        <v>295</v>
      </c>
      <c r="B92" s="23" t="s">
        <v>296</v>
      </c>
      <c r="C92" s="24" t="s">
        <v>297</v>
      </c>
      <c r="D92" s="25" t="s">
        <v>366</v>
      </c>
    </row>
    <row r="93">
      <c r="A93" s="23" t="s">
        <v>263</v>
      </c>
      <c r="B93" s="23" t="s">
        <v>303</v>
      </c>
      <c r="C93" s="24" t="s">
        <v>304</v>
      </c>
      <c r="D93" s="25" t="s">
        <v>366</v>
      </c>
    </row>
    <row r="94">
      <c r="A94" s="23" t="s">
        <v>123</v>
      </c>
      <c r="B94" s="23" t="s">
        <v>148</v>
      </c>
      <c r="C94" s="24" t="s">
        <v>149</v>
      </c>
      <c r="D94" s="25" t="s">
        <v>366</v>
      </c>
    </row>
    <row r="95">
      <c r="A95" s="23" t="s">
        <v>183</v>
      </c>
      <c r="B95" s="23" t="s">
        <v>212</v>
      </c>
      <c r="C95" s="24" t="s">
        <v>213</v>
      </c>
      <c r="D95" s="25" t="s">
        <v>366</v>
      </c>
    </row>
    <row r="96">
      <c r="A96" s="23" t="s">
        <v>327</v>
      </c>
      <c r="B96" s="23" t="s">
        <v>328</v>
      </c>
      <c r="C96" s="24" t="s">
        <v>329</v>
      </c>
      <c r="D96" s="25" t="s">
        <v>366</v>
      </c>
    </row>
    <row r="97">
      <c r="A97" s="23" t="s">
        <v>123</v>
      </c>
      <c r="B97" s="23" t="s">
        <v>124</v>
      </c>
      <c r="C97" s="24" t="s">
        <v>125</v>
      </c>
      <c r="D97" s="25" t="s">
        <v>366</v>
      </c>
    </row>
    <row r="98">
      <c r="A98" s="23" t="s">
        <v>109</v>
      </c>
      <c r="B98" s="23" t="s">
        <v>110</v>
      </c>
      <c r="C98" s="24" t="s">
        <v>111</v>
      </c>
      <c r="D98" s="25" t="s">
        <v>366</v>
      </c>
    </row>
    <row r="99">
      <c r="A99" s="23" t="s">
        <v>180</v>
      </c>
      <c r="B99" s="23" t="s">
        <v>181</v>
      </c>
      <c r="C99" s="24" t="s">
        <v>182</v>
      </c>
      <c r="D99" s="25" t="s">
        <v>366</v>
      </c>
    </row>
    <row r="100">
      <c r="A100" s="23" t="s">
        <v>338</v>
      </c>
      <c r="B100" s="23" t="s">
        <v>339</v>
      </c>
      <c r="C100" s="24" t="s">
        <v>340</v>
      </c>
      <c r="D100" s="25" t="s">
        <v>366</v>
      </c>
    </row>
    <row r="101">
      <c r="A101" s="23" t="s">
        <v>88</v>
      </c>
      <c r="B101" s="23" t="s">
        <v>89</v>
      </c>
      <c r="C101" s="24" t="s">
        <v>90</v>
      </c>
      <c r="D101" s="25" t="s">
        <v>366</v>
      </c>
    </row>
    <row r="102">
      <c r="C102" s="26"/>
      <c r="D102" s="28"/>
    </row>
    <row r="103">
      <c r="C103" s="26"/>
      <c r="D103" s="28"/>
    </row>
    <row r="104">
      <c r="C104" s="26"/>
      <c r="D104" s="28"/>
    </row>
    <row r="105">
      <c r="C105" s="26"/>
      <c r="D105" s="28"/>
    </row>
    <row r="106">
      <c r="C106" s="26"/>
      <c r="D106" s="28"/>
    </row>
    <row r="107">
      <c r="C107" s="26"/>
      <c r="D107" s="28"/>
    </row>
    <row r="108">
      <c r="C108" s="26"/>
      <c r="D108" s="28"/>
    </row>
    <row r="109">
      <c r="C109" s="26"/>
      <c r="D109" s="28"/>
    </row>
    <row r="110">
      <c r="C110" s="26"/>
      <c r="D110" s="28"/>
    </row>
    <row r="111">
      <c r="C111" s="26"/>
      <c r="D111" s="28"/>
    </row>
    <row r="112">
      <c r="C112" s="26"/>
      <c r="D112" s="28"/>
    </row>
    <row r="113">
      <c r="C113" s="26"/>
      <c r="D113" s="28"/>
    </row>
    <row r="114">
      <c r="C114" s="26"/>
      <c r="D114" s="28"/>
    </row>
    <row r="115">
      <c r="C115" s="26"/>
      <c r="D115" s="28"/>
    </row>
    <row r="116">
      <c r="C116" s="26"/>
      <c r="D116" s="28"/>
    </row>
    <row r="117">
      <c r="C117" s="26"/>
      <c r="D117" s="28"/>
    </row>
    <row r="118">
      <c r="C118" s="26"/>
      <c r="D118" s="28"/>
    </row>
    <row r="119">
      <c r="C119" s="26"/>
      <c r="D119" s="28"/>
    </row>
    <row r="120">
      <c r="C120" s="26"/>
      <c r="D120" s="28"/>
    </row>
    <row r="121">
      <c r="C121" s="26"/>
      <c r="D121" s="28"/>
    </row>
    <row r="122">
      <c r="C122" s="26"/>
      <c r="D122" s="28"/>
    </row>
    <row r="123">
      <c r="C123" s="26"/>
      <c r="D123" s="28"/>
    </row>
    <row r="124">
      <c r="C124" s="26"/>
      <c r="D124" s="28"/>
    </row>
    <row r="125">
      <c r="C125" s="26"/>
      <c r="D125" s="28"/>
    </row>
    <row r="126">
      <c r="C126" s="26"/>
      <c r="D126" s="28"/>
    </row>
    <row r="127">
      <c r="C127" s="26"/>
      <c r="D127" s="28"/>
    </row>
    <row r="128">
      <c r="C128" s="26"/>
      <c r="D128" s="28"/>
    </row>
    <row r="129">
      <c r="C129" s="26"/>
      <c r="D129" s="28"/>
    </row>
    <row r="130">
      <c r="C130" s="26"/>
      <c r="D130" s="28"/>
    </row>
    <row r="131">
      <c r="C131" s="26"/>
      <c r="D131" s="28"/>
    </row>
    <row r="132">
      <c r="C132" s="26"/>
      <c r="D132" s="28"/>
    </row>
    <row r="133">
      <c r="C133" s="26"/>
      <c r="D133" s="28"/>
    </row>
    <row r="134">
      <c r="C134" s="26"/>
      <c r="D134" s="28"/>
    </row>
    <row r="135">
      <c r="C135" s="26"/>
      <c r="D135" s="28"/>
    </row>
    <row r="136">
      <c r="C136" s="26"/>
      <c r="D136" s="28"/>
    </row>
    <row r="137">
      <c r="C137" s="26"/>
      <c r="D137" s="28"/>
    </row>
    <row r="138">
      <c r="C138" s="26"/>
      <c r="D138" s="28"/>
    </row>
    <row r="139">
      <c r="C139" s="26"/>
      <c r="D139" s="28"/>
    </row>
    <row r="140">
      <c r="C140" s="26"/>
      <c r="D140" s="28"/>
    </row>
    <row r="141">
      <c r="C141" s="26"/>
      <c r="D141" s="28"/>
    </row>
    <row r="142">
      <c r="C142" s="26"/>
      <c r="D142" s="28"/>
    </row>
    <row r="143">
      <c r="C143" s="26"/>
      <c r="D143" s="28"/>
    </row>
    <row r="144">
      <c r="C144" s="26"/>
      <c r="D144" s="28"/>
    </row>
    <row r="145">
      <c r="C145" s="26"/>
      <c r="D145" s="28"/>
    </row>
    <row r="146">
      <c r="C146" s="26"/>
      <c r="D146" s="28"/>
    </row>
    <row r="147">
      <c r="C147" s="26"/>
      <c r="D147" s="28"/>
    </row>
    <row r="148">
      <c r="C148" s="26"/>
      <c r="D148" s="28"/>
    </row>
    <row r="149">
      <c r="C149" s="26"/>
      <c r="D149" s="28"/>
    </row>
    <row r="150">
      <c r="C150" s="26"/>
      <c r="D150" s="28"/>
    </row>
    <row r="151">
      <c r="C151" s="26"/>
      <c r="D151" s="28"/>
    </row>
    <row r="152">
      <c r="C152" s="26"/>
      <c r="D152" s="28"/>
    </row>
    <row r="153">
      <c r="C153" s="26"/>
      <c r="D153" s="28"/>
    </row>
    <row r="154">
      <c r="C154" s="26"/>
      <c r="D154" s="28"/>
    </row>
    <row r="155">
      <c r="C155" s="26"/>
      <c r="D155" s="28"/>
    </row>
    <row r="156">
      <c r="C156" s="26"/>
      <c r="D156" s="28"/>
    </row>
    <row r="157">
      <c r="C157" s="26"/>
      <c r="D157" s="28"/>
    </row>
    <row r="158">
      <c r="C158" s="26"/>
      <c r="D158" s="28"/>
    </row>
    <row r="159">
      <c r="C159" s="26"/>
      <c r="D159" s="28"/>
    </row>
    <row r="160">
      <c r="C160" s="26"/>
      <c r="D160" s="28"/>
    </row>
    <row r="161">
      <c r="C161" s="26"/>
      <c r="D161" s="28"/>
    </row>
    <row r="162">
      <c r="C162" s="26"/>
      <c r="D162" s="28"/>
    </row>
    <row r="163">
      <c r="C163" s="26"/>
      <c r="D163" s="28"/>
    </row>
    <row r="164">
      <c r="C164" s="26"/>
      <c r="D164" s="28"/>
    </row>
    <row r="165">
      <c r="C165" s="26"/>
      <c r="D165" s="28"/>
    </row>
    <row r="166">
      <c r="C166" s="26"/>
      <c r="D166" s="28"/>
    </row>
    <row r="167">
      <c r="C167" s="26"/>
      <c r="D167" s="28"/>
    </row>
    <row r="168">
      <c r="C168" s="26"/>
      <c r="D168" s="28"/>
    </row>
    <row r="169">
      <c r="C169" s="26"/>
      <c r="D169" s="28"/>
    </row>
    <row r="170">
      <c r="C170" s="26"/>
      <c r="D170" s="28"/>
    </row>
    <row r="171">
      <c r="C171" s="26"/>
      <c r="D171" s="28"/>
    </row>
    <row r="172">
      <c r="C172" s="26"/>
      <c r="D172" s="28"/>
    </row>
    <row r="173">
      <c r="C173" s="26"/>
      <c r="D173" s="28"/>
    </row>
    <row r="174">
      <c r="C174" s="26"/>
      <c r="D174" s="28"/>
    </row>
    <row r="175">
      <c r="C175" s="26"/>
      <c r="D175" s="28"/>
    </row>
    <row r="176">
      <c r="C176" s="26"/>
      <c r="D176" s="28"/>
    </row>
    <row r="177">
      <c r="C177" s="26"/>
      <c r="D177" s="28"/>
    </row>
    <row r="178">
      <c r="C178" s="26"/>
      <c r="D178" s="28"/>
    </row>
    <row r="179">
      <c r="C179" s="26"/>
      <c r="D179" s="28"/>
    </row>
    <row r="180">
      <c r="C180" s="26"/>
      <c r="D180" s="28"/>
    </row>
    <row r="181">
      <c r="C181" s="26"/>
      <c r="D181" s="28"/>
    </row>
    <row r="182">
      <c r="C182" s="26"/>
      <c r="D182" s="28"/>
    </row>
    <row r="183">
      <c r="C183" s="26"/>
      <c r="D183" s="28"/>
    </row>
    <row r="184">
      <c r="C184" s="26"/>
      <c r="D184" s="28"/>
    </row>
    <row r="185">
      <c r="C185" s="26"/>
      <c r="D185" s="28"/>
    </row>
    <row r="186">
      <c r="C186" s="26"/>
      <c r="D186" s="28"/>
    </row>
    <row r="187">
      <c r="C187" s="26"/>
      <c r="D187" s="28"/>
    </row>
    <row r="188">
      <c r="C188" s="26"/>
      <c r="D188" s="28"/>
    </row>
    <row r="189">
      <c r="C189" s="26"/>
      <c r="D189" s="28"/>
    </row>
    <row r="190">
      <c r="C190" s="26"/>
      <c r="D190" s="28"/>
    </row>
    <row r="191">
      <c r="C191" s="26"/>
      <c r="D191" s="28"/>
    </row>
    <row r="192">
      <c r="C192" s="26"/>
      <c r="D192" s="28"/>
    </row>
    <row r="193">
      <c r="C193" s="26"/>
      <c r="D193" s="28"/>
    </row>
    <row r="194">
      <c r="C194" s="26"/>
      <c r="D194" s="28"/>
    </row>
    <row r="195">
      <c r="C195" s="26"/>
      <c r="D195" s="28"/>
    </row>
    <row r="196">
      <c r="C196" s="26"/>
      <c r="D196" s="28"/>
    </row>
    <row r="197">
      <c r="C197" s="26"/>
      <c r="D197" s="28"/>
    </row>
    <row r="198">
      <c r="C198" s="26"/>
      <c r="D198" s="28"/>
    </row>
    <row r="199">
      <c r="C199" s="26"/>
      <c r="D199" s="28"/>
    </row>
    <row r="200">
      <c r="C200" s="26"/>
      <c r="D200" s="28"/>
    </row>
    <row r="201">
      <c r="C201" s="26"/>
      <c r="D201" s="28"/>
    </row>
    <row r="202">
      <c r="C202" s="26"/>
      <c r="D202" s="28"/>
    </row>
    <row r="203">
      <c r="C203" s="26"/>
      <c r="D203" s="28"/>
    </row>
    <row r="204">
      <c r="C204" s="26"/>
      <c r="D204" s="28"/>
    </row>
    <row r="205">
      <c r="C205" s="26"/>
      <c r="D205" s="28"/>
    </row>
    <row r="206">
      <c r="C206" s="26"/>
      <c r="D206" s="28"/>
    </row>
    <row r="207">
      <c r="C207" s="26"/>
      <c r="D207" s="28"/>
    </row>
    <row r="208">
      <c r="C208" s="26"/>
      <c r="D208" s="28"/>
    </row>
    <row r="209">
      <c r="C209" s="26"/>
      <c r="D209" s="28"/>
    </row>
    <row r="210">
      <c r="C210" s="26"/>
      <c r="D210" s="28"/>
    </row>
    <row r="211">
      <c r="C211" s="26"/>
      <c r="D211" s="28"/>
    </row>
    <row r="212">
      <c r="C212" s="26"/>
      <c r="D212" s="28"/>
    </row>
    <row r="213">
      <c r="C213" s="26"/>
      <c r="D213" s="28"/>
    </row>
    <row r="214">
      <c r="C214" s="26"/>
      <c r="D214" s="28"/>
    </row>
    <row r="215">
      <c r="C215" s="26"/>
      <c r="D215" s="28"/>
    </row>
    <row r="216">
      <c r="C216" s="26"/>
      <c r="D216" s="28"/>
    </row>
    <row r="217">
      <c r="C217" s="26"/>
      <c r="D217" s="28"/>
    </row>
    <row r="218">
      <c r="C218" s="26"/>
      <c r="D218" s="28"/>
    </row>
    <row r="219">
      <c r="C219" s="26"/>
      <c r="D219" s="28"/>
    </row>
    <row r="220">
      <c r="C220" s="26"/>
      <c r="D220" s="28"/>
    </row>
    <row r="221">
      <c r="C221" s="26"/>
      <c r="D221" s="28"/>
    </row>
    <row r="222">
      <c r="C222" s="26"/>
      <c r="D222" s="28"/>
    </row>
    <row r="223">
      <c r="C223" s="26"/>
      <c r="D223" s="28"/>
    </row>
    <row r="224">
      <c r="C224" s="26"/>
      <c r="D224" s="28"/>
    </row>
    <row r="225">
      <c r="C225" s="26"/>
      <c r="D225" s="28"/>
    </row>
    <row r="226">
      <c r="C226" s="26"/>
      <c r="D226" s="28"/>
    </row>
    <row r="227">
      <c r="C227" s="26"/>
      <c r="D227" s="28"/>
    </row>
    <row r="228">
      <c r="C228" s="26"/>
      <c r="D228" s="28"/>
    </row>
    <row r="229">
      <c r="C229" s="26"/>
      <c r="D229" s="28"/>
    </row>
    <row r="230">
      <c r="C230" s="26"/>
      <c r="D230" s="28"/>
    </row>
    <row r="231">
      <c r="C231" s="26"/>
      <c r="D231" s="28"/>
    </row>
    <row r="232">
      <c r="C232" s="26"/>
      <c r="D232" s="28"/>
    </row>
    <row r="233">
      <c r="C233" s="26"/>
      <c r="D233" s="28"/>
    </row>
    <row r="234">
      <c r="C234" s="26"/>
      <c r="D234" s="28"/>
    </row>
    <row r="235">
      <c r="C235" s="26"/>
      <c r="D235" s="28"/>
    </row>
    <row r="236">
      <c r="C236" s="26"/>
      <c r="D236" s="28"/>
    </row>
    <row r="237">
      <c r="C237" s="26"/>
      <c r="D237" s="28"/>
    </row>
    <row r="238">
      <c r="C238" s="26"/>
      <c r="D238" s="28"/>
    </row>
    <row r="239">
      <c r="C239" s="26"/>
      <c r="D239" s="28"/>
    </row>
    <row r="240">
      <c r="C240" s="26"/>
      <c r="D240" s="28"/>
    </row>
    <row r="241">
      <c r="C241" s="26"/>
      <c r="D241" s="28"/>
    </row>
    <row r="242">
      <c r="C242" s="26"/>
      <c r="D242" s="28"/>
    </row>
    <row r="243">
      <c r="C243" s="26"/>
      <c r="D243" s="28"/>
    </row>
    <row r="244">
      <c r="C244" s="26"/>
      <c r="D244" s="28"/>
    </row>
    <row r="245">
      <c r="C245" s="26"/>
      <c r="D245" s="28"/>
    </row>
    <row r="246">
      <c r="C246" s="26"/>
      <c r="D246" s="28"/>
    </row>
    <row r="247">
      <c r="C247" s="26"/>
      <c r="D247" s="28"/>
    </row>
    <row r="248">
      <c r="C248" s="26"/>
      <c r="D248" s="28"/>
    </row>
    <row r="249">
      <c r="C249" s="26"/>
      <c r="D249" s="28"/>
    </row>
    <row r="250">
      <c r="C250" s="26"/>
      <c r="D250" s="28"/>
    </row>
    <row r="251">
      <c r="C251" s="26"/>
      <c r="D251" s="28"/>
    </row>
    <row r="252">
      <c r="C252" s="26"/>
      <c r="D252" s="28"/>
    </row>
    <row r="253">
      <c r="C253" s="26"/>
      <c r="D253" s="28"/>
    </row>
    <row r="254">
      <c r="C254" s="26"/>
      <c r="D254" s="28"/>
    </row>
    <row r="255">
      <c r="C255" s="26"/>
      <c r="D255" s="28"/>
    </row>
    <row r="256">
      <c r="C256" s="26"/>
      <c r="D256" s="28"/>
    </row>
    <row r="257">
      <c r="C257" s="26"/>
      <c r="D257" s="28"/>
    </row>
    <row r="258">
      <c r="C258" s="26"/>
      <c r="D258" s="28"/>
    </row>
    <row r="259">
      <c r="C259" s="26"/>
      <c r="D259" s="28"/>
    </row>
    <row r="260">
      <c r="C260" s="26"/>
      <c r="D260" s="28"/>
    </row>
    <row r="261">
      <c r="C261" s="26"/>
      <c r="D261" s="28"/>
    </row>
    <row r="262">
      <c r="C262" s="26"/>
      <c r="D262" s="28"/>
    </row>
    <row r="263">
      <c r="C263" s="26"/>
      <c r="D263" s="28"/>
    </row>
    <row r="264">
      <c r="C264" s="26"/>
      <c r="D264" s="28"/>
    </row>
    <row r="265">
      <c r="C265" s="26"/>
      <c r="D265" s="28"/>
    </row>
    <row r="266">
      <c r="C266" s="26"/>
      <c r="D266" s="28"/>
    </row>
    <row r="267">
      <c r="C267" s="26"/>
      <c r="D267" s="28"/>
    </row>
    <row r="268">
      <c r="C268" s="26"/>
      <c r="D268" s="28"/>
    </row>
    <row r="269">
      <c r="C269" s="26"/>
      <c r="D269" s="28"/>
    </row>
    <row r="270">
      <c r="C270" s="26"/>
      <c r="D270" s="28"/>
    </row>
    <row r="271">
      <c r="C271" s="26"/>
      <c r="D271" s="28"/>
    </row>
    <row r="272">
      <c r="C272" s="26"/>
      <c r="D272" s="28"/>
    </row>
    <row r="273">
      <c r="C273" s="26"/>
      <c r="D273" s="28"/>
    </row>
    <row r="274">
      <c r="C274" s="26"/>
      <c r="D274" s="28"/>
    </row>
    <row r="275">
      <c r="C275" s="26"/>
      <c r="D275" s="28"/>
    </row>
    <row r="276">
      <c r="C276" s="26"/>
      <c r="D276" s="28"/>
    </row>
    <row r="277">
      <c r="C277" s="26"/>
      <c r="D277" s="28"/>
    </row>
    <row r="278">
      <c r="C278" s="26"/>
      <c r="D278" s="28"/>
    </row>
    <row r="279">
      <c r="C279" s="26"/>
      <c r="D279" s="28"/>
    </row>
    <row r="280">
      <c r="C280" s="26"/>
      <c r="D280" s="28"/>
    </row>
    <row r="281">
      <c r="C281" s="26"/>
      <c r="D281" s="28"/>
    </row>
    <row r="282">
      <c r="C282" s="26"/>
      <c r="D282" s="28"/>
    </row>
    <row r="283">
      <c r="C283" s="26"/>
      <c r="D283" s="28"/>
    </row>
    <row r="284">
      <c r="C284" s="26"/>
      <c r="D284" s="28"/>
    </row>
    <row r="285">
      <c r="C285" s="26"/>
      <c r="D285" s="28"/>
    </row>
    <row r="286">
      <c r="C286" s="26"/>
      <c r="D286" s="28"/>
    </row>
    <row r="287">
      <c r="C287" s="26"/>
      <c r="D287" s="28"/>
    </row>
    <row r="288">
      <c r="C288" s="26"/>
      <c r="D288" s="28"/>
    </row>
    <row r="289">
      <c r="C289" s="26"/>
      <c r="D289" s="28"/>
    </row>
    <row r="290">
      <c r="C290" s="26"/>
      <c r="D290" s="28"/>
    </row>
    <row r="291">
      <c r="C291" s="26"/>
      <c r="D291" s="28"/>
    </row>
    <row r="292">
      <c r="C292" s="26"/>
      <c r="D292" s="28"/>
    </row>
    <row r="293">
      <c r="C293" s="26"/>
      <c r="D293" s="28"/>
    </row>
    <row r="294">
      <c r="C294" s="26"/>
      <c r="D294" s="28"/>
    </row>
    <row r="295">
      <c r="C295" s="26"/>
      <c r="D295" s="28"/>
    </row>
    <row r="296">
      <c r="C296" s="26"/>
      <c r="D296" s="28"/>
    </row>
    <row r="297">
      <c r="C297" s="26"/>
      <c r="D297" s="28"/>
    </row>
    <row r="298">
      <c r="C298" s="26"/>
      <c r="D298" s="28"/>
    </row>
    <row r="299">
      <c r="C299" s="26"/>
      <c r="D299" s="28"/>
    </row>
    <row r="300">
      <c r="C300" s="26"/>
      <c r="D300" s="28"/>
    </row>
    <row r="301">
      <c r="C301" s="26"/>
      <c r="D301" s="28"/>
    </row>
    <row r="302">
      <c r="C302" s="26"/>
      <c r="D302" s="28"/>
    </row>
    <row r="303">
      <c r="C303" s="26"/>
      <c r="D303" s="28"/>
    </row>
    <row r="304">
      <c r="C304" s="26"/>
      <c r="D304" s="28"/>
    </row>
    <row r="305">
      <c r="C305" s="26"/>
      <c r="D305" s="28"/>
    </row>
    <row r="306">
      <c r="C306" s="26"/>
      <c r="D306" s="28"/>
    </row>
    <row r="307">
      <c r="C307" s="26"/>
      <c r="D307" s="28"/>
    </row>
    <row r="308">
      <c r="C308" s="26"/>
      <c r="D308" s="28"/>
    </row>
    <row r="309">
      <c r="C309" s="26"/>
      <c r="D309" s="28"/>
    </row>
    <row r="310">
      <c r="C310" s="26"/>
      <c r="D310" s="28"/>
    </row>
    <row r="311">
      <c r="C311" s="26"/>
      <c r="D311" s="28"/>
    </row>
    <row r="312">
      <c r="C312" s="26"/>
      <c r="D312" s="28"/>
    </row>
    <row r="313">
      <c r="C313" s="26"/>
      <c r="D313" s="28"/>
    </row>
    <row r="314">
      <c r="C314" s="26"/>
      <c r="D314" s="28"/>
    </row>
    <row r="315">
      <c r="C315" s="26"/>
      <c r="D315" s="28"/>
    </row>
    <row r="316">
      <c r="C316" s="26"/>
      <c r="D316" s="28"/>
    </row>
    <row r="317">
      <c r="C317" s="26"/>
      <c r="D317" s="28"/>
    </row>
    <row r="318">
      <c r="C318" s="26"/>
      <c r="D318" s="28"/>
    </row>
    <row r="319">
      <c r="C319" s="26"/>
      <c r="D319" s="28"/>
    </row>
    <row r="320">
      <c r="C320" s="26"/>
      <c r="D320" s="28"/>
    </row>
    <row r="321">
      <c r="C321" s="26"/>
      <c r="D321" s="28"/>
    </row>
    <row r="322">
      <c r="C322" s="26"/>
      <c r="D322" s="28"/>
    </row>
    <row r="323">
      <c r="C323" s="26"/>
      <c r="D323" s="28"/>
    </row>
    <row r="324">
      <c r="C324" s="26"/>
      <c r="D324" s="28"/>
    </row>
    <row r="325">
      <c r="C325" s="26"/>
      <c r="D325" s="28"/>
    </row>
    <row r="326">
      <c r="C326" s="26"/>
      <c r="D326" s="28"/>
    </row>
    <row r="327">
      <c r="C327" s="26"/>
      <c r="D327" s="28"/>
    </row>
    <row r="328">
      <c r="C328" s="26"/>
      <c r="D328" s="28"/>
    </row>
    <row r="329">
      <c r="C329" s="26"/>
      <c r="D329" s="28"/>
    </row>
    <row r="330">
      <c r="C330" s="26"/>
      <c r="D330" s="28"/>
    </row>
    <row r="331">
      <c r="C331" s="26"/>
      <c r="D331" s="28"/>
    </row>
    <row r="332">
      <c r="C332" s="26"/>
      <c r="D332" s="28"/>
    </row>
    <row r="333">
      <c r="C333" s="26"/>
      <c r="D333" s="28"/>
    </row>
    <row r="334">
      <c r="C334" s="26"/>
      <c r="D334" s="28"/>
    </row>
    <row r="335">
      <c r="C335" s="26"/>
      <c r="D335" s="28"/>
    </row>
    <row r="336">
      <c r="C336" s="26"/>
      <c r="D336" s="28"/>
    </row>
    <row r="337">
      <c r="C337" s="26"/>
      <c r="D337" s="28"/>
    </row>
    <row r="338">
      <c r="C338" s="26"/>
      <c r="D338" s="28"/>
    </row>
    <row r="339">
      <c r="C339" s="26"/>
      <c r="D339" s="28"/>
    </row>
    <row r="340">
      <c r="C340" s="26"/>
      <c r="D340" s="28"/>
    </row>
    <row r="341">
      <c r="C341" s="26"/>
      <c r="D341" s="28"/>
    </row>
    <row r="342">
      <c r="C342" s="26"/>
      <c r="D342" s="28"/>
    </row>
    <row r="343">
      <c r="C343" s="26"/>
      <c r="D343" s="28"/>
    </row>
    <row r="344">
      <c r="C344" s="26"/>
      <c r="D344" s="28"/>
    </row>
    <row r="345">
      <c r="C345" s="26"/>
      <c r="D345" s="28"/>
    </row>
    <row r="346">
      <c r="C346" s="26"/>
      <c r="D346" s="28"/>
    </row>
    <row r="347">
      <c r="C347" s="26"/>
      <c r="D347" s="28"/>
    </row>
    <row r="348">
      <c r="C348" s="26"/>
      <c r="D348" s="28"/>
    </row>
    <row r="349">
      <c r="C349" s="26"/>
      <c r="D349" s="28"/>
    </row>
    <row r="350">
      <c r="C350" s="26"/>
      <c r="D350" s="28"/>
    </row>
    <row r="351">
      <c r="C351" s="26"/>
      <c r="D351" s="28"/>
    </row>
    <row r="352">
      <c r="C352" s="26"/>
      <c r="D352" s="28"/>
    </row>
    <row r="353">
      <c r="C353" s="26"/>
      <c r="D353" s="28"/>
    </row>
    <row r="354">
      <c r="C354" s="26"/>
      <c r="D354" s="28"/>
    </row>
    <row r="355">
      <c r="C355" s="26"/>
      <c r="D355" s="28"/>
    </row>
    <row r="356">
      <c r="C356" s="26"/>
      <c r="D356" s="28"/>
    </row>
    <row r="357">
      <c r="C357" s="26"/>
      <c r="D357" s="28"/>
    </row>
    <row r="358">
      <c r="C358" s="26"/>
      <c r="D358" s="28"/>
    </row>
    <row r="359">
      <c r="C359" s="26"/>
      <c r="D359" s="28"/>
    </row>
    <row r="360">
      <c r="C360" s="26"/>
      <c r="D360" s="28"/>
    </row>
    <row r="361">
      <c r="C361" s="26"/>
      <c r="D361" s="28"/>
    </row>
    <row r="362">
      <c r="C362" s="26"/>
      <c r="D362" s="28"/>
    </row>
    <row r="363">
      <c r="C363" s="26"/>
      <c r="D363" s="28"/>
    </row>
    <row r="364">
      <c r="C364" s="26"/>
      <c r="D364" s="28"/>
    </row>
    <row r="365">
      <c r="C365" s="26"/>
      <c r="D365" s="28"/>
    </row>
    <row r="366">
      <c r="C366" s="26"/>
      <c r="D366" s="28"/>
    </row>
    <row r="367">
      <c r="C367" s="26"/>
      <c r="D367" s="28"/>
    </row>
    <row r="368">
      <c r="C368" s="26"/>
      <c r="D368" s="28"/>
    </row>
    <row r="369">
      <c r="C369" s="26"/>
      <c r="D369" s="28"/>
    </row>
    <row r="370">
      <c r="C370" s="26"/>
      <c r="D370" s="28"/>
    </row>
    <row r="371">
      <c r="C371" s="26"/>
      <c r="D371" s="28"/>
    </row>
    <row r="372">
      <c r="C372" s="26"/>
      <c r="D372" s="28"/>
    </row>
    <row r="373">
      <c r="C373" s="26"/>
      <c r="D373" s="28"/>
    </row>
    <row r="374">
      <c r="C374" s="26"/>
      <c r="D374" s="28"/>
    </row>
    <row r="375">
      <c r="C375" s="26"/>
      <c r="D375" s="28"/>
    </row>
    <row r="376">
      <c r="C376" s="26"/>
      <c r="D376" s="28"/>
    </row>
    <row r="377">
      <c r="C377" s="26"/>
      <c r="D377" s="28"/>
    </row>
    <row r="378">
      <c r="C378" s="26"/>
      <c r="D378" s="28"/>
    </row>
    <row r="379">
      <c r="C379" s="26"/>
      <c r="D379" s="28"/>
    </row>
    <row r="380">
      <c r="C380" s="26"/>
      <c r="D380" s="28"/>
    </row>
    <row r="381">
      <c r="C381" s="26"/>
      <c r="D381" s="28"/>
    </row>
    <row r="382">
      <c r="C382" s="26"/>
      <c r="D382" s="28"/>
    </row>
    <row r="383">
      <c r="C383" s="26"/>
      <c r="D383" s="28"/>
    </row>
    <row r="384">
      <c r="C384" s="26"/>
      <c r="D384" s="28"/>
    </row>
    <row r="385">
      <c r="C385" s="26"/>
      <c r="D385" s="28"/>
    </row>
    <row r="386">
      <c r="C386" s="26"/>
      <c r="D386" s="28"/>
    </row>
    <row r="387">
      <c r="C387" s="26"/>
      <c r="D387" s="28"/>
    </row>
    <row r="388">
      <c r="C388" s="26"/>
      <c r="D388" s="28"/>
    </row>
    <row r="389">
      <c r="C389" s="26"/>
      <c r="D389" s="28"/>
    </row>
    <row r="390">
      <c r="C390" s="26"/>
      <c r="D390" s="28"/>
    </row>
    <row r="391">
      <c r="C391" s="26"/>
      <c r="D391" s="28"/>
    </row>
    <row r="392">
      <c r="C392" s="26"/>
      <c r="D392" s="28"/>
    </row>
    <row r="393">
      <c r="C393" s="26"/>
      <c r="D393" s="28"/>
    </row>
    <row r="394">
      <c r="C394" s="26"/>
      <c r="D394" s="28"/>
    </row>
    <row r="395">
      <c r="C395" s="26"/>
      <c r="D395" s="28"/>
    </row>
    <row r="396">
      <c r="C396" s="26"/>
      <c r="D396" s="28"/>
    </row>
    <row r="397">
      <c r="C397" s="26"/>
      <c r="D397" s="28"/>
    </row>
    <row r="398">
      <c r="C398" s="26"/>
      <c r="D398" s="28"/>
    </row>
    <row r="399">
      <c r="C399" s="26"/>
      <c r="D399" s="28"/>
    </row>
    <row r="400">
      <c r="C400" s="26"/>
      <c r="D400" s="28"/>
    </row>
    <row r="401">
      <c r="C401" s="26"/>
      <c r="D401" s="28"/>
    </row>
    <row r="402">
      <c r="C402" s="26"/>
      <c r="D402" s="28"/>
    </row>
    <row r="403">
      <c r="C403" s="26"/>
      <c r="D403" s="28"/>
    </row>
    <row r="404">
      <c r="C404" s="26"/>
      <c r="D404" s="28"/>
    </row>
    <row r="405">
      <c r="C405" s="26"/>
      <c r="D405" s="28"/>
    </row>
    <row r="406">
      <c r="C406" s="26"/>
      <c r="D406" s="28"/>
    </row>
    <row r="407">
      <c r="C407" s="26"/>
      <c r="D407" s="28"/>
    </row>
    <row r="408">
      <c r="C408" s="26"/>
      <c r="D408" s="28"/>
    </row>
    <row r="409">
      <c r="C409" s="26"/>
      <c r="D409" s="28"/>
    </row>
    <row r="410">
      <c r="C410" s="26"/>
      <c r="D410" s="28"/>
    </row>
    <row r="411">
      <c r="C411" s="26"/>
      <c r="D411" s="28"/>
    </row>
    <row r="412">
      <c r="C412" s="26"/>
      <c r="D412" s="28"/>
    </row>
    <row r="413">
      <c r="C413" s="26"/>
      <c r="D413" s="28"/>
    </row>
    <row r="414">
      <c r="C414" s="26"/>
      <c r="D414" s="28"/>
    </row>
    <row r="415">
      <c r="C415" s="26"/>
      <c r="D415" s="28"/>
    </row>
    <row r="416">
      <c r="C416" s="26"/>
      <c r="D416" s="28"/>
    </row>
    <row r="417">
      <c r="C417" s="26"/>
      <c r="D417" s="28"/>
    </row>
    <row r="418">
      <c r="C418" s="26"/>
      <c r="D418" s="28"/>
    </row>
    <row r="419">
      <c r="C419" s="26"/>
      <c r="D419" s="28"/>
    </row>
    <row r="420">
      <c r="C420" s="26"/>
      <c r="D420" s="28"/>
    </row>
    <row r="421">
      <c r="C421" s="26"/>
      <c r="D421" s="28"/>
    </row>
    <row r="422">
      <c r="C422" s="26"/>
      <c r="D422" s="28"/>
    </row>
    <row r="423">
      <c r="C423" s="26"/>
      <c r="D423" s="28"/>
    </row>
    <row r="424">
      <c r="C424" s="26"/>
      <c r="D424" s="28"/>
    </row>
    <row r="425">
      <c r="C425" s="26"/>
      <c r="D425" s="28"/>
    </row>
    <row r="426">
      <c r="C426" s="26"/>
      <c r="D426" s="28"/>
    </row>
    <row r="427">
      <c r="C427" s="26"/>
      <c r="D427" s="28"/>
    </row>
    <row r="428">
      <c r="C428" s="26"/>
      <c r="D428" s="28"/>
    </row>
    <row r="429">
      <c r="C429" s="26"/>
      <c r="D429" s="28"/>
    </row>
    <row r="430">
      <c r="C430" s="26"/>
      <c r="D430" s="28"/>
    </row>
    <row r="431">
      <c r="C431" s="26"/>
      <c r="D431" s="28"/>
    </row>
    <row r="432">
      <c r="C432" s="26"/>
      <c r="D432" s="28"/>
    </row>
    <row r="433">
      <c r="C433" s="26"/>
      <c r="D433" s="28"/>
    </row>
    <row r="434">
      <c r="C434" s="26"/>
      <c r="D434" s="28"/>
    </row>
    <row r="435">
      <c r="C435" s="26"/>
      <c r="D435" s="28"/>
    </row>
    <row r="436">
      <c r="C436" s="26"/>
      <c r="D436" s="28"/>
    </row>
    <row r="437">
      <c r="C437" s="26"/>
      <c r="D437" s="28"/>
    </row>
    <row r="438">
      <c r="C438" s="26"/>
      <c r="D438" s="28"/>
    </row>
    <row r="439">
      <c r="C439" s="26"/>
      <c r="D439" s="28"/>
    </row>
    <row r="440">
      <c r="C440" s="26"/>
      <c r="D440" s="28"/>
    </row>
    <row r="441">
      <c r="C441" s="26"/>
      <c r="D441" s="28"/>
    </row>
    <row r="442">
      <c r="C442" s="26"/>
      <c r="D442" s="28"/>
    </row>
    <row r="443">
      <c r="C443" s="26"/>
      <c r="D443" s="28"/>
    </row>
    <row r="444">
      <c r="C444" s="26"/>
      <c r="D444" s="28"/>
    </row>
    <row r="445">
      <c r="C445" s="26"/>
      <c r="D445" s="28"/>
    </row>
    <row r="446">
      <c r="C446" s="26"/>
      <c r="D446" s="28"/>
    </row>
    <row r="447">
      <c r="C447" s="26"/>
      <c r="D447" s="28"/>
    </row>
    <row r="448">
      <c r="C448" s="26"/>
      <c r="D448" s="28"/>
    </row>
    <row r="449">
      <c r="C449" s="26"/>
      <c r="D449" s="28"/>
    </row>
    <row r="450">
      <c r="C450" s="26"/>
      <c r="D450" s="28"/>
    </row>
    <row r="451">
      <c r="C451" s="26"/>
      <c r="D451" s="28"/>
    </row>
    <row r="452">
      <c r="C452" s="26"/>
      <c r="D452" s="28"/>
    </row>
    <row r="453">
      <c r="C453" s="26"/>
      <c r="D453" s="28"/>
    </row>
    <row r="454">
      <c r="C454" s="26"/>
      <c r="D454" s="28"/>
    </row>
    <row r="455">
      <c r="C455" s="26"/>
      <c r="D455" s="28"/>
    </row>
    <row r="456">
      <c r="C456" s="26"/>
      <c r="D456" s="28"/>
    </row>
    <row r="457">
      <c r="C457" s="26"/>
      <c r="D457" s="28"/>
    </row>
    <row r="458">
      <c r="C458" s="26"/>
      <c r="D458" s="28"/>
    </row>
    <row r="459">
      <c r="C459" s="26"/>
      <c r="D459" s="28"/>
    </row>
    <row r="460">
      <c r="C460" s="26"/>
      <c r="D460" s="28"/>
    </row>
    <row r="461">
      <c r="C461" s="26"/>
      <c r="D461" s="28"/>
    </row>
    <row r="462">
      <c r="C462" s="26"/>
      <c r="D462" s="28"/>
    </row>
    <row r="463">
      <c r="C463" s="26"/>
      <c r="D463" s="28"/>
    </row>
    <row r="464">
      <c r="C464" s="26"/>
      <c r="D464" s="28"/>
    </row>
    <row r="465">
      <c r="C465" s="26"/>
      <c r="D465" s="28"/>
    </row>
    <row r="466">
      <c r="C466" s="26"/>
      <c r="D466" s="28"/>
    </row>
    <row r="467">
      <c r="C467" s="26"/>
      <c r="D467" s="28"/>
    </row>
    <row r="468">
      <c r="C468" s="26"/>
      <c r="D468" s="28"/>
    </row>
    <row r="469">
      <c r="C469" s="26"/>
      <c r="D469" s="28"/>
    </row>
    <row r="470">
      <c r="C470" s="26"/>
      <c r="D470" s="28"/>
    </row>
    <row r="471">
      <c r="C471" s="26"/>
      <c r="D471" s="28"/>
    </row>
    <row r="472">
      <c r="C472" s="26"/>
      <c r="D472" s="28"/>
    </row>
    <row r="473">
      <c r="C473" s="26"/>
      <c r="D473" s="28"/>
    </row>
    <row r="474">
      <c r="C474" s="26"/>
      <c r="D474" s="28"/>
    </row>
    <row r="475">
      <c r="C475" s="26"/>
      <c r="D475" s="28"/>
    </row>
    <row r="476">
      <c r="C476" s="26"/>
      <c r="D476" s="28"/>
    </row>
    <row r="477">
      <c r="C477" s="26"/>
      <c r="D477" s="28"/>
    </row>
    <row r="478">
      <c r="C478" s="26"/>
      <c r="D478" s="28"/>
    </row>
    <row r="479">
      <c r="C479" s="26"/>
      <c r="D479" s="28"/>
    </row>
    <row r="480">
      <c r="C480" s="26"/>
      <c r="D480" s="28"/>
    </row>
    <row r="481">
      <c r="C481" s="26"/>
      <c r="D481" s="28"/>
    </row>
    <row r="482">
      <c r="C482" s="26"/>
      <c r="D482" s="28"/>
    </row>
    <row r="483">
      <c r="C483" s="26"/>
      <c r="D483" s="28"/>
    </row>
    <row r="484">
      <c r="C484" s="26"/>
      <c r="D484" s="28"/>
    </row>
    <row r="485">
      <c r="C485" s="26"/>
      <c r="D485" s="28"/>
    </row>
    <row r="486">
      <c r="C486" s="26"/>
      <c r="D486" s="28"/>
    </row>
    <row r="487">
      <c r="C487" s="26"/>
      <c r="D487" s="28"/>
    </row>
    <row r="488">
      <c r="C488" s="26"/>
      <c r="D488" s="28"/>
    </row>
    <row r="489">
      <c r="C489" s="26"/>
      <c r="D489" s="28"/>
    </row>
    <row r="490">
      <c r="C490" s="26"/>
      <c r="D490" s="28"/>
    </row>
    <row r="491">
      <c r="C491" s="26"/>
      <c r="D491" s="28"/>
    </row>
    <row r="492">
      <c r="C492" s="26"/>
      <c r="D492" s="28"/>
    </row>
    <row r="493">
      <c r="C493" s="26"/>
      <c r="D493" s="28"/>
    </row>
    <row r="494">
      <c r="C494" s="26"/>
      <c r="D494" s="28"/>
    </row>
    <row r="495">
      <c r="C495" s="26"/>
      <c r="D495" s="28"/>
    </row>
    <row r="496">
      <c r="C496" s="26"/>
      <c r="D496" s="28"/>
    </row>
    <row r="497">
      <c r="C497" s="26"/>
      <c r="D497" s="28"/>
    </row>
    <row r="498">
      <c r="C498" s="26"/>
      <c r="D498" s="28"/>
    </row>
    <row r="499">
      <c r="C499" s="26"/>
      <c r="D499" s="28"/>
    </row>
    <row r="500">
      <c r="C500" s="26"/>
      <c r="D500" s="28"/>
    </row>
    <row r="501">
      <c r="C501" s="26"/>
      <c r="D501" s="28"/>
    </row>
    <row r="502">
      <c r="C502" s="26"/>
      <c r="D502" s="28"/>
    </row>
    <row r="503">
      <c r="C503" s="26"/>
      <c r="D503" s="28"/>
    </row>
    <row r="504">
      <c r="C504" s="26"/>
      <c r="D504" s="28"/>
    </row>
    <row r="505">
      <c r="C505" s="26"/>
      <c r="D505" s="28"/>
    </row>
    <row r="506">
      <c r="C506" s="26"/>
      <c r="D506" s="28"/>
    </row>
    <row r="507">
      <c r="C507" s="26"/>
      <c r="D507" s="28"/>
    </row>
    <row r="508">
      <c r="C508" s="26"/>
      <c r="D508" s="28"/>
    </row>
    <row r="509">
      <c r="C509" s="26"/>
      <c r="D509" s="28"/>
    </row>
    <row r="510">
      <c r="C510" s="26"/>
      <c r="D510" s="28"/>
    </row>
    <row r="511">
      <c r="C511" s="26"/>
      <c r="D511" s="28"/>
    </row>
    <row r="512">
      <c r="C512" s="26"/>
      <c r="D512" s="28"/>
    </row>
    <row r="513">
      <c r="C513" s="26"/>
      <c r="D513" s="28"/>
    </row>
    <row r="514">
      <c r="C514" s="26"/>
      <c r="D514" s="28"/>
    </row>
    <row r="515">
      <c r="C515" s="26"/>
      <c r="D515" s="28"/>
    </row>
    <row r="516">
      <c r="C516" s="26"/>
      <c r="D516" s="28"/>
    </row>
    <row r="517">
      <c r="C517" s="26"/>
      <c r="D517" s="28"/>
    </row>
    <row r="518">
      <c r="C518" s="26"/>
      <c r="D518" s="28"/>
    </row>
    <row r="519">
      <c r="C519" s="26"/>
      <c r="D519" s="28"/>
    </row>
    <row r="520">
      <c r="C520" s="26"/>
      <c r="D520" s="28"/>
    </row>
    <row r="521">
      <c r="C521" s="26"/>
      <c r="D521" s="28"/>
    </row>
    <row r="522">
      <c r="C522" s="26"/>
      <c r="D522" s="28"/>
    </row>
    <row r="523">
      <c r="C523" s="26"/>
      <c r="D523" s="28"/>
    </row>
    <row r="524">
      <c r="C524" s="26"/>
      <c r="D524" s="28"/>
    </row>
    <row r="525">
      <c r="C525" s="26"/>
      <c r="D525" s="28"/>
    </row>
    <row r="526">
      <c r="C526" s="26"/>
      <c r="D526" s="28"/>
    </row>
    <row r="527">
      <c r="C527" s="26"/>
      <c r="D527" s="28"/>
    </row>
    <row r="528">
      <c r="C528" s="26"/>
      <c r="D528" s="28"/>
    </row>
    <row r="529">
      <c r="C529" s="26"/>
      <c r="D529" s="28"/>
    </row>
    <row r="530">
      <c r="C530" s="26"/>
      <c r="D530" s="28"/>
    </row>
    <row r="531">
      <c r="C531" s="26"/>
      <c r="D531" s="28"/>
    </row>
    <row r="532">
      <c r="C532" s="26"/>
      <c r="D532" s="28"/>
    </row>
    <row r="533">
      <c r="C533" s="26"/>
      <c r="D533" s="28"/>
    </row>
    <row r="534">
      <c r="C534" s="26"/>
      <c r="D534" s="28"/>
    </row>
    <row r="535">
      <c r="C535" s="26"/>
      <c r="D535" s="28"/>
    </row>
    <row r="536">
      <c r="C536" s="26"/>
      <c r="D536" s="28"/>
    </row>
    <row r="537">
      <c r="C537" s="26"/>
      <c r="D537" s="28"/>
    </row>
    <row r="538">
      <c r="C538" s="26"/>
      <c r="D538" s="28"/>
    </row>
    <row r="539">
      <c r="C539" s="26"/>
      <c r="D539" s="28"/>
    </row>
    <row r="540">
      <c r="C540" s="26"/>
      <c r="D540" s="28"/>
    </row>
    <row r="541">
      <c r="C541" s="26"/>
      <c r="D541" s="28"/>
    </row>
    <row r="542">
      <c r="C542" s="26"/>
      <c r="D542" s="28"/>
    </row>
    <row r="543">
      <c r="C543" s="26"/>
      <c r="D543" s="28"/>
    </row>
    <row r="544">
      <c r="C544" s="26"/>
      <c r="D544" s="28"/>
    </row>
    <row r="545">
      <c r="C545" s="26"/>
      <c r="D545" s="28"/>
    </row>
    <row r="546">
      <c r="C546" s="26"/>
      <c r="D546" s="28"/>
    </row>
    <row r="547">
      <c r="C547" s="26"/>
      <c r="D547" s="28"/>
    </row>
    <row r="548">
      <c r="C548" s="26"/>
      <c r="D548" s="28"/>
    </row>
    <row r="549">
      <c r="C549" s="26"/>
      <c r="D549" s="28"/>
    </row>
    <row r="550">
      <c r="C550" s="26"/>
      <c r="D550" s="28"/>
    </row>
    <row r="551">
      <c r="C551" s="26"/>
      <c r="D551" s="28"/>
    </row>
    <row r="552">
      <c r="C552" s="26"/>
      <c r="D552" s="28"/>
    </row>
    <row r="553">
      <c r="C553" s="26"/>
      <c r="D553" s="28"/>
    </row>
    <row r="554">
      <c r="C554" s="26"/>
      <c r="D554" s="28"/>
    </row>
    <row r="555">
      <c r="C555" s="26"/>
      <c r="D555" s="28"/>
    </row>
    <row r="556">
      <c r="C556" s="26"/>
      <c r="D556" s="28"/>
    </row>
    <row r="557">
      <c r="C557" s="26"/>
      <c r="D557" s="28"/>
    </row>
    <row r="558">
      <c r="C558" s="26"/>
      <c r="D558" s="28"/>
    </row>
    <row r="559">
      <c r="C559" s="26"/>
      <c r="D559" s="28"/>
    </row>
    <row r="560">
      <c r="C560" s="26"/>
      <c r="D560" s="28"/>
    </row>
    <row r="561">
      <c r="C561" s="26"/>
      <c r="D561" s="28"/>
    </row>
    <row r="562">
      <c r="C562" s="26"/>
      <c r="D562" s="28"/>
    </row>
    <row r="563">
      <c r="C563" s="26"/>
      <c r="D563" s="28"/>
    </row>
    <row r="564">
      <c r="C564" s="26"/>
      <c r="D564" s="28"/>
    </row>
    <row r="565">
      <c r="C565" s="26"/>
      <c r="D565" s="28"/>
    </row>
    <row r="566">
      <c r="C566" s="26"/>
      <c r="D566" s="28"/>
    </row>
    <row r="567">
      <c r="C567" s="26"/>
      <c r="D567" s="28"/>
    </row>
    <row r="568">
      <c r="C568" s="26"/>
      <c r="D568" s="28"/>
    </row>
    <row r="569">
      <c r="C569" s="26"/>
      <c r="D569" s="28"/>
    </row>
    <row r="570">
      <c r="C570" s="26"/>
      <c r="D570" s="28"/>
    </row>
    <row r="571">
      <c r="C571" s="26"/>
      <c r="D571" s="28"/>
    </row>
    <row r="572">
      <c r="C572" s="26"/>
      <c r="D572" s="28"/>
    </row>
    <row r="573">
      <c r="C573" s="26"/>
      <c r="D573" s="28"/>
    </row>
    <row r="574">
      <c r="C574" s="26"/>
      <c r="D574" s="28"/>
    </row>
    <row r="575">
      <c r="C575" s="26"/>
      <c r="D575" s="28"/>
    </row>
    <row r="576">
      <c r="C576" s="26"/>
      <c r="D576" s="28"/>
    </row>
    <row r="577">
      <c r="C577" s="26"/>
      <c r="D577" s="28"/>
    </row>
    <row r="578">
      <c r="C578" s="26"/>
      <c r="D578" s="28"/>
    </row>
    <row r="579">
      <c r="C579" s="26"/>
      <c r="D579" s="28"/>
    </row>
    <row r="580">
      <c r="C580" s="26"/>
      <c r="D580" s="28"/>
    </row>
    <row r="581">
      <c r="C581" s="26"/>
      <c r="D581" s="28"/>
    </row>
    <row r="582">
      <c r="C582" s="26"/>
      <c r="D582" s="28"/>
    </row>
    <row r="583">
      <c r="C583" s="26"/>
      <c r="D583" s="28"/>
    </row>
    <row r="584">
      <c r="C584" s="26"/>
      <c r="D584" s="28"/>
    </row>
    <row r="585">
      <c r="C585" s="26"/>
      <c r="D585" s="28"/>
    </row>
    <row r="586">
      <c r="C586" s="26"/>
      <c r="D586" s="28"/>
    </row>
    <row r="587">
      <c r="C587" s="26"/>
      <c r="D587" s="28"/>
    </row>
    <row r="588">
      <c r="C588" s="26"/>
      <c r="D588" s="28"/>
    </row>
    <row r="589">
      <c r="C589" s="26"/>
      <c r="D589" s="28"/>
    </row>
    <row r="590">
      <c r="C590" s="26"/>
      <c r="D590" s="28"/>
    </row>
    <row r="591">
      <c r="C591" s="26"/>
      <c r="D591" s="28"/>
    </row>
    <row r="592">
      <c r="C592" s="26"/>
      <c r="D592" s="28"/>
    </row>
    <row r="593">
      <c r="C593" s="26"/>
      <c r="D593" s="28"/>
    </row>
    <row r="594">
      <c r="C594" s="26"/>
      <c r="D594" s="28"/>
    </row>
    <row r="595">
      <c r="C595" s="26"/>
      <c r="D595" s="28"/>
    </row>
    <row r="596">
      <c r="C596" s="26"/>
      <c r="D596" s="28"/>
    </row>
    <row r="597">
      <c r="C597" s="26"/>
      <c r="D597" s="28"/>
    </row>
    <row r="598">
      <c r="C598" s="26"/>
      <c r="D598" s="28"/>
    </row>
    <row r="599">
      <c r="C599" s="26"/>
      <c r="D599" s="28"/>
    </row>
    <row r="600">
      <c r="C600" s="26"/>
      <c r="D600" s="28"/>
    </row>
    <row r="601">
      <c r="C601" s="26"/>
      <c r="D601" s="28"/>
    </row>
    <row r="602">
      <c r="C602" s="26"/>
      <c r="D602" s="28"/>
    </row>
    <row r="603">
      <c r="C603" s="26"/>
      <c r="D603" s="28"/>
    </row>
    <row r="604">
      <c r="C604" s="26"/>
      <c r="D604" s="28"/>
    </row>
    <row r="605">
      <c r="C605" s="26"/>
      <c r="D605" s="28"/>
    </row>
    <row r="606">
      <c r="C606" s="26"/>
      <c r="D606" s="28"/>
    </row>
    <row r="607">
      <c r="C607" s="26"/>
      <c r="D607" s="28"/>
    </row>
    <row r="608">
      <c r="C608" s="26"/>
      <c r="D608" s="28"/>
    </row>
    <row r="609">
      <c r="C609" s="26"/>
      <c r="D609" s="28"/>
    </row>
    <row r="610">
      <c r="C610" s="26"/>
      <c r="D610" s="28"/>
    </row>
    <row r="611">
      <c r="C611" s="26"/>
      <c r="D611" s="28"/>
    </row>
    <row r="612">
      <c r="C612" s="26"/>
      <c r="D612" s="28"/>
    </row>
    <row r="613">
      <c r="C613" s="26"/>
      <c r="D613" s="28"/>
    </row>
    <row r="614">
      <c r="C614" s="26"/>
      <c r="D614" s="28"/>
    </row>
    <row r="615">
      <c r="C615" s="26"/>
      <c r="D615" s="28"/>
    </row>
    <row r="616">
      <c r="C616" s="26"/>
      <c r="D616" s="28"/>
    </row>
    <row r="617">
      <c r="C617" s="26"/>
      <c r="D617" s="28"/>
    </row>
    <row r="618">
      <c r="C618" s="26"/>
      <c r="D618" s="28"/>
    </row>
    <row r="619">
      <c r="C619" s="26"/>
      <c r="D619" s="28"/>
    </row>
    <row r="620">
      <c r="C620" s="26"/>
      <c r="D620" s="28"/>
    </row>
    <row r="621">
      <c r="C621" s="26"/>
      <c r="D621" s="28"/>
    </row>
    <row r="622">
      <c r="C622" s="26"/>
      <c r="D622" s="28"/>
    </row>
    <row r="623">
      <c r="C623" s="26"/>
      <c r="D623" s="28"/>
    </row>
    <row r="624">
      <c r="C624" s="26"/>
      <c r="D624" s="28"/>
    </row>
    <row r="625">
      <c r="C625" s="26"/>
      <c r="D625" s="28"/>
    </row>
    <row r="626">
      <c r="C626" s="26"/>
      <c r="D626" s="28"/>
    </row>
    <row r="627">
      <c r="C627" s="26"/>
      <c r="D627" s="28"/>
    </row>
    <row r="628">
      <c r="C628" s="26"/>
      <c r="D628" s="28"/>
    </row>
    <row r="629">
      <c r="C629" s="26"/>
      <c r="D629" s="28"/>
    </row>
    <row r="630">
      <c r="C630" s="26"/>
      <c r="D630" s="28"/>
    </row>
    <row r="631">
      <c r="C631" s="26"/>
      <c r="D631" s="28"/>
    </row>
    <row r="632">
      <c r="C632" s="26"/>
      <c r="D632" s="28"/>
    </row>
    <row r="633">
      <c r="C633" s="26"/>
      <c r="D633" s="28"/>
    </row>
    <row r="634">
      <c r="C634" s="26"/>
      <c r="D634" s="28"/>
    </row>
    <row r="635">
      <c r="C635" s="26"/>
      <c r="D635" s="28"/>
    </row>
    <row r="636">
      <c r="C636" s="26"/>
      <c r="D636" s="28"/>
    </row>
    <row r="637">
      <c r="C637" s="26"/>
      <c r="D637" s="28"/>
    </row>
    <row r="638">
      <c r="C638" s="26"/>
      <c r="D638" s="28"/>
    </row>
    <row r="639">
      <c r="C639" s="26"/>
      <c r="D639" s="28"/>
    </row>
    <row r="640">
      <c r="C640" s="26"/>
      <c r="D640" s="28"/>
    </row>
    <row r="641">
      <c r="C641" s="26"/>
      <c r="D641" s="28"/>
    </row>
    <row r="642">
      <c r="C642" s="26"/>
      <c r="D642" s="28"/>
    </row>
    <row r="643">
      <c r="C643" s="26"/>
      <c r="D643" s="28"/>
    </row>
    <row r="644">
      <c r="C644" s="26"/>
      <c r="D644" s="28"/>
    </row>
    <row r="645">
      <c r="C645" s="26"/>
      <c r="D645" s="28"/>
    </row>
    <row r="646">
      <c r="C646" s="26"/>
      <c r="D646" s="28"/>
    </row>
    <row r="647">
      <c r="C647" s="26"/>
      <c r="D647" s="28"/>
    </row>
    <row r="648">
      <c r="C648" s="26"/>
      <c r="D648" s="28"/>
    </row>
    <row r="649">
      <c r="C649" s="26"/>
      <c r="D649" s="28"/>
    </row>
    <row r="650">
      <c r="C650" s="26"/>
      <c r="D650" s="28"/>
    </row>
    <row r="651">
      <c r="C651" s="26"/>
      <c r="D651" s="28"/>
    </row>
    <row r="652">
      <c r="C652" s="26"/>
      <c r="D652" s="28"/>
    </row>
    <row r="653">
      <c r="C653" s="26"/>
      <c r="D653" s="28"/>
    </row>
    <row r="654">
      <c r="C654" s="26"/>
      <c r="D654" s="28"/>
    </row>
    <row r="655">
      <c r="C655" s="26"/>
      <c r="D655" s="28"/>
    </row>
    <row r="656">
      <c r="C656" s="26"/>
      <c r="D656" s="28"/>
    </row>
    <row r="657">
      <c r="C657" s="26"/>
      <c r="D657" s="28"/>
    </row>
    <row r="658">
      <c r="C658" s="26"/>
      <c r="D658" s="28"/>
    </row>
    <row r="659">
      <c r="C659" s="26"/>
      <c r="D659" s="28"/>
    </row>
    <row r="660">
      <c r="C660" s="26"/>
      <c r="D660" s="28"/>
    </row>
    <row r="661">
      <c r="C661" s="26"/>
      <c r="D661" s="28"/>
    </row>
    <row r="662">
      <c r="C662" s="26"/>
      <c r="D662" s="28"/>
    </row>
    <row r="663">
      <c r="C663" s="26"/>
      <c r="D663" s="28"/>
    </row>
    <row r="664">
      <c r="C664" s="26"/>
      <c r="D664" s="28"/>
    </row>
    <row r="665">
      <c r="C665" s="26"/>
      <c r="D665" s="28"/>
    </row>
    <row r="666">
      <c r="C666" s="26"/>
      <c r="D666" s="28"/>
    </row>
    <row r="667">
      <c r="C667" s="26"/>
      <c r="D667" s="28"/>
    </row>
    <row r="668">
      <c r="C668" s="26"/>
      <c r="D668" s="28"/>
    </row>
    <row r="669">
      <c r="C669" s="26"/>
      <c r="D669" s="28"/>
    </row>
    <row r="670">
      <c r="C670" s="26"/>
      <c r="D670" s="28"/>
    </row>
    <row r="671">
      <c r="C671" s="26"/>
      <c r="D671" s="28"/>
    </row>
    <row r="672">
      <c r="C672" s="26"/>
      <c r="D672" s="28"/>
    </row>
    <row r="673">
      <c r="C673" s="26"/>
      <c r="D673" s="28"/>
    </row>
    <row r="674">
      <c r="C674" s="26"/>
      <c r="D674" s="28"/>
    </row>
    <row r="675">
      <c r="C675" s="26"/>
      <c r="D675" s="28"/>
    </row>
    <row r="676">
      <c r="C676" s="26"/>
      <c r="D676" s="28"/>
    </row>
    <row r="677">
      <c r="C677" s="26"/>
      <c r="D677" s="28"/>
    </row>
    <row r="678">
      <c r="C678" s="26"/>
      <c r="D678" s="28"/>
    </row>
    <row r="679">
      <c r="C679" s="26"/>
      <c r="D679" s="28"/>
    </row>
    <row r="680">
      <c r="C680" s="26"/>
      <c r="D680" s="28"/>
    </row>
    <row r="681">
      <c r="C681" s="26"/>
      <c r="D681" s="28"/>
    </row>
    <row r="682">
      <c r="C682" s="26"/>
      <c r="D682" s="28"/>
    </row>
    <row r="683">
      <c r="C683" s="26"/>
      <c r="D683" s="28"/>
    </row>
    <row r="684">
      <c r="C684" s="26"/>
      <c r="D684" s="28"/>
    </row>
    <row r="685">
      <c r="C685" s="26"/>
      <c r="D685" s="28"/>
    </row>
    <row r="686">
      <c r="C686" s="26"/>
      <c r="D686" s="28"/>
    </row>
    <row r="687">
      <c r="C687" s="26"/>
      <c r="D687" s="28"/>
    </row>
    <row r="688">
      <c r="C688" s="26"/>
      <c r="D688" s="28"/>
    </row>
    <row r="689">
      <c r="C689" s="26"/>
      <c r="D689" s="28"/>
    </row>
    <row r="690">
      <c r="C690" s="26"/>
      <c r="D690" s="28"/>
    </row>
    <row r="691">
      <c r="C691" s="26"/>
      <c r="D691" s="28"/>
    </row>
    <row r="692">
      <c r="C692" s="26"/>
      <c r="D692" s="28"/>
    </row>
    <row r="693">
      <c r="C693" s="26"/>
      <c r="D693" s="28"/>
    </row>
    <row r="694">
      <c r="C694" s="26"/>
      <c r="D694" s="28"/>
    </row>
    <row r="695">
      <c r="C695" s="26"/>
      <c r="D695" s="28"/>
    </row>
    <row r="696">
      <c r="C696" s="26"/>
      <c r="D696" s="28"/>
    </row>
    <row r="697">
      <c r="C697" s="26"/>
      <c r="D697" s="28"/>
    </row>
    <row r="698">
      <c r="C698" s="26"/>
      <c r="D698" s="28"/>
    </row>
    <row r="699">
      <c r="C699" s="26"/>
      <c r="D699" s="28"/>
    </row>
    <row r="700">
      <c r="C700" s="26"/>
      <c r="D700" s="28"/>
    </row>
    <row r="701">
      <c r="C701" s="26"/>
      <c r="D701" s="28"/>
    </row>
    <row r="702">
      <c r="C702" s="26"/>
      <c r="D702" s="28"/>
    </row>
    <row r="703">
      <c r="C703" s="26"/>
      <c r="D703" s="28"/>
    </row>
    <row r="704">
      <c r="C704" s="26"/>
      <c r="D704" s="28"/>
    </row>
    <row r="705">
      <c r="C705" s="26"/>
      <c r="D705" s="28"/>
    </row>
    <row r="706">
      <c r="C706" s="26"/>
      <c r="D706" s="28"/>
    </row>
    <row r="707">
      <c r="C707" s="26"/>
      <c r="D707" s="28"/>
    </row>
    <row r="708">
      <c r="C708" s="26"/>
      <c r="D708" s="28"/>
    </row>
    <row r="709">
      <c r="C709" s="26"/>
      <c r="D709" s="28"/>
    </row>
    <row r="710">
      <c r="C710" s="26"/>
      <c r="D710" s="28"/>
    </row>
    <row r="711">
      <c r="C711" s="26"/>
      <c r="D711" s="28"/>
    </row>
    <row r="712">
      <c r="C712" s="26"/>
      <c r="D712" s="28"/>
    </row>
    <row r="713">
      <c r="C713" s="26"/>
      <c r="D713" s="28"/>
    </row>
    <row r="714">
      <c r="C714" s="26"/>
      <c r="D714" s="28"/>
    </row>
    <row r="715">
      <c r="C715" s="26"/>
      <c r="D715" s="28"/>
    </row>
    <row r="716">
      <c r="C716" s="26"/>
      <c r="D716" s="28"/>
    </row>
    <row r="717">
      <c r="C717" s="26"/>
      <c r="D717" s="28"/>
    </row>
    <row r="718">
      <c r="C718" s="26"/>
      <c r="D718" s="28"/>
    </row>
    <row r="719">
      <c r="C719" s="26"/>
      <c r="D719" s="28"/>
    </row>
    <row r="720">
      <c r="C720" s="26"/>
      <c r="D720" s="28"/>
    </row>
    <row r="721">
      <c r="C721" s="26"/>
      <c r="D721" s="28"/>
    </row>
    <row r="722">
      <c r="C722" s="26"/>
      <c r="D722" s="28"/>
    </row>
    <row r="723">
      <c r="C723" s="26"/>
      <c r="D723" s="28"/>
    </row>
    <row r="724">
      <c r="C724" s="26"/>
      <c r="D724" s="28"/>
    </row>
    <row r="725">
      <c r="C725" s="26"/>
      <c r="D725" s="28"/>
    </row>
    <row r="726">
      <c r="C726" s="26"/>
      <c r="D726" s="28"/>
    </row>
    <row r="727">
      <c r="C727" s="26"/>
      <c r="D727" s="28"/>
    </row>
    <row r="728">
      <c r="C728" s="26"/>
      <c r="D728" s="28"/>
    </row>
    <row r="729">
      <c r="C729" s="26"/>
      <c r="D729" s="28"/>
    </row>
    <row r="730">
      <c r="C730" s="26"/>
      <c r="D730" s="28"/>
    </row>
    <row r="731">
      <c r="C731" s="26"/>
      <c r="D731" s="28"/>
    </row>
    <row r="732">
      <c r="C732" s="26"/>
      <c r="D732" s="28"/>
    </row>
    <row r="733">
      <c r="C733" s="26"/>
      <c r="D733" s="28"/>
    </row>
    <row r="734">
      <c r="C734" s="26"/>
      <c r="D734" s="28"/>
    </row>
    <row r="735">
      <c r="C735" s="26"/>
      <c r="D735" s="28"/>
    </row>
    <row r="736">
      <c r="C736" s="26"/>
      <c r="D736" s="28"/>
    </row>
    <row r="737">
      <c r="C737" s="26"/>
      <c r="D737" s="28"/>
    </row>
    <row r="738">
      <c r="C738" s="26"/>
      <c r="D738" s="28"/>
    </row>
    <row r="739">
      <c r="C739" s="26"/>
      <c r="D739" s="28"/>
    </row>
    <row r="740">
      <c r="C740" s="26"/>
      <c r="D740" s="28"/>
    </row>
    <row r="741">
      <c r="C741" s="26"/>
      <c r="D741" s="28"/>
    </row>
    <row r="742">
      <c r="C742" s="26"/>
      <c r="D742" s="28"/>
    </row>
    <row r="743">
      <c r="C743" s="26"/>
      <c r="D743" s="28"/>
    </row>
    <row r="744">
      <c r="C744" s="26"/>
      <c r="D744" s="28"/>
    </row>
    <row r="745">
      <c r="C745" s="26"/>
      <c r="D745" s="28"/>
    </row>
    <row r="746">
      <c r="C746" s="26"/>
      <c r="D746" s="28"/>
    </row>
    <row r="747">
      <c r="C747" s="26"/>
      <c r="D747" s="28"/>
    </row>
    <row r="748">
      <c r="C748" s="26"/>
      <c r="D748" s="28"/>
    </row>
    <row r="749">
      <c r="C749" s="26"/>
      <c r="D749" s="28"/>
    </row>
    <row r="750">
      <c r="C750" s="26"/>
      <c r="D750" s="28"/>
    </row>
    <row r="751">
      <c r="C751" s="26"/>
      <c r="D751" s="28"/>
    </row>
    <row r="752">
      <c r="C752" s="26"/>
      <c r="D752" s="28"/>
    </row>
    <row r="753">
      <c r="C753" s="26"/>
      <c r="D753" s="28"/>
    </row>
    <row r="754">
      <c r="C754" s="26"/>
      <c r="D754" s="28"/>
    </row>
    <row r="755">
      <c r="C755" s="26"/>
      <c r="D755" s="28"/>
    </row>
    <row r="756">
      <c r="C756" s="26"/>
      <c r="D756" s="28"/>
    </row>
    <row r="757">
      <c r="C757" s="26"/>
      <c r="D757" s="28"/>
    </row>
    <row r="758">
      <c r="C758" s="26"/>
      <c r="D758" s="28"/>
    </row>
    <row r="759">
      <c r="C759" s="26"/>
      <c r="D759" s="28"/>
    </row>
    <row r="760">
      <c r="C760" s="26"/>
      <c r="D760" s="28"/>
    </row>
    <row r="761">
      <c r="C761" s="26"/>
      <c r="D761" s="28"/>
    </row>
    <row r="762">
      <c r="C762" s="26"/>
      <c r="D762" s="28"/>
    </row>
    <row r="763">
      <c r="C763" s="26"/>
      <c r="D763" s="28"/>
    </row>
    <row r="764">
      <c r="C764" s="26"/>
      <c r="D764" s="28"/>
    </row>
    <row r="765">
      <c r="C765" s="26"/>
      <c r="D765" s="28"/>
    </row>
    <row r="766">
      <c r="C766" s="26"/>
      <c r="D766" s="28"/>
    </row>
    <row r="767">
      <c r="C767" s="26"/>
      <c r="D767" s="28"/>
    </row>
    <row r="768">
      <c r="C768" s="26"/>
      <c r="D768" s="28"/>
    </row>
    <row r="769">
      <c r="C769" s="26"/>
      <c r="D769" s="28"/>
    </row>
    <row r="770">
      <c r="C770" s="26"/>
      <c r="D770" s="28"/>
    </row>
    <row r="771">
      <c r="C771" s="26"/>
      <c r="D771" s="28"/>
    </row>
    <row r="772">
      <c r="C772" s="26"/>
      <c r="D772" s="28"/>
    </row>
    <row r="773">
      <c r="C773" s="26"/>
      <c r="D773" s="28"/>
    </row>
    <row r="774">
      <c r="C774" s="26"/>
      <c r="D774" s="28"/>
    </row>
    <row r="775">
      <c r="C775" s="26"/>
      <c r="D775" s="28"/>
    </row>
    <row r="776">
      <c r="C776" s="26"/>
      <c r="D776" s="28"/>
    </row>
    <row r="777">
      <c r="C777" s="26"/>
      <c r="D777" s="28"/>
    </row>
    <row r="778">
      <c r="C778" s="26"/>
      <c r="D778" s="28"/>
    </row>
    <row r="779">
      <c r="C779" s="26"/>
      <c r="D779" s="28"/>
    </row>
    <row r="780">
      <c r="C780" s="26"/>
      <c r="D780" s="28"/>
    </row>
    <row r="781">
      <c r="C781" s="26"/>
      <c r="D781" s="28"/>
    </row>
    <row r="782">
      <c r="C782" s="26"/>
      <c r="D782" s="28"/>
    </row>
    <row r="783">
      <c r="C783" s="26"/>
      <c r="D783" s="28"/>
    </row>
    <row r="784">
      <c r="C784" s="26"/>
      <c r="D784" s="28"/>
    </row>
    <row r="785">
      <c r="C785" s="26"/>
      <c r="D785" s="28"/>
    </row>
    <row r="786">
      <c r="C786" s="26"/>
      <c r="D786" s="28"/>
    </row>
    <row r="787">
      <c r="C787" s="26"/>
      <c r="D787" s="28"/>
    </row>
    <row r="788">
      <c r="C788" s="26"/>
      <c r="D788" s="28"/>
    </row>
    <row r="789">
      <c r="C789" s="26"/>
      <c r="D789" s="28"/>
    </row>
    <row r="790">
      <c r="C790" s="26"/>
      <c r="D790" s="28"/>
    </row>
    <row r="791">
      <c r="C791" s="26"/>
      <c r="D791" s="28"/>
    </row>
    <row r="792">
      <c r="C792" s="26"/>
      <c r="D792" s="28"/>
    </row>
    <row r="793">
      <c r="C793" s="26"/>
      <c r="D793" s="28"/>
    </row>
    <row r="794">
      <c r="C794" s="26"/>
      <c r="D794" s="28"/>
    </row>
    <row r="795">
      <c r="C795" s="26"/>
      <c r="D795" s="28"/>
    </row>
    <row r="796">
      <c r="C796" s="26"/>
      <c r="D796" s="28"/>
    </row>
    <row r="797">
      <c r="C797" s="26"/>
      <c r="D797" s="28"/>
    </row>
    <row r="798">
      <c r="C798" s="26"/>
      <c r="D798" s="28"/>
    </row>
    <row r="799">
      <c r="C799" s="26"/>
      <c r="D799" s="28"/>
    </row>
    <row r="800">
      <c r="C800" s="26"/>
      <c r="D800" s="28"/>
    </row>
    <row r="801">
      <c r="C801" s="26"/>
      <c r="D801" s="28"/>
    </row>
    <row r="802">
      <c r="C802" s="26"/>
      <c r="D802" s="28"/>
    </row>
    <row r="803">
      <c r="C803" s="26"/>
      <c r="D803" s="28"/>
    </row>
    <row r="804">
      <c r="C804" s="26"/>
      <c r="D804" s="28"/>
    </row>
    <row r="805">
      <c r="C805" s="26"/>
      <c r="D805" s="28"/>
    </row>
    <row r="806">
      <c r="C806" s="26"/>
      <c r="D806" s="28"/>
    </row>
    <row r="807">
      <c r="C807" s="26"/>
      <c r="D807" s="28"/>
    </row>
    <row r="808">
      <c r="C808" s="26"/>
      <c r="D808" s="28"/>
    </row>
    <row r="809">
      <c r="C809" s="26"/>
      <c r="D809" s="28"/>
    </row>
    <row r="810">
      <c r="C810" s="26"/>
      <c r="D810" s="28"/>
    </row>
    <row r="811">
      <c r="C811" s="26"/>
      <c r="D811" s="28"/>
    </row>
    <row r="812">
      <c r="C812" s="26"/>
      <c r="D812" s="28"/>
    </row>
    <row r="813">
      <c r="C813" s="26"/>
      <c r="D813" s="28"/>
    </row>
    <row r="814">
      <c r="C814" s="26"/>
      <c r="D814" s="28"/>
    </row>
    <row r="815">
      <c r="C815" s="26"/>
      <c r="D815" s="28"/>
    </row>
    <row r="816">
      <c r="C816" s="26"/>
      <c r="D816" s="28"/>
    </row>
    <row r="817">
      <c r="C817" s="26"/>
      <c r="D817" s="28"/>
    </row>
    <row r="818">
      <c r="C818" s="26"/>
      <c r="D818" s="28"/>
    </row>
    <row r="819">
      <c r="C819" s="26"/>
      <c r="D819" s="28"/>
    </row>
    <row r="820">
      <c r="C820" s="26"/>
      <c r="D820" s="28"/>
    </row>
    <row r="821">
      <c r="C821" s="26"/>
      <c r="D821" s="28"/>
    </row>
    <row r="822">
      <c r="C822" s="26"/>
      <c r="D822" s="28"/>
    </row>
    <row r="823">
      <c r="C823" s="26"/>
      <c r="D823" s="28"/>
    </row>
    <row r="824">
      <c r="C824" s="26"/>
      <c r="D824" s="28"/>
    </row>
    <row r="825">
      <c r="C825" s="26"/>
      <c r="D825" s="28"/>
    </row>
    <row r="826">
      <c r="C826" s="26"/>
      <c r="D826" s="28"/>
    </row>
    <row r="827">
      <c r="C827" s="26"/>
      <c r="D827" s="28"/>
    </row>
    <row r="828">
      <c r="C828" s="26"/>
      <c r="D828" s="28"/>
    </row>
    <row r="829">
      <c r="C829" s="26"/>
      <c r="D829" s="28"/>
    </row>
    <row r="830">
      <c r="C830" s="26"/>
      <c r="D830" s="28"/>
    </row>
    <row r="831">
      <c r="C831" s="26"/>
      <c r="D831" s="28"/>
    </row>
    <row r="832">
      <c r="C832" s="26"/>
      <c r="D832" s="28"/>
    </row>
    <row r="833">
      <c r="C833" s="26"/>
      <c r="D833" s="28"/>
    </row>
    <row r="834">
      <c r="C834" s="26"/>
      <c r="D834" s="28"/>
    </row>
    <row r="835">
      <c r="C835" s="26"/>
      <c r="D835" s="28"/>
    </row>
    <row r="836">
      <c r="C836" s="26"/>
      <c r="D836" s="28"/>
    </row>
    <row r="837">
      <c r="C837" s="26"/>
      <c r="D837" s="28"/>
    </row>
    <row r="838">
      <c r="C838" s="26"/>
      <c r="D838" s="28"/>
    </row>
    <row r="839">
      <c r="C839" s="26"/>
      <c r="D839" s="28"/>
    </row>
    <row r="840">
      <c r="C840" s="26"/>
      <c r="D840" s="28"/>
    </row>
    <row r="841">
      <c r="C841" s="26"/>
      <c r="D841" s="28"/>
    </row>
    <row r="842">
      <c r="C842" s="26"/>
      <c r="D842" s="28"/>
    </row>
    <row r="843">
      <c r="C843" s="26"/>
      <c r="D843" s="28"/>
    </row>
    <row r="844">
      <c r="C844" s="26"/>
      <c r="D844" s="28"/>
    </row>
    <row r="845">
      <c r="C845" s="26"/>
      <c r="D845" s="28"/>
    </row>
    <row r="846">
      <c r="C846" s="26"/>
      <c r="D846" s="28"/>
    </row>
    <row r="847">
      <c r="C847" s="26"/>
      <c r="D847" s="28"/>
    </row>
    <row r="848">
      <c r="C848" s="26"/>
      <c r="D848" s="28"/>
    </row>
    <row r="849">
      <c r="C849" s="26"/>
      <c r="D849" s="28"/>
    </row>
    <row r="850">
      <c r="C850" s="26"/>
      <c r="D850" s="28"/>
    </row>
    <row r="851">
      <c r="C851" s="26"/>
      <c r="D851" s="28"/>
    </row>
    <row r="852">
      <c r="C852" s="26"/>
      <c r="D852" s="28"/>
    </row>
    <row r="853">
      <c r="C853" s="26"/>
      <c r="D853" s="28"/>
    </row>
    <row r="854">
      <c r="C854" s="26"/>
      <c r="D854" s="28"/>
    </row>
    <row r="855">
      <c r="C855" s="26"/>
      <c r="D855" s="28"/>
    </row>
    <row r="856">
      <c r="C856" s="26"/>
      <c r="D856" s="28"/>
    </row>
    <row r="857">
      <c r="C857" s="26"/>
      <c r="D857" s="28"/>
    </row>
    <row r="858">
      <c r="C858" s="26"/>
      <c r="D858" s="28"/>
    </row>
    <row r="859">
      <c r="C859" s="26"/>
      <c r="D859" s="28"/>
    </row>
    <row r="860">
      <c r="C860" s="26"/>
      <c r="D860" s="28"/>
    </row>
    <row r="861">
      <c r="C861" s="26"/>
      <c r="D861" s="28"/>
    </row>
    <row r="862">
      <c r="C862" s="26"/>
      <c r="D862" s="28"/>
    </row>
    <row r="863">
      <c r="C863" s="26"/>
      <c r="D863" s="28"/>
    </row>
    <row r="864">
      <c r="C864" s="26"/>
      <c r="D864" s="28"/>
    </row>
    <row r="865">
      <c r="C865" s="26"/>
      <c r="D865" s="28"/>
    </row>
    <row r="866">
      <c r="C866" s="26"/>
      <c r="D866" s="28"/>
    </row>
    <row r="867">
      <c r="C867" s="26"/>
      <c r="D867" s="28"/>
    </row>
    <row r="868">
      <c r="C868" s="26"/>
      <c r="D868" s="28"/>
    </row>
    <row r="869">
      <c r="C869" s="26"/>
      <c r="D869" s="28"/>
    </row>
    <row r="870">
      <c r="C870" s="26"/>
      <c r="D870" s="28"/>
    </row>
    <row r="871">
      <c r="C871" s="26"/>
      <c r="D871" s="28"/>
    </row>
    <row r="872">
      <c r="C872" s="26"/>
      <c r="D872" s="28"/>
    </row>
    <row r="873">
      <c r="C873" s="26"/>
      <c r="D873" s="28"/>
    </row>
    <row r="874">
      <c r="C874" s="26"/>
      <c r="D874" s="28"/>
    </row>
    <row r="875">
      <c r="C875" s="26"/>
      <c r="D875" s="28"/>
    </row>
    <row r="876">
      <c r="C876" s="26"/>
      <c r="D876" s="28"/>
    </row>
    <row r="877">
      <c r="C877" s="26"/>
      <c r="D877" s="28"/>
    </row>
    <row r="878">
      <c r="C878" s="26"/>
      <c r="D878" s="28"/>
    </row>
    <row r="879">
      <c r="C879" s="26"/>
      <c r="D879" s="28"/>
    </row>
    <row r="880">
      <c r="C880" s="26"/>
      <c r="D880" s="28"/>
    </row>
    <row r="881">
      <c r="C881" s="26"/>
      <c r="D881" s="28"/>
    </row>
    <row r="882">
      <c r="C882" s="26"/>
      <c r="D882" s="28"/>
    </row>
    <row r="883">
      <c r="C883" s="26"/>
      <c r="D883" s="28"/>
    </row>
    <row r="884">
      <c r="C884" s="26"/>
      <c r="D884" s="28"/>
    </row>
    <row r="885">
      <c r="C885" s="26"/>
      <c r="D885" s="28"/>
    </row>
    <row r="886">
      <c r="C886" s="26"/>
      <c r="D886" s="28"/>
    </row>
    <row r="887">
      <c r="C887" s="26"/>
      <c r="D887" s="28"/>
    </row>
    <row r="888">
      <c r="C888" s="26"/>
      <c r="D888" s="28"/>
    </row>
    <row r="889">
      <c r="C889" s="26"/>
      <c r="D889" s="28"/>
    </row>
    <row r="890">
      <c r="C890" s="26"/>
      <c r="D890" s="28"/>
    </row>
    <row r="891">
      <c r="C891" s="26"/>
      <c r="D891" s="28"/>
    </row>
    <row r="892">
      <c r="C892" s="26"/>
      <c r="D892" s="28"/>
    </row>
    <row r="893">
      <c r="C893" s="26"/>
      <c r="D893" s="28"/>
    </row>
    <row r="894">
      <c r="C894" s="26"/>
      <c r="D894" s="28"/>
    </row>
    <row r="895">
      <c r="C895" s="26"/>
      <c r="D895" s="28"/>
    </row>
    <row r="896">
      <c r="C896" s="26"/>
      <c r="D896" s="28"/>
    </row>
    <row r="897">
      <c r="C897" s="26"/>
      <c r="D897" s="28"/>
    </row>
    <row r="898">
      <c r="C898" s="26"/>
      <c r="D898" s="28"/>
    </row>
    <row r="899">
      <c r="C899" s="26"/>
      <c r="D899" s="28"/>
    </row>
    <row r="900">
      <c r="C900" s="26"/>
      <c r="D900" s="28"/>
    </row>
    <row r="901">
      <c r="C901" s="26"/>
      <c r="D901" s="28"/>
    </row>
    <row r="902">
      <c r="C902" s="26"/>
      <c r="D902" s="28"/>
    </row>
    <row r="903">
      <c r="C903" s="26"/>
      <c r="D903" s="28"/>
    </row>
    <row r="904">
      <c r="C904" s="26"/>
      <c r="D904" s="28"/>
    </row>
    <row r="905">
      <c r="C905" s="26"/>
      <c r="D905" s="28"/>
    </row>
    <row r="906">
      <c r="C906" s="26"/>
      <c r="D906" s="28"/>
    </row>
    <row r="907">
      <c r="C907" s="26"/>
      <c r="D907" s="28"/>
    </row>
    <row r="908">
      <c r="C908" s="26"/>
      <c r="D908" s="28"/>
    </row>
    <row r="909">
      <c r="C909" s="26"/>
      <c r="D909" s="28"/>
    </row>
    <row r="910">
      <c r="C910" s="26"/>
      <c r="D910" s="28"/>
    </row>
    <row r="911">
      <c r="C911" s="26"/>
      <c r="D911" s="28"/>
    </row>
    <row r="912">
      <c r="C912" s="26"/>
      <c r="D912" s="28"/>
    </row>
    <row r="913">
      <c r="C913" s="26"/>
      <c r="D913" s="28"/>
    </row>
    <row r="914">
      <c r="C914" s="26"/>
      <c r="D914" s="28"/>
    </row>
    <row r="915">
      <c r="C915" s="26"/>
      <c r="D915" s="28"/>
    </row>
    <row r="916">
      <c r="C916" s="26"/>
      <c r="D916" s="28"/>
    </row>
    <row r="917">
      <c r="C917" s="26"/>
      <c r="D917" s="28"/>
    </row>
    <row r="918">
      <c r="C918" s="26"/>
      <c r="D918" s="28"/>
    </row>
    <row r="919">
      <c r="C919" s="26"/>
      <c r="D919" s="28"/>
    </row>
    <row r="920">
      <c r="C920" s="26"/>
      <c r="D920" s="28"/>
    </row>
    <row r="921">
      <c r="C921" s="26"/>
      <c r="D921" s="28"/>
    </row>
    <row r="922">
      <c r="C922" s="26"/>
      <c r="D922" s="28"/>
    </row>
    <row r="923">
      <c r="C923" s="26"/>
      <c r="D923" s="28"/>
    </row>
    <row r="924">
      <c r="C924" s="26"/>
      <c r="D924" s="28"/>
    </row>
    <row r="925">
      <c r="C925" s="26"/>
      <c r="D925" s="28"/>
    </row>
    <row r="926">
      <c r="C926" s="26"/>
      <c r="D926" s="28"/>
    </row>
    <row r="927">
      <c r="C927" s="26"/>
      <c r="D927" s="28"/>
    </row>
    <row r="928">
      <c r="C928" s="26"/>
      <c r="D928" s="28"/>
    </row>
    <row r="929">
      <c r="C929" s="26"/>
      <c r="D929" s="28"/>
    </row>
    <row r="930">
      <c r="C930" s="26"/>
      <c r="D930" s="28"/>
    </row>
    <row r="931">
      <c r="C931" s="26"/>
      <c r="D931" s="28"/>
    </row>
    <row r="932">
      <c r="C932" s="26"/>
      <c r="D932" s="28"/>
    </row>
    <row r="933">
      <c r="C933" s="26"/>
      <c r="D933" s="28"/>
    </row>
    <row r="934">
      <c r="C934" s="26"/>
      <c r="D934" s="28"/>
    </row>
    <row r="935">
      <c r="C935" s="26"/>
      <c r="D935" s="28"/>
    </row>
    <row r="936">
      <c r="C936" s="26"/>
      <c r="D936" s="28"/>
    </row>
    <row r="937">
      <c r="C937" s="26"/>
      <c r="D937" s="28"/>
    </row>
    <row r="938">
      <c r="C938" s="26"/>
      <c r="D938" s="28"/>
    </row>
    <row r="939">
      <c r="C939" s="26"/>
      <c r="D939" s="28"/>
    </row>
    <row r="940">
      <c r="C940" s="26"/>
      <c r="D940" s="28"/>
    </row>
    <row r="941">
      <c r="C941" s="26"/>
      <c r="D941" s="28"/>
    </row>
    <row r="942">
      <c r="C942" s="26"/>
      <c r="D942" s="28"/>
    </row>
    <row r="943">
      <c r="C943" s="26"/>
      <c r="D943" s="28"/>
    </row>
    <row r="944">
      <c r="C944" s="26"/>
      <c r="D944" s="28"/>
    </row>
    <row r="945">
      <c r="C945" s="26"/>
      <c r="D945" s="28"/>
    </row>
    <row r="946">
      <c r="C946" s="26"/>
      <c r="D946" s="28"/>
    </row>
    <row r="947">
      <c r="C947" s="26"/>
      <c r="D947" s="28"/>
    </row>
    <row r="948">
      <c r="C948" s="26"/>
      <c r="D948" s="28"/>
    </row>
    <row r="949">
      <c r="C949" s="26"/>
      <c r="D949" s="28"/>
    </row>
    <row r="950">
      <c r="C950" s="26"/>
      <c r="D950" s="28"/>
    </row>
    <row r="951">
      <c r="C951" s="26"/>
      <c r="D951" s="28"/>
    </row>
    <row r="952">
      <c r="C952" s="26"/>
      <c r="D952" s="28"/>
    </row>
    <row r="953">
      <c r="C953" s="26"/>
      <c r="D953" s="28"/>
    </row>
    <row r="954">
      <c r="C954" s="26"/>
      <c r="D954" s="28"/>
    </row>
    <row r="955">
      <c r="C955" s="26"/>
      <c r="D955" s="28"/>
    </row>
    <row r="956">
      <c r="C956" s="26"/>
      <c r="D956" s="28"/>
    </row>
    <row r="957">
      <c r="C957" s="26"/>
      <c r="D957" s="28"/>
    </row>
    <row r="958">
      <c r="C958" s="26"/>
      <c r="D958" s="28"/>
    </row>
    <row r="959">
      <c r="C959" s="26"/>
      <c r="D959" s="28"/>
    </row>
    <row r="960">
      <c r="C960" s="26"/>
      <c r="D960" s="28"/>
    </row>
    <row r="961">
      <c r="C961" s="26"/>
      <c r="D961" s="28"/>
    </row>
    <row r="962">
      <c r="C962" s="26"/>
      <c r="D962" s="28"/>
    </row>
    <row r="963">
      <c r="C963" s="26"/>
      <c r="D963" s="28"/>
    </row>
    <row r="964">
      <c r="C964" s="26"/>
      <c r="D964" s="28"/>
    </row>
    <row r="965">
      <c r="C965" s="26"/>
      <c r="D965" s="28"/>
    </row>
    <row r="966">
      <c r="C966" s="26"/>
      <c r="D966" s="28"/>
    </row>
    <row r="967">
      <c r="C967" s="26"/>
      <c r="D967" s="28"/>
    </row>
    <row r="968">
      <c r="C968" s="26"/>
      <c r="D968" s="28"/>
    </row>
    <row r="969">
      <c r="C969" s="26"/>
      <c r="D969" s="28"/>
    </row>
    <row r="970">
      <c r="C970" s="26"/>
      <c r="D970" s="28"/>
    </row>
    <row r="971">
      <c r="C971" s="26"/>
      <c r="D971" s="28"/>
    </row>
    <row r="972">
      <c r="C972" s="26"/>
      <c r="D972" s="28"/>
    </row>
    <row r="973">
      <c r="C973" s="26"/>
      <c r="D973" s="28"/>
    </row>
    <row r="974">
      <c r="C974" s="26"/>
      <c r="D974" s="28"/>
    </row>
    <row r="975">
      <c r="C975" s="26"/>
      <c r="D975" s="28"/>
    </row>
    <row r="976">
      <c r="C976" s="26"/>
      <c r="D976" s="28"/>
    </row>
    <row r="977">
      <c r="C977" s="26"/>
      <c r="D977" s="28"/>
    </row>
    <row r="978">
      <c r="C978" s="26"/>
      <c r="D978" s="28"/>
    </row>
    <row r="979">
      <c r="C979" s="26"/>
      <c r="D979" s="28"/>
    </row>
    <row r="980">
      <c r="C980" s="26"/>
      <c r="D980" s="28"/>
    </row>
    <row r="981">
      <c r="C981" s="26"/>
      <c r="D981" s="28"/>
    </row>
    <row r="982">
      <c r="C982" s="26"/>
      <c r="D982" s="28"/>
    </row>
    <row r="983">
      <c r="C983" s="26"/>
      <c r="D983" s="28"/>
    </row>
    <row r="984">
      <c r="C984" s="26"/>
      <c r="D984" s="28"/>
    </row>
    <row r="985">
      <c r="C985" s="26"/>
      <c r="D985" s="28"/>
    </row>
    <row r="986">
      <c r="C986" s="26"/>
      <c r="D986" s="28"/>
    </row>
    <row r="987">
      <c r="C987" s="26"/>
      <c r="D987" s="28"/>
    </row>
    <row r="988">
      <c r="C988" s="26"/>
      <c r="D988" s="28"/>
    </row>
    <row r="989">
      <c r="C989" s="26"/>
      <c r="D989" s="28"/>
    </row>
    <row r="990">
      <c r="C990" s="26"/>
      <c r="D990" s="28"/>
    </row>
    <row r="991">
      <c r="C991" s="26"/>
      <c r="D991" s="28"/>
    </row>
    <row r="992">
      <c r="C992" s="26"/>
      <c r="D992" s="28"/>
    </row>
    <row r="993">
      <c r="C993" s="26"/>
      <c r="D993" s="28"/>
    </row>
    <row r="994">
      <c r="C994" s="26"/>
      <c r="D994" s="28"/>
    </row>
    <row r="995">
      <c r="C995" s="26"/>
      <c r="D995" s="28"/>
    </row>
    <row r="996">
      <c r="C996" s="26"/>
      <c r="D996" s="28"/>
    </row>
    <row r="997">
      <c r="C997" s="26"/>
      <c r="D997" s="28"/>
    </row>
    <row r="998">
      <c r="C998" s="26"/>
      <c r="D998" s="28"/>
    </row>
    <row r="999">
      <c r="C999" s="26"/>
      <c r="D999" s="28"/>
    </row>
    <row r="1000">
      <c r="C1000" s="26"/>
      <c r="D1000" s="28"/>
    </row>
  </sheetData>
  <dataValidations>
    <dataValidation type="list" allowBlank="1" showErrorMessage="1" sqref="D2:D101">
      <formula1>"TO DO,TRUE,FALSE,SKIP"</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9.63"/>
    <col customWidth="1" min="4" max="5" width="19.75"/>
  </cols>
  <sheetData>
    <row r="1">
      <c r="A1" s="20" t="s">
        <v>70</v>
      </c>
      <c r="B1" s="20" t="s">
        <v>71</v>
      </c>
      <c r="C1" s="21" t="s">
        <v>72</v>
      </c>
      <c r="D1" s="22" t="s">
        <v>73</v>
      </c>
      <c r="E1" s="15" t="s">
        <v>74</v>
      </c>
    </row>
    <row r="2">
      <c r="A2" s="23" t="s">
        <v>123</v>
      </c>
      <c r="B2" s="23" t="s">
        <v>298</v>
      </c>
      <c r="C2" s="24" t="s">
        <v>299</v>
      </c>
      <c r="D2" s="25" t="b">
        <v>1</v>
      </c>
    </row>
    <row r="3">
      <c r="A3" s="23" t="s">
        <v>305</v>
      </c>
      <c r="B3" s="23" t="s">
        <v>306</v>
      </c>
      <c r="C3" s="29" t="s">
        <v>307</v>
      </c>
      <c r="D3" s="25" t="b">
        <v>0</v>
      </c>
      <c r="E3" s="5" t="s">
        <v>367</v>
      </c>
    </row>
    <row r="4">
      <c r="A4" s="23" t="s">
        <v>319</v>
      </c>
      <c r="B4" s="23" t="s">
        <v>320</v>
      </c>
      <c r="C4" s="30" t="s">
        <v>321</v>
      </c>
      <c r="D4" s="25" t="b">
        <v>1</v>
      </c>
      <c r="E4" s="5" t="s">
        <v>368</v>
      </c>
    </row>
    <row r="5">
      <c r="A5" s="23" t="s">
        <v>78</v>
      </c>
      <c r="B5" s="23" t="s">
        <v>136</v>
      </c>
      <c r="C5" s="24" t="s">
        <v>137</v>
      </c>
      <c r="D5" s="25" t="b">
        <v>1</v>
      </c>
      <c r="E5" s="5" t="s">
        <v>369</v>
      </c>
    </row>
    <row r="6">
      <c r="A6" s="23" t="s">
        <v>174</v>
      </c>
      <c r="B6" s="23" t="s">
        <v>175</v>
      </c>
      <c r="C6" s="24" t="s">
        <v>176</v>
      </c>
      <c r="D6" s="25" t="b">
        <v>0</v>
      </c>
      <c r="E6" s="5" t="s">
        <v>370</v>
      </c>
    </row>
    <row r="7">
      <c r="A7" s="23" t="s">
        <v>344</v>
      </c>
      <c r="B7" s="23" t="s">
        <v>345</v>
      </c>
      <c r="C7" s="24" t="s">
        <v>346</v>
      </c>
      <c r="D7" s="25" t="b">
        <v>0</v>
      </c>
    </row>
    <row r="8">
      <c r="A8" s="23" t="s">
        <v>281</v>
      </c>
      <c r="B8" s="23" t="s">
        <v>282</v>
      </c>
      <c r="C8" s="24" t="s">
        <v>283</v>
      </c>
      <c r="D8" s="25" t="b">
        <v>0</v>
      </c>
    </row>
    <row r="9">
      <c r="A9" s="23" t="s">
        <v>266</v>
      </c>
      <c r="B9" s="23" t="s">
        <v>267</v>
      </c>
      <c r="C9" s="24" t="s">
        <v>268</v>
      </c>
      <c r="D9" s="25" t="b">
        <v>1</v>
      </c>
    </row>
    <row r="10">
      <c r="A10" s="23" t="s">
        <v>153</v>
      </c>
      <c r="B10" s="23" t="s">
        <v>154</v>
      </c>
      <c r="C10" s="24" t="s">
        <v>155</v>
      </c>
      <c r="D10" s="25" t="b">
        <v>0</v>
      </c>
      <c r="E10" s="5" t="s">
        <v>371</v>
      </c>
    </row>
    <row r="11">
      <c r="A11" s="23" t="s">
        <v>94</v>
      </c>
      <c r="B11" s="23" t="s">
        <v>95</v>
      </c>
      <c r="C11" s="24" t="s">
        <v>96</v>
      </c>
      <c r="D11" s="25" t="b">
        <v>0</v>
      </c>
    </row>
    <row r="12">
      <c r="A12" s="23" t="s">
        <v>165</v>
      </c>
      <c r="B12" s="23" t="s">
        <v>293</v>
      </c>
      <c r="C12" s="24" t="s">
        <v>294</v>
      </c>
      <c r="D12" s="25" t="b">
        <v>1</v>
      </c>
      <c r="E12" s="5" t="s">
        <v>372</v>
      </c>
    </row>
    <row r="13">
      <c r="A13" s="23" t="s">
        <v>174</v>
      </c>
      <c r="B13" s="23" t="s">
        <v>214</v>
      </c>
      <c r="C13" s="24" t="s">
        <v>215</v>
      </c>
      <c r="D13" s="25" t="b">
        <v>0</v>
      </c>
    </row>
    <row r="14">
      <c r="A14" s="23" t="s">
        <v>115</v>
      </c>
      <c r="B14" s="23" t="s">
        <v>116</v>
      </c>
      <c r="C14" s="24" t="s">
        <v>117</v>
      </c>
      <c r="D14" s="25" t="b">
        <v>0</v>
      </c>
    </row>
    <row r="15">
      <c r="A15" s="23" t="s">
        <v>338</v>
      </c>
      <c r="B15" s="23" t="s">
        <v>339</v>
      </c>
      <c r="C15" s="24" t="s">
        <v>340</v>
      </c>
      <c r="D15" s="25" t="b">
        <v>0</v>
      </c>
      <c r="E15" s="5" t="s">
        <v>373</v>
      </c>
    </row>
    <row r="16">
      <c r="A16" s="23" t="s">
        <v>251</v>
      </c>
      <c r="B16" s="23" t="s">
        <v>252</v>
      </c>
      <c r="C16" s="24" t="s">
        <v>253</v>
      </c>
      <c r="D16" s="25" t="b">
        <v>1</v>
      </c>
      <c r="E16" s="5" t="s">
        <v>374</v>
      </c>
    </row>
    <row r="17">
      <c r="A17" s="23" t="s">
        <v>234</v>
      </c>
      <c r="B17" s="23" t="s">
        <v>259</v>
      </c>
      <c r="C17" s="24" t="s">
        <v>260</v>
      </c>
      <c r="D17" s="25" t="b">
        <v>0</v>
      </c>
      <c r="E17" s="5" t="s">
        <v>375</v>
      </c>
    </row>
    <row r="18">
      <c r="A18" s="23" t="s">
        <v>177</v>
      </c>
      <c r="B18" s="23" t="s">
        <v>315</v>
      </c>
      <c r="C18" s="24" t="s">
        <v>316</v>
      </c>
      <c r="D18" s="25" t="b">
        <v>0</v>
      </c>
    </row>
    <row r="19">
      <c r="A19" s="23" t="s">
        <v>206</v>
      </c>
      <c r="B19" s="23" t="s">
        <v>342</v>
      </c>
      <c r="C19" s="24" t="s">
        <v>343</v>
      </c>
      <c r="D19" s="25" t="b">
        <v>0</v>
      </c>
    </row>
    <row r="20">
      <c r="A20" s="23" t="s">
        <v>352</v>
      </c>
      <c r="B20" s="23" t="s">
        <v>353</v>
      </c>
      <c r="C20" s="24" t="s">
        <v>354</v>
      </c>
      <c r="D20" s="25" t="b">
        <v>0</v>
      </c>
    </row>
    <row r="21">
      <c r="A21" s="23" t="s">
        <v>243</v>
      </c>
      <c r="B21" s="23" t="s">
        <v>244</v>
      </c>
      <c r="C21" s="24" t="s">
        <v>245</v>
      </c>
      <c r="D21" s="25" t="b">
        <v>0</v>
      </c>
    </row>
    <row r="22">
      <c r="A22" s="23" t="s">
        <v>112</v>
      </c>
      <c r="B22" s="23" t="s">
        <v>113</v>
      </c>
      <c r="C22" s="24" t="s">
        <v>114</v>
      </c>
      <c r="D22" s="25" t="b">
        <v>0</v>
      </c>
      <c r="E22" s="5" t="s">
        <v>376</v>
      </c>
    </row>
    <row r="23">
      <c r="A23" s="23" t="s">
        <v>165</v>
      </c>
      <c r="B23" s="23" t="s">
        <v>254</v>
      </c>
      <c r="C23" s="24" t="s">
        <v>255</v>
      </c>
      <c r="D23" s="25" t="b">
        <v>1</v>
      </c>
      <c r="E23" s="5" t="s">
        <v>377</v>
      </c>
    </row>
    <row r="24">
      <c r="A24" s="23" t="s">
        <v>119</v>
      </c>
      <c r="B24" s="23" t="s">
        <v>120</v>
      </c>
      <c r="C24" s="24" t="s">
        <v>121</v>
      </c>
      <c r="D24" s="25" t="b">
        <v>0</v>
      </c>
    </row>
    <row r="25">
      <c r="A25" s="23" t="s">
        <v>239</v>
      </c>
      <c r="B25" s="23" t="s">
        <v>240</v>
      </c>
      <c r="C25" s="24" t="s">
        <v>241</v>
      </c>
      <c r="D25" s="25" t="b">
        <v>0</v>
      </c>
    </row>
    <row r="26">
      <c r="A26" s="23" t="s">
        <v>91</v>
      </c>
      <c r="B26" s="23" t="s">
        <v>92</v>
      </c>
      <c r="C26" s="24" t="s">
        <v>93</v>
      </c>
      <c r="D26" s="25" t="b">
        <v>0</v>
      </c>
    </row>
    <row r="27">
      <c r="A27" s="23" t="s">
        <v>271</v>
      </c>
      <c r="B27" s="23" t="s">
        <v>272</v>
      </c>
      <c r="C27" s="24" t="s">
        <v>273</v>
      </c>
      <c r="D27" s="25" t="b">
        <v>1</v>
      </c>
    </row>
    <row r="28">
      <c r="A28" s="23" t="s">
        <v>219</v>
      </c>
      <c r="B28" s="23" t="s">
        <v>220</v>
      </c>
      <c r="C28" s="24" t="s">
        <v>221</v>
      </c>
      <c r="D28" s="25" t="b">
        <v>1</v>
      </c>
    </row>
    <row r="29">
      <c r="A29" s="23" t="s">
        <v>295</v>
      </c>
      <c r="B29" s="23" t="s">
        <v>322</v>
      </c>
      <c r="C29" s="30" t="s">
        <v>323</v>
      </c>
      <c r="D29" s="25" t="b">
        <v>1</v>
      </c>
      <c r="E29" s="5" t="s">
        <v>378</v>
      </c>
    </row>
    <row r="30">
      <c r="A30" s="23" t="s">
        <v>126</v>
      </c>
      <c r="B30" s="23" t="s">
        <v>127</v>
      </c>
      <c r="C30" s="24" t="s">
        <v>128</v>
      </c>
      <c r="D30" s="25" t="b">
        <v>0</v>
      </c>
    </row>
    <row r="31">
      <c r="A31" s="23" t="s">
        <v>263</v>
      </c>
      <c r="B31" s="23" t="s">
        <v>303</v>
      </c>
      <c r="C31" s="24" t="s">
        <v>304</v>
      </c>
      <c r="D31" s="25" t="b">
        <v>0</v>
      </c>
    </row>
    <row r="32">
      <c r="A32" s="23" t="s">
        <v>225</v>
      </c>
      <c r="B32" s="23" t="s">
        <v>226</v>
      </c>
      <c r="C32" s="24" t="s">
        <v>227</v>
      </c>
      <c r="D32" s="25" t="b">
        <v>0</v>
      </c>
    </row>
    <row r="33">
      <c r="A33" s="23" t="s">
        <v>150</v>
      </c>
      <c r="B33" s="23" t="s">
        <v>151</v>
      </c>
      <c r="C33" s="24" t="s">
        <v>152</v>
      </c>
      <c r="D33" s="25" t="b">
        <v>1</v>
      </c>
    </row>
    <row r="34">
      <c r="A34" s="23" t="s">
        <v>324</v>
      </c>
      <c r="B34" s="23" t="s">
        <v>325</v>
      </c>
      <c r="C34" s="24" t="s">
        <v>326</v>
      </c>
      <c r="D34" s="25" t="b">
        <v>1</v>
      </c>
    </row>
    <row r="35">
      <c r="A35" s="23" t="s">
        <v>123</v>
      </c>
      <c r="B35" s="23" t="s">
        <v>124</v>
      </c>
      <c r="C35" s="24" t="s">
        <v>125</v>
      </c>
      <c r="D35" s="25" t="b">
        <v>0</v>
      </c>
    </row>
    <row r="36">
      <c r="A36" s="23" t="s">
        <v>243</v>
      </c>
      <c r="B36" s="23" t="s">
        <v>313</v>
      </c>
      <c r="C36" s="24" t="s">
        <v>314</v>
      </c>
      <c r="D36" s="25" t="b">
        <v>0</v>
      </c>
    </row>
    <row r="37">
      <c r="A37" s="23" t="s">
        <v>305</v>
      </c>
      <c r="B37" s="23" t="s">
        <v>308</v>
      </c>
      <c r="C37" s="30" t="s">
        <v>309</v>
      </c>
      <c r="D37" s="25" t="b">
        <v>1</v>
      </c>
      <c r="E37" s="5" t="s">
        <v>379</v>
      </c>
    </row>
    <row r="38">
      <c r="A38" s="23" t="s">
        <v>165</v>
      </c>
      <c r="B38" s="23" t="s">
        <v>276</v>
      </c>
      <c r="C38" s="24" t="s">
        <v>277</v>
      </c>
      <c r="D38" s="25" t="b">
        <v>1</v>
      </c>
    </row>
    <row r="39">
      <c r="A39" s="23" t="s">
        <v>206</v>
      </c>
      <c r="B39" s="23" t="s">
        <v>207</v>
      </c>
      <c r="C39" s="24" t="s">
        <v>208</v>
      </c>
      <c r="D39" s="25" t="b">
        <v>1</v>
      </c>
    </row>
    <row r="40">
      <c r="A40" s="23" t="s">
        <v>234</v>
      </c>
      <c r="B40" s="23" t="s">
        <v>235</v>
      </c>
      <c r="C40" s="24" t="s">
        <v>236</v>
      </c>
      <c r="D40" s="25" t="b">
        <v>0</v>
      </c>
      <c r="E40" s="5" t="s">
        <v>380</v>
      </c>
    </row>
    <row r="41">
      <c r="A41" s="23" t="s">
        <v>168</v>
      </c>
      <c r="B41" s="23" t="s">
        <v>169</v>
      </c>
      <c r="C41" s="24" t="s">
        <v>170</v>
      </c>
      <c r="D41" s="25" t="b">
        <v>0</v>
      </c>
    </row>
    <row r="42">
      <c r="A42" s="23" t="s">
        <v>347</v>
      </c>
      <c r="B42" s="23" t="s">
        <v>348</v>
      </c>
      <c r="C42" s="24" t="s">
        <v>349</v>
      </c>
      <c r="D42" s="25" t="b">
        <v>1</v>
      </c>
    </row>
    <row r="43">
      <c r="A43" s="23" t="s">
        <v>109</v>
      </c>
      <c r="B43" s="23" t="s">
        <v>350</v>
      </c>
      <c r="C43" s="24" t="s">
        <v>351</v>
      </c>
      <c r="D43" s="25" t="b">
        <v>1</v>
      </c>
    </row>
    <row r="44">
      <c r="A44" s="23" t="s">
        <v>109</v>
      </c>
      <c r="B44" s="23" t="s">
        <v>110</v>
      </c>
      <c r="C44" s="24" t="s">
        <v>111</v>
      </c>
      <c r="D44" s="25" t="b">
        <v>0</v>
      </c>
      <c r="E44" s="5" t="s">
        <v>381</v>
      </c>
    </row>
    <row r="45">
      <c r="A45" s="23" t="s">
        <v>91</v>
      </c>
      <c r="B45" s="23" t="s">
        <v>237</v>
      </c>
      <c r="C45" s="24" t="s">
        <v>238</v>
      </c>
      <c r="D45" s="25" t="b">
        <v>0</v>
      </c>
    </row>
    <row r="46">
      <c r="A46" s="23" t="s">
        <v>177</v>
      </c>
      <c r="B46" s="23" t="s">
        <v>246</v>
      </c>
      <c r="C46" s="24" t="s">
        <v>247</v>
      </c>
      <c r="D46" s="25" t="b">
        <v>0</v>
      </c>
    </row>
    <row r="47">
      <c r="A47" s="23" t="s">
        <v>106</v>
      </c>
      <c r="B47" s="23" t="s">
        <v>107</v>
      </c>
      <c r="C47" s="24" t="s">
        <v>108</v>
      </c>
      <c r="D47" s="25" t="b">
        <v>0</v>
      </c>
    </row>
    <row r="48">
      <c r="A48" s="23" t="s">
        <v>189</v>
      </c>
      <c r="B48" s="23" t="s">
        <v>190</v>
      </c>
      <c r="C48" s="24" t="s">
        <v>191</v>
      </c>
      <c r="D48" s="25" t="b">
        <v>0</v>
      </c>
    </row>
    <row r="49">
      <c r="A49" s="23" t="s">
        <v>209</v>
      </c>
      <c r="B49" s="23" t="s">
        <v>210</v>
      </c>
      <c r="C49" s="24" t="s">
        <v>211</v>
      </c>
      <c r="D49" s="25" t="b">
        <v>1</v>
      </c>
    </row>
    <row r="50">
      <c r="A50" s="23" t="s">
        <v>330</v>
      </c>
      <c r="B50" s="23" t="s">
        <v>331</v>
      </c>
      <c r="C50" s="30" t="s">
        <v>332</v>
      </c>
      <c r="D50" s="25" t="b">
        <v>1</v>
      </c>
      <c r="E50" s="5" t="s">
        <v>382</v>
      </c>
    </row>
    <row r="51">
      <c r="A51" s="23" t="s">
        <v>165</v>
      </c>
      <c r="B51" s="23" t="s">
        <v>166</v>
      </c>
      <c r="C51" s="24" t="s">
        <v>167</v>
      </c>
      <c r="D51" s="25" t="b">
        <v>1</v>
      </c>
    </row>
    <row r="52">
      <c r="A52" s="23" t="s">
        <v>162</v>
      </c>
      <c r="B52" s="23" t="s">
        <v>163</v>
      </c>
      <c r="C52" s="24" t="s">
        <v>164</v>
      </c>
      <c r="D52" s="25" t="b">
        <v>0</v>
      </c>
    </row>
    <row r="53">
      <c r="A53" s="23" t="s">
        <v>290</v>
      </c>
      <c r="B53" s="23" t="s">
        <v>291</v>
      </c>
      <c r="C53" s="24" t="s">
        <v>292</v>
      </c>
      <c r="D53" s="25" t="b">
        <v>0</v>
      </c>
    </row>
    <row r="54">
      <c r="A54" s="23" t="s">
        <v>81</v>
      </c>
      <c r="B54" s="23" t="s">
        <v>82</v>
      </c>
      <c r="C54" s="24" t="s">
        <v>83</v>
      </c>
      <c r="D54" s="25" t="b">
        <v>0</v>
      </c>
    </row>
    <row r="55">
      <c r="A55" s="23" t="s">
        <v>295</v>
      </c>
      <c r="B55" s="23" t="s">
        <v>296</v>
      </c>
      <c r="C55" s="24" t="s">
        <v>297</v>
      </c>
      <c r="D55" s="25" t="b">
        <v>0</v>
      </c>
    </row>
    <row r="56">
      <c r="A56" s="23" t="s">
        <v>355</v>
      </c>
      <c r="B56" s="23" t="s">
        <v>356</v>
      </c>
      <c r="C56" s="24" t="s">
        <v>357</v>
      </c>
      <c r="D56" s="25" t="b">
        <v>1</v>
      </c>
    </row>
    <row r="57">
      <c r="A57" s="23" t="s">
        <v>203</v>
      </c>
      <c r="B57" s="23" t="s">
        <v>204</v>
      </c>
      <c r="C57" s="24" t="s">
        <v>205</v>
      </c>
      <c r="D57" s="25" t="b">
        <v>0</v>
      </c>
    </row>
    <row r="58">
      <c r="A58" s="23" t="s">
        <v>156</v>
      </c>
      <c r="B58" s="23" t="s">
        <v>157</v>
      </c>
      <c r="C58" s="24" t="s">
        <v>158</v>
      </c>
      <c r="D58" s="25" t="b">
        <v>0</v>
      </c>
    </row>
    <row r="59">
      <c r="A59" s="23" t="s">
        <v>278</v>
      </c>
      <c r="B59" s="23" t="s">
        <v>279</v>
      </c>
      <c r="C59" s="30" t="s">
        <v>280</v>
      </c>
      <c r="D59" s="25" t="b">
        <v>1</v>
      </c>
      <c r="E59" s="5" t="s">
        <v>383</v>
      </c>
    </row>
    <row r="60">
      <c r="A60" s="23" t="s">
        <v>97</v>
      </c>
      <c r="B60" s="23" t="s">
        <v>98</v>
      </c>
      <c r="C60" s="24" t="s">
        <v>99</v>
      </c>
      <c r="D60" s="25" t="b">
        <v>0</v>
      </c>
    </row>
    <row r="61">
      <c r="A61" s="23" t="s">
        <v>231</v>
      </c>
      <c r="B61" s="23" t="s">
        <v>232</v>
      </c>
      <c r="C61" s="24" t="s">
        <v>233</v>
      </c>
      <c r="D61" s="25" t="b">
        <v>1</v>
      </c>
      <c r="E61" s="5" t="s">
        <v>384</v>
      </c>
    </row>
    <row r="62">
      <c r="A62" s="23" t="s">
        <v>97</v>
      </c>
      <c r="B62" s="23" t="s">
        <v>249</v>
      </c>
      <c r="C62" s="24" t="s">
        <v>250</v>
      </c>
      <c r="D62" s="25" t="b">
        <v>0</v>
      </c>
    </row>
    <row r="63">
      <c r="A63" s="23" t="s">
        <v>222</v>
      </c>
      <c r="B63" s="23" t="s">
        <v>223</v>
      </c>
      <c r="C63" s="24" t="s">
        <v>224</v>
      </c>
      <c r="D63" s="25" t="b">
        <v>0</v>
      </c>
    </row>
    <row r="64">
      <c r="A64" s="23" t="s">
        <v>284</v>
      </c>
      <c r="B64" s="23" t="s">
        <v>285</v>
      </c>
      <c r="C64" s="24" t="s">
        <v>286</v>
      </c>
      <c r="D64" s="25" t="b">
        <v>1</v>
      </c>
    </row>
    <row r="65">
      <c r="A65" s="23" t="s">
        <v>180</v>
      </c>
      <c r="B65" s="23" t="s">
        <v>181</v>
      </c>
      <c r="C65" s="24" t="s">
        <v>182</v>
      </c>
      <c r="D65" s="25" t="b">
        <v>1</v>
      </c>
    </row>
    <row r="66">
      <c r="A66" s="23" t="s">
        <v>256</v>
      </c>
      <c r="B66" s="23" t="s">
        <v>257</v>
      </c>
      <c r="C66" s="30" t="s">
        <v>258</v>
      </c>
      <c r="D66" s="25" t="b">
        <v>1</v>
      </c>
      <c r="E66" s="5" t="s">
        <v>385</v>
      </c>
    </row>
    <row r="67">
      <c r="A67" s="23" t="s">
        <v>192</v>
      </c>
      <c r="B67" s="23" t="s">
        <v>193</v>
      </c>
      <c r="C67" s="24" t="s">
        <v>194</v>
      </c>
      <c r="D67" s="25" t="b">
        <v>0</v>
      </c>
    </row>
    <row r="68">
      <c r="A68" s="23" t="s">
        <v>183</v>
      </c>
      <c r="B68" s="23" t="s">
        <v>212</v>
      </c>
      <c r="C68" s="24" t="s">
        <v>213</v>
      </c>
      <c r="D68" s="25" t="b">
        <v>0</v>
      </c>
    </row>
    <row r="69">
      <c r="A69" s="23" t="s">
        <v>183</v>
      </c>
      <c r="B69" s="23" t="s">
        <v>184</v>
      </c>
      <c r="C69" s="24" t="s">
        <v>185</v>
      </c>
      <c r="D69" s="25" t="b">
        <v>0</v>
      </c>
    </row>
    <row r="70">
      <c r="A70" s="23" t="s">
        <v>123</v>
      </c>
      <c r="B70" s="23" t="s">
        <v>148</v>
      </c>
      <c r="C70" s="30" t="s">
        <v>149</v>
      </c>
      <c r="D70" s="25" t="b">
        <v>1</v>
      </c>
      <c r="E70" s="5" t="s">
        <v>386</v>
      </c>
    </row>
    <row r="71">
      <c r="A71" s="23" t="s">
        <v>216</v>
      </c>
      <c r="B71" s="23" t="s">
        <v>217</v>
      </c>
      <c r="C71" s="24" t="s">
        <v>218</v>
      </c>
      <c r="D71" s="25" t="b">
        <v>0</v>
      </c>
    </row>
    <row r="72">
      <c r="A72" s="23" t="s">
        <v>168</v>
      </c>
      <c r="B72" s="23" t="s">
        <v>274</v>
      </c>
      <c r="C72" s="24" t="s">
        <v>275</v>
      </c>
      <c r="D72" s="25" t="b">
        <v>0</v>
      </c>
    </row>
    <row r="73">
      <c r="A73" s="23" t="s">
        <v>251</v>
      </c>
      <c r="B73" s="23" t="s">
        <v>317</v>
      </c>
      <c r="C73" s="24" t="s">
        <v>318</v>
      </c>
      <c r="D73" s="25" t="b">
        <v>1</v>
      </c>
    </row>
    <row r="74">
      <c r="A74" s="23" t="s">
        <v>263</v>
      </c>
      <c r="B74" s="23" t="s">
        <v>264</v>
      </c>
      <c r="C74" s="30" t="s">
        <v>265</v>
      </c>
      <c r="D74" s="25" t="b">
        <v>1</v>
      </c>
      <c r="E74" s="5" t="s">
        <v>387</v>
      </c>
    </row>
    <row r="75">
      <c r="A75" s="23" t="s">
        <v>287</v>
      </c>
      <c r="B75" s="23" t="s">
        <v>288</v>
      </c>
      <c r="C75" s="24" t="s">
        <v>289</v>
      </c>
      <c r="D75" s="25" t="b">
        <v>0</v>
      </c>
    </row>
    <row r="76">
      <c r="A76" s="23" t="s">
        <v>310</v>
      </c>
      <c r="B76" s="23" t="s">
        <v>311</v>
      </c>
      <c r="C76" s="24" t="s">
        <v>312</v>
      </c>
      <c r="D76" s="25" t="b">
        <v>1</v>
      </c>
    </row>
    <row r="77">
      <c r="A77" s="23" t="s">
        <v>278</v>
      </c>
      <c r="B77" s="23" t="s">
        <v>333</v>
      </c>
      <c r="C77" s="24" t="s">
        <v>334</v>
      </c>
      <c r="D77" s="25" t="b">
        <v>0</v>
      </c>
    </row>
    <row r="78">
      <c r="A78" s="23" t="s">
        <v>159</v>
      </c>
      <c r="B78" s="23" t="s">
        <v>160</v>
      </c>
      <c r="C78" s="24" t="s">
        <v>161</v>
      </c>
      <c r="D78" s="25" t="b">
        <v>1</v>
      </c>
    </row>
    <row r="79">
      <c r="A79" s="23" t="s">
        <v>109</v>
      </c>
      <c r="B79" s="23" t="s">
        <v>269</v>
      </c>
      <c r="C79" s="31" t="s">
        <v>270</v>
      </c>
      <c r="D79" s="25" t="b">
        <v>0</v>
      </c>
      <c r="E79" s="5" t="s">
        <v>388</v>
      </c>
    </row>
    <row r="80">
      <c r="A80" s="23" t="s">
        <v>133</v>
      </c>
      <c r="B80" s="23" t="s">
        <v>134</v>
      </c>
      <c r="C80" s="24" t="s">
        <v>135</v>
      </c>
      <c r="D80" s="25" t="b">
        <v>0</v>
      </c>
    </row>
    <row r="81">
      <c r="A81" s="23" t="s">
        <v>171</v>
      </c>
      <c r="B81" s="23" t="s">
        <v>172</v>
      </c>
      <c r="C81" s="24" t="s">
        <v>173</v>
      </c>
      <c r="D81" s="25" t="b">
        <v>0</v>
      </c>
    </row>
    <row r="82">
      <c r="A82" s="23" t="s">
        <v>144</v>
      </c>
      <c r="B82" s="23" t="s">
        <v>145</v>
      </c>
      <c r="C82" s="24" t="s">
        <v>146</v>
      </c>
      <c r="D82" s="25" t="b">
        <v>0</v>
      </c>
    </row>
    <row r="83">
      <c r="A83" s="23" t="s">
        <v>78</v>
      </c>
      <c r="B83" s="23" t="s">
        <v>79</v>
      </c>
      <c r="C83" s="24" t="s">
        <v>80</v>
      </c>
      <c r="D83" s="25" t="b">
        <v>1</v>
      </c>
    </row>
    <row r="84">
      <c r="A84" s="23" t="s">
        <v>335</v>
      </c>
      <c r="B84" s="23" t="s">
        <v>336</v>
      </c>
      <c r="C84" s="24" t="s">
        <v>337</v>
      </c>
      <c r="D84" s="25" t="b">
        <v>0</v>
      </c>
    </row>
    <row r="85">
      <c r="A85" s="23" t="s">
        <v>300</v>
      </c>
      <c r="B85" s="23" t="s">
        <v>301</v>
      </c>
      <c r="C85" s="24" t="s">
        <v>302</v>
      </c>
      <c r="D85" s="25" t="b">
        <v>0</v>
      </c>
    </row>
    <row r="86">
      <c r="A86" s="23" t="s">
        <v>85</v>
      </c>
      <c r="B86" s="23" t="s">
        <v>86</v>
      </c>
      <c r="C86" s="24" t="s">
        <v>87</v>
      </c>
      <c r="D86" s="25" t="b">
        <v>0</v>
      </c>
    </row>
    <row r="87">
      <c r="A87" s="23" t="s">
        <v>141</v>
      </c>
      <c r="B87" s="23" t="s">
        <v>142</v>
      </c>
      <c r="C87" s="24" t="s">
        <v>143</v>
      </c>
      <c r="D87" s="25" t="b">
        <v>0</v>
      </c>
    </row>
    <row r="88">
      <c r="A88" s="23" t="s">
        <v>198</v>
      </c>
      <c r="B88" s="23" t="s">
        <v>199</v>
      </c>
      <c r="C88" s="24" t="s">
        <v>200</v>
      </c>
      <c r="D88" s="25" t="b">
        <v>1</v>
      </c>
    </row>
    <row r="89">
      <c r="A89" s="23" t="s">
        <v>327</v>
      </c>
      <c r="B89" s="23" t="s">
        <v>328</v>
      </c>
      <c r="C89" s="24" t="s">
        <v>329</v>
      </c>
      <c r="D89" s="25" t="b">
        <v>1</v>
      </c>
    </row>
    <row r="90">
      <c r="A90" s="23" t="s">
        <v>138</v>
      </c>
      <c r="B90" s="23" t="s">
        <v>139</v>
      </c>
      <c r="C90" s="30" t="s">
        <v>140</v>
      </c>
      <c r="D90" s="25" t="b">
        <v>1</v>
      </c>
      <c r="E90" s="5" t="s">
        <v>389</v>
      </c>
    </row>
    <row r="91">
      <c r="A91" s="23" t="s">
        <v>228</v>
      </c>
      <c r="B91" s="23" t="s">
        <v>229</v>
      </c>
      <c r="C91" s="24" t="s">
        <v>230</v>
      </c>
      <c r="D91" s="25" t="b">
        <v>1</v>
      </c>
    </row>
    <row r="92">
      <c r="A92" s="23" t="s">
        <v>129</v>
      </c>
      <c r="B92" s="23" t="s">
        <v>130</v>
      </c>
      <c r="C92" s="30" t="s">
        <v>131</v>
      </c>
      <c r="D92" s="25" t="b">
        <v>1</v>
      </c>
      <c r="E92" s="5" t="s">
        <v>390</v>
      </c>
    </row>
    <row r="93">
      <c r="A93" s="23" t="s">
        <v>109</v>
      </c>
      <c r="B93" s="23" t="s">
        <v>261</v>
      </c>
      <c r="C93" s="24" t="s">
        <v>262</v>
      </c>
      <c r="D93" s="25" t="b">
        <v>0</v>
      </c>
    </row>
    <row r="94">
      <c r="A94" s="23" t="s">
        <v>177</v>
      </c>
      <c r="B94" s="23" t="s">
        <v>178</v>
      </c>
      <c r="C94" s="24" t="s">
        <v>179</v>
      </c>
      <c r="D94" s="25" t="b">
        <v>1</v>
      </c>
    </row>
    <row r="95">
      <c r="A95" s="23" t="s">
        <v>119</v>
      </c>
      <c r="B95" s="23" t="s">
        <v>201</v>
      </c>
      <c r="C95" s="24" t="s">
        <v>202</v>
      </c>
      <c r="D95" s="25" t="b">
        <v>0</v>
      </c>
    </row>
    <row r="96">
      <c r="A96" s="23" t="s">
        <v>88</v>
      </c>
      <c r="B96" s="23" t="s">
        <v>89</v>
      </c>
      <c r="C96" s="24" t="s">
        <v>90</v>
      </c>
      <c r="D96" s="25" t="b">
        <v>0</v>
      </c>
    </row>
    <row r="97">
      <c r="A97" s="23" t="s">
        <v>186</v>
      </c>
      <c r="B97" s="23" t="s">
        <v>187</v>
      </c>
      <c r="C97" s="24" t="s">
        <v>188</v>
      </c>
      <c r="D97" s="25" t="b">
        <v>1</v>
      </c>
    </row>
    <row r="98">
      <c r="A98" s="23" t="s">
        <v>91</v>
      </c>
      <c r="B98" s="23" t="s">
        <v>104</v>
      </c>
      <c r="C98" s="24" t="s">
        <v>105</v>
      </c>
      <c r="D98" s="25" t="b">
        <v>0</v>
      </c>
    </row>
    <row r="99">
      <c r="A99" s="23" t="s">
        <v>195</v>
      </c>
      <c r="B99" s="23" t="s">
        <v>196</v>
      </c>
      <c r="C99" s="24" t="s">
        <v>197</v>
      </c>
      <c r="D99" s="25" t="b">
        <v>1</v>
      </c>
    </row>
    <row r="100">
      <c r="A100" s="23" t="s">
        <v>75</v>
      </c>
      <c r="B100" s="23" t="s">
        <v>76</v>
      </c>
      <c r="C100" s="24" t="s">
        <v>77</v>
      </c>
      <c r="D100" s="25" t="b">
        <v>1</v>
      </c>
    </row>
    <row r="101">
      <c r="A101" s="23" t="s">
        <v>101</v>
      </c>
      <c r="B101" s="23" t="s">
        <v>102</v>
      </c>
      <c r="C101" s="24" t="s">
        <v>103</v>
      </c>
      <c r="D101" s="25" t="b">
        <v>1</v>
      </c>
    </row>
    <row r="102">
      <c r="C102" s="26"/>
      <c r="D102" s="32">
        <f>countif(D2:D101, "TRUE")</f>
        <v>42</v>
      </c>
      <c r="E102" s="28"/>
    </row>
    <row r="103">
      <c r="C103" s="26"/>
      <c r="D103" s="33"/>
      <c r="E103" s="28"/>
    </row>
    <row r="104">
      <c r="C104" s="26"/>
      <c r="D104" s="33"/>
      <c r="E104" s="28"/>
    </row>
    <row r="105">
      <c r="C105" s="26"/>
      <c r="D105" s="33"/>
      <c r="E105" s="28"/>
    </row>
    <row r="106">
      <c r="C106" s="26"/>
      <c r="D106" s="33"/>
      <c r="E106" s="28"/>
    </row>
    <row r="107">
      <c r="C107" s="26"/>
      <c r="D107" s="33"/>
      <c r="E107" s="28"/>
    </row>
    <row r="108">
      <c r="C108" s="26"/>
      <c r="D108" s="33"/>
      <c r="E108" s="28"/>
    </row>
    <row r="109">
      <c r="C109" s="26"/>
      <c r="D109" s="33"/>
      <c r="E109" s="28"/>
    </row>
    <row r="110">
      <c r="C110" s="26"/>
      <c r="D110" s="33"/>
      <c r="E110" s="28"/>
    </row>
    <row r="111">
      <c r="C111" s="26"/>
      <c r="D111" s="33"/>
      <c r="E111" s="28"/>
    </row>
    <row r="112">
      <c r="C112" s="26"/>
      <c r="D112" s="33"/>
      <c r="E112" s="28"/>
    </row>
    <row r="113">
      <c r="C113" s="26"/>
      <c r="D113" s="33"/>
      <c r="E113" s="28"/>
    </row>
    <row r="114">
      <c r="C114" s="26"/>
      <c r="D114" s="33"/>
      <c r="E114" s="28"/>
    </row>
    <row r="115">
      <c r="C115" s="26"/>
      <c r="D115" s="33"/>
      <c r="E115" s="28"/>
    </row>
    <row r="116">
      <c r="C116" s="26"/>
      <c r="D116" s="33"/>
      <c r="E116" s="28"/>
    </row>
    <row r="117">
      <c r="C117" s="26"/>
      <c r="D117" s="33"/>
      <c r="E117" s="28"/>
    </row>
    <row r="118">
      <c r="C118" s="26"/>
      <c r="D118" s="33"/>
      <c r="E118" s="28"/>
    </row>
    <row r="119">
      <c r="C119" s="26"/>
      <c r="D119" s="33"/>
      <c r="E119" s="28"/>
    </row>
    <row r="120">
      <c r="C120" s="26"/>
      <c r="D120" s="33"/>
      <c r="E120" s="28"/>
    </row>
    <row r="121">
      <c r="C121" s="26"/>
      <c r="D121" s="33"/>
      <c r="E121" s="28"/>
    </row>
    <row r="122">
      <c r="C122" s="26"/>
      <c r="D122" s="33"/>
      <c r="E122" s="28"/>
    </row>
    <row r="123">
      <c r="C123" s="26"/>
      <c r="D123" s="33"/>
      <c r="E123" s="28"/>
    </row>
    <row r="124">
      <c r="C124" s="26"/>
      <c r="D124" s="33"/>
      <c r="E124" s="28"/>
    </row>
    <row r="125">
      <c r="C125" s="26"/>
      <c r="D125" s="33"/>
      <c r="E125" s="28"/>
    </row>
    <row r="126">
      <c r="C126" s="26"/>
      <c r="D126" s="33"/>
      <c r="E126" s="28"/>
    </row>
    <row r="127">
      <c r="C127" s="26"/>
      <c r="D127" s="33"/>
      <c r="E127" s="28"/>
    </row>
    <row r="128">
      <c r="C128" s="26"/>
      <c r="D128" s="33"/>
      <c r="E128" s="28"/>
    </row>
    <row r="129">
      <c r="C129" s="26"/>
      <c r="D129" s="33"/>
      <c r="E129" s="28"/>
    </row>
    <row r="130">
      <c r="C130" s="26"/>
      <c r="D130" s="33"/>
      <c r="E130" s="28"/>
    </row>
    <row r="131">
      <c r="C131" s="26"/>
      <c r="D131" s="33"/>
      <c r="E131" s="28"/>
    </row>
    <row r="132">
      <c r="C132" s="26"/>
      <c r="D132" s="33"/>
      <c r="E132" s="28"/>
    </row>
    <row r="133">
      <c r="C133" s="26"/>
      <c r="D133" s="33"/>
      <c r="E133" s="28"/>
    </row>
    <row r="134">
      <c r="C134" s="26"/>
      <c r="D134" s="33"/>
      <c r="E134" s="28"/>
    </row>
    <row r="135">
      <c r="C135" s="26"/>
      <c r="D135" s="33"/>
      <c r="E135" s="28"/>
    </row>
    <row r="136">
      <c r="C136" s="26"/>
      <c r="D136" s="33"/>
      <c r="E136" s="28"/>
    </row>
    <row r="137">
      <c r="C137" s="26"/>
      <c r="D137" s="33"/>
      <c r="E137" s="28"/>
    </row>
    <row r="138">
      <c r="C138" s="26"/>
      <c r="D138" s="33"/>
      <c r="E138" s="28"/>
    </row>
    <row r="139">
      <c r="C139" s="26"/>
      <c r="D139" s="33"/>
      <c r="E139" s="28"/>
    </row>
    <row r="140">
      <c r="C140" s="26"/>
      <c r="D140" s="33"/>
      <c r="E140" s="28"/>
    </row>
    <row r="141">
      <c r="C141" s="26"/>
      <c r="D141" s="33"/>
      <c r="E141" s="28"/>
    </row>
    <row r="142">
      <c r="C142" s="26"/>
      <c r="D142" s="33"/>
      <c r="E142" s="28"/>
    </row>
    <row r="143">
      <c r="C143" s="26"/>
      <c r="D143" s="33"/>
      <c r="E143" s="28"/>
    </row>
    <row r="144">
      <c r="C144" s="26"/>
      <c r="D144" s="33"/>
      <c r="E144" s="28"/>
    </row>
    <row r="145">
      <c r="C145" s="26"/>
      <c r="D145" s="33"/>
      <c r="E145" s="28"/>
    </row>
    <row r="146">
      <c r="C146" s="26"/>
      <c r="D146" s="33"/>
      <c r="E146" s="28"/>
    </row>
    <row r="147">
      <c r="C147" s="26"/>
      <c r="D147" s="33"/>
      <c r="E147" s="28"/>
    </row>
    <row r="148">
      <c r="C148" s="26"/>
      <c r="D148" s="33"/>
      <c r="E148" s="28"/>
    </row>
    <row r="149">
      <c r="C149" s="26"/>
      <c r="D149" s="33"/>
      <c r="E149" s="28"/>
    </row>
    <row r="150">
      <c r="C150" s="26"/>
      <c r="D150" s="33"/>
      <c r="E150" s="28"/>
    </row>
    <row r="151">
      <c r="C151" s="26"/>
      <c r="D151" s="33"/>
      <c r="E151" s="28"/>
    </row>
    <row r="152">
      <c r="C152" s="26"/>
      <c r="D152" s="33"/>
      <c r="E152" s="28"/>
    </row>
    <row r="153">
      <c r="C153" s="26"/>
      <c r="D153" s="33"/>
      <c r="E153" s="28"/>
    </row>
    <row r="154">
      <c r="C154" s="26"/>
      <c r="D154" s="33"/>
      <c r="E154" s="28"/>
    </row>
    <row r="155">
      <c r="C155" s="26"/>
      <c r="D155" s="33"/>
      <c r="E155" s="28"/>
    </row>
    <row r="156">
      <c r="C156" s="26"/>
      <c r="D156" s="33"/>
      <c r="E156" s="28"/>
    </row>
    <row r="157">
      <c r="C157" s="26"/>
      <c r="D157" s="33"/>
      <c r="E157" s="28"/>
    </row>
    <row r="158">
      <c r="C158" s="26"/>
      <c r="D158" s="33"/>
      <c r="E158" s="28"/>
    </row>
    <row r="159">
      <c r="C159" s="26"/>
      <c r="D159" s="33"/>
      <c r="E159" s="28"/>
    </row>
    <row r="160">
      <c r="C160" s="26"/>
      <c r="D160" s="33"/>
      <c r="E160" s="28"/>
    </row>
    <row r="161">
      <c r="C161" s="26"/>
      <c r="D161" s="33"/>
      <c r="E161" s="28"/>
    </row>
    <row r="162">
      <c r="C162" s="26"/>
      <c r="D162" s="33"/>
      <c r="E162" s="28"/>
    </row>
    <row r="163">
      <c r="C163" s="26"/>
      <c r="D163" s="33"/>
      <c r="E163" s="28"/>
    </row>
    <row r="164">
      <c r="C164" s="26"/>
      <c r="D164" s="33"/>
      <c r="E164" s="28"/>
    </row>
    <row r="165">
      <c r="C165" s="26"/>
      <c r="D165" s="33"/>
      <c r="E165" s="28"/>
    </row>
    <row r="166">
      <c r="C166" s="26"/>
      <c r="D166" s="33"/>
      <c r="E166" s="28"/>
    </row>
    <row r="167">
      <c r="C167" s="26"/>
      <c r="D167" s="33"/>
      <c r="E167" s="28"/>
    </row>
    <row r="168">
      <c r="C168" s="26"/>
      <c r="D168" s="33"/>
      <c r="E168" s="28"/>
    </row>
    <row r="169">
      <c r="C169" s="26"/>
      <c r="D169" s="33"/>
      <c r="E169" s="28"/>
    </row>
    <row r="170">
      <c r="C170" s="26"/>
      <c r="D170" s="33"/>
      <c r="E170" s="28"/>
    </row>
    <row r="171">
      <c r="C171" s="26"/>
      <c r="D171" s="33"/>
      <c r="E171" s="28"/>
    </row>
    <row r="172">
      <c r="C172" s="26"/>
      <c r="D172" s="33"/>
      <c r="E172" s="28"/>
    </row>
    <row r="173">
      <c r="C173" s="26"/>
      <c r="D173" s="33"/>
      <c r="E173" s="28"/>
    </row>
    <row r="174">
      <c r="C174" s="26"/>
      <c r="D174" s="33"/>
      <c r="E174" s="28"/>
    </row>
    <row r="175">
      <c r="C175" s="26"/>
      <c r="D175" s="33"/>
      <c r="E175" s="28"/>
    </row>
    <row r="176">
      <c r="C176" s="26"/>
      <c r="D176" s="33"/>
      <c r="E176" s="28"/>
    </row>
    <row r="177">
      <c r="C177" s="26"/>
      <c r="D177" s="33"/>
      <c r="E177" s="28"/>
    </row>
    <row r="178">
      <c r="C178" s="26"/>
      <c r="D178" s="33"/>
      <c r="E178" s="28"/>
    </row>
    <row r="179">
      <c r="C179" s="26"/>
      <c r="D179" s="33"/>
      <c r="E179" s="28"/>
    </row>
    <row r="180">
      <c r="C180" s="26"/>
      <c r="D180" s="33"/>
      <c r="E180" s="28"/>
    </row>
    <row r="181">
      <c r="C181" s="26"/>
      <c r="D181" s="33"/>
      <c r="E181" s="28"/>
    </row>
    <row r="182">
      <c r="C182" s="26"/>
      <c r="D182" s="33"/>
      <c r="E182" s="28"/>
    </row>
    <row r="183">
      <c r="C183" s="26"/>
      <c r="D183" s="33"/>
      <c r="E183" s="28"/>
    </row>
    <row r="184">
      <c r="C184" s="26"/>
      <c r="D184" s="33"/>
      <c r="E184" s="28"/>
    </row>
    <row r="185">
      <c r="C185" s="26"/>
      <c r="D185" s="33"/>
      <c r="E185" s="28"/>
    </row>
    <row r="186">
      <c r="C186" s="26"/>
      <c r="D186" s="33"/>
      <c r="E186" s="28"/>
    </row>
    <row r="187">
      <c r="C187" s="26"/>
      <c r="D187" s="33"/>
      <c r="E187" s="28"/>
    </row>
    <row r="188">
      <c r="C188" s="26"/>
      <c r="D188" s="33"/>
      <c r="E188" s="28"/>
    </row>
    <row r="189">
      <c r="C189" s="26"/>
      <c r="D189" s="33"/>
      <c r="E189" s="28"/>
    </row>
    <row r="190">
      <c r="C190" s="26"/>
      <c r="D190" s="33"/>
      <c r="E190" s="28"/>
    </row>
    <row r="191">
      <c r="C191" s="26"/>
      <c r="D191" s="33"/>
      <c r="E191" s="28"/>
    </row>
    <row r="192">
      <c r="C192" s="26"/>
      <c r="D192" s="33"/>
      <c r="E192" s="28"/>
    </row>
    <row r="193">
      <c r="C193" s="26"/>
      <c r="D193" s="33"/>
      <c r="E193" s="28"/>
    </row>
    <row r="194">
      <c r="C194" s="26"/>
      <c r="D194" s="33"/>
      <c r="E194" s="28"/>
    </row>
    <row r="195">
      <c r="C195" s="26"/>
      <c r="D195" s="33"/>
      <c r="E195" s="28"/>
    </row>
    <row r="196">
      <c r="C196" s="26"/>
      <c r="D196" s="33"/>
      <c r="E196" s="28"/>
    </row>
    <row r="197">
      <c r="C197" s="26"/>
      <c r="D197" s="33"/>
      <c r="E197" s="28"/>
    </row>
    <row r="198">
      <c r="C198" s="26"/>
      <c r="D198" s="33"/>
      <c r="E198" s="28"/>
    </row>
    <row r="199">
      <c r="C199" s="26"/>
      <c r="D199" s="33"/>
      <c r="E199" s="28"/>
    </row>
    <row r="200">
      <c r="C200" s="26"/>
      <c r="D200" s="33"/>
      <c r="E200" s="28"/>
    </row>
    <row r="201">
      <c r="C201" s="26"/>
      <c r="D201" s="33"/>
      <c r="E201" s="28"/>
    </row>
    <row r="202">
      <c r="C202" s="26"/>
      <c r="D202" s="33"/>
      <c r="E202" s="28"/>
    </row>
    <row r="203">
      <c r="C203" s="26"/>
      <c r="D203" s="33"/>
      <c r="E203" s="28"/>
    </row>
    <row r="204">
      <c r="C204" s="26"/>
      <c r="D204" s="33"/>
      <c r="E204" s="28"/>
    </row>
    <row r="205">
      <c r="C205" s="26"/>
      <c r="D205" s="33"/>
      <c r="E205" s="28"/>
    </row>
    <row r="206">
      <c r="C206" s="26"/>
      <c r="D206" s="33"/>
      <c r="E206" s="28"/>
    </row>
    <row r="207">
      <c r="C207" s="26"/>
      <c r="D207" s="33"/>
      <c r="E207" s="28"/>
    </row>
    <row r="208">
      <c r="C208" s="26"/>
      <c r="D208" s="33"/>
      <c r="E208" s="28"/>
    </row>
    <row r="209">
      <c r="C209" s="26"/>
      <c r="D209" s="33"/>
      <c r="E209" s="28"/>
    </row>
    <row r="210">
      <c r="C210" s="26"/>
      <c r="D210" s="33"/>
      <c r="E210" s="28"/>
    </row>
    <row r="211">
      <c r="C211" s="26"/>
      <c r="D211" s="33"/>
      <c r="E211" s="28"/>
    </row>
    <row r="212">
      <c r="C212" s="26"/>
      <c r="D212" s="33"/>
      <c r="E212" s="28"/>
    </row>
    <row r="213">
      <c r="C213" s="26"/>
      <c r="D213" s="33"/>
      <c r="E213" s="28"/>
    </row>
    <row r="214">
      <c r="C214" s="26"/>
      <c r="D214" s="33"/>
      <c r="E214" s="28"/>
    </row>
    <row r="215">
      <c r="C215" s="26"/>
      <c r="D215" s="33"/>
      <c r="E215" s="28"/>
    </row>
    <row r="216">
      <c r="C216" s="26"/>
      <c r="D216" s="33"/>
      <c r="E216" s="28"/>
    </row>
    <row r="217">
      <c r="C217" s="26"/>
      <c r="D217" s="33"/>
      <c r="E217" s="28"/>
    </row>
    <row r="218">
      <c r="C218" s="26"/>
      <c r="D218" s="33"/>
      <c r="E218" s="28"/>
    </row>
    <row r="219">
      <c r="C219" s="26"/>
      <c r="D219" s="33"/>
      <c r="E219" s="28"/>
    </row>
    <row r="220">
      <c r="C220" s="26"/>
      <c r="D220" s="33"/>
      <c r="E220" s="28"/>
    </row>
    <row r="221">
      <c r="C221" s="26"/>
      <c r="D221" s="33"/>
      <c r="E221" s="28"/>
    </row>
    <row r="222">
      <c r="C222" s="26"/>
      <c r="D222" s="33"/>
      <c r="E222" s="28"/>
    </row>
    <row r="223">
      <c r="C223" s="26"/>
      <c r="D223" s="33"/>
      <c r="E223" s="28"/>
    </row>
    <row r="224">
      <c r="C224" s="26"/>
      <c r="D224" s="33"/>
      <c r="E224" s="28"/>
    </row>
    <row r="225">
      <c r="C225" s="26"/>
      <c r="D225" s="33"/>
      <c r="E225" s="28"/>
    </row>
    <row r="226">
      <c r="C226" s="26"/>
      <c r="D226" s="33"/>
      <c r="E226" s="28"/>
    </row>
    <row r="227">
      <c r="C227" s="26"/>
      <c r="D227" s="33"/>
      <c r="E227" s="28"/>
    </row>
    <row r="228">
      <c r="C228" s="26"/>
      <c r="D228" s="33"/>
      <c r="E228" s="28"/>
    </row>
    <row r="229">
      <c r="C229" s="26"/>
      <c r="D229" s="33"/>
      <c r="E229" s="28"/>
    </row>
    <row r="230">
      <c r="C230" s="26"/>
      <c r="D230" s="33"/>
      <c r="E230" s="28"/>
    </row>
    <row r="231">
      <c r="C231" s="26"/>
      <c r="D231" s="33"/>
      <c r="E231" s="28"/>
    </row>
    <row r="232">
      <c r="C232" s="26"/>
      <c r="D232" s="33"/>
      <c r="E232" s="28"/>
    </row>
    <row r="233">
      <c r="C233" s="26"/>
      <c r="D233" s="33"/>
      <c r="E233" s="28"/>
    </row>
    <row r="234">
      <c r="C234" s="26"/>
      <c r="D234" s="33"/>
      <c r="E234" s="28"/>
    </row>
    <row r="235">
      <c r="C235" s="26"/>
      <c r="D235" s="33"/>
      <c r="E235" s="28"/>
    </row>
    <row r="236">
      <c r="C236" s="26"/>
      <c r="D236" s="33"/>
      <c r="E236" s="28"/>
    </row>
    <row r="237">
      <c r="C237" s="26"/>
      <c r="D237" s="33"/>
      <c r="E237" s="28"/>
    </row>
    <row r="238">
      <c r="C238" s="26"/>
      <c r="D238" s="33"/>
      <c r="E238" s="28"/>
    </row>
    <row r="239">
      <c r="C239" s="26"/>
      <c r="D239" s="33"/>
      <c r="E239" s="28"/>
    </row>
    <row r="240">
      <c r="C240" s="26"/>
      <c r="D240" s="33"/>
      <c r="E240" s="28"/>
    </row>
    <row r="241">
      <c r="C241" s="26"/>
      <c r="D241" s="33"/>
      <c r="E241" s="28"/>
    </row>
    <row r="242">
      <c r="C242" s="26"/>
      <c r="D242" s="33"/>
      <c r="E242" s="28"/>
    </row>
    <row r="243">
      <c r="C243" s="26"/>
      <c r="D243" s="33"/>
      <c r="E243" s="28"/>
    </row>
    <row r="244">
      <c r="C244" s="26"/>
      <c r="D244" s="33"/>
      <c r="E244" s="28"/>
    </row>
    <row r="245">
      <c r="C245" s="26"/>
      <c r="D245" s="33"/>
      <c r="E245" s="28"/>
    </row>
    <row r="246">
      <c r="C246" s="26"/>
      <c r="D246" s="33"/>
      <c r="E246" s="28"/>
    </row>
    <row r="247">
      <c r="C247" s="26"/>
      <c r="D247" s="33"/>
      <c r="E247" s="28"/>
    </row>
    <row r="248">
      <c r="C248" s="26"/>
      <c r="D248" s="33"/>
      <c r="E248" s="28"/>
    </row>
    <row r="249">
      <c r="C249" s="26"/>
      <c r="D249" s="33"/>
      <c r="E249" s="28"/>
    </row>
    <row r="250">
      <c r="C250" s="26"/>
      <c r="D250" s="33"/>
      <c r="E250" s="28"/>
    </row>
    <row r="251">
      <c r="C251" s="26"/>
      <c r="D251" s="33"/>
      <c r="E251" s="28"/>
    </row>
    <row r="252">
      <c r="C252" s="26"/>
      <c r="D252" s="33"/>
      <c r="E252" s="28"/>
    </row>
    <row r="253">
      <c r="C253" s="26"/>
      <c r="D253" s="33"/>
      <c r="E253" s="28"/>
    </row>
    <row r="254">
      <c r="C254" s="26"/>
      <c r="D254" s="33"/>
      <c r="E254" s="28"/>
    </row>
    <row r="255">
      <c r="C255" s="26"/>
      <c r="D255" s="33"/>
      <c r="E255" s="28"/>
    </row>
    <row r="256">
      <c r="C256" s="26"/>
      <c r="D256" s="33"/>
      <c r="E256" s="28"/>
    </row>
    <row r="257">
      <c r="C257" s="26"/>
      <c r="D257" s="33"/>
      <c r="E257" s="28"/>
    </row>
    <row r="258">
      <c r="C258" s="26"/>
      <c r="D258" s="33"/>
      <c r="E258" s="28"/>
    </row>
    <row r="259">
      <c r="C259" s="26"/>
      <c r="D259" s="33"/>
      <c r="E259" s="28"/>
    </row>
    <row r="260">
      <c r="C260" s="26"/>
      <c r="D260" s="33"/>
      <c r="E260" s="28"/>
    </row>
    <row r="261">
      <c r="C261" s="26"/>
      <c r="D261" s="33"/>
      <c r="E261" s="28"/>
    </row>
    <row r="262">
      <c r="C262" s="26"/>
      <c r="D262" s="33"/>
      <c r="E262" s="28"/>
    </row>
    <row r="263">
      <c r="C263" s="26"/>
      <c r="D263" s="33"/>
      <c r="E263" s="28"/>
    </row>
    <row r="264">
      <c r="C264" s="26"/>
      <c r="D264" s="33"/>
      <c r="E264" s="28"/>
    </row>
    <row r="265">
      <c r="C265" s="26"/>
      <c r="D265" s="33"/>
      <c r="E265" s="28"/>
    </row>
    <row r="266">
      <c r="C266" s="26"/>
      <c r="D266" s="33"/>
      <c r="E266" s="28"/>
    </row>
    <row r="267">
      <c r="C267" s="26"/>
      <c r="D267" s="33"/>
      <c r="E267" s="28"/>
    </row>
    <row r="268">
      <c r="C268" s="26"/>
      <c r="D268" s="33"/>
      <c r="E268" s="28"/>
    </row>
    <row r="269">
      <c r="C269" s="26"/>
      <c r="D269" s="33"/>
      <c r="E269" s="28"/>
    </row>
    <row r="270">
      <c r="C270" s="26"/>
      <c r="D270" s="33"/>
      <c r="E270" s="28"/>
    </row>
    <row r="271">
      <c r="C271" s="26"/>
      <c r="D271" s="33"/>
      <c r="E271" s="28"/>
    </row>
    <row r="272">
      <c r="C272" s="26"/>
      <c r="D272" s="33"/>
      <c r="E272" s="28"/>
    </row>
    <row r="273">
      <c r="C273" s="26"/>
      <c r="D273" s="33"/>
      <c r="E273" s="28"/>
    </row>
    <row r="274">
      <c r="C274" s="26"/>
      <c r="D274" s="33"/>
      <c r="E274" s="28"/>
    </row>
    <row r="275">
      <c r="C275" s="26"/>
      <c r="D275" s="33"/>
      <c r="E275" s="28"/>
    </row>
    <row r="276">
      <c r="C276" s="26"/>
      <c r="D276" s="33"/>
      <c r="E276" s="28"/>
    </row>
    <row r="277">
      <c r="C277" s="26"/>
      <c r="D277" s="33"/>
      <c r="E277" s="28"/>
    </row>
    <row r="278">
      <c r="C278" s="26"/>
      <c r="D278" s="33"/>
      <c r="E278" s="28"/>
    </row>
    <row r="279">
      <c r="C279" s="26"/>
      <c r="D279" s="33"/>
      <c r="E279" s="28"/>
    </row>
    <row r="280">
      <c r="C280" s="26"/>
      <c r="D280" s="33"/>
      <c r="E280" s="28"/>
    </row>
    <row r="281">
      <c r="C281" s="26"/>
      <c r="D281" s="33"/>
      <c r="E281" s="28"/>
    </row>
    <row r="282">
      <c r="C282" s="26"/>
      <c r="D282" s="33"/>
      <c r="E282" s="28"/>
    </row>
    <row r="283">
      <c r="C283" s="26"/>
      <c r="D283" s="33"/>
      <c r="E283" s="28"/>
    </row>
    <row r="284">
      <c r="C284" s="26"/>
      <c r="D284" s="33"/>
      <c r="E284" s="28"/>
    </row>
    <row r="285">
      <c r="C285" s="26"/>
      <c r="D285" s="33"/>
      <c r="E285" s="28"/>
    </row>
    <row r="286">
      <c r="C286" s="26"/>
      <c r="D286" s="33"/>
      <c r="E286" s="28"/>
    </row>
    <row r="287">
      <c r="C287" s="26"/>
      <c r="D287" s="33"/>
      <c r="E287" s="28"/>
    </row>
    <row r="288">
      <c r="C288" s="26"/>
      <c r="D288" s="33"/>
      <c r="E288" s="28"/>
    </row>
    <row r="289">
      <c r="C289" s="26"/>
      <c r="D289" s="33"/>
      <c r="E289" s="28"/>
    </row>
    <row r="290">
      <c r="C290" s="26"/>
      <c r="D290" s="33"/>
      <c r="E290" s="28"/>
    </row>
    <row r="291">
      <c r="C291" s="26"/>
      <c r="D291" s="33"/>
      <c r="E291" s="28"/>
    </row>
    <row r="292">
      <c r="C292" s="26"/>
      <c r="D292" s="33"/>
      <c r="E292" s="28"/>
    </row>
    <row r="293">
      <c r="C293" s="26"/>
      <c r="D293" s="33"/>
      <c r="E293" s="28"/>
    </row>
    <row r="294">
      <c r="C294" s="26"/>
      <c r="D294" s="33"/>
      <c r="E294" s="28"/>
    </row>
    <row r="295">
      <c r="C295" s="26"/>
      <c r="D295" s="33"/>
      <c r="E295" s="28"/>
    </row>
    <row r="296">
      <c r="C296" s="26"/>
      <c r="D296" s="33"/>
      <c r="E296" s="28"/>
    </row>
    <row r="297">
      <c r="C297" s="26"/>
      <c r="D297" s="33"/>
      <c r="E297" s="28"/>
    </row>
    <row r="298">
      <c r="C298" s="26"/>
      <c r="D298" s="33"/>
      <c r="E298" s="28"/>
    </row>
    <row r="299">
      <c r="C299" s="26"/>
      <c r="D299" s="33"/>
      <c r="E299" s="28"/>
    </row>
    <row r="300">
      <c r="C300" s="26"/>
      <c r="D300" s="33"/>
      <c r="E300" s="28"/>
    </row>
    <row r="301">
      <c r="C301" s="26"/>
      <c r="D301" s="33"/>
      <c r="E301" s="28"/>
    </row>
    <row r="302">
      <c r="C302" s="26"/>
      <c r="D302" s="33"/>
      <c r="E302" s="28"/>
    </row>
    <row r="303">
      <c r="C303" s="26"/>
      <c r="D303" s="33"/>
      <c r="E303" s="28"/>
    </row>
    <row r="304">
      <c r="C304" s="26"/>
      <c r="D304" s="33"/>
      <c r="E304" s="28"/>
    </row>
    <row r="305">
      <c r="C305" s="26"/>
      <c r="D305" s="33"/>
      <c r="E305" s="28"/>
    </row>
    <row r="306">
      <c r="C306" s="26"/>
      <c r="D306" s="33"/>
      <c r="E306" s="28"/>
    </row>
    <row r="307">
      <c r="C307" s="26"/>
      <c r="D307" s="33"/>
      <c r="E307" s="28"/>
    </row>
    <row r="308">
      <c r="C308" s="26"/>
      <c r="D308" s="33"/>
      <c r="E308" s="28"/>
    </row>
    <row r="309">
      <c r="C309" s="26"/>
      <c r="D309" s="33"/>
      <c r="E309" s="28"/>
    </row>
    <row r="310">
      <c r="C310" s="26"/>
      <c r="D310" s="33"/>
      <c r="E310" s="28"/>
    </row>
    <row r="311">
      <c r="C311" s="26"/>
      <c r="D311" s="33"/>
      <c r="E311" s="28"/>
    </row>
    <row r="312">
      <c r="C312" s="26"/>
      <c r="D312" s="33"/>
      <c r="E312" s="28"/>
    </row>
    <row r="313">
      <c r="C313" s="26"/>
      <c r="D313" s="33"/>
      <c r="E313" s="28"/>
    </row>
    <row r="314">
      <c r="C314" s="26"/>
      <c r="D314" s="33"/>
      <c r="E314" s="28"/>
    </row>
    <row r="315">
      <c r="C315" s="26"/>
      <c r="D315" s="33"/>
      <c r="E315" s="28"/>
    </row>
    <row r="316">
      <c r="C316" s="26"/>
      <c r="D316" s="33"/>
      <c r="E316" s="28"/>
    </row>
    <row r="317">
      <c r="C317" s="26"/>
      <c r="D317" s="33"/>
      <c r="E317" s="28"/>
    </row>
    <row r="318">
      <c r="C318" s="26"/>
      <c r="D318" s="33"/>
      <c r="E318" s="28"/>
    </row>
    <row r="319">
      <c r="C319" s="26"/>
      <c r="D319" s="33"/>
      <c r="E319" s="28"/>
    </row>
    <row r="320">
      <c r="C320" s="26"/>
      <c r="D320" s="33"/>
      <c r="E320" s="28"/>
    </row>
    <row r="321">
      <c r="C321" s="26"/>
      <c r="D321" s="33"/>
      <c r="E321" s="28"/>
    </row>
    <row r="322">
      <c r="C322" s="26"/>
      <c r="D322" s="33"/>
      <c r="E322" s="28"/>
    </row>
    <row r="323">
      <c r="C323" s="26"/>
      <c r="D323" s="33"/>
      <c r="E323" s="28"/>
    </row>
    <row r="324">
      <c r="C324" s="26"/>
      <c r="D324" s="33"/>
      <c r="E324" s="28"/>
    </row>
    <row r="325">
      <c r="C325" s="26"/>
      <c r="D325" s="33"/>
      <c r="E325" s="28"/>
    </row>
    <row r="326">
      <c r="C326" s="26"/>
      <c r="D326" s="33"/>
      <c r="E326" s="28"/>
    </row>
    <row r="327">
      <c r="C327" s="26"/>
      <c r="D327" s="33"/>
      <c r="E327" s="28"/>
    </row>
    <row r="328">
      <c r="C328" s="26"/>
      <c r="D328" s="33"/>
      <c r="E328" s="28"/>
    </row>
    <row r="329">
      <c r="C329" s="26"/>
      <c r="D329" s="33"/>
      <c r="E329" s="28"/>
    </row>
    <row r="330">
      <c r="C330" s="26"/>
      <c r="D330" s="33"/>
      <c r="E330" s="28"/>
    </row>
    <row r="331">
      <c r="C331" s="26"/>
      <c r="D331" s="33"/>
      <c r="E331" s="28"/>
    </row>
    <row r="332">
      <c r="C332" s="26"/>
      <c r="D332" s="33"/>
      <c r="E332" s="28"/>
    </row>
    <row r="333">
      <c r="C333" s="26"/>
      <c r="D333" s="33"/>
      <c r="E333" s="28"/>
    </row>
    <row r="334">
      <c r="C334" s="26"/>
      <c r="D334" s="33"/>
      <c r="E334" s="28"/>
    </row>
    <row r="335">
      <c r="C335" s="26"/>
      <c r="D335" s="33"/>
      <c r="E335" s="28"/>
    </row>
    <row r="336">
      <c r="C336" s="26"/>
      <c r="D336" s="33"/>
      <c r="E336" s="28"/>
    </row>
    <row r="337">
      <c r="C337" s="26"/>
      <c r="D337" s="33"/>
      <c r="E337" s="28"/>
    </row>
    <row r="338">
      <c r="C338" s="26"/>
      <c r="D338" s="33"/>
      <c r="E338" s="28"/>
    </row>
    <row r="339">
      <c r="C339" s="26"/>
      <c r="D339" s="33"/>
      <c r="E339" s="28"/>
    </row>
    <row r="340">
      <c r="C340" s="26"/>
      <c r="D340" s="33"/>
      <c r="E340" s="28"/>
    </row>
    <row r="341">
      <c r="C341" s="26"/>
      <c r="D341" s="33"/>
      <c r="E341" s="28"/>
    </row>
    <row r="342">
      <c r="C342" s="26"/>
      <c r="D342" s="33"/>
      <c r="E342" s="28"/>
    </row>
    <row r="343">
      <c r="C343" s="26"/>
      <c r="D343" s="33"/>
      <c r="E343" s="28"/>
    </row>
    <row r="344">
      <c r="C344" s="26"/>
      <c r="D344" s="33"/>
      <c r="E344" s="28"/>
    </row>
    <row r="345">
      <c r="C345" s="26"/>
      <c r="D345" s="33"/>
      <c r="E345" s="28"/>
    </row>
    <row r="346">
      <c r="C346" s="26"/>
      <c r="D346" s="33"/>
      <c r="E346" s="28"/>
    </row>
    <row r="347">
      <c r="C347" s="26"/>
      <c r="D347" s="33"/>
      <c r="E347" s="28"/>
    </row>
    <row r="348">
      <c r="C348" s="26"/>
      <c r="D348" s="33"/>
      <c r="E348" s="28"/>
    </row>
    <row r="349">
      <c r="C349" s="26"/>
      <c r="D349" s="33"/>
      <c r="E349" s="28"/>
    </row>
    <row r="350">
      <c r="C350" s="26"/>
      <c r="D350" s="33"/>
      <c r="E350" s="28"/>
    </row>
    <row r="351">
      <c r="C351" s="26"/>
      <c r="D351" s="33"/>
      <c r="E351" s="28"/>
    </row>
    <row r="352">
      <c r="C352" s="26"/>
      <c r="D352" s="33"/>
      <c r="E352" s="28"/>
    </row>
    <row r="353">
      <c r="C353" s="26"/>
      <c r="D353" s="33"/>
      <c r="E353" s="28"/>
    </row>
    <row r="354">
      <c r="C354" s="26"/>
      <c r="D354" s="33"/>
      <c r="E354" s="28"/>
    </row>
    <row r="355">
      <c r="C355" s="26"/>
      <c r="D355" s="33"/>
      <c r="E355" s="28"/>
    </row>
    <row r="356">
      <c r="C356" s="26"/>
      <c r="D356" s="33"/>
      <c r="E356" s="28"/>
    </row>
    <row r="357">
      <c r="C357" s="26"/>
      <c r="D357" s="33"/>
      <c r="E357" s="28"/>
    </row>
    <row r="358">
      <c r="C358" s="26"/>
      <c r="D358" s="33"/>
      <c r="E358" s="28"/>
    </row>
    <row r="359">
      <c r="C359" s="26"/>
      <c r="D359" s="33"/>
      <c r="E359" s="28"/>
    </row>
    <row r="360">
      <c r="C360" s="26"/>
      <c r="D360" s="33"/>
      <c r="E360" s="28"/>
    </row>
    <row r="361">
      <c r="C361" s="26"/>
      <c r="D361" s="33"/>
      <c r="E361" s="28"/>
    </row>
    <row r="362">
      <c r="C362" s="26"/>
      <c r="D362" s="33"/>
      <c r="E362" s="28"/>
    </row>
    <row r="363">
      <c r="C363" s="26"/>
      <c r="D363" s="33"/>
      <c r="E363" s="28"/>
    </row>
    <row r="364">
      <c r="C364" s="26"/>
      <c r="D364" s="33"/>
      <c r="E364" s="28"/>
    </row>
    <row r="365">
      <c r="C365" s="26"/>
      <c r="D365" s="33"/>
      <c r="E365" s="28"/>
    </row>
    <row r="366">
      <c r="C366" s="26"/>
      <c r="D366" s="33"/>
      <c r="E366" s="28"/>
    </row>
    <row r="367">
      <c r="C367" s="26"/>
      <c r="D367" s="33"/>
      <c r="E367" s="28"/>
    </row>
    <row r="368">
      <c r="C368" s="26"/>
      <c r="D368" s="33"/>
      <c r="E368" s="28"/>
    </row>
    <row r="369">
      <c r="C369" s="26"/>
      <c r="D369" s="33"/>
      <c r="E369" s="28"/>
    </row>
    <row r="370">
      <c r="C370" s="26"/>
      <c r="D370" s="33"/>
      <c r="E370" s="28"/>
    </row>
    <row r="371">
      <c r="C371" s="26"/>
      <c r="D371" s="33"/>
      <c r="E371" s="28"/>
    </row>
    <row r="372">
      <c r="C372" s="26"/>
      <c r="D372" s="33"/>
      <c r="E372" s="28"/>
    </row>
    <row r="373">
      <c r="C373" s="26"/>
      <c r="D373" s="33"/>
      <c r="E373" s="28"/>
    </row>
    <row r="374">
      <c r="C374" s="26"/>
      <c r="D374" s="33"/>
      <c r="E374" s="28"/>
    </row>
    <row r="375">
      <c r="C375" s="26"/>
      <c r="D375" s="33"/>
      <c r="E375" s="28"/>
    </row>
    <row r="376">
      <c r="C376" s="26"/>
      <c r="D376" s="33"/>
      <c r="E376" s="28"/>
    </row>
    <row r="377">
      <c r="C377" s="26"/>
      <c r="D377" s="33"/>
      <c r="E377" s="28"/>
    </row>
    <row r="378">
      <c r="C378" s="26"/>
      <c r="D378" s="33"/>
      <c r="E378" s="28"/>
    </row>
    <row r="379">
      <c r="C379" s="26"/>
      <c r="D379" s="33"/>
      <c r="E379" s="28"/>
    </row>
    <row r="380">
      <c r="C380" s="26"/>
      <c r="D380" s="33"/>
      <c r="E380" s="28"/>
    </row>
    <row r="381">
      <c r="C381" s="26"/>
      <c r="D381" s="33"/>
      <c r="E381" s="28"/>
    </row>
    <row r="382">
      <c r="C382" s="26"/>
      <c r="D382" s="33"/>
      <c r="E382" s="28"/>
    </row>
    <row r="383">
      <c r="C383" s="26"/>
      <c r="D383" s="33"/>
      <c r="E383" s="28"/>
    </row>
    <row r="384">
      <c r="C384" s="26"/>
      <c r="D384" s="33"/>
      <c r="E384" s="28"/>
    </row>
    <row r="385">
      <c r="C385" s="26"/>
      <c r="D385" s="33"/>
      <c r="E385" s="28"/>
    </row>
    <row r="386">
      <c r="C386" s="26"/>
      <c r="D386" s="33"/>
      <c r="E386" s="28"/>
    </row>
    <row r="387">
      <c r="C387" s="26"/>
      <c r="D387" s="33"/>
      <c r="E387" s="28"/>
    </row>
    <row r="388">
      <c r="C388" s="26"/>
      <c r="D388" s="33"/>
      <c r="E388" s="28"/>
    </row>
    <row r="389">
      <c r="C389" s="26"/>
      <c r="D389" s="33"/>
      <c r="E389" s="28"/>
    </row>
    <row r="390">
      <c r="C390" s="26"/>
      <c r="D390" s="33"/>
      <c r="E390" s="28"/>
    </row>
    <row r="391">
      <c r="C391" s="26"/>
      <c r="D391" s="33"/>
      <c r="E391" s="28"/>
    </row>
    <row r="392">
      <c r="C392" s="26"/>
      <c r="D392" s="33"/>
      <c r="E392" s="28"/>
    </row>
    <row r="393">
      <c r="C393" s="26"/>
      <c r="D393" s="33"/>
      <c r="E393" s="28"/>
    </row>
    <row r="394">
      <c r="C394" s="26"/>
      <c r="D394" s="33"/>
      <c r="E394" s="28"/>
    </row>
    <row r="395">
      <c r="C395" s="26"/>
      <c r="D395" s="33"/>
      <c r="E395" s="28"/>
    </row>
    <row r="396">
      <c r="C396" s="26"/>
      <c r="D396" s="33"/>
      <c r="E396" s="28"/>
    </row>
    <row r="397">
      <c r="C397" s="26"/>
      <c r="D397" s="33"/>
      <c r="E397" s="28"/>
    </row>
    <row r="398">
      <c r="C398" s="26"/>
      <c r="D398" s="33"/>
      <c r="E398" s="28"/>
    </row>
    <row r="399">
      <c r="C399" s="26"/>
      <c r="D399" s="33"/>
      <c r="E399" s="28"/>
    </row>
    <row r="400">
      <c r="C400" s="26"/>
      <c r="D400" s="33"/>
      <c r="E400" s="28"/>
    </row>
    <row r="401">
      <c r="C401" s="26"/>
      <c r="D401" s="33"/>
      <c r="E401" s="28"/>
    </row>
    <row r="402">
      <c r="C402" s="26"/>
      <c r="D402" s="33"/>
      <c r="E402" s="28"/>
    </row>
    <row r="403">
      <c r="C403" s="26"/>
      <c r="D403" s="33"/>
      <c r="E403" s="28"/>
    </row>
    <row r="404">
      <c r="C404" s="26"/>
      <c r="D404" s="33"/>
      <c r="E404" s="28"/>
    </row>
    <row r="405">
      <c r="C405" s="26"/>
      <c r="D405" s="33"/>
      <c r="E405" s="28"/>
    </row>
    <row r="406">
      <c r="C406" s="26"/>
      <c r="D406" s="33"/>
      <c r="E406" s="28"/>
    </row>
    <row r="407">
      <c r="C407" s="26"/>
      <c r="D407" s="33"/>
      <c r="E407" s="28"/>
    </row>
    <row r="408">
      <c r="C408" s="26"/>
      <c r="D408" s="33"/>
      <c r="E408" s="28"/>
    </row>
    <row r="409">
      <c r="C409" s="26"/>
      <c r="D409" s="33"/>
      <c r="E409" s="28"/>
    </row>
    <row r="410">
      <c r="C410" s="26"/>
      <c r="D410" s="33"/>
      <c r="E410" s="28"/>
    </row>
    <row r="411">
      <c r="C411" s="26"/>
      <c r="D411" s="33"/>
      <c r="E411" s="28"/>
    </row>
    <row r="412">
      <c r="C412" s="26"/>
      <c r="D412" s="33"/>
      <c r="E412" s="28"/>
    </row>
    <row r="413">
      <c r="C413" s="26"/>
      <c r="D413" s="33"/>
      <c r="E413" s="28"/>
    </row>
    <row r="414">
      <c r="C414" s="26"/>
      <c r="D414" s="33"/>
      <c r="E414" s="28"/>
    </row>
    <row r="415">
      <c r="C415" s="26"/>
      <c r="D415" s="33"/>
      <c r="E415" s="28"/>
    </row>
    <row r="416">
      <c r="C416" s="26"/>
      <c r="D416" s="33"/>
      <c r="E416" s="28"/>
    </row>
    <row r="417">
      <c r="C417" s="26"/>
      <c r="D417" s="33"/>
      <c r="E417" s="28"/>
    </row>
    <row r="418">
      <c r="C418" s="26"/>
      <c r="D418" s="33"/>
      <c r="E418" s="28"/>
    </row>
    <row r="419">
      <c r="C419" s="26"/>
      <c r="D419" s="33"/>
      <c r="E419" s="28"/>
    </row>
    <row r="420">
      <c r="C420" s="26"/>
      <c r="D420" s="33"/>
      <c r="E420" s="28"/>
    </row>
    <row r="421">
      <c r="C421" s="26"/>
      <c r="D421" s="33"/>
      <c r="E421" s="28"/>
    </row>
    <row r="422">
      <c r="C422" s="26"/>
      <c r="D422" s="33"/>
      <c r="E422" s="28"/>
    </row>
    <row r="423">
      <c r="C423" s="26"/>
      <c r="D423" s="33"/>
      <c r="E423" s="28"/>
    </row>
    <row r="424">
      <c r="C424" s="26"/>
      <c r="D424" s="33"/>
      <c r="E424" s="28"/>
    </row>
    <row r="425">
      <c r="C425" s="26"/>
      <c r="D425" s="33"/>
      <c r="E425" s="28"/>
    </row>
    <row r="426">
      <c r="C426" s="26"/>
      <c r="D426" s="33"/>
      <c r="E426" s="28"/>
    </row>
    <row r="427">
      <c r="C427" s="26"/>
      <c r="D427" s="33"/>
      <c r="E427" s="28"/>
    </row>
    <row r="428">
      <c r="C428" s="26"/>
      <c r="D428" s="33"/>
      <c r="E428" s="28"/>
    </row>
    <row r="429">
      <c r="C429" s="26"/>
      <c r="D429" s="33"/>
      <c r="E429" s="28"/>
    </row>
    <row r="430">
      <c r="C430" s="26"/>
      <c r="D430" s="33"/>
      <c r="E430" s="28"/>
    </row>
    <row r="431">
      <c r="C431" s="26"/>
      <c r="D431" s="33"/>
      <c r="E431" s="28"/>
    </row>
    <row r="432">
      <c r="C432" s="26"/>
      <c r="D432" s="33"/>
      <c r="E432" s="28"/>
    </row>
    <row r="433">
      <c r="C433" s="26"/>
      <c r="D433" s="33"/>
      <c r="E433" s="28"/>
    </row>
    <row r="434">
      <c r="C434" s="26"/>
      <c r="D434" s="33"/>
      <c r="E434" s="28"/>
    </row>
    <row r="435">
      <c r="C435" s="26"/>
      <c r="D435" s="33"/>
      <c r="E435" s="28"/>
    </row>
    <row r="436">
      <c r="C436" s="26"/>
      <c r="D436" s="33"/>
      <c r="E436" s="28"/>
    </row>
    <row r="437">
      <c r="C437" s="26"/>
      <c r="D437" s="33"/>
      <c r="E437" s="28"/>
    </row>
    <row r="438">
      <c r="C438" s="26"/>
      <c r="D438" s="33"/>
      <c r="E438" s="28"/>
    </row>
    <row r="439">
      <c r="C439" s="26"/>
      <c r="D439" s="33"/>
      <c r="E439" s="28"/>
    </row>
    <row r="440">
      <c r="C440" s="26"/>
      <c r="D440" s="33"/>
      <c r="E440" s="28"/>
    </row>
    <row r="441">
      <c r="C441" s="26"/>
      <c r="D441" s="33"/>
      <c r="E441" s="28"/>
    </row>
    <row r="442">
      <c r="C442" s="26"/>
      <c r="D442" s="33"/>
      <c r="E442" s="28"/>
    </row>
    <row r="443">
      <c r="C443" s="26"/>
      <c r="D443" s="33"/>
      <c r="E443" s="28"/>
    </row>
    <row r="444">
      <c r="C444" s="26"/>
      <c r="D444" s="33"/>
      <c r="E444" s="28"/>
    </row>
    <row r="445">
      <c r="C445" s="26"/>
      <c r="D445" s="33"/>
      <c r="E445" s="28"/>
    </row>
    <row r="446">
      <c r="C446" s="26"/>
      <c r="D446" s="33"/>
      <c r="E446" s="28"/>
    </row>
    <row r="447">
      <c r="C447" s="26"/>
      <c r="D447" s="33"/>
      <c r="E447" s="28"/>
    </row>
    <row r="448">
      <c r="C448" s="26"/>
      <c r="D448" s="33"/>
      <c r="E448" s="28"/>
    </row>
    <row r="449">
      <c r="C449" s="26"/>
      <c r="D449" s="33"/>
      <c r="E449" s="28"/>
    </row>
    <row r="450">
      <c r="C450" s="26"/>
      <c r="D450" s="33"/>
      <c r="E450" s="28"/>
    </row>
    <row r="451">
      <c r="C451" s="26"/>
      <c r="D451" s="33"/>
      <c r="E451" s="28"/>
    </row>
    <row r="452">
      <c r="C452" s="26"/>
      <c r="D452" s="33"/>
      <c r="E452" s="28"/>
    </row>
    <row r="453">
      <c r="C453" s="26"/>
      <c r="D453" s="33"/>
      <c r="E453" s="28"/>
    </row>
    <row r="454">
      <c r="C454" s="26"/>
      <c r="D454" s="33"/>
      <c r="E454" s="28"/>
    </row>
    <row r="455">
      <c r="C455" s="26"/>
      <c r="D455" s="33"/>
      <c r="E455" s="28"/>
    </row>
    <row r="456">
      <c r="C456" s="26"/>
      <c r="D456" s="33"/>
      <c r="E456" s="28"/>
    </row>
    <row r="457">
      <c r="C457" s="26"/>
      <c r="D457" s="33"/>
      <c r="E457" s="28"/>
    </row>
    <row r="458">
      <c r="C458" s="26"/>
      <c r="D458" s="33"/>
      <c r="E458" s="28"/>
    </row>
    <row r="459">
      <c r="C459" s="26"/>
      <c r="D459" s="33"/>
      <c r="E459" s="28"/>
    </row>
    <row r="460">
      <c r="C460" s="26"/>
      <c r="D460" s="33"/>
      <c r="E460" s="28"/>
    </row>
    <row r="461">
      <c r="C461" s="26"/>
      <c r="D461" s="33"/>
      <c r="E461" s="28"/>
    </row>
    <row r="462">
      <c r="C462" s="26"/>
      <c r="D462" s="33"/>
      <c r="E462" s="28"/>
    </row>
    <row r="463">
      <c r="C463" s="26"/>
      <c r="D463" s="33"/>
      <c r="E463" s="28"/>
    </row>
    <row r="464">
      <c r="C464" s="26"/>
      <c r="D464" s="33"/>
      <c r="E464" s="28"/>
    </row>
    <row r="465">
      <c r="C465" s="26"/>
      <c r="D465" s="33"/>
      <c r="E465" s="28"/>
    </row>
    <row r="466">
      <c r="C466" s="26"/>
      <c r="D466" s="33"/>
      <c r="E466" s="28"/>
    </row>
    <row r="467">
      <c r="C467" s="26"/>
      <c r="D467" s="33"/>
      <c r="E467" s="28"/>
    </row>
    <row r="468">
      <c r="C468" s="26"/>
      <c r="D468" s="33"/>
      <c r="E468" s="28"/>
    </row>
    <row r="469">
      <c r="C469" s="26"/>
      <c r="D469" s="33"/>
      <c r="E469" s="28"/>
    </row>
    <row r="470">
      <c r="C470" s="26"/>
      <c r="D470" s="33"/>
      <c r="E470" s="28"/>
    </row>
    <row r="471">
      <c r="C471" s="26"/>
      <c r="D471" s="33"/>
      <c r="E471" s="28"/>
    </row>
    <row r="472">
      <c r="C472" s="26"/>
      <c r="D472" s="33"/>
      <c r="E472" s="28"/>
    </row>
    <row r="473">
      <c r="C473" s="26"/>
      <c r="D473" s="33"/>
      <c r="E473" s="28"/>
    </row>
    <row r="474">
      <c r="C474" s="26"/>
      <c r="D474" s="33"/>
      <c r="E474" s="28"/>
    </row>
    <row r="475">
      <c r="C475" s="26"/>
      <c r="D475" s="33"/>
      <c r="E475" s="28"/>
    </row>
    <row r="476">
      <c r="C476" s="26"/>
      <c r="D476" s="33"/>
      <c r="E476" s="28"/>
    </row>
    <row r="477">
      <c r="C477" s="26"/>
      <c r="D477" s="33"/>
      <c r="E477" s="28"/>
    </row>
    <row r="478">
      <c r="C478" s="26"/>
      <c r="D478" s="33"/>
      <c r="E478" s="28"/>
    </row>
    <row r="479">
      <c r="C479" s="26"/>
      <c r="D479" s="33"/>
      <c r="E479" s="28"/>
    </row>
    <row r="480">
      <c r="C480" s="26"/>
      <c r="D480" s="33"/>
      <c r="E480" s="28"/>
    </row>
    <row r="481">
      <c r="C481" s="26"/>
      <c r="D481" s="33"/>
      <c r="E481" s="28"/>
    </row>
    <row r="482">
      <c r="C482" s="26"/>
      <c r="D482" s="33"/>
      <c r="E482" s="28"/>
    </row>
    <row r="483">
      <c r="C483" s="26"/>
      <c r="D483" s="33"/>
      <c r="E483" s="28"/>
    </row>
    <row r="484">
      <c r="C484" s="26"/>
      <c r="D484" s="33"/>
      <c r="E484" s="28"/>
    </row>
    <row r="485">
      <c r="C485" s="26"/>
      <c r="D485" s="33"/>
      <c r="E485" s="28"/>
    </row>
    <row r="486">
      <c r="C486" s="26"/>
      <c r="D486" s="33"/>
      <c r="E486" s="28"/>
    </row>
    <row r="487">
      <c r="C487" s="26"/>
      <c r="D487" s="33"/>
      <c r="E487" s="28"/>
    </row>
    <row r="488">
      <c r="C488" s="26"/>
      <c r="D488" s="33"/>
      <c r="E488" s="28"/>
    </row>
    <row r="489">
      <c r="C489" s="26"/>
      <c r="D489" s="33"/>
      <c r="E489" s="28"/>
    </row>
    <row r="490">
      <c r="C490" s="26"/>
      <c r="D490" s="33"/>
      <c r="E490" s="28"/>
    </row>
    <row r="491">
      <c r="C491" s="26"/>
      <c r="D491" s="33"/>
      <c r="E491" s="28"/>
    </row>
    <row r="492">
      <c r="C492" s="26"/>
      <c r="D492" s="33"/>
      <c r="E492" s="28"/>
    </row>
    <row r="493">
      <c r="C493" s="26"/>
      <c r="D493" s="33"/>
      <c r="E493" s="28"/>
    </row>
    <row r="494">
      <c r="C494" s="26"/>
      <c r="D494" s="33"/>
      <c r="E494" s="28"/>
    </row>
    <row r="495">
      <c r="C495" s="26"/>
      <c r="D495" s="33"/>
      <c r="E495" s="28"/>
    </row>
    <row r="496">
      <c r="C496" s="26"/>
      <c r="D496" s="33"/>
      <c r="E496" s="28"/>
    </row>
    <row r="497">
      <c r="C497" s="26"/>
      <c r="D497" s="33"/>
      <c r="E497" s="28"/>
    </row>
    <row r="498">
      <c r="C498" s="26"/>
      <c r="D498" s="33"/>
      <c r="E498" s="28"/>
    </row>
    <row r="499">
      <c r="C499" s="26"/>
      <c r="D499" s="33"/>
      <c r="E499" s="28"/>
    </row>
    <row r="500">
      <c r="C500" s="26"/>
      <c r="D500" s="33"/>
      <c r="E500" s="28"/>
    </row>
    <row r="501">
      <c r="C501" s="26"/>
      <c r="D501" s="33"/>
      <c r="E501" s="28"/>
    </row>
    <row r="502">
      <c r="C502" s="26"/>
      <c r="D502" s="33"/>
      <c r="E502" s="28"/>
    </row>
    <row r="503">
      <c r="C503" s="26"/>
      <c r="D503" s="33"/>
      <c r="E503" s="28"/>
    </row>
    <row r="504">
      <c r="C504" s="26"/>
      <c r="D504" s="33"/>
      <c r="E504" s="28"/>
    </row>
    <row r="505">
      <c r="C505" s="26"/>
      <c r="D505" s="33"/>
      <c r="E505" s="28"/>
    </row>
    <row r="506">
      <c r="C506" s="26"/>
      <c r="D506" s="33"/>
      <c r="E506" s="28"/>
    </row>
    <row r="507">
      <c r="C507" s="26"/>
      <c r="D507" s="33"/>
      <c r="E507" s="28"/>
    </row>
    <row r="508">
      <c r="C508" s="26"/>
      <c r="D508" s="33"/>
      <c r="E508" s="28"/>
    </row>
    <row r="509">
      <c r="C509" s="26"/>
      <c r="D509" s="33"/>
      <c r="E509" s="28"/>
    </row>
    <row r="510">
      <c r="C510" s="26"/>
      <c r="D510" s="33"/>
      <c r="E510" s="28"/>
    </row>
    <row r="511">
      <c r="C511" s="26"/>
      <c r="D511" s="33"/>
      <c r="E511" s="28"/>
    </row>
    <row r="512">
      <c r="C512" s="26"/>
      <c r="D512" s="33"/>
      <c r="E512" s="28"/>
    </row>
    <row r="513">
      <c r="C513" s="26"/>
      <c r="D513" s="33"/>
      <c r="E513" s="28"/>
    </row>
    <row r="514">
      <c r="C514" s="26"/>
      <c r="D514" s="33"/>
      <c r="E514" s="28"/>
    </row>
    <row r="515">
      <c r="C515" s="26"/>
      <c r="D515" s="33"/>
      <c r="E515" s="28"/>
    </row>
    <row r="516">
      <c r="C516" s="26"/>
      <c r="D516" s="33"/>
      <c r="E516" s="28"/>
    </row>
    <row r="517">
      <c r="C517" s="26"/>
      <c r="D517" s="33"/>
      <c r="E517" s="28"/>
    </row>
    <row r="518">
      <c r="C518" s="26"/>
      <c r="D518" s="33"/>
      <c r="E518" s="28"/>
    </row>
    <row r="519">
      <c r="C519" s="26"/>
      <c r="D519" s="33"/>
      <c r="E519" s="28"/>
    </row>
    <row r="520">
      <c r="C520" s="26"/>
      <c r="D520" s="33"/>
      <c r="E520" s="28"/>
    </row>
    <row r="521">
      <c r="C521" s="26"/>
      <c r="D521" s="33"/>
      <c r="E521" s="28"/>
    </row>
    <row r="522">
      <c r="C522" s="26"/>
      <c r="D522" s="33"/>
      <c r="E522" s="28"/>
    </row>
    <row r="523">
      <c r="C523" s="26"/>
      <c r="D523" s="33"/>
      <c r="E523" s="28"/>
    </row>
    <row r="524">
      <c r="C524" s="26"/>
      <c r="D524" s="33"/>
      <c r="E524" s="28"/>
    </row>
    <row r="525">
      <c r="C525" s="26"/>
      <c r="D525" s="33"/>
      <c r="E525" s="28"/>
    </row>
    <row r="526">
      <c r="C526" s="26"/>
      <c r="D526" s="33"/>
      <c r="E526" s="28"/>
    </row>
    <row r="527">
      <c r="C527" s="26"/>
      <c r="D527" s="33"/>
      <c r="E527" s="28"/>
    </row>
    <row r="528">
      <c r="C528" s="26"/>
      <c r="D528" s="33"/>
      <c r="E528" s="28"/>
    </row>
    <row r="529">
      <c r="C529" s="26"/>
      <c r="D529" s="33"/>
      <c r="E529" s="28"/>
    </row>
    <row r="530">
      <c r="C530" s="26"/>
      <c r="D530" s="33"/>
      <c r="E530" s="28"/>
    </row>
    <row r="531">
      <c r="C531" s="26"/>
      <c r="D531" s="33"/>
      <c r="E531" s="28"/>
    </row>
    <row r="532">
      <c r="C532" s="26"/>
      <c r="D532" s="33"/>
      <c r="E532" s="28"/>
    </row>
    <row r="533">
      <c r="C533" s="26"/>
      <c r="D533" s="33"/>
      <c r="E533" s="28"/>
    </row>
    <row r="534">
      <c r="C534" s="26"/>
      <c r="D534" s="33"/>
      <c r="E534" s="28"/>
    </row>
    <row r="535">
      <c r="C535" s="26"/>
      <c r="D535" s="33"/>
      <c r="E535" s="28"/>
    </row>
    <row r="536">
      <c r="C536" s="26"/>
      <c r="D536" s="33"/>
      <c r="E536" s="28"/>
    </row>
    <row r="537">
      <c r="C537" s="26"/>
      <c r="D537" s="33"/>
      <c r="E537" s="28"/>
    </row>
    <row r="538">
      <c r="C538" s="26"/>
      <c r="D538" s="33"/>
      <c r="E538" s="28"/>
    </row>
    <row r="539">
      <c r="C539" s="26"/>
      <c r="D539" s="33"/>
      <c r="E539" s="28"/>
    </row>
    <row r="540">
      <c r="C540" s="26"/>
      <c r="D540" s="33"/>
      <c r="E540" s="28"/>
    </row>
    <row r="541">
      <c r="C541" s="26"/>
      <c r="D541" s="33"/>
      <c r="E541" s="28"/>
    </row>
    <row r="542">
      <c r="C542" s="26"/>
      <c r="D542" s="33"/>
      <c r="E542" s="28"/>
    </row>
    <row r="543">
      <c r="C543" s="26"/>
      <c r="D543" s="33"/>
      <c r="E543" s="28"/>
    </row>
    <row r="544">
      <c r="C544" s="26"/>
      <c r="D544" s="33"/>
      <c r="E544" s="28"/>
    </row>
    <row r="545">
      <c r="C545" s="26"/>
      <c r="D545" s="33"/>
      <c r="E545" s="28"/>
    </row>
    <row r="546">
      <c r="C546" s="26"/>
      <c r="D546" s="33"/>
      <c r="E546" s="28"/>
    </row>
    <row r="547">
      <c r="C547" s="26"/>
      <c r="D547" s="33"/>
      <c r="E547" s="28"/>
    </row>
    <row r="548">
      <c r="C548" s="26"/>
      <c r="D548" s="33"/>
      <c r="E548" s="28"/>
    </row>
    <row r="549">
      <c r="C549" s="26"/>
      <c r="D549" s="33"/>
      <c r="E549" s="28"/>
    </row>
    <row r="550">
      <c r="C550" s="26"/>
      <c r="D550" s="33"/>
      <c r="E550" s="28"/>
    </row>
    <row r="551">
      <c r="C551" s="26"/>
      <c r="D551" s="33"/>
      <c r="E551" s="28"/>
    </row>
    <row r="552">
      <c r="C552" s="26"/>
      <c r="D552" s="33"/>
      <c r="E552" s="28"/>
    </row>
    <row r="553">
      <c r="C553" s="26"/>
      <c r="D553" s="33"/>
      <c r="E553" s="28"/>
    </row>
    <row r="554">
      <c r="C554" s="26"/>
      <c r="D554" s="33"/>
      <c r="E554" s="28"/>
    </row>
    <row r="555">
      <c r="C555" s="26"/>
      <c r="D555" s="33"/>
      <c r="E555" s="28"/>
    </row>
    <row r="556">
      <c r="C556" s="26"/>
      <c r="D556" s="33"/>
      <c r="E556" s="28"/>
    </row>
    <row r="557">
      <c r="C557" s="26"/>
      <c r="D557" s="33"/>
      <c r="E557" s="28"/>
    </row>
    <row r="558">
      <c r="C558" s="26"/>
      <c r="D558" s="33"/>
      <c r="E558" s="28"/>
    </row>
    <row r="559">
      <c r="C559" s="26"/>
      <c r="D559" s="33"/>
      <c r="E559" s="28"/>
    </row>
    <row r="560">
      <c r="C560" s="26"/>
      <c r="D560" s="33"/>
      <c r="E560" s="28"/>
    </row>
    <row r="561">
      <c r="C561" s="26"/>
      <c r="D561" s="33"/>
      <c r="E561" s="28"/>
    </row>
    <row r="562">
      <c r="C562" s="26"/>
      <c r="D562" s="33"/>
      <c r="E562" s="28"/>
    </row>
    <row r="563">
      <c r="C563" s="26"/>
      <c r="D563" s="33"/>
      <c r="E563" s="28"/>
    </row>
    <row r="564">
      <c r="C564" s="26"/>
      <c r="D564" s="33"/>
      <c r="E564" s="28"/>
    </row>
    <row r="565">
      <c r="C565" s="26"/>
      <c r="D565" s="33"/>
      <c r="E565" s="28"/>
    </row>
    <row r="566">
      <c r="C566" s="26"/>
      <c r="D566" s="33"/>
      <c r="E566" s="28"/>
    </row>
    <row r="567">
      <c r="C567" s="26"/>
      <c r="D567" s="33"/>
      <c r="E567" s="28"/>
    </row>
    <row r="568">
      <c r="C568" s="26"/>
      <c r="D568" s="33"/>
      <c r="E568" s="28"/>
    </row>
    <row r="569">
      <c r="C569" s="26"/>
      <c r="D569" s="33"/>
      <c r="E569" s="28"/>
    </row>
    <row r="570">
      <c r="C570" s="26"/>
      <c r="D570" s="33"/>
      <c r="E570" s="28"/>
    </row>
    <row r="571">
      <c r="C571" s="26"/>
      <c r="D571" s="33"/>
      <c r="E571" s="28"/>
    </row>
    <row r="572">
      <c r="C572" s="26"/>
      <c r="D572" s="33"/>
      <c r="E572" s="28"/>
    </row>
    <row r="573">
      <c r="C573" s="26"/>
      <c r="D573" s="33"/>
      <c r="E573" s="28"/>
    </row>
    <row r="574">
      <c r="C574" s="26"/>
      <c r="D574" s="33"/>
      <c r="E574" s="28"/>
    </row>
    <row r="575">
      <c r="C575" s="26"/>
      <c r="D575" s="33"/>
      <c r="E575" s="28"/>
    </row>
    <row r="576">
      <c r="C576" s="26"/>
      <c r="D576" s="33"/>
      <c r="E576" s="28"/>
    </row>
    <row r="577">
      <c r="C577" s="26"/>
      <c r="D577" s="33"/>
      <c r="E577" s="28"/>
    </row>
    <row r="578">
      <c r="C578" s="26"/>
      <c r="D578" s="33"/>
      <c r="E578" s="28"/>
    </row>
    <row r="579">
      <c r="C579" s="26"/>
      <c r="D579" s="33"/>
      <c r="E579" s="28"/>
    </row>
    <row r="580">
      <c r="C580" s="26"/>
      <c r="D580" s="33"/>
      <c r="E580" s="28"/>
    </row>
    <row r="581">
      <c r="C581" s="26"/>
      <c r="D581" s="33"/>
      <c r="E581" s="28"/>
    </row>
    <row r="582">
      <c r="C582" s="26"/>
      <c r="D582" s="33"/>
      <c r="E582" s="28"/>
    </row>
    <row r="583">
      <c r="C583" s="26"/>
      <c r="D583" s="33"/>
      <c r="E583" s="28"/>
    </row>
    <row r="584">
      <c r="C584" s="26"/>
      <c r="D584" s="33"/>
      <c r="E584" s="28"/>
    </row>
    <row r="585">
      <c r="C585" s="26"/>
      <c r="D585" s="33"/>
      <c r="E585" s="28"/>
    </row>
    <row r="586">
      <c r="C586" s="26"/>
      <c r="D586" s="33"/>
      <c r="E586" s="28"/>
    </row>
    <row r="587">
      <c r="C587" s="26"/>
      <c r="D587" s="33"/>
      <c r="E587" s="28"/>
    </row>
    <row r="588">
      <c r="C588" s="26"/>
      <c r="D588" s="33"/>
      <c r="E588" s="28"/>
    </row>
    <row r="589">
      <c r="C589" s="26"/>
      <c r="D589" s="33"/>
      <c r="E589" s="28"/>
    </row>
    <row r="590">
      <c r="C590" s="26"/>
      <c r="D590" s="33"/>
      <c r="E590" s="28"/>
    </row>
    <row r="591">
      <c r="C591" s="26"/>
      <c r="D591" s="33"/>
      <c r="E591" s="28"/>
    </row>
    <row r="592">
      <c r="C592" s="26"/>
      <c r="D592" s="33"/>
      <c r="E592" s="28"/>
    </row>
    <row r="593">
      <c r="C593" s="26"/>
      <c r="D593" s="33"/>
      <c r="E593" s="28"/>
    </row>
    <row r="594">
      <c r="C594" s="26"/>
      <c r="D594" s="33"/>
      <c r="E594" s="28"/>
    </row>
    <row r="595">
      <c r="C595" s="26"/>
      <c r="D595" s="33"/>
      <c r="E595" s="28"/>
    </row>
    <row r="596">
      <c r="C596" s="26"/>
      <c r="D596" s="33"/>
      <c r="E596" s="28"/>
    </row>
    <row r="597">
      <c r="C597" s="26"/>
      <c r="D597" s="33"/>
      <c r="E597" s="28"/>
    </row>
    <row r="598">
      <c r="C598" s="26"/>
      <c r="D598" s="33"/>
      <c r="E598" s="28"/>
    </row>
    <row r="599">
      <c r="C599" s="26"/>
      <c r="D599" s="33"/>
      <c r="E599" s="28"/>
    </row>
    <row r="600">
      <c r="C600" s="26"/>
      <c r="D600" s="33"/>
      <c r="E600" s="28"/>
    </row>
    <row r="601">
      <c r="C601" s="26"/>
      <c r="D601" s="33"/>
      <c r="E601" s="28"/>
    </row>
    <row r="602">
      <c r="C602" s="26"/>
      <c r="D602" s="33"/>
      <c r="E602" s="28"/>
    </row>
    <row r="603">
      <c r="C603" s="26"/>
      <c r="D603" s="33"/>
      <c r="E603" s="28"/>
    </row>
    <row r="604">
      <c r="C604" s="26"/>
      <c r="D604" s="33"/>
      <c r="E604" s="28"/>
    </row>
    <row r="605">
      <c r="C605" s="26"/>
      <c r="D605" s="33"/>
      <c r="E605" s="28"/>
    </row>
    <row r="606">
      <c r="C606" s="26"/>
      <c r="D606" s="33"/>
      <c r="E606" s="28"/>
    </row>
    <row r="607">
      <c r="C607" s="26"/>
      <c r="D607" s="33"/>
      <c r="E607" s="28"/>
    </row>
    <row r="608">
      <c r="C608" s="26"/>
      <c r="D608" s="33"/>
      <c r="E608" s="28"/>
    </row>
    <row r="609">
      <c r="C609" s="26"/>
      <c r="D609" s="33"/>
      <c r="E609" s="28"/>
    </row>
    <row r="610">
      <c r="C610" s="26"/>
      <c r="D610" s="33"/>
      <c r="E610" s="28"/>
    </row>
    <row r="611">
      <c r="C611" s="26"/>
      <c r="D611" s="33"/>
      <c r="E611" s="28"/>
    </row>
    <row r="612">
      <c r="C612" s="26"/>
      <c r="D612" s="33"/>
      <c r="E612" s="28"/>
    </row>
    <row r="613">
      <c r="C613" s="26"/>
      <c r="D613" s="33"/>
      <c r="E613" s="28"/>
    </row>
    <row r="614">
      <c r="C614" s="26"/>
      <c r="D614" s="33"/>
      <c r="E614" s="28"/>
    </row>
    <row r="615">
      <c r="C615" s="26"/>
      <c r="D615" s="33"/>
      <c r="E615" s="28"/>
    </row>
    <row r="616">
      <c r="C616" s="26"/>
      <c r="D616" s="33"/>
      <c r="E616" s="28"/>
    </row>
    <row r="617">
      <c r="C617" s="26"/>
      <c r="D617" s="33"/>
      <c r="E617" s="28"/>
    </row>
    <row r="618">
      <c r="C618" s="26"/>
      <c r="D618" s="33"/>
      <c r="E618" s="28"/>
    </row>
    <row r="619">
      <c r="C619" s="26"/>
      <c r="D619" s="33"/>
      <c r="E619" s="28"/>
    </row>
    <row r="620">
      <c r="C620" s="26"/>
      <c r="D620" s="33"/>
      <c r="E620" s="28"/>
    </row>
    <row r="621">
      <c r="C621" s="26"/>
      <c r="D621" s="33"/>
      <c r="E621" s="28"/>
    </row>
    <row r="622">
      <c r="C622" s="26"/>
      <c r="D622" s="33"/>
      <c r="E622" s="28"/>
    </row>
    <row r="623">
      <c r="C623" s="26"/>
      <c r="D623" s="33"/>
      <c r="E623" s="28"/>
    </row>
    <row r="624">
      <c r="C624" s="26"/>
      <c r="D624" s="33"/>
      <c r="E624" s="28"/>
    </row>
    <row r="625">
      <c r="C625" s="26"/>
      <c r="D625" s="33"/>
      <c r="E625" s="28"/>
    </row>
    <row r="626">
      <c r="C626" s="26"/>
      <c r="D626" s="33"/>
      <c r="E626" s="28"/>
    </row>
    <row r="627">
      <c r="C627" s="26"/>
      <c r="D627" s="33"/>
      <c r="E627" s="28"/>
    </row>
    <row r="628">
      <c r="C628" s="26"/>
      <c r="D628" s="33"/>
      <c r="E628" s="28"/>
    </row>
    <row r="629">
      <c r="C629" s="26"/>
      <c r="D629" s="33"/>
      <c r="E629" s="28"/>
    </row>
    <row r="630">
      <c r="C630" s="26"/>
      <c r="D630" s="33"/>
      <c r="E630" s="28"/>
    </row>
    <row r="631">
      <c r="C631" s="26"/>
      <c r="D631" s="33"/>
      <c r="E631" s="28"/>
    </row>
    <row r="632">
      <c r="C632" s="26"/>
      <c r="D632" s="33"/>
      <c r="E632" s="28"/>
    </row>
    <row r="633">
      <c r="C633" s="26"/>
      <c r="D633" s="33"/>
      <c r="E633" s="28"/>
    </row>
    <row r="634">
      <c r="C634" s="26"/>
      <c r="D634" s="33"/>
      <c r="E634" s="28"/>
    </row>
    <row r="635">
      <c r="C635" s="26"/>
      <c r="D635" s="33"/>
      <c r="E635" s="28"/>
    </row>
    <row r="636">
      <c r="C636" s="26"/>
      <c r="D636" s="33"/>
      <c r="E636" s="28"/>
    </row>
    <row r="637">
      <c r="C637" s="26"/>
      <c r="D637" s="33"/>
      <c r="E637" s="28"/>
    </row>
    <row r="638">
      <c r="C638" s="26"/>
      <c r="D638" s="33"/>
      <c r="E638" s="28"/>
    </row>
    <row r="639">
      <c r="C639" s="26"/>
      <c r="D639" s="33"/>
      <c r="E639" s="28"/>
    </row>
    <row r="640">
      <c r="C640" s="26"/>
      <c r="D640" s="33"/>
      <c r="E640" s="28"/>
    </row>
    <row r="641">
      <c r="C641" s="26"/>
      <c r="D641" s="33"/>
      <c r="E641" s="28"/>
    </row>
    <row r="642">
      <c r="C642" s="26"/>
      <c r="D642" s="33"/>
      <c r="E642" s="28"/>
    </row>
    <row r="643">
      <c r="C643" s="26"/>
      <c r="D643" s="33"/>
      <c r="E643" s="28"/>
    </row>
    <row r="644">
      <c r="C644" s="26"/>
      <c r="D644" s="33"/>
      <c r="E644" s="28"/>
    </row>
    <row r="645">
      <c r="C645" s="26"/>
      <c r="D645" s="33"/>
      <c r="E645" s="28"/>
    </row>
    <row r="646">
      <c r="C646" s="26"/>
      <c r="D646" s="33"/>
      <c r="E646" s="28"/>
    </row>
    <row r="647">
      <c r="C647" s="26"/>
      <c r="D647" s="33"/>
      <c r="E647" s="28"/>
    </row>
    <row r="648">
      <c r="C648" s="26"/>
      <c r="D648" s="33"/>
      <c r="E648" s="28"/>
    </row>
    <row r="649">
      <c r="C649" s="26"/>
      <c r="D649" s="33"/>
      <c r="E649" s="28"/>
    </row>
    <row r="650">
      <c r="C650" s="26"/>
      <c r="D650" s="33"/>
      <c r="E650" s="28"/>
    </row>
    <row r="651">
      <c r="C651" s="26"/>
      <c r="D651" s="33"/>
      <c r="E651" s="28"/>
    </row>
    <row r="652">
      <c r="C652" s="26"/>
      <c r="D652" s="33"/>
      <c r="E652" s="28"/>
    </row>
    <row r="653">
      <c r="C653" s="26"/>
      <c r="D653" s="33"/>
      <c r="E653" s="28"/>
    </row>
    <row r="654">
      <c r="C654" s="26"/>
      <c r="D654" s="33"/>
      <c r="E654" s="28"/>
    </row>
    <row r="655">
      <c r="C655" s="26"/>
      <c r="D655" s="33"/>
      <c r="E655" s="28"/>
    </row>
    <row r="656">
      <c r="C656" s="26"/>
      <c r="D656" s="33"/>
      <c r="E656" s="28"/>
    </row>
    <row r="657">
      <c r="C657" s="26"/>
      <c r="D657" s="33"/>
      <c r="E657" s="28"/>
    </row>
    <row r="658">
      <c r="C658" s="26"/>
      <c r="D658" s="33"/>
      <c r="E658" s="28"/>
    </row>
    <row r="659">
      <c r="C659" s="26"/>
      <c r="D659" s="33"/>
      <c r="E659" s="28"/>
    </row>
    <row r="660">
      <c r="C660" s="26"/>
      <c r="D660" s="33"/>
      <c r="E660" s="28"/>
    </row>
    <row r="661">
      <c r="C661" s="26"/>
      <c r="D661" s="33"/>
      <c r="E661" s="28"/>
    </row>
    <row r="662">
      <c r="C662" s="26"/>
      <c r="D662" s="33"/>
      <c r="E662" s="28"/>
    </row>
    <row r="663">
      <c r="C663" s="26"/>
      <c r="D663" s="33"/>
      <c r="E663" s="28"/>
    </row>
    <row r="664">
      <c r="C664" s="26"/>
      <c r="D664" s="33"/>
      <c r="E664" s="28"/>
    </row>
    <row r="665">
      <c r="C665" s="26"/>
      <c r="D665" s="33"/>
      <c r="E665" s="28"/>
    </row>
    <row r="666">
      <c r="C666" s="26"/>
      <c r="D666" s="33"/>
      <c r="E666" s="28"/>
    </row>
    <row r="667">
      <c r="C667" s="26"/>
      <c r="D667" s="33"/>
      <c r="E667" s="28"/>
    </row>
    <row r="668">
      <c r="C668" s="26"/>
      <c r="D668" s="33"/>
      <c r="E668" s="28"/>
    </row>
    <row r="669">
      <c r="C669" s="26"/>
      <c r="D669" s="33"/>
      <c r="E669" s="28"/>
    </row>
    <row r="670">
      <c r="C670" s="26"/>
      <c r="D670" s="33"/>
      <c r="E670" s="28"/>
    </row>
    <row r="671">
      <c r="C671" s="26"/>
      <c r="D671" s="33"/>
      <c r="E671" s="28"/>
    </row>
    <row r="672">
      <c r="C672" s="26"/>
      <c r="D672" s="33"/>
      <c r="E672" s="28"/>
    </row>
    <row r="673">
      <c r="C673" s="26"/>
      <c r="D673" s="33"/>
      <c r="E673" s="28"/>
    </row>
    <row r="674">
      <c r="C674" s="26"/>
      <c r="D674" s="33"/>
      <c r="E674" s="28"/>
    </row>
    <row r="675">
      <c r="C675" s="26"/>
      <c r="D675" s="33"/>
      <c r="E675" s="28"/>
    </row>
    <row r="676">
      <c r="C676" s="26"/>
      <c r="D676" s="33"/>
      <c r="E676" s="28"/>
    </row>
    <row r="677">
      <c r="C677" s="26"/>
      <c r="D677" s="33"/>
      <c r="E677" s="28"/>
    </row>
    <row r="678">
      <c r="C678" s="26"/>
      <c r="D678" s="33"/>
      <c r="E678" s="28"/>
    </row>
    <row r="679">
      <c r="C679" s="26"/>
      <c r="D679" s="33"/>
      <c r="E679" s="28"/>
    </row>
    <row r="680">
      <c r="C680" s="26"/>
      <c r="D680" s="33"/>
      <c r="E680" s="28"/>
    </row>
    <row r="681">
      <c r="C681" s="26"/>
      <c r="D681" s="33"/>
      <c r="E681" s="28"/>
    </row>
    <row r="682">
      <c r="C682" s="26"/>
      <c r="D682" s="33"/>
      <c r="E682" s="28"/>
    </row>
    <row r="683">
      <c r="C683" s="26"/>
      <c r="D683" s="33"/>
      <c r="E683" s="28"/>
    </row>
    <row r="684">
      <c r="C684" s="26"/>
      <c r="D684" s="33"/>
      <c r="E684" s="28"/>
    </row>
    <row r="685">
      <c r="C685" s="26"/>
      <c r="D685" s="33"/>
      <c r="E685" s="28"/>
    </row>
    <row r="686">
      <c r="C686" s="26"/>
      <c r="D686" s="33"/>
      <c r="E686" s="28"/>
    </row>
    <row r="687">
      <c r="C687" s="26"/>
      <c r="D687" s="33"/>
      <c r="E687" s="28"/>
    </row>
    <row r="688">
      <c r="C688" s="26"/>
      <c r="D688" s="33"/>
      <c r="E688" s="28"/>
    </row>
    <row r="689">
      <c r="C689" s="26"/>
      <c r="D689" s="33"/>
      <c r="E689" s="28"/>
    </row>
    <row r="690">
      <c r="C690" s="26"/>
      <c r="D690" s="33"/>
      <c r="E690" s="28"/>
    </row>
    <row r="691">
      <c r="C691" s="26"/>
      <c r="D691" s="33"/>
      <c r="E691" s="28"/>
    </row>
    <row r="692">
      <c r="C692" s="26"/>
      <c r="D692" s="33"/>
      <c r="E692" s="28"/>
    </row>
    <row r="693">
      <c r="C693" s="26"/>
      <c r="D693" s="33"/>
      <c r="E693" s="28"/>
    </row>
    <row r="694">
      <c r="C694" s="26"/>
      <c r="D694" s="33"/>
      <c r="E694" s="28"/>
    </row>
    <row r="695">
      <c r="C695" s="26"/>
      <c r="D695" s="33"/>
      <c r="E695" s="28"/>
    </row>
    <row r="696">
      <c r="C696" s="26"/>
      <c r="D696" s="33"/>
      <c r="E696" s="28"/>
    </row>
    <row r="697">
      <c r="C697" s="26"/>
      <c r="D697" s="33"/>
      <c r="E697" s="28"/>
    </row>
    <row r="698">
      <c r="C698" s="26"/>
      <c r="D698" s="33"/>
      <c r="E698" s="28"/>
    </row>
    <row r="699">
      <c r="C699" s="26"/>
      <c r="D699" s="33"/>
      <c r="E699" s="28"/>
    </row>
    <row r="700">
      <c r="C700" s="26"/>
      <c r="D700" s="33"/>
      <c r="E700" s="28"/>
    </row>
    <row r="701">
      <c r="C701" s="26"/>
      <c r="D701" s="33"/>
      <c r="E701" s="28"/>
    </row>
    <row r="702">
      <c r="C702" s="26"/>
      <c r="D702" s="33"/>
      <c r="E702" s="28"/>
    </row>
    <row r="703">
      <c r="C703" s="26"/>
      <c r="D703" s="33"/>
      <c r="E703" s="28"/>
    </row>
    <row r="704">
      <c r="C704" s="26"/>
      <c r="D704" s="33"/>
      <c r="E704" s="28"/>
    </row>
    <row r="705">
      <c r="C705" s="26"/>
      <c r="D705" s="33"/>
      <c r="E705" s="28"/>
    </row>
    <row r="706">
      <c r="C706" s="26"/>
      <c r="D706" s="33"/>
      <c r="E706" s="28"/>
    </row>
    <row r="707">
      <c r="C707" s="26"/>
      <c r="D707" s="33"/>
      <c r="E707" s="28"/>
    </row>
    <row r="708">
      <c r="C708" s="26"/>
      <c r="D708" s="33"/>
      <c r="E708" s="28"/>
    </row>
    <row r="709">
      <c r="C709" s="26"/>
      <c r="D709" s="33"/>
      <c r="E709" s="28"/>
    </row>
    <row r="710">
      <c r="C710" s="26"/>
      <c r="D710" s="33"/>
      <c r="E710" s="28"/>
    </row>
    <row r="711">
      <c r="C711" s="26"/>
      <c r="D711" s="33"/>
      <c r="E711" s="28"/>
    </row>
    <row r="712">
      <c r="C712" s="26"/>
      <c r="D712" s="33"/>
      <c r="E712" s="28"/>
    </row>
    <row r="713">
      <c r="C713" s="26"/>
      <c r="D713" s="33"/>
      <c r="E713" s="28"/>
    </row>
    <row r="714">
      <c r="C714" s="26"/>
      <c r="D714" s="33"/>
      <c r="E714" s="28"/>
    </row>
    <row r="715">
      <c r="C715" s="26"/>
      <c r="D715" s="33"/>
      <c r="E715" s="28"/>
    </row>
    <row r="716">
      <c r="C716" s="26"/>
      <c r="D716" s="33"/>
      <c r="E716" s="28"/>
    </row>
    <row r="717">
      <c r="C717" s="26"/>
      <c r="D717" s="33"/>
      <c r="E717" s="28"/>
    </row>
    <row r="718">
      <c r="C718" s="26"/>
      <c r="D718" s="33"/>
      <c r="E718" s="28"/>
    </row>
    <row r="719">
      <c r="C719" s="26"/>
      <c r="D719" s="33"/>
      <c r="E719" s="28"/>
    </row>
    <row r="720">
      <c r="C720" s="26"/>
      <c r="D720" s="33"/>
      <c r="E720" s="28"/>
    </row>
    <row r="721">
      <c r="C721" s="26"/>
      <c r="D721" s="33"/>
      <c r="E721" s="28"/>
    </row>
    <row r="722">
      <c r="C722" s="26"/>
      <c r="D722" s="33"/>
      <c r="E722" s="28"/>
    </row>
    <row r="723">
      <c r="C723" s="26"/>
      <c r="D723" s="33"/>
      <c r="E723" s="28"/>
    </row>
    <row r="724">
      <c r="C724" s="26"/>
      <c r="D724" s="33"/>
      <c r="E724" s="28"/>
    </row>
    <row r="725">
      <c r="C725" s="26"/>
      <c r="D725" s="33"/>
      <c r="E725" s="28"/>
    </row>
    <row r="726">
      <c r="C726" s="26"/>
      <c r="D726" s="33"/>
      <c r="E726" s="28"/>
    </row>
    <row r="727">
      <c r="C727" s="26"/>
      <c r="D727" s="33"/>
      <c r="E727" s="28"/>
    </row>
    <row r="728">
      <c r="C728" s="26"/>
      <c r="D728" s="33"/>
      <c r="E728" s="28"/>
    </row>
    <row r="729">
      <c r="C729" s="26"/>
      <c r="D729" s="33"/>
      <c r="E729" s="28"/>
    </row>
    <row r="730">
      <c r="C730" s="26"/>
      <c r="D730" s="33"/>
      <c r="E730" s="28"/>
    </row>
    <row r="731">
      <c r="C731" s="26"/>
      <c r="D731" s="33"/>
      <c r="E731" s="28"/>
    </row>
    <row r="732">
      <c r="C732" s="26"/>
      <c r="D732" s="33"/>
      <c r="E732" s="28"/>
    </row>
    <row r="733">
      <c r="C733" s="26"/>
      <c r="D733" s="33"/>
      <c r="E733" s="28"/>
    </row>
    <row r="734">
      <c r="C734" s="26"/>
      <c r="D734" s="33"/>
      <c r="E734" s="28"/>
    </row>
    <row r="735">
      <c r="C735" s="26"/>
      <c r="D735" s="33"/>
      <c r="E735" s="28"/>
    </row>
    <row r="736">
      <c r="C736" s="26"/>
      <c r="D736" s="33"/>
      <c r="E736" s="28"/>
    </row>
    <row r="737">
      <c r="C737" s="26"/>
      <c r="D737" s="33"/>
      <c r="E737" s="28"/>
    </row>
    <row r="738">
      <c r="C738" s="26"/>
      <c r="D738" s="33"/>
      <c r="E738" s="28"/>
    </row>
    <row r="739">
      <c r="C739" s="26"/>
      <c r="D739" s="33"/>
      <c r="E739" s="28"/>
    </row>
    <row r="740">
      <c r="C740" s="26"/>
      <c r="D740" s="33"/>
      <c r="E740" s="28"/>
    </row>
    <row r="741">
      <c r="C741" s="26"/>
      <c r="D741" s="33"/>
      <c r="E741" s="28"/>
    </row>
    <row r="742">
      <c r="C742" s="26"/>
      <c r="D742" s="33"/>
      <c r="E742" s="28"/>
    </row>
    <row r="743">
      <c r="C743" s="26"/>
      <c r="D743" s="33"/>
      <c r="E743" s="28"/>
    </row>
    <row r="744">
      <c r="C744" s="26"/>
      <c r="D744" s="33"/>
      <c r="E744" s="28"/>
    </row>
    <row r="745">
      <c r="C745" s="26"/>
      <c r="D745" s="33"/>
      <c r="E745" s="28"/>
    </row>
    <row r="746">
      <c r="C746" s="26"/>
      <c r="D746" s="33"/>
      <c r="E746" s="28"/>
    </row>
    <row r="747">
      <c r="C747" s="26"/>
      <c r="D747" s="33"/>
      <c r="E747" s="28"/>
    </row>
    <row r="748">
      <c r="C748" s="26"/>
      <c r="D748" s="33"/>
      <c r="E748" s="28"/>
    </row>
    <row r="749">
      <c r="C749" s="26"/>
      <c r="D749" s="33"/>
      <c r="E749" s="28"/>
    </row>
    <row r="750">
      <c r="C750" s="26"/>
      <c r="D750" s="33"/>
      <c r="E750" s="28"/>
    </row>
    <row r="751">
      <c r="C751" s="26"/>
      <c r="D751" s="33"/>
      <c r="E751" s="28"/>
    </row>
    <row r="752">
      <c r="C752" s="26"/>
      <c r="D752" s="33"/>
      <c r="E752" s="28"/>
    </row>
    <row r="753">
      <c r="C753" s="26"/>
      <c r="D753" s="33"/>
      <c r="E753" s="28"/>
    </row>
    <row r="754">
      <c r="C754" s="26"/>
      <c r="D754" s="33"/>
      <c r="E754" s="28"/>
    </row>
    <row r="755">
      <c r="C755" s="26"/>
      <c r="D755" s="33"/>
      <c r="E755" s="28"/>
    </row>
    <row r="756">
      <c r="C756" s="26"/>
      <c r="D756" s="33"/>
      <c r="E756" s="28"/>
    </row>
    <row r="757">
      <c r="C757" s="26"/>
      <c r="D757" s="33"/>
      <c r="E757" s="28"/>
    </row>
    <row r="758">
      <c r="C758" s="26"/>
      <c r="D758" s="33"/>
      <c r="E758" s="28"/>
    </row>
    <row r="759">
      <c r="C759" s="26"/>
      <c r="D759" s="33"/>
      <c r="E759" s="28"/>
    </row>
    <row r="760">
      <c r="C760" s="26"/>
      <c r="D760" s="33"/>
      <c r="E760" s="28"/>
    </row>
    <row r="761">
      <c r="C761" s="26"/>
      <c r="D761" s="33"/>
      <c r="E761" s="28"/>
    </row>
    <row r="762">
      <c r="C762" s="26"/>
      <c r="D762" s="33"/>
      <c r="E762" s="28"/>
    </row>
    <row r="763">
      <c r="C763" s="26"/>
      <c r="D763" s="33"/>
      <c r="E763" s="28"/>
    </row>
    <row r="764">
      <c r="C764" s="26"/>
      <c r="D764" s="33"/>
      <c r="E764" s="28"/>
    </row>
    <row r="765">
      <c r="C765" s="26"/>
      <c r="D765" s="33"/>
      <c r="E765" s="28"/>
    </row>
    <row r="766">
      <c r="C766" s="26"/>
      <c r="D766" s="33"/>
      <c r="E766" s="28"/>
    </row>
    <row r="767">
      <c r="C767" s="26"/>
      <c r="D767" s="33"/>
      <c r="E767" s="28"/>
    </row>
    <row r="768">
      <c r="C768" s="26"/>
      <c r="D768" s="33"/>
      <c r="E768" s="28"/>
    </row>
    <row r="769">
      <c r="C769" s="26"/>
      <c r="D769" s="33"/>
      <c r="E769" s="28"/>
    </row>
    <row r="770">
      <c r="C770" s="26"/>
      <c r="D770" s="33"/>
      <c r="E770" s="28"/>
    </row>
    <row r="771">
      <c r="C771" s="26"/>
      <c r="D771" s="33"/>
      <c r="E771" s="28"/>
    </row>
    <row r="772">
      <c r="C772" s="26"/>
      <c r="D772" s="33"/>
      <c r="E772" s="28"/>
    </row>
    <row r="773">
      <c r="C773" s="26"/>
      <c r="D773" s="33"/>
      <c r="E773" s="28"/>
    </row>
    <row r="774">
      <c r="C774" s="26"/>
      <c r="D774" s="33"/>
      <c r="E774" s="28"/>
    </row>
    <row r="775">
      <c r="C775" s="26"/>
      <c r="D775" s="33"/>
      <c r="E775" s="28"/>
    </row>
    <row r="776">
      <c r="C776" s="26"/>
      <c r="D776" s="33"/>
      <c r="E776" s="28"/>
    </row>
    <row r="777">
      <c r="C777" s="26"/>
      <c r="D777" s="33"/>
      <c r="E777" s="28"/>
    </row>
    <row r="778">
      <c r="C778" s="26"/>
      <c r="D778" s="33"/>
      <c r="E778" s="28"/>
    </row>
    <row r="779">
      <c r="C779" s="26"/>
      <c r="D779" s="33"/>
      <c r="E779" s="28"/>
    </row>
    <row r="780">
      <c r="C780" s="26"/>
      <c r="D780" s="33"/>
      <c r="E780" s="28"/>
    </row>
    <row r="781">
      <c r="C781" s="26"/>
      <c r="D781" s="33"/>
      <c r="E781" s="28"/>
    </row>
    <row r="782">
      <c r="C782" s="26"/>
      <c r="D782" s="33"/>
      <c r="E782" s="28"/>
    </row>
    <row r="783">
      <c r="C783" s="26"/>
      <c r="D783" s="33"/>
      <c r="E783" s="28"/>
    </row>
    <row r="784">
      <c r="C784" s="26"/>
      <c r="D784" s="33"/>
      <c r="E784" s="28"/>
    </row>
    <row r="785">
      <c r="C785" s="26"/>
      <c r="D785" s="33"/>
      <c r="E785" s="28"/>
    </row>
    <row r="786">
      <c r="C786" s="26"/>
      <c r="D786" s="33"/>
      <c r="E786" s="28"/>
    </row>
    <row r="787">
      <c r="C787" s="26"/>
      <c r="D787" s="33"/>
      <c r="E787" s="28"/>
    </row>
    <row r="788">
      <c r="C788" s="26"/>
      <c r="D788" s="33"/>
      <c r="E788" s="28"/>
    </row>
    <row r="789">
      <c r="C789" s="26"/>
      <c r="D789" s="33"/>
      <c r="E789" s="28"/>
    </row>
    <row r="790">
      <c r="C790" s="26"/>
      <c r="D790" s="33"/>
      <c r="E790" s="28"/>
    </row>
    <row r="791">
      <c r="C791" s="26"/>
      <c r="D791" s="33"/>
      <c r="E791" s="28"/>
    </row>
    <row r="792">
      <c r="C792" s="26"/>
      <c r="D792" s="33"/>
      <c r="E792" s="28"/>
    </row>
    <row r="793">
      <c r="C793" s="26"/>
      <c r="D793" s="33"/>
      <c r="E793" s="28"/>
    </row>
    <row r="794">
      <c r="C794" s="26"/>
      <c r="D794" s="33"/>
      <c r="E794" s="28"/>
    </row>
    <row r="795">
      <c r="C795" s="26"/>
      <c r="D795" s="33"/>
      <c r="E795" s="28"/>
    </row>
    <row r="796">
      <c r="C796" s="26"/>
      <c r="D796" s="33"/>
      <c r="E796" s="28"/>
    </row>
    <row r="797">
      <c r="C797" s="26"/>
      <c r="D797" s="33"/>
      <c r="E797" s="28"/>
    </row>
    <row r="798">
      <c r="C798" s="26"/>
      <c r="D798" s="33"/>
      <c r="E798" s="28"/>
    </row>
    <row r="799">
      <c r="C799" s="26"/>
      <c r="D799" s="33"/>
      <c r="E799" s="28"/>
    </row>
    <row r="800">
      <c r="C800" s="26"/>
      <c r="D800" s="33"/>
      <c r="E800" s="28"/>
    </row>
    <row r="801">
      <c r="C801" s="26"/>
      <c r="D801" s="33"/>
      <c r="E801" s="28"/>
    </row>
    <row r="802">
      <c r="C802" s="26"/>
      <c r="D802" s="33"/>
      <c r="E802" s="28"/>
    </row>
    <row r="803">
      <c r="C803" s="26"/>
      <c r="D803" s="33"/>
      <c r="E803" s="28"/>
    </row>
    <row r="804">
      <c r="C804" s="26"/>
      <c r="D804" s="33"/>
      <c r="E804" s="28"/>
    </row>
    <row r="805">
      <c r="C805" s="26"/>
      <c r="D805" s="33"/>
      <c r="E805" s="28"/>
    </row>
    <row r="806">
      <c r="C806" s="26"/>
      <c r="D806" s="33"/>
      <c r="E806" s="28"/>
    </row>
    <row r="807">
      <c r="C807" s="26"/>
      <c r="D807" s="33"/>
      <c r="E807" s="28"/>
    </row>
    <row r="808">
      <c r="C808" s="26"/>
      <c r="D808" s="33"/>
      <c r="E808" s="28"/>
    </row>
    <row r="809">
      <c r="C809" s="26"/>
      <c r="D809" s="33"/>
      <c r="E809" s="28"/>
    </row>
    <row r="810">
      <c r="C810" s="26"/>
      <c r="D810" s="33"/>
      <c r="E810" s="28"/>
    </row>
    <row r="811">
      <c r="C811" s="26"/>
      <c r="D811" s="33"/>
      <c r="E811" s="28"/>
    </row>
    <row r="812">
      <c r="C812" s="26"/>
      <c r="D812" s="33"/>
      <c r="E812" s="28"/>
    </row>
    <row r="813">
      <c r="C813" s="26"/>
      <c r="D813" s="33"/>
      <c r="E813" s="28"/>
    </row>
    <row r="814">
      <c r="C814" s="26"/>
      <c r="D814" s="33"/>
      <c r="E814" s="28"/>
    </row>
    <row r="815">
      <c r="C815" s="26"/>
      <c r="D815" s="33"/>
      <c r="E815" s="28"/>
    </row>
    <row r="816">
      <c r="C816" s="26"/>
      <c r="D816" s="33"/>
      <c r="E816" s="28"/>
    </row>
    <row r="817">
      <c r="C817" s="26"/>
      <c r="D817" s="33"/>
      <c r="E817" s="28"/>
    </row>
    <row r="818">
      <c r="C818" s="26"/>
      <c r="D818" s="33"/>
      <c r="E818" s="28"/>
    </row>
    <row r="819">
      <c r="C819" s="26"/>
      <c r="D819" s="33"/>
      <c r="E819" s="28"/>
    </row>
    <row r="820">
      <c r="C820" s="26"/>
      <c r="D820" s="33"/>
      <c r="E820" s="28"/>
    </row>
    <row r="821">
      <c r="C821" s="26"/>
      <c r="D821" s="33"/>
      <c r="E821" s="28"/>
    </row>
    <row r="822">
      <c r="C822" s="26"/>
      <c r="D822" s="33"/>
      <c r="E822" s="28"/>
    </row>
    <row r="823">
      <c r="C823" s="26"/>
      <c r="D823" s="33"/>
      <c r="E823" s="28"/>
    </row>
    <row r="824">
      <c r="C824" s="26"/>
      <c r="D824" s="33"/>
      <c r="E824" s="28"/>
    </row>
    <row r="825">
      <c r="C825" s="26"/>
      <c r="D825" s="33"/>
      <c r="E825" s="28"/>
    </row>
    <row r="826">
      <c r="C826" s="26"/>
      <c r="D826" s="33"/>
      <c r="E826" s="28"/>
    </row>
    <row r="827">
      <c r="C827" s="26"/>
      <c r="D827" s="33"/>
      <c r="E827" s="28"/>
    </row>
    <row r="828">
      <c r="C828" s="26"/>
      <c r="D828" s="33"/>
      <c r="E828" s="28"/>
    </row>
    <row r="829">
      <c r="C829" s="26"/>
      <c r="D829" s="33"/>
      <c r="E829" s="28"/>
    </row>
    <row r="830">
      <c r="C830" s="26"/>
      <c r="D830" s="33"/>
      <c r="E830" s="28"/>
    </row>
    <row r="831">
      <c r="C831" s="26"/>
      <c r="D831" s="33"/>
      <c r="E831" s="28"/>
    </row>
    <row r="832">
      <c r="C832" s="26"/>
      <c r="D832" s="33"/>
      <c r="E832" s="28"/>
    </row>
    <row r="833">
      <c r="C833" s="26"/>
      <c r="D833" s="33"/>
      <c r="E833" s="28"/>
    </row>
    <row r="834">
      <c r="C834" s="26"/>
      <c r="D834" s="33"/>
      <c r="E834" s="28"/>
    </row>
    <row r="835">
      <c r="C835" s="26"/>
      <c r="D835" s="33"/>
      <c r="E835" s="28"/>
    </row>
    <row r="836">
      <c r="C836" s="26"/>
      <c r="D836" s="33"/>
      <c r="E836" s="28"/>
    </row>
    <row r="837">
      <c r="C837" s="26"/>
      <c r="D837" s="33"/>
      <c r="E837" s="28"/>
    </row>
    <row r="838">
      <c r="C838" s="26"/>
      <c r="D838" s="33"/>
      <c r="E838" s="28"/>
    </row>
    <row r="839">
      <c r="C839" s="26"/>
      <c r="D839" s="33"/>
      <c r="E839" s="28"/>
    </row>
    <row r="840">
      <c r="C840" s="26"/>
      <c r="D840" s="33"/>
      <c r="E840" s="28"/>
    </row>
    <row r="841">
      <c r="C841" s="26"/>
      <c r="D841" s="33"/>
      <c r="E841" s="28"/>
    </row>
    <row r="842">
      <c r="C842" s="26"/>
      <c r="D842" s="33"/>
      <c r="E842" s="28"/>
    </row>
    <row r="843">
      <c r="C843" s="26"/>
      <c r="D843" s="33"/>
      <c r="E843" s="28"/>
    </row>
    <row r="844">
      <c r="C844" s="26"/>
      <c r="D844" s="33"/>
      <c r="E844" s="28"/>
    </row>
    <row r="845">
      <c r="C845" s="26"/>
      <c r="D845" s="33"/>
      <c r="E845" s="28"/>
    </row>
    <row r="846">
      <c r="C846" s="26"/>
      <c r="D846" s="33"/>
      <c r="E846" s="28"/>
    </row>
    <row r="847">
      <c r="C847" s="26"/>
      <c r="D847" s="33"/>
      <c r="E847" s="28"/>
    </row>
    <row r="848">
      <c r="C848" s="26"/>
      <c r="D848" s="33"/>
      <c r="E848" s="28"/>
    </row>
    <row r="849">
      <c r="C849" s="26"/>
      <c r="D849" s="33"/>
      <c r="E849" s="28"/>
    </row>
    <row r="850">
      <c r="C850" s="26"/>
      <c r="D850" s="33"/>
      <c r="E850" s="28"/>
    </row>
    <row r="851">
      <c r="C851" s="26"/>
      <c r="D851" s="33"/>
      <c r="E851" s="28"/>
    </row>
    <row r="852">
      <c r="C852" s="26"/>
      <c r="D852" s="33"/>
      <c r="E852" s="28"/>
    </row>
    <row r="853">
      <c r="C853" s="26"/>
      <c r="D853" s="33"/>
      <c r="E853" s="28"/>
    </row>
    <row r="854">
      <c r="C854" s="26"/>
      <c r="D854" s="33"/>
      <c r="E854" s="28"/>
    </row>
    <row r="855">
      <c r="C855" s="26"/>
      <c r="D855" s="33"/>
      <c r="E855" s="28"/>
    </row>
    <row r="856">
      <c r="C856" s="26"/>
      <c r="D856" s="33"/>
      <c r="E856" s="28"/>
    </row>
    <row r="857">
      <c r="C857" s="26"/>
      <c r="D857" s="33"/>
      <c r="E857" s="28"/>
    </row>
    <row r="858">
      <c r="C858" s="26"/>
      <c r="D858" s="33"/>
      <c r="E858" s="28"/>
    </row>
    <row r="859">
      <c r="C859" s="26"/>
      <c r="D859" s="33"/>
      <c r="E859" s="28"/>
    </row>
    <row r="860">
      <c r="C860" s="26"/>
      <c r="D860" s="33"/>
      <c r="E860" s="28"/>
    </row>
    <row r="861">
      <c r="C861" s="26"/>
      <c r="D861" s="33"/>
      <c r="E861" s="28"/>
    </row>
    <row r="862">
      <c r="C862" s="26"/>
      <c r="D862" s="33"/>
      <c r="E862" s="28"/>
    </row>
    <row r="863">
      <c r="C863" s="26"/>
      <c r="D863" s="33"/>
      <c r="E863" s="28"/>
    </row>
    <row r="864">
      <c r="C864" s="26"/>
      <c r="D864" s="33"/>
      <c r="E864" s="28"/>
    </row>
    <row r="865">
      <c r="C865" s="26"/>
      <c r="D865" s="33"/>
      <c r="E865" s="28"/>
    </row>
    <row r="866">
      <c r="C866" s="26"/>
      <c r="D866" s="33"/>
      <c r="E866" s="28"/>
    </row>
    <row r="867">
      <c r="C867" s="26"/>
      <c r="D867" s="33"/>
      <c r="E867" s="28"/>
    </row>
    <row r="868">
      <c r="C868" s="26"/>
      <c r="D868" s="33"/>
      <c r="E868" s="28"/>
    </row>
    <row r="869">
      <c r="C869" s="26"/>
      <c r="D869" s="33"/>
      <c r="E869" s="28"/>
    </row>
    <row r="870">
      <c r="C870" s="26"/>
      <c r="D870" s="33"/>
      <c r="E870" s="28"/>
    </row>
    <row r="871">
      <c r="C871" s="26"/>
      <c r="D871" s="33"/>
      <c r="E871" s="28"/>
    </row>
    <row r="872">
      <c r="C872" s="26"/>
      <c r="D872" s="33"/>
      <c r="E872" s="28"/>
    </row>
    <row r="873">
      <c r="C873" s="26"/>
      <c r="D873" s="33"/>
      <c r="E873" s="28"/>
    </row>
    <row r="874">
      <c r="C874" s="26"/>
      <c r="D874" s="33"/>
      <c r="E874" s="28"/>
    </row>
    <row r="875">
      <c r="C875" s="26"/>
      <c r="D875" s="33"/>
      <c r="E875" s="28"/>
    </row>
    <row r="876">
      <c r="C876" s="26"/>
      <c r="D876" s="33"/>
      <c r="E876" s="28"/>
    </row>
    <row r="877">
      <c r="C877" s="26"/>
      <c r="D877" s="33"/>
      <c r="E877" s="28"/>
    </row>
    <row r="878">
      <c r="C878" s="26"/>
      <c r="D878" s="33"/>
      <c r="E878" s="28"/>
    </row>
    <row r="879">
      <c r="C879" s="26"/>
      <c r="D879" s="33"/>
      <c r="E879" s="28"/>
    </row>
    <row r="880">
      <c r="C880" s="26"/>
      <c r="D880" s="33"/>
      <c r="E880" s="28"/>
    </row>
    <row r="881">
      <c r="C881" s="26"/>
      <c r="D881" s="33"/>
      <c r="E881" s="28"/>
    </row>
    <row r="882">
      <c r="C882" s="26"/>
      <c r="D882" s="33"/>
      <c r="E882" s="28"/>
    </row>
    <row r="883">
      <c r="C883" s="26"/>
      <c r="D883" s="33"/>
      <c r="E883" s="28"/>
    </row>
    <row r="884">
      <c r="C884" s="26"/>
      <c r="D884" s="33"/>
      <c r="E884" s="28"/>
    </row>
    <row r="885">
      <c r="C885" s="26"/>
      <c r="D885" s="33"/>
      <c r="E885" s="28"/>
    </row>
    <row r="886">
      <c r="C886" s="26"/>
      <c r="D886" s="33"/>
      <c r="E886" s="28"/>
    </row>
    <row r="887">
      <c r="C887" s="26"/>
      <c r="D887" s="33"/>
      <c r="E887" s="28"/>
    </row>
    <row r="888">
      <c r="C888" s="26"/>
      <c r="D888" s="33"/>
      <c r="E888" s="28"/>
    </row>
    <row r="889">
      <c r="C889" s="26"/>
      <c r="D889" s="33"/>
      <c r="E889" s="28"/>
    </row>
    <row r="890">
      <c r="C890" s="26"/>
      <c r="D890" s="33"/>
      <c r="E890" s="28"/>
    </row>
    <row r="891">
      <c r="C891" s="26"/>
      <c r="D891" s="33"/>
      <c r="E891" s="28"/>
    </row>
    <row r="892">
      <c r="C892" s="26"/>
      <c r="D892" s="33"/>
      <c r="E892" s="28"/>
    </row>
    <row r="893">
      <c r="C893" s="26"/>
      <c r="D893" s="33"/>
      <c r="E893" s="28"/>
    </row>
    <row r="894">
      <c r="C894" s="26"/>
      <c r="D894" s="33"/>
      <c r="E894" s="28"/>
    </row>
    <row r="895">
      <c r="C895" s="26"/>
      <c r="D895" s="33"/>
      <c r="E895" s="28"/>
    </row>
    <row r="896">
      <c r="C896" s="26"/>
      <c r="D896" s="33"/>
      <c r="E896" s="28"/>
    </row>
    <row r="897">
      <c r="C897" s="26"/>
      <c r="D897" s="33"/>
      <c r="E897" s="28"/>
    </row>
    <row r="898">
      <c r="C898" s="26"/>
      <c r="D898" s="33"/>
      <c r="E898" s="28"/>
    </row>
    <row r="899">
      <c r="C899" s="26"/>
      <c r="D899" s="33"/>
      <c r="E899" s="28"/>
    </row>
    <row r="900">
      <c r="C900" s="26"/>
      <c r="D900" s="33"/>
      <c r="E900" s="28"/>
    </row>
    <row r="901">
      <c r="C901" s="26"/>
      <c r="D901" s="33"/>
      <c r="E901" s="28"/>
    </row>
    <row r="902">
      <c r="C902" s="26"/>
      <c r="D902" s="33"/>
      <c r="E902" s="28"/>
    </row>
    <row r="903">
      <c r="C903" s="26"/>
      <c r="D903" s="33"/>
      <c r="E903" s="28"/>
    </row>
    <row r="904">
      <c r="C904" s="26"/>
      <c r="D904" s="33"/>
      <c r="E904" s="28"/>
    </row>
    <row r="905">
      <c r="C905" s="26"/>
      <c r="D905" s="33"/>
      <c r="E905" s="28"/>
    </row>
    <row r="906">
      <c r="C906" s="26"/>
      <c r="D906" s="33"/>
      <c r="E906" s="28"/>
    </row>
    <row r="907">
      <c r="C907" s="26"/>
      <c r="D907" s="33"/>
      <c r="E907" s="28"/>
    </row>
    <row r="908">
      <c r="C908" s="26"/>
      <c r="D908" s="33"/>
      <c r="E908" s="28"/>
    </row>
    <row r="909">
      <c r="C909" s="26"/>
      <c r="D909" s="33"/>
      <c r="E909" s="28"/>
    </row>
    <row r="910">
      <c r="C910" s="26"/>
      <c r="D910" s="33"/>
      <c r="E910" s="28"/>
    </row>
    <row r="911">
      <c r="C911" s="26"/>
      <c r="D911" s="33"/>
      <c r="E911" s="28"/>
    </row>
    <row r="912">
      <c r="C912" s="26"/>
      <c r="D912" s="33"/>
      <c r="E912" s="28"/>
    </row>
    <row r="913">
      <c r="C913" s="26"/>
      <c r="D913" s="33"/>
      <c r="E913" s="28"/>
    </row>
    <row r="914">
      <c r="C914" s="26"/>
      <c r="D914" s="33"/>
      <c r="E914" s="28"/>
    </row>
    <row r="915">
      <c r="C915" s="26"/>
      <c r="D915" s="33"/>
      <c r="E915" s="28"/>
    </row>
    <row r="916">
      <c r="C916" s="26"/>
      <c r="D916" s="33"/>
      <c r="E916" s="28"/>
    </row>
    <row r="917">
      <c r="C917" s="26"/>
      <c r="D917" s="33"/>
      <c r="E917" s="28"/>
    </row>
    <row r="918">
      <c r="C918" s="26"/>
      <c r="D918" s="33"/>
      <c r="E918" s="28"/>
    </row>
    <row r="919">
      <c r="C919" s="26"/>
      <c r="D919" s="33"/>
      <c r="E919" s="28"/>
    </row>
    <row r="920">
      <c r="C920" s="26"/>
      <c r="D920" s="33"/>
      <c r="E920" s="28"/>
    </row>
    <row r="921">
      <c r="C921" s="26"/>
      <c r="D921" s="33"/>
      <c r="E921" s="28"/>
    </row>
    <row r="922">
      <c r="C922" s="26"/>
      <c r="D922" s="33"/>
      <c r="E922" s="28"/>
    </row>
    <row r="923">
      <c r="C923" s="26"/>
      <c r="D923" s="33"/>
      <c r="E923" s="28"/>
    </row>
    <row r="924">
      <c r="C924" s="26"/>
      <c r="D924" s="33"/>
      <c r="E924" s="28"/>
    </row>
    <row r="925">
      <c r="C925" s="26"/>
      <c r="D925" s="33"/>
      <c r="E925" s="28"/>
    </row>
    <row r="926">
      <c r="C926" s="26"/>
      <c r="D926" s="33"/>
      <c r="E926" s="28"/>
    </row>
    <row r="927">
      <c r="C927" s="26"/>
      <c r="D927" s="33"/>
      <c r="E927" s="28"/>
    </row>
    <row r="928">
      <c r="C928" s="26"/>
      <c r="D928" s="33"/>
      <c r="E928" s="28"/>
    </row>
    <row r="929">
      <c r="C929" s="26"/>
      <c r="D929" s="33"/>
      <c r="E929" s="28"/>
    </row>
    <row r="930">
      <c r="C930" s="26"/>
      <c r="D930" s="33"/>
      <c r="E930" s="28"/>
    </row>
    <row r="931">
      <c r="C931" s="26"/>
      <c r="D931" s="33"/>
      <c r="E931" s="28"/>
    </row>
    <row r="932">
      <c r="C932" s="26"/>
      <c r="D932" s="33"/>
      <c r="E932" s="28"/>
    </row>
    <row r="933">
      <c r="C933" s="26"/>
      <c r="D933" s="33"/>
      <c r="E933" s="28"/>
    </row>
    <row r="934">
      <c r="C934" s="26"/>
      <c r="D934" s="33"/>
      <c r="E934" s="28"/>
    </row>
    <row r="935">
      <c r="C935" s="26"/>
      <c r="D935" s="33"/>
      <c r="E935" s="28"/>
    </row>
    <row r="936">
      <c r="C936" s="26"/>
      <c r="D936" s="33"/>
      <c r="E936" s="28"/>
    </row>
    <row r="937">
      <c r="C937" s="26"/>
      <c r="D937" s="33"/>
      <c r="E937" s="28"/>
    </row>
    <row r="938">
      <c r="C938" s="26"/>
      <c r="D938" s="33"/>
      <c r="E938" s="28"/>
    </row>
    <row r="939">
      <c r="C939" s="26"/>
      <c r="D939" s="33"/>
      <c r="E939" s="28"/>
    </row>
    <row r="940">
      <c r="C940" s="26"/>
      <c r="D940" s="33"/>
      <c r="E940" s="28"/>
    </row>
    <row r="941">
      <c r="C941" s="26"/>
      <c r="D941" s="33"/>
      <c r="E941" s="28"/>
    </row>
    <row r="942">
      <c r="C942" s="26"/>
      <c r="D942" s="33"/>
      <c r="E942" s="28"/>
    </row>
    <row r="943">
      <c r="C943" s="26"/>
      <c r="D943" s="33"/>
      <c r="E943" s="28"/>
    </row>
    <row r="944">
      <c r="C944" s="26"/>
      <c r="D944" s="33"/>
      <c r="E944" s="28"/>
    </row>
    <row r="945">
      <c r="C945" s="26"/>
      <c r="D945" s="33"/>
      <c r="E945" s="28"/>
    </row>
    <row r="946">
      <c r="C946" s="26"/>
      <c r="D946" s="33"/>
      <c r="E946" s="28"/>
    </row>
    <row r="947">
      <c r="C947" s="26"/>
      <c r="D947" s="33"/>
      <c r="E947" s="28"/>
    </row>
    <row r="948">
      <c r="C948" s="26"/>
      <c r="D948" s="33"/>
      <c r="E948" s="28"/>
    </row>
    <row r="949">
      <c r="C949" s="26"/>
      <c r="D949" s="33"/>
      <c r="E949" s="28"/>
    </row>
    <row r="950">
      <c r="C950" s="26"/>
      <c r="D950" s="33"/>
      <c r="E950" s="28"/>
    </row>
    <row r="951">
      <c r="C951" s="26"/>
      <c r="D951" s="33"/>
      <c r="E951" s="28"/>
    </row>
    <row r="952">
      <c r="C952" s="26"/>
      <c r="D952" s="33"/>
      <c r="E952" s="28"/>
    </row>
    <row r="953">
      <c r="C953" s="26"/>
      <c r="D953" s="33"/>
      <c r="E953" s="28"/>
    </row>
    <row r="954">
      <c r="C954" s="26"/>
      <c r="D954" s="33"/>
      <c r="E954" s="28"/>
    </row>
    <row r="955">
      <c r="C955" s="26"/>
      <c r="D955" s="33"/>
      <c r="E955" s="28"/>
    </row>
    <row r="956">
      <c r="C956" s="26"/>
      <c r="D956" s="33"/>
      <c r="E956" s="28"/>
    </row>
    <row r="957">
      <c r="C957" s="26"/>
      <c r="D957" s="33"/>
      <c r="E957" s="28"/>
    </row>
    <row r="958">
      <c r="C958" s="26"/>
      <c r="D958" s="33"/>
      <c r="E958" s="28"/>
    </row>
    <row r="959">
      <c r="C959" s="26"/>
      <c r="D959" s="33"/>
      <c r="E959" s="28"/>
    </row>
    <row r="960">
      <c r="C960" s="26"/>
      <c r="D960" s="33"/>
      <c r="E960" s="28"/>
    </row>
    <row r="961">
      <c r="C961" s="26"/>
      <c r="D961" s="33"/>
      <c r="E961" s="28"/>
    </row>
    <row r="962">
      <c r="C962" s="26"/>
      <c r="D962" s="33"/>
      <c r="E962" s="28"/>
    </row>
    <row r="963">
      <c r="C963" s="26"/>
      <c r="D963" s="33"/>
      <c r="E963" s="28"/>
    </row>
    <row r="964">
      <c r="C964" s="26"/>
      <c r="D964" s="33"/>
      <c r="E964" s="28"/>
    </row>
    <row r="965">
      <c r="C965" s="26"/>
      <c r="D965" s="33"/>
      <c r="E965" s="28"/>
    </row>
    <row r="966">
      <c r="C966" s="26"/>
      <c r="D966" s="33"/>
      <c r="E966" s="28"/>
    </row>
    <row r="967">
      <c r="C967" s="26"/>
      <c r="D967" s="33"/>
      <c r="E967" s="28"/>
    </row>
    <row r="968">
      <c r="C968" s="26"/>
      <c r="D968" s="33"/>
      <c r="E968" s="28"/>
    </row>
    <row r="969">
      <c r="C969" s="26"/>
      <c r="D969" s="33"/>
      <c r="E969" s="28"/>
    </row>
    <row r="970">
      <c r="C970" s="26"/>
      <c r="D970" s="33"/>
      <c r="E970" s="28"/>
    </row>
    <row r="971">
      <c r="C971" s="26"/>
      <c r="D971" s="33"/>
      <c r="E971" s="28"/>
    </row>
    <row r="972">
      <c r="C972" s="26"/>
      <c r="D972" s="33"/>
      <c r="E972" s="28"/>
    </row>
    <row r="973">
      <c r="C973" s="26"/>
      <c r="D973" s="33"/>
      <c r="E973" s="28"/>
    </row>
    <row r="974">
      <c r="C974" s="26"/>
      <c r="D974" s="33"/>
      <c r="E974" s="28"/>
    </row>
    <row r="975">
      <c r="C975" s="26"/>
      <c r="D975" s="33"/>
      <c r="E975" s="28"/>
    </row>
    <row r="976">
      <c r="C976" s="26"/>
      <c r="D976" s="33"/>
      <c r="E976" s="28"/>
    </row>
    <row r="977">
      <c r="C977" s="26"/>
      <c r="D977" s="33"/>
      <c r="E977" s="28"/>
    </row>
    <row r="978">
      <c r="C978" s="26"/>
      <c r="D978" s="33"/>
      <c r="E978" s="28"/>
    </row>
    <row r="979">
      <c r="C979" s="26"/>
      <c r="D979" s="33"/>
      <c r="E979" s="28"/>
    </row>
    <row r="980">
      <c r="C980" s="26"/>
      <c r="D980" s="33"/>
      <c r="E980" s="28"/>
    </row>
    <row r="981">
      <c r="C981" s="26"/>
      <c r="D981" s="33"/>
      <c r="E981" s="28"/>
    </row>
    <row r="982">
      <c r="C982" s="26"/>
      <c r="D982" s="33"/>
      <c r="E982" s="28"/>
    </row>
    <row r="983">
      <c r="C983" s="26"/>
      <c r="D983" s="33"/>
      <c r="E983" s="28"/>
    </row>
    <row r="984">
      <c r="C984" s="26"/>
      <c r="D984" s="33"/>
      <c r="E984" s="28"/>
    </row>
    <row r="985">
      <c r="C985" s="26"/>
      <c r="D985" s="33"/>
      <c r="E985" s="28"/>
    </row>
    <row r="986">
      <c r="C986" s="26"/>
      <c r="D986" s="33"/>
      <c r="E986" s="28"/>
    </row>
    <row r="987">
      <c r="C987" s="26"/>
      <c r="D987" s="33"/>
      <c r="E987" s="28"/>
    </row>
    <row r="988">
      <c r="C988" s="26"/>
      <c r="D988" s="33"/>
      <c r="E988" s="28"/>
    </row>
    <row r="989">
      <c r="C989" s="26"/>
      <c r="D989" s="33"/>
      <c r="E989" s="28"/>
    </row>
    <row r="990">
      <c r="C990" s="26"/>
      <c r="D990" s="33"/>
      <c r="E990" s="28"/>
    </row>
    <row r="991">
      <c r="C991" s="26"/>
      <c r="D991" s="33"/>
      <c r="E991" s="28"/>
    </row>
    <row r="992">
      <c r="C992" s="26"/>
      <c r="D992" s="33"/>
      <c r="E992" s="28"/>
    </row>
    <row r="993">
      <c r="C993" s="26"/>
      <c r="D993" s="33"/>
      <c r="E993" s="28"/>
    </row>
    <row r="994">
      <c r="C994" s="26"/>
      <c r="D994" s="33"/>
      <c r="E994" s="28"/>
    </row>
    <row r="995">
      <c r="C995" s="26"/>
      <c r="D995" s="33"/>
      <c r="E995" s="28"/>
    </row>
    <row r="996">
      <c r="C996" s="26"/>
      <c r="D996" s="33"/>
      <c r="E996" s="28"/>
    </row>
    <row r="997">
      <c r="C997" s="26"/>
      <c r="D997" s="33"/>
      <c r="E997" s="28"/>
    </row>
    <row r="998">
      <c r="C998" s="26"/>
      <c r="D998" s="33"/>
      <c r="E998" s="28"/>
    </row>
    <row r="999">
      <c r="C999" s="26"/>
      <c r="D999" s="33"/>
      <c r="E999" s="28"/>
    </row>
    <row r="1000">
      <c r="C1000" s="26"/>
      <c r="D1000" s="33"/>
      <c r="E1000" s="28"/>
    </row>
  </sheetData>
  <dataValidations>
    <dataValidation type="list" allowBlank="1" showErrorMessage="1" sqref="D2:D101">
      <formula1>"TO DO,TRUE,FALSE,SKIP"</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02.63"/>
    <col customWidth="1" min="4" max="4" width="19.75"/>
    <col customWidth="1" min="5" max="5" width="60.63"/>
  </cols>
  <sheetData>
    <row r="1">
      <c r="A1" s="20" t="s">
        <v>70</v>
      </c>
      <c r="B1" s="20" t="s">
        <v>71</v>
      </c>
      <c r="C1" s="21" t="s">
        <v>72</v>
      </c>
      <c r="D1" s="22" t="s">
        <v>73</v>
      </c>
      <c r="E1" s="15" t="s">
        <v>74</v>
      </c>
    </row>
    <row r="2">
      <c r="A2" s="23" t="s">
        <v>319</v>
      </c>
      <c r="B2" s="23" t="s">
        <v>320</v>
      </c>
      <c r="C2" s="24" t="s">
        <v>321</v>
      </c>
      <c r="D2" s="25" t="b">
        <v>1</v>
      </c>
    </row>
    <row r="3">
      <c r="A3" s="23" t="s">
        <v>344</v>
      </c>
      <c r="B3" s="23" t="s">
        <v>345</v>
      </c>
      <c r="C3" s="24" t="s">
        <v>346</v>
      </c>
      <c r="D3" s="25" t="b">
        <v>0</v>
      </c>
    </row>
    <row r="4">
      <c r="A4" s="23" t="s">
        <v>310</v>
      </c>
      <c r="B4" s="23" t="s">
        <v>311</v>
      </c>
      <c r="C4" s="24" t="s">
        <v>312</v>
      </c>
      <c r="D4" s="25" t="b">
        <v>1</v>
      </c>
      <c r="E4" s="5" t="s">
        <v>391</v>
      </c>
    </row>
    <row r="5">
      <c r="A5" s="23" t="s">
        <v>192</v>
      </c>
      <c r="B5" s="23" t="s">
        <v>193</v>
      </c>
      <c r="C5" s="24" t="s">
        <v>194</v>
      </c>
      <c r="D5" s="25" t="b">
        <v>1</v>
      </c>
      <c r="E5" s="5" t="s">
        <v>392</v>
      </c>
    </row>
    <row r="6">
      <c r="A6" s="23" t="s">
        <v>153</v>
      </c>
      <c r="B6" s="23" t="s">
        <v>154</v>
      </c>
      <c r="C6" s="24" t="s">
        <v>155</v>
      </c>
      <c r="D6" s="25" t="b">
        <v>1</v>
      </c>
      <c r="E6" s="5" t="s">
        <v>393</v>
      </c>
    </row>
    <row r="7">
      <c r="A7" s="23" t="s">
        <v>295</v>
      </c>
      <c r="B7" s="23" t="s">
        <v>296</v>
      </c>
      <c r="C7" s="24" t="s">
        <v>297</v>
      </c>
      <c r="D7" s="25" t="b">
        <v>1</v>
      </c>
      <c r="E7" s="5" t="s">
        <v>394</v>
      </c>
    </row>
    <row r="8">
      <c r="A8" s="23" t="s">
        <v>109</v>
      </c>
      <c r="B8" s="23" t="s">
        <v>350</v>
      </c>
      <c r="C8" s="24" t="s">
        <v>351</v>
      </c>
      <c r="D8" s="25" t="b">
        <v>0</v>
      </c>
      <c r="E8" s="5" t="s">
        <v>395</v>
      </c>
    </row>
    <row r="9">
      <c r="A9" s="23" t="s">
        <v>305</v>
      </c>
      <c r="B9" s="23" t="s">
        <v>308</v>
      </c>
      <c r="C9" s="24" t="s">
        <v>309</v>
      </c>
      <c r="D9" s="25" t="b">
        <v>1</v>
      </c>
    </row>
    <row r="10">
      <c r="A10" s="23" t="s">
        <v>91</v>
      </c>
      <c r="B10" s="23" t="s">
        <v>104</v>
      </c>
      <c r="C10" s="24" t="s">
        <v>105</v>
      </c>
      <c r="D10" s="25" t="b">
        <v>0</v>
      </c>
      <c r="E10" s="5" t="s">
        <v>396</v>
      </c>
    </row>
    <row r="11">
      <c r="A11" s="23" t="s">
        <v>206</v>
      </c>
      <c r="B11" s="23" t="s">
        <v>207</v>
      </c>
      <c r="C11" s="24" t="s">
        <v>208</v>
      </c>
      <c r="D11" s="25" t="b">
        <v>1</v>
      </c>
    </row>
    <row r="12">
      <c r="A12" s="23" t="s">
        <v>186</v>
      </c>
      <c r="B12" s="23" t="s">
        <v>187</v>
      </c>
      <c r="C12" s="24" t="s">
        <v>188</v>
      </c>
      <c r="D12" s="25" t="b">
        <v>1</v>
      </c>
      <c r="E12" s="5">
        <v>5.4</v>
      </c>
    </row>
    <row r="13">
      <c r="A13" s="23" t="s">
        <v>352</v>
      </c>
      <c r="B13" s="23" t="s">
        <v>353</v>
      </c>
      <c r="C13" s="24" t="s">
        <v>354</v>
      </c>
      <c r="D13" s="25" t="b">
        <v>1</v>
      </c>
      <c r="E13" s="5" t="s">
        <v>397</v>
      </c>
    </row>
    <row r="14">
      <c r="A14" s="23" t="s">
        <v>222</v>
      </c>
      <c r="B14" s="23" t="s">
        <v>223</v>
      </c>
      <c r="C14" s="24" t="s">
        <v>224</v>
      </c>
      <c r="D14" s="25" t="b">
        <v>0</v>
      </c>
    </row>
    <row r="15">
      <c r="A15" s="23" t="s">
        <v>256</v>
      </c>
      <c r="B15" s="23" t="s">
        <v>257</v>
      </c>
      <c r="C15" s="24" t="s">
        <v>258</v>
      </c>
      <c r="D15" s="25" t="b">
        <v>1</v>
      </c>
      <c r="E15" s="5">
        <v>5.2</v>
      </c>
    </row>
    <row r="16">
      <c r="A16" s="23" t="s">
        <v>266</v>
      </c>
      <c r="B16" s="23" t="s">
        <v>267</v>
      </c>
      <c r="C16" s="24" t="s">
        <v>268</v>
      </c>
      <c r="D16" s="25" t="b">
        <v>1</v>
      </c>
    </row>
    <row r="17">
      <c r="A17" s="23" t="s">
        <v>75</v>
      </c>
      <c r="B17" s="23" t="s">
        <v>76</v>
      </c>
      <c r="C17" s="24" t="s">
        <v>77</v>
      </c>
      <c r="D17" s="25" t="b">
        <v>1</v>
      </c>
    </row>
    <row r="18">
      <c r="A18" s="23" t="s">
        <v>290</v>
      </c>
      <c r="B18" s="23" t="s">
        <v>291</v>
      </c>
      <c r="C18" s="24" t="s">
        <v>292</v>
      </c>
      <c r="D18" s="25" t="b">
        <v>1</v>
      </c>
    </row>
    <row r="19">
      <c r="A19" s="23" t="s">
        <v>278</v>
      </c>
      <c r="B19" s="23" t="s">
        <v>279</v>
      </c>
      <c r="C19" s="24" t="s">
        <v>280</v>
      </c>
      <c r="D19" s="25" t="b">
        <v>0</v>
      </c>
      <c r="E19" s="5" t="s">
        <v>398</v>
      </c>
    </row>
    <row r="20">
      <c r="A20" s="23" t="s">
        <v>263</v>
      </c>
      <c r="B20" s="23" t="s">
        <v>303</v>
      </c>
      <c r="C20" s="24" t="s">
        <v>304</v>
      </c>
      <c r="D20" s="25" t="b">
        <v>0</v>
      </c>
    </row>
    <row r="21">
      <c r="A21" s="23" t="s">
        <v>271</v>
      </c>
      <c r="B21" s="23" t="s">
        <v>272</v>
      </c>
      <c r="C21" s="24" t="s">
        <v>273</v>
      </c>
      <c r="D21" s="25" t="b">
        <v>1</v>
      </c>
    </row>
    <row r="22">
      <c r="A22" s="23" t="s">
        <v>243</v>
      </c>
      <c r="B22" s="23" t="s">
        <v>313</v>
      </c>
      <c r="C22" s="24" t="s">
        <v>314</v>
      </c>
      <c r="D22" s="25" t="b">
        <v>0</v>
      </c>
    </row>
    <row r="23">
      <c r="A23" s="23" t="s">
        <v>347</v>
      </c>
      <c r="B23" s="23" t="s">
        <v>348</v>
      </c>
      <c r="C23" s="24" t="s">
        <v>349</v>
      </c>
      <c r="D23" s="25" t="b">
        <v>1</v>
      </c>
      <c r="E23" s="5" t="s">
        <v>399</v>
      </c>
    </row>
    <row r="24">
      <c r="A24" s="23" t="s">
        <v>97</v>
      </c>
      <c r="B24" s="23" t="s">
        <v>98</v>
      </c>
      <c r="C24" s="24" t="s">
        <v>99</v>
      </c>
      <c r="D24" s="25" t="b">
        <v>0</v>
      </c>
    </row>
    <row r="25">
      <c r="A25" s="23" t="s">
        <v>91</v>
      </c>
      <c r="B25" s="23" t="s">
        <v>92</v>
      </c>
      <c r="C25" s="24" t="s">
        <v>93</v>
      </c>
      <c r="D25" s="25" t="b">
        <v>1</v>
      </c>
      <c r="E25" s="5" t="s">
        <v>400</v>
      </c>
    </row>
    <row r="26">
      <c r="A26" s="23" t="s">
        <v>305</v>
      </c>
      <c r="B26" s="23" t="s">
        <v>306</v>
      </c>
      <c r="C26" s="24" t="s">
        <v>307</v>
      </c>
      <c r="D26" s="25" t="b">
        <v>0</v>
      </c>
      <c r="E26" s="5" t="s">
        <v>401</v>
      </c>
    </row>
    <row r="27">
      <c r="A27" s="23" t="s">
        <v>278</v>
      </c>
      <c r="B27" s="23" t="s">
        <v>333</v>
      </c>
      <c r="C27" s="24" t="s">
        <v>334</v>
      </c>
      <c r="D27" s="25" t="b">
        <v>0</v>
      </c>
    </row>
    <row r="28">
      <c r="A28" s="23" t="s">
        <v>119</v>
      </c>
      <c r="B28" s="23" t="s">
        <v>201</v>
      </c>
      <c r="C28" s="24" t="s">
        <v>202</v>
      </c>
      <c r="D28" s="25" t="b">
        <v>0</v>
      </c>
    </row>
    <row r="29">
      <c r="A29" s="23" t="s">
        <v>165</v>
      </c>
      <c r="B29" s="23" t="s">
        <v>166</v>
      </c>
      <c r="C29" s="24" t="s">
        <v>167</v>
      </c>
      <c r="D29" s="25" t="b">
        <v>0</v>
      </c>
      <c r="E29" s="5" t="s">
        <v>402</v>
      </c>
    </row>
    <row r="30">
      <c r="A30" s="23" t="s">
        <v>88</v>
      </c>
      <c r="B30" s="23" t="s">
        <v>89</v>
      </c>
      <c r="C30" s="24" t="s">
        <v>90</v>
      </c>
      <c r="D30" s="25" t="b">
        <v>0</v>
      </c>
    </row>
    <row r="31">
      <c r="A31" s="23" t="s">
        <v>251</v>
      </c>
      <c r="B31" s="23" t="s">
        <v>252</v>
      </c>
      <c r="C31" s="24" t="s">
        <v>253</v>
      </c>
      <c r="D31" s="25" t="b">
        <v>1</v>
      </c>
    </row>
    <row r="32">
      <c r="A32" s="23" t="s">
        <v>324</v>
      </c>
      <c r="B32" s="23" t="s">
        <v>325</v>
      </c>
      <c r="C32" s="24" t="s">
        <v>326</v>
      </c>
      <c r="D32" s="25" t="b">
        <v>1</v>
      </c>
    </row>
    <row r="33">
      <c r="A33" s="23" t="s">
        <v>109</v>
      </c>
      <c r="B33" s="23" t="s">
        <v>261</v>
      </c>
      <c r="C33" s="24" t="s">
        <v>262</v>
      </c>
      <c r="D33" s="25" t="b">
        <v>0</v>
      </c>
      <c r="E33" s="5" t="s">
        <v>403</v>
      </c>
    </row>
    <row r="34">
      <c r="A34" s="23" t="s">
        <v>165</v>
      </c>
      <c r="B34" s="23" t="s">
        <v>276</v>
      </c>
      <c r="C34" s="24" t="s">
        <v>277</v>
      </c>
      <c r="D34" s="25" t="b">
        <v>0</v>
      </c>
      <c r="E34" s="5" t="s">
        <v>404</v>
      </c>
    </row>
    <row r="35">
      <c r="A35" s="23" t="s">
        <v>85</v>
      </c>
      <c r="B35" s="23" t="s">
        <v>86</v>
      </c>
      <c r="C35" s="24" t="s">
        <v>87</v>
      </c>
      <c r="D35" s="25" t="b">
        <v>0</v>
      </c>
    </row>
    <row r="36">
      <c r="A36" s="23" t="s">
        <v>195</v>
      </c>
      <c r="B36" s="23" t="s">
        <v>196</v>
      </c>
      <c r="C36" s="24" t="s">
        <v>197</v>
      </c>
      <c r="D36" s="25" t="b">
        <v>1</v>
      </c>
    </row>
    <row r="37">
      <c r="A37" s="23" t="s">
        <v>144</v>
      </c>
      <c r="B37" s="23" t="s">
        <v>145</v>
      </c>
      <c r="C37" s="24" t="s">
        <v>146</v>
      </c>
      <c r="D37" s="25" t="b">
        <v>0</v>
      </c>
    </row>
    <row r="38">
      <c r="A38" s="23" t="s">
        <v>203</v>
      </c>
      <c r="B38" s="23" t="s">
        <v>204</v>
      </c>
      <c r="C38" s="24" t="s">
        <v>205</v>
      </c>
      <c r="D38" s="25" t="b">
        <v>0</v>
      </c>
    </row>
    <row r="39">
      <c r="A39" s="23" t="s">
        <v>174</v>
      </c>
      <c r="B39" s="23" t="s">
        <v>214</v>
      </c>
      <c r="C39" s="24" t="s">
        <v>215</v>
      </c>
      <c r="D39" s="25" t="b">
        <v>0</v>
      </c>
    </row>
    <row r="40">
      <c r="A40" s="23" t="s">
        <v>231</v>
      </c>
      <c r="B40" s="23" t="s">
        <v>232</v>
      </c>
      <c r="C40" s="24" t="s">
        <v>233</v>
      </c>
      <c r="D40" s="25" t="b">
        <v>1</v>
      </c>
    </row>
    <row r="41">
      <c r="A41" s="23" t="s">
        <v>198</v>
      </c>
      <c r="B41" s="23" t="s">
        <v>199</v>
      </c>
      <c r="C41" s="24" t="s">
        <v>200</v>
      </c>
      <c r="D41" s="25" t="b">
        <v>1</v>
      </c>
    </row>
    <row r="42">
      <c r="A42" s="23" t="s">
        <v>97</v>
      </c>
      <c r="B42" s="23" t="s">
        <v>249</v>
      </c>
      <c r="C42" s="24" t="s">
        <v>250</v>
      </c>
      <c r="D42" s="25" t="b">
        <v>0</v>
      </c>
      <c r="E42" s="5" t="s">
        <v>405</v>
      </c>
    </row>
    <row r="43">
      <c r="A43" s="23" t="s">
        <v>156</v>
      </c>
      <c r="B43" s="23" t="s">
        <v>157</v>
      </c>
      <c r="C43" s="24" t="s">
        <v>158</v>
      </c>
      <c r="D43" s="25" t="b">
        <v>0</v>
      </c>
    </row>
    <row r="44">
      <c r="A44" s="23" t="s">
        <v>234</v>
      </c>
      <c r="B44" s="23" t="s">
        <v>235</v>
      </c>
      <c r="C44" s="24" t="s">
        <v>236</v>
      </c>
      <c r="D44" s="25" t="b">
        <v>0</v>
      </c>
      <c r="E44" s="5" t="s">
        <v>406</v>
      </c>
    </row>
    <row r="45">
      <c r="A45" s="23" t="s">
        <v>225</v>
      </c>
      <c r="B45" s="23" t="s">
        <v>226</v>
      </c>
      <c r="C45" s="24" t="s">
        <v>227</v>
      </c>
      <c r="D45" s="25" t="b">
        <v>0</v>
      </c>
      <c r="E45" s="5" t="s">
        <v>407</v>
      </c>
    </row>
    <row r="46">
      <c r="A46" s="23" t="s">
        <v>162</v>
      </c>
      <c r="B46" s="23" t="s">
        <v>163</v>
      </c>
      <c r="C46" s="24" t="s">
        <v>164</v>
      </c>
      <c r="D46" s="25" t="b">
        <v>0</v>
      </c>
      <c r="E46" s="5" t="s">
        <v>408</v>
      </c>
    </row>
    <row r="47">
      <c r="A47" s="23" t="s">
        <v>168</v>
      </c>
      <c r="B47" s="23" t="s">
        <v>274</v>
      </c>
      <c r="C47" s="24" t="s">
        <v>275</v>
      </c>
      <c r="D47" s="25" t="b">
        <v>0</v>
      </c>
    </row>
    <row r="48">
      <c r="A48" s="23" t="s">
        <v>109</v>
      </c>
      <c r="B48" s="23" t="s">
        <v>110</v>
      </c>
      <c r="C48" s="24" t="s">
        <v>111</v>
      </c>
      <c r="D48" s="25" t="b">
        <v>0</v>
      </c>
      <c r="E48" s="5" t="s">
        <v>409</v>
      </c>
    </row>
    <row r="49">
      <c r="A49" s="23" t="s">
        <v>78</v>
      </c>
      <c r="B49" s="23" t="s">
        <v>79</v>
      </c>
      <c r="C49" s="24" t="s">
        <v>80</v>
      </c>
      <c r="D49" s="25" t="b">
        <v>1</v>
      </c>
      <c r="E49" s="5" t="s">
        <v>410</v>
      </c>
    </row>
    <row r="50">
      <c r="A50" s="23" t="s">
        <v>165</v>
      </c>
      <c r="B50" s="23" t="s">
        <v>254</v>
      </c>
      <c r="C50" s="24" t="s">
        <v>255</v>
      </c>
      <c r="D50" s="25" t="b">
        <v>1</v>
      </c>
      <c r="E50" s="5" t="s">
        <v>411</v>
      </c>
    </row>
    <row r="51">
      <c r="A51" s="23" t="s">
        <v>123</v>
      </c>
      <c r="B51" s="23" t="s">
        <v>298</v>
      </c>
      <c r="C51" s="24" t="s">
        <v>299</v>
      </c>
      <c r="D51" s="25" t="b">
        <v>1</v>
      </c>
      <c r="E51" s="5">
        <v>5.6</v>
      </c>
    </row>
    <row r="52">
      <c r="A52" s="23" t="s">
        <v>78</v>
      </c>
      <c r="B52" s="23" t="s">
        <v>136</v>
      </c>
      <c r="C52" s="24" t="s">
        <v>137</v>
      </c>
      <c r="D52" s="25" t="b">
        <v>1</v>
      </c>
      <c r="E52" s="5" t="s">
        <v>410</v>
      </c>
    </row>
    <row r="53">
      <c r="A53" s="23" t="s">
        <v>177</v>
      </c>
      <c r="B53" s="23" t="s">
        <v>178</v>
      </c>
      <c r="C53" s="24" t="s">
        <v>179</v>
      </c>
      <c r="D53" s="25" t="b">
        <v>1</v>
      </c>
    </row>
    <row r="54">
      <c r="A54" s="23" t="s">
        <v>209</v>
      </c>
      <c r="B54" s="23" t="s">
        <v>210</v>
      </c>
      <c r="C54" s="24" t="s">
        <v>211</v>
      </c>
      <c r="D54" s="25" t="b">
        <v>1</v>
      </c>
    </row>
    <row r="55">
      <c r="A55" s="23" t="s">
        <v>251</v>
      </c>
      <c r="B55" s="23" t="s">
        <v>317</v>
      </c>
      <c r="C55" s="24" t="s">
        <v>318</v>
      </c>
      <c r="D55" s="25" t="b">
        <v>1</v>
      </c>
    </row>
    <row r="56">
      <c r="A56" s="23" t="s">
        <v>234</v>
      </c>
      <c r="B56" s="23" t="s">
        <v>259</v>
      </c>
      <c r="C56" s="24" t="s">
        <v>260</v>
      </c>
      <c r="D56" s="25" t="b">
        <v>0</v>
      </c>
      <c r="E56" s="5" t="s">
        <v>412</v>
      </c>
    </row>
    <row r="57">
      <c r="A57" s="23" t="s">
        <v>228</v>
      </c>
      <c r="B57" s="23" t="s">
        <v>229</v>
      </c>
      <c r="C57" s="24" t="s">
        <v>230</v>
      </c>
      <c r="D57" s="25" t="b">
        <v>1</v>
      </c>
      <c r="E57" s="5" t="s">
        <v>413</v>
      </c>
    </row>
    <row r="58">
      <c r="A58" s="23" t="s">
        <v>133</v>
      </c>
      <c r="B58" s="23" t="s">
        <v>134</v>
      </c>
      <c r="C58" s="24" t="s">
        <v>135</v>
      </c>
      <c r="D58" s="25" t="b">
        <v>1</v>
      </c>
    </row>
    <row r="59">
      <c r="A59" s="23" t="s">
        <v>174</v>
      </c>
      <c r="B59" s="23" t="s">
        <v>175</v>
      </c>
      <c r="C59" s="24" t="s">
        <v>176</v>
      </c>
      <c r="D59" s="25" t="b">
        <v>1</v>
      </c>
    </row>
    <row r="60">
      <c r="A60" s="23" t="s">
        <v>183</v>
      </c>
      <c r="B60" s="23" t="s">
        <v>184</v>
      </c>
      <c r="C60" s="24" t="s">
        <v>185</v>
      </c>
      <c r="D60" s="25" t="b">
        <v>0</v>
      </c>
    </row>
    <row r="61">
      <c r="A61" s="23" t="s">
        <v>119</v>
      </c>
      <c r="B61" s="23" t="s">
        <v>120</v>
      </c>
      <c r="C61" s="24" t="s">
        <v>121</v>
      </c>
      <c r="D61" s="25" t="b">
        <v>1</v>
      </c>
      <c r="E61" s="5" t="s">
        <v>414</v>
      </c>
    </row>
    <row r="62">
      <c r="A62" s="23" t="s">
        <v>109</v>
      </c>
      <c r="B62" s="23" t="s">
        <v>269</v>
      </c>
      <c r="C62" s="24" t="s">
        <v>270</v>
      </c>
      <c r="D62" s="25" t="b">
        <v>1</v>
      </c>
    </row>
    <row r="63">
      <c r="A63" s="23" t="s">
        <v>112</v>
      </c>
      <c r="B63" s="23" t="s">
        <v>113</v>
      </c>
      <c r="C63" s="24" t="s">
        <v>114</v>
      </c>
      <c r="D63" s="25" t="b">
        <v>1</v>
      </c>
    </row>
    <row r="64">
      <c r="A64" s="23" t="s">
        <v>123</v>
      </c>
      <c r="B64" s="23" t="s">
        <v>124</v>
      </c>
      <c r="C64" s="24" t="s">
        <v>125</v>
      </c>
      <c r="D64" s="25" t="b">
        <v>0</v>
      </c>
    </row>
    <row r="65">
      <c r="A65" s="23" t="s">
        <v>219</v>
      </c>
      <c r="B65" s="23" t="s">
        <v>220</v>
      </c>
      <c r="C65" s="24" t="s">
        <v>221</v>
      </c>
      <c r="D65" s="25" t="b">
        <v>1</v>
      </c>
    </row>
    <row r="66">
      <c r="A66" s="23" t="s">
        <v>183</v>
      </c>
      <c r="B66" s="23" t="s">
        <v>212</v>
      </c>
      <c r="C66" s="24" t="s">
        <v>213</v>
      </c>
      <c r="D66" s="25" t="b">
        <v>0</v>
      </c>
    </row>
    <row r="67">
      <c r="A67" s="23" t="s">
        <v>123</v>
      </c>
      <c r="B67" s="23" t="s">
        <v>148</v>
      </c>
      <c r="C67" s="24" t="s">
        <v>149</v>
      </c>
      <c r="D67" s="25" t="b">
        <v>0</v>
      </c>
      <c r="E67" s="5" t="s">
        <v>415</v>
      </c>
    </row>
    <row r="68">
      <c r="A68" s="23" t="s">
        <v>141</v>
      </c>
      <c r="B68" s="23" t="s">
        <v>142</v>
      </c>
      <c r="C68" s="24" t="s">
        <v>143</v>
      </c>
      <c r="D68" s="25" t="b">
        <v>0</v>
      </c>
    </row>
    <row r="69">
      <c r="A69" s="23" t="s">
        <v>216</v>
      </c>
      <c r="B69" s="23" t="s">
        <v>217</v>
      </c>
      <c r="C69" s="24" t="s">
        <v>218</v>
      </c>
      <c r="D69" s="25" t="b">
        <v>0</v>
      </c>
      <c r="E69" s="5" t="s">
        <v>416</v>
      </c>
    </row>
    <row r="70">
      <c r="A70" s="23" t="s">
        <v>330</v>
      </c>
      <c r="B70" s="23" t="s">
        <v>331</v>
      </c>
      <c r="C70" s="24" t="s">
        <v>332</v>
      </c>
      <c r="D70" s="25" t="b">
        <v>0</v>
      </c>
    </row>
    <row r="71">
      <c r="A71" s="23" t="s">
        <v>94</v>
      </c>
      <c r="B71" s="23" t="s">
        <v>95</v>
      </c>
      <c r="C71" s="24" t="s">
        <v>96</v>
      </c>
      <c r="D71" s="25" t="b">
        <v>0</v>
      </c>
    </row>
    <row r="72">
      <c r="A72" s="23" t="s">
        <v>177</v>
      </c>
      <c r="B72" s="23" t="s">
        <v>315</v>
      </c>
      <c r="C72" s="24" t="s">
        <v>316</v>
      </c>
      <c r="D72" s="25" t="b">
        <v>0</v>
      </c>
      <c r="E72" s="5" t="s">
        <v>417</v>
      </c>
    </row>
    <row r="73">
      <c r="A73" s="23" t="s">
        <v>287</v>
      </c>
      <c r="B73" s="23" t="s">
        <v>288</v>
      </c>
      <c r="C73" s="24" t="s">
        <v>289</v>
      </c>
      <c r="D73" s="25" t="b">
        <v>1</v>
      </c>
    </row>
    <row r="74">
      <c r="A74" s="23" t="s">
        <v>168</v>
      </c>
      <c r="B74" s="23" t="s">
        <v>169</v>
      </c>
      <c r="C74" s="24" t="s">
        <v>170</v>
      </c>
      <c r="D74" s="25" t="b">
        <v>0</v>
      </c>
    </row>
    <row r="75">
      <c r="A75" s="23" t="s">
        <v>129</v>
      </c>
      <c r="B75" s="23" t="s">
        <v>130</v>
      </c>
      <c r="C75" s="24" t="s">
        <v>131</v>
      </c>
      <c r="D75" s="25" t="b">
        <v>1</v>
      </c>
      <c r="E75" s="5" t="s">
        <v>418</v>
      </c>
    </row>
    <row r="76">
      <c r="A76" s="23" t="s">
        <v>335</v>
      </c>
      <c r="B76" s="23" t="s">
        <v>336</v>
      </c>
      <c r="C76" s="24" t="s">
        <v>337</v>
      </c>
      <c r="D76" s="25" t="b">
        <v>0</v>
      </c>
    </row>
    <row r="77">
      <c r="A77" s="23" t="s">
        <v>355</v>
      </c>
      <c r="B77" s="23" t="s">
        <v>356</v>
      </c>
      <c r="C77" s="24" t="s">
        <v>357</v>
      </c>
      <c r="D77" s="25" t="b">
        <v>1</v>
      </c>
    </row>
    <row r="78">
      <c r="A78" s="23" t="s">
        <v>101</v>
      </c>
      <c r="B78" s="23" t="s">
        <v>102</v>
      </c>
      <c r="C78" s="24" t="s">
        <v>103</v>
      </c>
      <c r="D78" s="25" t="b">
        <v>1</v>
      </c>
    </row>
    <row r="79">
      <c r="A79" s="23" t="s">
        <v>263</v>
      </c>
      <c r="B79" s="23" t="s">
        <v>264</v>
      </c>
      <c r="C79" s="24" t="s">
        <v>265</v>
      </c>
      <c r="D79" s="25" t="b">
        <v>1</v>
      </c>
      <c r="E79" s="5">
        <v>5.6</v>
      </c>
    </row>
    <row r="80">
      <c r="A80" s="23" t="s">
        <v>138</v>
      </c>
      <c r="B80" s="23" t="s">
        <v>139</v>
      </c>
      <c r="C80" s="24" t="s">
        <v>140</v>
      </c>
      <c r="D80" s="25" t="b">
        <v>0</v>
      </c>
      <c r="E80" s="5" t="s">
        <v>419</v>
      </c>
    </row>
    <row r="81">
      <c r="A81" s="23" t="s">
        <v>115</v>
      </c>
      <c r="B81" s="23" t="s">
        <v>116</v>
      </c>
      <c r="C81" s="24" t="s">
        <v>117</v>
      </c>
      <c r="D81" s="25" t="b">
        <v>1</v>
      </c>
      <c r="E81" s="5" t="s">
        <v>420</v>
      </c>
    </row>
    <row r="82">
      <c r="A82" s="23" t="s">
        <v>243</v>
      </c>
      <c r="B82" s="23" t="s">
        <v>244</v>
      </c>
      <c r="C82" s="24" t="s">
        <v>245</v>
      </c>
      <c r="D82" s="25" t="b">
        <v>0</v>
      </c>
    </row>
    <row r="83">
      <c r="A83" s="23" t="s">
        <v>189</v>
      </c>
      <c r="B83" s="23" t="s">
        <v>190</v>
      </c>
      <c r="C83" s="24" t="s">
        <v>191</v>
      </c>
      <c r="D83" s="25" t="b">
        <v>0</v>
      </c>
      <c r="E83" s="5" t="s">
        <v>421</v>
      </c>
    </row>
    <row r="84">
      <c r="A84" s="23" t="s">
        <v>327</v>
      </c>
      <c r="B84" s="23" t="s">
        <v>328</v>
      </c>
      <c r="C84" s="24" t="s">
        <v>329</v>
      </c>
      <c r="D84" s="25" t="b">
        <v>1</v>
      </c>
      <c r="E84" s="5">
        <v>5.6</v>
      </c>
    </row>
    <row r="85">
      <c r="A85" s="23" t="s">
        <v>239</v>
      </c>
      <c r="B85" s="23" t="s">
        <v>240</v>
      </c>
      <c r="C85" s="24" t="s">
        <v>241</v>
      </c>
      <c r="D85" s="25" t="b">
        <v>0</v>
      </c>
    </row>
    <row r="86">
      <c r="A86" s="23" t="s">
        <v>159</v>
      </c>
      <c r="B86" s="23" t="s">
        <v>160</v>
      </c>
      <c r="C86" s="24" t="s">
        <v>161</v>
      </c>
      <c r="D86" s="25" t="b">
        <v>1</v>
      </c>
    </row>
    <row r="87">
      <c r="A87" s="23" t="s">
        <v>206</v>
      </c>
      <c r="B87" s="23" t="s">
        <v>342</v>
      </c>
      <c r="C87" s="24" t="s">
        <v>343</v>
      </c>
      <c r="D87" s="25" t="b">
        <v>0</v>
      </c>
    </row>
    <row r="88">
      <c r="A88" s="23" t="s">
        <v>338</v>
      </c>
      <c r="B88" s="23" t="s">
        <v>339</v>
      </c>
      <c r="C88" s="24" t="s">
        <v>340</v>
      </c>
      <c r="D88" s="25" t="b">
        <v>0</v>
      </c>
      <c r="E88" s="5" t="s">
        <v>422</v>
      </c>
    </row>
    <row r="89">
      <c r="A89" s="23" t="s">
        <v>295</v>
      </c>
      <c r="B89" s="23" t="s">
        <v>322</v>
      </c>
      <c r="C89" s="24" t="s">
        <v>323</v>
      </c>
      <c r="D89" s="25" t="b">
        <v>0</v>
      </c>
      <c r="E89" s="5" t="s">
        <v>423</v>
      </c>
    </row>
    <row r="90">
      <c r="A90" s="23" t="s">
        <v>81</v>
      </c>
      <c r="B90" s="23" t="s">
        <v>82</v>
      </c>
      <c r="C90" s="24" t="s">
        <v>83</v>
      </c>
      <c r="D90" s="25" t="b">
        <v>0</v>
      </c>
    </row>
    <row r="91">
      <c r="A91" s="23" t="s">
        <v>150</v>
      </c>
      <c r="B91" s="23" t="s">
        <v>151</v>
      </c>
      <c r="C91" s="24" t="s">
        <v>152</v>
      </c>
      <c r="D91" s="25" t="b">
        <v>1</v>
      </c>
    </row>
    <row r="92">
      <c r="A92" s="23" t="s">
        <v>165</v>
      </c>
      <c r="B92" s="23" t="s">
        <v>293</v>
      </c>
      <c r="C92" s="24" t="s">
        <v>294</v>
      </c>
      <c r="D92" s="25" t="b">
        <v>0</v>
      </c>
      <c r="E92" s="5" t="s">
        <v>424</v>
      </c>
    </row>
    <row r="93">
      <c r="A93" s="23" t="s">
        <v>281</v>
      </c>
      <c r="B93" s="23" t="s">
        <v>282</v>
      </c>
      <c r="C93" s="24" t="s">
        <v>283</v>
      </c>
      <c r="D93" s="25" t="b">
        <v>0</v>
      </c>
    </row>
    <row r="94">
      <c r="A94" s="23" t="s">
        <v>126</v>
      </c>
      <c r="B94" s="23" t="s">
        <v>127</v>
      </c>
      <c r="C94" s="24" t="s">
        <v>128</v>
      </c>
      <c r="D94" s="25" t="b">
        <v>0</v>
      </c>
    </row>
    <row r="95">
      <c r="A95" s="23" t="s">
        <v>300</v>
      </c>
      <c r="B95" s="23" t="s">
        <v>301</v>
      </c>
      <c r="C95" s="24" t="s">
        <v>302</v>
      </c>
      <c r="D95" s="25" t="b">
        <v>0</v>
      </c>
    </row>
    <row r="96">
      <c r="A96" s="23" t="s">
        <v>91</v>
      </c>
      <c r="B96" s="23" t="s">
        <v>237</v>
      </c>
      <c r="C96" s="24" t="s">
        <v>238</v>
      </c>
      <c r="D96" s="25" t="b">
        <v>0</v>
      </c>
    </row>
    <row r="97">
      <c r="A97" s="23" t="s">
        <v>106</v>
      </c>
      <c r="B97" s="23" t="s">
        <v>107</v>
      </c>
      <c r="C97" s="24" t="s">
        <v>108</v>
      </c>
      <c r="D97" s="25" t="b">
        <v>0</v>
      </c>
    </row>
    <row r="98">
      <c r="A98" s="23" t="s">
        <v>180</v>
      </c>
      <c r="B98" s="23" t="s">
        <v>181</v>
      </c>
      <c r="C98" s="24" t="s">
        <v>182</v>
      </c>
      <c r="D98" s="25" t="b">
        <v>1</v>
      </c>
    </row>
    <row r="99">
      <c r="A99" s="23" t="s">
        <v>171</v>
      </c>
      <c r="B99" s="23" t="s">
        <v>172</v>
      </c>
      <c r="C99" s="24" t="s">
        <v>173</v>
      </c>
      <c r="D99" s="25" t="b">
        <v>0</v>
      </c>
    </row>
    <row r="100">
      <c r="A100" s="23" t="s">
        <v>284</v>
      </c>
      <c r="B100" s="23" t="s">
        <v>285</v>
      </c>
      <c r="C100" s="24" t="s">
        <v>286</v>
      </c>
      <c r="D100" s="25" t="b">
        <v>1</v>
      </c>
    </row>
    <row r="101">
      <c r="A101" s="23" t="s">
        <v>177</v>
      </c>
      <c r="B101" s="23" t="s">
        <v>246</v>
      </c>
      <c r="C101" s="24" t="s">
        <v>247</v>
      </c>
      <c r="D101" s="25" t="b">
        <v>0</v>
      </c>
      <c r="E101" s="5" t="s">
        <v>425</v>
      </c>
    </row>
    <row r="102">
      <c r="C102" s="26"/>
      <c r="D102" s="28"/>
    </row>
    <row r="103">
      <c r="C103" s="26"/>
      <c r="D103" s="28"/>
    </row>
    <row r="104">
      <c r="C104" s="26"/>
      <c r="D104" s="28"/>
    </row>
    <row r="105">
      <c r="C105" s="26"/>
      <c r="D105" s="28"/>
    </row>
    <row r="106">
      <c r="C106" s="26"/>
      <c r="D106" s="28"/>
    </row>
    <row r="107">
      <c r="C107" s="26"/>
      <c r="D107" s="28"/>
    </row>
    <row r="108">
      <c r="C108" s="26"/>
      <c r="D108" s="28"/>
    </row>
    <row r="109">
      <c r="C109" s="26"/>
      <c r="D109" s="28"/>
    </row>
    <row r="110">
      <c r="C110" s="26"/>
      <c r="D110" s="28"/>
    </row>
    <row r="111">
      <c r="C111" s="26"/>
      <c r="D111" s="28"/>
    </row>
    <row r="112">
      <c r="C112" s="26"/>
      <c r="D112" s="28"/>
    </row>
    <row r="113">
      <c r="C113" s="26"/>
      <c r="D113" s="28"/>
    </row>
    <row r="114">
      <c r="C114" s="26"/>
      <c r="D114" s="28"/>
    </row>
    <row r="115">
      <c r="C115" s="26"/>
      <c r="D115" s="28"/>
    </row>
    <row r="116">
      <c r="C116" s="26"/>
      <c r="D116" s="28"/>
    </row>
    <row r="117">
      <c r="C117" s="26"/>
      <c r="D117" s="28"/>
    </row>
    <row r="118">
      <c r="C118" s="26"/>
      <c r="D118" s="28"/>
    </row>
    <row r="119">
      <c r="C119" s="26"/>
      <c r="D119" s="28"/>
    </row>
    <row r="120">
      <c r="C120" s="26"/>
      <c r="D120" s="28"/>
    </row>
    <row r="121">
      <c r="C121" s="26"/>
      <c r="D121" s="28"/>
    </row>
    <row r="122">
      <c r="C122" s="26"/>
      <c r="D122" s="28"/>
    </row>
    <row r="123">
      <c r="C123" s="26"/>
      <c r="D123" s="28"/>
    </row>
    <row r="124">
      <c r="C124" s="26"/>
      <c r="D124" s="28"/>
    </row>
    <row r="125">
      <c r="C125" s="26"/>
      <c r="D125" s="28"/>
    </row>
    <row r="126">
      <c r="C126" s="26"/>
      <c r="D126" s="28"/>
    </row>
    <row r="127">
      <c r="C127" s="26"/>
      <c r="D127" s="28"/>
    </row>
    <row r="128">
      <c r="C128" s="26"/>
      <c r="D128" s="28"/>
    </row>
    <row r="129">
      <c r="C129" s="26"/>
      <c r="D129" s="28"/>
    </row>
    <row r="130">
      <c r="C130" s="26"/>
      <c r="D130" s="28"/>
    </row>
    <row r="131">
      <c r="C131" s="26"/>
      <c r="D131" s="28"/>
    </row>
    <row r="132">
      <c r="C132" s="26"/>
      <c r="D132" s="28"/>
    </row>
    <row r="133">
      <c r="C133" s="26"/>
      <c r="D133" s="28"/>
    </row>
    <row r="134">
      <c r="C134" s="26"/>
      <c r="D134" s="28"/>
    </row>
    <row r="135">
      <c r="C135" s="26"/>
      <c r="D135" s="28"/>
    </row>
    <row r="136">
      <c r="C136" s="26"/>
      <c r="D136" s="28"/>
    </row>
    <row r="137">
      <c r="C137" s="26"/>
      <c r="D137" s="28"/>
    </row>
    <row r="138">
      <c r="C138" s="26"/>
      <c r="D138" s="28"/>
    </row>
    <row r="139">
      <c r="C139" s="26"/>
      <c r="D139" s="28"/>
    </row>
    <row r="140">
      <c r="C140" s="26"/>
      <c r="D140" s="28"/>
    </row>
    <row r="141">
      <c r="C141" s="26"/>
      <c r="D141" s="28"/>
    </row>
    <row r="142">
      <c r="C142" s="26"/>
      <c r="D142" s="28"/>
    </row>
    <row r="143">
      <c r="C143" s="26"/>
      <c r="D143" s="28"/>
    </row>
    <row r="144">
      <c r="C144" s="26"/>
      <c r="D144" s="28"/>
    </row>
    <row r="145">
      <c r="C145" s="26"/>
      <c r="D145" s="28"/>
    </row>
    <row r="146">
      <c r="C146" s="26"/>
      <c r="D146" s="28"/>
    </row>
    <row r="147">
      <c r="C147" s="26"/>
      <c r="D147" s="28"/>
    </row>
    <row r="148">
      <c r="C148" s="26"/>
      <c r="D148" s="28"/>
    </row>
    <row r="149">
      <c r="C149" s="26"/>
      <c r="D149" s="28"/>
    </row>
    <row r="150">
      <c r="C150" s="26"/>
      <c r="D150" s="28"/>
    </row>
    <row r="151">
      <c r="C151" s="26"/>
      <c r="D151" s="28"/>
    </row>
    <row r="152">
      <c r="C152" s="26"/>
      <c r="D152" s="28"/>
    </row>
    <row r="153">
      <c r="C153" s="26"/>
      <c r="D153" s="28"/>
    </row>
    <row r="154">
      <c r="C154" s="26"/>
      <c r="D154" s="28"/>
    </row>
    <row r="155">
      <c r="C155" s="26"/>
      <c r="D155" s="28"/>
    </row>
    <row r="156">
      <c r="C156" s="26"/>
      <c r="D156" s="28"/>
    </row>
    <row r="157">
      <c r="C157" s="26"/>
      <c r="D157" s="28"/>
    </row>
    <row r="158">
      <c r="C158" s="26"/>
      <c r="D158" s="28"/>
    </row>
    <row r="159">
      <c r="C159" s="26"/>
      <c r="D159" s="28"/>
    </row>
    <row r="160">
      <c r="C160" s="26"/>
      <c r="D160" s="28"/>
    </row>
    <row r="161">
      <c r="C161" s="26"/>
      <c r="D161" s="28"/>
    </row>
    <row r="162">
      <c r="C162" s="26"/>
      <c r="D162" s="28"/>
    </row>
    <row r="163">
      <c r="C163" s="26"/>
      <c r="D163" s="28"/>
    </row>
    <row r="164">
      <c r="C164" s="26"/>
      <c r="D164" s="28"/>
    </row>
    <row r="165">
      <c r="C165" s="26"/>
      <c r="D165" s="28"/>
    </row>
    <row r="166">
      <c r="C166" s="26"/>
      <c r="D166" s="28"/>
    </row>
    <row r="167">
      <c r="C167" s="26"/>
      <c r="D167" s="28"/>
    </row>
    <row r="168">
      <c r="C168" s="26"/>
      <c r="D168" s="28"/>
    </row>
    <row r="169">
      <c r="C169" s="26"/>
      <c r="D169" s="28"/>
    </row>
    <row r="170">
      <c r="C170" s="26"/>
      <c r="D170" s="28"/>
    </row>
    <row r="171">
      <c r="C171" s="26"/>
      <c r="D171" s="28"/>
    </row>
    <row r="172">
      <c r="C172" s="26"/>
      <c r="D172" s="28"/>
    </row>
    <row r="173">
      <c r="C173" s="26"/>
      <c r="D173" s="28"/>
    </row>
    <row r="174">
      <c r="C174" s="26"/>
      <c r="D174" s="28"/>
    </row>
    <row r="175">
      <c r="C175" s="26"/>
      <c r="D175" s="28"/>
    </row>
    <row r="176">
      <c r="C176" s="26"/>
      <c r="D176" s="28"/>
    </row>
    <row r="177">
      <c r="C177" s="26"/>
      <c r="D177" s="28"/>
    </row>
    <row r="178">
      <c r="C178" s="26"/>
      <c r="D178" s="28"/>
    </row>
    <row r="179">
      <c r="C179" s="26"/>
      <c r="D179" s="28"/>
    </row>
    <row r="180">
      <c r="C180" s="26"/>
      <c r="D180" s="28"/>
    </row>
    <row r="181">
      <c r="C181" s="26"/>
      <c r="D181" s="28"/>
    </row>
    <row r="182">
      <c r="C182" s="26"/>
      <c r="D182" s="28"/>
    </row>
    <row r="183">
      <c r="C183" s="26"/>
      <c r="D183" s="28"/>
    </row>
    <row r="184">
      <c r="C184" s="26"/>
      <c r="D184" s="28"/>
    </row>
    <row r="185">
      <c r="C185" s="26"/>
      <c r="D185" s="28"/>
    </row>
    <row r="186">
      <c r="C186" s="26"/>
      <c r="D186" s="28"/>
    </row>
    <row r="187">
      <c r="C187" s="26"/>
      <c r="D187" s="28"/>
    </row>
    <row r="188">
      <c r="C188" s="26"/>
      <c r="D188" s="28"/>
    </row>
    <row r="189">
      <c r="C189" s="26"/>
      <c r="D189" s="28"/>
    </row>
    <row r="190">
      <c r="C190" s="26"/>
      <c r="D190" s="28"/>
    </row>
    <row r="191">
      <c r="C191" s="26"/>
      <c r="D191" s="28"/>
    </row>
    <row r="192">
      <c r="C192" s="26"/>
      <c r="D192" s="28"/>
    </row>
    <row r="193">
      <c r="C193" s="26"/>
      <c r="D193" s="28"/>
    </row>
    <row r="194">
      <c r="C194" s="26"/>
      <c r="D194" s="28"/>
    </row>
    <row r="195">
      <c r="C195" s="26"/>
      <c r="D195" s="28"/>
    </row>
    <row r="196">
      <c r="C196" s="26"/>
      <c r="D196" s="28"/>
    </row>
    <row r="197">
      <c r="C197" s="26"/>
      <c r="D197" s="28"/>
    </row>
    <row r="198">
      <c r="C198" s="26"/>
      <c r="D198" s="28"/>
    </row>
    <row r="199">
      <c r="C199" s="26"/>
      <c r="D199" s="28"/>
    </row>
    <row r="200">
      <c r="C200" s="26"/>
      <c r="D200" s="28"/>
    </row>
    <row r="201">
      <c r="C201" s="26"/>
      <c r="D201" s="28"/>
    </row>
    <row r="202">
      <c r="C202" s="26"/>
      <c r="D202" s="28"/>
    </row>
    <row r="203">
      <c r="C203" s="26"/>
      <c r="D203" s="28"/>
    </row>
    <row r="204">
      <c r="C204" s="26"/>
      <c r="D204" s="28"/>
    </row>
    <row r="205">
      <c r="C205" s="26"/>
      <c r="D205" s="28"/>
    </row>
    <row r="206">
      <c r="C206" s="26"/>
      <c r="D206" s="28"/>
    </row>
    <row r="207">
      <c r="C207" s="26"/>
      <c r="D207" s="28"/>
    </row>
    <row r="208">
      <c r="C208" s="26"/>
      <c r="D208" s="28"/>
    </row>
    <row r="209">
      <c r="C209" s="26"/>
      <c r="D209" s="28"/>
    </row>
    <row r="210">
      <c r="C210" s="26"/>
      <c r="D210" s="28"/>
    </row>
    <row r="211">
      <c r="C211" s="26"/>
      <c r="D211" s="28"/>
    </row>
    <row r="212">
      <c r="C212" s="26"/>
      <c r="D212" s="28"/>
    </row>
    <row r="213">
      <c r="C213" s="26"/>
      <c r="D213" s="28"/>
    </row>
    <row r="214">
      <c r="C214" s="26"/>
      <c r="D214" s="28"/>
    </row>
    <row r="215">
      <c r="C215" s="26"/>
      <c r="D215" s="28"/>
    </row>
    <row r="216">
      <c r="C216" s="26"/>
      <c r="D216" s="28"/>
    </row>
    <row r="217">
      <c r="C217" s="26"/>
      <c r="D217" s="28"/>
    </row>
    <row r="218">
      <c r="C218" s="26"/>
      <c r="D218" s="28"/>
    </row>
    <row r="219">
      <c r="C219" s="26"/>
      <c r="D219" s="28"/>
    </row>
    <row r="220">
      <c r="C220" s="26"/>
      <c r="D220" s="28"/>
    </row>
    <row r="221">
      <c r="C221" s="26"/>
      <c r="D221" s="28"/>
    </row>
    <row r="222">
      <c r="C222" s="26"/>
      <c r="D222" s="28"/>
    </row>
    <row r="223">
      <c r="C223" s="26"/>
      <c r="D223" s="28"/>
    </row>
    <row r="224">
      <c r="C224" s="26"/>
      <c r="D224" s="28"/>
    </row>
    <row r="225">
      <c r="C225" s="26"/>
      <c r="D225" s="28"/>
    </row>
    <row r="226">
      <c r="C226" s="26"/>
      <c r="D226" s="28"/>
    </row>
    <row r="227">
      <c r="C227" s="26"/>
      <c r="D227" s="28"/>
    </row>
    <row r="228">
      <c r="C228" s="26"/>
      <c r="D228" s="28"/>
    </row>
    <row r="229">
      <c r="C229" s="26"/>
      <c r="D229" s="28"/>
    </row>
    <row r="230">
      <c r="C230" s="26"/>
      <c r="D230" s="28"/>
    </row>
    <row r="231">
      <c r="C231" s="26"/>
      <c r="D231" s="28"/>
    </row>
    <row r="232">
      <c r="C232" s="26"/>
      <c r="D232" s="28"/>
    </row>
    <row r="233">
      <c r="C233" s="26"/>
      <c r="D233" s="28"/>
    </row>
    <row r="234">
      <c r="C234" s="26"/>
      <c r="D234" s="28"/>
    </row>
    <row r="235">
      <c r="C235" s="26"/>
      <c r="D235" s="28"/>
    </row>
    <row r="236">
      <c r="C236" s="26"/>
      <c r="D236" s="28"/>
    </row>
    <row r="237">
      <c r="C237" s="26"/>
      <c r="D237" s="28"/>
    </row>
    <row r="238">
      <c r="C238" s="26"/>
      <c r="D238" s="28"/>
    </row>
    <row r="239">
      <c r="C239" s="26"/>
      <c r="D239" s="28"/>
    </row>
    <row r="240">
      <c r="C240" s="26"/>
      <c r="D240" s="28"/>
    </row>
    <row r="241">
      <c r="C241" s="26"/>
      <c r="D241" s="28"/>
    </row>
    <row r="242">
      <c r="C242" s="26"/>
      <c r="D242" s="28"/>
    </row>
    <row r="243">
      <c r="C243" s="26"/>
      <c r="D243" s="28"/>
    </row>
    <row r="244">
      <c r="C244" s="26"/>
      <c r="D244" s="28"/>
    </row>
    <row r="245">
      <c r="C245" s="26"/>
      <c r="D245" s="28"/>
    </row>
    <row r="246">
      <c r="C246" s="26"/>
      <c r="D246" s="28"/>
    </row>
    <row r="247">
      <c r="C247" s="26"/>
      <c r="D247" s="28"/>
    </row>
    <row r="248">
      <c r="C248" s="26"/>
      <c r="D248" s="28"/>
    </row>
    <row r="249">
      <c r="C249" s="26"/>
      <c r="D249" s="28"/>
    </row>
    <row r="250">
      <c r="C250" s="26"/>
      <c r="D250" s="28"/>
    </row>
    <row r="251">
      <c r="C251" s="26"/>
      <c r="D251" s="28"/>
    </row>
    <row r="252">
      <c r="C252" s="26"/>
      <c r="D252" s="28"/>
    </row>
    <row r="253">
      <c r="C253" s="26"/>
      <c r="D253" s="28"/>
    </row>
    <row r="254">
      <c r="C254" s="26"/>
      <c r="D254" s="28"/>
    </row>
    <row r="255">
      <c r="C255" s="26"/>
      <c r="D255" s="28"/>
    </row>
    <row r="256">
      <c r="C256" s="26"/>
      <c r="D256" s="28"/>
    </row>
    <row r="257">
      <c r="C257" s="26"/>
      <c r="D257" s="28"/>
    </row>
    <row r="258">
      <c r="C258" s="26"/>
      <c r="D258" s="28"/>
    </row>
    <row r="259">
      <c r="C259" s="26"/>
      <c r="D259" s="28"/>
    </row>
    <row r="260">
      <c r="C260" s="26"/>
      <c r="D260" s="28"/>
    </row>
    <row r="261">
      <c r="C261" s="26"/>
      <c r="D261" s="28"/>
    </row>
    <row r="262">
      <c r="C262" s="26"/>
      <c r="D262" s="28"/>
    </row>
    <row r="263">
      <c r="C263" s="26"/>
      <c r="D263" s="28"/>
    </row>
    <row r="264">
      <c r="C264" s="26"/>
      <c r="D264" s="28"/>
    </row>
    <row r="265">
      <c r="C265" s="26"/>
      <c r="D265" s="28"/>
    </row>
    <row r="266">
      <c r="C266" s="26"/>
      <c r="D266" s="28"/>
    </row>
    <row r="267">
      <c r="C267" s="26"/>
      <c r="D267" s="28"/>
    </row>
    <row r="268">
      <c r="C268" s="26"/>
      <c r="D268" s="28"/>
    </row>
    <row r="269">
      <c r="C269" s="26"/>
      <c r="D269" s="28"/>
    </row>
    <row r="270">
      <c r="C270" s="26"/>
      <c r="D270" s="28"/>
    </row>
    <row r="271">
      <c r="C271" s="26"/>
      <c r="D271" s="28"/>
    </row>
    <row r="272">
      <c r="C272" s="26"/>
      <c r="D272" s="28"/>
    </row>
    <row r="273">
      <c r="C273" s="26"/>
      <c r="D273" s="28"/>
    </row>
    <row r="274">
      <c r="C274" s="26"/>
      <c r="D274" s="28"/>
    </row>
    <row r="275">
      <c r="C275" s="26"/>
      <c r="D275" s="28"/>
    </row>
    <row r="276">
      <c r="C276" s="26"/>
      <c r="D276" s="28"/>
    </row>
    <row r="277">
      <c r="C277" s="26"/>
      <c r="D277" s="28"/>
    </row>
    <row r="278">
      <c r="C278" s="26"/>
      <c r="D278" s="28"/>
    </row>
    <row r="279">
      <c r="C279" s="26"/>
      <c r="D279" s="28"/>
    </row>
    <row r="280">
      <c r="C280" s="26"/>
      <c r="D280" s="28"/>
    </row>
    <row r="281">
      <c r="C281" s="26"/>
      <c r="D281" s="28"/>
    </row>
    <row r="282">
      <c r="C282" s="26"/>
      <c r="D282" s="28"/>
    </row>
    <row r="283">
      <c r="C283" s="26"/>
      <c r="D283" s="28"/>
    </row>
    <row r="284">
      <c r="C284" s="26"/>
      <c r="D284" s="28"/>
    </row>
    <row r="285">
      <c r="C285" s="26"/>
      <c r="D285" s="28"/>
    </row>
    <row r="286">
      <c r="C286" s="26"/>
      <c r="D286" s="28"/>
    </row>
    <row r="287">
      <c r="C287" s="26"/>
      <c r="D287" s="28"/>
    </row>
    <row r="288">
      <c r="C288" s="26"/>
      <c r="D288" s="28"/>
    </row>
    <row r="289">
      <c r="C289" s="26"/>
      <c r="D289" s="28"/>
    </row>
    <row r="290">
      <c r="C290" s="26"/>
      <c r="D290" s="28"/>
    </row>
    <row r="291">
      <c r="C291" s="26"/>
      <c r="D291" s="28"/>
    </row>
    <row r="292">
      <c r="C292" s="26"/>
      <c r="D292" s="28"/>
    </row>
    <row r="293">
      <c r="C293" s="26"/>
      <c r="D293" s="28"/>
    </row>
    <row r="294">
      <c r="C294" s="26"/>
      <c r="D294" s="28"/>
    </row>
    <row r="295">
      <c r="C295" s="26"/>
      <c r="D295" s="28"/>
    </row>
    <row r="296">
      <c r="C296" s="26"/>
      <c r="D296" s="28"/>
    </row>
    <row r="297">
      <c r="C297" s="26"/>
      <c r="D297" s="28"/>
    </row>
    <row r="298">
      <c r="C298" s="26"/>
      <c r="D298" s="28"/>
    </row>
    <row r="299">
      <c r="C299" s="26"/>
      <c r="D299" s="28"/>
    </row>
    <row r="300">
      <c r="C300" s="26"/>
      <c r="D300" s="28"/>
    </row>
    <row r="301">
      <c r="C301" s="26"/>
      <c r="D301" s="28"/>
    </row>
    <row r="302">
      <c r="C302" s="26"/>
      <c r="D302" s="28"/>
    </row>
    <row r="303">
      <c r="C303" s="26"/>
      <c r="D303" s="28"/>
    </row>
    <row r="304">
      <c r="C304" s="26"/>
      <c r="D304" s="28"/>
    </row>
    <row r="305">
      <c r="C305" s="26"/>
      <c r="D305" s="28"/>
    </row>
    <row r="306">
      <c r="C306" s="26"/>
      <c r="D306" s="28"/>
    </row>
    <row r="307">
      <c r="C307" s="26"/>
      <c r="D307" s="28"/>
    </row>
    <row r="308">
      <c r="C308" s="26"/>
      <c r="D308" s="28"/>
    </row>
    <row r="309">
      <c r="C309" s="26"/>
      <c r="D309" s="28"/>
    </row>
    <row r="310">
      <c r="C310" s="26"/>
      <c r="D310" s="28"/>
    </row>
    <row r="311">
      <c r="C311" s="26"/>
      <c r="D311" s="28"/>
    </row>
    <row r="312">
      <c r="C312" s="26"/>
      <c r="D312" s="28"/>
    </row>
    <row r="313">
      <c r="C313" s="26"/>
      <c r="D313" s="28"/>
    </row>
    <row r="314">
      <c r="C314" s="26"/>
      <c r="D314" s="28"/>
    </row>
    <row r="315">
      <c r="C315" s="26"/>
      <c r="D315" s="28"/>
    </row>
    <row r="316">
      <c r="C316" s="26"/>
      <c r="D316" s="28"/>
    </row>
    <row r="317">
      <c r="C317" s="26"/>
      <c r="D317" s="28"/>
    </row>
    <row r="318">
      <c r="C318" s="26"/>
      <c r="D318" s="28"/>
    </row>
    <row r="319">
      <c r="C319" s="26"/>
      <c r="D319" s="28"/>
    </row>
    <row r="320">
      <c r="C320" s="26"/>
      <c r="D320" s="28"/>
    </row>
    <row r="321">
      <c r="C321" s="26"/>
      <c r="D321" s="28"/>
    </row>
    <row r="322">
      <c r="C322" s="26"/>
      <c r="D322" s="28"/>
    </row>
    <row r="323">
      <c r="C323" s="26"/>
      <c r="D323" s="28"/>
    </row>
    <row r="324">
      <c r="C324" s="26"/>
      <c r="D324" s="28"/>
    </row>
    <row r="325">
      <c r="C325" s="26"/>
      <c r="D325" s="28"/>
    </row>
    <row r="326">
      <c r="C326" s="26"/>
      <c r="D326" s="28"/>
    </row>
    <row r="327">
      <c r="C327" s="26"/>
      <c r="D327" s="28"/>
    </row>
    <row r="328">
      <c r="C328" s="26"/>
      <c r="D328" s="28"/>
    </row>
    <row r="329">
      <c r="C329" s="26"/>
      <c r="D329" s="28"/>
    </row>
    <row r="330">
      <c r="C330" s="26"/>
      <c r="D330" s="28"/>
    </row>
    <row r="331">
      <c r="C331" s="26"/>
      <c r="D331" s="28"/>
    </row>
    <row r="332">
      <c r="C332" s="26"/>
      <c r="D332" s="28"/>
    </row>
    <row r="333">
      <c r="C333" s="26"/>
      <c r="D333" s="28"/>
    </row>
    <row r="334">
      <c r="C334" s="26"/>
      <c r="D334" s="28"/>
    </row>
    <row r="335">
      <c r="C335" s="26"/>
      <c r="D335" s="28"/>
    </row>
    <row r="336">
      <c r="C336" s="26"/>
      <c r="D336" s="28"/>
    </row>
    <row r="337">
      <c r="C337" s="26"/>
      <c r="D337" s="28"/>
    </row>
    <row r="338">
      <c r="C338" s="26"/>
      <c r="D338" s="28"/>
    </row>
    <row r="339">
      <c r="C339" s="26"/>
      <c r="D339" s="28"/>
    </row>
    <row r="340">
      <c r="C340" s="26"/>
      <c r="D340" s="28"/>
    </row>
    <row r="341">
      <c r="C341" s="26"/>
      <c r="D341" s="28"/>
    </row>
    <row r="342">
      <c r="C342" s="26"/>
      <c r="D342" s="28"/>
    </row>
    <row r="343">
      <c r="C343" s="26"/>
      <c r="D343" s="28"/>
    </row>
    <row r="344">
      <c r="C344" s="26"/>
      <c r="D344" s="28"/>
    </row>
    <row r="345">
      <c r="C345" s="26"/>
      <c r="D345" s="28"/>
    </row>
    <row r="346">
      <c r="C346" s="26"/>
      <c r="D346" s="28"/>
    </row>
    <row r="347">
      <c r="C347" s="26"/>
      <c r="D347" s="28"/>
    </row>
    <row r="348">
      <c r="C348" s="26"/>
      <c r="D348" s="28"/>
    </row>
    <row r="349">
      <c r="C349" s="26"/>
      <c r="D349" s="28"/>
    </row>
    <row r="350">
      <c r="C350" s="26"/>
      <c r="D350" s="28"/>
    </row>
    <row r="351">
      <c r="C351" s="26"/>
      <c r="D351" s="28"/>
    </row>
    <row r="352">
      <c r="C352" s="26"/>
      <c r="D352" s="28"/>
    </row>
    <row r="353">
      <c r="C353" s="26"/>
      <c r="D353" s="28"/>
    </row>
    <row r="354">
      <c r="C354" s="26"/>
      <c r="D354" s="28"/>
    </row>
    <row r="355">
      <c r="C355" s="26"/>
      <c r="D355" s="28"/>
    </row>
    <row r="356">
      <c r="C356" s="26"/>
      <c r="D356" s="28"/>
    </row>
    <row r="357">
      <c r="C357" s="26"/>
      <c r="D357" s="28"/>
    </row>
    <row r="358">
      <c r="C358" s="26"/>
      <c r="D358" s="28"/>
    </row>
    <row r="359">
      <c r="C359" s="26"/>
      <c r="D359" s="28"/>
    </row>
    <row r="360">
      <c r="C360" s="26"/>
      <c r="D360" s="28"/>
    </row>
    <row r="361">
      <c r="C361" s="26"/>
      <c r="D361" s="28"/>
    </row>
    <row r="362">
      <c r="C362" s="26"/>
      <c r="D362" s="28"/>
    </row>
    <row r="363">
      <c r="C363" s="26"/>
      <c r="D363" s="28"/>
    </row>
    <row r="364">
      <c r="C364" s="26"/>
      <c r="D364" s="28"/>
    </row>
    <row r="365">
      <c r="C365" s="26"/>
      <c r="D365" s="28"/>
    </row>
    <row r="366">
      <c r="C366" s="26"/>
      <c r="D366" s="28"/>
    </row>
    <row r="367">
      <c r="C367" s="26"/>
      <c r="D367" s="28"/>
    </row>
    <row r="368">
      <c r="C368" s="26"/>
      <c r="D368" s="28"/>
    </row>
    <row r="369">
      <c r="C369" s="26"/>
      <c r="D369" s="28"/>
    </row>
    <row r="370">
      <c r="C370" s="26"/>
      <c r="D370" s="28"/>
    </row>
    <row r="371">
      <c r="C371" s="26"/>
      <c r="D371" s="28"/>
    </row>
    <row r="372">
      <c r="C372" s="26"/>
      <c r="D372" s="28"/>
    </row>
    <row r="373">
      <c r="C373" s="26"/>
      <c r="D373" s="28"/>
    </row>
    <row r="374">
      <c r="C374" s="26"/>
      <c r="D374" s="28"/>
    </row>
    <row r="375">
      <c r="C375" s="26"/>
      <c r="D375" s="28"/>
    </row>
    <row r="376">
      <c r="C376" s="26"/>
      <c r="D376" s="28"/>
    </row>
    <row r="377">
      <c r="C377" s="26"/>
      <c r="D377" s="28"/>
    </row>
    <row r="378">
      <c r="C378" s="26"/>
      <c r="D378" s="28"/>
    </row>
    <row r="379">
      <c r="C379" s="26"/>
      <c r="D379" s="28"/>
    </row>
    <row r="380">
      <c r="C380" s="26"/>
      <c r="D380" s="28"/>
    </row>
    <row r="381">
      <c r="C381" s="26"/>
      <c r="D381" s="28"/>
    </row>
    <row r="382">
      <c r="C382" s="26"/>
      <c r="D382" s="28"/>
    </row>
    <row r="383">
      <c r="C383" s="26"/>
      <c r="D383" s="28"/>
    </row>
    <row r="384">
      <c r="C384" s="26"/>
      <c r="D384" s="28"/>
    </row>
    <row r="385">
      <c r="C385" s="26"/>
      <c r="D385" s="28"/>
    </row>
    <row r="386">
      <c r="C386" s="26"/>
      <c r="D386" s="28"/>
    </row>
    <row r="387">
      <c r="C387" s="26"/>
      <c r="D387" s="28"/>
    </row>
    <row r="388">
      <c r="C388" s="26"/>
      <c r="D388" s="28"/>
    </row>
    <row r="389">
      <c r="C389" s="26"/>
      <c r="D389" s="28"/>
    </row>
    <row r="390">
      <c r="C390" s="26"/>
      <c r="D390" s="28"/>
    </row>
    <row r="391">
      <c r="C391" s="26"/>
      <c r="D391" s="28"/>
    </row>
    <row r="392">
      <c r="C392" s="26"/>
      <c r="D392" s="28"/>
    </row>
    <row r="393">
      <c r="C393" s="26"/>
      <c r="D393" s="28"/>
    </row>
    <row r="394">
      <c r="C394" s="26"/>
      <c r="D394" s="28"/>
    </row>
    <row r="395">
      <c r="C395" s="26"/>
      <c r="D395" s="28"/>
    </row>
    <row r="396">
      <c r="C396" s="26"/>
      <c r="D396" s="28"/>
    </row>
    <row r="397">
      <c r="C397" s="26"/>
      <c r="D397" s="28"/>
    </row>
    <row r="398">
      <c r="C398" s="26"/>
      <c r="D398" s="28"/>
    </row>
    <row r="399">
      <c r="C399" s="26"/>
      <c r="D399" s="28"/>
    </row>
    <row r="400">
      <c r="C400" s="26"/>
      <c r="D400" s="28"/>
    </row>
    <row r="401">
      <c r="C401" s="26"/>
      <c r="D401" s="28"/>
    </row>
    <row r="402">
      <c r="C402" s="26"/>
      <c r="D402" s="28"/>
    </row>
    <row r="403">
      <c r="C403" s="26"/>
      <c r="D403" s="28"/>
    </row>
    <row r="404">
      <c r="C404" s="26"/>
      <c r="D404" s="28"/>
    </row>
    <row r="405">
      <c r="C405" s="26"/>
      <c r="D405" s="28"/>
    </row>
    <row r="406">
      <c r="C406" s="26"/>
      <c r="D406" s="28"/>
    </row>
    <row r="407">
      <c r="C407" s="26"/>
      <c r="D407" s="28"/>
    </row>
    <row r="408">
      <c r="C408" s="26"/>
      <c r="D408" s="28"/>
    </row>
    <row r="409">
      <c r="C409" s="26"/>
      <c r="D409" s="28"/>
    </row>
    <row r="410">
      <c r="C410" s="26"/>
      <c r="D410" s="28"/>
    </row>
    <row r="411">
      <c r="C411" s="26"/>
      <c r="D411" s="28"/>
    </row>
    <row r="412">
      <c r="C412" s="26"/>
      <c r="D412" s="28"/>
    </row>
    <row r="413">
      <c r="C413" s="26"/>
      <c r="D413" s="28"/>
    </row>
    <row r="414">
      <c r="C414" s="26"/>
      <c r="D414" s="28"/>
    </row>
    <row r="415">
      <c r="C415" s="26"/>
      <c r="D415" s="28"/>
    </row>
    <row r="416">
      <c r="C416" s="26"/>
      <c r="D416" s="28"/>
    </row>
    <row r="417">
      <c r="C417" s="26"/>
      <c r="D417" s="28"/>
    </row>
    <row r="418">
      <c r="C418" s="26"/>
      <c r="D418" s="28"/>
    </row>
    <row r="419">
      <c r="C419" s="26"/>
      <c r="D419" s="28"/>
    </row>
    <row r="420">
      <c r="C420" s="26"/>
      <c r="D420" s="28"/>
    </row>
    <row r="421">
      <c r="C421" s="26"/>
      <c r="D421" s="28"/>
    </row>
    <row r="422">
      <c r="C422" s="26"/>
      <c r="D422" s="28"/>
    </row>
    <row r="423">
      <c r="C423" s="26"/>
      <c r="D423" s="28"/>
    </row>
    <row r="424">
      <c r="C424" s="26"/>
      <c r="D424" s="28"/>
    </row>
    <row r="425">
      <c r="C425" s="26"/>
      <c r="D425" s="28"/>
    </row>
    <row r="426">
      <c r="C426" s="26"/>
      <c r="D426" s="28"/>
    </row>
    <row r="427">
      <c r="C427" s="26"/>
      <c r="D427" s="28"/>
    </row>
    <row r="428">
      <c r="C428" s="26"/>
      <c r="D428" s="28"/>
    </row>
    <row r="429">
      <c r="C429" s="26"/>
      <c r="D429" s="28"/>
    </row>
    <row r="430">
      <c r="C430" s="26"/>
      <c r="D430" s="28"/>
    </row>
    <row r="431">
      <c r="C431" s="26"/>
      <c r="D431" s="28"/>
    </row>
    <row r="432">
      <c r="C432" s="26"/>
      <c r="D432" s="28"/>
    </row>
    <row r="433">
      <c r="C433" s="26"/>
      <c r="D433" s="28"/>
    </row>
    <row r="434">
      <c r="C434" s="26"/>
      <c r="D434" s="28"/>
    </row>
    <row r="435">
      <c r="C435" s="26"/>
      <c r="D435" s="28"/>
    </row>
    <row r="436">
      <c r="C436" s="26"/>
      <c r="D436" s="28"/>
    </row>
    <row r="437">
      <c r="C437" s="26"/>
      <c r="D437" s="28"/>
    </row>
    <row r="438">
      <c r="C438" s="26"/>
      <c r="D438" s="28"/>
    </row>
    <row r="439">
      <c r="C439" s="26"/>
      <c r="D439" s="28"/>
    </row>
    <row r="440">
      <c r="C440" s="26"/>
      <c r="D440" s="28"/>
    </row>
    <row r="441">
      <c r="C441" s="26"/>
      <c r="D441" s="28"/>
    </row>
    <row r="442">
      <c r="C442" s="26"/>
      <c r="D442" s="28"/>
    </row>
    <row r="443">
      <c r="C443" s="26"/>
      <c r="D443" s="28"/>
    </row>
    <row r="444">
      <c r="C444" s="26"/>
      <c r="D444" s="28"/>
    </row>
    <row r="445">
      <c r="C445" s="26"/>
      <c r="D445" s="28"/>
    </row>
    <row r="446">
      <c r="C446" s="26"/>
      <c r="D446" s="28"/>
    </row>
    <row r="447">
      <c r="C447" s="26"/>
      <c r="D447" s="28"/>
    </row>
    <row r="448">
      <c r="C448" s="26"/>
      <c r="D448" s="28"/>
    </row>
    <row r="449">
      <c r="C449" s="26"/>
      <c r="D449" s="28"/>
    </row>
    <row r="450">
      <c r="C450" s="26"/>
      <c r="D450" s="28"/>
    </row>
    <row r="451">
      <c r="C451" s="26"/>
      <c r="D451" s="28"/>
    </row>
    <row r="452">
      <c r="C452" s="26"/>
      <c r="D452" s="28"/>
    </row>
    <row r="453">
      <c r="C453" s="26"/>
      <c r="D453" s="28"/>
    </row>
    <row r="454">
      <c r="C454" s="26"/>
      <c r="D454" s="28"/>
    </row>
    <row r="455">
      <c r="C455" s="26"/>
      <c r="D455" s="28"/>
    </row>
    <row r="456">
      <c r="C456" s="26"/>
      <c r="D456" s="28"/>
    </row>
    <row r="457">
      <c r="C457" s="26"/>
      <c r="D457" s="28"/>
    </row>
    <row r="458">
      <c r="C458" s="26"/>
      <c r="D458" s="28"/>
    </row>
    <row r="459">
      <c r="C459" s="26"/>
      <c r="D459" s="28"/>
    </row>
    <row r="460">
      <c r="C460" s="26"/>
      <c r="D460" s="28"/>
    </row>
    <row r="461">
      <c r="C461" s="26"/>
      <c r="D461" s="28"/>
    </row>
    <row r="462">
      <c r="C462" s="26"/>
      <c r="D462" s="28"/>
    </row>
    <row r="463">
      <c r="C463" s="26"/>
      <c r="D463" s="28"/>
    </row>
    <row r="464">
      <c r="C464" s="26"/>
      <c r="D464" s="28"/>
    </row>
    <row r="465">
      <c r="C465" s="26"/>
      <c r="D465" s="28"/>
    </row>
    <row r="466">
      <c r="C466" s="26"/>
      <c r="D466" s="28"/>
    </row>
    <row r="467">
      <c r="C467" s="26"/>
      <c r="D467" s="28"/>
    </row>
    <row r="468">
      <c r="C468" s="26"/>
      <c r="D468" s="28"/>
    </row>
    <row r="469">
      <c r="C469" s="26"/>
      <c r="D469" s="28"/>
    </row>
    <row r="470">
      <c r="C470" s="26"/>
      <c r="D470" s="28"/>
    </row>
    <row r="471">
      <c r="C471" s="26"/>
      <c r="D471" s="28"/>
    </row>
    <row r="472">
      <c r="C472" s="26"/>
      <c r="D472" s="28"/>
    </row>
    <row r="473">
      <c r="C473" s="26"/>
      <c r="D473" s="28"/>
    </row>
    <row r="474">
      <c r="C474" s="26"/>
      <c r="D474" s="28"/>
    </row>
    <row r="475">
      <c r="C475" s="26"/>
      <c r="D475" s="28"/>
    </row>
    <row r="476">
      <c r="C476" s="26"/>
      <c r="D476" s="28"/>
    </row>
    <row r="477">
      <c r="C477" s="26"/>
      <c r="D477" s="28"/>
    </row>
    <row r="478">
      <c r="C478" s="26"/>
      <c r="D478" s="28"/>
    </row>
    <row r="479">
      <c r="C479" s="26"/>
      <c r="D479" s="28"/>
    </row>
    <row r="480">
      <c r="C480" s="26"/>
      <c r="D480" s="28"/>
    </row>
    <row r="481">
      <c r="C481" s="26"/>
      <c r="D481" s="28"/>
    </row>
    <row r="482">
      <c r="C482" s="26"/>
      <c r="D482" s="28"/>
    </row>
    <row r="483">
      <c r="C483" s="26"/>
      <c r="D483" s="28"/>
    </row>
    <row r="484">
      <c r="C484" s="26"/>
      <c r="D484" s="28"/>
    </row>
    <row r="485">
      <c r="C485" s="26"/>
      <c r="D485" s="28"/>
    </row>
    <row r="486">
      <c r="C486" s="26"/>
      <c r="D486" s="28"/>
    </row>
    <row r="487">
      <c r="C487" s="26"/>
      <c r="D487" s="28"/>
    </row>
    <row r="488">
      <c r="C488" s="26"/>
      <c r="D488" s="28"/>
    </row>
    <row r="489">
      <c r="C489" s="26"/>
      <c r="D489" s="28"/>
    </row>
    <row r="490">
      <c r="C490" s="26"/>
      <c r="D490" s="28"/>
    </row>
    <row r="491">
      <c r="C491" s="26"/>
      <c r="D491" s="28"/>
    </row>
    <row r="492">
      <c r="C492" s="26"/>
      <c r="D492" s="28"/>
    </row>
    <row r="493">
      <c r="C493" s="26"/>
      <c r="D493" s="28"/>
    </row>
    <row r="494">
      <c r="C494" s="26"/>
      <c r="D494" s="28"/>
    </row>
    <row r="495">
      <c r="C495" s="26"/>
      <c r="D495" s="28"/>
    </row>
    <row r="496">
      <c r="C496" s="26"/>
      <c r="D496" s="28"/>
    </row>
    <row r="497">
      <c r="C497" s="26"/>
      <c r="D497" s="28"/>
    </row>
    <row r="498">
      <c r="C498" s="26"/>
      <c r="D498" s="28"/>
    </row>
    <row r="499">
      <c r="C499" s="26"/>
      <c r="D499" s="28"/>
    </row>
    <row r="500">
      <c r="C500" s="26"/>
      <c r="D500" s="28"/>
    </row>
    <row r="501">
      <c r="C501" s="26"/>
      <c r="D501" s="28"/>
    </row>
    <row r="502">
      <c r="C502" s="26"/>
      <c r="D502" s="28"/>
    </row>
    <row r="503">
      <c r="C503" s="26"/>
      <c r="D503" s="28"/>
    </row>
    <row r="504">
      <c r="C504" s="26"/>
      <c r="D504" s="28"/>
    </row>
    <row r="505">
      <c r="C505" s="26"/>
      <c r="D505" s="28"/>
    </row>
    <row r="506">
      <c r="C506" s="26"/>
      <c r="D506" s="28"/>
    </row>
    <row r="507">
      <c r="C507" s="26"/>
      <c r="D507" s="28"/>
    </row>
    <row r="508">
      <c r="C508" s="26"/>
      <c r="D508" s="28"/>
    </row>
    <row r="509">
      <c r="C509" s="26"/>
      <c r="D509" s="28"/>
    </row>
    <row r="510">
      <c r="C510" s="26"/>
      <c r="D510" s="28"/>
    </row>
    <row r="511">
      <c r="C511" s="26"/>
      <c r="D511" s="28"/>
    </row>
    <row r="512">
      <c r="C512" s="26"/>
      <c r="D512" s="28"/>
    </row>
    <row r="513">
      <c r="C513" s="26"/>
      <c r="D513" s="28"/>
    </row>
    <row r="514">
      <c r="C514" s="26"/>
      <c r="D514" s="28"/>
    </row>
    <row r="515">
      <c r="C515" s="26"/>
      <c r="D515" s="28"/>
    </row>
    <row r="516">
      <c r="C516" s="26"/>
      <c r="D516" s="28"/>
    </row>
    <row r="517">
      <c r="C517" s="26"/>
      <c r="D517" s="28"/>
    </row>
    <row r="518">
      <c r="C518" s="26"/>
      <c r="D518" s="28"/>
    </row>
    <row r="519">
      <c r="C519" s="26"/>
      <c r="D519" s="28"/>
    </row>
    <row r="520">
      <c r="C520" s="26"/>
      <c r="D520" s="28"/>
    </row>
    <row r="521">
      <c r="C521" s="26"/>
      <c r="D521" s="28"/>
    </row>
    <row r="522">
      <c r="C522" s="26"/>
      <c r="D522" s="28"/>
    </row>
    <row r="523">
      <c r="C523" s="26"/>
      <c r="D523" s="28"/>
    </row>
    <row r="524">
      <c r="C524" s="26"/>
      <c r="D524" s="28"/>
    </row>
    <row r="525">
      <c r="C525" s="26"/>
      <c r="D525" s="28"/>
    </row>
    <row r="526">
      <c r="C526" s="26"/>
      <c r="D526" s="28"/>
    </row>
    <row r="527">
      <c r="C527" s="26"/>
      <c r="D527" s="28"/>
    </row>
    <row r="528">
      <c r="C528" s="26"/>
      <c r="D528" s="28"/>
    </row>
    <row r="529">
      <c r="C529" s="26"/>
      <c r="D529" s="28"/>
    </row>
    <row r="530">
      <c r="C530" s="26"/>
      <c r="D530" s="28"/>
    </row>
    <row r="531">
      <c r="C531" s="26"/>
      <c r="D531" s="28"/>
    </row>
    <row r="532">
      <c r="C532" s="26"/>
      <c r="D532" s="28"/>
    </row>
    <row r="533">
      <c r="C533" s="26"/>
      <c r="D533" s="28"/>
    </row>
    <row r="534">
      <c r="C534" s="26"/>
      <c r="D534" s="28"/>
    </row>
    <row r="535">
      <c r="C535" s="26"/>
      <c r="D535" s="28"/>
    </row>
    <row r="536">
      <c r="C536" s="26"/>
      <c r="D536" s="28"/>
    </row>
    <row r="537">
      <c r="C537" s="26"/>
      <c r="D537" s="28"/>
    </row>
    <row r="538">
      <c r="C538" s="26"/>
      <c r="D538" s="28"/>
    </row>
    <row r="539">
      <c r="C539" s="26"/>
      <c r="D539" s="28"/>
    </row>
    <row r="540">
      <c r="C540" s="26"/>
      <c r="D540" s="28"/>
    </row>
    <row r="541">
      <c r="C541" s="26"/>
      <c r="D541" s="28"/>
    </row>
    <row r="542">
      <c r="C542" s="26"/>
      <c r="D542" s="28"/>
    </row>
    <row r="543">
      <c r="C543" s="26"/>
      <c r="D543" s="28"/>
    </row>
    <row r="544">
      <c r="C544" s="26"/>
      <c r="D544" s="28"/>
    </row>
    <row r="545">
      <c r="C545" s="26"/>
      <c r="D545" s="28"/>
    </row>
    <row r="546">
      <c r="C546" s="26"/>
      <c r="D546" s="28"/>
    </row>
    <row r="547">
      <c r="C547" s="26"/>
      <c r="D547" s="28"/>
    </row>
    <row r="548">
      <c r="C548" s="26"/>
      <c r="D548" s="28"/>
    </row>
    <row r="549">
      <c r="C549" s="26"/>
      <c r="D549" s="28"/>
    </row>
    <row r="550">
      <c r="C550" s="26"/>
      <c r="D550" s="28"/>
    </row>
    <row r="551">
      <c r="C551" s="26"/>
      <c r="D551" s="28"/>
    </row>
    <row r="552">
      <c r="C552" s="26"/>
      <c r="D552" s="28"/>
    </row>
    <row r="553">
      <c r="C553" s="26"/>
      <c r="D553" s="28"/>
    </row>
    <row r="554">
      <c r="C554" s="26"/>
      <c r="D554" s="28"/>
    </row>
    <row r="555">
      <c r="C555" s="26"/>
      <c r="D555" s="28"/>
    </row>
    <row r="556">
      <c r="C556" s="26"/>
      <c r="D556" s="28"/>
    </row>
    <row r="557">
      <c r="C557" s="26"/>
      <c r="D557" s="28"/>
    </row>
    <row r="558">
      <c r="C558" s="26"/>
      <c r="D558" s="28"/>
    </row>
    <row r="559">
      <c r="C559" s="26"/>
      <c r="D559" s="28"/>
    </row>
    <row r="560">
      <c r="C560" s="26"/>
      <c r="D560" s="28"/>
    </row>
    <row r="561">
      <c r="C561" s="26"/>
      <c r="D561" s="28"/>
    </row>
    <row r="562">
      <c r="C562" s="26"/>
      <c r="D562" s="28"/>
    </row>
    <row r="563">
      <c r="C563" s="26"/>
      <c r="D563" s="28"/>
    </row>
    <row r="564">
      <c r="C564" s="26"/>
      <c r="D564" s="28"/>
    </row>
    <row r="565">
      <c r="C565" s="26"/>
      <c r="D565" s="28"/>
    </row>
    <row r="566">
      <c r="C566" s="26"/>
      <c r="D566" s="28"/>
    </row>
    <row r="567">
      <c r="C567" s="26"/>
      <c r="D567" s="28"/>
    </row>
    <row r="568">
      <c r="C568" s="26"/>
      <c r="D568" s="28"/>
    </row>
    <row r="569">
      <c r="C569" s="26"/>
      <c r="D569" s="28"/>
    </row>
    <row r="570">
      <c r="C570" s="26"/>
      <c r="D570" s="28"/>
    </row>
    <row r="571">
      <c r="C571" s="26"/>
      <c r="D571" s="28"/>
    </row>
    <row r="572">
      <c r="C572" s="26"/>
      <c r="D572" s="28"/>
    </row>
    <row r="573">
      <c r="C573" s="26"/>
      <c r="D573" s="28"/>
    </row>
    <row r="574">
      <c r="C574" s="26"/>
      <c r="D574" s="28"/>
    </row>
    <row r="575">
      <c r="C575" s="26"/>
      <c r="D575" s="28"/>
    </row>
    <row r="576">
      <c r="C576" s="26"/>
      <c r="D576" s="28"/>
    </row>
    <row r="577">
      <c r="C577" s="26"/>
      <c r="D577" s="28"/>
    </row>
    <row r="578">
      <c r="C578" s="26"/>
      <c r="D578" s="28"/>
    </row>
    <row r="579">
      <c r="C579" s="26"/>
      <c r="D579" s="28"/>
    </row>
    <row r="580">
      <c r="C580" s="26"/>
      <c r="D580" s="28"/>
    </row>
    <row r="581">
      <c r="C581" s="26"/>
      <c r="D581" s="28"/>
    </row>
    <row r="582">
      <c r="C582" s="26"/>
      <c r="D582" s="28"/>
    </row>
    <row r="583">
      <c r="C583" s="26"/>
      <c r="D583" s="28"/>
    </row>
    <row r="584">
      <c r="C584" s="26"/>
      <c r="D584" s="28"/>
    </row>
    <row r="585">
      <c r="C585" s="26"/>
      <c r="D585" s="28"/>
    </row>
    <row r="586">
      <c r="C586" s="26"/>
      <c r="D586" s="28"/>
    </row>
    <row r="587">
      <c r="C587" s="26"/>
      <c r="D587" s="28"/>
    </row>
    <row r="588">
      <c r="C588" s="26"/>
      <c r="D588" s="28"/>
    </row>
    <row r="589">
      <c r="C589" s="26"/>
      <c r="D589" s="28"/>
    </row>
    <row r="590">
      <c r="C590" s="26"/>
      <c r="D590" s="28"/>
    </row>
    <row r="591">
      <c r="C591" s="26"/>
      <c r="D591" s="28"/>
    </row>
    <row r="592">
      <c r="C592" s="26"/>
      <c r="D592" s="28"/>
    </row>
    <row r="593">
      <c r="C593" s="26"/>
      <c r="D593" s="28"/>
    </row>
    <row r="594">
      <c r="C594" s="26"/>
      <c r="D594" s="28"/>
    </row>
    <row r="595">
      <c r="C595" s="26"/>
      <c r="D595" s="28"/>
    </row>
    <row r="596">
      <c r="C596" s="26"/>
      <c r="D596" s="28"/>
    </row>
    <row r="597">
      <c r="C597" s="26"/>
      <c r="D597" s="28"/>
    </row>
    <row r="598">
      <c r="C598" s="26"/>
      <c r="D598" s="28"/>
    </row>
    <row r="599">
      <c r="C599" s="26"/>
      <c r="D599" s="28"/>
    </row>
    <row r="600">
      <c r="C600" s="26"/>
      <c r="D600" s="28"/>
    </row>
    <row r="601">
      <c r="C601" s="26"/>
      <c r="D601" s="28"/>
    </row>
    <row r="602">
      <c r="C602" s="26"/>
      <c r="D602" s="28"/>
    </row>
    <row r="603">
      <c r="C603" s="26"/>
      <c r="D603" s="28"/>
    </row>
    <row r="604">
      <c r="C604" s="26"/>
      <c r="D604" s="28"/>
    </row>
    <row r="605">
      <c r="C605" s="26"/>
      <c r="D605" s="28"/>
    </row>
    <row r="606">
      <c r="C606" s="26"/>
      <c r="D606" s="28"/>
    </row>
    <row r="607">
      <c r="C607" s="26"/>
      <c r="D607" s="28"/>
    </row>
    <row r="608">
      <c r="C608" s="26"/>
      <c r="D608" s="28"/>
    </row>
    <row r="609">
      <c r="C609" s="26"/>
      <c r="D609" s="28"/>
    </row>
    <row r="610">
      <c r="C610" s="26"/>
      <c r="D610" s="28"/>
    </row>
    <row r="611">
      <c r="C611" s="26"/>
      <c r="D611" s="28"/>
    </row>
    <row r="612">
      <c r="C612" s="26"/>
      <c r="D612" s="28"/>
    </row>
    <row r="613">
      <c r="C613" s="26"/>
      <c r="D613" s="28"/>
    </row>
    <row r="614">
      <c r="C614" s="26"/>
      <c r="D614" s="28"/>
    </row>
    <row r="615">
      <c r="C615" s="26"/>
      <c r="D615" s="28"/>
    </row>
    <row r="616">
      <c r="C616" s="26"/>
      <c r="D616" s="28"/>
    </row>
    <row r="617">
      <c r="C617" s="26"/>
      <c r="D617" s="28"/>
    </row>
    <row r="618">
      <c r="C618" s="26"/>
      <c r="D618" s="28"/>
    </row>
    <row r="619">
      <c r="C619" s="26"/>
      <c r="D619" s="28"/>
    </row>
    <row r="620">
      <c r="C620" s="26"/>
      <c r="D620" s="28"/>
    </row>
    <row r="621">
      <c r="C621" s="26"/>
      <c r="D621" s="28"/>
    </row>
    <row r="622">
      <c r="C622" s="26"/>
      <c r="D622" s="28"/>
    </row>
    <row r="623">
      <c r="C623" s="26"/>
      <c r="D623" s="28"/>
    </row>
    <row r="624">
      <c r="C624" s="26"/>
      <c r="D624" s="28"/>
    </row>
    <row r="625">
      <c r="C625" s="26"/>
      <c r="D625" s="28"/>
    </row>
    <row r="626">
      <c r="C626" s="26"/>
      <c r="D626" s="28"/>
    </row>
    <row r="627">
      <c r="C627" s="26"/>
      <c r="D627" s="28"/>
    </row>
    <row r="628">
      <c r="C628" s="26"/>
      <c r="D628" s="28"/>
    </row>
    <row r="629">
      <c r="C629" s="26"/>
      <c r="D629" s="28"/>
    </row>
    <row r="630">
      <c r="C630" s="26"/>
      <c r="D630" s="28"/>
    </row>
    <row r="631">
      <c r="C631" s="26"/>
      <c r="D631" s="28"/>
    </row>
    <row r="632">
      <c r="C632" s="26"/>
      <c r="D632" s="28"/>
    </row>
    <row r="633">
      <c r="C633" s="26"/>
      <c r="D633" s="28"/>
    </row>
    <row r="634">
      <c r="C634" s="26"/>
      <c r="D634" s="28"/>
    </row>
    <row r="635">
      <c r="C635" s="26"/>
      <c r="D635" s="28"/>
    </row>
    <row r="636">
      <c r="C636" s="26"/>
      <c r="D636" s="28"/>
    </row>
    <row r="637">
      <c r="C637" s="26"/>
      <c r="D637" s="28"/>
    </row>
    <row r="638">
      <c r="C638" s="26"/>
      <c r="D638" s="28"/>
    </row>
    <row r="639">
      <c r="C639" s="26"/>
      <c r="D639" s="28"/>
    </row>
    <row r="640">
      <c r="C640" s="26"/>
      <c r="D640" s="28"/>
    </row>
    <row r="641">
      <c r="C641" s="26"/>
      <c r="D641" s="28"/>
    </row>
    <row r="642">
      <c r="C642" s="26"/>
      <c r="D642" s="28"/>
    </row>
    <row r="643">
      <c r="C643" s="26"/>
      <c r="D643" s="28"/>
    </row>
    <row r="644">
      <c r="C644" s="26"/>
      <c r="D644" s="28"/>
    </row>
    <row r="645">
      <c r="C645" s="26"/>
      <c r="D645" s="28"/>
    </row>
    <row r="646">
      <c r="C646" s="26"/>
      <c r="D646" s="28"/>
    </row>
    <row r="647">
      <c r="C647" s="26"/>
      <c r="D647" s="28"/>
    </row>
    <row r="648">
      <c r="C648" s="26"/>
      <c r="D648" s="28"/>
    </row>
    <row r="649">
      <c r="C649" s="26"/>
      <c r="D649" s="28"/>
    </row>
    <row r="650">
      <c r="C650" s="26"/>
      <c r="D650" s="28"/>
    </row>
    <row r="651">
      <c r="C651" s="26"/>
      <c r="D651" s="28"/>
    </row>
    <row r="652">
      <c r="C652" s="26"/>
      <c r="D652" s="28"/>
    </row>
    <row r="653">
      <c r="C653" s="26"/>
      <c r="D653" s="28"/>
    </row>
    <row r="654">
      <c r="C654" s="26"/>
      <c r="D654" s="28"/>
    </row>
    <row r="655">
      <c r="C655" s="26"/>
      <c r="D655" s="28"/>
    </row>
    <row r="656">
      <c r="C656" s="26"/>
      <c r="D656" s="28"/>
    </row>
    <row r="657">
      <c r="C657" s="26"/>
      <c r="D657" s="28"/>
    </row>
    <row r="658">
      <c r="C658" s="26"/>
      <c r="D658" s="28"/>
    </row>
    <row r="659">
      <c r="C659" s="26"/>
      <c r="D659" s="28"/>
    </row>
    <row r="660">
      <c r="C660" s="26"/>
      <c r="D660" s="28"/>
    </row>
    <row r="661">
      <c r="C661" s="26"/>
      <c r="D661" s="28"/>
    </row>
    <row r="662">
      <c r="C662" s="26"/>
      <c r="D662" s="28"/>
    </row>
    <row r="663">
      <c r="C663" s="26"/>
      <c r="D663" s="28"/>
    </row>
    <row r="664">
      <c r="C664" s="26"/>
      <c r="D664" s="28"/>
    </row>
    <row r="665">
      <c r="C665" s="26"/>
      <c r="D665" s="28"/>
    </row>
    <row r="666">
      <c r="C666" s="26"/>
      <c r="D666" s="28"/>
    </row>
    <row r="667">
      <c r="C667" s="26"/>
      <c r="D667" s="28"/>
    </row>
    <row r="668">
      <c r="C668" s="26"/>
      <c r="D668" s="28"/>
    </row>
    <row r="669">
      <c r="C669" s="26"/>
      <c r="D669" s="28"/>
    </row>
    <row r="670">
      <c r="C670" s="26"/>
      <c r="D670" s="28"/>
    </row>
    <row r="671">
      <c r="C671" s="26"/>
      <c r="D671" s="28"/>
    </row>
    <row r="672">
      <c r="C672" s="26"/>
      <c r="D672" s="28"/>
    </row>
    <row r="673">
      <c r="C673" s="26"/>
      <c r="D673" s="28"/>
    </row>
    <row r="674">
      <c r="C674" s="26"/>
      <c r="D674" s="28"/>
    </row>
    <row r="675">
      <c r="C675" s="26"/>
      <c r="D675" s="28"/>
    </row>
    <row r="676">
      <c r="C676" s="26"/>
      <c r="D676" s="28"/>
    </row>
    <row r="677">
      <c r="C677" s="26"/>
      <c r="D677" s="28"/>
    </row>
    <row r="678">
      <c r="C678" s="26"/>
      <c r="D678" s="28"/>
    </row>
    <row r="679">
      <c r="C679" s="26"/>
      <c r="D679" s="28"/>
    </row>
    <row r="680">
      <c r="C680" s="26"/>
      <c r="D680" s="28"/>
    </row>
    <row r="681">
      <c r="C681" s="26"/>
      <c r="D681" s="28"/>
    </row>
    <row r="682">
      <c r="C682" s="26"/>
      <c r="D682" s="28"/>
    </row>
    <row r="683">
      <c r="C683" s="26"/>
      <c r="D683" s="28"/>
    </row>
    <row r="684">
      <c r="C684" s="26"/>
      <c r="D684" s="28"/>
    </row>
    <row r="685">
      <c r="C685" s="26"/>
      <c r="D685" s="28"/>
    </row>
    <row r="686">
      <c r="C686" s="26"/>
      <c r="D686" s="28"/>
    </row>
    <row r="687">
      <c r="C687" s="26"/>
      <c r="D687" s="28"/>
    </row>
    <row r="688">
      <c r="C688" s="26"/>
      <c r="D688" s="28"/>
    </row>
    <row r="689">
      <c r="C689" s="26"/>
      <c r="D689" s="28"/>
    </row>
    <row r="690">
      <c r="C690" s="26"/>
      <c r="D690" s="28"/>
    </row>
    <row r="691">
      <c r="C691" s="26"/>
      <c r="D691" s="28"/>
    </row>
    <row r="692">
      <c r="C692" s="26"/>
      <c r="D692" s="28"/>
    </row>
    <row r="693">
      <c r="C693" s="26"/>
      <c r="D693" s="28"/>
    </row>
    <row r="694">
      <c r="C694" s="26"/>
      <c r="D694" s="28"/>
    </row>
    <row r="695">
      <c r="C695" s="26"/>
      <c r="D695" s="28"/>
    </row>
    <row r="696">
      <c r="C696" s="26"/>
      <c r="D696" s="28"/>
    </row>
    <row r="697">
      <c r="C697" s="26"/>
      <c r="D697" s="28"/>
    </row>
    <row r="698">
      <c r="C698" s="26"/>
      <c r="D698" s="28"/>
    </row>
    <row r="699">
      <c r="C699" s="26"/>
      <c r="D699" s="28"/>
    </row>
    <row r="700">
      <c r="C700" s="26"/>
      <c r="D700" s="28"/>
    </row>
    <row r="701">
      <c r="C701" s="26"/>
      <c r="D701" s="28"/>
    </row>
    <row r="702">
      <c r="C702" s="26"/>
      <c r="D702" s="28"/>
    </row>
    <row r="703">
      <c r="C703" s="26"/>
      <c r="D703" s="28"/>
    </row>
    <row r="704">
      <c r="C704" s="26"/>
      <c r="D704" s="28"/>
    </row>
    <row r="705">
      <c r="C705" s="26"/>
      <c r="D705" s="28"/>
    </row>
    <row r="706">
      <c r="C706" s="26"/>
      <c r="D706" s="28"/>
    </row>
    <row r="707">
      <c r="C707" s="26"/>
      <c r="D707" s="28"/>
    </row>
    <row r="708">
      <c r="C708" s="26"/>
      <c r="D708" s="28"/>
    </row>
    <row r="709">
      <c r="C709" s="26"/>
      <c r="D709" s="28"/>
    </row>
    <row r="710">
      <c r="C710" s="26"/>
      <c r="D710" s="28"/>
    </row>
    <row r="711">
      <c r="C711" s="26"/>
      <c r="D711" s="28"/>
    </row>
    <row r="712">
      <c r="C712" s="26"/>
      <c r="D712" s="28"/>
    </row>
    <row r="713">
      <c r="C713" s="26"/>
      <c r="D713" s="28"/>
    </row>
    <row r="714">
      <c r="C714" s="26"/>
      <c r="D714" s="28"/>
    </row>
    <row r="715">
      <c r="C715" s="26"/>
      <c r="D715" s="28"/>
    </row>
    <row r="716">
      <c r="C716" s="26"/>
      <c r="D716" s="28"/>
    </row>
    <row r="717">
      <c r="C717" s="26"/>
      <c r="D717" s="28"/>
    </row>
    <row r="718">
      <c r="C718" s="26"/>
      <c r="D718" s="28"/>
    </row>
    <row r="719">
      <c r="C719" s="26"/>
      <c r="D719" s="28"/>
    </row>
    <row r="720">
      <c r="C720" s="26"/>
      <c r="D720" s="28"/>
    </row>
    <row r="721">
      <c r="C721" s="26"/>
      <c r="D721" s="28"/>
    </row>
    <row r="722">
      <c r="C722" s="26"/>
      <c r="D722" s="28"/>
    </row>
    <row r="723">
      <c r="C723" s="26"/>
      <c r="D723" s="28"/>
    </row>
    <row r="724">
      <c r="C724" s="26"/>
      <c r="D724" s="28"/>
    </row>
    <row r="725">
      <c r="C725" s="26"/>
      <c r="D725" s="28"/>
    </row>
    <row r="726">
      <c r="C726" s="26"/>
      <c r="D726" s="28"/>
    </row>
    <row r="727">
      <c r="C727" s="26"/>
      <c r="D727" s="28"/>
    </row>
    <row r="728">
      <c r="C728" s="26"/>
      <c r="D728" s="28"/>
    </row>
    <row r="729">
      <c r="C729" s="26"/>
      <c r="D729" s="28"/>
    </row>
    <row r="730">
      <c r="C730" s="26"/>
      <c r="D730" s="28"/>
    </row>
    <row r="731">
      <c r="C731" s="26"/>
      <c r="D731" s="28"/>
    </row>
    <row r="732">
      <c r="C732" s="26"/>
      <c r="D732" s="28"/>
    </row>
    <row r="733">
      <c r="C733" s="26"/>
      <c r="D733" s="28"/>
    </row>
    <row r="734">
      <c r="C734" s="26"/>
      <c r="D734" s="28"/>
    </row>
    <row r="735">
      <c r="C735" s="26"/>
      <c r="D735" s="28"/>
    </row>
    <row r="736">
      <c r="C736" s="26"/>
      <c r="D736" s="28"/>
    </row>
    <row r="737">
      <c r="C737" s="26"/>
      <c r="D737" s="28"/>
    </row>
    <row r="738">
      <c r="C738" s="26"/>
      <c r="D738" s="28"/>
    </row>
    <row r="739">
      <c r="C739" s="26"/>
      <c r="D739" s="28"/>
    </row>
    <row r="740">
      <c r="C740" s="26"/>
      <c r="D740" s="28"/>
    </row>
    <row r="741">
      <c r="C741" s="26"/>
      <c r="D741" s="28"/>
    </row>
    <row r="742">
      <c r="C742" s="26"/>
      <c r="D742" s="28"/>
    </row>
    <row r="743">
      <c r="C743" s="26"/>
      <c r="D743" s="28"/>
    </row>
    <row r="744">
      <c r="C744" s="26"/>
      <c r="D744" s="28"/>
    </row>
    <row r="745">
      <c r="C745" s="26"/>
      <c r="D745" s="28"/>
    </row>
    <row r="746">
      <c r="C746" s="26"/>
      <c r="D746" s="28"/>
    </row>
    <row r="747">
      <c r="C747" s="26"/>
      <c r="D747" s="28"/>
    </row>
    <row r="748">
      <c r="C748" s="26"/>
      <c r="D748" s="28"/>
    </row>
    <row r="749">
      <c r="C749" s="26"/>
      <c r="D749" s="28"/>
    </row>
    <row r="750">
      <c r="C750" s="26"/>
      <c r="D750" s="28"/>
    </row>
    <row r="751">
      <c r="C751" s="26"/>
      <c r="D751" s="28"/>
    </row>
    <row r="752">
      <c r="C752" s="26"/>
      <c r="D752" s="28"/>
    </row>
    <row r="753">
      <c r="C753" s="26"/>
      <c r="D753" s="28"/>
    </row>
    <row r="754">
      <c r="C754" s="26"/>
      <c r="D754" s="28"/>
    </row>
    <row r="755">
      <c r="C755" s="26"/>
      <c r="D755" s="28"/>
    </row>
    <row r="756">
      <c r="C756" s="26"/>
      <c r="D756" s="28"/>
    </row>
    <row r="757">
      <c r="C757" s="26"/>
      <c r="D757" s="28"/>
    </row>
    <row r="758">
      <c r="C758" s="26"/>
      <c r="D758" s="28"/>
    </row>
    <row r="759">
      <c r="C759" s="26"/>
      <c r="D759" s="28"/>
    </row>
    <row r="760">
      <c r="C760" s="26"/>
      <c r="D760" s="28"/>
    </row>
    <row r="761">
      <c r="C761" s="26"/>
      <c r="D761" s="28"/>
    </row>
    <row r="762">
      <c r="C762" s="26"/>
      <c r="D762" s="28"/>
    </row>
    <row r="763">
      <c r="C763" s="26"/>
      <c r="D763" s="28"/>
    </row>
    <row r="764">
      <c r="C764" s="26"/>
      <c r="D764" s="28"/>
    </row>
    <row r="765">
      <c r="C765" s="26"/>
      <c r="D765" s="28"/>
    </row>
    <row r="766">
      <c r="C766" s="26"/>
      <c r="D766" s="28"/>
    </row>
    <row r="767">
      <c r="C767" s="26"/>
      <c r="D767" s="28"/>
    </row>
    <row r="768">
      <c r="C768" s="26"/>
      <c r="D768" s="28"/>
    </row>
    <row r="769">
      <c r="C769" s="26"/>
      <c r="D769" s="28"/>
    </row>
    <row r="770">
      <c r="C770" s="26"/>
      <c r="D770" s="28"/>
    </row>
    <row r="771">
      <c r="C771" s="26"/>
      <c r="D771" s="28"/>
    </row>
    <row r="772">
      <c r="C772" s="26"/>
      <c r="D772" s="28"/>
    </row>
    <row r="773">
      <c r="C773" s="26"/>
      <c r="D773" s="28"/>
    </row>
    <row r="774">
      <c r="C774" s="26"/>
      <c r="D774" s="28"/>
    </row>
    <row r="775">
      <c r="C775" s="26"/>
      <c r="D775" s="28"/>
    </row>
    <row r="776">
      <c r="C776" s="26"/>
      <c r="D776" s="28"/>
    </row>
    <row r="777">
      <c r="C777" s="26"/>
      <c r="D777" s="28"/>
    </row>
    <row r="778">
      <c r="C778" s="26"/>
      <c r="D778" s="28"/>
    </row>
    <row r="779">
      <c r="C779" s="26"/>
      <c r="D779" s="28"/>
    </row>
    <row r="780">
      <c r="C780" s="26"/>
      <c r="D780" s="28"/>
    </row>
    <row r="781">
      <c r="C781" s="26"/>
      <c r="D781" s="28"/>
    </row>
    <row r="782">
      <c r="C782" s="26"/>
      <c r="D782" s="28"/>
    </row>
    <row r="783">
      <c r="C783" s="26"/>
      <c r="D783" s="28"/>
    </row>
    <row r="784">
      <c r="C784" s="26"/>
      <c r="D784" s="28"/>
    </row>
    <row r="785">
      <c r="C785" s="26"/>
      <c r="D785" s="28"/>
    </row>
    <row r="786">
      <c r="C786" s="26"/>
      <c r="D786" s="28"/>
    </row>
    <row r="787">
      <c r="C787" s="26"/>
      <c r="D787" s="28"/>
    </row>
    <row r="788">
      <c r="C788" s="26"/>
      <c r="D788" s="28"/>
    </row>
    <row r="789">
      <c r="C789" s="26"/>
      <c r="D789" s="28"/>
    </row>
    <row r="790">
      <c r="C790" s="26"/>
      <c r="D790" s="28"/>
    </row>
    <row r="791">
      <c r="C791" s="26"/>
      <c r="D791" s="28"/>
    </row>
    <row r="792">
      <c r="C792" s="26"/>
      <c r="D792" s="28"/>
    </row>
    <row r="793">
      <c r="C793" s="26"/>
      <c r="D793" s="28"/>
    </row>
    <row r="794">
      <c r="C794" s="26"/>
      <c r="D794" s="28"/>
    </row>
    <row r="795">
      <c r="C795" s="26"/>
      <c r="D795" s="28"/>
    </row>
    <row r="796">
      <c r="C796" s="26"/>
      <c r="D796" s="28"/>
    </row>
    <row r="797">
      <c r="C797" s="26"/>
      <c r="D797" s="28"/>
    </row>
    <row r="798">
      <c r="C798" s="26"/>
      <c r="D798" s="28"/>
    </row>
    <row r="799">
      <c r="C799" s="26"/>
      <c r="D799" s="28"/>
    </row>
    <row r="800">
      <c r="C800" s="26"/>
      <c r="D800" s="28"/>
    </row>
    <row r="801">
      <c r="C801" s="26"/>
      <c r="D801" s="28"/>
    </row>
    <row r="802">
      <c r="C802" s="26"/>
      <c r="D802" s="28"/>
    </row>
    <row r="803">
      <c r="C803" s="26"/>
      <c r="D803" s="28"/>
    </row>
    <row r="804">
      <c r="C804" s="26"/>
      <c r="D804" s="28"/>
    </row>
    <row r="805">
      <c r="C805" s="26"/>
      <c r="D805" s="28"/>
    </row>
    <row r="806">
      <c r="C806" s="26"/>
      <c r="D806" s="28"/>
    </row>
    <row r="807">
      <c r="C807" s="26"/>
      <c r="D807" s="28"/>
    </row>
    <row r="808">
      <c r="C808" s="26"/>
      <c r="D808" s="28"/>
    </row>
    <row r="809">
      <c r="C809" s="26"/>
      <c r="D809" s="28"/>
    </row>
    <row r="810">
      <c r="C810" s="26"/>
      <c r="D810" s="28"/>
    </row>
    <row r="811">
      <c r="C811" s="26"/>
      <c r="D811" s="28"/>
    </row>
    <row r="812">
      <c r="C812" s="26"/>
      <c r="D812" s="28"/>
    </row>
    <row r="813">
      <c r="C813" s="26"/>
      <c r="D813" s="28"/>
    </row>
    <row r="814">
      <c r="C814" s="26"/>
      <c r="D814" s="28"/>
    </row>
    <row r="815">
      <c r="C815" s="26"/>
      <c r="D815" s="28"/>
    </row>
    <row r="816">
      <c r="C816" s="26"/>
      <c r="D816" s="28"/>
    </row>
    <row r="817">
      <c r="C817" s="26"/>
      <c r="D817" s="28"/>
    </row>
    <row r="818">
      <c r="C818" s="26"/>
      <c r="D818" s="28"/>
    </row>
    <row r="819">
      <c r="C819" s="26"/>
      <c r="D819" s="28"/>
    </row>
    <row r="820">
      <c r="C820" s="26"/>
      <c r="D820" s="28"/>
    </row>
    <row r="821">
      <c r="C821" s="26"/>
      <c r="D821" s="28"/>
    </row>
    <row r="822">
      <c r="C822" s="26"/>
      <c r="D822" s="28"/>
    </row>
    <row r="823">
      <c r="C823" s="26"/>
      <c r="D823" s="28"/>
    </row>
    <row r="824">
      <c r="C824" s="26"/>
      <c r="D824" s="28"/>
    </row>
    <row r="825">
      <c r="C825" s="26"/>
      <c r="D825" s="28"/>
    </row>
    <row r="826">
      <c r="C826" s="26"/>
      <c r="D826" s="28"/>
    </row>
    <row r="827">
      <c r="C827" s="26"/>
      <c r="D827" s="28"/>
    </row>
    <row r="828">
      <c r="C828" s="26"/>
      <c r="D828" s="28"/>
    </row>
    <row r="829">
      <c r="C829" s="26"/>
      <c r="D829" s="28"/>
    </row>
    <row r="830">
      <c r="C830" s="26"/>
      <c r="D830" s="28"/>
    </row>
    <row r="831">
      <c r="C831" s="26"/>
      <c r="D831" s="28"/>
    </row>
    <row r="832">
      <c r="C832" s="26"/>
      <c r="D832" s="28"/>
    </row>
    <row r="833">
      <c r="C833" s="26"/>
      <c r="D833" s="28"/>
    </row>
    <row r="834">
      <c r="C834" s="26"/>
      <c r="D834" s="28"/>
    </row>
    <row r="835">
      <c r="C835" s="26"/>
      <c r="D835" s="28"/>
    </row>
    <row r="836">
      <c r="C836" s="26"/>
      <c r="D836" s="28"/>
    </row>
    <row r="837">
      <c r="C837" s="26"/>
      <c r="D837" s="28"/>
    </row>
    <row r="838">
      <c r="C838" s="26"/>
      <c r="D838" s="28"/>
    </row>
    <row r="839">
      <c r="C839" s="26"/>
      <c r="D839" s="28"/>
    </row>
    <row r="840">
      <c r="C840" s="26"/>
      <c r="D840" s="28"/>
    </row>
    <row r="841">
      <c r="C841" s="26"/>
      <c r="D841" s="28"/>
    </row>
    <row r="842">
      <c r="C842" s="26"/>
      <c r="D842" s="28"/>
    </row>
    <row r="843">
      <c r="C843" s="26"/>
      <c r="D843" s="28"/>
    </row>
    <row r="844">
      <c r="C844" s="26"/>
      <c r="D844" s="28"/>
    </row>
    <row r="845">
      <c r="C845" s="26"/>
      <c r="D845" s="28"/>
    </row>
    <row r="846">
      <c r="C846" s="26"/>
      <c r="D846" s="28"/>
    </row>
    <row r="847">
      <c r="C847" s="26"/>
      <c r="D847" s="28"/>
    </row>
    <row r="848">
      <c r="C848" s="26"/>
      <c r="D848" s="28"/>
    </row>
    <row r="849">
      <c r="C849" s="26"/>
      <c r="D849" s="28"/>
    </row>
    <row r="850">
      <c r="C850" s="26"/>
      <c r="D850" s="28"/>
    </row>
    <row r="851">
      <c r="C851" s="26"/>
      <c r="D851" s="28"/>
    </row>
    <row r="852">
      <c r="C852" s="26"/>
      <c r="D852" s="28"/>
    </row>
    <row r="853">
      <c r="C853" s="26"/>
      <c r="D853" s="28"/>
    </row>
    <row r="854">
      <c r="C854" s="26"/>
      <c r="D854" s="28"/>
    </row>
    <row r="855">
      <c r="C855" s="26"/>
      <c r="D855" s="28"/>
    </row>
    <row r="856">
      <c r="C856" s="26"/>
      <c r="D856" s="28"/>
    </row>
    <row r="857">
      <c r="C857" s="26"/>
      <c r="D857" s="28"/>
    </row>
    <row r="858">
      <c r="C858" s="26"/>
      <c r="D858" s="28"/>
    </row>
    <row r="859">
      <c r="C859" s="26"/>
      <c r="D859" s="28"/>
    </row>
    <row r="860">
      <c r="C860" s="26"/>
      <c r="D860" s="28"/>
    </row>
    <row r="861">
      <c r="C861" s="26"/>
      <c r="D861" s="28"/>
    </row>
    <row r="862">
      <c r="C862" s="26"/>
      <c r="D862" s="28"/>
    </row>
    <row r="863">
      <c r="C863" s="26"/>
      <c r="D863" s="28"/>
    </row>
    <row r="864">
      <c r="C864" s="26"/>
      <c r="D864" s="28"/>
    </row>
    <row r="865">
      <c r="C865" s="26"/>
      <c r="D865" s="28"/>
    </row>
    <row r="866">
      <c r="C866" s="26"/>
      <c r="D866" s="28"/>
    </row>
    <row r="867">
      <c r="C867" s="26"/>
      <c r="D867" s="28"/>
    </row>
    <row r="868">
      <c r="C868" s="26"/>
      <c r="D868" s="28"/>
    </row>
    <row r="869">
      <c r="C869" s="26"/>
      <c r="D869" s="28"/>
    </row>
    <row r="870">
      <c r="C870" s="26"/>
      <c r="D870" s="28"/>
    </row>
    <row r="871">
      <c r="C871" s="26"/>
      <c r="D871" s="28"/>
    </row>
    <row r="872">
      <c r="C872" s="26"/>
      <c r="D872" s="28"/>
    </row>
    <row r="873">
      <c r="C873" s="26"/>
      <c r="D873" s="28"/>
    </row>
    <row r="874">
      <c r="C874" s="26"/>
      <c r="D874" s="28"/>
    </row>
    <row r="875">
      <c r="C875" s="26"/>
      <c r="D875" s="28"/>
    </row>
    <row r="876">
      <c r="C876" s="26"/>
      <c r="D876" s="28"/>
    </row>
    <row r="877">
      <c r="C877" s="26"/>
      <c r="D877" s="28"/>
    </row>
    <row r="878">
      <c r="C878" s="26"/>
      <c r="D878" s="28"/>
    </row>
    <row r="879">
      <c r="C879" s="26"/>
      <c r="D879" s="28"/>
    </row>
    <row r="880">
      <c r="C880" s="26"/>
      <c r="D880" s="28"/>
    </row>
    <row r="881">
      <c r="C881" s="26"/>
      <c r="D881" s="28"/>
    </row>
    <row r="882">
      <c r="C882" s="26"/>
      <c r="D882" s="28"/>
    </row>
    <row r="883">
      <c r="C883" s="26"/>
      <c r="D883" s="28"/>
    </row>
    <row r="884">
      <c r="C884" s="26"/>
      <c r="D884" s="28"/>
    </row>
    <row r="885">
      <c r="C885" s="26"/>
      <c r="D885" s="28"/>
    </row>
    <row r="886">
      <c r="C886" s="26"/>
      <c r="D886" s="28"/>
    </row>
    <row r="887">
      <c r="C887" s="26"/>
      <c r="D887" s="28"/>
    </row>
    <row r="888">
      <c r="C888" s="26"/>
      <c r="D888" s="28"/>
    </row>
    <row r="889">
      <c r="C889" s="26"/>
      <c r="D889" s="28"/>
    </row>
    <row r="890">
      <c r="C890" s="26"/>
      <c r="D890" s="28"/>
    </row>
    <row r="891">
      <c r="C891" s="26"/>
      <c r="D891" s="28"/>
    </row>
    <row r="892">
      <c r="C892" s="26"/>
      <c r="D892" s="28"/>
    </row>
    <row r="893">
      <c r="C893" s="26"/>
      <c r="D893" s="28"/>
    </row>
    <row r="894">
      <c r="C894" s="26"/>
      <c r="D894" s="28"/>
    </row>
    <row r="895">
      <c r="C895" s="26"/>
      <c r="D895" s="28"/>
    </row>
    <row r="896">
      <c r="C896" s="26"/>
      <c r="D896" s="28"/>
    </row>
    <row r="897">
      <c r="C897" s="26"/>
      <c r="D897" s="28"/>
    </row>
    <row r="898">
      <c r="C898" s="26"/>
      <c r="D898" s="28"/>
    </row>
    <row r="899">
      <c r="C899" s="26"/>
      <c r="D899" s="28"/>
    </row>
    <row r="900">
      <c r="C900" s="26"/>
      <c r="D900" s="28"/>
    </row>
    <row r="901">
      <c r="C901" s="26"/>
      <c r="D901" s="28"/>
    </row>
    <row r="902">
      <c r="C902" s="26"/>
      <c r="D902" s="28"/>
    </row>
    <row r="903">
      <c r="C903" s="26"/>
      <c r="D903" s="28"/>
    </row>
    <row r="904">
      <c r="C904" s="26"/>
      <c r="D904" s="28"/>
    </row>
    <row r="905">
      <c r="C905" s="26"/>
      <c r="D905" s="28"/>
    </row>
    <row r="906">
      <c r="C906" s="26"/>
      <c r="D906" s="28"/>
    </row>
    <row r="907">
      <c r="C907" s="26"/>
      <c r="D907" s="28"/>
    </row>
    <row r="908">
      <c r="C908" s="26"/>
      <c r="D908" s="28"/>
    </row>
    <row r="909">
      <c r="C909" s="26"/>
      <c r="D909" s="28"/>
    </row>
    <row r="910">
      <c r="C910" s="26"/>
      <c r="D910" s="28"/>
    </row>
    <row r="911">
      <c r="C911" s="26"/>
      <c r="D911" s="28"/>
    </row>
    <row r="912">
      <c r="C912" s="26"/>
      <c r="D912" s="28"/>
    </row>
    <row r="913">
      <c r="C913" s="26"/>
      <c r="D913" s="28"/>
    </row>
    <row r="914">
      <c r="C914" s="26"/>
      <c r="D914" s="28"/>
    </row>
    <row r="915">
      <c r="C915" s="26"/>
      <c r="D915" s="28"/>
    </row>
    <row r="916">
      <c r="C916" s="26"/>
      <c r="D916" s="28"/>
    </row>
    <row r="917">
      <c r="C917" s="26"/>
      <c r="D917" s="28"/>
    </row>
    <row r="918">
      <c r="C918" s="26"/>
      <c r="D918" s="28"/>
    </row>
    <row r="919">
      <c r="C919" s="26"/>
      <c r="D919" s="28"/>
    </row>
    <row r="920">
      <c r="C920" s="26"/>
      <c r="D920" s="28"/>
    </row>
    <row r="921">
      <c r="C921" s="26"/>
      <c r="D921" s="28"/>
    </row>
    <row r="922">
      <c r="C922" s="26"/>
      <c r="D922" s="28"/>
    </row>
    <row r="923">
      <c r="C923" s="26"/>
      <c r="D923" s="28"/>
    </row>
    <row r="924">
      <c r="C924" s="26"/>
      <c r="D924" s="28"/>
    </row>
    <row r="925">
      <c r="C925" s="26"/>
      <c r="D925" s="28"/>
    </row>
    <row r="926">
      <c r="C926" s="26"/>
      <c r="D926" s="28"/>
    </row>
    <row r="927">
      <c r="C927" s="26"/>
      <c r="D927" s="28"/>
    </row>
    <row r="928">
      <c r="C928" s="26"/>
      <c r="D928" s="28"/>
    </row>
    <row r="929">
      <c r="C929" s="26"/>
      <c r="D929" s="28"/>
    </row>
    <row r="930">
      <c r="C930" s="26"/>
      <c r="D930" s="28"/>
    </row>
    <row r="931">
      <c r="C931" s="26"/>
      <c r="D931" s="28"/>
    </row>
    <row r="932">
      <c r="C932" s="26"/>
      <c r="D932" s="28"/>
    </row>
    <row r="933">
      <c r="C933" s="26"/>
      <c r="D933" s="28"/>
    </row>
    <row r="934">
      <c r="C934" s="26"/>
      <c r="D934" s="28"/>
    </row>
    <row r="935">
      <c r="C935" s="26"/>
      <c r="D935" s="28"/>
    </row>
    <row r="936">
      <c r="C936" s="26"/>
      <c r="D936" s="28"/>
    </row>
    <row r="937">
      <c r="C937" s="26"/>
      <c r="D937" s="28"/>
    </row>
    <row r="938">
      <c r="C938" s="26"/>
      <c r="D938" s="28"/>
    </row>
    <row r="939">
      <c r="C939" s="26"/>
      <c r="D939" s="28"/>
    </row>
    <row r="940">
      <c r="C940" s="26"/>
      <c r="D940" s="28"/>
    </row>
    <row r="941">
      <c r="C941" s="26"/>
      <c r="D941" s="28"/>
    </row>
    <row r="942">
      <c r="C942" s="26"/>
      <c r="D942" s="28"/>
    </row>
    <row r="943">
      <c r="C943" s="26"/>
      <c r="D943" s="28"/>
    </row>
    <row r="944">
      <c r="C944" s="26"/>
      <c r="D944" s="28"/>
    </row>
    <row r="945">
      <c r="C945" s="26"/>
      <c r="D945" s="28"/>
    </row>
    <row r="946">
      <c r="C946" s="26"/>
      <c r="D946" s="28"/>
    </row>
    <row r="947">
      <c r="C947" s="26"/>
      <c r="D947" s="28"/>
    </row>
    <row r="948">
      <c r="C948" s="26"/>
      <c r="D948" s="28"/>
    </row>
    <row r="949">
      <c r="C949" s="26"/>
      <c r="D949" s="28"/>
    </row>
    <row r="950">
      <c r="C950" s="26"/>
      <c r="D950" s="28"/>
    </row>
    <row r="951">
      <c r="C951" s="26"/>
      <c r="D951" s="28"/>
    </row>
    <row r="952">
      <c r="C952" s="26"/>
      <c r="D952" s="28"/>
    </row>
    <row r="953">
      <c r="C953" s="26"/>
      <c r="D953" s="28"/>
    </row>
    <row r="954">
      <c r="C954" s="26"/>
      <c r="D954" s="28"/>
    </row>
    <row r="955">
      <c r="C955" s="26"/>
      <c r="D955" s="28"/>
    </row>
    <row r="956">
      <c r="C956" s="26"/>
      <c r="D956" s="28"/>
    </row>
    <row r="957">
      <c r="C957" s="26"/>
      <c r="D957" s="28"/>
    </row>
    <row r="958">
      <c r="C958" s="26"/>
      <c r="D958" s="28"/>
    </row>
    <row r="959">
      <c r="C959" s="26"/>
      <c r="D959" s="28"/>
    </row>
    <row r="960">
      <c r="C960" s="26"/>
      <c r="D960" s="28"/>
    </row>
    <row r="961">
      <c r="C961" s="26"/>
      <c r="D961" s="28"/>
    </row>
    <row r="962">
      <c r="C962" s="26"/>
      <c r="D962" s="28"/>
    </row>
    <row r="963">
      <c r="C963" s="26"/>
      <c r="D963" s="28"/>
    </row>
    <row r="964">
      <c r="C964" s="26"/>
      <c r="D964" s="28"/>
    </row>
    <row r="965">
      <c r="C965" s="26"/>
      <c r="D965" s="28"/>
    </row>
    <row r="966">
      <c r="C966" s="26"/>
      <c r="D966" s="28"/>
    </row>
    <row r="967">
      <c r="C967" s="26"/>
      <c r="D967" s="28"/>
    </row>
    <row r="968">
      <c r="C968" s="26"/>
      <c r="D968" s="28"/>
    </row>
    <row r="969">
      <c r="C969" s="26"/>
      <c r="D969" s="28"/>
    </row>
    <row r="970">
      <c r="C970" s="26"/>
      <c r="D970" s="28"/>
    </row>
    <row r="971">
      <c r="C971" s="26"/>
      <c r="D971" s="28"/>
    </row>
    <row r="972">
      <c r="C972" s="26"/>
      <c r="D972" s="28"/>
    </row>
    <row r="973">
      <c r="C973" s="26"/>
      <c r="D973" s="28"/>
    </row>
    <row r="974">
      <c r="C974" s="26"/>
      <c r="D974" s="28"/>
    </row>
    <row r="975">
      <c r="C975" s="26"/>
      <c r="D975" s="28"/>
    </row>
    <row r="976">
      <c r="C976" s="26"/>
      <c r="D976" s="28"/>
    </row>
    <row r="977">
      <c r="C977" s="26"/>
      <c r="D977" s="28"/>
    </row>
    <row r="978">
      <c r="C978" s="26"/>
      <c r="D978" s="28"/>
    </row>
    <row r="979">
      <c r="C979" s="26"/>
      <c r="D979" s="28"/>
    </row>
    <row r="980">
      <c r="C980" s="26"/>
      <c r="D980" s="28"/>
    </row>
    <row r="981">
      <c r="C981" s="26"/>
      <c r="D981" s="28"/>
    </row>
    <row r="982">
      <c r="C982" s="26"/>
      <c r="D982" s="28"/>
    </row>
    <row r="983">
      <c r="C983" s="26"/>
      <c r="D983" s="28"/>
    </row>
    <row r="984">
      <c r="C984" s="26"/>
      <c r="D984" s="28"/>
    </row>
    <row r="985">
      <c r="C985" s="26"/>
      <c r="D985" s="28"/>
    </row>
    <row r="986">
      <c r="C986" s="26"/>
      <c r="D986" s="28"/>
    </row>
    <row r="987">
      <c r="C987" s="26"/>
      <c r="D987" s="28"/>
    </row>
    <row r="988">
      <c r="C988" s="26"/>
      <c r="D988" s="28"/>
    </row>
    <row r="989">
      <c r="C989" s="26"/>
      <c r="D989" s="28"/>
    </row>
    <row r="990">
      <c r="C990" s="26"/>
      <c r="D990" s="28"/>
    </row>
    <row r="991">
      <c r="C991" s="26"/>
      <c r="D991" s="28"/>
    </row>
    <row r="992">
      <c r="C992" s="26"/>
      <c r="D992" s="28"/>
    </row>
    <row r="993">
      <c r="C993" s="26"/>
      <c r="D993" s="28"/>
    </row>
    <row r="994">
      <c r="C994" s="26"/>
      <c r="D994" s="28"/>
    </row>
    <row r="995">
      <c r="C995" s="26"/>
      <c r="D995" s="28"/>
    </row>
    <row r="996">
      <c r="C996" s="26"/>
      <c r="D996" s="28"/>
    </row>
    <row r="997">
      <c r="C997" s="26"/>
      <c r="D997" s="28"/>
    </row>
    <row r="998">
      <c r="C998" s="26"/>
      <c r="D998" s="28"/>
    </row>
    <row r="999">
      <c r="C999" s="26"/>
      <c r="D999" s="28"/>
    </row>
    <row r="1000">
      <c r="C1000" s="26"/>
      <c r="D1000" s="28"/>
    </row>
  </sheetData>
  <dataValidations>
    <dataValidation type="list" allowBlank="1" showErrorMessage="1" sqref="D2:D101">
      <formula1>"TO DO,TRUE,FALSE,SKIP"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0.25"/>
    <col customWidth="1" min="11" max="11" width="17.13"/>
  </cols>
  <sheetData>
    <row r="1">
      <c r="A1" s="34" t="s">
        <v>426</v>
      </c>
      <c r="B1" s="34" t="s">
        <v>427</v>
      </c>
      <c r="C1" s="34" t="s">
        <v>428</v>
      </c>
      <c r="D1" s="34" t="s">
        <v>429</v>
      </c>
      <c r="E1" s="34" t="s">
        <v>430</v>
      </c>
      <c r="F1" s="34" t="s">
        <v>431</v>
      </c>
      <c r="G1" s="34" t="s">
        <v>432</v>
      </c>
      <c r="H1" s="34" t="s">
        <v>433</v>
      </c>
      <c r="I1" s="35" t="s">
        <v>434</v>
      </c>
      <c r="J1" s="34" t="s">
        <v>435</v>
      </c>
      <c r="K1" s="36" t="s">
        <v>436</v>
      </c>
      <c r="L1" s="37"/>
      <c r="M1" s="37"/>
      <c r="N1" s="37"/>
      <c r="O1" s="37"/>
      <c r="P1" s="37"/>
      <c r="Q1" s="37"/>
      <c r="R1" s="37"/>
      <c r="S1" s="37"/>
      <c r="T1" s="37"/>
      <c r="U1" s="37"/>
      <c r="V1" s="37"/>
    </row>
    <row r="2">
      <c r="A2" s="38" t="s">
        <v>159</v>
      </c>
      <c r="B2" s="38" t="s">
        <v>160</v>
      </c>
      <c r="C2" s="38" t="s">
        <v>161</v>
      </c>
      <c r="D2" s="39">
        <v>5.0</v>
      </c>
      <c r="E2" s="39">
        <v>2.0</v>
      </c>
      <c r="F2" s="39">
        <v>7.0</v>
      </c>
      <c r="G2" s="39">
        <v>9.0</v>
      </c>
      <c r="H2" s="39">
        <v>0.555555555555555</v>
      </c>
      <c r="I2" s="40" t="b">
        <v>1</v>
      </c>
      <c r="J2" s="38" t="s">
        <v>437</v>
      </c>
      <c r="K2" s="39" t="s">
        <v>438</v>
      </c>
    </row>
    <row r="3">
      <c r="A3" s="38" t="s">
        <v>138</v>
      </c>
      <c r="B3" s="38" t="s">
        <v>139</v>
      </c>
      <c r="C3" s="38" t="s">
        <v>140</v>
      </c>
      <c r="D3" s="39">
        <v>5.0</v>
      </c>
      <c r="E3" s="39">
        <v>4.0</v>
      </c>
      <c r="F3" s="39">
        <v>1.0</v>
      </c>
      <c r="G3" s="39">
        <v>5.0</v>
      </c>
      <c r="H3" s="39">
        <v>0.6</v>
      </c>
      <c r="I3" s="40" t="b">
        <v>0</v>
      </c>
      <c r="J3" s="38" t="s">
        <v>437</v>
      </c>
      <c r="K3" s="39" t="s">
        <v>439</v>
      </c>
    </row>
    <row r="4">
      <c r="A4" s="38" t="s">
        <v>263</v>
      </c>
      <c r="B4" s="38" t="s">
        <v>303</v>
      </c>
      <c r="C4" s="38" t="s">
        <v>304</v>
      </c>
      <c r="D4" s="39">
        <v>5.0</v>
      </c>
      <c r="E4" s="39">
        <v>8.0</v>
      </c>
      <c r="F4" s="39">
        <v>1.0</v>
      </c>
      <c r="G4" s="39">
        <v>9.0</v>
      </c>
      <c r="H4" s="39">
        <v>0.777777777777777</v>
      </c>
      <c r="I4" s="40" t="b">
        <v>0</v>
      </c>
      <c r="J4" s="38" t="s">
        <v>440</v>
      </c>
      <c r="K4" s="39" t="s">
        <v>441</v>
      </c>
    </row>
    <row r="5">
      <c r="A5" s="38" t="s">
        <v>295</v>
      </c>
      <c r="B5" s="38" t="s">
        <v>296</v>
      </c>
      <c r="C5" s="38" t="s">
        <v>297</v>
      </c>
      <c r="D5" s="39">
        <v>5.0</v>
      </c>
      <c r="E5" s="39">
        <v>4.0</v>
      </c>
      <c r="F5" s="39">
        <v>5.0</v>
      </c>
      <c r="G5" s="39">
        <v>9.0</v>
      </c>
      <c r="H5" s="39">
        <v>0.111111111111111</v>
      </c>
      <c r="I5" s="40" t="b">
        <v>1</v>
      </c>
      <c r="J5" s="38" t="s">
        <v>442</v>
      </c>
      <c r="K5" s="39" t="s">
        <v>443</v>
      </c>
    </row>
    <row r="6">
      <c r="A6" s="38" t="s">
        <v>109</v>
      </c>
      <c r="B6" s="38" t="s">
        <v>350</v>
      </c>
      <c r="C6" s="38" t="s">
        <v>351</v>
      </c>
      <c r="D6" s="39">
        <v>5.0</v>
      </c>
      <c r="E6" s="39">
        <v>4.0</v>
      </c>
      <c r="F6" s="39">
        <v>5.0</v>
      </c>
      <c r="G6" s="39">
        <v>9.0</v>
      </c>
      <c r="H6" s="39">
        <v>0.111111111111111</v>
      </c>
      <c r="I6" s="40" t="b">
        <v>1</v>
      </c>
      <c r="J6" s="38" t="s">
        <v>442</v>
      </c>
      <c r="K6" s="39" t="s">
        <v>444</v>
      </c>
    </row>
    <row r="7">
      <c r="A7" s="38" t="s">
        <v>180</v>
      </c>
      <c r="B7" s="38" t="s">
        <v>181</v>
      </c>
      <c r="C7" s="38" t="s">
        <v>182</v>
      </c>
      <c r="D7" s="39">
        <v>5.0</v>
      </c>
      <c r="E7" s="39">
        <v>1.0</v>
      </c>
      <c r="F7" s="39">
        <v>8.0</v>
      </c>
      <c r="G7" s="39">
        <v>9.0</v>
      </c>
      <c r="H7" s="39">
        <v>0.777777777777777</v>
      </c>
      <c r="I7" s="40" t="b">
        <v>1</v>
      </c>
      <c r="J7" s="38" t="s">
        <v>440</v>
      </c>
      <c r="K7" s="39" t="s">
        <v>445</v>
      </c>
    </row>
    <row r="8">
      <c r="A8" s="38" t="s">
        <v>123</v>
      </c>
      <c r="B8" s="38" t="s">
        <v>124</v>
      </c>
      <c r="C8" s="38" t="s">
        <v>125</v>
      </c>
      <c r="D8" s="39">
        <v>5.0</v>
      </c>
      <c r="E8" s="39">
        <v>4.0</v>
      </c>
      <c r="F8" s="39">
        <v>5.0</v>
      </c>
      <c r="G8" s="39">
        <v>9.0</v>
      </c>
      <c r="H8" s="39">
        <v>0.111111111111111</v>
      </c>
      <c r="I8" s="40" t="b">
        <v>1</v>
      </c>
      <c r="J8" s="38" t="s">
        <v>442</v>
      </c>
      <c r="K8" s="39" t="s">
        <v>438</v>
      </c>
    </row>
    <row r="9">
      <c r="A9" s="38" t="s">
        <v>266</v>
      </c>
      <c r="B9" s="38" t="s">
        <v>267</v>
      </c>
      <c r="C9" s="38" t="s">
        <v>268</v>
      </c>
      <c r="D9" s="39">
        <v>5.0</v>
      </c>
      <c r="E9" s="39">
        <v>2.0</v>
      </c>
      <c r="F9" s="39">
        <v>7.0</v>
      </c>
      <c r="G9" s="39">
        <v>9.0</v>
      </c>
      <c r="H9" s="39">
        <v>0.555555555555555</v>
      </c>
      <c r="I9" s="40" t="b">
        <v>1</v>
      </c>
      <c r="J9" s="38" t="s">
        <v>437</v>
      </c>
      <c r="K9" s="39" t="s">
        <v>446</v>
      </c>
    </row>
    <row r="10">
      <c r="A10" s="38" t="s">
        <v>239</v>
      </c>
      <c r="B10" s="38" t="s">
        <v>240</v>
      </c>
      <c r="C10" s="38" t="s">
        <v>241</v>
      </c>
      <c r="D10" s="39">
        <v>5.0</v>
      </c>
      <c r="E10" s="39">
        <v>8.0</v>
      </c>
      <c r="F10" s="39">
        <v>1.0</v>
      </c>
      <c r="G10" s="39">
        <v>9.0</v>
      </c>
      <c r="H10" s="39">
        <v>0.777777777777777</v>
      </c>
      <c r="I10" s="40" t="b">
        <v>0</v>
      </c>
      <c r="J10" s="38" t="s">
        <v>440</v>
      </c>
      <c r="K10" s="39" t="s">
        <v>438</v>
      </c>
    </row>
    <row r="11">
      <c r="A11" s="38" t="s">
        <v>171</v>
      </c>
      <c r="B11" s="38" t="s">
        <v>172</v>
      </c>
      <c r="C11" s="38" t="s">
        <v>173</v>
      </c>
      <c r="D11" s="39">
        <v>5.0</v>
      </c>
      <c r="E11" s="39">
        <v>9.0</v>
      </c>
      <c r="F11" s="39">
        <v>0.0</v>
      </c>
      <c r="G11" s="39">
        <v>9.0</v>
      </c>
      <c r="H11" s="39">
        <v>1.0</v>
      </c>
      <c r="I11" s="40" t="b">
        <v>0</v>
      </c>
      <c r="J11" s="38" t="s">
        <v>447</v>
      </c>
      <c r="K11" s="39" t="s">
        <v>438</v>
      </c>
    </row>
    <row r="12">
      <c r="A12" s="38" t="s">
        <v>94</v>
      </c>
      <c r="B12" s="38" t="s">
        <v>95</v>
      </c>
      <c r="C12" s="38" t="s">
        <v>96</v>
      </c>
      <c r="D12" s="39">
        <v>5.0</v>
      </c>
      <c r="E12" s="39">
        <v>6.0</v>
      </c>
      <c r="F12" s="39">
        <v>3.0</v>
      </c>
      <c r="G12" s="39">
        <v>9.0</v>
      </c>
      <c r="H12" s="39">
        <v>0.333333333333333</v>
      </c>
      <c r="I12" s="40" t="b">
        <v>0</v>
      </c>
      <c r="J12" s="38" t="s">
        <v>448</v>
      </c>
      <c r="K12" s="39" t="s">
        <v>438</v>
      </c>
    </row>
    <row r="13">
      <c r="A13" s="38" t="s">
        <v>271</v>
      </c>
      <c r="B13" s="38" t="s">
        <v>272</v>
      </c>
      <c r="C13" s="38" t="s">
        <v>273</v>
      </c>
      <c r="D13" s="39">
        <v>5.0</v>
      </c>
      <c r="E13" s="39">
        <v>0.0</v>
      </c>
      <c r="F13" s="39">
        <v>3.0</v>
      </c>
      <c r="G13" s="39">
        <v>3.0</v>
      </c>
      <c r="H13" s="39">
        <v>1.0</v>
      </c>
      <c r="I13" s="40" t="b">
        <v>1</v>
      </c>
      <c r="J13" s="38" t="s">
        <v>447</v>
      </c>
      <c r="K13" s="39" t="s">
        <v>449</v>
      </c>
    </row>
    <row r="14">
      <c r="A14" s="38" t="s">
        <v>355</v>
      </c>
      <c r="B14" s="38" t="s">
        <v>356</v>
      </c>
      <c r="C14" s="38" t="s">
        <v>357</v>
      </c>
      <c r="D14" s="39">
        <v>5.0</v>
      </c>
      <c r="E14" s="39">
        <v>1.0</v>
      </c>
      <c r="F14" s="39">
        <v>5.0</v>
      </c>
      <c r="G14" s="39">
        <v>6.0</v>
      </c>
      <c r="H14" s="39">
        <v>0.666666666666666</v>
      </c>
      <c r="I14" s="40" t="b">
        <v>1</v>
      </c>
      <c r="J14" s="38" t="s">
        <v>440</v>
      </c>
      <c r="K14" s="39" t="s">
        <v>438</v>
      </c>
    </row>
    <row r="15">
      <c r="A15" s="38" t="s">
        <v>206</v>
      </c>
      <c r="B15" s="38" t="s">
        <v>342</v>
      </c>
      <c r="C15" s="38" t="s">
        <v>343</v>
      </c>
      <c r="D15" s="39">
        <v>5.0</v>
      </c>
      <c r="E15" s="39">
        <v>8.0</v>
      </c>
      <c r="F15" s="39">
        <v>1.0</v>
      </c>
      <c r="G15" s="39">
        <v>9.0</v>
      </c>
      <c r="H15" s="39">
        <v>0.777777777777777</v>
      </c>
      <c r="I15" s="40" t="b">
        <v>0</v>
      </c>
      <c r="J15" s="38" t="s">
        <v>440</v>
      </c>
      <c r="K15" s="39" t="s">
        <v>445</v>
      </c>
    </row>
    <row r="16">
      <c r="A16" s="38" t="s">
        <v>206</v>
      </c>
      <c r="B16" s="38" t="s">
        <v>207</v>
      </c>
      <c r="C16" s="38" t="s">
        <v>208</v>
      </c>
      <c r="D16" s="39">
        <v>5.0</v>
      </c>
      <c r="E16" s="39">
        <v>0.0</v>
      </c>
      <c r="F16" s="39">
        <v>6.0</v>
      </c>
      <c r="G16" s="39">
        <v>6.0</v>
      </c>
      <c r="H16" s="39">
        <v>1.0</v>
      </c>
      <c r="I16" s="40" t="b">
        <v>1</v>
      </c>
      <c r="J16" s="38" t="s">
        <v>447</v>
      </c>
      <c r="K16" s="39" t="s">
        <v>438</v>
      </c>
    </row>
    <row r="17">
      <c r="A17" s="38" t="s">
        <v>174</v>
      </c>
      <c r="B17" s="38" t="s">
        <v>214</v>
      </c>
      <c r="C17" s="38" t="s">
        <v>215</v>
      </c>
      <c r="D17" s="39">
        <v>5.0</v>
      </c>
      <c r="E17" s="39">
        <v>8.0</v>
      </c>
      <c r="F17" s="39">
        <v>1.0</v>
      </c>
      <c r="G17" s="39">
        <v>9.0</v>
      </c>
      <c r="H17" s="39">
        <v>0.777777777777777</v>
      </c>
      <c r="I17" s="40" t="b">
        <v>0</v>
      </c>
      <c r="J17" s="38" t="s">
        <v>440</v>
      </c>
      <c r="K17" s="39" t="s">
        <v>438</v>
      </c>
    </row>
    <row r="18">
      <c r="A18" s="38" t="s">
        <v>109</v>
      </c>
      <c r="B18" s="38" t="s">
        <v>269</v>
      </c>
      <c r="C18" s="38" t="s">
        <v>270</v>
      </c>
      <c r="D18" s="39">
        <v>5.0</v>
      </c>
      <c r="E18" s="39">
        <v>1.0</v>
      </c>
      <c r="F18" s="39">
        <v>2.0</v>
      </c>
      <c r="G18" s="39">
        <v>3.0</v>
      </c>
      <c r="H18" s="39">
        <v>0.333333333333333</v>
      </c>
      <c r="I18" s="40" t="b">
        <v>1</v>
      </c>
      <c r="J18" s="38" t="s">
        <v>448</v>
      </c>
      <c r="K18" s="39" t="s">
        <v>450</v>
      </c>
    </row>
    <row r="19">
      <c r="A19" s="38" t="s">
        <v>231</v>
      </c>
      <c r="B19" s="38" t="s">
        <v>232</v>
      </c>
      <c r="C19" s="38" t="s">
        <v>233</v>
      </c>
      <c r="D19" s="39">
        <v>5.0</v>
      </c>
      <c r="E19" s="39">
        <v>2.0</v>
      </c>
      <c r="F19" s="39">
        <v>7.0</v>
      </c>
      <c r="G19" s="39">
        <v>9.0</v>
      </c>
      <c r="H19" s="39">
        <v>0.555555555555555</v>
      </c>
      <c r="I19" s="40" t="b">
        <v>1</v>
      </c>
      <c r="J19" s="38" t="s">
        <v>437</v>
      </c>
      <c r="K19" s="39" t="s">
        <v>443</v>
      </c>
    </row>
    <row r="20">
      <c r="A20" s="38" t="s">
        <v>300</v>
      </c>
      <c r="B20" s="38" t="s">
        <v>301</v>
      </c>
      <c r="C20" s="38" t="s">
        <v>302</v>
      </c>
      <c r="D20" s="39">
        <v>5.0</v>
      </c>
      <c r="E20" s="39">
        <v>2.0</v>
      </c>
      <c r="F20" s="39">
        <v>2.0</v>
      </c>
      <c r="G20" s="39">
        <v>4.0</v>
      </c>
      <c r="H20" s="39">
        <v>0.0</v>
      </c>
      <c r="I20" s="40" t="s">
        <v>451</v>
      </c>
      <c r="J20" s="38" t="s">
        <v>442</v>
      </c>
      <c r="K20" s="39" t="s">
        <v>452</v>
      </c>
    </row>
    <row r="21">
      <c r="A21" s="38" t="s">
        <v>305</v>
      </c>
      <c r="B21" s="38" t="s">
        <v>306</v>
      </c>
      <c r="C21" s="38" t="s">
        <v>307</v>
      </c>
      <c r="D21" s="39">
        <v>5.0</v>
      </c>
      <c r="E21" s="39">
        <v>2.0</v>
      </c>
      <c r="F21" s="39">
        <v>2.0</v>
      </c>
      <c r="G21" s="39">
        <v>4.0</v>
      </c>
      <c r="H21" s="39">
        <v>0.0</v>
      </c>
      <c r="I21" s="40" t="s">
        <v>451</v>
      </c>
      <c r="J21" s="38" t="s">
        <v>442</v>
      </c>
      <c r="K21" s="39" t="s">
        <v>444</v>
      </c>
    </row>
    <row r="22">
      <c r="A22" s="38" t="s">
        <v>251</v>
      </c>
      <c r="B22" s="38" t="s">
        <v>252</v>
      </c>
      <c r="C22" s="38" t="s">
        <v>253</v>
      </c>
      <c r="D22" s="39">
        <v>5.0</v>
      </c>
      <c r="E22" s="39">
        <v>2.0</v>
      </c>
      <c r="F22" s="39">
        <v>2.0</v>
      </c>
      <c r="G22" s="39">
        <v>4.0</v>
      </c>
      <c r="H22" s="39">
        <v>0.0</v>
      </c>
      <c r="I22" s="40" t="s">
        <v>451</v>
      </c>
      <c r="J22" s="38" t="s">
        <v>442</v>
      </c>
      <c r="K22" s="39" t="s">
        <v>449</v>
      </c>
    </row>
    <row r="23">
      <c r="A23" s="38" t="s">
        <v>97</v>
      </c>
      <c r="B23" s="38" t="s">
        <v>98</v>
      </c>
      <c r="C23" s="38" t="s">
        <v>99</v>
      </c>
      <c r="D23" s="39">
        <v>5.0</v>
      </c>
      <c r="E23" s="39">
        <v>3.0</v>
      </c>
      <c r="F23" s="39">
        <v>1.0</v>
      </c>
      <c r="G23" s="39">
        <v>4.0</v>
      </c>
      <c r="H23" s="39">
        <v>0.5</v>
      </c>
      <c r="I23" s="40" t="b">
        <v>0</v>
      </c>
      <c r="J23" s="38" t="s">
        <v>437</v>
      </c>
      <c r="K23" s="39" t="s">
        <v>438</v>
      </c>
    </row>
    <row r="24">
      <c r="A24" s="38" t="s">
        <v>165</v>
      </c>
      <c r="B24" s="38" t="s">
        <v>276</v>
      </c>
      <c r="C24" s="38" t="s">
        <v>277</v>
      </c>
      <c r="D24" s="39">
        <v>5.0</v>
      </c>
      <c r="E24" s="39">
        <v>6.0</v>
      </c>
      <c r="F24" s="39">
        <v>3.0</v>
      </c>
      <c r="G24" s="39">
        <v>9.0</v>
      </c>
      <c r="H24" s="39">
        <v>0.333333333333333</v>
      </c>
      <c r="I24" s="40" t="b">
        <v>0</v>
      </c>
      <c r="J24" s="38" t="s">
        <v>448</v>
      </c>
      <c r="K24" s="39" t="s">
        <v>449</v>
      </c>
    </row>
    <row r="25">
      <c r="A25" s="38" t="s">
        <v>109</v>
      </c>
      <c r="B25" s="38" t="s">
        <v>110</v>
      </c>
      <c r="C25" s="38" t="s">
        <v>111</v>
      </c>
      <c r="D25" s="39">
        <v>5.0</v>
      </c>
      <c r="E25" s="39">
        <v>8.0</v>
      </c>
      <c r="F25" s="39">
        <v>1.0</v>
      </c>
      <c r="G25" s="39">
        <v>9.0</v>
      </c>
      <c r="H25" s="39">
        <v>0.777777777777777</v>
      </c>
      <c r="I25" s="40" t="b">
        <v>0</v>
      </c>
      <c r="J25" s="38" t="s">
        <v>440</v>
      </c>
      <c r="K25" s="39" t="s">
        <v>450</v>
      </c>
    </row>
    <row r="26">
      <c r="A26" s="38" t="s">
        <v>133</v>
      </c>
      <c r="B26" s="38" t="s">
        <v>134</v>
      </c>
      <c r="C26" s="38" t="s">
        <v>135</v>
      </c>
      <c r="D26" s="39">
        <v>5.0</v>
      </c>
      <c r="E26" s="39">
        <v>3.0</v>
      </c>
      <c r="F26" s="39">
        <v>7.0</v>
      </c>
      <c r="G26" s="39">
        <v>10.0</v>
      </c>
      <c r="H26" s="39">
        <v>0.4</v>
      </c>
      <c r="I26" s="40" t="b">
        <v>1</v>
      </c>
      <c r="J26" s="38" t="s">
        <v>448</v>
      </c>
      <c r="K26" s="39" t="s">
        <v>446</v>
      </c>
    </row>
    <row r="27">
      <c r="A27" s="38" t="s">
        <v>162</v>
      </c>
      <c r="B27" s="38" t="s">
        <v>163</v>
      </c>
      <c r="C27" s="38" t="s">
        <v>164</v>
      </c>
      <c r="D27" s="39">
        <v>5.0</v>
      </c>
      <c r="E27" s="39">
        <v>3.0</v>
      </c>
      <c r="F27" s="39">
        <v>6.0</v>
      </c>
      <c r="G27" s="39">
        <v>9.0</v>
      </c>
      <c r="H27" s="39">
        <v>0.333333333333333</v>
      </c>
      <c r="I27" s="40" t="b">
        <v>1</v>
      </c>
      <c r="J27" s="38" t="s">
        <v>448</v>
      </c>
      <c r="K27" s="39" t="s">
        <v>438</v>
      </c>
    </row>
    <row r="28">
      <c r="A28" s="38" t="s">
        <v>91</v>
      </c>
      <c r="B28" s="38" t="s">
        <v>104</v>
      </c>
      <c r="C28" s="38" t="s">
        <v>105</v>
      </c>
      <c r="D28" s="39">
        <v>5.0</v>
      </c>
      <c r="E28" s="39">
        <v>9.0</v>
      </c>
      <c r="F28" s="39">
        <v>0.0</v>
      </c>
      <c r="G28" s="39">
        <v>9.0</v>
      </c>
      <c r="H28" s="39">
        <v>1.0</v>
      </c>
      <c r="I28" s="40" t="b">
        <v>0</v>
      </c>
      <c r="J28" s="38" t="s">
        <v>447</v>
      </c>
      <c r="K28" s="39" t="s">
        <v>438</v>
      </c>
    </row>
    <row r="29">
      <c r="A29" s="38" t="s">
        <v>284</v>
      </c>
      <c r="B29" s="38" t="s">
        <v>285</v>
      </c>
      <c r="C29" s="38" t="s">
        <v>286</v>
      </c>
      <c r="D29" s="39">
        <v>5.0</v>
      </c>
      <c r="E29" s="39">
        <v>2.0</v>
      </c>
      <c r="F29" s="39">
        <v>7.0</v>
      </c>
      <c r="G29" s="39">
        <v>9.0</v>
      </c>
      <c r="H29" s="39">
        <v>0.555555555555555</v>
      </c>
      <c r="I29" s="40" t="b">
        <v>1</v>
      </c>
      <c r="J29" s="38" t="s">
        <v>437</v>
      </c>
      <c r="K29" s="39" t="s">
        <v>438</v>
      </c>
    </row>
    <row r="30">
      <c r="A30" s="38" t="s">
        <v>112</v>
      </c>
      <c r="B30" s="38" t="s">
        <v>113</v>
      </c>
      <c r="C30" s="38" t="s">
        <v>114</v>
      </c>
      <c r="D30" s="39">
        <v>5.0</v>
      </c>
      <c r="E30" s="39">
        <v>1.0</v>
      </c>
      <c r="F30" s="39">
        <v>8.0</v>
      </c>
      <c r="G30" s="39">
        <v>9.0</v>
      </c>
      <c r="H30" s="39">
        <v>0.777777777777777</v>
      </c>
      <c r="I30" s="40" t="b">
        <v>1</v>
      </c>
      <c r="J30" s="38" t="s">
        <v>440</v>
      </c>
      <c r="K30" s="39" t="s">
        <v>438</v>
      </c>
    </row>
    <row r="31">
      <c r="A31" s="38" t="s">
        <v>287</v>
      </c>
      <c r="B31" s="38" t="s">
        <v>288</v>
      </c>
      <c r="C31" s="38" t="s">
        <v>289</v>
      </c>
      <c r="D31" s="39">
        <v>5.0</v>
      </c>
      <c r="E31" s="39">
        <v>1.0</v>
      </c>
      <c r="F31" s="39">
        <v>8.0</v>
      </c>
      <c r="G31" s="39">
        <v>9.0</v>
      </c>
      <c r="H31" s="39">
        <v>0.777777777777777</v>
      </c>
      <c r="I31" s="40" t="b">
        <v>1</v>
      </c>
      <c r="J31" s="38" t="s">
        <v>440</v>
      </c>
      <c r="K31" s="39" t="s">
        <v>438</v>
      </c>
    </row>
    <row r="32">
      <c r="A32" s="38" t="s">
        <v>88</v>
      </c>
      <c r="B32" s="38" t="s">
        <v>89</v>
      </c>
      <c r="C32" s="38" t="s">
        <v>90</v>
      </c>
      <c r="D32" s="39">
        <v>5.0</v>
      </c>
      <c r="E32" s="39">
        <v>2.0</v>
      </c>
      <c r="F32" s="39">
        <v>1.0</v>
      </c>
      <c r="G32" s="39">
        <v>3.0</v>
      </c>
      <c r="H32" s="39">
        <v>0.333333333333333</v>
      </c>
      <c r="I32" s="40" t="b">
        <v>0</v>
      </c>
      <c r="J32" s="38" t="s">
        <v>448</v>
      </c>
      <c r="K32" s="39" t="s">
        <v>438</v>
      </c>
    </row>
    <row r="33">
      <c r="A33" s="38" t="s">
        <v>109</v>
      </c>
      <c r="B33" s="38" t="s">
        <v>261</v>
      </c>
      <c r="C33" s="38" t="s">
        <v>262</v>
      </c>
      <c r="D33" s="39">
        <v>5.0</v>
      </c>
      <c r="E33" s="39">
        <v>6.0</v>
      </c>
      <c r="F33" s="39">
        <v>3.0</v>
      </c>
      <c r="G33" s="39">
        <v>9.0</v>
      </c>
      <c r="H33" s="39">
        <v>0.333333333333333</v>
      </c>
      <c r="I33" s="40" t="b">
        <v>0</v>
      </c>
      <c r="J33" s="38" t="s">
        <v>448</v>
      </c>
      <c r="K33" s="39" t="s">
        <v>443</v>
      </c>
    </row>
    <row r="34">
      <c r="A34" s="38" t="s">
        <v>243</v>
      </c>
      <c r="B34" s="38" t="s">
        <v>244</v>
      </c>
      <c r="C34" s="38" t="s">
        <v>245</v>
      </c>
      <c r="D34" s="39">
        <v>5.0</v>
      </c>
      <c r="E34" s="39">
        <v>7.0</v>
      </c>
      <c r="F34" s="39">
        <v>2.0</v>
      </c>
      <c r="G34" s="39">
        <v>9.0</v>
      </c>
      <c r="H34" s="39">
        <v>0.555555555555555</v>
      </c>
      <c r="I34" s="40" t="b">
        <v>0</v>
      </c>
      <c r="J34" s="38" t="s">
        <v>437</v>
      </c>
      <c r="K34" s="39" t="s">
        <v>438</v>
      </c>
    </row>
    <row r="35">
      <c r="A35" s="38" t="s">
        <v>344</v>
      </c>
      <c r="B35" s="38" t="s">
        <v>345</v>
      </c>
      <c r="C35" s="38" t="s">
        <v>346</v>
      </c>
      <c r="D35" s="39">
        <v>5.0</v>
      </c>
      <c r="E35" s="39">
        <v>9.0</v>
      </c>
      <c r="F35" s="39">
        <v>0.0</v>
      </c>
      <c r="G35" s="39">
        <v>9.0</v>
      </c>
      <c r="H35" s="39">
        <v>1.0</v>
      </c>
      <c r="I35" s="40" t="b">
        <v>0</v>
      </c>
      <c r="J35" s="38" t="s">
        <v>447</v>
      </c>
      <c r="K35" s="39" t="s">
        <v>438</v>
      </c>
    </row>
    <row r="36">
      <c r="A36" s="38" t="s">
        <v>129</v>
      </c>
      <c r="B36" s="38" t="s">
        <v>130</v>
      </c>
      <c r="C36" s="38" t="s">
        <v>131</v>
      </c>
      <c r="D36" s="39">
        <v>5.0</v>
      </c>
      <c r="E36" s="39">
        <v>3.0</v>
      </c>
      <c r="F36" s="39">
        <v>2.0</v>
      </c>
      <c r="G36" s="39">
        <v>5.0</v>
      </c>
      <c r="H36" s="39">
        <v>0.2</v>
      </c>
      <c r="I36" s="40" t="b">
        <v>0</v>
      </c>
      <c r="J36" s="38" t="s">
        <v>442</v>
      </c>
      <c r="K36" s="39" t="s">
        <v>441</v>
      </c>
    </row>
    <row r="37">
      <c r="A37" s="38" t="s">
        <v>153</v>
      </c>
      <c r="B37" s="38" t="s">
        <v>154</v>
      </c>
      <c r="C37" s="38" t="s">
        <v>155</v>
      </c>
      <c r="D37" s="39">
        <v>5.0</v>
      </c>
      <c r="E37" s="39">
        <v>5.0</v>
      </c>
      <c r="F37" s="39">
        <v>4.0</v>
      </c>
      <c r="G37" s="39">
        <v>9.0</v>
      </c>
      <c r="H37" s="39">
        <v>0.111111111111111</v>
      </c>
      <c r="I37" s="40" t="b">
        <v>0</v>
      </c>
      <c r="J37" s="38" t="s">
        <v>442</v>
      </c>
      <c r="K37" s="39" t="s">
        <v>438</v>
      </c>
    </row>
    <row r="38">
      <c r="A38" s="38" t="s">
        <v>198</v>
      </c>
      <c r="B38" s="38" t="s">
        <v>199</v>
      </c>
      <c r="C38" s="38" t="s">
        <v>200</v>
      </c>
      <c r="D38" s="39">
        <v>5.0</v>
      </c>
      <c r="E38" s="39">
        <v>0.0</v>
      </c>
      <c r="F38" s="39">
        <v>9.0</v>
      </c>
      <c r="G38" s="39">
        <v>9.0</v>
      </c>
      <c r="H38" s="39">
        <v>1.0</v>
      </c>
      <c r="I38" s="40" t="b">
        <v>1</v>
      </c>
      <c r="J38" s="38" t="s">
        <v>447</v>
      </c>
      <c r="K38" s="39" t="s">
        <v>438</v>
      </c>
    </row>
    <row r="39">
      <c r="A39" s="38" t="s">
        <v>101</v>
      </c>
      <c r="B39" s="38" t="s">
        <v>102</v>
      </c>
      <c r="C39" s="38" t="s">
        <v>103</v>
      </c>
      <c r="D39" s="39">
        <v>5.0</v>
      </c>
      <c r="E39" s="39">
        <v>1.0</v>
      </c>
      <c r="F39" s="39">
        <v>8.0</v>
      </c>
      <c r="G39" s="39">
        <v>9.0</v>
      </c>
      <c r="H39" s="39">
        <v>0.777777777777777</v>
      </c>
      <c r="I39" s="40" t="b">
        <v>1</v>
      </c>
      <c r="J39" s="38" t="s">
        <v>440</v>
      </c>
      <c r="K39" s="39" t="s">
        <v>453</v>
      </c>
    </row>
    <row r="40">
      <c r="A40" s="38" t="s">
        <v>115</v>
      </c>
      <c r="B40" s="38" t="s">
        <v>116</v>
      </c>
      <c r="C40" s="38" t="s">
        <v>117</v>
      </c>
      <c r="D40" s="39">
        <v>5.0</v>
      </c>
      <c r="E40" s="39">
        <v>5.0</v>
      </c>
      <c r="F40" s="39">
        <v>4.0</v>
      </c>
      <c r="G40" s="39">
        <v>9.0</v>
      </c>
      <c r="H40" s="39">
        <v>0.111111111111111</v>
      </c>
      <c r="I40" s="40" t="b">
        <v>0</v>
      </c>
      <c r="J40" s="38" t="s">
        <v>442</v>
      </c>
      <c r="K40" s="39" t="s">
        <v>438</v>
      </c>
    </row>
    <row r="41">
      <c r="A41" s="38" t="s">
        <v>177</v>
      </c>
      <c r="B41" s="38" t="s">
        <v>315</v>
      </c>
      <c r="C41" s="38" t="s">
        <v>316</v>
      </c>
      <c r="D41" s="39">
        <v>5.0</v>
      </c>
      <c r="E41" s="39">
        <v>7.0</v>
      </c>
      <c r="F41" s="39">
        <v>3.0</v>
      </c>
      <c r="G41" s="39">
        <v>10.0</v>
      </c>
      <c r="H41" s="39">
        <v>0.4</v>
      </c>
      <c r="I41" s="40" t="b">
        <v>0</v>
      </c>
      <c r="J41" s="38" t="s">
        <v>448</v>
      </c>
      <c r="K41" s="39" t="s">
        <v>438</v>
      </c>
    </row>
    <row r="42">
      <c r="A42" s="38" t="s">
        <v>189</v>
      </c>
      <c r="B42" s="38" t="s">
        <v>190</v>
      </c>
      <c r="C42" s="38" t="s">
        <v>191</v>
      </c>
      <c r="D42" s="39">
        <v>5.0</v>
      </c>
      <c r="E42" s="39">
        <v>8.0</v>
      </c>
      <c r="F42" s="39">
        <v>1.0</v>
      </c>
      <c r="G42" s="39">
        <v>9.0</v>
      </c>
      <c r="H42" s="39">
        <v>0.777777777777777</v>
      </c>
      <c r="I42" s="40" t="b">
        <v>0</v>
      </c>
      <c r="J42" s="38" t="s">
        <v>440</v>
      </c>
      <c r="K42" s="39" t="s">
        <v>452</v>
      </c>
    </row>
    <row r="43">
      <c r="A43" s="38" t="s">
        <v>327</v>
      </c>
      <c r="B43" s="38" t="s">
        <v>328</v>
      </c>
      <c r="C43" s="38" t="s">
        <v>329</v>
      </c>
      <c r="D43" s="39">
        <v>5.0</v>
      </c>
      <c r="E43" s="39">
        <v>5.0</v>
      </c>
      <c r="F43" s="39">
        <v>4.0</v>
      </c>
      <c r="G43" s="39">
        <v>9.0</v>
      </c>
      <c r="H43" s="39">
        <v>0.111111111111111</v>
      </c>
      <c r="I43" s="40" t="b">
        <v>0</v>
      </c>
      <c r="J43" s="38" t="s">
        <v>442</v>
      </c>
      <c r="K43" s="39" t="s">
        <v>438</v>
      </c>
    </row>
    <row r="44">
      <c r="A44" s="38" t="s">
        <v>97</v>
      </c>
      <c r="B44" s="38" t="s">
        <v>249</v>
      </c>
      <c r="C44" s="38" t="s">
        <v>250</v>
      </c>
      <c r="D44" s="39">
        <v>5.0</v>
      </c>
      <c r="E44" s="39">
        <v>4.0</v>
      </c>
      <c r="F44" s="39">
        <v>5.0</v>
      </c>
      <c r="G44" s="39">
        <v>9.0</v>
      </c>
      <c r="H44" s="39">
        <v>0.111111111111111</v>
      </c>
      <c r="I44" s="40" t="b">
        <v>1</v>
      </c>
      <c r="J44" s="38" t="s">
        <v>442</v>
      </c>
      <c r="K44" s="39" t="s">
        <v>438</v>
      </c>
    </row>
    <row r="45">
      <c r="A45" s="38" t="s">
        <v>174</v>
      </c>
      <c r="B45" s="38" t="s">
        <v>175</v>
      </c>
      <c r="C45" s="38" t="s">
        <v>176</v>
      </c>
      <c r="D45" s="39">
        <v>5.0</v>
      </c>
      <c r="E45" s="39">
        <v>0.0</v>
      </c>
      <c r="F45" s="39">
        <v>5.0</v>
      </c>
      <c r="G45" s="39">
        <v>5.0</v>
      </c>
      <c r="H45" s="39">
        <v>1.0</v>
      </c>
      <c r="I45" s="40" t="b">
        <v>1</v>
      </c>
      <c r="J45" s="38" t="s">
        <v>447</v>
      </c>
      <c r="K45" s="39" t="s">
        <v>438</v>
      </c>
    </row>
    <row r="46">
      <c r="A46" s="38" t="s">
        <v>91</v>
      </c>
      <c r="B46" s="38" t="s">
        <v>237</v>
      </c>
      <c r="C46" s="38" t="s">
        <v>238</v>
      </c>
      <c r="D46" s="39">
        <v>5.0</v>
      </c>
      <c r="E46" s="39">
        <v>3.0</v>
      </c>
      <c r="F46" s="39">
        <v>0.0</v>
      </c>
      <c r="G46" s="39">
        <v>3.0</v>
      </c>
      <c r="H46" s="39">
        <v>1.0</v>
      </c>
      <c r="I46" s="40" t="b">
        <v>0</v>
      </c>
      <c r="J46" s="38" t="s">
        <v>447</v>
      </c>
      <c r="K46" s="39" t="s">
        <v>438</v>
      </c>
    </row>
    <row r="47">
      <c r="A47" s="38" t="s">
        <v>263</v>
      </c>
      <c r="B47" s="38" t="s">
        <v>264</v>
      </c>
      <c r="C47" s="38" t="s">
        <v>265</v>
      </c>
      <c r="D47" s="39">
        <v>5.0</v>
      </c>
      <c r="E47" s="39">
        <v>4.0</v>
      </c>
      <c r="F47" s="39">
        <v>5.0</v>
      </c>
      <c r="G47" s="39">
        <v>9.0</v>
      </c>
      <c r="H47" s="39">
        <v>0.111111111111111</v>
      </c>
      <c r="I47" s="40" t="b">
        <v>1</v>
      </c>
      <c r="J47" s="38" t="s">
        <v>442</v>
      </c>
      <c r="K47" s="39" t="s">
        <v>439</v>
      </c>
    </row>
    <row r="48">
      <c r="A48" s="38" t="s">
        <v>295</v>
      </c>
      <c r="B48" s="38" t="s">
        <v>322</v>
      </c>
      <c r="C48" s="38" t="s">
        <v>323</v>
      </c>
      <c r="D48" s="39">
        <v>5.0</v>
      </c>
      <c r="E48" s="39">
        <v>1.0</v>
      </c>
      <c r="F48" s="39">
        <v>8.0</v>
      </c>
      <c r="G48" s="39">
        <v>9.0</v>
      </c>
      <c r="H48" s="39">
        <v>0.777777777777777</v>
      </c>
      <c r="I48" s="40" t="b">
        <v>1</v>
      </c>
      <c r="J48" s="38" t="s">
        <v>440</v>
      </c>
      <c r="K48" s="39" t="s">
        <v>438</v>
      </c>
    </row>
    <row r="49">
      <c r="A49" s="38" t="s">
        <v>165</v>
      </c>
      <c r="B49" s="38" t="s">
        <v>254</v>
      </c>
      <c r="C49" s="38" t="s">
        <v>255</v>
      </c>
      <c r="D49" s="39">
        <v>5.0</v>
      </c>
      <c r="E49" s="39">
        <v>3.0</v>
      </c>
      <c r="F49" s="39">
        <v>6.0</v>
      </c>
      <c r="G49" s="39">
        <v>9.0</v>
      </c>
      <c r="H49" s="39">
        <v>0.333333333333333</v>
      </c>
      <c r="I49" s="40" t="b">
        <v>1</v>
      </c>
      <c r="J49" s="38" t="s">
        <v>448</v>
      </c>
      <c r="K49" s="39" t="s">
        <v>453</v>
      </c>
    </row>
    <row r="50">
      <c r="A50" s="38" t="s">
        <v>78</v>
      </c>
      <c r="B50" s="38" t="s">
        <v>136</v>
      </c>
      <c r="C50" s="38" t="s">
        <v>137</v>
      </c>
      <c r="D50" s="39">
        <v>5.0</v>
      </c>
      <c r="E50" s="39">
        <v>1.0</v>
      </c>
      <c r="F50" s="39">
        <v>2.0</v>
      </c>
      <c r="G50" s="39">
        <v>3.0</v>
      </c>
      <c r="H50" s="39">
        <v>0.333333333333333</v>
      </c>
      <c r="I50" s="40" t="b">
        <v>1</v>
      </c>
      <c r="J50" s="38" t="s">
        <v>448</v>
      </c>
      <c r="K50" s="39" t="s">
        <v>444</v>
      </c>
    </row>
    <row r="51">
      <c r="A51" s="38" t="s">
        <v>338</v>
      </c>
      <c r="B51" s="38" t="s">
        <v>339</v>
      </c>
      <c r="C51" s="38" t="s">
        <v>340</v>
      </c>
      <c r="D51" s="39">
        <v>5.0</v>
      </c>
      <c r="E51" s="39">
        <v>4.0</v>
      </c>
      <c r="F51" s="39">
        <v>6.0</v>
      </c>
      <c r="G51" s="39">
        <v>10.0</v>
      </c>
      <c r="H51" s="39">
        <v>0.2</v>
      </c>
      <c r="I51" s="40" t="b">
        <v>1</v>
      </c>
      <c r="J51" s="38" t="s">
        <v>442</v>
      </c>
      <c r="K51" s="39" t="s">
        <v>438</v>
      </c>
    </row>
    <row r="52">
      <c r="A52" s="38" t="s">
        <v>123</v>
      </c>
      <c r="B52" s="38" t="s">
        <v>298</v>
      </c>
      <c r="C52" s="38" t="s">
        <v>299</v>
      </c>
      <c r="D52" s="39">
        <v>5.0</v>
      </c>
      <c r="E52" s="39">
        <v>1.0</v>
      </c>
      <c r="F52" s="39">
        <v>2.0</v>
      </c>
      <c r="G52" s="39">
        <v>3.0</v>
      </c>
      <c r="H52" s="39">
        <v>0.333333333333333</v>
      </c>
      <c r="I52" s="40" t="b">
        <v>1</v>
      </c>
      <c r="J52" s="38" t="s">
        <v>448</v>
      </c>
      <c r="K52" s="39" t="s">
        <v>438</v>
      </c>
    </row>
    <row r="53">
      <c r="A53" s="38" t="s">
        <v>278</v>
      </c>
      <c r="B53" s="38" t="s">
        <v>333</v>
      </c>
      <c r="C53" s="38" t="s">
        <v>334</v>
      </c>
      <c r="D53" s="39">
        <v>5.0</v>
      </c>
      <c r="E53" s="39">
        <v>9.0</v>
      </c>
      <c r="F53" s="39">
        <v>0.0</v>
      </c>
      <c r="G53" s="39">
        <v>9.0</v>
      </c>
      <c r="H53" s="39">
        <v>1.0</v>
      </c>
      <c r="I53" s="40" t="b">
        <v>0</v>
      </c>
      <c r="J53" s="38" t="s">
        <v>447</v>
      </c>
      <c r="K53" s="39" t="s">
        <v>441</v>
      </c>
    </row>
    <row r="54">
      <c r="A54" s="38" t="s">
        <v>183</v>
      </c>
      <c r="B54" s="38" t="s">
        <v>184</v>
      </c>
      <c r="C54" s="38" t="s">
        <v>185</v>
      </c>
      <c r="D54" s="39">
        <v>5.0</v>
      </c>
      <c r="E54" s="39">
        <v>3.0</v>
      </c>
      <c r="F54" s="39">
        <v>3.0</v>
      </c>
      <c r="G54" s="39">
        <v>6.0</v>
      </c>
      <c r="H54" s="39">
        <v>0.0</v>
      </c>
      <c r="I54" s="40" t="s">
        <v>451</v>
      </c>
      <c r="J54" s="38" t="s">
        <v>442</v>
      </c>
      <c r="K54" s="39" t="s">
        <v>445</v>
      </c>
    </row>
    <row r="55">
      <c r="A55" s="38" t="s">
        <v>75</v>
      </c>
      <c r="B55" s="38" t="s">
        <v>76</v>
      </c>
      <c r="C55" s="38" t="s">
        <v>77</v>
      </c>
      <c r="D55" s="39">
        <v>5.0</v>
      </c>
      <c r="E55" s="39">
        <v>1.0</v>
      </c>
      <c r="F55" s="39">
        <v>4.0</v>
      </c>
      <c r="G55" s="39">
        <v>5.0</v>
      </c>
      <c r="H55" s="39">
        <v>0.6</v>
      </c>
      <c r="I55" s="40" t="b">
        <v>1</v>
      </c>
      <c r="J55" s="38" t="s">
        <v>437</v>
      </c>
      <c r="K55" s="39" t="s">
        <v>452</v>
      </c>
    </row>
    <row r="56">
      <c r="A56" s="38" t="s">
        <v>234</v>
      </c>
      <c r="B56" s="38" t="s">
        <v>259</v>
      </c>
      <c r="C56" s="38" t="s">
        <v>260</v>
      </c>
      <c r="D56" s="39">
        <v>5.0</v>
      </c>
      <c r="E56" s="39">
        <v>3.0</v>
      </c>
      <c r="F56" s="39">
        <v>6.0</v>
      </c>
      <c r="G56" s="39">
        <v>9.0</v>
      </c>
      <c r="H56" s="39">
        <v>0.333333333333333</v>
      </c>
      <c r="I56" s="40" t="b">
        <v>1</v>
      </c>
      <c r="J56" s="38" t="s">
        <v>448</v>
      </c>
      <c r="K56" s="39" t="s">
        <v>452</v>
      </c>
    </row>
    <row r="57">
      <c r="A57" s="38" t="s">
        <v>278</v>
      </c>
      <c r="B57" s="38" t="s">
        <v>279</v>
      </c>
      <c r="C57" s="38" t="s">
        <v>280</v>
      </c>
      <c r="D57" s="39">
        <v>5.0</v>
      </c>
      <c r="E57" s="39">
        <v>8.0</v>
      </c>
      <c r="F57" s="39">
        <v>1.0</v>
      </c>
      <c r="G57" s="39">
        <v>9.0</v>
      </c>
      <c r="H57" s="39">
        <v>0.777777777777777</v>
      </c>
      <c r="I57" s="40" t="b">
        <v>0</v>
      </c>
      <c r="J57" s="38" t="s">
        <v>440</v>
      </c>
      <c r="K57" s="39" t="s">
        <v>438</v>
      </c>
    </row>
    <row r="58">
      <c r="A58" s="38" t="s">
        <v>78</v>
      </c>
      <c r="B58" s="38" t="s">
        <v>79</v>
      </c>
      <c r="C58" s="38" t="s">
        <v>80</v>
      </c>
      <c r="D58" s="39">
        <v>5.0</v>
      </c>
      <c r="E58" s="39">
        <v>2.0</v>
      </c>
      <c r="F58" s="39">
        <v>7.0</v>
      </c>
      <c r="G58" s="39">
        <v>9.0</v>
      </c>
      <c r="H58" s="39">
        <v>0.555555555555555</v>
      </c>
      <c r="I58" s="40" t="b">
        <v>1</v>
      </c>
      <c r="J58" s="38" t="s">
        <v>437</v>
      </c>
      <c r="K58" s="39" t="s">
        <v>438</v>
      </c>
    </row>
    <row r="59">
      <c r="A59" s="38" t="s">
        <v>335</v>
      </c>
      <c r="B59" s="38" t="s">
        <v>336</v>
      </c>
      <c r="C59" s="38" t="s">
        <v>337</v>
      </c>
      <c r="D59" s="39">
        <v>5.0</v>
      </c>
      <c r="E59" s="39">
        <v>6.0</v>
      </c>
      <c r="F59" s="39">
        <v>3.0</v>
      </c>
      <c r="G59" s="39">
        <v>9.0</v>
      </c>
      <c r="H59" s="39">
        <v>0.333333333333333</v>
      </c>
      <c r="I59" s="40" t="b">
        <v>0</v>
      </c>
      <c r="J59" s="38" t="s">
        <v>448</v>
      </c>
      <c r="K59" s="39" t="s">
        <v>445</v>
      </c>
    </row>
    <row r="60">
      <c r="A60" s="38" t="s">
        <v>119</v>
      </c>
      <c r="B60" s="38" t="s">
        <v>120</v>
      </c>
      <c r="C60" s="38" t="s">
        <v>121</v>
      </c>
      <c r="D60" s="39">
        <v>5.0</v>
      </c>
      <c r="E60" s="39">
        <v>5.0</v>
      </c>
      <c r="F60" s="39">
        <v>4.0</v>
      </c>
      <c r="G60" s="39">
        <v>9.0</v>
      </c>
      <c r="H60" s="39">
        <v>0.111111111111111</v>
      </c>
      <c r="I60" s="40" t="b">
        <v>0</v>
      </c>
      <c r="J60" s="38" t="s">
        <v>442</v>
      </c>
      <c r="K60" s="39" t="s">
        <v>438</v>
      </c>
    </row>
    <row r="61">
      <c r="A61" s="38" t="s">
        <v>243</v>
      </c>
      <c r="B61" s="38" t="s">
        <v>313</v>
      </c>
      <c r="C61" s="38" t="s">
        <v>314</v>
      </c>
      <c r="D61" s="39">
        <v>5.0</v>
      </c>
      <c r="E61" s="39">
        <v>6.0</v>
      </c>
      <c r="F61" s="39">
        <v>3.0</v>
      </c>
      <c r="G61" s="39">
        <v>9.0</v>
      </c>
      <c r="H61" s="39">
        <v>0.333333333333333</v>
      </c>
      <c r="I61" s="40" t="b">
        <v>0</v>
      </c>
      <c r="J61" s="38" t="s">
        <v>448</v>
      </c>
      <c r="K61" s="39" t="s">
        <v>441</v>
      </c>
    </row>
    <row r="62">
      <c r="A62" s="38" t="s">
        <v>234</v>
      </c>
      <c r="B62" s="38" t="s">
        <v>235</v>
      </c>
      <c r="C62" s="38" t="s">
        <v>236</v>
      </c>
      <c r="D62" s="39">
        <v>5.0</v>
      </c>
      <c r="E62" s="39">
        <v>8.0</v>
      </c>
      <c r="F62" s="39">
        <v>1.0</v>
      </c>
      <c r="G62" s="39">
        <v>9.0</v>
      </c>
      <c r="H62" s="39">
        <v>0.777777777777777</v>
      </c>
      <c r="I62" s="40" t="b">
        <v>0</v>
      </c>
      <c r="J62" s="38" t="s">
        <v>440</v>
      </c>
      <c r="K62" s="39" t="s">
        <v>443</v>
      </c>
    </row>
    <row r="63">
      <c r="A63" s="38" t="s">
        <v>126</v>
      </c>
      <c r="B63" s="38" t="s">
        <v>127</v>
      </c>
      <c r="C63" s="38" t="s">
        <v>128</v>
      </c>
      <c r="D63" s="39">
        <v>5.0</v>
      </c>
      <c r="E63" s="39">
        <v>3.0</v>
      </c>
      <c r="F63" s="39">
        <v>0.0</v>
      </c>
      <c r="G63" s="39">
        <v>3.0</v>
      </c>
      <c r="H63" s="39">
        <v>1.0</v>
      </c>
      <c r="I63" s="40" t="b">
        <v>0</v>
      </c>
      <c r="J63" s="38" t="s">
        <v>447</v>
      </c>
      <c r="K63" s="39" t="s">
        <v>438</v>
      </c>
    </row>
    <row r="64">
      <c r="A64" s="38" t="s">
        <v>225</v>
      </c>
      <c r="B64" s="38" t="s">
        <v>226</v>
      </c>
      <c r="C64" s="38" t="s">
        <v>227</v>
      </c>
      <c r="D64" s="39">
        <v>5.0</v>
      </c>
      <c r="E64" s="39">
        <v>2.0</v>
      </c>
      <c r="F64" s="39">
        <v>2.0</v>
      </c>
      <c r="G64" s="39">
        <v>4.0</v>
      </c>
      <c r="H64" s="39">
        <v>0.0</v>
      </c>
      <c r="I64" s="40" t="s">
        <v>451</v>
      </c>
      <c r="J64" s="38" t="s">
        <v>442</v>
      </c>
      <c r="K64" s="39" t="s">
        <v>453</v>
      </c>
    </row>
    <row r="65">
      <c r="A65" s="38" t="s">
        <v>324</v>
      </c>
      <c r="B65" s="38" t="s">
        <v>325</v>
      </c>
      <c r="C65" s="38" t="s">
        <v>326</v>
      </c>
      <c r="D65" s="39">
        <v>5.0</v>
      </c>
      <c r="E65" s="39">
        <v>1.0</v>
      </c>
      <c r="F65" s="39">
        <v>8.0</v>
      </c>
      <c r="G65" s="39">
        <v>9.0</v>
      </c>
      <c r="H65" s="39">
        <v>0.777777777777777</v>
      </c>
      <c r="I65" s="40" t="b">
        <v>1</v>
      </c>
      <c r="J65" s="38" t="s">
        <v>440</v>
      </c>
      <c r="K65" s="39" t="s">
        <v>439</v>
      </c>
    </row>
    <row r="66">
      <c r="A66" s="38" t="s">
        <v>183</v>
      </c>
      <c r="B66" s="38" t="s">
        <v>212</v>
      </c>
      <c r="C66" s="38" t="s">
        <v>213</v>
      </c>
      <c r="D66" s="39">
        <v>5.0</v>
      </c>
      <c r="E66" s="39">
        <v>7.0</v>
      </c>
      <c r="F66" s="39">
        <v>2.0</v>
      </c>
      <c r="G66" s="39">
        <v>9.0</v>
      </c>
      <c r="H66" s="39">
        <v>0.555555555555555</v>
      </c>
      <c r="I66" s="40" t="b">
        <v>0</v>
      </c>
      <c r="J66" s="38" t="s">
        <v>437</v>
      </c>
      <c r="K66" s="39" t="s">
        <v>441</v>
      </c>
    </row>
    <row r="67">
      <c r="A67" s="38" t="s">
        <v>150</v>
      </c>
      <c r="B67" s="38" t="s">
        <v>151</v>
      </c>
      <c r="C67" s="38" t="s">
        <v>152</v>
      </c>
      <c r="D67" s="39">
        <v>5.0</v>
      </c>
      <c r="E67" s="39">
        <v>1.0</v>
      </c>
      <c r="F67" s="39">
        <v>8.0</v>
      </c>
      <c r="G67" s="39">
        <v>9.0</v>
      </c>
      <c r="H67" s="39">
        <v>0.777777777777777</v>
      </c>
      <c r="I67" s="40" t="b">
        <v>1</v>
      </c>
      <c r="J67" s="38" t="s">
        <v>440</v>
      </c>
      <c r="K67" s="39" t="s">
        <v>438</v>
      </c>
    </row>
    <row r="68">
      <c r="A68" s="38" t="s">
        <v>352</v>
      </c>
      <c r="B68" s="38" t="s">
        <v>353</v>
      </c>
      <c r="C68" s="38" t="s">
        <v>354</v>
      </c>
      <c r="D68" s="39">
        <v>5.0</v>
      </c>
      <c r="E68" s="39">
        <v>2.0</v>
      </c>
      <c r="F68" s="39">
        <v>7.0</v>
      </c>
      <c r="G68" s="39">
        <v>9.0</v>
      </c>
      <c r="H68" s="39">
        <v>0.555555555555555</v>
      </c>
      <c r="I68" s="40" t="b">
        <v>1</v>
      </c>
      <c r="J68" s="38" t="s">
        <v>437</v>
      </c>
      <c r="K68" s="39" t="s">
        <v>438</v>
      </c>
    </row>
    <row r="69">
      <c r="A69" s="38" t="s">
        <v>192</v>
      </c>
      <c r="B69" s="38" t="s">
        <v>193</v>
      </c>
      <c r="C69" s="38" t="s">
        <v>194</v>
      </c>
      <c r="D69" s="39">
        <v>5.0</v>
      </c>
      <c r="E69" s="39">
        <v>3.0</v>
      </c>
      <c r="F69" s="39">
        <v>2.0</v>
      </c>
      <c r="G69" s="39">
        <v>5.0</v>
      </c>
      <c r="H69" s="39">
        <v>0.2</v>
      </c>
      <c r="I69" s="40" t="b">
        <v>0</v>
      </c>
      <c r="J69" s="38" t="s">
        <v>442</v>
      </c>
      <c r="K69" s="39" t="s">
        <v>438</v>
      </c>
    </row>
    <row r="70">
      <c r="A70" s="38" t="s">
        <v>281</v>
      </c>
      <c r="B70" s="38" t="s">
        <v>282</v>
      </c>
      <c r="C70" s="38" t="s">
        <v>283</v>
      </c>
      <c r="D70" s="39">
        <v>5.0</v>
      </c>
      <c r="E70" s="39">
        <v>8.0</v>
      </c>
      <c r="F70" s="39">
        <v>1.0</v>
      </c>
      <c r="G70" s="39">
        <v>9.0</v>
      </c>
      <c r="H70" s="39">
        <v>0.777777777777777</v>
      </c>
      <c r="I70" s="40" t="b">
        <v>0</v>
      </c>
      <c r="J70" s="38" t="s">
        <v>440</v>
      </c>
      <c r="K70" s="39" t="s">
        <v>444</v>
      </c>
    </row>
    <row r="71">
      <c r="A71" s="38" t="s">
        <v>222</v>
      </c>
      <c r="B71" s="38" t="s">
        <v>223</v>
      </c>
      <c r="C71" s="38" t="s">
        <v>224</v>
      </c>
      <c r="D71" s="39">
        <v>5.0</v>
      </c>
      <c r="E71" s="39">
        <v>8.0</v>
      </c>
      <c r="F71" s="39">
        <v>1.0</v>
      </c>
      <c r="G71" s="39">
        <v>9.0</v>
      </c>
      <c r="H71" s="39">
        <v>0.777777777777777</v>
      </c>
      <c r="I71" s="40" t="b">
        <v>0</v>
      </c>
      <c r="J71" s="38" t="s">
        <v>440</v>
      </c>
      <c r="K71" s="39" t="s">
        <v>438</v>
      </c>
    </row>
    <row r="72">
      <c r="A72" s="38" t="s">
        <v>347</v>
      </c>
      <c r="B72" s="38" t="s">
        <v>348</v>
      </c>
      <c r="C72" s="38" t="s">
        <v>349</v>
      </c>
      <c r="D72" s="39">
        <v>5.0</v>
      </c>
      <c r="E72" s="39">
        <v>2.0</v>
      </c>
      <c r="F72" s="39">
        <v>2.0</v>
      </c>
      <c r="G72" s="39">
        <v>4.0</v>
      </c>
      <c r="H72" s="39">
        <v>0.0</v>
      </c>
      <c r="I72" s="40" t="s">
        <v>451</v>
      </c>
      <c r="J72" s="38" t="s">
        <v>442</v>
      </c>
      <c r="K72" s="39" t="s">
        <v>439</v>
      </c>
    </row>
    <row r="73">
      <c r="A73" s="38" t="s">
        <v>168</v>
      </c>
      <c r="B73" s="38" t="s">
        <v>274</v>
      </c>
      <c r="C73" s="38" t="s">
        <v>275</v>
      </c>
      <c r="D73" s="39">
        <v>5.0</v>
      </c>
      <c r="E73" s="39">
        <v>5.0</v>
      </c>
      <c r="F73" s="39">
        <v>4.0</v>
      </c>
      <c r="G73" s="39">
        <v>9.0</v>
      </c>
      <c r="H73" s="39">
        <v>0.111111111111111</v>
      </c>
      <c r="I73" s="40" t="b">
        <v>0</v>
      </c>
      <c r="J73" s="38" t="s">
        <v>442</v>
      </c>
      <c r="K73" s="39" t="s">
        <v>446</v>
      </c>
    </row>
    <row r="74">
      <c r="A74" s="38" t="s">
        <v>319</v>
      </c>
      <c r="B74" s="38" t="s">
        <v>320</v>
      </c>
      <c r="C74" s="38" t="s">
        <v>321</v>
      </c>
      <c r="D74" s="39">
        <v>5.0</v>
      </c>
      <c r="E74" s="39">
        <v>0.0</v>
      </c>
      <c r="F74" s="39">
        <v>3.0</v>
      </c>
      <c r="G74" s="39">
        <v>3.0</v>
      </c>
      <c r="H74" s="39">
        <v>1.0</v>
      </c>
      <c r="I74" s="40" t="b">
        <v>1</v>
      </c>
      <c r="J74" s="38" t="s">
        <v>447</v>
      </c>
      <c r="K74" s="39" t="s">
        <v>438</v>
      </c>
    </row>
    <row r="75">
      <c r="A75" s="38" t="s">
        <v>219</v>
      </c>
      <c r="B75" s="38" t="s">
        <v>220</v>
      </c>
      <c r="C75" s="38" t="s">
        <v>221</v>
      </c>
      <c r="D75" s="39">
        <v>5.0</v>
      </c>
      <c r="E75" s="39">
        <v>3.0</v>
      </c>
      <c r="F75" s="39">
        <v>6.0</v>
      </c>
      <c r="G75" s="39">
        <v>9.0</v>
      </c>
      <c r="H75" s="39">
        <v>0.333333333333333</v>
      </c>
      <c r="I75" s="40" t="b">
        <v>1</v>
      </c>
      <c r="J75" s="38" t="s">
        <v>448</v>
      </c>
      <c r="K75" s="39" t="s">
        <v>438</v>
      </c>
    </row>
    <row r="76">
      <c r="A76" s="38" t="s">
        <v>330</v>
      </c>
      <c r="B76" s="38" t="s">
        <v>331</v>
      </c>
      <c r="C76" s="38" t="s">
        <v>332</v>
      </c>
      <c r="D76" s="39">
        <v>5.0</v>
      </c>
      <c r="E76" s="39">
        <v>4.0</v>
      </c>
      <c r="F76" s="39">
        <v>5.0</v>
      </c>
      <c r="G76" s="39">
        <v>9.0</v>
      </c>
      <c r="H76" s="39">
        <v>0.111111111111111</v>
      </c>
      <c r="I76" s="40" t="b">
        <v>1</v>
      </c>
      <c r="J76" s="38" t="s">
        <v>442</v>
      </c>
      <c r="K76" s="39" t="s">
        <v>438</v>
      </c>
    </row>
    <row r="77">
      <c r="A77" s="38" t="s">
        <v>119</v>
      </c>
      <c r="B77" s="38" t="s">
        <v>201</v>
      </c>
      <c r="C77" s="38" t="s">
        <v>202</v>
      </c>
      <c r="D77" s="39">
        <v>5.0</v>
      </c>
      <c r="E77" s="39">
        <v>8.0</v>
      </c>
      <c r="F77" s="39">
        <v>1.0</v>
      </c>
      <c r="G77" s="39">
        <v>9.0</v>
      </c>
      <c r="H77" s="39">
        <v>0.777777777777777</v>
      </c>
      <c r="I77" s="40" t="b">
        <v>0</v>
      </c>
      <c r="J77" s="38" t="s">
        <v>440</v>
      </c>
      <c r="K77" s="39" t="s">
        <v>446</v>
      </c>
    </row>
    <row r="78">
      <c r="A78" s="38" t="s">
        <v>203</v>
      </c>
      <c r="B78" s="38" t="s">
        <v>204</v>
      </c>
      <c r="C78" s="38" t="s">
        <v>205</v>
      </c>
      <c r="D78" s="39">
        <v>5.0</v>
      </c>
      <c r="E78" s="39">
        <v>8.0</v>
      </c>
      <c r="F78" s="39">
        <v>3.0</v>
      </c>
      <c r="G78" s="39">
        <v>11.0</v>
      </c>
      <c r="H78" s="39">
        <v>0.454545454545454</v>
      </c>
      <c r="I78" s="40" t="b">
        <v>0</v>
      </c>
      <c r="J78" s="38" t="s">
        <v>437</v>
      </c>
      <c r="K78" s="39" t="s">
        <v>438</v>
      </c>
    </row>
    <row r="79">
      <c r="A79" s="38" t="s">
        <v>141</v>
      </c>
      <c r="B79" s="38" t="s">
        <v>142</v>
      </c>
      <c r="C79" s="38" t="s">
        <v>143</v>
      </c>
      <c r="D79" s="39">
        <v>5.0</v>
      </c>
      <c r="E79" s="39">
        <v>7.0</v>
      </c>
      <c r="F79" s="39">
        <v>3.0</v>
      </c>
      <c r="G79" s="39">
        <v>10.0</v>
      </c>
      <c r="H79" s="39">
        <v>0.4</v>
      </c>
      <c r="I79" s="40" t="b">
        <v>0</v>
      </c>
      <c r="J79" s="38" t="s">
        <v>448</v>
      </c>
      <c r="K79" s="39" t="s">
        <v>444</v>
      </c>
    </row>
    <row r="80">
      <c r="A80" s="38" t="s">
        <v>228</v>
      </c>
      <c r="B80" s="38" t="s">
        <v>229</v>
      </c>
      <c r="C80" s="38" t="s">
        <v>230</v>
      </c>
      <c r="D80" s="39">
        <v>5.0</v>
      </c>
      <c r="E80" s="39">
        <v>0.0</v>
      </c>
      <c r="F80" s="39">
        <v>3.0</v>
      </c>
      <c r="G80" s="39">
        <v>3.0</v>
      </c>
      <c r="H80" s="39">
        <v>1.0</v>
      </c>
      <c r="I80" s="40" t="b">
        <v>1</v>
      </c>
      <c r="J80" s="38" t="s">
        <v>447</v>
      </c>
      <c r="K80" s="39" t="s">
        <v>438</v>
      </c>
    </row>
    <row r="81">
      <c r="A81" s="38" t="s">
        <v>165</v>
      </c>
      <c r="B81" s="38" t="s">
        <v>166</v>
      </c>
      <c r="C81" s="38" t="s">
        <v>167</v>
      </c>
      <c r="D81" s="39">
        <v>5.0</v>
      </c>
      <c r="E81" s="39">
        <v>2.0</v>
      </c>
      <c r="F81" s="39">
        <v>1.0</v>
      </c>
      <c r="G81" s="39">
        <v>3.0</v>
      </c>
      <c r="H81" s="39">
        <v>0.333333333333333</v>
      </c>
      <c r="I81" s="40" t="b">
        <v>0</v>
      </c>
      <c r="J81" s="38" t="s">
        <v>448</v>
      </c>
      <c r="K81" s="39" t="s">
        <v>449</v>
      </c>
    </row>
    <row r="82">
      <c r="A82" s="38" t="s">
        <v>209</v>
      </c>
      <c r="B82" s="38" t="s">
        <v>210</v>
      </c>
      <c r="C82" s="38" t="s">
        <v>211</v>
      </c>
      <c r="D82" s="39">
        <v>5.0</v>
      </c>
      <c r="E82" s="39">
        <v>4.0</v>
      </c>
      <c r="F82" s="39">
        <v>5.0</v>
      </c>
      <c r="G82" s="39">
        <v>9.0</v>
      </c>
      <c r="H82" s="39">
        <v>0.111111111111111</v>
      </c>
      <c r="I82" s="40" t="b">
        <v>1</v>
      </c>
      <c r="J82" s="38" t="s">
        <v>442</v>
      </c>
      <c r="K82" s="39" t="s">
        <v>438</v>
      </c>
    </row>
    <row r="83">
      <c r="A83" s="38" t="s">
        <v>177</v>
      </c>
      <c r="B83" s="38" t="s">
        <v>178</v>
      </c>
      <c r="C83" s="38" t="s">
        <v>179</v>
      </c>
      <c r="D83" s="39">
        <v>5.0</v>
      </c>
      <c r="E83" s="39">
        <v>2.0</v>
      </c>
      <c r="F83" s="39">
        <v>7.0</v>
      </c>
      <c r="G83" s="39">
        <v>9.0</v>
      </c>
      <c r="H83" s="39">
        <v>0.555555555555555</v>
      </c>
      <c r="I83" s="40" t="b">
        <v>1</v>
      </c>
      <c r="J83" s="38" t="s">
        <v>437</v>
      </c>
      <c r="K83" s="39" t="s">
        <v>438</v>
      </c>
    </row>
    <row r="84">
      <c r="A84" s="38" t="s">
        <v>305</v>
      </c>
      <c r="B84" s="38" t="s">
        <v>308</v>
      </c>
      <c r="C84" s="38" t="s">
        <v>309</v>
      </c>
      <c r="D84" s="39">
        <v>5.0</v>
      </c>
      <c r="E84" s="39">
        <v>1.0</v>
      </c>
      <c r="F84" s="39">
        <v>4.0</v>
      </c>
      <c r="G84" s="39">
        <v>5.0</v>
      </c>
      <c r="H84" s="39">
        <v>0.6</v>
      </c>
      <c r="I84" s="40" t="b">
        <v>1</v>
      </c>
      <c r="J84" s="38" t="s">
        <v>437</v>
      </c>
      <c r="K84" s="39" t="s">
        <v>450</v>
      </c>
    </row>
    <row r="85">
      <c r="A85" s="38" t="s">
        <v>156</v>
      </c>
      <c r="B85" s="38" t="s">
        <v>157</v>
      </c>
      <c r="C85" s="38" t="s">
        <v>158</v>
      </c>
      <c r="D85" s="39">
        <v>5.0</v>
      </c>
      <c r="E85" s="39">
        <v>2.0</v>
      </c>
      <c r="F85" s="39">
        <v>1.0</v>
      </c>
      <c r="G85" s="39">
        <v>3.0</v>
      </c>
      <c r="H85" s="39">
        <v>0.333333333333333</v>
      </c>
      <c r="I85" s="40" t="b">
        <v>0</v>
      </c>
      <c r="J85" s="38" t="s">
        <v>448</v>
      </c>
      <c r="K85" s="39" t="s">
        <v>438</v>
      </c>
    </row>
    <row r="86">
      <c r="A86" s="38" t="s">
        <v>310</v>
      </c>
      <c r="B86" s="38" t="s">
        <v>311</v>
      </c>
      <c r="C86" s="38" t="s">
        <v>312</v>
      </c>
      <c r="D86" s="39">
        <v>5.0</v>
      </c>
      <c r="E86" s="39">
        <v>3.0</v>
      </c>
      <c r="F86" s="39">
        <v>3.0</v>
      </c>
      <c r="G86" s="39">
        <v>6.0</v>
      </c>
      <c r="H86" s="39">
        <v>0.0</v>
      </c>
      <c r="I86" s="40" t="s">
        <v>451</v>
      </c>
      <c r="J86" s="38" t="s">
        <v>442</v>
      </c>
      <c r="K86" s="39" t="s">
        <v>443</v>
      </c>
    </row>
    <row r="87">
      <c r="A87" s="38" t="s">
        <v>256</v>
      </c>
      <c r="B87" s="38" t="s">
        <v>257</v>
      </c>
      <c r="C87" s="38" t="s">
        <v>258</v>
      </c>
      <c r="D87" s="39">
        <v>5.0</v>
      </c>
      <c r="E87" s="39">
        <v>2.0</v>
      </c>
      <c r="F87" s="39">
        <v>2.0</v>
      </c>
      <c r="G87" s="39">
        <v>4.0</v>
      </c>
      <c r="H87" s="39">
        <v>0.0</v>
      </c>
      <c r="I87" s="40" t="s">
        <v>451</v>
      </c>
      <c r="J87" s="38" t="s">
        <v>442</v>
      </c>
      <c r="K87" s="39" t="s">
        <v>446</v>
      </c>
    </row>
    <row r="88">
      <c r="A88" s="38" t="s">
        <v>177</v>
      </c>
      <c r="B88" s="38" t="s">
        <v>246</v>
      </c>
      <c r="C88" s="38" t="s">
        <v>247</v>
      </c>
      <c r="D88" s="39">
        <v>5.0</v>
      </c>
      <c r="E88" s="39">
        <v>2.0</v>
      </c>
      <c r="F88" s="39">
        <v>1.0</v>
      </c>
      <c r="G88" s="39">
        <v>3.0</v>
      </c>
      <c r="H88" s="39">
        <v>0.333333333333333</v>
      </c>
      <c r="I88" s="40" t="b">
        <v>0</v>
      </c>
      <c r="J88" s="38" t="s">
        <v>448</v>
      </c>
      <c r="K88" s="39" t="s">
        <v>452</v>
      </c>
    </row>
    <row r="89">
      <c r="A89" s="38" t="s">
        <v>251</v>
      </c>
      <c r="B89" s="38" t="s">
        <v>317</v>
      </c>
      <c r="C89" s="38" t="s">
        <v>318</v>
      </c>
      <c r="D89" s="39">
        <v>5.0</v>
      </c>
      <c r="E89" s="39">
        <v>5.0</v>
      </c>
      <c r="F89" s="39">
        <v>4.0</v>
      </c>
      <c r="G89" s="39">
        <v>9.0</v>
      </c>
      <c r="H89" s="39">
        <v>0.111111111111111</v>
      </c>
      <c r="I89" s="40" t="b">
        <v>0</v>
      </c>
      <c r="J89" s="38" t="s">
        <v>442</v>
      </c>
      <c r="K89" s="39" t="s">
        <v>453</v>
      </c>
    </row>
    <row r="90">
      <c r="A90" s="38" t="s">
        <v>186</v>
      </c>
      <c r="B90" s="38" t="s">
        <v>187</v>
      </c>
      <c r="C90" s="38" t="s">
        <v>188</v>
      </c>
      <c r="D90" s="39">
        <v>5.0</v>
      </c>
      <c r="E90" s="39">
        <v>3.0</v>
      </c>
      <c r="F90" s="39">
        <v>6.0</v>
      </c>
      <c r="G90" s="39">
        <v>9.0</v>
      </c>
      <c r="H90" s="39">
        <v>0.333333333333333</v>
      </c>
      <c r="I90" s="40" t="b">
        <v>1</v>
      </c>
      <c r="J90" s="38" t="s">
        <v>448</v>
      </c>
      <c r="K90" s="39" t="s">
        <v>438</v>
      </c>
    </row>
    <row r="91">
      <c r="A91" s="38" t="s">
        <v>165</v>
      </c>
      <c r="B91" s="38" t="s">
        <v>293</v>
      </c>
      <c r="C91" s="38" t="s">
        <v>294</v>
      </c>
      <c r="D91" s="39">
        <v>5.0</v>
      </c>
      <c r="E91" s="39">
        <v>2.0</v>
      </c>
      <c r="F91" s="39">
        <v>7.0</v>
      </c>
      <c r="G91" s="39">
        <v>9.0</v>
      </c>
      <c r="H91" s="39">
        <v>0.555555555555555</v>
      </c>
      <c r="I91" s="40" t="b">
        <v>1</v>
      </c>
      <c r="J91" s="38" t="s">
        <v>437</v>
      </c>
      <c r="K91" s="39" t="s">
        <v>449</v>
      </c>
    </row>
    <row r="92">
      <c r="A92" s="38" t="s">
        <v>106</v>
      </c>
      <c r="B92" s="38" t="s">
        <v>107</v>
      </c>
      <c r="C92" s="38" t="s">
        <v>108</v>
      </c>
      <c r="D92" s="39">
        <v>5.0</v>
      </c>
      <c r="E92" s="39">
        <v>7.0</v>
      </c>
      <c r="F92" s="39">
        <v>2.0</v>
      </c>
      <c r="G92" s="39">
        <v>9.0</v>
      </c>
      <c r="H92" s="39">
        <v>0.555555555555555</v>
      </c>
      <c r="I92" s="40" t="b">
        <v>0</v>
      </c>
      <c r="J92" s="38" t="s">
        <v>437</v>
      </c>
      <c r="K92" s="39" t="s">
        <v>450</v>
      </c>
    </row>
    <row r="93">
      <c r="A93" s="38" t="s">
        <v>290</v>
      </c>
      <c r="B93" s="38" t="s">
        <v>291</v>
      </c>
      <c r="C93" s="38" t="s">
        <v>292</v>
      </c>
      <c r="D93" s="39">
        <v>5.0</v>
      </c>
      <c r="E93" s="39">
        <v>3.0</v>
      </c>
      <c r="F93" s="39">
        <v>6.0</v>
      </c>
      <c r="G93" s="39">
        <v>9.0</v>
      </c>
      <c r="H93" s="39">
        <v>0.333333333333333</v>
      </c>
      <c r="I93" s="40" t="b">
        <v>1</v>
      </c>
      <c r="J93" s="38" t="s">
        <v>448</v>
      </c>
      <c r="K93" s="39" t="s">
        <v>445</v>
      </c>
    </row>
    <row r="94">
      <c r="A94" s="38" t="s">
        <v>91</v>
      </c>
      <c r="B94" s="38" t="s">
        <v>92</v>
      </c>
      <c r="C94" s="38" t="s">
        <v>93</v>
      </c>
      <c r="D94" s="39">
        <v>5.0</v>
      </c>
      <c r="E94" s="39">
        <v>3.0</v>
      </c>
      <c r="F94" s="39">
        <v>3.0</v>
      </c>
      <c r="G94" s="39">
        <v>6.0</v>
      </c>
      <c r="H94" s="39">
        <v>0.0</v>
      </c>
      <c r="I94" s="40" t="s">
        <v>451</v>
      </c>
      <c r="J94" s="38" t="s">
        <v>442</v>
      </c>
      <c r="K94" s="39" t="s">
        <v>450</v>
      </c>
    </row>
    <row r="95">
      <c r="A95" s="38" t="s">
        <v>216</v>
      </c>
      <c r="B95" s="38" t="s">
        <v>217</v>
      </c>
      <c r="C95" s="38" t="s">
        <v>218</v>
      </c>
      <c r="D95" s="39">
        <v>5.0</v>
      </c>
      <c r="E95" s="39">
        <v>7.0</v>
      </c>
      <c r="F95" s="39">
        <v>2.0</v>
      </c>
      <c r="G95" s="39">
        <v>9.0</v>
      </c>
      <c r="H95" s="39">
        <v>0.555555555555555</v>
      </c>
      <c r="I95" s="40" t="b">
        <v>0</v>
      </c>
      <c r="J95" s="38" t="s">
        <v>437</v>
      </c>
      <c r="K95" s="39" t="s">
        <v>453</v>
      </c>
    </row>
    <row r="96">
      <c r="A96" s="38" t="s">
        <v>144</v>
      </c>
      <c r="B96" s="38" t="s">
        <v>145</v>
      </c>
      <c r="C96" s="38" t="s">
        <v>146</v>
      </c>
      <c r="D96" s="39">
        <v>5.0</v>
      </c>
      <c r="E96" s="39">
        <v>3.0</v>
      </c>
      <c r="F96" s="39">
        <v>1.0</v>
      </c>
      <c r="G96" s="39">
        <v>4.0</v>
      </c>
      <c r="H96" s="39">
        <v>0.5</v>
      </c>
      <c r="I96" s="40" t="b">
        <v>0</v>
      </c>
      <c r="J96" s="38" t="s">
        <v>437</v>
      </c>
      <c r="K96" s="39" t="s">
        <v>438</v>
      </c>
    </row>
    <row r="97">
      <c r="A97" s="38" t="s">
        <v>81</v>
      </c>
      <c r="B97" s="38" t="s">
        <v>82</v>
      </c>
      <c r="C97" s="38" t="s">
        <v>83</v>
      </c>
      <c r="D97" s="39">
        <v>5.0</v>
      </c>
      <c r="E97" s="39">
        <v>6.0</v>
      </c>
      <c r="F97" s="39">
        <v>3.0</v>
      </c>
      <c r="G97" s="39">
        <v>9.0</v>
      </c>
      <c r="H97" s="39">
        <v>0.333333333333333</v>
      </c>
      <c r="I97" s="40" t="b">
        <v>0</v>
      </c>
      <c r="J97" s="38" t="s">
        <v>448</v>
      </c>
      <c r="K97" s="39" t="s">
        <v>438</v>
      </c>
    </row>
    <row r="98">
      <c r="A98" s="38" t="s">
        <v>168</v>
      </c>
      <c r="B98" s="38" t="s">
        <v>169</v>
      </c>
      <c r="C98" s="38" t="s">
        <v>170</v>
      </c>
      <c r="D98" s="39">
        <v>5.0</v>
      </c>
      <c r="E98" s="39">
        <v>7.0</v>
      </c>
      <c r="F98" s="39">
        <v>2.0</v>
      </c>
      <c r="G98" s="39">
        <v>9.0</v>
      </c>
      <c r="H98" s="39">
        <v>0.555555555555555</v>
      </c>
      <c r="I98" s="40" t="b">
        <v>0</v>
      </c>
      <c r="J98" s="38" t="s">
        <v>437</v>
      </c>
      <c r="K98" s="39" t="s">
        <v>438</v>
      </c>
    </row>
    <row r="99">
      <c r="A99" s="38" t="s">
        <v>85</v>
      </c>
      <c r="B99" s="38" t="s">
        <v>86</v>
      </c>
      <c r="C99" s="38" t="s">
        <v>87</v>
      </c>
      <c r="D99" s="39">
        <v>5.0</v>
      </c>
      <c r="E99" s="39">
        <v>8.0</v>
      </c>
      <c r="F99" s="39">
        <v>1.0</v>
      </c>
      <c r="G99" s="39">
        <v>9.0</v>
      </c>
      <c r="H99" s="39">
        <v>0.777777777777777</v>
      </c>
      <c r="I99" s="40" t="b">
        <v>0</v>
      </c>
      <c r="J99" s="38" t="s">
        <v>440</v>
      </c>
      <c r="K99" s="39" t="s">
        <v>438</v>
      </c>
    </row>
    <row r="100">
      <c r="A100" s="38" t="s">
        <v>123</v>
      </c>
      <c r="B100" s="38" t="s">
        <v>148</v>
      </c>
      <c r="C100" s="38" t="s">
        <v>149</v>
      </c>
      <c r="D100" s="39">
        <v>5.0</v>
      </c>
      <c r="E100" s="39">
        <v>8.0</v>
      </c>
      <c r="F100" s="39">
        <v>1.0</v>
      </c>
      <c r="G100" s="39">
        <v>9.0</v>
      </c>
      <c r="H100" s="39">
        <v>0.777777777777777</v>
      </c>
      <c r="I100" s="40" t="b">
        <v>0</v>
      </c>
      <c r="J100" s="38" t="s">
        <v>440</v>
      </c>
      <c r="K100" s="39" t="s">
        <v>439</v>
      </c>
    </row>
    <row r="101">
      <c r="A101" s="38" t="s">
        <v>195</v>
      </c>
      <c r="B101" s="38" t="s">
        <v>196</v>
      </c>
      <c r="C101" s="38" t="s">
        <v>197</v>
      </c>
      <c r="D101" s="39">
        <v>5.0</v>
      </c>
      <c r="E101" s="39">
        <v>1.0</v>
      </c>
      <c r="F101" s="39">
        <v>2.0</v>
      </c>
      <c r="G101" s="39">
        <v>3.0</v>
      </c>
      <c r="H101" s="39">
        <v>0.333333333333333</v>
      </c>
      <c r="I101" s="40" t="b">
        <v>1</v>
      </c>
      <c r="J101" s="38" t="s">
        <v>448</v>
      </c>
      <c r="K101" s="39" t="s">
        <v>438</v>
      </c>
    </row>
    <row r="102">
      <c r="K102" s="41"/>
    </row>
    <row r="103">
      <c r="K103" s="41"/>
    </row>
    <row r="104">
      <c r="K104" s="41"/>
    </row>
    <row r="105">
      <c r="K105" s="41"/>
    </row>
    <row r="106">
      <c r="K106" s="41"/>
    </row>
    <row r="107">
      <c r="K107" s="41"/>
    </row>
    <row r="108">
      <c r="K108" s="41"/>
    </row>
    <row r="109">
      <c r="K109" s="41"/>
    </row>
    <row r="110">
      <c r="K110" s="41"/>
    </row>
    <row r="111">
      <c r="K111" s="41"/>
    </row>
    <row r="112">
      <c r="K112" s="41"/>
    </row>
    <row r="113">
      <c r="K113" s="41"/>
    </row>
    <row r="114">
      <c r="K114" s="41"/>
    </row>
    <row r="115">
      <c r="K115" s="41"/>
    </row>
    <row r="116">
      <c r="K116" s="41"/>
    </row>
    <row r="117">
      <c r="K117" s="41"/>
    </row>
    <row r="118">
      <c r="K118" s="41"/>
    </row>
    <row r="119">
      <c r="K119" s="41"/>
    </row>
    <row r="120">
      <c r="K120" s="41"/>
    </row>
    <row r="121">
      <c r="K121" s="41"/>
    </row>
    <row r="122">
      <c r="K122" s="41"/>
    </row>
    <row r="123">
      <c r="K123" s="41"/>
    </row>
    <row r="124">
      <c r="K124" s="41"/>
    </row>
    <row r="125">
      <c r="K125" s="41"/>
    </row>
    <row r="126">
      <c r="K126" s="41"/>
    </row>
    <row r="127">
      <c r="K127" s="41"/>
    </row>
    <row r="128">
      <c r="K128" s="41"/>
    </row>
    <row r="129">
      <c r="K129" s="41"/>
    </row>
    <row r="130">
      <c r="K130" s="41"/>
    </row>
    <row r="131">
      <c r="K131" s="41"/>
    </row>
    <row r="132">
      <c r="K132" s="41"/>
    </row>
    <row r="133">
      <c r="K133" s="41"/>
    </row>
    <row r="134">
      <c r="K134" s="41"/>
    </row>
    <row r="135">
      <c r="K135" s="41"/>
    </row>
    <row r="136">
      <c r="K136" s="41"/>
    </row>
    <row r="137">
      <c r="K137" s="41"/>
    </row>
    <row r="138">
      <c r="K138" s="41"/>
    </row>
    <row r="139">
      <c r="K139" s="41"/>
    </row>
    <row r="140">
      <c r="K140" s="41"/>
    </row>
    <row r="141">
      <c r="K141" s="41"/>
    </row>
    <row r="142">
      <c r="K142" s="41"/>
    </row>
    <row r="143">
      <c r="K143" s="41"/>
    </row>
    <row r="144">
      <c r="K144" s="41"/>
    </row>
    <row r="145">
      <c r="K145" s="41"/>
    </row>
    <row r="146">
      <c r="K146" s="41"/>
    </row>
    <row r="147">
      <c r="K147" s="41"/>
    </row>
    <row r="148">
      <c r="K148" s="41"/>
    </row>
    <row r="149">
      <c r="K149" s="41"/>
    </row>
    <row r="150">
      <c r="K150" s="41"/>
    </row>
    <row r="151">
      <c r="K151" s="41"/>
    </row>
    <row r="152">
      <c r="K152" s="41"/>
    </row>
    <row r="153">
      <c r="K153" s="41"/>
    </row>
    <row r="154">
      <c r="K154" s="41"/>
    </row>
    <row r="155">
      <c r="K155" s="41"/>
    </row>
    <row r="156">
      <c r="K156" s="41"/>
    </row>
    <row r="157">
      <c r="K157" s="41"/>
    </row>
    <row r="158">
      <c r="K158" s="41"/>
    </row>
    <row r="159">
      <c r="K159" s="41"/>
    </row>
    <row r="160">
      <c r="K160" s="41"/>
    </row>
    <row r="161">
      <c r="K161" s="41"/>
    </row>
    <row r="162">
      <c r="K162" s="41"/>
    </row>
    <row r="163">
      <c r="K163" s="41"/>
    </row>
    <row r="164">
      <c r="K164" s="41"/>
    </row>
    <row r="165">
      <c r="K165" s="41"/>
    </row>
    <row r="166">
      <c r="K166" s="41"/>
    </row>
    <row r="167">
      <c r="K167" s="41"/>
    </row>
    <row r="168">
      <c r="K168" s="41"/>
    </row>
    <row r="169">
      <c r="K169" s="41"/>
    </row>
    <row r="170">
      <c r="K170" s="41"/>
    </row>
    <row r="171">
      <c r="K171" s="41"/>
    </row>
    <row r="172">
      <c r="K172" s="41"/>
    </row>
    <row r="173">
      <c r="K173" s="41"/>
    </row>
    <row r="174">
      <c r="K174" s="41"/>
    </row>
    <row r="175">
      <c r="K175" s="41"/>
    </row>
    <row r="176">
      <c r="K176" s="41"/>
    </row>
    <row r="177">
      <c r="K177" s="41"/>
    </row>
    <row r="178">
      <c r="K178" s="41"/>
    </row>
    <row r="179">
      <c r="K179" s="41"/>
    </row>
    <row r="180">
      <c r="K180" s="41"/>
    </row>
    <row r="181">
      <c r="K181" s="41"/>
    </row>
    <row r="182">
      <c r="K182" s="41"/>
    </row>
    <row r="183">
      <c r="K183" s="41"/>
    </row>
    <row r="184">
      <c r="K184" s="41"/>
    </row>
    <row r="185">
      <c r="K185" s="41"/>
    </row>
    <row r="186">
      <c r="K186" s="41"/>
    </row>
    <row r="187">
      <c r="K187" s="41"/>
    </row>
    <row r="188">
      <c r="K188" s="41"/>
    </row>
    <row r="189">
      <c r="K189" s="41"/>
    </row>
    <row r="190">
      <c r="K190" s="41"/>
    </row>
    <row r="191">
      <c r="K191" s="41"/>
    </row>
    <row r="192">
      <c r="K192" s="41"/>
    </row>
    <row r="193">
      <c r="K193" s="41"/>
    </row>
    <row r="194">
      <c r="K194" s="41"/>
    </row>
    <row r="195">
      <c r="K195" s="41"/>
    </row>
    <row r="196">
      <c r="K196" s="41"/>
    </row>
    <row r="197">
      <c r="K197" s="41"/>
    </row>
    <row r="198">
      <c r="K198" s="41"/>
    </row>
    <row r="199">
      <c r="K199" s="41"/>
    </row>
    <row r="200">
      <c r="K200" s="41"/>
    </row>
    <row r="201">
      <c r="K201" s="41"/>
    </row>
    <row r="202">
      <c r="K202" s="41"/>
    </row>
    <row r="203">
      <c r="K203" s="41"/>
    </row>
    <row r="204">
      <c r="K204" s="41"/>
    </row>
    <row r="205">
      <c r="K205" s="41"/>
    </row>
    <row r="206">
      <c r="K206" s="41"/>
    </row>
    <row r="207">
      <c r="K207" s="41"/>
    </row>
    <row r="208">
      <c r="K208" s="41"/>
    </row>
    <row r="209">
      <c r="K209" s="41"/>
    </row>
    <row r="210">
      <c r="K210" s="41"/>
    </row>
    <row r="211">
      <c r="K211" s="41"/>
    </row>
    <row r="212">
      <c r="K212" s="41"/>
    </row>
    <row r="213">
      <c r="K213" s="41"/>
    </row>
    <row r="214">
      <c r="K214" s="41"/>
    </row>
    <row r="215">
      <c r="K215" s="41"/>
    </row>
    <row r="216">
      <c r="K216" s="41"/>
    </row>
    <row r="217">
      <c r="K217" s="41"/>
    </row>
    <row r="218">
      <c r="K218" s="41"/>
    </row>
    <row r="219">
      <c r="K219" s="41"/>
    </row>
    <row r="220">
      <c r="K220" s="41"/>
    </row>
    <row r="221">
      <c r="K221" s="41"/>
    </row>
    <row r="222">
      <c r="K222" s="41"/>
    </row>
    <row r="223">
      <c r="K223" s="41"/>
    </row>
    <row r="224">
      <c r="K224" s="41"/>
    </row>
    <row r="225">
      <c r="K225" s="41"/>
    </row>
    <row r="226">
      <c r="K226" s="41"/>
    </row>
    <row r="227">
      <c r="K227" s="41"/>
    </row>
    <row r="228">
      <c r="K228" s="41"/>
    </row>
    <row r="229">
      <c r="K229" s="41"/>
    </row>
    <row r="230">
      <c r="K230" s="41"/>
    </row>
    <row r="231">
      <c r="K231" s="41"/>
    </row>
    <row r="232">
      <c r="K232" s="41"/>
    </row>
    <row r="233">
      <c r="K233" s="41"/>
    </row>
    <row r="234">
      <c r="K234" s="41"/>
    </row>
    <row r="235">
      <c r="K235" s="41"/>
    </row>
    <row r="236">
      <c r="K236" s="41"/>
    </row>
    <row r="237">
      <c r="K237" s="41"/>
    </row>
    <row r="238">
      <c r="K238" s="41"/>
    </row>
    <row r="239">
      <c r="K239" s="41"/>
    </row>
    <row r="240">
      <c r="K240" s="41"/>
    </row>
    <row r="241">
      <c r="K241" s="41"/>
    </row>
    <row r="242">
      <c r="K242" s="41"/>
    </row>
    <row r="243">
      <c r="K243" s="41"/>
    </row>
    <row r="244">
      <c r="K244" s="41"/>
    </row>
    <row r="245">
      <c r="K245" s="41"/>
    </row>
    <row r="246">
      <c r="K246" s="41"/>
    </row>
    <row r="247">
      <c r="K247" s="41"/>
    </row>
    <row r="248">
      <c r="K248" s="41"/>
    </row>
    <row r="249">
      <c r="K249" s="41"/>
    </row>
    <row r="250">
      <c r="K250" s="41"/>
    </row>
    <row r="251">
      <c r="K251" s="41"/>
    </row>
    <row r="252">
      <c r="K252" s="41"/>
    </row>
    <row r="253">
      <c r="K253" s="41"/>
    </row>
    <row r="254">
      <c r="K254" s="41"/>
    </row>
    <row r="255">
      <c r="K255" s="41"/>
    </row>
    <row r="256">
      <c r="K256" s="41"/>
    </row>
    <row r="257">
      <c r="K257" s="41"/>
    </row>
    <row r="258">
      <c r="K258" s="41"/>
    </row>
    <row r="259">
      <c r="K259" s="41"/>
    </row>
    <row r="260">
      <c r="K260" s="41"/>
    </row>
    <row r="261">
      <c r="K261" s="41"/>
    </row>
    <row r="262">
      <c r="K262" s="41"/>
    </row>
    <row r="263">
      <c r="K263" s="41"/>
    </row>
    <row r="264">
      <c r="K264" s="41"/>
    </row>
    <row r="265">
      <c r="K265" s="41"/>
    </row>
    <row r="266">
      <c r="K266" s="41"/>
    </row>
    <row r="267">
      <c r="K267" s="41"/>
    </row>
    <row r="268">
      <c r="K268" s="41"/>
    </row>
    <row r="269">
      <c r="K269" s="41"/>
    </row>
    <row r="270">
      <c r="K270" s="41"/>
    </row>
    <row r="271">
      <c r="K271" s="41"/>
    </row>
    <row r="272">
      <c r="K272" s="41"/>
    </row>
    <row r="273">
      <c r="K273" s="41"/>
    </row>
    <row r="274">
      <c r="K274" s="41"/>
    </row>
    <row r="275">
      <c r="K275" s="41"/>
    </row>
    <row r="276">
      <c r="K276" s="41"/>
    </row>
    <row r="277">
      <c r="K277" s="41"/>
    </row>
    <row r="278">
      <c r="K278" s="41"/>
    </row>
    <row r="279">
      <c r="K279" s="41"/>
    </row>
    <row r="280">
      <c r="K280" s="41"/>
    </row>
    <row r="281">
      <c r="K281" s="41"/>
    </row>
    <row r="282">
      <c r="K282" s="41"/>
    </row>
    <row r="283">
      <c r="K283" s="41"/>
    </row>
    <row r="284">
      <c r="K284" s="41"/>
    </row>
    <row r="285">
      <c r="K285" s="41"/>
    </row>
    <row r="286">
      <c r="K286" s="41"/>
    </row>
    <row r="287">
      <c r="K287" s="41"/>
    </row>
    <row r="288">
      <c r="K288" s="41"/>
    </row>
    <row r="289">
      <c r="K289" s="41"/>
    </row>
    <row r="290">
      <c r="K290" s="41"/>
    </row>
    <row r="291">
      <c r="K291" s="41"/>
    </row>
    <row r="292">
      <c r="K292" s="41"/>
    </row>
    <row r="293">
      <c r="K293" s="41"/>
    </row>
    <row r="294">
      <c r="K294" s="41"/>
    </row>
    <row r="295">
      <c r="K295" s="41"/>
    </row>
    <row r="296">
      <c r="K296" s="41"/>
    </row>
    <row r="297">
      <c r="K297" s="41"/>
    </row>
    <row r="298">
      <c r="K298" s="41"/>
    </row>
    <row r="299">
      <c r="K299" s="41"/>
    </row>
    <row r="300">
      <c r="K300" s="41"/>
    </row>
    <row r="301">
      <c r="K301" s="41"/>
    </row>
    <row r="302">
      <c r="K302" s="41"/>
    </row>
    <row r="303">
      <c r="K303" s="41"/>
    </row>
    <row r="304">
      <c r="K304" s="41"/>
    </row>
    <row r="305">
      <c r="K305" s="41"/>
    </row>
    <row r="306">
      <c r="K306" s="41"/>
    </row>
    <row r="307">
      <c r="K307" s="41"/>
    </row>
    <row r="308">
      <c r="K308" s="41"/>
    </row>
    <row r="309">
      <c r="K309" s="41"/>
    </row>
    <row r="310">
      <c r="K310" s="41"/>
    </row>
    <row r="311">
      <c r="K311" s="41"/>
    </row>
    <row r="312">
      <c r="K312" s="41"/>
    </row>
    <row r="313">
      <c r="K313" s="41"/>
    </row>
    <row r="314">
      <c r="K314" s="41"/>
    </row>
    <row r="315">
      <c r="K315" s="41"/>
    </row>
    <row r="316">
      <c r="K316" s="41"/>
    </row>
    <row r="317">
      <c r="K317" s="41"/>
    </row>
    <row r="318">
      <c r="K318" s="41"/>
    </row>
    <row r="319">
      <c r="K319" s="41"/>
    </row>
    <row r="320">
      <c r="K320" s="41"/>
    </row>
    <row r="321">
      <c r="K321" s="41"/>
    </row>
    <row r="322">
      <c r="K322" s="41"/>
    </row>
    <row r="323">
      <c r="K323" s="41"/>
    </row>
    <row r="324">
      <c r="K324" s="41"/>
    </row>
    <row r="325">
      <c r="K325" s="41"/>
    </row>
    <row r="326">
      <c r="K326" s="41"/>
    </row>
    <row r="327">
      <c r="K327" s="41"/>
    </row>
    <row r="328">
      <c r="K328" s="41"/>
    </row>
    <row r="329">
      <c r="K329" s="41"/>
    </row>
    <row r="330">
      <c r="K330" s="41"/>
    </row>
    <row r="331">
      <c r="K331" s="41"/>
    </row>
    <row r="332">
      <c r="K332" s="41"/>
    </row>
    <row r="333">
      <c r="K333" s="41"/>
    </row>
    <row r="334">
      <c r="K334" s="41"/>
    </row>
    <row r="335">
      <c r="K335" s="41"/>
    </row>
    <row r="336">
      <c r="K336" s="41"/>
    </row>
    <row r="337">
      <c r="K337" s="41"/>
    </row>
    <row r="338">
      <c r="K338" s="41"/>
    </row>
    <row r="339">
      <c r="K339" s="41"/>
    </row>
    <row r="340">
      <c r="K340" s="41"/>
    </row>
    <row r="341">
      <c r="K341" s="41"/>
    </row>
    <row r="342">
      <c r="K342" s="41"/>
    </row>
    <row r="343">
      <c r="K343" s="41"/>
    </row>
    <row r="344">
      <c r="K344" s="41"/>
    </row>
    <row r="345">
      <c r="K345" s="41"/>
    </row>
    <row r="346">
      <c r="K346" s="41"/>
    </row>
    <row r="347">
      <c r="K347" s="41"/>
    </row>
    <row r="348">
      <c r="K348" s="41"/>
    </row>
    <row r="349">
      <c r="K349" s="41"/>
    </row>
    <row r="350">
      <c r="K350" s="41"/>
    </row>
    <row r="351">
      <c r="K351" s="41"/>
    </row>
    <row r="352">
      <c r="K352" s="41"/>
    </row>
    <row r="353">
      <c r="K353" s="41"/>
    </row>
    <row r="354">
      <c r="K354" s="41"/>
    </row>
    <row r="355">
      <c r="K355" s="41"/>
    </row>
    <row r="356">
      <c r="K356" s="41"/>
    </row>
    <row r="357">
      <c r="K357" s="41"/>
    </row>
    <row r="358">
      <c r="K358" s="41"/>
    </row>
    <row r="359">
      <c r="K359" s="41"/>
    </row>
    <row r="360">
      <c r="K360" s="41"/>
    </row>
    <row r="361">
      <c r="K361" s="41"/>
    </row>
    <row r="362">
      <c r="K362" s="41"/>
    </row>
    <row r="363">
      <c r="K363" s="41"/>
    </row>
    <row r="364">
      <c r="K364" s="41"/>
    </row>
    <row r="365">
      <c r="K365" s="41"/>
    </row>
    <row r="366">
      <c r="K366" s="41"/>
    </row>
    <row r="367">
      <c r="K367" s="41"/>
    </row>
    <row r="368">
      <c r="K368" s="41"/>
    </row>
    <row r="369">
      <c r="K369" s="41"/>
    </row>
    <row r="370">
      <c r="K370" s="41"/>
    </row>
    <row r="371">
      <c r="K371" s="41"/>
    </row>
    <row r="372">
      <c r="K372" s="41"/>
    </row>
    <row r="373">
      <c r="K373" s="41"/>
    </row>
    <row r="374">
      <c r="K374" s="41"/>
    </row>
    <row r="375">
      <c r="K375" s="41"/>
    </row>
    <row r="376">
      <c r="K376" s="41"/>
    </row>
    <row r="377">
      <c r="K377" s="41"/>
    </row>
    <row r="378">
      <c r="K378" s="41"/>
    </row>
    <row r="379">
      <c r="K379" s="41"/>
    </row>
    <row r="380">
      <c r="K380" s="41"/>
    </row>
    <row r="381">
      <c r="K381" s="41"/>
    </row>
    <row r="382">
      <c r="K382" s="41"/>
    </row>
    <row r="383">
      <c r="K383" s="41"/>
    </row>
    <row r="384">
      <c r="K384" s="41"/>
    </row>
    <row r="385">
      <c r="K385" s="41"/>
    </row>
    <row r="386">
      <c r="K386" s="41"/>
    </row>
    <row r="387">
      <c r="K387" s="41"/>
    </row>
    <row r="388">
      <c r="K388" s="41"/>
    </row>
    <row r="389">
      <c r="K389" s="41"/>
    </row>
    <row r="390">
      <c r="K390" s="41"/>
    </row>
    <row r="391">
      <c r="K391" s="41"/>
    </row>
    <row r="392">
      <c r="K392" s="41"/>
    </row>
    <row r="393">
      <c r="K393" s="41"/>
    </row>
    <row r="394">
      <c r="K394" s="41"/>
    </row>
    <row r="395">
      <c r="K395" s="41"/>
    </row>
    <row r="396">
      <c r="K396" s="41"/>
    </row>
    <row r="397">
      <c r="K397" s="41"/>
    </row>
    <row r="398">
      <c r="K398" s="41"/>
    </row>
    <row r="399">
      <c r="K399" s="41"/>
    </row>
    <row r="400">
      <c r="K400" s="41"/>
    </row>
    <row r="401">
      <c r="K401" s="41"/>
    </row>
    <row r="402">
      <c r="K402" s="41"/>
    </row>
    <row r="403">
      <c r="K403" s="41"/>
    </row>
    <row r="404">
      <c r="K404" s="41"/>
    </row>
    <row r="405">
      <c r="K405" s="41"/>
    </row>
    <row r="406">
      <c r="K406" s="41"/>
    </row>
    <row r="407">
      <c r="K407" s="41"/>
    </row>
    <row r="408">
      <c r="K408" s="41"/>
    </row>
    <row r="409">
      <c r="K409" s="41"/>
    </row>
    <row r="410">
      <c r="K410" s="41"/>
    </row>
    <row r="411">
      <c r="K411" s="41"/>
    </row>
    <row r="412">
      <c r="K412" s="41"/>
    </row>
    <row r="413">
      <c r="K413" s="41"/>
    </row>
    <row r="414">
      <c r="K414" s="41"/>
    </row>
    <row r="415">
      <c r="K415" s="41"/>
    </row>
    <row r="416">
      <c r="K416" s="41"/>
    </row>
    <row r="417">
      <c r="K417" s="41"/>
    </row>
    <row r="418">
      <c r="K418" s="41"/>
    </row>
    <row r="419">
      <c r="K419" s="41"/>
    </row>
    <row r="420">
      <c r="K420" s="41"/>
    </row>
    <row r="421">
      <c r="K421" s="41"/>
    </row>
    <row r="422">
      <c r="K422" s="41"/>
    </row>
    <row r="423">
      <c r="K423" s="41"/>
    </row>
    <row r="424">
      <c r="K424" s="41"/>
    </row>
    <row r="425">
      <c r="K425" s="41"/>
    </row>
    <row r="426">
      <c r="K426" s="41"/>
    </row>
    <row r="427">
      <c r="K427" s="41"/>
    </row>
    <row r="428">
      <c r="K428" s="41"/>
    </row>
    <row r="429">
      <c r="K429" s="41"/>
    </row>
    <row r="430">
      <c r="K430" s="41"/>
    </row>
    <row r="431">
      <c r="K431" s="41"/>
    </row>
    <row r="432">
      <c r="K432" s="41"/>
    </row>
    <row r="433">
      <c r="K433" s="41"/>
    </row>
    <row r="434">
      <c r="K434" s="41"/>
    </row>
    <row r="435">
      <c r="K435" s="41"/>
    </row>
    <row r="436">
      <c r="K436" s="41"/>
    </row>
    <row r="437">
      <c r="K437" s="41"/>
    </row>
    <row r="438">
      <c r="K438" s="41"/>
    </row>
    <row r="439">
      <c r="K439" s="41"/>
    </row>
    <row r="440">
      <c r="K440" s="41"/>
    </row>
    <row r="441">
      <c r="K441" s="41"/>
    </row>
    <row r="442">
      <c r="K442" s="41"/>
    </row>
    <row r="443">
      <c r="K443" s="41"/>
    </row>
    <row r="444">
      <c r="K444" s="41"/>
    </row>
    <row r="445">
      <c r="K445" s="41"/>
    </row>
    <row r="446">
      <c r="K446" s="41"/>
    </row>
    <row r="447">
      <c r="K447" s="41"/>
    </row>
    <row r="448">
      <c r="K448" s="41"/>
    </row>
    <row r="449">
      <c r="K449" s="41"/>
    </row>
    <row r="450">
      <c r="K450" s="41"/>
    </row>
    <row r="451">
      <c r="K451" s="41"/>
    </row>
    <row r="452">
      <c r="K452" s="41"/>
    </row>
    <row r="453">
      <c r="K453" s="41"/>
    </row>
    <row r="454">
      <c r="K454" s="41"/>
    </row>
    <row r="455">
      <c r="K455" s="41"/>
    </row>
    <row r="456">
      <c r="K456" s="41"/>
    </row>
    <row r="457">
      <c r="K457" s="41"/>
    </row>
    <row r="458">
      <c r="K458" s="41"/>
    </row>
    <row r="459">
      <c r="K459" s="41"/>
    </row>
    <row r="460">
      <c r="K460" s="41"/>
    </row>
    <row r="461">
      <c r="K461" s="41"/>
    </row>
    <row r="462">
      <c r="K462" s="41"/>
    </row>
    <row r="463">
      <c r="K463" s="41"/>
    </row>
    <row r="464">
      <c r="K464" s="41"/>
    </row>
    <row r="465">
      <c r="K465" s="41"/>
    </row>
    <row r="466">
      <c r="K466" s="41"/>
    </row>
    <row r="467">
      <c r="K467" s="41"/>
    </row>
    <row r="468">
      <c r="K468" s="41"/>
    </row>
    <row r="469">
      <c r="K469" s="41"/>
    </row>
    <row r="470">
      <c r="K470" s="41"/>
    </row>
    <row r="471">
      <c r="K471" s="41"/>
    </row>
    <row r="472">
      <c r="K472" s="41"/>
    </row>
    <row r="473">
      <c r="K473" s="41"/>
    </row>
    <row r="474">
      <c r="K474" s="41"/>
    </row>
    <row r="475">
      <c r="K475" s="41"/>
    </row>
    <row r="476">
      <c r="K476" s="41"/>
    </row>
    <row r="477">
      <c r="K477" s="41"/>
    </row>
    <row r="478">
      <c r="K478" s="41"/>
    </row>
    <row r="479">
      <c r="K479" s="41"/>
    </row>
    <row r="480">
      <c r="K480" s="41"/>
    </row>
    <row r="481">
      <c r="K481" s="41"/>
    </row>
    <row r="482">
      <c r="K482" s="41"/>
    </row>
    <row r="483">
      <c r="K483" s="41"/>
    </row>
    <row r="484">
      <c r="K484" s="41"/>
    </row>
    <row r="485">
      <c r="K485" s="41"/>
    </row>
    <row r="486">
      <c r="K486" s="41"/>
    </row>
    <row r="487">
      <c r="K487" s="41"/>
    </row>
    <row r="488">
      <c r="K488" s="41"/>
    </row>
    <row r="489">
      <c r="K489" s="41"/>
    </row>
    <row r="490">
      <c r="K490" s="41"/>
    </row>
    <row r="491">
      <c r="K491" s="41"/>
    </row>
    <row r="492">
      <c r="K492" s="41"/>
    </row>
    <row r="493">
      <c r="K493" s="41"/>
    </row>
    <row r="494">
      <c r="K494" s="41"/>
    </row>
    <row r="495">
      <c r="K495" s="41"/>
    </row>
    <row r="496">
      <c r="K496" s="41"/>
    </row>
    <row r="497">
      <c r="K497" s="41"/>
    </row>
    <row r="498">
      <c r="K498" s="41"/>
    </row>
    <row r="499">
      <c r="K499" s="41"/>
    </row>
    <row r="500">
      <c r="K500" s="41"/>
    </row>
    <row r="501">
      <c r="K501" s="41"/>
    </row>
    <row r="502">
      <c r="K502" s="41"/>
    </row>
    <row r="503">
      <c r="K503" s="41"/>
    </row>
    <row r="504">
      <c r="K504" s="41"/>
    </row>
    <row r="505">
      <c r="K505" s="41"/>
    </row>
    <row r="506">
      <c r="K506" s="41"/>
    </row>
    <row r="507">
      <c r="K507" s="41"/>
    </row>
    <row r="508">
      <c r="K508" s="41"/>
    </row>
    <row r="509">
      <c r="K509" s="41"/>
    </row>
    <row r="510">
      <c r="K510" s="41"/>
    </row>
    <row r="511">
      <c r="K511" s="41"/>
    </row>
    <row r="512">
      <c r="K512" s="41"/>
    </row>
    <row r="513">
      <c r="K513" s="41"/>
    </row>
    <row r="514">
      <c r="K514" s="41"/>
    </row>
    <row r="515">
      <c r="K515" s="41"/>
    </row>
    <row r="516">
      <c r="K516" s="41"/>
    </row>
    <row r="517">
      <c r="K517" s="41"/>
    </row>
    <row r="518">
      <c r="K518" s="41"/>
    </row>
    <row r="519">
      <c r="K519" s="41"/>
    </row>
    <row r="520">
      <c r="K520" s="41"/>
    </row>
    <row r="521">
      <c r="K521" s="41"/>
    </row>
    <row r="522">
      <c r="K522" s="41"/>
    </row>
    <row r="523">
      <c r="K523" s="41"/>
    </row>
    <row r="524">
      <c r="K524" s="41"/>
    </row>
    <row r="525">
      <c r="K525" s="41"/>
    </row>
    <row r="526">
      <c r="K526" s="41"/>
    </row>
    <row r="527">
      <c r="K527" s="41"/>
    </row>
    <row r="528">
      <c r="K528" s="41"/>
    </row>
    <row r="529">
      <c r="K529" s="41"/>
    </row>
    <row r="530">
      <c r="K530" s="41"/>
    </row>
    <row r="531">
      <c r="K531" s="41"/>
    </row>
    <row r="532">
      <c r="K532" s="41"/>
    </row>
    <row r="533">
      <c r="K533" s="41"/>
    </row>
    <row r="534">
      <c r="K534" s="41"/>
    </row>
    <row r="535">
      <c r="K535" s="41"/>
    </row>
    <row r="536">
      <c r="K536" s="41"/>
    </row>
    <row r="537">
      <c r="K537" s="41"/>
    </row>
    <row r="538">
      <c r="K538" s="41"/>
    </row>
    <row r="539">
      <c r="K539" s="41"/>
    </row>
    <row r="540">
      <c r="K540" s="41"/>
    </row>
    <row r="541">
      <c r="K541" s="41"/>
    </row>
    <row r="542">
      <c r="K542" s="41"/>
    </row>
    <row r="543">
      <c r="K543" s="41"/>
    </row>
    <row r="544">
      <c r="K544" s="41"/>
    </row>
    <row r="545">
      <c r="K545" s="41"/>
    </row>
    <row r="546">
      <c r="K546" s="41"/>
    </row>
    <row r="547">
      <c r="K547" s="41"/>
    </row>
    <row r="548">
      <c r="K548" s="41"/>
    </row>
    <row r="549">
      <c r="K549" s="41"/>
    </row>
    <row r="550">
      <c r="K550" s="41"/>
    </row>
    <row r="551">
      <c r="K551" s="41"/>
    </row>
    <row r="552">
      <c r="K552" s="41"/>
    </row>
    <row r="553">
      <c r="K553" s="41"/>
    </row>
    <row r="554">
      <c r="K554" s="41"/>
    </row>
    <row r="555">
      <c r="K555" s="41"/>
    </row>
    <row r="556">
      <c r="K556" s="41"/>
    </row>
    <row r="557">
      <c r="K557" s="41"/>
    </row>
    <row r="558">
      <c r="K558" s="41"/>
    </row>
    <row r="559">
      <c r="K559" s="41"/>
    </row>
    <row r="560">
      <c r="K560" s="41"/>
    </row>
    <row r="561">
      <c r="K561" s="41"/>
    </row>
    <row r="562">
      <c r="K562" s="41"/>
    </row>
    <row r="563">
      <c r="K563" s="41"/>
    </row>
    <row r="564">
      <c r="K564" s="41"/>
    </row>
    <row r="565">
      <c r="K565" s="41"/>
    </row>
    <row r="566">
      <c r="K566" s="41"/>
    </row>
    <row r="567">
      <c r="K567" s="41"/>
    </row>
    <row r="568">
      <c r="K568" s="41"/>
    </row>
    <row r="569">
      <c r="K569" s="41"/>
    </row>
    <row r="570">
      <c r="K570" s="41"/>
    </row>
    <row r="571">
      <c r="K571" s="41"/>
    </row>
    <row r="572">
      <c r="K572" s="41"/>
    </row>
    <row r="573">
      <c r="K573" s="41"/>
    </row>
    <row r="574">
      <c r="K574" s="41"/>
    </row>
    <row r="575">
      <c r="K575" s="41"/>
    </row>
    <row r="576">
      <c r="K576" s="41"/>
    </row>
    <row r="577">
      <c r="K577" s="41"/>
    </row>
    <row r="578">
      <c r="K578" s="41"/>
    </row>
    <row r="579">
      <c r="K579" s="41"/>
    </row>
    <row r="580">
      <c r="K580" s="41"/>
    </row>
    <row r="581">
      <c r="K581" s="41"/>
    </row>
    <row r="582">
      <c r="K582" s="41"/>
    </row>
    <row r="583">
      <c r="K583" s="41"/>
    </row>
    <row r="584">
      <c r="K584" s="41"/>
    </row>
    <row r="585">
      <c r="K585" s="41"/>
    </row>
    <row r="586">
      <c r="K586" s="41"/>
    </row>
    <row r="587">
      <c r="K587" s="41"/>
    </row>
    <row r="588">
      <c r="K588" s="41"/>
    </row>
    <row r="589">
      <c r="K589" s="41"/>
    </row>
    <row r="590">
      <c r="K590" s="41"/>
    </row>
    <row r="591">
      <c r="K591" s="41"/>
    </row>
    <row r="592">
      <c r="K592" s="41"/>
    </row>
    <row r="593">
      <c r="K593" s="41"/>
    </row>
    <row r="594">
      <c r="K594" s="41"/>
    </row>
    <row r="595">
      <c r="K595" s="41"/>
    </row>
    <row r="596">
      <c r="K596" s="41"/>
    </row>
    <row r="597">
      <c r="K597" s="41"/>
    </row>
    <row r="598">
      <c r="K598" s="41"/>
    </row>
    <row r="599">
      <c r="K599" s="41"/>
    </row>
    <row r="600">
      <c r="K600" s="41"/>
    </row>
    <row r="601">
      <c r="K601" s="41"/>
    </row>
    <row r="602">
      <c r="K602" s="41"/>
    </row>
    <row r="603">
      <c r="K603" s="41"/>
    </row>
    <row r="604">
      <c r="K604" s="41"/>
    </row>
    <row r="605">
      <c r="K605" s="41"/>
    </row>
    <row r="606">
      <c r="K606" s="41"/>
    </row>
    <row r="607">
      <c r="K607" s="41"/>
    </row>
    <row r="608">
      <c r="K608" s="41"/>
    </row>
    <row r="609">
      <c r="K609" s="41"/>
    </row>
    <row r="610">
      <c r="K610" s="41"/>
    </row>
    <row r="611">
      <c r="K611" s="41"/>
    </row>
    <row r="612">
      <c r="K612" s="41"/>
    </row>
    <row r="613">
      <c r="K613" s="41"/>
    </row>
    <row r="614">
      <c r="K614" s="41"/>
    </row>
    <row r="615">
      <c r="K615" s="41"/>
    </row>
    <row r="616">
      <c r="K616" s="41"/>
    </row>
    <row r="617">
      <c r="K617" s="41"/>
    </row>
    <row r="618">
      <c r="K618" s="41"/>
    </row>
    <row r="619">
      <c r="K619" s="41"/>
    </row>
    <row r="620">
      <c r="K620" s="41"/>
    </row>
    <row r="621">
      <c r="K621" s="41"/>
    </row>
    <row r="622">
      <c r="K622" s="41"/>
    </row>
    <row r="623">
      <c r="K623" s="41"/>
    </row>
    <row r="624">
      <c r="K624" s="41"/>
    </row>
    <row r="625">
      <c r="K625" s="41"/>
    </row>
    <row r="626">
      <c r="K626" s="41"/>
    </row>
    <row r="627">
      <c r="K627" s="41"/>
    </row>
    <row r="628">
      <c r="K628" s="41"/>
    </row>
    <row r="629">
      <c r="K629" s="41"/>
    </row>
    <row r="630">
      <c r="K630" s="41"/>
    </row>
    <row r="631">
      <c r="K631" s="41"/>
    </row>
    <row r="632">
      <c r="K632" s="41"/>
    </row>
    <row r="633">
      <c r="K633" s="41"/>
    </row>
    <row r="634">
      <c r="K634" s="41"/>
    </row>
    <row r="635">
      <c r="K635" s="41"/>
    </row>
    <row r="636">
      <c r="K636" s="41"/>
    </row>
    <row r="637">
      <c r="K637" s="41"/>
    </row>
    <row r="638">
      <c r="K638" s="41"/>
    </row>
    <row r="639">
      <c r="K639" s="41"/>
    </row>
    <row r="640">
      <c r="K640" s="41"/>
    </row>
    <row r="641">
      <c r="K641" s="41"/>
    </row>
    <row r="642">
      <c r="K642" s="41"/>
    </row>
    <row r="643">
      <c r="K643" s="41"/>
    </row>
    <row r="644">
      <c r="K644" s="41"/>
    </row>
    <row r="645">
      <c r="K645" s="41"/>
    </row>
    <row r="646">
      <c r="K646" s="41"/>
    </row>
    <row r="647">
      <c r="K647" s="41"/>
    </row>
    <row r="648">
      <c r="K648" s="41"/>
    </row>
    <row r="649">
      <c r="K649" s="41"/>
    </row>
    <row r="650">
      <c r="K650" s="41"/>
    </row>
    <row r="651">
      <c r="K651" s="41"/>
    </row>
    <row r="652">
      <c r="K652" s="41"/>
    </row>
    <row r="653">
      <c r="K653" s="41"/>
    </row>
    <row r="654">
      <c r="K654" s="41"/>
    </row>
    <row r="655">
      <c r="K655" s="41"/>
    </row>
    <row r="656">
      <c r="K656" s="41"/>
    </row>
    <row r="657">
      <c r="K657" s="41"/>
    </row>
    <row r="658">
      <c r="K658" s="41"/>
    </row>
    <row r="659">
      <c r="K659" s="41"/>
    </row>
    <row r="660">
      <c r="K660" s="41"/>
    </row>
    <row r="661">
      <c r="K661" s="41"/>
    </row>
    <row r="662">
      <c r="K662" s="41"/>
    </row>
    <row r="663">
      <c r="K663" s="41"/>
    </row>
    <row r="664">
      <c r="K664" s="41"/>
    </row>
    <row r="665">
      <c r="K665" s="41"/>
    </row>
    <row r="666">
      <c r="K666" s="41"/>
    </row>
    <row r="667">
      <c r="K667" s="41"/>
    </row>
    <row r="668">
      <c r="K668" s="41"/>
    </row>
    <row r="669">
      <c r="K669" s="41"/>
    </row>
    <row r="670">
      <c r="K670" s="41"/>
    </row>
    <row r="671">
      <c r="K671" s="41"/>
    </row>
    <row r="672">
      <c r="K672" s="41"/>
    </row>
    <row r="673">
      <c r="K673" s="41"/>
    </row>
    <row r="674">
      <c r="K674" s="41"/>
    </row>
    <row r="675">
      <c r="K675" s="41"/>
    </row>
    <row r="676">
      <c r="K676" s="41"/>
    </row>
    <row r="677">
      <c r="K677" s="41"/>
    </row>
    <row r="678">
      <c r="K678" s="41"/>
    </row>
    <row r="679">
      <c r="K679" s="41"/>
    </row>
    <row r="680">
      <c r="K680" s="41"/>
    </row>
    <row r="681">
      <c r="K681" s="41"/>
    </row>
    <row r="682">
      <c r="K682" s="41"/>
    </row>
    <row r="683">
      <c r="K683" s="41"/>
    </row>
    <row r="684">
      <c r="K684" s="41"/>
    </row>
    <row r="685">
      <c r="K685" s="41"/>
    </row>
    <row r="686">
      <c r="K686" s="41"/>
    </row>
    <row r="687">
      <c r="K687" s="41"/>
    </row>
    <row r="688">
      <c r="K688" s="41"/>
    </row>
    <row r="689">
      <c r="K689" s="41"/>
    </row>
    <row r="690">
      <c r="K690" s="41"/>
    </row>
    <row r="691">
      <c r="K691" s="41"/>
    </row>
    <row r="692">
      <c r="K692" s="41"/>
    </row>
    <row r="693">
      <c r="K693" s="41"/>
    </row>
    <row r="694">
      <c r="K694" s="41"/>
    </row>
    <row r="695">
      <c r="K695" s="41"/>
    </row>
    <row r="696">
      <c r="K696" s="41"/>
    </row>
    <row r="697">
      <c r="K697" s="41"/>
    </row>
    <row r="698">
      <c r="K698" s="41"/>
    </row>
    <row r="699">
      <c r="K699" s="41"/>
    </row>
    <row r="700">
      <c r="K700" s="41"/>
    </row>
    <row r="701">
      <c r="K701" s="41"/>
    </row>
    <row r="702">
      <c r="K702" s="41"/>
    </row>
    <row r="703">
      <c r="K703" s="41"/>
    </row>
    <row r="704">
      <c r="K704" s="41"/>
    </row>
    <row r="705">
      <c r="K705" s="41"/>
    </row>
    <row r="706">
      <c r="K706" s="41"/>
    </row>
    <row r="707">
      <c r="K707" s="41"/>
    </row>
    <row r="708">
      <c r="K708" s="41"/>
    </row>
    <row r="709">
      <c r="K709" s="41"/>
    </row>
    <row r="710">
      <c r="K710" s="41"/>
    </row>
    <row r="711">
      <c r="K711" s="41"/>
    </row>
    <row r="712">
      <c r="K712" s="41"/>
    </row>
    <row r="713">
      <c r="K713" s="41"/>
    </row>
    <row r="714">
      <c r="K714" s="41"/>
    </row>
    <row r="715">
      <c r="K715" s="41"/>
    </row>
    <row r="716">
      <c r="K716" s="41"/>
    </row>
    <row r="717">
      <c r="K717" s="41"/>
    </row>
    <row r="718">
      <c r="K718" s="41"/>
    </row>
    <row r="719">
      <c r="K719" s="41"/>
    </row>
    <row r="720">
      <c r="K720" s="41"/>
    </row>
    <row r="721">
      <c r="K721" s="41"/>
    </row>
    <row r="722">
      <c r="K722" s="41"/>
    </row>
    <row r="723">
      <c r="K723" s="41"/>
    </row>
    <row r="724">
      <c r="K724" s="41"/>
    </row>
    <row r="725">
      <c r="K725" s="41"/>
    </row>
    <row r="726">
      <c r="K726" s="41"/>
    </row>
    <row r="727">
      <c r="K727" s="41"/>
    </row>
    <row r="728">
      <c r="K728" s="41"/>
    </row>
    <row r="729">
      <c r="K729" s="41"/>
    </row>
    <row r="730">
      <c r="K730" s="41"/>
    </row>
    <row r="731">
      <c r="K731" s="41"/>
    </row>
    <row r="732">
      <c r="K732" s="41"/>
    </row>
    <row r="733">
      <c r="K733" s="41"/>
    </row>
    <row r="734">
      <c r="K734" s="41"/>
    </row>
    <row r="735">
      <c r="K735" s="41"/>
    </row>
    <row r="736">
      <c r="K736" s="41"/>
    </row>
    <row r="737">
      <c r="K737" s="41"/>
    </row>
    <row r="738">
      <c r="K738" s="41"/>
    </row>
    <row r="739">
      <c r="K739" s="41"/>
    </row>
    <row r="740">
      <c r="K740" s="41"/>
    </row>
    <row r="741">
      <c r="K741" s="41"/>
    </row>
    <row r="742">
      <c r="K742" s="41"/>
    </row>
    <row r="743">
      <c r="K743" s="41"/>
    </row>
    <row r="744">
      <c r="K744" s="41"/>
    </row>
    <row r="745">
      <c r="K745" s="41"/>
    </row>
    <row r="746">
      <c r="K746" s="41"/>
    </row>
    <row r="747">
      <c r="K747" s="41"/>
    </row>
    <row r="748">
      <c r="K748" s="41"/>
    </row>
    <row r="749">
      <c r="K749" s="41"/>
    </row>
    <row r="750">
      <c r="K750" s="41"/>
    </row>
    <row r="751">
      <c r="K751" s="41"/>
    </row>
    <row r="752">
      <c r="K752" s="41"/>
    </row>
    <row r="753">
      <c r="K753" s="41"/>
    </row>
    <row r="754">
      <c r="K754" s="41"/>
    </row>
    <row r="755">
      <c r="K755" s="41"/>
    </row>
    <row r="756">
      <c r="K756" s="41"/>
    </row>
    <row r="757">
      <c r="K757" s="41"/>
    </row>
    <row r="758">
      <c r="K758" s="41"/>
    </row>
    <row r="759">
      <c r="K759" s="41"/>
    </row>
    <row r="760">
      <c r="K760" s="41"/>
    </row>
    <row r="761">
      <c r="K761" s="41"/>
    </row>
    <row r="762">
      <c r="K762" s="41"/>
    </row>
    <row r="763">
      <c r="K763" s="41"/>
    </row>
    <row r="764">
      <c r="K764" s="41"/>
    </row>
    <row r="765">
      <c r="K765" s="41"/>
    </row>
    <row r="766">
      <c r="K766" s="41"/>
    </row>
    <row r="767">
      <c r="K767" s="41"/>
    </row>
    <row r="768">
      <c r="K768" s="41"/>
    </row>
    <row r="769">
      <c r="K769" s="41"/>
    </row>
    <row r="770">
      <c r="K770" s="41"/>
    </row>
    <row r="771">
      <c r="K771" s="41"/>
    </row>
    <row r="772">
      <c r="K772" s="41"/>
    </row>
    <row r="773">
      <c r="K773" s="41"/>
    </row>
    <row r="774">
      <c r="K774" s="41"/>
    </row>
    <row r="775">
      <c r="K775" s="41"/>
    </row>
    <row r="776">
      <c r="K776" s="41"/>
    </row>
    <row r="777">
      <c r="K777" s="41"/>
    </row>
    <row r="778">
      <c r="K778" s="41"/>
    </row>
    <row r="779">
      <c r="K779" s="41"/>
    </row>
    <row r="780">
      <c r="K780" s="41"/>
    </row>
    <row r="781">
      <c r="K781" s="41"/>
    </row>
    <row r="782">
      <c r="K782" s="41"/>
    </row>
    <row r="783">
      <c r="K783" s="41"/>
    </row>
    <row r="784">
      <c r="K784" s="41"/>
    </row>
    <row r="785">
      <c r="K785" s="41"/>
    </row>
    <row r="786">
      <c r="K786" s="41"/>
    </row>
    <row r="787">
      <c r="K787" s="41"/>
    </row>
    <row r="788">
      <c r="K788" s="41"/>
    </row>
    <row r="789">
      <c r="K789" s="41"/>
    </row>
    <row r="790">
      <c r="K790" s="41"/>
    </row>
    <row r="791">
      <c r="K791" s="41"/>
    </row>
    <row r="792">
      <c r="K792" s="41"/>
    </row>
    <row r="793">
      <c r="K793" s="41"/>
    </row>
    <row r="794">
      <c r="K794" s="41"/>
    </row>
    <row r="795">
      <c r="K795" s="41"/>
    </row>
    <row r="796">
      <c r="K796" s="41"/>
    </row>
    <row r="797">
      <c r="K797" s="41"/>
    </row>
    <row r="798">
      <c r="K798" s="41"/>
    </row>
    <row r="799">
      <c r="K799" s="41"/>
    </row>
    <row r="800">
      <c r="K800" s="41"/>
    </row>
    <row r="801">
      <c r="K801" s="41"/>
    </row>
    <row r="802">
      <c r="K802" s="41"/>
    </row>
    <row r="803">
      <c r="K803" s="41"/>
    </row>
    <row r="804">
      <c r="K804" s="41"/>
    </row>
    <row r="805">
      <c r="K805" s="41"/>
    </row>
    <row r="806">
      <c r="K806" s="41"/>
    </row>
    <row r="807">
      <c r="K807" s="41"/>
    </row>
    <row r="808">
      <c r="K808" s="41"/>
    </row>
    <row r="809">
      <c r="K809" s="41"/>
    </row>
    <row r="810">
      <c r="K810" s="41"/>
    </row>
    <row r="811">
      <c r="K811" s="41"/>
    </row>
    <row r="812">
      <c r="K812" s="41"/>
    </row>
    <row r="813">
      <c r="K813" s="41"/>
    </row>
    <row r="814">
      <c r="K814" s="41"/>
    </row>
    <row r="815">
      <c r="K815" s="41"/>
    </row>
    <row r="816">
      <c r="K816" s="41"/>
    </row>
    <row r="817">
      <c r="K817" s="41"/>
    </row>
    <row r="818">
      <c r="K818" s="41"/>
    </row>
    <row r="819">
      <c r="K819" s="41"/>
    </row>
    <row r="820">
      <c r="K820" s="41"/>
    </row>
    <row r="821">
      <c r="K821" s="41"/>
    </row>
    <row r="822">
      <c r="K822" s="41"/>
    </row>
    <row r="823">
      <c r="K823" s="41"/>
    </row>
    <row r="824">
      <c r="K824" s="41"/>
    </row>
    <row r="825">
      <c r="K825" s="41"/>
    </row>
    <row r="826">
      <c r="K826" s="41"/>
    </row>
    <row r="827">
      <c r="K827" s="41"/>
    </row>
    <row r="828">
      <c r="K828" s="41"/>
    </row>
    <row r="829">
      <c r="K829" s="41"/>
    </row>
    <row r="830">
      <c r="K830" s="41"/>
    </row>
    <row r="831">
      <c r="K831" s="41"/>
    </row>
    <row r="832">
      <c r="K832" s="41"/>
    </row>
    <row r="833">
      <c r="K833" s="41"/>
    </row>
    <row r="834">
      <c r="K834" s="41"/>
    </row>
    <row r="835">
      <c r="K835" s="41"/>
    </row>
    <row r="836">
      <c r="K836" s="41"/>
    </row>
    <row r="837">
      <c r="K837" s="41"/>
    </row>
    <row r="838">
      <c r="K838" s="41"/>
    </row>
    <row r="839">
      <c r="K839" s="41"/>
    </row>
    <row r="840">
      <c r="K840" s="41"/>
    </row>
    <row r="841">
      <c r="K841" s="41"/>
    </row>
    <row r="842">
      <c r="K842" s="41"/>
    </row>
    <row r="843">
      <c r="K843" s="41"/>
    </row>
    <row r="844">
      <c r="K844" s="41"/>
    </row>
    <row r="845">
      <c r="K845" s="41"/>
    </row>
    <row r="846">
      <c r="K846" s="41"/>
    </row>
    <row r="847">
      <c r="K847" s="41"/>
    </row>
    <row r="848">
      <c r="K848" s="41"/>
    </row>
    <row r="849">
      <c r="K849" s="41"/>
    </row>
    <row r="850">
      <c r="K850" s="41"/>
    </row>
    <row r="851">
      <c r="K851" s="41"/>
    </row>
    <row r="852">
      <c r="K852" s="41"/>
    </row>
    <row r="853">
      <c r="K853" s="41"/>
    </row>
    <row r="854">
      <c r="K854" s="41"/>
    </row>
    <row r="855">
      <c r="K855" s="41"/>
    </row>
    <row r="856">
      <c r="K856" s="41"/>
    </row>
    <row r="857">
      <c r="K857" s="41"/>
    </row>
    <row r="858">
      <c r="K858" s="41"/>
    </row>
    <row r="859">
      <c r="K859" s="41"/>
    </row>
    <row r="860">
      <c r="K860" s="41"/>
    </row>
    <row r="861">
      <c r="K861" s="41"/>
    </row>
    <row r="862">
      <c r="K862" s="41"/>
    </row>
    <row r="863">
      <c r="K863" s="41"/>
    </row>
    <row r="864">
      <c r="K864" s="41"/>
    </row>
    <row r="865">
      <c r="K865" s="41"/>
    </row>
    <row r="866">
      <c r="K866" s="41"/>
    </row>
    <row r="867">
      <c r="K867" s="41"/>
    </row>
    <row r="868">
      <c r="K868" s="41"/>
    </row>
    <row r="869">
      <c r="K869" s="41"/>
    </row>
    <row r="870">
      <c r="K870" s="41"/>
    </row>
    <row r="871">
      <c r="K871" s="41"/>
    </row>
    <row r="872">
      <c r="K872" s="41"/>
    </row>
    <row r="873">
      <c r="K873" s="41"/>
    </row>
    <row r="874">
      <c r="K874" s="41"/>
    </row>
    <row r="875">
      <c r="K875" s="41"/>
    </row>
    <row r="876">
      <c r="K876" s="41"/>
    </row>
    <row r="877">
      <c r="K877" s="41"/>
    </row>
    <row r="878">
      <c r="K878" s="41"/>
    </row>
    <row r="879">
      <c r="K879" s="41"/>
    </row>
    <row r="880">
      <c r="K880" s="41"/>
    </row>
    <row r="881">
      <c r="K881" s="41"/>
    </row>
    <row r="882">
      <c r="K882" s="41"/>
    </row>
    <row r="883">
      <c r="K883" s="41"/>
    </row>
    <row r="884">
      <c r="K884" s="41"/>
    </row>
    <row r="885">
      <c r="K885" s="41"/>
    </row>
    <row r="886">
      <c r="K886" s="41"/>
    </row>
    <row r="887">
      <c r="K887" s="41"/>
    </row>
    <row r="888">
      <c r="K888" s="41"/>
    </row>
    <row r="889">
      <c r="K889" s="41"/>
    </row>
    <row r="890">
      <c r="K890" s="41"/>
    </row>
    <row r="891">
      <c r="K891" s="41"/>
    </row>
    <row r="892">
      <c r="K892" s="41"/>
    </row>
    <row r="893">
      <c r="K893" s="41"/>
    </row>
    <row r="894">
      <c r="K894" s="41"/>
    </row>
    <row r="895">
      <c r="K895" s="41"/>
    </row>
    <row r="896">
      <c r="K896" s="41"/>
    </row>
    <row r="897">
      <c r="K897" s="41"/>
    </row>
    <row r="898">
      <c r="K898" s="41"/>
    </row>
    <row r="899">
      <c r="K899" s="41"/>
    </row>
    <row r="900">
      <c r="K900" s="41"/>
    </row>
    <row r="901">
      <c r="K901" s="41"/>
    </row>
    <row r="902">
      <c r="K902" s="41"/>
    </row>
    <row r="903">
      <c r="K903" s="41"/>
    </row>
    <row r="904">
      <c r="K904" s="41"/>
    </row>
    <row r="905">
      <c r="K905" s="41"/>
    </row>
    <row r="906">
      <c r="K906" s="41"/>
    </row>
    <row r="907">
      <c r="K907" s="41"/>
    </row>
    <row r="908">
      <c r="K908" s="41"/>
    </row>
    <row r="909">
      <c r="K909" s="41"/>
    </row>
    <row r="910">
      <c r="K910" s="41"/>
    </row>
    <row r="911">
      <c r="K911" s="41"/>
    </row>
    <row r="912">
      <c r="K912" s="41"/>
    </row>
    <row r="913">
      <c r="K913" s="41"/>
    </row>
    <row r="914">
      <c r="K914" s="41"/>
    </row>
    <row r="915">
      <c r="K915" s="41"/>
    </row>
    <row r="916">
      <c r="K916" s="41"/>
    </row>
    <row r="917">
      <c r="K917" s="41"/>
    </row>
    <row r="918">
      <c r="K918" s="41"/>
    </row>
    <row r="919">
      <c r="K919" s="41"/>
    </row>
    <row r="920">
      <c r="K920" s="41"/>
    </row>
    <row r="921">
      <c r="K921" s="41"/>
    </row>
    <row r="922">
      <c r="K922" s="41"/>
    </row>
    <row r="923">
      <c r="K923" s="41"/>
    </row>
    <row r="924">
      <c r="K924" s="41"/>
    </row>
    <row r="925">
      <c r="K925" s="41"/>
    </row>
    <row r="926">
      <c r="K926" s="41"/>
    </row>
    <row r="927">
      <c r="K927" s="41"/>
    </row>
    <row r="928">
      <c r="K928" s="41"/>
    </row>
    <row r="929">
      <c r="K929" s="41"/>
    </row>
    <row r="930">
      <c r="K930" s="41"/>
    </row>
    <row r="931">
      <c r="K931" s="41"/>
    </row>
    <row r="932">
      <c r="K932" s="41"/>
    </row>
    <row r="933">
      <c r="K933" s="41"/>
    </row>
    <row r="934">
      <c r="K934" s="41"/>
    </row>
    <row r="935">
      <c r="K935" s="41"/>
    </row>
    <row r="936">
      <c r="K936" s="41"/>
    </row>
    <row r="937">
      <c r="K937" s="41"/>
    </row>
    <row r="938">
      <c r="K938" s="41"/>
    </row>
    <row r="939">
      <c r="K939" s="41"/>
    </row>
    <row r="940">
      <c r="K940" s="41"/>
    </row>
    <row r="941">
      <c r="K941" s="41"/>
    </row>
    <row r="942">
      <c r="K942" s="41"/>
    </row>
    <row r="943">
      <c r="K943" s="41"/>
    </row>
    <row r="944">
      <c r="K944" s="41"/>
    </row>
    <row r="945">
      <c r="K945" s="41"/>
    </row>
    <row r="946">
      <c r="K946" s="41"/>
    </row>
    <row r="947">
      <c r="K947" s="41"/>
    </row>
    <row r="948">
      <c r="K948" s="41"/>
    </row>
    <row r="949">
      <c r="K949" s="41"/>
    </row>
    <row r="950">
      <c r="K950" s="41"/>
    </row>
    <row r="951">
      <c r="K951" s="41"/>
    </row>
    <row r="952">
      <c r="K952" s="41"/>
    </row>
    <row r="953">
      <c r="K953" s="41"/>
    </row>
    <row r="954">
      <c r="K954" s="41"/>
    </row>
    <row r="955">
      <c r="K955" s="41"/>
    </row>
    <row r="956">
      <c r="K956" s="41"/>
    </row>
    <row r="957">
      <c r="K957" s="41"/>
    </row>
    <row r="958">
      <c r="K958" s="41"/>
    </row>
    <row r="959">
      <c r="K959" s="41"/>
    </row>
    <row r="960">
      <c r="K960" s="41"/>
    </row>
    <row r="961">
      <c r="K961" s="41"/>
    </row>
    <row r="962">
      <c r="K962" s="41"/>
    </row>
    <row r="963">
      <c r="K963" s="41"/>
    </row>
    <row r="964">
      <c r="K964" s="41"/>
    </row>
    <row r="965">
      <c r="K965" s="41"/>
    </row>
    <row r="966">
      <c r="K966" s="41"/>
    </row>
    <row r="967">
      <c r="K967" s="41"/>
    </row>
    <row r="968">
      <c r="K968" s="41"/>
    </row>
    <row r="969">
      <c r="K969" s="41"/>
    </row>
    <row r="970">
      <c r="K970" s="41"/>
    </row>
    <row r="971">
      <c r="K971" s="41"/>
    </row>
    <row r="972">
      <c r="K972" s="41"/>
    </row>
    <row r="973">
      <c r="K973" s="41"/>
    </row>
    <row r="974">
      <c r="K974" s="41"/>
    </row>
    <row r="975">
      <c r="K975" s="41"/>
    </row>
    <row r="976">
      <c r="K976" s="41"/>
    </row>
    <row r="977">
      <c r="K977" s="41"/>
    </row>
    <row r="978">
      <c r="K978" s="41"/>
    </row>
    <row r="979">
      <c r="K979" s="41"/>
    </row>
    <row r="980">
      <c r="K980" s="41"/>
    </row>
    <row r="981">
      <c r="K981" s="41"/>
    </row>
    <row r="982">
      <c r="K982" s="41"/>
    </row>
    <row r="983">
      <c r="K983" s="41"/>
    </row>
    <row r="984">
      <c r="K984" s="41"/>
    </row>
    <row r="985">
      <c r="K985" s="41"/>
    </row>
    <row r="986">
      <c r="K986" s="41"/>
    </row>
    <row r="987">
      <c r="K987" s="41"/>
    </row>
    <row r="988">
      <c r="K988" s="41"/>
    </row>
    <row r="989">
      <c r="K989" s="41"/>
    </row>
    <row r="990">
      <c r="K990" s="41"/>
    </row>
    <row r="991">
      <c r="K991" s="41"/>
    </row>
    <row r="992">
      <c r="K992" s="41"/>
    </row>
    <row r="993">
      <c r="K993" s="41"/>
    </row>
    <row r="994">
      <c r="K994" s="41"/>
    </row>
    <row r="995">
      <c r="K995" s="41"/>
    </row>
    <row r="996">
      <c r="K996" s="41"/>
    </row>
    <row r="997">
      <c r="K997" s="41"/>
    </row>
    <row r="998">
      <c r="K998" s="41"/>
    </row>
    <row r="999">
      <c r="K999" s="41"/>
    </row>
    <row r="1000">
      <c r="K1000" s="41"/>
    </row>
  </sheetData>
  <autoFilter ref="$A$1:$K$101"/>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7C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3.13"/>
    <col customWidth="1" min="3" max="3" width="21.75"/>
    <col customWidth="1" min="6" max="6" width="14.38"/>
    <col customWidth="1" min="8" max="8" width="12.75"/>
    <col customWidth="1" hidden="1" min="10" max="10" width="7.5"/>
    <col customWidth="1" hidden="1" min="11" max="11" width="7.75"/>
    <col customWidth="1" hidden="1" min="12" max="12" width="7.25"/>
    <col customWidth="1" hidden="1" min="13" max="13" width="6.25"/>
    <col customWidth="1" hidden="1" min="14" max="14" width="8.38"/>
    <col customWidth="1" hidden="1" min="15" max="15" width="23.88"/>
    <col customWidth="1" min="16" max="16" width="23.88"/>
  </cols>
  <sheetData>
    <row r="1">
      <c r="A1" s="20" t="s">
        <v>71</v>
      </c>
      <c r="B1" s="21" t="s">
        <v>72</v>
      </c>
      <c r="C1" s="42" t="s">
        <v>454</v>
      </c>
      <c r="D1" s="43" t="s">
        <v>38</v>
      </c>
      <c r="E1" s="42" t="s">
        <v>39</v>
      </c>
      <c r="F1" s="42" t="s">
        <v>40</v>
      </c>
      <c r="G1" s="42" t="s">
        <v>41</v>
      </c>
      <c r="H1" s="43" t="s">
        <v>42</v>
      </c>
      <c r="I1" s="44" t="s">
        <v>455</v>
      </c>
      <c r="J1" s="43" t="s">
        <v>38</v>
      </c>
      <c r="K1" s="42" t="s">
        <v>39</v>
      </c>
      <c r="L1" s="42" t="s">
        <v>40</v>
      </c>
      <c r="M1" s="42" t="s">
        <v>41</v>
      </c>
      <c r="N1" s="43" t="s">
        <v>42</v>
      </c>
      <c r="O1" s="44" t="s">
        <v>456</v>
      </c>
      <c r="P1" s="44" t="str">
        <f t="array" ref="P1:P1000">O:O</f>
        <v>Comments</v>
      </c>
      <c r="Q1" s="45" t="s">
        <v>457</v>
      </c>
      <c r="R1" s="15" t="s">
        <v>458</v>
      </c>
      <c r="S1" s="15" t="s">
        <v>459</v>
      </c>
    </row>
    <row r="2">
      <c r="A2" s="23" t="s">
        <v>160</v>
      </c>
      <c r="B2" s="23" t="s">
        <v>161</v>
      </c>
      <c r="C2" s="46"/>
      <c r="D2" s="46" t="b">
        <f t="shared" ref="D2:H2" si="1">VLOOKUP($A2, INDIRECT(D$1&amp;"!B:D"), 3, FALSE)</f>
        <v>1</v>
      </c>
      <c r="E2" s="47" t="str">
        <f t="shared" si="1"/>
        <v>TO DO</v>
      </c>
      <c r="F2" s="46" t="str">
        <f t="shared" si="1"/>
        <v>TO DO</v>
      </c>
      <c r="G2" s="46" t="b">
        <f t="shared" si="1"/>
        <v>1</v>
      </c>
      <c r="H2" s="46" t="b">
        <f t="shared" si="1"/>
        <v>1</v>
      </c>
      <c r="I2" s="48">
        <f t="shared" ref="I2:I101" si="4">ABS((COUNTIF(D2:H2,"TRUE")-COUNTIF(D2:H2, "FALSE")) / (COUNTA(D2:H2)-COUNTIF(D2:H2, "TO DO")))</f>
        <v>1</v>
      </c>
      <c r="J2" s="49" t="str">
        <f t="shared" ref="J2:N2" si="2">VLOOKUP($A2, INDIRECT(J$1&amp;"!B:E"), 4, FALSE)</f>
        <v/>
      </c>
      <c r="K2" s="49" t="str">
        <f t="shared" si="2"/>
        <v/>
      </c>
      <c r="L2" s="49" t="str">
        <f t="shared" si="2"/>
        <v/>
      </c>
      <c r="M2" s="49" t="str">
        <f t="shared" si="2"/>
        <v/>
      </c>
      <c r="N2" s="49" t="str">
        <f t="shared" si="2"/>
        <v/>
      </c>
      <c r="O2" s="48" t="str">
        <f>IFERROR(__xludf.DUMMYFUNCTION("IF(COUNTA(J2:N2)=0, """", ARRAYFORMULA(""- ""&amp;TEXTJOIN(char(10)&amp;""- "", TRUE, FILTER(J$1:N$1&amp;"": ""&amp;J2:N2, NOT(ISBLANK(J2:N2))))))"),"")</f>
        <v/>
      </c>
      <c r="P2" s="48" t="s">
        <v>460</v>
      </c>
      <c r="Q2" s="50" t="b">
        <v>1</v>
      </c>
    </row>
    <row r="3">
      <c r="A3" s="23" t="s">
        <v>139</v>
      </c>
      <c r="B3" s="23" t="s">
        <v>140</v>
      </c>
      <c r="C3" s="46" t="str">
        <f>IF(OR(COUNTIF(D3:H3, "FALSE")=1, COUNTIF(D3:H3, "TRUE")=1), IF(COUNTA(D3:H3)-COUNTIF(D3:H3, "TO DO")=4, "Minor Disagreement (1v3)", "Disagreement (1v2)"), "Major Disagreement (2v2)")</f>
        <v>Disagreement (1v2)</v>
      </c>
      <c r="D3" s="46" t="b">
        <f t="shared" ref="D3:H3" si="3">VLOOKUP($A3, INDIRECT(D$1&amp;"!B:D"), 3, FALSE)</f>
        <v>1</v>
      </c>
      <c r="E3" s="47" t="str">
        <f t="shared" si="3"/>
        <v>TO DO</v>
      </c>
      <c r="F3" s="46" t="str">
        <f t="shared" si="3"/>
        <v>TO DO</v>
      </c>
      <c r="G3" s="46" t="b">
        <f t="shared" si="3"/>
        <v>1</v>
      </c>
      <c r="H3" s="46" t="b">
        <f t="shared" si="3"/>
        <v>0</v>
      </c>
      <c r="I3" s="48">
        <f t="shared" si="4"/>
        <v>0.3333333333</v>
      </c>
      <c r="J3" s="49" t="str">
        <f t="shared" ref="J3:N3" si="5">VLOOKUP($A3, INDIRECT(J$1&amp;"!B:E"), 4, FALSE)</f>
        <v/>
      </c>
      <c r="K3" s="49" t="str">
        <f t="shared" si="5"/>
        <v/>
      </c>
      <c r="L3" s="49" t="str">
        <f t="shared" si="5"/>
        <v/>
      </c>
      <c r="M3" s="49" t="str">
        <f t="shared" si="5"/>
        <v>about sex health, women are implied to suffer from men who cheat and get diseases</v>
      </c>
      <c r="N3" s="49" t="str">
        <f t="shared" si="5"/>
        <v>not specifically linked to SDG 5 objectives</v>
      </c>
      <c r="O3" s="48" t="str">
        <f>IFERROR(__xludf.DUMMYFUNCTION("IF(COUNTA(J3:N3)=0, """", ARRAYFORMULA(""- ""&amp;TEXTJOIN(char(10)&amp;""- "", TRUE, FILTER(J$1:N$1&amp;"": ""&amp;J3:N3, NOT(ISBLANK(J3:N3))))))"),"- Meike: about sex health, women are implied to suffer from men who cheat and get diseases
- Steve: not specifically linked to SDG 5 objectives")</f>
        <v>- Meike: about sex health, women are implied to suffer from men who cheat and get diseases
- Steve: not specifically linked to SDG 5 objectives</v>
      </c>
      <c r="P3" s="48" t="s">
        <v>461</v>
      </c>
      <c r="Q3" s="50" t="s">
        <v>451</v>
      </c>
    </row>
    <row r="4">
      <c r="A4" s="23" t="s">
        <v>303</v>
      </c>
      <c r="B4" s="23" t="s">
        <v>304</v>
      </c>
      <c r="C4" s="46"/>
      <c r="D4" s="46" t="b">
        <f t="shared" ref="D4:H4" si="6">VLOOKUP($A4, INDIRECT(D$1&amp;"!B:D"), 3, FALSE)</f>
        <v>0</v>
      </c>
      <c r="E4" s="47" t="b">
        <f t="shared" si="6"/>
        <v>0</v>
      </c>
      <c r="F4" s="46" t="str">
        <f t="shared" si="6"/>
        <v>TO DO</v>
      </c>
      <c r="G4" s="46" t="b">
        <f t="shared" si="6"/>
        <v>0</v>
      </c>
      <c r="H4" s="46" t="b">
        <f t="shared" si="6"/>
        <v>0</v>
      </c>
      <c r="I4" s="48">
        <f t="shared" si="4"/>
        <v>1</v>
      </c>
      <c r="J4" s="49" t="str">
        <f t="shared" ref="J4:N4" si="7">VLOOKUP($A4, INDIRECT(J$1&amp;"!B:E"), 4, FALSE)</f>
        <v/>
      </c>
      <c r="K4" s="49" t="str">
        <f t="shared" si="7"/>
        <v/>
      </c>
      <c r="L4" s="49" t="str">
        <f t="shared" si="7"/>
        <v/>
      </c>
      <c r="M4" s="49" t="str">
        <f t="shared" si="7"/>
        <v/>
      </c>
      <c r="N4" s="49" t="str">
        <f t="shared" si="7"/>
        <v/>
      </c>
      <c r="O4" s="48" t="str">
        <f>IFERROR(__xludf.DUMMYFUNCTION("IF(COUNTA(J4:N4)=0, """", ARRAYFORMULA(""- ""&amp;TEXTJOIN(char(10)&amp;""- "", TRUE, FILTER(J$1:N$1&amp;"": ""&amp;J4:N4, NOT(ISBLANK(J4:N4))))))"),"")</f>
        <v/>
      </c>
      <c r="P4" s="48" t="s">
        <v>460</v>
      </c>
      <c r="Q4" s="50" t="b">
        <v>0</v>
      </c>
    </row>
    <row r="5">
      <c r="A5" s="23" t="s">
        <v>296</v>
      </c>
      <c r="B5" s="23" t="s">
        <v>297</v>
      </c>
      <c r="C5" s="46" t="str">
        <f t="shared" ref="C5:C6" si="10">IF(OR(COUNTIF(D5:H5, "FALSE")=1, COUNTIF(D5:H5, "TRUE")=1), IF(COUNTA(D5:H5)-COUNTIF(D5:H5, "TO DO")=4, "Minor Disagreement (1v3)", "Disagreement (1v2)"), "Major Disagreement (2v2)")</f>
        <v>Minor Disagreement (1v3)</v>
      </c>
      <c r="D5" s="46" t="b">
        <f t="shared" ref="D5:H5" si="8">VLOOKUP($A5, INDIRECT(D$1&amp;"!B:D"), 3, FALSE)</f>
        <v>1</v>
      </c>
      <c r="E5" s="47" t="b">
        <f t="shared" si="8"/>
        <v>1</v>
      </c>
      <c r="F5" s="46" t="str">
        <f t="shared" si="8"/>
        <v>TO DO</v>
      </c>
      <c r="G5" s="46" t="b">
        <f t="shared" si="8"/>
        <v>0</v>
      </c>
      <c r="H5" s="46" t="b">
        <f t="shared" si="8"/>
        <v>1</v>
      </c>
      <c r="I5" s="48">
        <f t="shared" si="4"/>
        <v>0.5</v>
      </c>
      <c r="J5" s="49" t="str">
        <f t="shared" ref="J5:N5" si="9">VLOOKUP($A5, INDIRECT(J$1&amp;"!B:E"), 4, FALSE)</f>
        <v/>
      </c>
      <c r="K5" s="49" t="str">
        <f t="shared" si="9"/>
        <v/>
      </c>
      <c r="L5" s="49" t="str">
        <f t="shared" si="9"/>
        <v/>
      </c>
      <c r="M5" s="49" t="str">
        <f t="shared" si="9"/>
        <v/>
      </c>
      <c r="N5" s="49" t="str">
        <f t="shared" si="9"/>
        <v>vaguely linked to 5.a on women ownership and access to economic resources</v>
      </c>
      <c r="O5" s="48" t="str">
        <f>IFERROR(__xludf.DUMMYFUNCTION("IF(COUNTA(J5:N5)=0, """", ARRAYFORMULA(""- ""&amp;TEXTJOIN(char(10)&amp;""- "", TRUE, FILTER(J$1:N$1&amp;"": ""&amp;J5:N5, NOT(ISBLANK(J5:N5))))))"),"- Steve: vaguely linked to 5.a on women ownership and access to economic resources")</f>
        <v>- Steve: vaguely linked to 5.a on women ownership and access to economic resources</v>
      </c>
      <c r="P5" s="48" t="s">
        <v>462</v>
      </c>
      <c r="Q5" s="50" t="b">
        <v>1</v>
      </c>
      <c r="R5" s="5" t="s">
        <v>463</v>
      </c>
    </row>
    <row r="6">
      <c r="A6" s="23" t="s">
        <v>350</v>
      </c>
      <c r="B6" s="23" t="s">
        <v>351</v>
      </c>
      <c r="C6" s="46" t="str">
        <f t="shared" si="10"/>
        <v>Minor Disagreement (1v3)</v>
      </c>
      <c r="D6" s="46" t="b">
        <f t="shared" ref="D6:H6" si="11">VLOOKUP($A6, INDIRECT(D$1&amp;"!B:D"), 3, FALSE)</f>
        <v>1</v>
      </c>
      <c r="E6" s="47" t="b">
        <f t="shared" si="11"/>
        <v>1</v>
      </c>
      <c r="F6" s="46" t="str">
        <f t="shared" si="11"/>
        <v>TO DO</v>
      </c>
      <c r="G6" s="46" t="b">
        <f t="shared" si="11"/>
        <v>1</v>
      </c>
      <c r="H6" s="46" t="b">
        <f t="shared" si="11"/>
        <v>0</v>
      </c>
      <c r="I6" s="48">
        <f t="shared" si="4"/>
        <v>0.5</v>
      </c>
      <c r="J6" s="49" t="str">
        <f t="shared" ref="J6:N6" si="12">VLOOKUP($A6, INDIRECT(J$1&amp;"!B:E"), 4, FALSE)</f>
        <v/>
      </c>
      <c r="K6" s="49" t="str">
        <f t="shared" si="12"/>
        <v/>
      </c>
      <c r="L6" s="49" t="str">
        <f t="shared" si="12"/>
        <v/>
      </c>
      <c r="M6" s="49" t="str">
        <f t="shared" si="12"/>
        <v/>
      </c>
      <c r="N6" s="49" t="str">
        <f t="shared" si="12"/>
        <v>would link to 5.3 on eliminating harmful practices, but indicators explicitly mention women and not men</v>
      </c>
      <c r="O6" s="48" t="str">
        <f>IFERROR(__xludf.DUMMYFUNCTION("IF(COUNTA(J6:N6)=0, """", ARRAYFORMULA(""- ""&amp;TEXTJOIN(char(10)&amp;""- "", TRUE, FILTER(J$1:N$1&amp;"": ""&amp;J6:N6, NOT(ISBLANK(J6:N6))))))"),"- Steve: would link to 5.3 on eliminating harmful practices, but indicators explicitly mention women and not men")</f>
        <v>- Steve: would link to 5.3 on eliminating harmful practices, but indicators explicitly mention women and not men</v>
      </c>
      <c r="P6" s="48" t="s">
        <v>464</v>
      </c>
      <c r="Q6" s="50" t="b">
        <v>1</v>
      </c>
      <c r="R6" s="5" t="s">
        <v>465</v>
      </c>
    </row>
    <row r="7">
      <c r="A7" s="23" t="s">
        <v>181</v>
      </c>
      <c r="B7" s="23" t="s">
        <v>182</v>
      </c>
      <c r="C7" s="46"/>
      <c r="D7" s="46" t="b">
        <f t="shared" ref="D7:H7" si="13">VLOOKUP($A7, INDIRECT(D$1&amp;"!B:D"), 3, FALSE)</f>
        <v>1</v>
      </c>
      <c r="E7" s="47" t="b">
        <f t="shared" si="13"/>
        <v>1</v>
      </c>
      <c r="F7" s="46" t="str">
        <f t="shared" si="13"/>
        <v>TO DO</v>
      </c>
      <c r="G7" s="46" t="b">
        <f t="shared" si="13"/>
        <v>1</v>
      </c>
      <c r="H7" s="46" t="b">
        <f t="shared" si="13"/>
        <v>1</v>
      </c>
      <c r="I7" s="48">
        <f t="shared" si="4"/>
        <v>1</v>
      </c>
      <c r="J7" s="49" t="str">
        <f t="shared" ref="J7:N7" si="14">VLOOKUP($A7, INDIRECT(J$1&amp;"!B:E"), 4, FALSE)</f>
        <v/>
      </c>
      <c r="K7" s="49" t="str">
        <f t="shared" si="14"/>
        <v/>
      </c>
      <c r="L7" s="49" t="str">
        <f t="shared" si="14"/>
        <v/>
      </c>
      <c r="M7" s="49" t="str">
        <f t="shared" si="14"/>
        <v/>
      </c>
      <c r="N7" s="49" t="str">
        <f t="shared" si="14"/>
        <v/>
      </c>
      <c r="O7" s="48" t="str">
        <f>IFERROR(__xludf.DUMMYFUNCTION("IF(COUNTA(J7:N7)=0, """", ARRAYFORMULA(""- ""&amp;TEXTJOIN(char(10)&amp;""- "", TRUE, FILTER(J$1:N$1&amp;"": ""&amp;J7:N7, NOT(ISBLANK(J7:N7))))))"),"")</f>
        <v/>
      </c>
      <c r="P7" s="48" t="s">
        <v>460</v>
      </c>
      <c r="Q7" s="50" t="b">
        <v>1</v>
      </c>
    </row>
    <row r="8">
      <c r="A8" s="23" t="s">
        <v>124</v>
      </c>
      <c r="B8" s="23" t="s">
        <v>125</v>
      </c>
      <c r="C8" s="46" t="str">
        <f>IF(OR(COUNTIF(D8:H8, "FALSE")=1, COUNTIF(D8:H8, "TRUE")=1), IF(COUNTA(D8:H8)-COUNTIF(D8:H8, "TO DO")=4, "Minor Disagreement (1v3)", "Disagreement (1v2)"), "Major Disagreement (2v2)")</f>
        <v>Minor Disagreement (1v3)</v>
      </c>
      <c r="D8" s="47" t="b">
        <f t="shared" ref="D8:H8" si="15">VLOOKUP($A8, INDIRECT(D$1&amp;"!B:D"), 3, FALSE)</f>
        <v>1</v>
      </c>
      <c r="E8" s="47" t="b">
        <f t="shared" si="15"/>
        <v>0</v>
      </c>
      <c r="F8" s="47" t="str">
        <f t="shared" si="15"/>
        <v>TO DO</v>
      </c>
      <c r="G8" s="47" t="b">
        <f t="shared" si="15"/>
        <v>0</v>
      </c>
      <c r="H8" s="47" t="b">
        <f t="shared" si="15"/>
        <v>0</v>
      </c>
      <c r="I8" s="48">
        <f t="shared" si="4"/>
        <v>0.5</v>
      </c>
      <c r="J8" s="49" t="str">
        <f t="shared" ref="J8:N8" si="16">VLOOKUP($A8, INDIRECT(J$1&amp;"!B:E"), 4, FALSE)</f>
        <v/>
      </c>
      <c r="K8" s="49" t="str">
        <f t="shared" si="16"/>
        <v>not specifically about women</v>
      </c>
      <c r="L8" s="49" t="str">
        <f t="shared" si="16"/>
        <v/>
      </c>
      <c r="M8" s="49" t="str">
        <f t="shared" si="16"/>
        <v/>
      </c>
      <c r="N8" s="49" t="str">
        <f t="shared" si="16"/>
        <v/>
      </c>
      <c r="O8" s="48" t="str">
        <f>IFERROR(__xludf.DUMMYFUNCTION("IF(COUNTA(J8:N8)=0, """", ARRAYFORMULA(""- ""&amp;TEXTJOIN(char(10)&amp;""- "", TRUE, FILTER(J$1:N$1&amp;"": ""&amp;J8:N8, NOT(ISBLANK(J8:N8))))))"),"- Gib: not specifically about women")</f>
        <v>- Gib: not specifically about women</v>
      </c>
      <c r="P8" s="48" t="s">
        <v>466</v>
      </c>
      <c r="Q8" s="50" t="b">
        <v>0</v>
      </c>
      <c r="R8" s="5" t="s">
        <v>467</v>
      </c>
    </row>
    <row r="9">
      <c r="A9" s="23" t="s">
        <v>267</v>
      </c>
      <c r="B9" s="23" t="s">
        <v>268</v>
      </c>
      <c r="C9" s="47"/>
      <c r="D9" s="47" t="b">
        <f t="shared" ref="D9:H9" si="17">VLOOKUP($A9, INDIRECT(D$1&amp;"!B:D"), 3, FALSE)</f>
        <v>1</v>
      </c>
      <c r="E9" s="47" t="b">
        <f t="shared" si="17"/>
        <v>1</v>
      </c>
      <c r="F9" s="47" t="str">
        <f t="shared" si="17"/>
        <v>TO DO</v>
      </c>
      <c r="G9" s="47" t="b">
        <f t="shared" si="17"/>
        <v>1</v>
      </c>
      <c r="H9" s="47" t="b">
        <f t="shared" si="17"/>
        <v>1</v>
      </c>
      <c r="I9" s="48">
        <f t="shared" si="4"/>
        <v>1</v>
      </c>
      <c r="J9" s="49" t="str">
        <f t="shared" ref="J9:N9" si="18">VLOOKUP($A9, INDIRECT(J$1&amp;"!B:E"), 4, FALSE)</f>
        <v/>
      </c>
      <c r="K9" s="49" t="str">
        <f t="shared" si="18"/>
        <v/>
      </c>
      <c r="L9" s="49" t="str">
        <f t="shared" si="18"/>
        <v/>
      </c>
      <c r="M9" s="49" t="str">
        <f t="shared" si="18"/>
        <v/>
      </c>
      <c r="N9" s="49" t="str">
        <f t="shared" si="18"/>
        <v/>
      </c>
      <c r="O9" s="48" t="str">
        <f>IFERROR(__xludf.DUMMYFUNCTION("IF(COUNTA(J9:N9)=0, """", ARRAYFORMULA(""- ""&amp;TEXTJOIN(char(10)&amp;""- "", TRUE, FILTER(J$1:N$1&amp;"": ""&amp;J9:N9, NOT(ISBLANK(J9:N9))))))"),"")</f>
        <v/>
      </c>
      <c r="P9" s="48" t="s">
        <v>460</v>
      </c>
      <c r="Q9" s="50" t="b">
        <v>1</v>
      </c>
    </row>
    <row r="10">
      <c r="A10" s="23" t="s">
        <v>240</v>
      </c>
      <c r="B10" s="23" t="s">
        <v>241</v>
      </c>
      <c r="C10" s="46" t="str">
        <f>IF(OR(COUNTIF(D10:H10, "FALSE")=1, COUNTIF(D10:H10, "TRUE")=1), IF(COUNTA(D10:H10)-COUNTIF(D10:H10, "TO DO")=4, "Minor Disagreement (1v3)", "Disagreement (1v2)"), "Major Disagreement (2v2)")</f>
        <v>Disagreement (1v2)</v>
      </c>
      <c r="D10" s="47" t="b">
        <f t="shared" ref="D10:H10" si="19">VLOOKUP($A10, INDIRECT(D$1&amp;"!B:D"), 3, FALSE)</f>
        <v>1</v>
      </c>
      <c r="E10" s="47" t="str">
        <f t="shared" si="19"/>
        <v>TO DO</v>
      </c>
      <c r="F10" s="47" t="str">
        <f t="shared" si="19"/>
        <v>TO DO</v>
      </c>
      <c r="G10" s="47" t="b">
        <f t="shared" si="19"/>
        <v>0</v>
      </c>
      <c r="H10" s="47" t="b">
        <f t="shared" si="19"/>
        <v>0</v>
      </c>
      <c r="I10" s="48">
        <f t="shared" si="4"/>
        <v>0.3333333333</v>
      </c>
      <c r="J10" s="49" t="str">
        <f t="shared" ref="J10:N10" si="20">VLOOKUP($A10, INDIRECT(J$1&amp;"!B:E"), 4, FALSE)</f>
        <v>reproductive rights</v>
      </c>
      <c r="K10" s="49" t="str">
        <f t="shared" si="20"/>
        <v/>
      </c>
      <c r="L10" s="49" t="str">
        <f t="shared" si="20"/>
        <v/>
      </c>
      <c r="M10" s="49" t="str">
        <f t="shared" si="20"/>
        <v/>
      </c>
      <c r="N10" s="49" t="str">
        <f t="shared" si="20"/>
        <v/>
      </c>
      <c r="O10" s="48" t="str">
        <f>IFERROR(__xludf.DUMMYFUNCTION("IF(COUNTA(J10:N10)=0, """", ARRAYFORMULA(""- ""&amp;TEXTJOIN(char(10)&amp;""- "", TRUE, FILTER(J$1:N$1&amp;"": ""&amp;J10:N10, NOT(ISBLANK(J10:N10))))))"),"- Finn: reproductive rights")</f>
        <v>- Finn: reproductive rights</v>
      </c>
      <c r="P10" s="48" t="s">
        <v>468</v>
      </c>
      <c r="Q10" s="50" t="s">
        <v>451</v>
      </c>
    </row>
    <row r="11">
      <c r="A11" s="23" t="s">
        <v>172</v>
      </c>
      <c r="B11" s="23" t="s">
        <v>173</v>
      </c>
      <c r="C11" s="47"/>
      <c r="D11" s="47" t="b">
        <f t="shared" ref="D11:H11" si="21">VLOOKUP($A11, INDIRECT(D$1&amp;"!B:D"), 3, FALSE)</f>
        <v>0</v>
      </c>
      <c r="E11" s="47" t="b">
        <f t="shared" si="21"/>
        <v>0</v>
      </c>
      <c r="F11" s="47" t="str">
        <f t="shared" si="21"/>
        <v>TO DO</v>
      </c>
      <c r="G11" s="47" t="b">
        <f t="shared" si="21"/>
        <v>0</v>
      </c>
      <c r="H11" s="47" t="b">
        <f t="shared" si="21"/>
        <v>0</v>
      </c>
      <c r="I11" s="48">
        <f t="shared" si="4"/>
        <v>1</v>
      </c>
      <c r="J11" s="49" t="str">
        <f t="shared" ref="J11:N11" si="22">VLOOKUP($A11, INDIRECT(J$1&amp;"!B:E"), 4, FALSE)</f>
        <v/>
      </c>
      <c r="K11" s="49" t="str">
        <f t="shared" si="22"/>
        <v/>
      </c>
      <c r="L11" s="49" t="str">
        <f t="shared" si="22"/>
        <v/>
      </c>
      <c r="M11" s="49" t="str">
        <f t="shared" si="22"/>
        <v/>
      </c>
      <c r="N11" s="49" t="str">
        <f t="shared" si="22"/>
        <v/>
      </c>
      <c r="O11" s="48" t="str">
        <f>IFERROR(__xludf.DUMMYFUNCTION("IF(COUNTA(J11:N11)=0, """", ARRAYFORMULA(""- ""&amp;TEXTJOIN(char(10)&amp;""- "", TRUE, FILTER(J$1:N$1&amp;"": ""&amp;J11:N11, NOT(ISBLANK(J11:N11))))))"),"")</f>
        <v/>
      </c>
      <c r="P11" s="48" t="s">
        <v>460</v>
      </c>
      <c r="Q11" s="50" t="b">
        <v>0</v>
      </c>
    </row>
    <row r="12">
      <c r="A12" s="23" t="s">
        <v>95</v>
      </c>
      <c r="B12" s="23" t="s">
        <v>96</v>
      </c>
      <c r="C12" s="47"/>
      <c r="D12" s="47" t="b">
        <f t="shared" ref="D12:H12" si="23">VLOOKUP($A12, INDIRECT(D$1&amp;"!B:D"), 3, FALSE)</f>
        <v>0</v>
      </c>
      <c r="E12" s="47" t="b">
        <f t="shared" si="23"/>
        <v>0</v>
      </c>
      <c r="F12" s="47" t="str">
        <f t="shared" si="23"/>
        <v>TO DO</v>
      </c>
      <c r="G12" s="47" t="b">
        <f t="shared" si="23"/>
        <v>0</v>
      </c>
      <c r="H12" s="47" t="b">
        <f t="shared" si="23"/>
        <v>0</v>
      </c>
      <c r="I12" s="48">
        <f t="shared" si="4"/>
        <v>1</v>
      </c>
      <c r="J12" s="49" t="str">
        <f t="shared" ref="J12:N12" si="24">VLOOKUP($A12, INDIRECT(J$1&amp;"!B:E"), 4, FALSE)</f>
        <v/>
      </c>
      <c r="K12" s="49" t="str">
        <f t="shared" si="24"/>
        <v/>
      </c>
      <c r="L12" s="49" t="str">
        <f t="shared" si="24"/>
        <v/>
      </c>
      <c r="M12" s="49" t="str">
        <f t="shared" si="24"/>
        <v/>
      </c>
      <c r="N12" s="49" t="str">
        <f t="shared" si="24"/>
        <v/>
      </c>
      <c r="O12" s="48" t="str">
        <f>IFERROR(__xludf.DUMMYFUNCTION("IF(COUNTA(J12:N12)=0, """", ARRAYFORMULA(""- ""&amp;TEXTJOIN(char(10)&amp;""- "", TRUE, FILTER(J$1:N$1&amp;"": ""&amp;J12:N12, NOT(ISBLANK(J12:N12))))))"),"")</f>
        <v/>
      </c>
      <c r="P12" s="48" t="s">
        <v>460</v>
      </c>
      <c r="Q12" s="50" t="b">
        <v>0</v>
      </c>
    </row>
    <row r="13">
      <c r="A13" s="23" t="s">
        <v>272</v>
      </c>
      <c r="B13" s="23" t="s">
        <v>273</v>
      </c>
      <c r="C13" s="47"/>
      <c r="D13" s="47" t="b">
        <f t="shared" ref="D13:H13" si="25">VLOOKUP($A13, INDIRECT(D$1&amp;"!B:D"), 3, FALSE)</f>
        <v>1</v>
      </c>
      <c r="E13" s="47" t="str">
        <f t="shared" si="25"/>
        <v>TO DO</v>
      </c>
      <c r="F13" s="47" t="str">
        <f t="shared" si="25"/>
        <v>TO DO</v>
      </c>
      <c r="G13" s="47" t="b">
        <f t="shared" si="25"/>
        <v>1</v>
      </c>
      <c r="H13" s="47" t="b">
        <f t="shared" si="25"/>
        <v>1</v>
      </c>
      <c r="I13" s="48">
        <f t="shared" si="4"/>
        <v>1</v>
      </c>
      <c r="J13" s="49" t="str">
        <f t="shared" ref="J13:N13" si="26">VLOOKUP($A13, INDIRECT(J$1&amp;"!B:E"), 4, FALSE)</f>
        <v/>
      </c>
      <c r="K13" s="49" t="str">
        <f t="shared" si="26"/>
        <v/>
      </c>
      <c r="L13" s="49" t="str">
        <f t="shared" si="26"/>
        <v/>
      </c>
      <c r="M13" s="49" t="str">
        <f t="shared" si="26"/>
        <v/>
      </c>
      <c r="N13" s="49" t="str">
        <f t="shared" si="26"/>
        <v/>
      </c>
      <c r="O13" s="48" t="str">
        <f>IFERROR(__xludf.DUMMYFUNCTION("IF(COUNTA(J13:N13)=0, """", ARRAYFORMULA(""- ""&amp;TEXTJOIN(char(10)&amp;""- "", TRUE, FILTER(J$1:N$1&amp;"": ""&amp;J13:N13, NOT(ISBLANK(J13:N13))))))"),"")</f>
        <v/>
      </c>
      <c r="P13" s="48" t="s">
        <v>460</v>
      </c>
      <c r="Q13" s="50" t="b">
        <v>1</v>
      </c>
    </row>
    <row r="14">
      <c r="A14" s="23" t="s">
        <v>356</v>
      </c>
      <c r="B14" s="23" t="s">
        <v>357</v>
      </c>
      <c r="C14" s="47"/>
      <c r="D14" s="47" t="b">
        <f t="shared" ref="D14:H14" si="27">VLOOKUP($A14, INDIRECT(D$1&amp;"!B:D"), 3, FALSE)</f>
        <v>1</v>
      </c>
      <c r="E14" s="47" t="b">
        <f t="shared" si="27"/>
        <v>1</v>
      </c>
      <c r="F14" s="47" t="str">
        <f t="shared" si="27"/>
        <v>TO DO</v>
      </c>
      <c r="G14" s="47" t="b">
        <f t="shared" si="27"/>
        <v>1</v>
      </c>
      <c r="H14" s="47" t="b">
        <f t="shared" si="27"/>
        <v>1</v>
      </c>
      <c r="I14" s="48">
        <f t="shared" si="4"/>
        <v>1</v>
      </c>
      <c r="J14" s="49" t="str">
        <f t="shared" ref="J14:N14" si="28">VLOOKUP($A14, INDIRECT(J$1&amp;"!B:E"), 4, FALSE)</f>
        <v/>
      </c>
      <c r="K14" s="49" t="str">
        <f t="shared" si="28"/>
        <v/>
      </c>
      <c r="L14" s="49" t="str">
        <f t="shared" si="28"/>
        <v/>
      </c>
      <c r="M14" s="49" t="str">
        <f t="shared" si="28"/>
        <v/>
      </c>
      <c r="N14" s="49" t="str">
        <f t="shared" si="28"/>
        <v/>
      </c>
      <c r="O14" s="48" t="str">
        <f>IFERROR(__xludf.DUMMYFUNCTION("IF(COUNTA(J14:N14)=0, """", ARRAYFORMULA(""- ""&amp;TEXTJOIN(char(10)&amp;""- "", TRUE, FILTER(J$1:N$1&amp;"": ""&amp;J14:N14, NOT(ISBLANK(J14:N14))))))"),"")</f>
        <v/>
      </c>
      <c r="P14" s="48" t="s">
        <v>460</v>
      </c>
      <c r="Q14" s="50" t="b">
        <v>1</v>
      </c>
    </row>
    <row r="15">
      <c r="A15" s="23" t="s">
        <v>342</v>
      </c>
      <c r="B15" s="23" t="s">
        <v>343</v>
      </c>
      <c r="C15" s="47"/>
      <c r="D15" s="47" t="b">
        <f t="shared" ref="D15:H15" si="29">VLOOKUP($A15, INDIRECT(D$1&amp;"!B:D"), 3, FALSE)</f>
        <v>0</v>
      </c>
      <c r="E15" s="47" t="str">
        <f t="shared" si="29"/>
        <v>TO DO</v>
      </c>
      <c r="F15" s="47" t="str">
        <f t="shared" si="29"/>
        <v>TO DO</v>
      </c>
      <c r="G15" s="47" t="b">
        <f t="shared" si="29"/>
        <v>0</v>
      </c>
      <c r="H15" s="47" t="b">
        <f t="shared" si="29"/>
        <v>0</v>
      </c>
      <c r="I15" s="48">
        <f t="shared" si="4"/>
        <v>1</v>
      </c>
      <c r="J15" s="49" t="str">
        <f t="shared" ref="J15:N15" si="30">VLOOKUP($A15, INDIRECT(J$1&amp;"!B:E"), 4, FALSE)</f>
        <v/>
      </c>
      <c r="K15" s="49" t="str">
        <f t="shared" si="30"/>
        <v/>
      </c>
      <c r="L15" s="49" t="str">
        <f t="shared" si="30"/>
        <v/>
      </c>
      <c r="M15" s="49" t="str">
        <f t="shared" si="30"/>
        <v/>
      </c>
      <c r="N15" s="49" t="str">
        <f t="shared" si="30"/>
        <v/>
      </c>
      <c r="O15" s="48" t="str">
        <f>IFERROR(__xludf.DUMMYFUNCTION("IF(COUNTA(J15:N15)=0, """", ARRAYFORMULA(""- ""&amp;TEXTJOIN(char(10)&amp;""- "", TRUE, FILTER(J$1:N$1&amp;"": ""&amp;J15:N15, NOT(ISBLANK(J15:N15))))))"),"")</f>
        <v/>
      </c>
      <c r="P15" s="48" t="s">
        <v>460</v>
      </c>
      <c r="Q15" s="50" t="b">
        <v>0</v>
      </c>
    </row>
    <row r="16">
      <c r="A16" s="23" t="s">
        <v>207</v>
      </c>
      <c r="B16" s="23" t="s">
        <v>208</v>
      </c>
      <c r="C16" s="47"/>
      <c r="D16" s="47" t="b">
        <f t="shared" ref="D16:H16" si="31">VLOOKUP($A16, INDIRECT(D$1&amp;"!B:D"), 3, FALSE)</f>
        <v>1</v>
      </c>
      <c r="E16" s="47" t="b">
        <f t="shared" si="31"/>
        <v>1</v>
      </c>
      <c r="F16" s="47" t="str">
        <f t="shared" si="31"/>
        <v>TO DO</v>
      </c>
      <c r="G16" s="47" t="b">
        <f t="shared" si="31"/>
        <v>1</v>
      </c>
      <c r="H16" s="47" t="b">
        <f t="shared" si="31"/>
        <v>1</v>
      </c>
      <c r="I16" s="48">
        <f t="shared" si="4"/>
        <v>1</v>
      </c>
      <c r="J16" s="49" t="str">
        <f t="shared" ref="J16:N16" si="32">VLOOKUP($A16, INDIRECT(J$1&amp;"!B:E"), 4, FALSE)</f>
        <v/>
      </c>
      <c r="K16" s="49" t="str">
        <f t="shared" si="32"/>
        <v/>
      </c>
      <c r="L16" s="49" t="str">
        <f t="shared" si="32"/>
        <v/>
      </c>
      <c r="M16" s="49" t="str">
        <f t="shared" si="32"/>
        <v/>
      </c>
      <c r="N16" s="49" t="str">
        <f t="shared" si="32"/>
        <v/>
      </c>
      <c r="O16" s="48" t="str">
        <f>IFERROR(__xludf.DUMMYFUNCTION("IF(COUNTA(J16:N16)=0, """", ARRAYFORMULA(""- ""&amp;TEXTJOIN(char(10)&amp;""- "", TRUE, FILTER(J$1:N$1&amp;"": ""&amp;J16:N16, NOT(ISBLANK(J16:N16))))))"),"")</f>
        <v/>
      </c>
      <c r="P16" s="48" t="s">
        <v>460</v>
      </c>
      <c r="Q16" s="50" t="b">
        <v>1</v>
      </c>
    </row>
    <row r="17">
      <c r="A17" s="23" t="s">
        <v>214</v>
      </c>
      <c r="B17" s="23" t="s">
        <v>215</v>
      </c>
      <c r="C17" s="47"/>
      <c r="D17" s="47" t="b">
        <f t="shared" ref="D17:H17" si="33">VLOOKUP($A17, INDIRECT(D$1&amp;"!B:D"), 3, FALSE)</f>
        <v>0</v>
      </c>
      <c r="E17" s="47" t="str">
        <f t="shared" si="33"/>
        <v>TO DO</v>
      </c>
      <c r="F17" s="47" t="str">
        <f t="shared" si="33"/>
        <v>TO DO</v>
      </c>
      <c r="G17" s="47" t="b">
        <f t="shared" si="33"/>
        <v>0</v>
      </c>
      <c r="H17" s="47" t="b">
        <f t="shared" si="33"/>
        <v>0</v>
      </c>
      <c r="I17" s="48">
        <f t="shared" si="4"/>
        <v>1</v>
      </c>
      <c r="J17" s="49" t="str">
        <f t="shared" ref="J17:N17" si="34">VLOOKUP($A17, INDIRECT(J$1&amp;"!B:E"), 4, FALSE)</f>
        <v/>
      </c>
      <c r="K17" s="49" t="str">
        <f t="shared" si="34"/>
        <v/>
      </c>
      <c r="L17" s="49" t="str">
        <f t="shared" si="34"/>
        <v/>
      </c>
      <c r="M17" s="49" t="str">
        <f t="shared" si="34"/>
        <v/>
      </c>
      <c r="N17" s="49" t="str">
        <f t="shared" si="34"/>
        <v/>
      </c>
      <c r="O17" s="48" t="str">
        <f>IFERROR(__xludf.DUMMYFUNCTION("IF(COUNTA(J17:N17)=0, """", ARRAYFORMULA(""- ""&amp;TEXTJOIN(char(10)&amp;""- "", TRUE, FILTER(J$1:N$1&amp;"": ""&amp;J17:N17, NOT(ISBLANK(J17:N17))))))"),"")</f>
        <v/>
      </c>
      <c r="P17" s="48" t="s">
        <v>460</v>
      </c>
      <c r="Q17" s="50" t="b">
        <v>0</v>
      </c>
    </row>
    <row r="18">
      <c r="A18" s="23" t="s">
        <v>269</v>
      </c>
      <c r="B18" s="23" t="s">
        <v>270</v>
      </c>
      <c r="C18" s="46" t="str">
        <f>IF(OR(COUNTIF(D18:H18, "FALSE")=1, COUNTIF(D18:H18, "TRUE")=1), IF(COUNTA(D18:H18)-COUNTIF(D18:H18, "TO DO")=4, "Minor Disagreement (1v3)", "Disagreement (1v2)"), "Major Disagreement (2v2)")</f>
        <v>Major Disagreement (2v2)</v>
      </c>
      <c r="D18" s="47" t="b">
        <f t="shared" ref="D18:H18" si="35">VLOOKUP($A18, INDIRECT(D$1&amp;"!B:D"), 3, FALSE)</f>
        <v>1</v>
      </c>
      <c r="E18" s="47" t="b">
        <f t="shared" si="35"/>
        <v>0</v>
      </c>
      <c r="F18" s="47" t="str">
        <f t="shared" si="35"/>
        <v>TO DO</v>
      </c>
      <c r="G18" s="47" t="b">
        <f t="shared" si="35"/>
        <v>0</v>
      </c>
      <c r="H18" s="47" t="b">
        <f t="shared" si="35"/>
        <v>1</v>
      </c>
      <c r="I18" s="48">
        <f t="shared" si="4"/>
        <v>0</v>
      </c>
      <c r="J18" s="49" t="str">
        <f t="shared" ref="J18:N18" si="36">VLOOKUP($A18, INDIRECT(J$1&amp;"!B:E"), 4, FALSE)</f>
        <v/>
      </c>
      <c r="K18" s="49" t="str">
        <f t="shared" si="36"/>
        <v>Not sure. It's more about youth in general rather than girls</v>
      </c>
      <c r="L18" s="49" t="str">
        <f t="shared" si="36"/>
        <v/>
      </c>
      <c r="M18" s="49" t="str">
        <f t="shared" si="36"/>
        <v>not specifically about gender inequality, it treats vulnerability of youth</v>
      </c>
      <c r="N18" s="49" t="str">
        <f t="shared" si="36"/>
        <v/>
      </c>
      <c r="O18" s="48" t="str">
        <f>IFERROR(__xludf.DUMMYFUNCTION("IF(COUNTA(J18:N18)=0, """", ARRAYFORMULA(""- ""&amp;TEXTJOIN(char(10)&amp;""- "", TRUE, FILTER(J$1:N$1&amp;"": ""&amp;J18:N18, NOT(ISBLANK(J18:N18))))))"),"- Gib: Not sure. It's more about youth in general rather than girls
- Meike: not specifically about gender inequality, it treats vulnerability of youth")</f>
        <v>- Gib: Not sure. It's more about youth in general rather than girls
- Meike: not specifically about gender inequality, it treats vulnerability of youth</v>
      </c>
      <c r="P18" s="48" t="s">
        <v>469</v>
      </c>
      <c r="Q18" s="50" t="s">
        <v>451</v>
      </c>
    </row>
    <row r="19">
      <c r="A19" s="23" t="s">
        <v>232</v>
      </c>
      <c r="B19" s="23" t="s">
        <v>233</v>
      </c>
      <c r="C19" s="47"/>
      <c r="D19" s="47" t="b">
        <f t="shared" ref="D19:H19" si="37">VLOOKUP($A19, INDIRECT(D$1&amp;"!B:D"), 3, FALSE)</f>
        <v>1</v>
      </c>
      <c r="E19" s="47" t="str">
        <f t="shared" si="37"/>
        <v>TO DO</v>
      </c>
      <c r="F19" s="47" t="str">
        <f t="shared" si="37"/>
        <v>TO DO</v>
      </c>
      <c r="G19" s="47" t="b">
        <f t="shared" si="37"/>
        <v>1</v>
      </c>
      <c r="H19" s="47" t="b">
        <f t="shared" si="37"/>
        <v>1</v>
      </c>
      <c r="I19" s="48">
        <f t="shared" si="4"/>
        <v>1</v>
      </c>
      <c r="J19" s="49" t="str">
        <f t="shared" ref="J19:N19" si="38">VLOOKUP($A19, INDIRECT(J$1&amp;"!B:E"), 4, FALSE)</f>
        <v/>
      </c>
      <c r="K19" s="49" t="str">
        <f t="shared" si="38"/>
        <v/>
      </c>
      <c r="L19" s="49" t="str">
        <f t="shared" si="38"/>
        <v/>
      </c>
      <c r="M19" s="49" t="str">
        <f t="shared" si="38"/>
        <v>tthe examples show that the inequality mentioned in frist sentence relates to gender inequalty</v>
      </c>
      <c r="N19" s="49" t="str">
        <f t="shared" si="38"/>
        <v/>
      </c>
      <c r="O19" s="48" t="str">
        <f>IFERROR(__xludf.DUMMYFUNCTION("IF(COUNTA(J19:N19)=0, """", ARRAYFORMULA(""- ""&amp;TEXTJOIN(char(10)&amp;""- "", TRUE, FILTER(J$1:N$1&amp;"": ""&amp;J19:N19, NOT(ISBLANK(J19:N19))))))"),"- Meike: tthe examples show that the inequality mentioned in frist sentence relates to gender inequalty")</f>
        <v>- Meike: tthe examples show that the inequality mentioned in frist sentence relates to gender inequalty</v>
      </c>
      <c r="P19" s="48" t="s">
        <v>470</v>
      </c>
      <c r="Q19" s="50" t="b">
        <v>1</v>
      </c>
    </row>
    <row r="20">
      <c r="A20" s="23" t="s">
        <v>301</v>
      </c>
      <c r="B20" s="23" t="s">
        <v>302</v>
      </c>
      <c r="C20" s="47"/>
      <c r="D20" s="47" t="b">
        <f t="shared" ref="D20:H20" si="39">VLOOKUP($A20, INDIRECT(D$1&amp;"!B:D"), 3, FALSE)</f>
        <v>0</v>
      </c>
      <c r="E20" s="47" t="b">
        <f t="shared" si="39"/>
        <v>0</v>
      </c>
      <c r="F20" s="47" t="str">
        <f t="shared" si="39"/>
        <v>TO DO</v>
      </c>
      <c r="G20" s="47" t="b">
        <f t="shared" si="39"/>
        <v>0</v>
      </c>
      <c r="H20" s="47" t="b">
        <f t="shared" si="39"/>
        <v>0</v>
      </c>
      <c r="I20" s="48">
        <f t="shared" si="4"/>
        <v>1</v>
      </c>
      <c r="J20" s="49" t="str">
        <f t="shared" ref="J20:N20" si="40">VLOOKUP($A20, INDIRECT(J$1&amp;"!B:E"), 4, FALSE)</f>
        <v>not specific to gender</v>
      </c>
      <c r="K20" s="49" t="str">
        <f t="shared" si="40"/>
        <v/>
      </c>
      <c r="L20" s="49" t="str">
        <f t="shared" si="40"/>
        <v/>
      </c>
      <c r="M20" s="49" t="str">
        <f t="shared" si="40"/>
        <v/>
      </c>
      <c r="N20" s="49" t="str">
        <f t="shared" si="40"/>
        <v/>
      </c>
      <c r="O20" s="48" t="str">
        <f>IFERROR(__xludf.DUMMYFUNCTION("IF(COUNTA(J20:N20)=0, """", ARRAYFORMULA(""- ""&amp;TEXTJOIN(char(10)&amp;""- "", TRUE, FILTER(J$1:N$1&amp;"": ""&amp;J20:N20, NOT(ISBLANK(J20:N20))))))"),"- Finn: not specific to gender")</f>
        <v>- Finn: not specific to gender</v>
      </c>
      <c r="P20" s="48" t="s">
        <v>471</v>
      </c>
      <c r="Q20" s="50" t="b">
        <v>0</v>
      </c>
    </row>
    <row r="21">
      <c r="A21" s="23" t="s">
        <v>306</v>
      </c>
      <c r="B21" s="23" t="s">
        <v>307</v>
      </c>
      <c r="C21" s="46" t="str">
        <f>IF(OR(COUNTIF(D21:H21, "FALSE")=1, COUNTIF(D21:H21, "TRUE")=1), IF(COUNTA(D21:H21)-COUNTIF(D21:H21, "TO DO")=4, "Minor Disagreement (1v3)", "Disagreement (1v2)"), "Major Disagreement (2v2)")</f>
        <v>Disagreement (1v2)</v>
      </c>
      <c r="D21" s="47" t="b">
        <f t="shared" ref="D21:H21" si="41">VLOOKUP($A21, INDIRECT(D$1&amp;"!B:D"), 3, FALSE)</f>
        <v>1</v>
      </c>
      <c r="E21" s="47" t="str">
        <f t="shared" si="41"/>
        <v>TO DO</v>
      </c>
      <c r="F21" s="47" t="str">
        <f t="shared" si="41"/>
        <v>TO DO</v>
      </c>
      <c r="G21" s="47" t="b">
        <f t="shared" si="41"/>
        <v>0</v>
      </c>
      <c r="H21" s="47" t="b">
        <f t="shared" si="41"/>
        <v>0</v>
      </c>
      <c r="I21" s="48">
        <f t="shared" si="4"/>
        <v>0.3333333333</v>
      </c>
      <c r="J21" s="49" t="str">
        <f t="shared" ref="J21:N21" si="42">VLOOKUP($A21, INDIRECT(J$1&amp;"!B:E"), 4, FALSE)</f>
        <v/>
      </c>
      <c r="K21" s="49" t="str">
        <f t="shared" si="42"/>
        <v/>
      </c>
      <c r="L21" s="49" t="str">
        <f t="shared" si="42"/>
        <v/>
      </c>
      <c r="M21" s="49" t="str">
        <f t="shared" si="42"/>
        <v>it mentions that women spend more time on caring but not how this is unfair or should be dealth with</v>
      </c>
      <c r="N21" s="49" t="str">
        <f t="shared" si="42"/>
        <v>missing actual call to action on 5.4</v>
      </c>
      <c r="O21" s="48" t="str">
        <f>IFERROR(__xludf.DUMMYFUNCTION("IF(COUNTA(J21:N21)=0, """", ARRAYFORMULA(""- ""&amp;TEXTJOIN(char(10)&amp;""- "", TRUE, FILTER(J$1:N$1&amp;"": ""&amp;J21:N21, NOT(ISBLANK(J21:N21))))))"),"- Meike: it mentions that women spend more time on caring but not how this is unfair or should be dealth with
- Steve: missing actual call to action on 5.4")</f>
        <v>- Meike: it mentions that women spend more time on caring but not how this is unfair or should be dealth with
- Steve: missing actual call to action on 5.4</v>
      </c>
      <c r="P21" s="48" t="s">
        <v>472</v>
      </c>
      <c r="Q21" s="50" t="s">
        <v>451</v>
      </c>
    </row>
    <row r="22">
      <c r="A22" s="23" t="s">
        <v>252</v>
      </c>
      <c r="B22" s="23" t="s">
        <v>253</v>
      </c>
      <c r="C22" s="47"/>
      <c r="D22" s="47" t="b">
        <f t="shared" ref="D22:H22" si="43">VLOOKUP($A22, INDIRECT(D$1&amp;"!B:D"), 3, FALSE)</f>
        <v>1</v>
      </c>
      <c r="E22" s="47" t="b">
        <f t="shared" si="43"/>
        <v>1</v>
      </c>
      <c r="F22" s="47" t="str">
        <f t="shared" si="43"/>
        <v>TO DO</v>
      </c>
      <c r="G22" s="47" t="b">
        <f t="shared" si="43"/>
        <v>1</v>
      </c>
      <c r="H22" s="47" t="b">
        <f t="shared" si="43"/>
        <v>1</v>
      </c>
      <c r="I22" s="48">
        <f t="shared" si="4"/>
        <v>1</v>
      </c>
      <c r="J22" s="49" t="str">
        <f t="shared" ref="J22:N22" si="44">VLOOKUP($A22, INDIRECT(J$1&amp;"!B:E"), 4, FALSE)</f>
        <v/>
      </c>
      <c r="K22" s="49" t="str">
        <f t="shared" si="44"/>
        <v/>
      </c>
      <c r="L22" s="49" t="str">
        <f t="shared" si="44"/>
        <v/>
      </c>
      <c r="M22" s="49" t="str">
        <f t="shared" si="44"/>
        <v>policy to protect girls</v>
      </c>
      <c r="N22" s="49" t="str">
        <f t="shared" si="44"/>
        <v/>
      </c>
      <c r="O22" s="48" t="str">
        <f>IFERROR(__xludf.DUMMYFUNCTION("IF(COUNTA(J22:N22)=0, """", ARRAYFORMULA(""- ""&amp;TEXTJOIN(char(10)&amp;""- "", TRUE, FILTER(J$1:N$1&amp;"": ""&amp;J22:N22, NOT(ISBLANK(J22:N22))))))"),"- Meike: policy to protect girls")</f>
        <v>- Meike: policy to protect girls</v>
      </c>
      <c r="P22" s="48" t="s">
        <v>473</v>
      </c>
      <c r="Q22" s="50" t="b">
        <v>1</v>
      </c>
    </row>
    <row r="23">
      <c r="A23" s="23" t="s">
        <v>98</v>
      </c>
      <c r="B23" s="23" t="s">
        <v>99</v>
      </c>
      <c r="C23" s="46" t="str">
        <f t="shared" ref="C23:C24" si="47">IF(OR(COUNTIF(D23:H23, "FALSE")=1, COUNTIF(D23:H23, "TRUE")=1), IF(COUNTA(D23:H23)-COUNTIF(D23:H23, "TO DO")=4, "Minor Disagreement (1v3)", "Disagreement (1v2)"), "Major Disagreement (2v2)")</f>
        <v>Major Disagreement (2v2)</v>
      </c>
      <c r="D23" s="47" t="b">
        <f t="shared" ref="D23:H23" si="45">VLOOKUP($A23, INDIRECT(D$1&amp;"!B:D"), 3, FALSE)</f>
        <v>1</v>
      </c>
      <c r="E23" s="47" t="b">
        <f t="shared" si="45"/>
        <v>1</v>
      </c>
      <c r="F23" s="47" t="str">
        <f t="shared" si="45"/>
        <v>TO DO</v>
      </c>
      <c r="G23" s="47" t="b">
        <f t="shared" si="45"/>
        <v>0</v>
      </c>
      <c r="H23" s="47" t="b">
        <f t="shared" si="45"/>
        <v>0</v>
      </c>
      <c r="I23" s="48">
        <f t="shared" si="4"/>
        <v>0</v>
      </c>
      <c r="J23" s="49" t="str">
        <f t="shared" ref="J23:N23" si="46">VLOOKUP($A23, INDIRECT(J$1&amp;"!B:E"), 4, FALSE)</f>
        <v>not specific to gender; but neither is the target</v>
      </c>
      <c r="K23" s="49" t="str">
        <f t="shared" si="46"/>
        <v>Assuming that caregivers are likely to be women. Could also be false.</v>
      </c>
      <c r="L23" s="49" t="str">
        <f t="shared" si="46"/>
        <v/>
      </c>
      <c r="M23" s="49" t="str">
        <f t="shared" si="46"/>
        <v/>
      </c>
      <c r="N23" s="49" t="str">
        <f t="shared" si="46"/>
        <v/>
      </c>
      <c r="O23" s="48" t="str">
        <f>IFERROR(__xludf.DUMMYFUNCTION("IF(COUNTA(J23:N23)=0, """", ARRAYFORMULA(""- ""&amp;TEXTJOIN(char(10)&amp;""- "", TRUE, FILTER(J$1:N$1&amp;"": ""&amp;J23:N23, NOT(ISBLANK(J23:N23))))))"),"- Finn: not specific to gender; but neither is the target
- Gib: Assuming that caregivers are likely to be women. Could also be false.")</f>
        <v>- Finn: not specific to gender; but neither is the target
- Gib: Assuming that caregivers are likely to be women. Could also be false.</v>
      </c>
      <c r="P23" s="48" t="s">
        <v>474</v>
      </c>
      <c r="Q23" s="50" t="s">
        <v>451</v>
      </c>
    </row>
    <row r="24">
      <c r="A24" s="23" t="s">
        <v>276</v>
      </c>
      <c r="B24" s="23" t="s">
        <v>277</v>
      </c>
      <c r="C24" s="46" t="str">
        <f t="shared" si="47"/>
        <v>Disagreement (1v2)</v>
      </c>
      <c r="D24" s="47" t="b">
        <f t="shared" ref="D24:H24" si="48">VLOOKUP($A24, INDIRECT(D$1&amp;"!B:D"), 3, FALSE)</f>
        <v>1</v>
      </c>
      <c r="E24" s="47" t="str">
        <f t="shared" si="48"/>
        <v>TO DO</v>
      </c>
      <c r="F24" s="47" t="str">
        <f t="shared" si="48"/>
        <v>TO DO</v>
      </c>
      <c r="G24" s="47" t="b">
        <f t="shared" si="48"/>
        <v>1</v>
      </c>
      <c r="H24" s="47" t="b">
        <f t="shared" si="48"/>
        <v>0</v>
      </c>
      <c r="I24" s="48">
        <f t="shared" si="4"/>
        <v>0.3333333333</v>
      </c>
      <c r="J24" s="49" t="str">
        <f t="shared" ref="J24:N24" si="49">VLOOKUP($A24, INDIRECT(J$1&amp;"!B:E"), 4, FALSE)</f>
        <v/>
      </c>
      <c r="K24" s="49" t="str">
        <f t="shared" si="49"/>
        <v/>
      </c>
      <c r="L24" s="49" t="str">
        <f t="shared" si="49"/>
        <v/>
      </c>
      <c r="M24" s="49" t="str">
        <f t="shared" si="49"/>
        <v/>
      </c>
      <c r="N24" s="49" t="str">
        <f t="shared" si="49"/>
        <v>again more on general definition than call to action or sentiment</v>
      </c>
      <c r="O24" s="48" t="str">
        <f>IFERROR(__xludf.DUMMYFUNCTION("IF(COUNTA(J24:N24)=0, """", ARRAYFORMULA(""- ""&amp;TEXTJOIN(char(10)&amp;""- "", TRUE, FILTER(J$1:N$1&amp;"": ""&amp;J24:N24, NOT(ISBLANK(J24:N24))))))"),"- Steve: again more on general definition than call to action or sentiment")</f>
        <v>- Steve: again more on general definition than call to action or sentiment</v>
      </c>
      <c r="P24" s="48" t="s">
        <v>475</v>
      </c>
      <c r="Q24" s="50" t="s">
        <v>451</v>
      </c>
    </row>
    <row r="25">
      <c r="A25" s="23" t="s">
        <v>110</v>
      </c>
      <c r="B25" s="23" t="s">
        <v>111</v>
      </c>
      <c r="C25" s="47"/>
      <c r="D25" s="47" t="b">
        <f t="shared" ref="D25:H25" si="50">VLOOKUP($A25, INDIRECT(D$1&amp;"!B:D"), 3, FALSE)</f>
        <v>0</v>
      </c>
      <c r="E25" s="47" t="b">
        <f t="shared" si="50"/>
        <v>0</v>
      </c>
      <c r="F25" s="47" t="str">
        <f t="shared" si="50"/>
        <v>TO DO</v>
      </c>
      <c r="G25" s="47" t="b">
        <f t="shared" si="50"/>
        <v>0</v>
      </c>
      <c r="H25" s="47" t="b">
        <f t="shared" si="50"/>
        <v>0</v>
      </c>
      <c r="I25" s="48">
        <f t="shared" si="4"/>
        <v>1</v>
      </c>
      <c r="J25" s="49" t="str">
        <f t="shared" ref="J25:N25" si="51">VLOOKUP($A25, INDIRECT(J$1&amp;"!B:E"), 4, FALSE)</f>
        <v/>
      </c>
      <c r="K25" s="49" t="str">
        <f t="shared" si="51"/>
        <v/>
      </c>
      <c r="L25" s="49" t="str">
        <f t="shared" si="51"/>
        <v/>
      </c>
      <c r="M25" s="49" t="str">
        <f t="shared" si="51"/>
        <v>not about women per se</v>
      </c>
      <c r="N25" s="49" t="str">
        <f t="shared" si="51"/>
        <v>no gender ref</v>
      </c>
      <c r="O25" s="48" t="str">
        <f>IFERROR(__xludf.DUMMYFUNCTION("IF(COUNTA(J25:N25)=0, """", ARRAYFORMULA(""- ""&amp;TEXTJOIN(char(10)&amp;""- "", TRUE, FILTER(J$1:N$1&amp;"": ""&amp;J25:N25, NOT(ISBLANK(J25:N25))))))"),"- Meike: not about women per se
- Steve: no gender ref")</f>
        <v>- Meike: not about women per se
- Steve: no gender ref</v>
      </c>
      <c r="P25" s="48" t="s">
        <v>476</v>
      </c>
      <c r="Q25" s="50" t="b">
        <v>0</v>
      </c>
    </row>
    <row r="26">
      <c r="A26" s="23" t="s">
        <v>134</v>
      </c>
      <c r="B26" s="23" t="s">
        <v>135</v>
      </c>
      <c r="C26" s="46" t="str">
        <f t="shared" ref="C26:C27" si="54">IF(OR(COUNTIF(D26:H26, "FALSE")=1, COUNTIF(D26:H26, "TRUE")=1), IF(COUNTA(D26:H26)-COUNTIF(D26:H26, "TO DO")=4, "Minor Disagreement (1v3)", "Disagreement (1v2)"), "Major Disagreement (2v2)")</f>
        <v>Minor Disagreement (1v3)</v>
      </c>
      <c r="D26" s="47" t="b">
        <f t="shared" ref="D26:H26" si="52">VLOOKUP($A26, INDIRECT(D$1&amp;"!B:D"), 3, FALSE)</f>
        <v>1</v>
      </c>
      <c r="E26" s="47" t="b">
        <f t="shared" si="52"/>
        <v>1</v>
      </c>
      <c r="F26" s="47" t="str">
        <f t="shared" si="52"/>
        <v>TO DO</v>
      </c>
      <c r="G26" s="47" t="b">
        <f t="shared" si="52"/>
        <v>0</v>
      </c>
      <c r="H26" s="47" t="b">
        <f t="shared" si="52"/>
        <v>1</v>
      </c>
      <c r="I26" s="48">
        <f t="shared" si="4"/>
        <v>0.5</v>
      </c>
      <c r="J26" s="49" t="str">
        <f t="shared" ref="J26:N26" si="53">VLOOKUP($A26, INDIRECT(J$1&amp;"!B:E"), 4, FALSE)</f>
        <v/>
      </c>
      <c r="K26" s="49" t="str">
        <f t="shared" si="53"/>
        <v/>
      </c>
      <c r="L26" s="49" t="str">
        <f t="shared" si="53"/>
        <v/>
      </c>
      <c r="M26" s="49" t="str">
        <f t="shared" si="53"/>
        <v/>
      </c>
      <c r="N26" s="49" t="str">
        <f t="shared" si="53"/>
        <v/>
      </c>
      <c r="O26" s="48" t="str">
        <f>IFERROR(__xludf.DUMMYFUNCTION("IF(COUNTA(J26:N26)=0, """", ARRAYFORMULA(""- ""&amp;TEXTJOIN(char(10)&amp;""- "", TRUE, FILTER(J$1:N$1&amp;"": ""&amp;J26:N26, NOT(ISBLANK(J26:N26))))))"),"")</f>
        <v/>
      </c>
      <c r="P26" s="48" t="s">
        <v>460</v>
      </c>
      <c r="Q26" s="50" t="s">
        <v>451</v>
      </c>
    </row>
    <row r="27">
      <c r="A27" s="23" t="s">
        <v>163</v>
      </c>
      <c r="B27" s="23" t="s">
        <v>164</v>
      </c>
      <c r="C27" s="46" t="str">
        <f t="shared" si="54"/>
        <v>Minor Disagreement (1v3)</v>
      </c>
      <c r="D27" s="47" t="b">
        <f t="shared" ref="D27:H27" si="55">VLOOKUP($A27, INDIRECT(D$1&amp;"!B:D"), 3, FALSE)</f>
        <v>1</v>
      </c>
      <c r="E27" s="47" t="b">
        <f t="shared" si="55"/>
        <v>0</v>
      </c>
      <c r="F27" s="47" t="str">
        <f t="shared" si="55"/>
        <v>TO DO</v>
      </c>
      <c r="G27" s="47" t="b">
        <f t="shared" si="55"/>
        <v>0</v>
      </c>
      <c r="H27" s="47" t="b">
        <f t="shared" si="55"/>
        <v>0</v>
      </c>
      <c r="I27" s="48">
        <f t="shared" si="4"/>
        <v>0.5</v>
      </c>
      <c r="J27" s="49" t="str">
        <f t="shared" ref="J27:N27" si="56">VLOOKUP($A27, INDIRECT(J$1&amp;"!B:E"), 4, FALSE)</f>
        <v/>
      </c>
      <c r="K27" s="49" t="str">
        <f t="shared" si="56"/>
        <v>About different preference in financial decison between men-women. Not really about inequality yet.</v>
      </c>
      <c r="L27" s="49" t="str">
        <f t="shared" si="56"/>
        <v/>
      </c>
      <c r="M27" s="49" t="str">
        <f t="shared" si="56"/>
        <v/>
      </c>
      <c r="N27" s="49" t="str">
        <f t="shared" si="56"/>
        <v>no direct link to SDG5 objectives</v>
      </c>
      <c r="O27" s="48" t="str">
        <f>IFERROR(__xludf.DUMMYFUNCTION("IF(COUNTA(J27:N27)=0, """", ARRAYFORMULA(""- ""&amp;TEXTJOIN(char(10)&amp;""- "", TRUE, FILTER(J$1:N$1&amp;"": ""&amp;J27:N27, NOT(ISBLANK(J27:N27))))))"),"- Gib: About different preference in financial decison between men-women. Not really about inequality yet.
- Steve: no direct link to SDG5 objectives")</f>
        <v>- Gib: About different preference in financial decison between men-women. Not really about inequality yet.
- Steve: no direct link to SDG5 objectives</v>
      </c>
      <c r="P27" s="48" t="s">
        <v>477</v>
      </c>
      <c r="Q27" s="50" t="s">
        <v>451</v>
      </c>
    </row>
    <row r="28">
      <c r="A28" s="23" t="s">
        <v>104</v>
      </c>
      <c r="B28" s="23" t="s">
        <v>105</v>
      </c>
      <c r="C28" s="47"/>
      <c r="D28" s="47" t="b">
        <f t="shared" ref="D28:H28" si="57">VLOOKUP($A28, INDIRECT(D$1&amp;"!B:D"), 3, FALSE)</f>
        <v>0</v>
      </c>
      <c r="E28" s="47" t="b">
        <f t="shared" si="57"/>
        <v>0</v>
      </c>
      <c r="F28" s="47" t="str">
        <f t="shared" si="57"/>
        <v>TO DO</v>
      </c>
      <c r="G28" s="47" t="b">
        <f t="shared" si="57"/>
        <v>0</v>
      </c>
      <c r="H28" s="47" t="b">
        <f t="shared" si="57"/>
        <v>0</v>
      </c>
      <c r="I28" s="48">
        <f t="shared" si="4"/>
        <v>1</v>
      </c>
      <c r="J28" s="49" t="str">
        <f t="shared" ref="J28:N28" si="58">VLOOKUP($A28, INDIRECT(J$1&amp;"!B:E"), 4, FALSE)</f>
        <v/>
      </c>
      <c r="K28" s="49" t="str">
        <f t="shared" si="58"/>
        <v/>
      </c>
      <c r="L28" s="49" t="str">
        <f t="shared" si="58"/>
        <v/>
      </c>
      <c r="M28" s="49" t="str">
        <f t="shared" si="58"/>
        <v/>
      </c>
      <c r="N28" s="49" t="str">
        <f t="shared" si="58"/>
        <v>not specifically linked to any gender-related aspects</v>
      </c>
      <c r="O28" s="48" t="str">
        <f>IFERROR(__xludf.DUMMYFUNCTION("IF(COUNTA(J28:N28)=0, """", ARRAYFORMULA(""- ""&amp;TEXTJOIN(char(10)&amp;""- "", TRUE, FILTER(J$1:N$1&amp;"": ""&amp;J28:N28, NOT(ISBLANK(J28:N28))))))"),"- Steve: not specifically linked to any gender-related aspects")</f>
        <v>- Steve: not specifically linked to any gender-related aspects</v>
      </c>
      <c r="P28" s="48" t="s">
        <v>478</v>
      </c>
      <c r="Q28" s="50" t="b">
        <v>0</v>
      </c>
    </row>
    <row r="29">
      <c r="A29" s="23" t="s">
        <v>285</v>
      </c>
      <c r="B29" s="23" t="s">
        <v>286</v>
      </c>
      <c r="C29" s="47"/>
      <c r="D29" s="47" t="b">
        <f t="shared" ref="D29:H29" si="59">VLOOKUP($A29, INDIRECT(D$1&amp;"!B:D"), 3, FALSE)</f>
        <v>1</v>
      </c>
      <c r="E29" s="47" t="b">
        <f t="shared" si="59"/>
        <v>1</v>
      </c>
      <c r="F29" s="47" t="str">
        <f t="shared" si="59"/>
        <v>TO DO</v>
      </c>
      <c r="G29" s="47" t="b">
        <f t="shared" si="59"/>
        <v>1</v>
      </c>
      <c r="H29" s="47" t="b">
        <f t="shared" si="59"/>
        <v>1</v>
      </c>
      <c r="I29" s="48">
        <f t="shared" si="4"/>
        <v>1</v>
      </c>
      <c r="J29" s="49" t="str">
        <f t="shared" ref="J29:N29" si="60">VLOOKUP($A29, INDIRECT(J$1&amp;"!B:E"), 4, FALSE)</f>
        <v/>
      </c>
      <c r="K29" s="49" t="str">
        <f t="shared" si="60"/>
        <v/>
      </c>
      <c r="L29" s="49" t="str">
        <f t="shared" si="60"/>
        <v/>
      </c>
      <c r="M29" s="49" t="str">
        <f t="shared" si="60"/>
        <v/>
      </c>
      <c r="N29" s="49" t="str">
        <f t="shared" si="60"/>
        <v/>
      </c>
      <c r="O29" s="48" t="str">
        <f>IFERROR(__xludf.DUMMYFUNCTION("IF(COUNTA(J29:N29)=0, """", ARRAYFORMULA(""- ""&amp;TEXTJOIN(char(10)&amp;""- "", TRUE, FILTER(J$1:N$1&amp;"": ""&amp;J29:N29, NOT(ISBLANK(J29:N29))))))"),"")</f>
        <v/>
      </c>
      <c r="P29" s="48" t="s">
        <v>460</v>
      </c>
      <c r="Q29" s="50" t="b">
        <v>1</v>
      </c>
    </row>
    <row r="30">
      <c r="A30" s="23" t="s">
        <v>113</v>
      </c>
      <c r="B30" s="23" t="s">
        <v>114</v>
      </c>
      <c r="C30" s="46" t="str">
        <f t="shared" ref="C30:C31" si="63">IF(OR(COUNTIF(D30:H30, "FALSE")=1, COUNTIF(D30:H30, "TRUE")=1), IF(COUNTA(D30:H30)-COUNTIF(D30:H30, "TO DO")=4, "Minor Disagreement (1v3)", "Disagreement (1v2)"), "Major Disagreement (2v2)")</f>
        <v>Minor Disagreement (1v3)</v>
      </c>
      <c r="D30" s="47" t="b">
        <f t="shared" ref="D30:H30" si="61">VLOOKUP($A30, INDIRECT(D$1&amp;"!B:D"), 3, FALSE)</f>
        <v>1</v>
      </c>
      <c r="E30" s="47" t="b">
        <f t="shared" si="61"/>
        <v>1</v>
      </c>
      <c r="F30" s="47" t="str">
        <f t="shared" si="61"/>
        <v>TO DO</v>
      </c>
      <c r="G30" s="47" t="b">
        <f t="shared" si="61"/>
        <v>0</v>
      </c>
      <c r="H30" s="47" t="b">
        <f t="shared" si="61"/>
        <v>1</v>
      </c>
      <c r="I30" s="48">
        <f t="shared" si="4"/>
        <v>0.5</v>
      </c>
      <c r="J30" s="49" t="str">
        <f t="shared" ref="J30:N30" si="62">VLOOKUP($A30, INDIRECT(J$1&amp;"!B:E"), 4, FALSE)</f>
        <v/>
      </c>
      <c r="K30" s="49" t="str">
        <f t="shared" si="62"/>
        <v/>
      </c>
      <c r="L30" s="49" t="str">
        <f t="shared" si="62"/>
        <v/>
      </c>
      <c r="M30" s="49" t="str">
        <f t="shared" si="62"/>
        <v>doesnt say how women in STEM will be increased</v>
      </c>
      <c r="N30" s="49" t="str">
        <f t="shared" si="62"/>
        <v/>
      </c>
      <c r="O30" s="48" t="str">
        <f>IFERROR(__xludf.DUMMYFUNCTION("IF(COUNTA(J30:N30)=0, """", ARRAYFORMULA(""- ""&amp;TEXTJOIN(char(10)&amp;""- "", TRUE, FILTER(J$1:N$1&amp;"": ""&amp;J30:N30, NOT(ISBLANK(J30:N30))))))"),"- Meike: doesnt say how women in STEM will be increased")</f>
        <v>- Meike: doesnt say how women in STEM will be increased</v>
      </c>
      <c r="P30" s="48" t="s">
        <v>479</v>
      </c>
      <c r="Q30" s="50" t="s">
        <v>451</v>
      </c>
    </row>
    <row r="31">
      <c r="A31" s="23" t="s">
        <v>288</v>
      </c>
      <c r="B31" s="23" t="s">
        <v>289</v>
      </c>
      <c r="C31" s="46" t="str">
        <f t="shared" si="63"/>
        <v>Disagreement (1v2)</v>
      </c>
      <c r="D31" s="47" t="b">
        <f t="shared" ref="D31:H31" si="64">VLOOKUP($A31, INDIRECT(D$1&amp;"!B:D"), 3, FALSE)</f>
        <v>1</v>
      </c>
      <c r="E31" s="47" t="str">
        <f t="shared" si="64"/>
        <v>TO DO</v>
      </c>
      <c r="F31" s="47" t="str">
        <f t="shared" si="64"/>
        <v>TO DO</v>
      </c>
      <c r="G31" s="47" t="b">
        <f t="shared" si="64"/>
        <v>0</v>
      </c>
      <c r="H31" s="47" t="b">
        <f t="shared" si="64"/>
        <v>1</v>
      </c>
      <c r="I31" s="48">
        <f t="shared" si="4"/>
        <v>0.3333333333</v>
      </c>
      <c r="J31" s="49" t="str">
        <f t="shared" ref="J31:N31" si="65">VLOOKUP($A31, INDIRECT(J$1&amp;"!B:E"), 4, FALSE)</f>
        <v/>
      </c>
      <c r="K31" s="49" t="str">
        <f t="shared" si="65"/>
        <v/>
      </c>
      <c r="L31" s="49" t="str">
        <f t="shared" si="65"/>
        <v/>
      </c>
      <c r="M31" s="49" t="str">
        <f t="shared" si="65"/>
        <v/>
      </c>
      <c r="N31" s="49" t="str">
        <f t="shared" si="65"/>
        <v/>
      </c>
      <c r="O31" s="48" t="str">
        <f>IFERROR(__xludf.DUMMYFUNCTION("IF(COUNTA(J31:N31)=0, """", ARRAYFORMULA(""- ""&amp;TEXTJOIN(char(10)&amp;""- "", TRUE, FILTER(J$1:N$1&amp;"": ""&amp;J31:N31, NOT(ISBLANK(J31:N31))))))"),"")</f>
        <v/>
      </c>
      <c r="P31" s="48" t="s">
        <v>460</v>
      </c>
      <c r="Q31" s="50" t="s">
        <v>451</v>
      </c>
    </row>
    <row r="32">
      <c r="A32" s="23" t="s">
        <v>89</v>
      </c>
      <c r="B32" s="23" t="s">
        <v>90</v>
      </c>
      <c r="C32" s="47"/>
      <c r="D32" s="47" t="b">
        <f t="shared" ref="D32:H32" si="66">VLOOKUP($A32, INDIRECT(D$1&amp;"!B:D"), 3, FALSE)</f>
        <v>0</v>
      </c>
      <c r="E32" s="47" t="str">
        <f t="shared" si="66"/>
        <v>TO DO</v>
      </c>
      <c r="F32" s="47" t="str">
        <f t="shared" si="66"/>
        <v>TO DO</v>
      </c>
      <c r="G32" s="47" t="b">
        <f t="shared" si="66"/>
        <v>0</v>
      </c>
      <c r="H32" s="47" t="b">
        <f t="shared" si="66"/>
        <v>0</v>
      </c>
      <c r="I32" s="48">
        <f t="shared" si="4"/>
        <v>1</v>
      </c>
      <c r="J32" s="49" t="str">
        <f t="shared" ref="J32:N32" si="67">VLOOKUP($A32, INDIRECT(J$1&amp;"!B:E"), 4, FALSE)</f>
        <v/>
      </c>
      <c r="K32" s="49" t="str">
        <f t="shared" si="67"/>
        <v/>
      </c>
      <c r="L32" s="49" t="str">
        <f t="shared" si="67"/>
        <v/>
      </c>
      <c r="M32" s="49" t="str">
        <f t="shared" si="67"/>
        <v/>
      </c>
      <c r="N32" s="49" t="str">
        <f t="shared" si="67"/>
        <v/>
      </c>
      <c r="O32" s="48" t="str">
        <f>IFERROR(__xludf.DUMMYFUNCTION("IF(COUNTA(J32:N32)=0, """", ARRAYFORMULA(""- ""&amp;TEXTJOIN(char(10)&amp;""- "", TRUE, FILTER(J$1:N$1&amp;"": ""&amp;J32:N32, NOT(ISBLANK(J32:N32))))))"),"")</f>
        <v/>
      </c>
      <c r="P32" s="48" t="s">
        <v>460</v>
      </c>
      <c r="Q32" s="50" t="b">
        <v>0</v>
      </c>
    </row>
    <row r="33">
      <c r="A33" s="23" t="s">
        <v>261</v>
      </c>
      <c r="B33" s="23" t="s">
        <v>262</v>
      </c>
      <c r="C33" s="47"/>
      <c r="D33" s="47" t="b">
        <f t="shared" ref="D33:H33" si="68">VLOOKUP($A33, INDIRECT(D$1&amp;"!B:D"), 3, FALSE)</f>
        <v>0</v>
      </c>
      <c r="E33" s="47" t="str">
        <f t="shared" si="68"/>
        <v>TO DO</v>
      </c>
      <c r="F33" s="47" t="str">
        <f t="shared" si="68"/>
        <v>TO DO</v>
      </c>
      <c r="G33" s="47" t="b">
        <f t="shared" si="68"/>
        <v>0</v>
      </c>
      <c r="H33" s="47" t="b">
        <f t="shared" si="68"/>
        <v>0</v>
      </c>
      <c r="I33" s="48">
        <f t="shared" si="4"/>
        <v>1</v>
      </c>
      <c r="J33" s="49" t="str">
        <f t="shared" ref="J33:N33" si="69">VLOOKUP($A33, INDIRECT(J$1&amp;"!B:E"), 4, FALSE)</f>
        <v/>
      </c>
      <c r="K33" s="49" t="str">
        <f t="shared" si="69"/>
        <v/>
      </c>
      <c r="L33" s="49" t="str">
        <f t="shared" si="69"/>
        <v/>
      </c>
      <c r="M33" s="49" t="str">
        <f t="shared" si="69"/>
        <v/>
      </c>
      <c r="N33" s="49" t="str">
        <f t="shared" si="69"/>
        <v>no direct gender-related reference</v>
      </c>
      <c r="O33" s="48" t="str">
        <f>IFERROR(__xludf.DUMMYFUNCTION("IF(COUNTA(J33:N33)=0, """", ARRAYFORMULA(""- ""&amp;TEXTJOIN(char(10)&amp;""- "", TRUE, FILTER(J$1:N$1&amp;"": ""&amp;J33:N33, NOT(ISBLANK(J33:N33))))))"),"- Steve: no direct gender-related reference")</f>
        <v>- Steve: no direct gender-related reference</v>
      </c>
      <c r="P33" s="48" t="s">
        <v>480</v>
      </c>
      <c r="Q33" s="50" t="b">
        <v>0</v>
      </c>
    </row>
    <row r="34">
      <c r="A34" s="23" t="s">
        <v>244</v>
      </c>
      <c r="B34" s="23" t="s">
        <v>245</v>
      </c>
      <c r="C34" s="47"/>
      <c r="D34" s="47" t="b">
        <f t="shared" ref="D34:H34" si="70">VLOOKUP($A34, INDIRECT(D$1&amp;"!B:D"), 3, FALSE)</f>
        <v>0</v>
      </c>
      <c r="E34" s="47" t="b">
        <f t="shared" si="70"/>
        <v>0</v>
      </c>
      <c r="F34" s="47" t="str">
        <f t="shared" si="70"/>
        <v>TO DO</v>
      </c>
      <c r="G34" s="47" t="b">
        <f t="shared" si="70"/>
        <v>0</v>
      </c>
      <c r="H34" s="47" t="b">
        <f t="shared" si="70"/>
        <v>0</v>
      </c>
      <c r="I34" s="48">
        <f t="shared" si="4"/>
        <v>1</v>
      </c>
      <c r="J34" s="49" t="str">
        <f t="shared" ref="J34:N34" si="71">VLOOKUP($A34, INDIRECT(J$1&amp;"!B:E"), 4, FALSE)</f>
        <v/>
      </c>
      <c r="K34" s="49" t="str">
        <f t="shared" si="71"/>
        <v/>
      </c>
      <c r="L34" s="49" t="str">
        <f t="shared" si="71"/>
        <v/>
      </c>
      <c r="M34" s="49" t="str">
        <f t="shared" si="71"/>
        <v/>
      </c>
      <c r="N34" s="49" t="str">
        <f t="shared" si="71"/>
        <v/>
      </c>
      <c r="O34" s="48" t="str">
        <f>IFERROR(__xludf.DUMMYFUNCTION("IF(COUNTA(J34:N34)=0, """", ARRAYFORMULA(""- ""&amp;TEXTJOIN(char(10)&amp;""- "", TRUE, FILTER(J$1:N$1&amp;"": ""&amp;J34:N34, NOT(ISBLANK(J34:N34))))))"),"")</f>
        <v/>
      </c>
      <c r="P34" s="48" t="s">
        <v>460</v>
      </c>
      <c r="Q34" s="50" t="b">
        <v>0</v>
      </c>
    </row>
    <row r="35">
      <c r="A35" s="23" t="s">
        <v>345</v>
      </c>
      <c r="B35" s="23" t="s">
        <v>346</v>
      </c>
      <c r="C35" s="47"/>
      <c r="D35" s="47" t="b">
        <f t="shared" ref="D35:H35" si="72">VLOOKUP($A35, INDIRECT(D$1&amp;"!B:D"), 3, FALSE)</f>
        <v>0</v>
      </c>
      <c r="E35" s="47" t="str">
        <f t="shared" si="72"/>
        <v>TO DO</v>
      </c>
      <c r="F35" s="47" t="str">
        <f t="shared" si="72"/>
        <v>TO DO</v>
      </c>
      <c r="G35" s="47" t="b">
        <f t="shared" si="72"/>
        <v>0</v>
      </c>
      <c r="H35" s="47" t="b">
        <f t="shared" si="72"/>
        <v>0</v>
      </c>
      <c r="I35" s="48">
        <f t="shared" si="4"/>
        <v>1</v>
      </c>
      <c r="J35" s="49" t="str">
        <f t="shared" ref="J35:N35" si="73">VLOOKUP($A35, INDIRECT(J$1&amp;"!B:E"), 4, FALSE)</f>
        <v/>
      </c>
      <c r="K35" s="49" t="str">
        <f t="shared" si="73"/>
        <v/>
      </c>
      <c r="L35" s="49" t="str">
        <f t="shared" si="73"/>
        <v/>
      </c>
      <c r="M35" s="49" t="str">
        <f t="shared" si="73"/>
        <v/>
      </c>
      <c r="N35" s="49" t="str">
        <f t="shared" si="73"/>
        <v/>
      </c>
      <c r="O35" s="48" t="str">
        <f>IFERROR(__xludf.DUMMYFUNCTION("IF(COUNTA(J35:N35)=0, """", ARRAYFORMULA(""- ""&amp;TEXTJOIN(char(10)&amp;""- "", TRUE, FILTER(J$1:N$1&amp;"": ""&amp;J35:N35, NOT(ISBLANK(J35:N35))))))"),"")</f>
        <v/>
      </c>
      <c r="P35" s="48" t="s">
        <v>460</v>
      </c>
      <c r="Q35" s="50" t="b">
        <v>0</v>
      </c>
    </row>
    <row r="36">
      <c r="A36" s="23" t="s">
        <v>130</v>
      </c>
      <c r="B36" s="23" t="s">
        <v>131</v>
      </c>
      <c r="C36" s="46" t="str">
        <f t="shared" ref="C36:C37" si="76">IF(OR(COUNTIF(D36:H36, "FALSE")=1, COUNTIF(D36:H36, "TRUE")=1), IF(COUNTA(D36:H36)-COUNTIF(D36:H36, "TO DO")=4, "Minor Disagreement (1v3)", "Disagreement (1v2)"), "Major Disagreement (2v2)")</f>
        <v>Minor Disagreement (1v3)</v>
      </c>
      <c r="D36" s="47" t="b">
        <f t="shared" ref="D36:H36" si="74">VLOOKUP($A36, INDIRECT(D$1&amp;"!B:D"), 3, FALSE)</f>
        <v>0</v>
      </c>
      <c r="E36" s="47" t="b">
        <f t="shared" si="74"/>
        <v>1</v>
      </c>
      <c r="F36" s="47" t="str">
        <f t="shared" si="74"/>
        <v>TO DO</v>
      </c>
      <c r="G36" s="47" t="b">
        <f t="shared" si="74"/>
        <v>1</v>
      </c>
      <c r="H36" s="47" t="b">
        <f t="shared" si="74"/>
        <v>1</v>
      </c>
      <c r="I36" s="48">
        <f t="shared" si="4"/>
        <v>0.5</v>
      </c>
      <c r="J36" s="49" t="str">
        <f t="shared" ref="J36:N36" si="75">VLOOKUP($A36, INDIRECT(J$1&amp;"!B:E"), 4, FALSE)</f>
        <v>Target 3.1</v>
      </c>
      <c r="K36" s="49" t="str">
        <f t="shared" si="75"/>
        <v/>
      </c>
      <c r="L36" s="49" t="str">
        <f t="shared" si="75"/>
        <v/>
      </c>
      <c r="M36" s="49" t="str">
        <f t="shared" si="75"/>
        <v>is tthis about the targets, or just personal story? no reference to policy or measure to protect women</v>
      </c>
      <c r="N36" s="49" t="str">
        <f t="shared" si="75"/>
        <v>vaguely links to access to reproductive and sexual health</v>
      </c>
      <c r="O36" s="48" t="str">
        <f>IFERROR(__xludf.DUMMYFUNCTION("IF(COUNTA(J36:N36)=0, """", ARRAYFORMULA(""- ""&amp;TEXTJOIN(char(10)&amp;""- "", TRUE, FILTER(J$1:N$1&amp;"": ""&amp;J36:N36, NOT(ISBLANK(J36:N36))))))"),"- Finn: Target 3.1
- Meike: is tthis about the targets, or just personal story? no reference to policy or measure to protect women
- Steve: vaguely links to access to reproductive and sexual health")</f>
        <v>- Finn: Target 3.1
- Meike: is tthis about the targets, or just personal story? no reference to policy or measure to protect women
- Steve: vaguely links to access to reproductive and sexual health</v>
      </c>
      <c r="P36" s="48" t="s">
        <v>481</v>
      </c>
      <c r="Q36" s="50" t="s">
        <v>451</v>
      </c>
    </row>
    <row r="37">
      <c r="A37" s="23" t="s">
        <v>154</v>
      </c>
      <c r="B37" s="23" t="s">
        <v>155</v>
      </c>
      <c r="C37" s="46" t="str">
        <f t="shared" si="76"/>
        <v>Disagreement (1v2)</v>
      </c>
      <c r="D37" s="47" t="b">
        <f t="shared" ref="D37:H37" si="77">VLOOKUP($A37, INDIRECT(D$1&amp;"!B:D"), 3, FALSE)</f>
        <v>0</v>
      </c>
      <c r="E37" s="47" t="str">
        <f t="shared" si="77"/>
        <v>TO DO</v>
      </c>
      <c r="F37" s="47" t="str">
        <f t="shared" si="77"/>
        <v>TO DO</v>
      </c>
      <c r="G37" s="47" t="b">
        <f t="shared" si="77"/>
        <v>0</v>
      </c>
      <c r="H37" s="47" t="b">
        <f t="shared" si="77"/>
        <v>1</v>
      </c>
      <c r="I37" s="48">
        <f t="shared" si="4"/>
        <v>0.3333333333</v>
      </c>
      <c r="J37" s="49" t="str">
        <f t="shared" ref="J37:N37" si="78">VLOOKUP($A37, INDIRECT(J$1&amp;"!B:E"), 4, FALSE)</f>
        <v/>
      </c>
      <c r="K37" s="49" t="str">
        <f t="shared" si="78"/>
        <v/>
      </c>
      <c r="L37" s="49" t="str">
        <f t="shared" si="78"/>
        <v/>
      </c>
      <c r="M37" s="49" t="str">
        <f t="shared" si="78"/>
        <v>while women protest, it doesnt say anything about inequality between women and men</v>
      </c>
      <c r="N37" s="49" t="str">
        <f t="shared" si="78"/>
        <v>Links to active participation and leadership of women (5.5)</v>
      </c>
      <c r="O37" s="48" t="str">
        <f>IFERROR(__xludf.DUMMYFUNCTION("IF(COUNTA(J37:N37)=0, """", ARRAYFORMULA(""- ""&amp;TEXTJOIN(char(10)&amp;""- "", TRUE, FILTER(J$1:N$1&amp;"": ""&amp;J37:N37, NOT(ISBLANK(J37:N37))))))"),"- Meike: while women protest, it doesnt say anything about inequality between women and men
- Steve: Links to active participation and leadership of women (5.5)")</f>
        <v>- Meike: while women protest, it doesnt say anything about inequality between women and men
- Steve: Links to active participation and leadership of women (5.5)</v>
      </c>
      <c r="P37" s="48" t="s">
        <v>482</v>
      </c>
      <c r="Q37" s="50" t="s">
        <v>451</v>
      </c>
    </row>
    <row r="38">
      <c r="A38" s="23" t="s">
        <v>199</v>
      </c>
      <c r="B38" s="23" t="s">
        <v>200</v>
      </c>
      <c r="C38" s="47"/>
      <c r="D38" s="47" t="b">
        <f t="shared" ref="D38:H38" si="79">VLOOKUP($A38, INDIRECT(D$1&amp;"!B:D"), 3, FALSE)</f>
        <v>1</v>
      </c>
      <c r="E38" s="47" t="b">
        <f t="shared" si="79"/>
        <v>1</v>
      </c>
      <c r="F38" s="47" t="str">
        <f t="shared" si="79"/>
        <v>TO DO</v>
      </c>
      <c r="G38" s="47" t="b">
        <f t="shared" si="79"/>
        <v>1</v>
      </c>
      <c r="H38" s="47" t="b">
        <f t="shared" si="79"/>
        <v>1</v>
      </c>
      <c r="I38" s="48">
        <f t="shared" si="4"/>
        <v>1</v>
      </c>
      <c r="J38" s="49" t="str">
        <f t="shared" ref="J38:N38" si="80">VLOOKUP($A38, INDIRECT(J$1&amp;"!B:E"), 4, FALSE)</f>
        <v/>
      </c>
      <c r="K38" s="49" t="str">
        <f t="shared" si="80"/>
        <v/>
      </c>
      <c r="L38" s="49" t="str">
        <f t="shared" si="80"/>
        <v/>
      </c>
      <c r="M38" s="49" t="str">
        <f t="shared" si="80"/>
        <v/>
      </c>
      <c r="N38" s="49" t="str">
        <f t="shared" si="80"/>
        <v/>
      </c>
      <c r="O38" s="48" t="str">
        <f>IFERROR(__xludf.DUMMYFUNCTION("IF(COUNTA(J38:N38)=0, """", ARRAYFORMULA(""- ""&amp;TEXTJOIN(char(10)&amp;""- "", TRUE, FILTER(J$1:N$1&amp;"": ""&amp;J38:N38, NOT(ISBLANK(J38:N38))))))"),"")</f>
        <v/>
      </c>
      <c r="P38" s="48" t="s">
        <v>460</v>
      </c>
      <c r="Q38" s="50" t="b">
        <v>1</v>
      </c>
    </row>
    <row r="39">
      <c r="A39" s="23" t="s">
        <v>102</v>
      </c>
      <c r="B39" s="23" t="s">
        <v>103</v>
      </c>
      <c r="C39" s="47"/>
      <c r="D39" s="47" t="b">
        <f t="shared" ref="D39:H39" si="81">VLOOKUP($A39, INDIRECT(D$1&amp;"!B:D"), 3, FALSE)</f>
        <v>1</v>
      </c>
      <c r="E39" s="47" t="str">
        <f t="shared" si="81"/>
        <v>TO DO</v>
      </c>
      <c r="F39" s="47" t="str">
        <f t="shared" si="81"/>
        <v>TO DO</v>
      </c>
      <c r="G39" s="47" t="b">
        <f t="shared" si="81"/>
        <v>1</v>
      </c>
      <c r="H39" s="47" t="b">
        <f t="shared" si="81"/>
        <v>1</v>
      </c>
      <c r="I39" s="48">
        <f t="shared" si="4"/>
        <v>1</v>
      </c>
      <c r="J39" s="49" t="str">
        <f t="shared" ref="J39:N39" si="82">VLOOKUP($A39, INDIRECT(J$1&amp;"!B:E"), 4, FALSE)</f>
        <v/>
      </c>
      <c r="K39" s="49" t="str">
        <f t="shared" si="82"/>
        <v/>
      </c>
      <c r="L39" s="49" t="str">
        <f t="shared" si="82"/>
        <v/>
      </c>
      <c r="M39" s="49" t="str">
        <f t="shared" si="82"/>
        <v/>
      </c>
      <c r="N39" s="49" t="str">
        <f t="shared" si="82"/>
        <v/>
      </c>
      <c r="O39" s="48" t="str">
        <f>IFERROR(__xludf.DUMMYFUNCTION("IF(COUNTA(J39:N39)=0, """", ARRAYFORMULA(""- ""&amp;TEXTJOIN(char(10)&amp;""- "", TRUE, FILTER(J$1:N$1&amp;"": ""&amp;J39:N39, NOT(ISBLANK(J39:N39))))))"),"")</f>
        <v/>
      </c>
      <c r="P39" s="48" t="s">
        <v>460</v>
      </c>
      <c r="Q39" s="50" t="b">
        <v>1</v>
      </c>
    </row>
    <row r="40">
      <c r="A40" s="23" t="s">
        <v>116</v>
      </c>
      <c r="B40" s="23" t="s">
        <v>117</v>
      </c>
      <c r="C40" s="46" t="str">
        <f t="shared" ref="C40:C41" si="85">IF(OR(COUNTIF(D40:H40, "FALSE")=1, COUNTIF(D40:H40, "TRUE")=1), IF(COUNTA(D40:H40)-COUNTIF(D40:H40, "TO DO")=4, "Minor Disagreement (1v3)", "Disagreement (1v2)"), "Major Disagreement (2v2)")</f>
        <v>Minor Disagreement (1v3)</v>
      </c>
      <c r="D40" s="47" t="b">
        <f t="shared" ref="D40:H40" si="83">VLOOKUP($A40, INDIRECT(D$1&amp;"!B:D"), 3, FALSE)</f>
        <v>1</v>
      </c>
      <c r="E40" s="47" t="b">
        <f t="shared" si="83"/>
        <v>1</v>
      </c>
      <c r="F40" s="47" t="str">
        <f t="shared" si="83"/>
        <v>TO DO</v>
      </c>
      <c r="G40" s="47" t="b">
        <f t="shared" si="83"/>
        <v>0</v>
      </c>
      <c r="H40" s="47" t="b">
        <f t="shared" si="83"/>
        <v>1</v>
      </c>
      <c r="I40" s="48">
        <f t="shared" si="4"/>
        <v>0.5</v>
      </c>
      <c r="J40" s="49" t="str">
        <f t="shared" ref="J40:N40" si="84">VLOOKUP($A40, INDIRECT(J$1&amp;"!B:E"), 4, FALSE)</f>
        <v>VAWG = violence against women and girls</v>
      </c>
      <c r="K40" s="49" t="str">
        <f t="shared" si="84"/>
        <v>VAWG = violence against women and girls</v>
      </c>
      <c r="L40" s="49" t="str">
        <f t="shared" si="84"/>
        <v/>
      </c>
      <c r="M40" s="49" t="str">
        <f t="shared" si="84"/>
        <v/>
      </c>
      <c r="N40" s="49" t="str">
        <f t="shared" si="84"/>
        <v>GBV 5.2</v>
      </c>
      <c r="O40" s="48" t="str">
        <f>IFERROR(__xludf.DUMMYFUNCTION("IF(COUNTA(J40:N40)=0, """", ARRAYFORMULA(""- ""&amp;TEXTJOIN(char(10)&amp;""- "", TRUE, FILTER(J$1:N$1&amp;"": ""&amp;J40:N40, NOT(ISBLANK(J40:N40))))))"),"- Finn: VAWG = violence against women and girls
- Gib: VAWG = violence against women and girls
- Steve: GBV 5.2")</f>
        <v>- Finn: VAWG = violence against women and girls
- Gib: VAWG = violence against women and girls
- Steve: GBV 5.2</v>
      </c>
      <c r="P40" s="48" t="s">
        <v>483</v>
      </c>
      <c r="Q40" s="50" t="s">
        <v>451</v>
      </c>
    </row>
    <row r="41">
      <c r="A41" s="23" t="s">
        <v>315</v>
      </c>
      <c r="B41" s="23" t="s">
        <v>316</v>
      </c>
      <c r="C41" s="46" t="str">
        <f t="shared" si="85"/>
        <v>Minor Disagreement (1v3)</v>
      </c>
      <c r="D41" s="47" t="b">
        <f t="shared" ref="D41:H41" si="86">VLOOKUP($A41, INDIRECT(D$1&amp;"!B:D"), 3, FALSE)</f>
        <v>1</v>
      </c>
      <c r="E41" s="47" t="b">
        <f t="shared" si="86"/>
        <v>0</v>
      </c>
      <c r="F41" s="47" t="str">
        <f t="shared" si="86"/>
        <v>TO DO</v>
      </c>
      <c r="G41" s="47" t="b">
        <f t="shared" si="86"/>
        <v>0</v>
      </c>
      <c r="H41" s="47" t="b">
        <f t="shared" si="86"/>
        <v>0</v>
      </c>
      <c r="I41" s="48">
        <f t="shared" si="4"/>
        <v>0.5</v>
      </c>
      <c r="J41" s="49" t="str">
        <f t="shared" ref="J41:N41" si="87">VLOOKUP($A41, INDIRECT(J$1&amp;"!B:E"), 4, FALSE)</f>
        <v/>
      </c>
      <c r="K41" s="49" t="str">
        <f t="shared" si="87"/>
        <v/>
      </c>
      <c r="L41" s="49" t="str">
        <f t="shared" si="87"/>
        <v/>
      </c>
      <c r="M41" s="49" t="str">
        <f t="shared" si="87"/>
        <v/>
      </c>
      <c r="N41" s="49" t="str">
        <f t="shared" si="87"/>
        <v>no direct gender ref</v>
      </c>
      <c r="O41" s="48" t="str">
        <f>IFERROR(__xludf.DUMMYFUNCTION("IF(COUNTA(J41:N41)=0, """", ARRAYFORMULA(""- ""&amp;TEXTJOIN(char(10)&amp;""- "", TRUE, FILTER(J$1:N$1&amp;"": ""&amp;J41:N41, NOT(ISBLANK(J41:N41))))))"),"- Steve: no direct gender ref")</f>
        <v>- Steve: no direct gender ref</v>
      </c>
      <c r="P41" s="48" t="s">
        <v>484</v>
      </c>
      <c r="Q41" s="50" t="s">
        <v>451</v>
      </c>
    </row>
    <row r="42">
      <c r="A42" s="23" t="s">
        <v>190</v>
      </c>
      <c r="B42" s="23" t="s">
        <v>191</v>
      </c>
      <c r="C42" s="47"/>
      <c r="D42" s="47" t="b">
        <f t="shared" ref="D42:H42" si="88">VLOOKUP($A42, INDIRECT(D$1&amp;"!B:D"), 3, FALSE)</f>
        <v>0</v>
      </c>
      <c r="E42" s="47" t="b">
        <f t="shared" si="88"/>
        <v>0</v>
      </c>
      <c r="F42" s="47" t="str">
        <f t="shared" si="88"/>
        <v>TO DO</v>
      </c>
      <c r="G42" s="47" t="b">
        <f t="shared" si="88"/>
        <v>0</v>
      </c>
      <c r="H42" s="47" t="b">
        <f t="shared" si="88"/>
        <v>0</v>
      </c>
      <c r="I42" s="48">
        <f t="shared" si="4"/>
        <v>1</v>
      </c>
      <c r="J42" s="49" t="str">
        <f t="shared" ref="J42:N42" si="89">VLOOKUP($A42, INDIRECT(J$1&amp;"!B:E"), 4, FALSE)</f>
        <v>not specific to gender</v>
      </c>
      <c r="K42" s="49" t="str">
        <f t="shared" si="89"/>
        <v/>
      </c>
      <c r="L42" s="49" t="str">
        <f t="shared" si="89"/>
        <v/>
      </c>
      <c r="M42" s="49" t="str">
        <f t="shared" si="89"/>
        <v/>
      </c>
      <c r="N42" s="49" t="str">
        <f t="shared" si="89"/>
        <v>not clear what kind of discrimination against whom</v>
      </c>
      <c r="O42" s="48" t="str">
        <f>IFERROR(__xludf.DUMMYFUNCTION("IF(COUNTA(J42:N42)=0, """", ARRAYFORMULA(""- ""&amp;TEXTJOIN(char(10)&amp;""- "", TRUE, FILTER(J$1:N$1&amp;"": ""&amp;J42:N42, NOT(ISBLANK(J42:N42))))))"),"- Finn: not specific to gender
- Steve: not clear what kind of discrimination against whom")</f>
        <v>- Finn: not specific to gender
- Steve: not clear what kind of discrimination against whom</v>
      </c>
      <c r="P42" s="48" t="s">
        <v>485</v>
      </c>
      <c r="Q42" s="50" t="b">
        <v>0</v>
      </c>
    </row>
    <row r="43">
      <c r="A43" s="23" t="s">
        <v>328</v>
      </c>
      <c r="B43" s="23" t="s">
        <v>329</v>
      </c>
      <c r="C43" s="47"/>
      <c r="D43" s="47" t="b">
        <f t="shared" ref="D43:H43" si="90">VLOOKUP($A43, INDIRECT(D$1&amp;"!B:D"), 3, FALSE)</f>
        <v>1</v>
      </c>
      <c r="E43" s="47" t="b">
        <f t="shared" si="90"/>
        <v>1</v>
      </c>
      <c r="F43" s="47" t="str">
        <f t="shared" si="90"/>
        <v>TO DO</v>
      </c>
      <c r="G43" s="47" t="b">
        <f t="shared" si="90"/>
        <v>1</v>
      </c>
      <c r="H43" s="47" t="b">
        <f t="shared" si="90"/>
        <v>1</v>
      </c>
      <c r="I43" s="48">
        <f t="shared" si="4"/>
        <v>1</v>
      </c>
      <c r="J43" s="49" t="str">
        <f t="shared" ref="J43:N43" si="91">VLOOKUP($A43, INDIRECT(J$1&amp;"!B:E"), 4, FALSE)</f>
        <v/>
      </c>
      <c r="K43" s="49" t="str">
        <f t="shared" si="91"/>
        <v/>
      </c>
      <c r="L43" s="49" t="str">
        <f t="shared" si="91"/>
        <v/>
      </c>
      <c r="M43" s="49" t="str">
        <f t="shared" si="91"/>
        <v/>
      </c>
      <c r="N43" s="49">
        <f t="shared" si="91"/>
        <v>5.6</v>
      </c>
      <c r="O43" s="48" t="str">
        <f>IFERROR(__xludf.DUMMYFUNCTION("IF(COUNTA(J43:N43)=0, """", ARRAYFORMULA(""- ""&amp;TEXTJOIN(char(10)&amp;""- "", TRUE, FILTER(J$1:N$1&amp;"": ""&amp;J43:N43, NOT(ISBLANK(J43:N43))))))"),"- Steve: 5.6")</f>
        <v>- Steve: 5.6</v>
      </c>
      <c r="P43" s="48" t="s">
        <v>486</v>
      </c>
      <c r="Q43" s="50" t="b">
        <v>1</v>
      </c>
    </row>
    <row r="44">
      <c r="A44" s="23" t="s">
        <v>249</v>
      </c>
      <c r="B44" s="23" t="s">
        <v>250</v>
      </c>
      <c r="C44" s="46" t="str">
        <f t="shared" ref="C44:C45" si="94">IF(OR(COUNTIF(D44:H44, "FALSE")=1, COUNTIF(D44:H44, "TRUE")=1), IF(COUNTA(D44:H44)-COUNTIF(D44:H44, "TO DO")=4, "Minor Disagreement (1v3)", "Disagreement (1v2)"), "Major Disagreement (2v2)")</f>
        <v>Major Disagreement (2v2)</v>
      </c>
      <c r="D44" s="47" t="b">
        <f t="shared" ref="D44:H44" si="92">VLOOKUP($A44, INDIRECT(D$1&amp;"!B:D"), 3, FALSE)</f>
        <v>1</v>
      </c>
      <c r="E44" s="47" t="b">
        <f t="shared" si="92"/>
        <v>1</v>
      </c>
      <c r="F44" s="47" t="str">
        <f t="shared" si="92"/>
        <v>TO DO</v>
      </c>
      <c r="G44" s="47" t="b">
        <f t="shared" si="92"/>
        <v>0</v>
      </c>
      <c r="H44" s="47" t="b">
        <f t="shared" si="92"/>
        <v>0</v>
      </c>
      <c r="I44" s="48">
        <f t="shared" si="4"/>
        <v>0</v>
      </c>
      <c r="J44" s="49" t="str">
        <f t="shared" ref="J44:N44" si="93">VLOOKUP($A44, INDIRECT(J$1&amp;"!B:E"), 4, FALSE)</f>
        <v/>
      </c>
      <c r="K44" s="49" t="str">
        <f t="shared" si="93"/>
        <v/>
      </c>
      <c r="L44" s="49" t="str">
        <f t="shared" si="93"/>
        <v/>
      </c>
      <c r="M44" s="49" t="str">
        <f t="shared" si="93"/>
        <v/>
      </c>
      <c r="N44" s="49" t="str">
        <f t="shared" si="93"/>
        <v>missing call to action or specific link to a target</v>
      </c>
      <c r="O44" s="48" t="str">
        <f>IFERROR(__xludf.DUMMYFUNCTION("IF(COUNTA(J44:N44)=0, """", ARRAYFORMULA(""- ""&amp;TEXTJOIN(char(10)&amp;""- "", TRUE, FILTER(J$1:N$1&amp;"": ""&amp;J44:N44, NOT(ISBLANK(J44:N44))))))"),"- Steve: missing call to action or specific link to a target")</f>
        <v>- Steve: missing call to action or specific link to a target</v>
      </c>
      <c r="P44" s="48" t="s">
        <v>487</v>
      </c>
      <c r="Q44" s="50" t="s">
        <v>451</v>
      </c>
    </row>
    <row r="45">
      <c r="A45" s="23" t="s">
        <v>175</v>
      </c>
      <c r="B45" s="23" t="s">
        <v>176</v>
      </c>
      <c r="C45" s="46" t="str">
        <f t="shared" si="94"/>
        <v>Disagreement (1v2)</v>
      </c>
      <c r="D45" s="47" t="b">
        <f t="shared" ref="D45:H45" si="95">VLOOKUP($A45, INDIRECT(D$1&amp;"!B:D"), 3, FALSE)</f>
        <v>1</v>
      </c>
      <c r="E45" s="47" t="str">
        <f t="shared" si="95"/>
        <v>TO DO</v>
      </c>
      <c r="F45" s="47" t="str">
        <f t="shared" si="95"/>
        <v>TO DO</v>
      </c>
      <c r="G45" s="47" t="b">
        <f t="shared" si="95"/>
        <v>0</v>
      </c>
      <c r="H45" s="47" t="b">
        <f t="shared" si="95"/>
        <v>1</v>
      </c>
      <c r="I45" s="48">
        <f t="shared" si="4"/>
        <v>0.3333333333</v>
      </c>
      <c r="J45" s="49" t="str">
        <f t="shared" ref="J45:N45" si="96">VLOOKUP($A45, INDIRECT(J$1&amp;"!B:E"), 4, FALSE)</f>
        <v/>
      </c>
      <c r="K45" s="49" t="str">
        <f t="shared" si="96"/>
        <v/>
      </c>
      <c r="L45" s="49" t="str">
        <f t="shared" si="96"/>
        <v/>
      </c>
      <c r="M45" s="49" t="str">
        <f t="shared" si="96"/>
        <v>most about parents, not on how this ensures equality between genders. just a remark about high working hours among german women</v>
      </c>
      <c r="N45" s="49" t="str">
        <f t="shared" si="96"/>
        <v/>
      </c>
      <c r="O45" s="48" t="str">
        <f>IFERROR(__xludf.DUMMYFUNCTION("IF(COUNTA(J45:N45)=0, """", ARRAYFORMULA(""- ""&amp;TEXTJOIN(char(10)&amp;""- "", TRUE, FILTER(J$1:N$1&amp;"": ""&amp;J45:N45, NOT(ISBLANK(J45:N45))))))"),"- Meike: most about parents, not on how this ensures equality between genders. just a remark about high working hours among german women")</f>
        <v>- Meike: most about parents, not on how this ensures equality between genders. just a remark about high working hours among german women</v>
      </c>
      <c r="P45" s="48" t="s">
        <v>488</v>
      </c>
      <c r="Q45" s="50" t="s">
        <v>451</v>
      </c>
    </row>
    <row r="46">
      <c r="A46" s="23" t="s">
        <v>237</v>
      </c>
      <c r="B46" s="23" t="s">
        <v>238</v>
      </c>
      <c r="C46" s="47"/>
      <c r="D46" s="47" t="b">
        <f t="shared" ref="D46:H46" si="97">VLOOKUP($A46, INDIRECT(D$1&amp;"!B:D"), 3, FALSE)</f>
        <v>0</v>
      </c>
      <c r="E46" s="47" t="b">
        <f t="shared" si="97"/>
        <v>0</v>
      </c>
      <c r="F46" s="47" t="str">
        <f t="shared" si="97"/>
        <v>TO DO</v>
      </c>
      <c r="G46" s="47" t="b">
        <f t="shared" si="97"/>
        <v>0</v>
      </c>
      <c r="H46" s="47" t="b">
        <f t="shared" si="97"/>
        <v>0</v>
      </c>
      <c r="I46" s="48">
        <f t="shared" si="4"/>
        <v>1</v>
      </c>
      <c r="J46" s="49" t="str">
        <f t="shared" ref="J46:N46" si="98">VLOOKUP($A46, INDIRECT(J$1&amp;"!B:E"), 4, FALSE)</f>
        <v/>
      </c>
      <c r="K46" s="49" t="str">
        <f t="shared" si="98"/>
        <v/>
      </c>
      <c r="L46" s="49" t="str">
        <f t="shared" si="98"/>
        <v/>
      </c>
      <c r="M46" s="49" t="str">
        <f t="shared" si="98"/>
        <v/>
      </c>
      <c r="N46" s="49" t="str">
        <f t="shared" si="98"/>
        <v/>
      </c>
      <c r="O46" s="48" t="str">
        <f>IFERROR(__xludf.DUMMYFUNCTION("IF(COUNTA(J46:N46)=0, """", ARRAYFORMULA(""- ""&amp;TEXTJOIN(char(10)&amp;""- "", TRUE, FILTER(J$1:N$1&amp;"": ""&amp;J46:N46, NOT(ISBLANK(J46:N46))))))"),"")</f>
        <v/>
      </c>
      <c r="P46" s="48" t="s">
        <v>460</v>
      </c>
      <c r="Q46" s="50" t="b">
        <v>0</v>
      </c>
    </row>
    <row r="47">
      <c r="A47" s="23" t="s">
        <v>264</v>
      </c>
      <c r="B47" s="23" t="s">
        <v>265</v>
      </c>
      <c r="C47" s="47"/>
      <c r="D47" s="47" t="b">
        <f t="shared" ref="D47:H47" si="99">VLOOKUP($A47, INDIRECT(D$1&amp;"!B:D"), 3, FALSE)</f>
        <v>1</v>
      </c>
      <c r="E47" s="47" t="str">
        <f t="shared" si="99"/>
        <v>TO DO</v>
      </c>
      <c r="F47" s="47" t="str">
        <f t="shared" si="99"/>
        <v>TO DO</v>
      </c>
      <c r="G47" s="47" t="b">
        <f t="shared" si="99"/>
        <v>1</v>
      </c>
      <c r="H47" s="47" t="b">
        <f t="shared" si="99"/>
        <v>1</v>
      </c>
      <c r="I47" s="48">
        <f t="shared" si="4"/>
        <v>1</v>
      </c>
      <c r="J47" s="49" t="str">
        <f t="shared" ref="J47:N47" si="100">VLOOKUP($A47, INDIRECT(J$1&amp;"!B:E"), 4, FALSE)</f>
        <v/>
      </c>
      <c r="K47" s="49" t="str">
        <f t="shared" si="100"/>
        <v/>
      </c>
      <c r="L47" s="49" t="str">
        <f t="shared" si="100"/>
        <v/>
      </c>
      <c r="M47" s="49" t="str">
        <f t="shared" si="100"/>
        <v>reproductive health, implied to benefit gender equality</v>
      </c>
      <c r="N47" s="49">
        <f t="shared" si="100"/>
        <v>5.6</v>
      </c>
      <c r="O47" s="48" t="str">
        <f>IFERROR(__xludf.DUMMYFUNCTION("IF(COUNTA(J47:N47)=0, """", ARRAYFORMULA(""- ""&amp;TEXTJOIN(char(10)&amp;""- "", TRUE, FILTER(J$1:N$1&amp;"": ""&amp;J47:N47, NOT(ISBLANK(J47:N47))))))"),"- Meike: reproductive health, implied to benefit gender equality
- Steve: 5.6")</f>
        <v>- Meike: reproductive health, implied to benefit gender equality
- Steve: 5.6</v>
      </c>
      <c r="P47" s="48" t="s">
        <v>489</v>
      </c>
      <c r="Q47" s="50" t="b">
        <v>1</v>
      </c>
    </row>
    <row r="48">
      <c r="A48" s="23" t="s">
        <v>322</v>
      </c>
      <c r="B48" s="23" t="s">
        <v>323</v>
      </c>
      <c r="C48" s="46" t="str">
        <f>IF(OR(COUNTIF(D48:H48, "FALSE")=1, COUNTIF(D48:H48, "TRUE")=1), IF(COUNTA(D48:H48)-COUNTIF(D48:H48, "TO DO")=4, "Minor Disagreement (1v3)", "Disagreement (1v2)"), "Major Disagreement (2v2)")</f>
        <v>Minor Disagreement (1v3)</v>
      </c>
      <c r="D48" s="47" t="b">
        <f t="shared" ref="D48:H48" si="101">VLOOKUP($A48, INDIRECT(D$1&amp;"!B:D"), 3, FALSE)</f>
        <v>1</v>
      </c>
      <c r="E48" s="47" t="b">
        <f t="shared" si="101"/>
        <v>1</v>
      </c>
      <c r="F48" s="47" t="str">
        <f t="shared" si="101"/>
        <v>TO DO</v>
      </c>
      <c r="G48" s="47" t="b">
        <f t="shared" si="101"/>
        <v>1</v>
      </c>
      <c r="H48" s="47" t="b">
        <f t="shared" si="101"/>
        <v>0</v>
      </c>
      <c r="I48" s="48">
        <f t="shared" si="4"/>
        <v>0.5</v>
      </c>
      <c r="J48" s="49" t="str">
        <f t="shared" ref="J48:N48" si="102">VLOOKUP($A48, INDIRECT(J$1&amp;"!B:E"), 4, FALSE)</f>
        <v/>
      </c>
      <c r="K48" s="49" t="str">
        <f t="shared" si="102"/>
        <v/>
      </c>
      <c r="L48" s="49" t="str">
        <f t="shared" si="102"/>
        <v/>
      </c>
      <c r="M48" s="49" t="str">
        <f t="shared" si="102"/>
        <v>a bit implicit, because nothing is proposed to create equality</v>
      </c>
      <c r="N48" s="49" t="str">
        <f t="shared" si="102"/>
        <v>just gender-aggregated statistics, no link to SDG 5 targets</v>
      </c>
      <c r="O48" s="48" t="str">
        <f>IFERROR(__xludf.DUMMYFUNCTION("IF(COUNTA(J48:N48)=0, """", ARRAYFORMULA(""- ""&amp;TEXTJOIN(char(10)&amp;""- "", TRUE, FILTER(J$1:N$1&amp;"": ""&amp;J48:N48, NOT(ISBLANK(J48:N48))))))"),"- Meike: a bit implicit, because nothing is proposed to create equality
- Steve: just gender-aggregated statistics, no link to SDG 5 targets")</f>
        <v>- Meike: a bit implicit, because nothing is proposed to create equality
- Steve: just gender-aggregated statistics, no link to SDG 5 targets</v>
      </c>
      <c r="P48" s="48" t="s">
        <v>490</v>
      </c>
      <c r="Q48" s="50" t="s">
        <v>451</v>
      </c>
    </row>
    <row r="49">
      <c r="A49" s="23" t="s">
        <v>254</v>
      </c>
      <c r="B49" s="23" t="s">
        <v>255</v>
      </c>
      <c r="C49" s="47"/>
      <c r="D49" s="47" t="b">
        <f t="shared" ref="D49:H49" si="103">VLOOKUP($A49, INDIRECT(D$1&amp;"!B:D"), 3, FALSE)</f>
        <v>1</v>
      </c>
      <c r="E49" s="47" t="b">
        <f t="shared" si="103"/>
        <v>1</v>
      </c>
      <c r="F49" s="47" t="str">
        <f t="shared" si="103"/>
        <v>TO DO</v>
      </c>
      <c r="G49" s="47" t="b">
        <f t="shared" si="103"/>
        <v>1</v>
      </c>
      <c r="H49" s="47" t="b">
        <f t="shared" si="103"/>
        <v>1</v>
      </c>
      <c r="I49" s="48">
        <f t="shared" si="4"/>
        <v>1</v>
      </c>
      <c r="J49" s="49" t="str">
        <f t="shared" ref="J49:N49" si="104">VLOOKUP($A49, INDIRECT(J$1&amp;"!B:E"), 4, FALSE)</f>
        <v/>
      </c>
      <c r="K49" s="49" t="str">
        <f t="shared" si="104"/>
        <v/>
      </c>
      <c r="L49" s="49" t="str">
        <f t="shared" si="104"/>
        <v/>
      </c>
      <c r="M49" s="49" t="str">
        <f t="shared" si="104"/>
        <v>end harmful practice</v>
      </c>
      <c r="N49" s="49" t="str">
        <f t="shared" si="104"/>
        <v>5.2 and 5.3</v>
      </c>
      <c r="O49" s="48" t="str">
        <f>IFERROR(__xludf.DUMMYFUNCTION("IF(COUNTA(J49:N49)=0, """", ARRAYFORMULA(""- ""&amp;TEXTJOIN(char(10)&amp;""- "", TRUE, FILTER(J$1:N$1&amp;"": ""&amp;J49:N49, NOT(ISBLANK(J49:N49))))))"),"- Meike: end harmful practice
- Steve: 5.2 and 5.3")</f>
        <v>- Meike: end harmful practice
- Steve: 5.2 and 5.3</v>
      </c>
      <c r="P49" s="48" t="s">
        <v>491</v>
      </c>
      <c r="Q49" s="50" t="b">
        <v>1</v>
      </c>
    </row>
    <row r="50">
      <c r="A50" s="23" t="s">
        <v>136</v>
      </c>
      <c r="B50" s="23" t="s">
        <v>137</v>
      </c>
      <c r="C50" s="47"/>
      <c r="D50" s="47" t="b">
        <f t="shared" ref="D50:H50" si="105">VLOOKUP($A50, INDIRECT(D$1&amp;"!B:D"), 3, FALSE)</f>
        <v>1</v>
      </c>
      <c r="E50" s="47" t="b">
        <f t="shared" si="105"/>
        <v>1</v>
      </c>
      <c r="F50" s="47" t="str">
        <f t="shared" si="105"/>
        <v>TO DO</v>
      </c>
      <c r="G50" s="47" t="b">
        <f t="shared" si="105"/>
        <v>1</v>
      </c>
      <c r="H50" s="47" t="b">
        <f t="shared" si="105"/>
        <v>1</v>
      </c>
      <c r="I50" s="48">
        <f t="shared" si="4"/>
        <v>1</v>
      </c>
      <c r="J50" s="49" t="str">
        <f t="shared" ref="J50:N50" si="106">VLOOKUP($A50, INDIRECT(J$1&amp;"!B:E"), 4, FALSE)</f>
        <v/>
      </c>
      <c r="K50" s="49" t="str">
        <f t="shared" si="106"/>
        <v/>
      </c>
      <c r="L50" s="49" t="str">
        <f t="shared" si="106"/>
        <v/>
      </c>
      <c r="M50" s="49" t="str">
        <f t="shared" si="106"/>
        <v>promote gender equality via website</v>
      </c>
      <c r="N50" s="49" t="str">
        <f t="shared" si="106"/>
        <v>5.b</v>
      </c>
      <c r="O50" s="48" t="str">
        <f>IFERROR(__xludf.DUMMYFUNCTION("IF(COUNTA(J50:N50)=0, """", ARRAYFORMULA(""- ""&amp;TEXTJOIN(char(10)&amp;""- "", TRUE, FILTER(J$1:N$1&amp;"": ""&amp;J50:N50, NOT(ISBLANK(J50:N50))))))"),"- Meike: promote gender equality via website
- Steve: 5.b")</f>
        <v>- Meike: promote gender equality via website
- Steve: 5.b</v>
      </c>
      <c r="P50" s="48" t="s">
        <v>492</v>
      </c>
      <c r="Q50" s="50" t="b">
        <v>1</v>
      </c>
    </row>
    <row r="51">
      <c r="A51" s="23" t="s">
        <v>339</v>
      </c>
      <c r="B51" s="23" t="s">
        <v>340</v>
      </c>
      <c r="C51" s="46" t="str">
        <f>IF(OR(COUNTIF(D51:H51, "FALSE")=1, COUNTIF(D51:H51, "TRUE")=1), IF(COUNTA(D51:H51)-COUNTIF(D51:H51, "TO DO")=4, "Minor Disagreement (1v3)", "Disagreement (1v2)"), "Major Disagreement (2v2)")</f>
        <v>Minor Disagreement (1v3)</v>
      </c>
      <c r="D51" s="47" t="b">
        <f t="shared" ref="D51:H51" si="107">VLOOKUP($A51, INDIRECT(D$1&amp;"!B:D"), 3, FALSE)</f>
        <v>1</v>
      </c>
      <c r="E51" s="47" t="b">
        <f t="shared" si="107"/>
        <v>0</v>
      </c>
      <c r="F51" s="47" t="str">
        <f t="shared" si="107"/>
        <v>TO DO</v>
      </c>
      <c r="G51" s="47" t="b">
        <f t="shared" si="107"/>
        <v>0</v>
      </c>
      <c r="H51" s="47" t="b">
        <f t="shared" si="107"/>
        <v>0</v>
      </c>
      <c r="I51" s="48">
        <f t="shared" si="4"/>
        <v>0.5</v>
      </c>
      <c r="J51" s="49" t="str">
        <f t="shared" ref="J51:N51" si="108">VLOOKUP($A51, INDIRECT(J$1&amp;"!B:E"), 4, FALSE)</f>
        <v>recognizing unpaid care work</v>
      </c>
      <c r="K51" s="49" t="str">
        <f t="shared" si="108"/>
        <v>Not sure. Child care benefits are usually linked to women work opportunity. But this is not explicitly stated here.</v>
      </c>
      <c r="L51" s="49" t="str">
        <f t="shared" si="108"/>
        <v/>
      </c>
      <c r="M51" s="49" t="str">
        <f t="shared" si="108"/>
        <v>does not say anything about how women might benefit</v>
      </c>
      <c r="N51" s="49" t="str">
        <f t="shared" si="108"/>
        <v>too weak of a link to 5.4</v>
      </c>
      <c r="O51" s="48" t="str">
        <f>IFERROR(__xludf.DUMMYFUNCTION("IF(COUNTA(J51:N51)=0, """", ARRAYFORMULA(""- ""&amp;TEXTJOIN(char(10)&amp;""- "", TRUE, FILTER(J$1:N$1&amp;"": ""&amp;J51:N51, NOT(ISBLANK(J51:N51))))))"),"- Finn: recognizing unpaid care work
- Gib: Not sure. Child care benefits are usually linked to women work opportunity. But this is not explicitly stated here.
- Meike: does not say anything about how women might benefit
- Steve: too weak of a link to 5.4")</f>
        <v>- Finn: recognizing unpaid care work
- Gib: Not sure. Child care benefits are usually linked to women work opportunity. But this is not explicitly stated here.
- Meike: does not say anything about how women might benefit
- Steve: too weak of a link to 5.4</v>
      </c>
      <c r="P51" s="48" t="s">
        <v>493</v>
      </c>
      <c r="Q51" s="50" t="s">
        <v>451</v>
      </c>
    </row>
    <row r="52">
      <c r="A52" s="23" t="s">
        <v>298</v>
      </c>
      <c r="B52" s="23" t="s">
        <v>299</v>
      </c>
      <c r="C52" s="47"/>
      <c r="D52" s="47" t="b">
        <f t="shared" ref="D52:H52" si="109">VLOOKUP($A52, INDIRECT(D$1&amp;"!B:D"), 3, FALSE)</f>
        <v>1</v>
      </c>
      <c r="E52" s="47" t="b">
        <f t="shared" si="109"/>
        <v>1</v>
      </c>
      <c r="F52" s="47" t="str">
        <f t="shared" si="109"/>
        <v>TO DO</v>
      </c>
      <c r="G52" s="47" t="b">
        <f t="shared" si="109"/>
        <v>1</v>
      </c>
      <c r="H52" s="47" t="b">
        <f t="shared" si="109"/>
        <v>1</v>
      </c>
      <c r="I52" s="48">
        <f t="shared" si="4"/>
        <v>1</v>
      </c>
      <c r="J52" s="49" t="str">
        <f t="shared" ref="J52:N52" si="110">VLOOKUP($A52, INDIRECT(J$1&amp;"!B:E"), 4, FALSE)</f>
        <v/>
      </c>
      <c r="K52" s="49" t="str">
        <f t="shared" si="110"/>
        <v/>
      </c>
      <c r="L52" s="49" t="str">
        <f t="shared" si="110"/>
        <v/>
      </c>
      <c r="M52" s="49" t="str">
        <f t="shared" si="110"/>
        <v/>
      </c>
      <c r="N52" s="49">
        <f t="shared" si="110"/>
        <v>5.6</v>
      </c>
      <c r="O52" s="48" t="str">
        <f>IFERROR(__xludf.DUMMYFUNCTION("IF(COUNTA(J52:N52)=0, """", ARRAYFORMULA(""- ""&amp;TEXTJOIN(char(10)&amp;""- "", TRUE, FILTER(J$1:N$1&amp;"": ""&amp;J52:N52, NOT(ISBLANK(J52:N52))))))"),"- Steve: 5.6")</f>
        <v>- Steve: 5.6</v>
      </c>
      <c r="P52" s="48" t="s">
        <v>486</v>
      </c>
      <c r="Q52" s="50" t="b">
        <v>1</v>
      </c>
    </row>
    <row r="53">
      <c r="A53" s="23" t="s">
        <v>333</v>
      </c>
      <c r="B53" s="23" t="s">
        <v>334</v>
      </c>
      <c r="C53" s="47"/>
      <c r="D53" s="47" t="b">
        <f t="shared" ref="D53:H53" si="111">VLOOKUP($A53, INDIRECT(D$1&amp;"!B:D"), 3, FALSE)</f>
        <v>0</v>
      </c>
      <c r="E53" s="47" t="b">
        <f t="shared" si="111"/>
        <v>0</v>
      </c>
      <c r="F53" s="47" t="str">
        <f t="shared" si="111"/>
        <v>TO DO</v>
      </c>
      <c r="G53" s="47" t="b">
        <f t="shared" si="111"/>
        <v>0</v>
      </c>
      <c r="H53" s="47" t="b">
        <f t="shared" si="111"/>
        <v>0</v>
      </c>
      <c r="I53" s="48">
        <f t="shared" si="4"/>
        <v>1</v>
      </c>
      <c r="J53" s="49" t="str">
        <f t="shared" ref="J53:N53" si="112">VLOOKUP($A53, INDIRECT(J$1&amp;"!B:E"), 4, FALSE)</f>
        <v/>
      </c>
      <c r="K53" s="49" t="str">
        <f t="shared" si="112"/>
        <v/>
      </c>
      <c r="L53" s="49" t="str">
        <f t="shared" si="112"/>
        <v/>
      </c>
      <c r="M53" s="49" t="str">
        <f t="shared" si="112"/>
        <v/>
      </c>
      <c r="N53" s="49" t="str">
        <f t="shared" si="112"/>
        <v/>
      </c>
      <c r="O53" s="48" t="str">
        <f>IFERROR(__xludf.DUMMYFUNCTION("IF(COUNTA(J53:N53)=0, """", ARRAYFORMULA(""- ""&amp;TEXTJOIN(char(10)&amp;""- "", TRUE, FILTER(J$1:N$1&amp;"": ""&amp;J53:N53, NOT(ISBLANK(J53:N53))))))"),"")</f>
        <v/>
      </c>
      <c r="P53" s="48" t="s">
        <v>460</v>
      </c>
      <c r="Q53" s="50" t="b">
        <v>0</v>
      </c>
    </row>
    <row r="54">
      <c r="A54" s="23" t="s">
        <v>184</v>
      </c>
      <c r="B54" s="23" t="s">
        <v>185</v>
      </c>
      <c r="C54" s="47"/>
      <c r="D54" s="47" t="b">
        <f t="shared" ref="D54:H54" si="113">VLOOKUP($A54, INDIRECT(D$1&amp;"!B:D"), 3, FALSE)</f>
        <v>0</v>
      </c>
      <c r="E54" s="47" t="b">
        <f t="shared" si="113"/>
        <v>0</v>
      </c>
      <c r="F54" s="47" t="str">
        <f t="shared" si="113"/>
        <v>TO DO</v>
      </c>
      <c r="G54" s="47" t="b">
        <f t="shared" si="113"/>
        <v>0</v>
      </c>
      <c r="H54" s="47" t="b">
        <f t="shared" si="113"/>
        <v>0</v>
      </c>
      <c r="I54" s="48">
        <f t="shared" si="4"/>
        <v>1</v>
      </c>
      <c r="J54" s="49" t="str">
        <f t="shared" ref="J54:N54" si="114">VLOOKUP($A54, INDIRECT(J$1&amp;"!B:E"), 4, FALSE)</f>
        <v/>
      </c>
      <c r="K54" s="49" t="str">
        <f t="shared" si="114"/>
        <v>not specific enough to be about women</v>
      </c>
      <c r="L54" s="49" t="str">
        <f t="shared" si="114"/>
        <v/>
      </c>
      <c r="M54" s="49" t="str">
        <f t="shared" si="114"/>
        <v/>
      </c>
      <c r="N54" s="49" t="str">
        <f t="shared" si="114"/>
        <v/>
      </c>
      <c r="O54" s="48" t="str">
        <f>IFERROR(__xludf.DUMMYFUNCTION("IF(COUNTA(J54:N54)=0, """", ARRAYFORMULA(""- ""&amp;TEXTJOIN(char(10)&amp;""- "", TRUE, FILTER(J$1:N$1&amp;"": ""&amp;J54:N54, NOT(ISBLANK(J54:N54))))))"),"- Gib: not specific enough to be about women")</f>
        <v>- Gib: not specific enough to be about women</v>
      </c>
      <c r="P54" s="48" t="s">
        <v>494</v>
      </c>
      <c r="Q54" s="50" t="b">
        <v>0</v>
      </c>
    </row>
    <row r="55">
      <c r="A55" s="23" t="s">
        <v>76</v>
      </c>
      <c r="B55" s="23" t="s">
        <v>77</v>
      </c>
      <c r="C55" s="47"/>
      <c r="D55" s="47" t="b">
        <f t="shared" ref="D55:H55" si="115">VLOOKUP($A55, INDIRECT(D$1&amp;"!B:D"), 3, FALSE)</f>
        <v>1</v>
      </c>
      <c r="E55" s="47" t="b">
        <f t="shared" si="115"/>
        <v>1</v>
      </c>
      <c r="F55" s="47" t="str">
        <f t="shared" si="115"/>
        <v>TO DO</v>
      </c>
      <c r="G55" s="47" t="b">
        <f t="shared" si="115"/>
        <v>1</v>
      </c>
      <c r="H55" s="47" t="b">
        <f t="shared" si="115"/>
        <v>1</v>
      </c>
      <c r="I55" s="48">
        <f t="shared" si="4"/>
        <v>1</v>
      </c>
      <c r="J55" s="49" t="str">
        <f t="shared" ref="J55:N55" si="116">VLOOKUP($A55, INDIRECT(J$1&amp;"!B:E"), 4, FALSE)</f>
        <v/>
      </c>
      <c r="K55" s="49" t="str">
        <f t="shared" si="116"/>
        <v/>
      </c>
      <c r="L55" s="49" t="str">
        <f t="shared" si="116"/>
        <v/>
      </c>
      <c r="M55" s="49" t="str">
        <f t="shared" si="116"/>
        <v/>
      </c>
      <c r="N55" s="49" t="str">
        <f t="shared" si="116"/>
        <v/>
      </c>
      <c r="O55" s="48" t="str">
        <f>IFERROR(__xludf.DUMMYFUNCTION("IF(COUNTA(J55:N55)=0, """", ARRAYFORMULA(""- ""&amp;TEXTJOIN(char(10)&amp;""- "", TRUE, FILTER(J$1:N$1&amp;"": ""&amp;J55:N55, NOT(ISBLANK(J55:N55))))))"),"")</f>
        <v/>
      </c>
      <c r="P55" s="48" t="s">
        <v>460</v>
      </c>
      <c r="Q55" s="50" t="b">
        <v>1</v>
      </c>
    </row>
    <row r="56">
      <c r="A56" s="23" t="s">
        <v>259</v>
      </c>
      <c r="B56" s="23" t="s">
        <v>260</v>
      </c>
      <c r="C56" s="46" t="str">
        <f t="shared" ref="C56:C57" si="119">IF(OR(COUNTIF(D56:H56, "FALSE")=1, COUNTIF(D56:H56, "TRUE")=1), IF(COUNTA(D56:H56)-COUNTIF(D56:H56, "TO DO")=4, "Minor Disagreement (1v3)", "Disagreement (1v2)"), "Major Disagreement (2v2)")</f>
        <v>Major Disagreement (2v2)</v>
      </c>
      <c r="D56" s="47" t="b">
        <f t="shared" ref="D56:H56" si="117">VLOOKUP($A56, INDIRECT(D$1&amp;"!B:D"), 3, FALSE)</f>
        <v>1</v>
      </c>
      <c r="E56" s="47" t="b">
        <f t="shared" si="117"/>
        <v>1</v>
      </c>
      <c r="F56" s="47" t="str">
        <f t="shared" si="117"/>
        <v>TO DO</v>
      </c>
      <c r="G56" s="47" t="b">
        <f t="shared" si="117"/>
        <v>0</v>
      </c>
      <c r="H56" s="47" t="b">
        <f t="shared" si="117"/>
        <v>0</v>
      </c>
      <c r="I56" s="48">
        <f t="shared" si="4"/>
        <v>0</v>
      </c>
      <c r="J56" s="49" t="str">
        <f t="shared" ref="J56:N56" si="118">VLOOKUP($A56, INDIRECT(J$1&amp;"!B:E"), 4, FALSE)</f>
        <v/>
      </c>
      <c r="K56" s="49" t="str">
        <f t="shared" si="118"/>
        <v/>
      </c>
      <c r="L56" s="49" t="str">
        <f t="shared" si="118"/>
        <v/>
      </c>
      <c r="M56" s="49" t="str">
        <f t="shared" si="118"/>
        <v>fact statement diff migrants women and men</v>
      </c>
      <c r="N56" s="49" t="str">
        <f t="shared" si="118"/>
        <v>relates more to discrimination based on ethnicity rather than gender? </v>
      </c>
      <c r="O56" s="48" t="str">
        <f>IFERROR(__xludf.DUMMYFUNCTION("IF(COUNTA(J56:N56)=0, """", ARRAYFORMULA(""- ""&amp;TEXTJOIN(char(10)&amp;""- "", TRUE, FILTER(J$1:N$1&amp;"": ""&amp;J56:N56, NOT(ISBLANK(J56:N56))))))"),"- Meike: fact statement diff migrants women and men
- Steve: relates more to discrimination based on ethnicity rather than gender? ")</f>
        <v>- Meike: fact statement diff migrants women and men
- Steve: relates more to discrimination based on ethnicity rather than gender? </v>
      </c>
      <c r="P56" s="48" t="s">
        <v>495</v>
      </c>
      <c r="Q56" s="50" t="s">
        <v>451</v>
      </c>
    </row>
    <row r="57">
      <c r="A57" s="23" t="s">
        <v>279</v>
      </c>
      <c r="B57" s="23" t="s">
        <v>280</v>
      </c>
      <c r="C57" s="46" t="str">
        <f t="shared" si="119"/>
        <v>Disagreement (1v2)</v>
      </c>
      <c r="D57" s="47" t="b">
        <f t="shared" ref="D57:H57" si="120">VLOOKUP($A57, INDIRECT(D$1&amp;"!B:D"), 3, FALSE)</f>
        <v>1</v>
      </c>
      <c r="E57" s="47" t="str">
        <f t="shared" si="120"/>
        <v>TO DO</v>
      </c>
      <c r="F57" s="47" t="str">
        <f t="shared" si="120"/>
        <v>TO DO</v>
      </c>
      <c r="G57" s="47" t="b">
        <f t="shared" si="120"/>
        <v>1</v>
      </c>
      <c r="H57" s="47" t="b">
        <f t="shared" si="120"/>
        <v>0</v>
      </c>
      <c r="I57" s="48">
        <f t="shared" si="4"/>
        <v>0.3333333333</v>
      </c>
      <c r="J57" s="49" t="str">
        <f t="shared" ref="J57:N57" si="121">VLOOKUP($A57, INDIRECT(J$1&amp;"!B:E"), 4, FALSE)</f>
        <v/>
      </c>
      <c r="K57" s="49" t="str">
        <f t="shared" si="121"/>
        <v/>
      </c>
      <c r="L57" s="49" t="str">
        <f t="shared" si="121"/>
        <v/>
      </c>
      <c r="M57" s="49" t="str">
        <f t="shared" si="121"/>
        <v>gendered representative stresses that the policy needs to reduce gender inequality, or is this merely implied?</v>
      </c>
      <c r="N57" s="49" t="str">
        <f t="shared" si="121"/>
        <v>too vague of a link, just saying that analytical lens needs to be gender-sensitive is not enough</v>
      </c>
      <c r="O57" s="48" t="str">
        <f>IFERROR(__xludf.DUMMYFUNCTION("IF(COUNTA(J57:N57)=0, """", ARRAYFORMULA(""- ""&amp;TEXTJOIN(char(10)&amp;""- "", TRUE, FILTER(J$1:N$1&amp;"": ""&amp;J57:N57, NOT(ISBLANK(J57:N57))))))"),"- Meike: gendered representative stresses that the policy needs to reduce gender inequality, or is this merely implied?
- Steve: too vague of a link, just saying that analytical lens needs to be gender-sensitive is not enough")</f>
        <v>- Meike: gendered representative stresses that the policy needs to reduce gender inequality, or is this merely implied?
- Steve: too vague of a link, just saying that analytical lens needs to be gender-sensitive is not enough</v>
      </c>
      <c r="P57" s="48" t="s">
        <v>496</v>
      </c>
      <c r="Q57" s="50" t="s">
        <v>451</v>
      </c>
    </row>
    <row r="58">
      <c r="A58" s="23" t="s">
        <v>79</v>
      </c>
      <c r="B58" s="23" t="s">
        <v>80</v>
      </c>
      <c r="C58" s="47"/>
      <c r="D58" s="47" t="b">
        <f t="shared" ref="D58:H58" si="122">VLOOKUP($A58, INDIRECT(D$1&amp;"!B:D"), 3, FALSE)</f>
        <v>1</v>
      </c>
      <c r="E58" s="47" t="b">
        <f t="shared" si="122"/>
        <v>1</v>
      </c>
      <c r="F58" s="47" t="str">
        <f t="shared" si="122"/>
        <v>TO DO</v>
      </c>
      <c r="G58" s="47" t="b">
        <f t="shared" si="122"/>
        <v>1</v>
      </c>
      <c r="H58" s="47" t="b">
        <f t="shared" si="122"/>
        <v>1</v>
      </c>
      <c r="I58" s="48">
        <f t="shared" si="4"/>
        <v>1</v>
      </c>
      <c r="J58" s="49" t="str">
        <f t="shared" ref="J58:N58" si="123">VLOOKUP($A58, INDIRECT(J$1&amp;"!B:E"), 4, FALSE)</f>
        <v/>
      </c>
      <c r="K58" s="49" t="str">
        <f t="shared" si="123"/>
        <v/>
      </c>
      <c r="L58" s="49" t="str">
        <f t="shared" si="123"/>
        <v/>
      </c>
      <c r="M58" s="49" t="str">
        <f t="shared" si="123"/>
        <v/>
      </c>
      <c r="N58" s="49" t="str">
        <f t="shared" si="123"/>
        <v>5.b</v>
      </c>
      <c r="O58" s="48" t="str">
        <f>IFERROR(__xludf.DUMMYFUNCTION("IF(COUNTA(J58:N58)=0, """", ARRAYFORMULA(""- ""&amp;TEXTJOIN(char(10)&amp;""- "", TRUE, FILTER(J$1:N$1&amp;"": ""&amp;J58:N58, NOT(ISBLANK(J58:N58))))))"),"- Steve: 5.b")</f>
        <v>- Steve: 5.b</v>
      </c>
      <c r="P58" s="48" t="s">
        <v>497</v>
      </c>
      <c r="Q58" s="50" t="b">
        <v>1</v>
      </c>
    </row>
    <row r="59">
      <c r="A59" s="23" t="s">
        <v>336</v>
      </c>
      <c r="B59" s="23" t="s">
        <v>337</v>
      </c>
      <c r="C59" s="47"/>
      <c r="D59" s="47" t="b">
        <f t="shared" ref="D59:H59" si="124">VLOOKUP($A59, INDIRECT(D$1&amp;"!B:D"), 3, FALSE)</f>
        <v>0</v>
      </c>
      <c r="E59" s="47" t="b">
        <f t="shared" si="124"/>
        <v>0</v>
      </c>
      <c r="F59" s="47" t="str">
        <f t="shared" si="124"/>
        <v>TO DO</v>
      </c>
      <c r="G59" s="47" t="b">
        <f t="shared" si="124"/>
        <v>0</v>
      </c>
      <c r="H59" s="47" t="b">
        <f t="shared" si="124"/>
        <v>0</v>
      </c>
      <c r="I59" s="48">
        <f t="shared" si="4"/>
        <v>1</v>
      </c>
      <c r="J59" s="49" t="str">
        <f t="shared" ref="J59:N59" si="125">VLOOKUP($A59, INDIRECT(J$1&amp;"!B:E"), 4, FALSE)</f>
        <v/>
      </c>
      <c r="K59" s="49" t="str">
        <f t="shared" si="125"/>
        <v/>
      </c>
      <c r="L59" s="49" t="str">
        <f t="shared" si="125"/>
        <v/>
      </c>
      <c r="M59" s="49" t="str">
        <f t="shared" si="125"/>
        <v/>
      </c>
      <c r="N59" s="49" t="str">
        <f t="shared" si="125"/>
        <v/>
      </c>
      <c r="O59" s="48" t="str">
        <f>IFERROR(__xludf.DUMMYFUNCTION("IF(COUNTA(J59:N59)=0, """", ARRAYFORMULA(""- ""&amp;TEXTJOIN(char(10)&amp;""- "", TRUE, FILTER(J$1:N$1&amp;"": ""&amp;J59:N59, NOT(ISBLANK(J59:N59))))))"),"")</f>
        <v/>
      </c>
      <c r="P59" s="48" t="s">
        <v>460</v>
      </c>
      <c r="Q59" s="50" t="b">
        <v>0</v>
      </c>
    </row>
    <row r="60">
      <c r="A60" s="23" t="s">
        <v>120</v>
      </c>
      <c r="B60" s="23" t="s">
        <v>121</v>
      </c>
      <c r="C60" s="46" t="str">
        <f>IF(OR(COUNTIF(D60:H60, "FALSE")=1, COUNTIF(D60:H60, "TRUE")=1), IF(COUNTA(D60:H60)-COUNTIF(D60:H60, "TO DO")=4, "Minor Disagreement (1v3)", "Disagreement (1v2)"), "Major Disagreement (2v2)")</f>
        <v>Disagreement (1v2)</v>
      </c>
      <c r="D60" s="47" t="b">
        <f t="shared" ref="D60:H60" si="126">VLOOKUP($A60, INDIRECT(D$1&amp;"!B:D"), 3, FALSE)</f>
        <v>1</v>
      </c>
      <c r="E60" s="47" t="str">
        <f t="shared" si="126"/>
        <v>TO DO</v>
      </c>
      <c r="F60" s="47" t="str">
        <f t="shared" si="126"/>
        <v>TO DO</v>
      </c>
      <c r="G60" s="47" t="b">
        <f t="shared" si="126"/>
        <v>0</v>
      </c>
      <c r="H60" s="47" t="b">
        <f t="shared" si="126"/>
        <v>1</v>
      </c>
      <c r="I60" s="48">
        <f t="shared" si="4"/>
        <v>0.3333333333</v>
      </c>
      <c r="J60" s="49" t="str">
        <f t="shared" ref="J60:N60" si="127">VLOOKUP($A60, INDIRECT(J$1&amp;"!B:E"), 4, FALSE)</f>
        <v>Mahatma Gandhi National Rural Employment Guarantee Scheme (MGNREGS); indirect benefit only?</v>
      </c>
      <c r="K60" s="49" t="str">
        <f t="shared" si="127"/>
        <v/>
      </c>
      <c r="L60" s="49" t="str">
        <f t="shared" si="127"/>
        <v/>
      </c>
      <c r="M60" s="49" t="str">
        <f t="shared" si="127"/>
        <v/>
      </c>
      <c r="N60" s="49" t="str">
        <f t="shared" si="127"/>
        <v>Assuming it refers to SA's NREG programme it is a: "gender neutral programme which promotes participation of women by providing wage parity with men, provision of separate schedule of rates of wages for women, facilities for crèche, work-side sheds for children, and child care services."</v>
      </c>
      <c r="O60" s="48" t="str">
        <f>IFERROR(__xludf.DUMMYFUNCTION("IF(COUNTA(J60:N60)=0, """", ARRAYFORMULA(""- ""&amp;TEXTJOIN(char(10)&amp;""- "", TRUE, FILTER(J$1:N$1&amp;"": ""&amp;J60:N60, NOT(ISBLANK(J60:N60))))))"),"- Finn: Mahatma Gandhi National Rural Employment Guarantee Scheme (MGNREGS); indirect benefit only?
- Steve: Assuming it refers to SA's NREG programme it is a: ""gender neutral programme which promotes participation of women by providing wage parity with "&amp;"men, provision of separate schedule of rates of wages for women, facilities for crèche, work-side sheds for children, and child care services.""")</f>
        <v>- Finn: Mahatma Gandhi National Rural Employment Guarantee Scheme (MGNREGS); indirect benefit only?
- Steve: Assuming it refers to SA's NREG programme it is a: "gender neutral programme which promotes participation of women by providing wage parity with men, provision of separate schedule of rates of wages for women, facilities for crèche, work-side sheds for children, and child care services."</v>
      </c>
      <c r="P60" s="48" t="s">
        <v>498</v>
      </c>
      <c r="Q60" s="50" t="s">
        <v>451</v>
      </c>
    </row>
    <row r="61">
      <c r="A61" s="23" t="s">
        <v>313</v>
      </c>
      <c r="B61" s="23" t="s">
        <v>314</v>
      </c>
      <c r="C61" s="47"/>
      <c r="D61" s="47" t="b">
        <f t="shared" ref="D61:H61" si="128">VLOOKUP($A61, INDIRECT(D$1&amp;"!B:D"), 3, FALSE)</f>
        <v>0</v>
      </c>
      <c r="E61" s="47" t="b">
        <f t="shared" si="128"/>
        <v>0</v>
      </c>
      <c r="F61" s="47" t="str">
        <f t="shared" si="128"/>
        <v>TO DO</v>
      </c>
      <c r="G61" s="47" t="b">
        <f t="shared" si="128"/>
        <v>0</v>
      </c>
      <c r="H61" s="47" t="b">
        <f t="shared" si="128"/>
        <v>0</v>
      </c>
      <c r="I61" s="48">
        <f t="shared" si="4"/>
        <v>1</v>
      </c>
      <c r="J61" s="49" t="str">
        <f t="shared" ref="J61:N61" si="129">VLOOKUP($A61, INDIRECT(J$1&amp;"!B:E"), 4, FALSE)</f>
        <v/>
      </c>
      <c r="K61" s="49" t="str">
        <f t="shared" si="129"/>
        <v/>
      </c>
      <c r="L61" s="49" t="str">
        <f t="shared" si="129"/>
        <v/>
      </c>
      <c r="M61" s="49" t="str">
        <f t="shared" si="129"/>
        <v/>
      </c>
      <c r="N61" s="49" t="str">
        <f t="shared" si="129"/>
        <v/>
      </c>
      <c r="O61" s="48" t="str">
        <f>IFERROR(__xludf.DUMMYFUNCTION("IF(COUNTA(J61:N61)=0, """", ARRAYFORMULA(""- ""&amp;TEXTJOIN(char(10)&amp;""- "", TRUE, FILTER(J$1:N$1&amp;"": ""&amp;J61:N61, NOT(ISBLANK(J61:N61))))))"),"")</f>
        <v/>
      </c>
      <c r="P61" s="48" t="s">
        <v>460</v>
      </c>
      <c r="Q61" s="50" t="b">
        <v>0</v>
      </c>
    </row>
    <row r="62">
      <c r="A62" s="23" t="s">
        <v>235</v>
      </c>
      <c r="B62" s="23" t="s">
        <v>236</v>
      </c>
      <c r="C62" s="47"/>
      <c r="D62" s="47" t="b">
        <f t="shared" ref="D62:H62" si="130">VLOOKUP($A62, INDIRECT(D$1&amp;"!B:D"), 3, FALSE)</f>
        <v>0</v>
      </c>
      <c r="E62" s="47" t="b">
        <f t="shared" si="130"/>
        <v>0</v>
      </c>
      <c r="F62" s="47" t="str">
        <f t="shared" si="130"/>
        <v>TO DO</v>
      </c>
      <c r="G62" s="47" t="b">
        <f t="shared" si="130"/>
        <v>0</v>
      </c>
      <c r="H62" s="47" t="b">
        <f t="shared" si="130"/>
        <v>0</v>
      </c>
      <c r="I62" s="48">
        <f t="shared" si="4"/>
        <v>1</v>
      </c>
      <c r="J62" s="49" t="str">
        <f t="shared" ref="J62:N62" si="131">VLOOKUP($A62, INDIRECT(J$1&amp;"!B:E"), 4, FALSE)</f>
        <v/>
      </c>
      <c r="K62" s="49" t="str">
        <f t="shared" si="131"/>
        <v/>
      </c>
      <c r="L62" s="49" t="str">
        <f t="shared" si="131"/>
        <v/>
      </c>
      <c r="M62" s="49" t="str">
        <f t="shared" si="131"/>
        <v>about migration among women, not about equality</v>
      </c>
      <c r="N62" s="49" t="str">
        <f t="shared" si="131"/>
        <v>no direct link to objectives of SDG 5</v>
      </c>
      <c r="O62" s="48" t="str">
        <f>IFERROR(__xludf.DUMMYFUNCTION("IF(COUNTA(J62:N62)=0, """", ARRAYFORMULA(""- ""&amp;TEXTJOIN(char(10)&amp;""- "", TRUE, FILTER(J$1:N$1&amp;"": ""&amp;J62:N62, NOT(ISBLANK(J62:N62))))))"),"- Meike: about migration among women, not about equality
- Steve: no direct link to objectives of SDG 5")</f>
        <v>- Meike: about migration among women, not about equality
- Steve: no direct link to objectives of SDG 5</v>
      </c>
      <c r="P62" s="48" t="s">
        <v>499</v>
      </c>
      <c r="Q62" s="50" t="b">
        <v>0</v>
      </c>
    </row>
    <row r="63">
      <c r="A63" s="23" t="s">
        <v>127</v>
      </c>
      <c r="B63" s="23" t="s">
        <v>128</v>
      </c>
      <c r="C63" s="47"/>
      <c r="D63" s="47" t="b">
        <f t="shared" ref="D63:H63" si="132">VLOOKUP($A63, INDIRECT(D$1&amp;"!B:D"), 3, FALSE)</f>
        <v>0</v>
      </c>
      <c r="E63" s="47" t="str">
        <f t="shared" si="132"/>
        <v>TO DO</v>
      </c>
      <c r="F63" s="47" t="str">
        <f t="shared" si="132"/>
        <v>TO DO</v>
      </c>
      <c r="G63" s="47" t="b">
        <f t="shared" si="132"/>
        <v>0</v>
      </c>
      <c r="H63" s="47" t="b">
        <f t="shared" si="132"/>
        <v>0</v>
      </c>
      <c r="I63" s="48">
        <f t="shared" si="4"/>
        <v>1</v>
      </c>
      <c r="J63" s="49" t="str">
        <f t="shared" ref="J63:N63" si="133">VLOOKUP($A63, INDIRECT(J$1&amp;"!B:E"), 4, FALSE)</f>
        <v/>
      </c>
      <c r="K63" s="49" t="str">
        <f t="shared" si="133"/>
        <v/>
      </c>
      <c r="L63" s="49" t="str">
        <f t="shared" si="133"/>
        <v/>
      </c>
      <c r="M63" s="49" t="str">
        <f t="shared" si="133"/>
        <v/>
      </c>
      <c r="N63" s="49" t="str">
        <f t="shared" si="133"/>
        <v/>
      </c>
      <c r="O63" s="48" t="str">
        <f>IFERROR(__xludf.DUMMYFUNCTION("IF(COUNTA(J63:N63)=0, """", ARRAYFORMULA(""- ""&amp;TEXTJOIN(char(10)&amp;""- "", TRUE, FILTER(J$1:N$1&amp;"": ""&amp;J63:N63, NOT(ISBLANK(J63:N63))))))"),"")</f>
        <v/>
      </c>
      <c r="P63" s="48" t="s">
        <v>460</v>
      </c>
      <c r="Q63" s="50" t="b">
        <v>0</v>
      </c>
    </row>
    <row r="64">
      <c r="A64" s="23" t="s">
        <v>226</v>
      </c>
      <c r="B64" s="23" t="s">
        <v>227</v>
      </c>
      <c r="C64" s="46" t="str">
        <f>IF(OR(COUNTIF(D64:H64, "FALSE")=1, COUNTIF(D64:H64, "TRUE")=1), IF(COUNTA(D64:H64)-COUNTIF(D64:H64, "TO DO")=4, "Minor Disagreement (1v3)", "Disagreement (1v2)"), "Major Disagreement (2v2)")</f>
        <v>Disagreement (1v2)</v>
      </c>
      <c r="D64" s="47" t="b">
        <f t="shared" ref="D64:H64" si="134">VLOOKUP($A64, INDIRECT(D$1&amp;"!B:D"), 3, FALSE)</f>
        <v>1</v>
      </c>
      <c r="E64" s="47" t="str">
        <f t="shared" si="134"/>
        <v>TO DO</v>
      </c>
      <c r="F64" s="47" t="str">
        <f t="shared" si="134"/>
        <v>TO DO</v>
      </c>
      <c r="G64" s="47" t="b">
        <f t="shared" si="134"/>
        <v>0</v>
      </c>
      <c r="H64" s="47" t="b">
        <f t="shared" si="134"/>
        <v>0</v>
      </c>
      <c r="I64" s="48">
        <f t="shared" si="4"/>
        <v>0.3333333333</v>
      </c>
      <c r="J64" s="49" t="str">
        <f t="shared" ref="J64:N64" si="135">VLOOKUP($A64, INDIRECT(J$1&amp;"!B:E"), 4, FALSE)</f>
        <v/>
      </c>
      <c r="K64" s="49" t="str">
        <f t="shared" si="135"/>
        <v/>
      </c>
      <c r="L64" s="49" t="str">
        <f t="shared" si="135"/>
        <v/>
      </c>
      <c r="M64" s="49" t="str">
        <f t="shared" si="135"/>
        <v/>
      </c>
      <c r="N64" s="49" t="str">
        <f t="shared" si="135"/>
        <v>In theory clearly linked to 5.2, but the gender-reference is missing</v>
      </c>
      <c r="O64" s="48" t="str">
        <f>IFERROR(__xludf.DUMMYFUNCTION("IF(COUNTA(J64:N64)=0, """", ARRAYFORMULA(""- ""&amp;TEXTJOIN(char(10)&amp;""- "", TRUE, FILTER(J$1:N$1&amp;"": ""&amp;J64:N64, NOT(ISBLANK(J64:N64))))))"),"- Steve: In theory clearly linked to 5.2, but the gender-reference is missing")</f>
        <v>- Steve: In theory clearly linked to 5.2, but the gender-reference is missing</v>
      </c>
      <c r="P64" s="48" t="s">
        <v>500</v>
      </c>
      <c r="Q64" s="50" t="s">
        <v>451</v>
      </c>
    </row>
    <row r="65">
      <c r="A65" s="23" t="s">
        <v>325</v>
      </c>
      <c r="B65" s="23" t="s">
        <v>326</v>
      </c>
      <c r="C65" s="47"/>
      <c r="D65" s="47" t="b">
        <f t="shared" ref="D65:H65" si="136">VLOOKUP($A65, INDIRECT(D$1&amp;"!B:D"), 3, FALSE)</f>
        <v>1</v>
      </c>
      <c r="E65" s="47" t="b">
        <f t="shared" si="136"/>
        <v>1</v>
      </c>
      <c r="F65" s="47" t="str">
        <f t="shared" si="136"/>
        <v>TO DO</v>
      </c>
      <c r="G65" s="47" t="b">
        <f t="shared" si="136"/>
        <v>1</v>
      </c>
      <c r="H65" s="47" t="b">
        <f t="shared" si="136"/>
        <v>1</v>
      </c>
      <c r="I65" s="48">
        <f t="shared" si="4"/>
        <v>1</v>
      </c>
      <c r="J65" s="49" t="str">
        <f t="shared" ref="J65:N65" si="137">VLOOKUP($A65, INDIRECT(J$1&amp;"!B:E"), 4, FALSE)</f>
        <v/>
      </c>
      <c r="K65" s="49" t="str">
        <f t="shared" si="137"/>
        <v/>
      </c>
      <c r="L65" s="49" t="str">
        <f t="shared" si="137"/>
        <v/>
      </c>
      <c r="M65" s="49" t="str">
        <f t="shared" si="137"/>
        <v/>
      </c>
      <c r="N65" s="49" t="str">
        <f t="shared" si="137"/>
        <v/>
      </c>
      <c r="O65" s="48" t="str">
        <f>IFERROR(__xludf.DUMMYFUNCTION("IF(COUNTA(J65:N65)=0, """", ARRAYFORMULA(""- ""&amp;TEXTJOIN(char(10)&amp;""- "", TRUE, FILTER(J$1:N$1&amp;"": ""&amp;J65:N65, NOT(ISBLANK(J65:N65))))))"),"")</f>
        <v/>
      </c>
      <c r="P65" s="48" t="s">
        <v>460</v>
      </c>
      <c r="Q65" s="50" t="b">
        <v>1</v>
      </c>
    </row>
    <row r="66">
      <c r="A66" s="23" t="s">
        <v>212</v>
      </c>
      <c r="B66" s="23" t="s">
        <v>213</v>
      </c>
      <c r="C66" s="47"/>
      <c r="D66" s="47" t="b">
        <f t="shared" ref="D66:H66" si="138">VLOOKUP($A66, INDIRECT(D$1&amp;"!B:D"), 3, FALSE)</f>
        <v>0</v>
      </c>
      <c r="E66" s="47" t="b">
        <f t="shared" si="138"/>
        <v>0</v>
      </c>
      <c r="F66" s="47" t="str">
        <f t="shared" si="138"/>
        <v>TO DO</v>
      </c>
      <c r="G66" s="47" t="b">
        <f t="shared" si="138"/>
        <v>0</v>
      </c>
      <c r="H66" s="47" t="b">
        <f t="shared" si="138"/>
        <v>0</v>
      </c>
      <c r="I66" s="48">
        <f t="shared" si="4"/>
        <v>1</v>
      </c>
      <c r="J66" s="49" t="str">
        <f t="shared" ref="J66:N66" si="139">VLOOKUP($A66, INDIRECT(J$1&amp;"!B:E"), 4, FALSE)</f>
        <v/>
      </c>
      <c r="K66" s="49" t="str">
        <f t="shared" si="139"/>
        <v/>
      </c>
      <c r="L66" s="49" t="str">
        <f t="shared" si="139"/>
        <v/>
      </c>
      <c r="M66" s="49" t="str">
        <f t="shared" si="139"/>
        <v/>
      </c>
      <c r="N66" s="49" t="str">
        <f t="shared" si="139"/>
        <v/>
      </c>
      <c r="O66" s="48" t="str">
        <f>IFERROR(__xludf.DUMMYFUNCTION("IF(COUNTA(J66:N66)=0, """", ARRAYFORMULA(""- ""&amp;TEXTJOIN(char(10)&amp;""- "", TRUE, FILTER(J$1:N$1&amp;"": ""&amp;J66:N66, NOT(ISBLANK(J66:N66))))))"),"")</f>
        <v/>
      </c>
      <c r="P66" s="48" t="s">
        <v>460</v>
      </c>
      <c r="Q66" s="50" t="b">
        <v>0</v>
      </c>
    </row>
    <row r="67">
      <c r="A67" s="23" t="s">
        <v>151</v>
      </c>
      <c r="B67" s="23" t="s">
        <v>152</v>
      </c>
      <c r="C67" s="47"/>
      <c r="D67" s="47" t="b">
        <f t="shared" ref="D67:H67" si="140">VLOOKUP($A67, INDIRECT(D$1&amp;"!B:D"), 3, FALSE)</f>
        <v>1</v>
      </c>
      <c r="E67" s="47" t="str">
        <f t="shared" si="140"/>
        <v>TO DO</v>
      </c>
      <c r="F67" s="47" t="str">
        <f t="shared" si="140"/>
        <v>TO DO</v>
      </c>
      <c r="G67" s="47" t="b">
        <f t="shared" si="140"/>
        <v>1</v>
      </c>
      <c r="H67" s="47" t="b">
        <f t="shared" si="140"/>
        <v>1</v>
      </c>
      <c r="I67" s="48">
        <f t="shared" si="4"/>
        <v>1</v>
      </c>
      <c r="J67" s="49" t="str">
        <f t="shared" ref="J67:N67" si="141">VLOOKUP($A67, INDIRECT(J$1&amp;"!B:E"), 4, FALSE)</f>
        <v/>
      </c>
      <c r="K67" s="49" t="str">
        <f t="shared" si="141"/>
        <v/>
      </c>
      <c r="L67" s="49" t="str">
        <f t="shared" si="141"/>
        <v/>
      </c>
      <c r="M67" s="49" t="str">
        <f t="shared" si="141"/>
        <v/>
      </c>
      <c r="N67" s="49" t="str">
        <f t="shared" si="141"/>
        <v/>
      </c>
      <c r="O67" s="48" t="str">
        <f>IFERROR(__xludf.DUMMYFUNCTION("IF(COUNTA(J67:N67)=0, """", ARRAYFORMULA(""- ""&amp;TEXTJOIN(char(10)&amp;""- "", TRUE, FILTER(J$1:N$1&amp;"": ""&amp;J67:N67, NOT(ISBLANK(J67:N67))))))"),"")</f>
        <v/>
      </c>
      <c r="P67" s="48" t="s">
        <v>460</v>
      </c>
      <c r="Q67" s="50" t="b">
        <v>1</v>
      </c>
    </row>
    <row r="68">
      <c r="A68" s="23" t="s">
        <v>353</v>
      </c>
      <c r="B68" s="23" t="s">
        <v>354</v>
      </c>
      <c r="C68" s="46" t="str">
        <f t="shared" ref="C68:C69" si="144">IF(OR(COUNTIF(D68:H68, "FALSE")=1, COUNTIF(D68:H68, "TRUE")=1), IF(COUNTA(D68:H68)-COUNTIF(D68:H68, "TO DO")=4, "Minor Disagreement (1v3)", "Disagreement (1v2)"), "Major Disagreement (2v2)")</f>
        <v>Disagreement (1v2)</v>
      </c>
      <c r="D68" s="47" t="b">
        <f t="shared" ref="D68:H68" si="142">VLOOKUP($A68, INDIRECT(D$1&amp;"!B:D"), 3, FALSE)</f>
        <v>1</v>
      </c>
      <c r="E68" s="47" t="str">
        <f t="shared" si="142"/>
        <v>TO DO</v>
      </c>
      <c r="F68" s="47" t="str">
        <f t="shared" si="142"/>
        <v>TO DO</v>
      </c>
      <c r="G68" s="47" t="b">
        <f t="shared" si="142"/>
        <v>0</v>
      </c>
      <c r="H68" s="47" t="b">
        <f t="shared" si="142"/>
        <v>1</v>
      </c>
      <c r="I68" s="48">
        <f t="shared" si="4"/>
        <v>0.3333333333</v>
      </c>
      <c r="J68" s="49" t="str">
        <f t="shared" ref="J68:N68" si="143">VLOOKUP($A68, INDIRECT(J$1&amp;"!B:E"), 4, FALSE)</f>
        <v/>
      </c>
      <c r="K68" s="49" t="str">
        <f t="shared" si="143"/>
        <v/>
      </c>
      <c r="L68" s="49" t="str">
        <f t="shared" si="143"/>
        <v/>
      </c>
      <c r="M68" s="49" t="str">
        <f t="shared" si="143"/>
        <v/>
      </c>
      <c r="N68" s="49" t="str">
        <f t="shared" si="143"/>
        <v>gender-based violence</v>
      </c>
      <c r="O68" s="48" t="str">
        <f>IFERROR(__xludf.DUMMYFUNCTION("IF(COUNTA(J68:N68)=0, """", ARRAYFORMULA(""- ""&amp;TEXTJOIN(char(10)&amp;""- "", TRUE, FILTER(J$1:N$1&amp;"": ""&amp;J68:N68, NOT(ISBLANK(J68:N68))))))"),"- Steve: gender-based violence")</f>
        <v>- Steve: gender-based violence</v>
      </c>
      <c r="P68" s="48" t="s">
        <v>501</v>
      </c>
      <c r="Q68" s="50" t="s">
        <v>451</v>
      </c>
    </row>
    <row r="69">
      <c r="A69" s="23" t="s">
        <v>193</v>
      </c>
      <c r="B69" s="23" t="s">
        <v>194</v>
      </c>
      <c r="C69" s="46" t="str">
        <f t="shared" si="144"/>
        <v>Minor Disagreement (1v3)</v>
      </c>
      <c r="D69" s="47" t="b">
        <f t="shared" ref="D69:H69" si="145">VLOOKUP($A69, INDIRECT(D$1&amp;"!B:D"), 3, FALSE)</f>
        <v>1</v>
      </c>
      <c r="E69" s="47" t="b">
        <f t="shared" si="145"/>
        <v>1</v>
      </c>
      <c r="F69" s="47" t="str">
        <f t="shared" si="145"/>
        <v>TO DO</v>
      </c>
      <c r="G69" s="47" t="b">
        <f t="shared" si="145"/>
        <v>0</v>
      </c>
      <c r="H69" s="47" t="b">
        <f t="shared" si="145"/>
        <v>1</v>
      </c>
      <c r="I69" s="48">
        <f t="shared" si="4"/>
        <v>0.5</v>
      </c>
      <c r="J69" s="49" t="str">
        <f t="shared" ref="J69:N69" si="146">VLOOKUP($A69, INDIRECT(J$1&amp;"!B:E"), 4, FALSE)</f>
        <v/>
      </c>
      <c r="K69" s="49" t="str">
        <f t="shared" si="146"/>
        <v/>
      </c>
      <c r="L69" s="49" t="str">
        <f t="shared" si="146"/>
        <v/>
      </c>
      <c r="M69" s="49" t="str">
        <f t="shared" si="146"/>
        <v/>
      </c>
      <c r="N69" s="49" t="str">
        <f t="shared" si="146"/>
        <v>mentions discrimination based on (for example) gender, linking to 5.1</v>
      </c>
      <c r="O69" s="48" t="str">
        <f>IFERROR(__xludf.DUMMYFUNCTION("IF(COUNTA(J69:N69)=0, """", ARRAYFORMULA(""- ""&amp;TEXTJOIN(char(10)&amp;""- "", TRUE, FILTER(J$1:N$1&amp;"": ""&amp;J69:N69, NOT(ISBLANK(J69:N69))))))"),"- Steve: mentions discrimination based on (for example) gender, linking to 5.1")</f>
        <v>- Steve: mentions discrimination based on (for example) gender, linking to 5.1</v>
      </c>
      <c r="P69" s="48" t="s">
        <v>502</v>
      </c>
      <c r="Q69" s="50" t="s">
        <v>451</v>
      </c>
    </row>
    <row r="70">
      <c r="A70" s="23" t="s">
        <v>282</v>
      </c>
      <c r="B70" s="23" t="s">
        <v>283</v>
      </c>
      <c r="C70" s="47"/>
      <c r="D70" s="47" t="b">
        <f t="shared" ref="D70:H70" si="147">VLOOKUP($A70, INDIRECT(D$1&amp;"!B:D"), 3, FALSE)</f>
        <v>0</v>
      </c>
      <c r="E70" s="47" t="b">
        <f t="shared" si="147"/>
        <v>0</v>
      </c>
      <c r="F70" s="47" t="str">
        <f t="shared" si="147"/>
        <v>TO DO</v>
      </c>
      <c r="G70" s="47" t="b">
        <f t="shared" si="147"/>
        <v>0</v>
      </c>
      <c r="H70" s="47" t="b">
        <f t="shared" si="147"/>
        <v>0</v>
      </c>
      <c r="I70" s="48">
        <f t="shared" si="4"/>
        <v>1</v>
      </c>
      <c r="J70" s="49" t="str">
        <f t="shared" ref="J70:N70" si="148">VLOOKUP($A70, INDIRECT(J$1&amp;"!B:E"), 4, FALSE)</f>
        <v/>
      </c>
      <c r="K70" s="49" t="str">
        <f t="shared" si="148"/>
        <v/>
      </c>
      <c r="L70" s="49" t="str">
        <f t="shared" si="148"/>
        <v/>
      </c>
      <c r="M70" s="49" t="str">
        <f t="shared" si="148"/>
        <v/>
      </c>
      <c r="N70" s="49" t="str">
        <f t="shared" si="148"/>
        <v/>
      </c>
      <c r="O70" s="48" t="str">
        <f>IFERROR(__xludf.DUMMYFUNCTION("IF(COUNTA(J70:N70)=0, """", ARRAYFORMULA(""- ""&amp;TEXTJOIN(char(10)&amp;""- "", TRUE, FILTER(J$1:N$1&amp;"": ""&amp;J70:N70, NOT(ISBLANK(J70:N70))))))"),"")</f>
        <v/>
      </c>
      <c r="P70" s="48" t="s">
        <v>460</v>
      </c>
      <c r="Q70" s="50" t="b">
        <v>0</v>
      </c>
    </row>
    <row r="71">
      <c r="A71" s="23" t="s">
        <v>223</v>
      </c>
      <c r="B71" s="23" t="s">
        <v>224</v>
      </c>
      <c r="C71" s="47"/>
      <c r="D71" s="47" t="b">
        <f t="shared" ref="D71:H71" si="149">VLOOKUP($A71, INDIRECT(D$1&amp;"!B:D"), 3, FALSE)</f>
        <v>0</v>
      </c>
      <c r="E71" s="47" t="str">
        <f t="shared" si="149"/>
        <v>TO DO</v>
      </c>
      <c r="F71" s="47" t="str">
        <f t="shared" si="149"/>
        <v>TO DO</v>
      </c>
      <c r="G71" s="47" t="b">
        <f t="shared" si="149"/>
        <v>0</v>
      </c>
      <c r="H71" s="47" t="b">
        <f t="shared" si="149"/>
        <v>0</v>
      </c>
      <c r="I71" s="48">
        <f t="shared" si="4"/>
        <v>1</v>
      </c>
      <c r="J71" s="49" t="str">
        <f t="shared" ref="J71:N71" si="150">VLOOKUP($A71, INDIRECT(J$1&amp;"!B:E"), 4, FALSE)</f>
        <v/>
      </c>
      <c r="K71" s="49" t="str">
        <f t="shared" si="150"/>
        <v/>
      </c>
      <c r="L71" s="49" t="str">
        <f t="shared" si="150"/>
        <v/>
      </c>
      <c r="M71" s="49" t="str">
        <f t="shared" si="150"/>
        <v/>
      </c>
      <c r="N71" s="49" t="str">
        <f t="shared" si="150"/>
        <v/>
      </c>
      <c r="O71" s="48" t="str">
        <f>IFERROR(__xludf.DUMMYFUNCTION("IF(COUNTA(J71:N71)=0, """", ARRAYFORMULA(""- ""&amp;TEXTJOIN(char(10)&amp;""- "", TRUE, FILTER(J$1:N$1&amp;"": ""&amp;J71:N71, NOT(ISBLANK(J71:N71))))))"),"")</f>
        <v/>
      </c>
      <c r="P71" s="48" t="s">
        <v>460</v>
      </c>
      <c r="Q71" s="50" t="b">
        <v>0</v>
      </c>
    </row>
    <row r="72">
      <c r="A72" s="23" t="s">
        <v>348</v>
      </c>
      <c r="B72" s="23" t="s">
        <v>349</v>
      </c>
      <c r="C72" s="47"/>
      <c r="D72" s="47" t="b">
        <f t="shared" ref="D72:H72" si="151">VLOOKUP($A72, INDIRECT(D$1&amp;"!B:D"), 3, FALSE)</f>
        <v>1</v>
      </c>
      <c r="E72" s="47" t="str">
        <f t="shared" si="151"/>
        <v>TO DO</v>
      </c>
      <c r="F72" s="47" t="str">
        <f t="shared" si="151"/>
        <v>TO DO</v>
      </c>
      <c r="G72" s="47" t="b">
        <f t="shared" si="151"/>
        <v>1</v>
      </c>
      <c r="H72" s="47" t="b">
        <f t="shared" si="151"/>
        <v>1</v>
      </c>
      <c r="I72" s="48">
        <f t="shared" si="4"/>
        <v>1</v>
      </c>
      <c r="J72" s="49" t="str">
        <f t="shared" ref="J72:N72" si="152">VLOOKUP($A72, INDIRECT(J$1&amp;"!B:E"), 4, FALSE)</f>
        <v/>
      </c>
      <c r="K72" s="49" t="str">
        <f t="shared" si="152"/>
        <v/>
      </c>
      <c r="L72" s="49" t="str">
        <f t="shared" si="152"/>
        <v/>
      </c>
      <c r="M72" s="49" t="str">
        <f t="shared" si="152"/>
        <v/>
      </c>
      <c r="N72" s="49" t="str">
        <f t="shared" si="152"/>
        <v>links also to 5.6</v>
      </c>
      <c r="O72" s="48" t="str">
        <f>IFERROR(__xludf.DUMMYFUNCTION("IF(COUNTA(J72:N72)=0, """", ARRAYFORMULA(""- ""&amp;TEXTJOIN(char(10)&amp;""- "", TRUE, FILTER(J$1:N$1&amp;"": ""&amp;J72:N72, NOT(ISBLANK(J72:N72))))))"),"- Steve: links also to 5.6")</f>
        <v>- Steve: links also to 5.6</v>
      </c>
      <c r="P72" s="48" t="s">
        <v>503</v>
      </c>
      <c r="Q72" s="50" t="b">
        <v>1</v>
      </c>
    </row>
    <row r="73">
      <c r="A73" s="23" t="s">
        <v>274</v>
      </c>
      <c r="B73" s="23" t="s">
        <v>275</v>
      </c>
      <c r="C73" s="47"/>
      <c r="D73" s="47" t="b">
        <f t="shared" ref="D73:H73" si="153">VLOOKUP($A73, INDIRECT(D$1&amp;"!B:D"), 3, FALSE)</f>
        <v>0</v>
      </c>
      <c r="E73" s="47" t="str">
        <f t="shared" si="153"/>
        <v>TO DO</v>
      </c>
      <c r="F73" s="47" t="str">
        <f t="shared" si="153"/>
        <v>TO DO</v>
      </c>
      <c r="G73" s="47" t="b">
        <f t="shared" si="153"/>
        <v>0</v>
      </c>
      <c r="H73" s="47" t="b">
        <f t="shared" si="153"/>
        <v>0</v>
      </c>
      <c r="I73" s="48">
        <f t="shared" si="4"/>
        <v>1</v>
      </c>
      <c r="J73" s="49" t="str">
        <f t="shared" ref="J73:N73" si="154">VLOOKUP($A73, INDIRECT(J$1&amp;"!B:E"), 4, FALSE)</f>
        <v/>
      </c>
      <c r="K73" s="49" t="str">
        <f t="shared" si="154"/>
        <v/>
      </c>
      <c r="L73" s="49" t="str">
        <f t="shared" si="154"/>
        <v/>
      </c>
      <c r="M73" s="49" t="str">
        <f t="shared" si="154"/>
        <v/>
      </c>
      <c r="N73" s="49" t="str">
        <f t="shared" si="154"/>
        <v/>
      </c>
      <c r="O73" s="48" t="str">
        <f>IFERROR(__xludf.DUMMYFUNCTION("IF(COUNTA(J73:N73)=0, """", ARRAYFORMULA(""- ""&amp;TEXTJOIN(char(10)&amp;""- "", TRUE, FILTER(J$1:N$1&amp;"": ""&amp;J73:N73, NOT(ISBLANK(J73:N73))))))"),"")</f>
        <v/>
      </c>
      <c r="P73" s="48" t="s">
        <v>460</v>
      </c>
      <c r="Q73" s="50" t="b">
        <v>0</v>
      </c>
    </row>
    <row r="74">
      <c r="A74" s="23" t="s">
        <v>320</v>
      </c>
      <c r="B74" s="23" t="s">
        <v>321</v>
      </c>
      <c r="C74" s="47"/>
      <c r="D74" s="47" t="b">
        <f t="shared" ref="D74:H74" si="155">VLOOKUP($A74, INDIRECT(D$1&amp;"!B:D"), 3, FALSE)</f>
        <v>1</v>
      </c>
      <c r="E74" s="47" t="str">
        <f t="shared" si="155"/>
        <v>TO DO</v>
      </c>
      <c r="F74" s="47" t="str">
        <f t="shared" si="155"/>
        <v>TO DO</v>
      </c>
      <c r="G74" s="47" t="b">
        <f t="shared" si="155"/>
        <v>1</v>
      </c>
      <c r="H74" s="47" t="b">
        <f t="shared" si="155"/>
        <v>1</v>
      </c>
      <c r="I74" s="48">
        <f t="shared" si="4"/>
        <v>1</v>
      </c>
      <c r="J74" s="49" t="str">
        <f t="shared" ref="J74:N74" si="156">VLOOKUP($A74, INDIRECT(J$1&amp;"!B:E"), 4, FALSE)</f>
        <v/>
      </c>
      <c r="K74" s="49" t="str">
        <f t="shared" si="156"/>
        <v/>
      </c>
      <c r="L74" s="49" t="str">
        <f t="shared" si="156"/>
        <v/>
      </c>
      <c r="M74" s="49" t="str">
        <f t="shared" si="156"/>
        <v>it mentions that women are less likely entrepeneurs, but now whether (and how) this would be increased. but extremely underrepresented has a negative connotation</v>
      </c>
      <c r="N74" s="49" t="str">
        <f t="shared" si="156"/>
        <v/>
      </c>
      <c r="O74" s="48" t="str">
        <f>IFERROR(__xludf.DUMMYFUNCTION("IF(COUNTA(J74:N74)=0, """", ARRAYFORMULA(""- ""&amp;TEXTJOIN(char(10)&amp;""- "", TRUE, FILTER(J$1:N$1&amp;"": ""&amp;J74:N74, NOT(ISBLANK(J74:N74))))))"),"- Meike: it mentions that women are less likely entrepeneurs, but now whether (and how) this would be increased. but extremely underrepresented has a negative connotation")</f>
        <v>- Meike: it mentions that women are less likely entrepeneurs, but now whether (and how) this would be increased. but extremely underrepresented has a negative connotation</v>
      </c>
      <c r="P74" s="48" t="s">
        <v>504</v>
      </c>
      <c r="Q74" s="50" t="b">
        <v>1</v>
      </c>
    </row>
    <row r="75">
      <c r="A75" s="23" t="s">
        <v>220</v>
      </c>
      <c r="B75" s="23" t="s">
        <v>221</v>
      </c>
      <c r="C75" s="47"/>
      <c r="D75" s="47" t="b">
        <f t="shared" ref="D75:H75" si="157">VLOOKUP($A75, INDIRECT(D$1&amp;"!B:D"), 3, FALSE)</f>
        <v>1</v>
      </c>
      <c r="E75" s="47" t="str">
        <f t="shared" si="157"/>
        <v>TO DO</v>
      </c>
      <c r="F75" s="47" t="str">
        <f t="shared" si="157"/>
        <v>TO DO</v>
      </c>
      <c r="G75" s="47" t="b">
        <f t="shared" si="157"/>
        <v>1</v>
      </c>
      <c r="H75" s="47" t="b">
        <f t="shared" si="157"/>
        <v>1</v>
      </c>
      <c r="I75" s="48">
        <f t="shared" si="4"/>
        <v>1</v>
      </c>
      <c r="J75" s="49" t="str">
        <f t="shared" ref="J75:N75" si="158">VLOOKUP($A75, INDIRECT(J$1&amp;"!B:E"), 4, FALSE)</f>
        <v/>
      </c>
      <c r="K75" s="49" t="str">
        <f t="shared" si="158"/>
        <v/>
      </c>
      <c r="L75" s="49" t="str">
        <f t="shared" si="158"/>
        <v/>
      </c>
      <c r="M75" s="49" t="str">
        <f t="shared" si="158"/>
        <v/>
      </c>
      <c r="N75" s="49" t="str">
        <f t="shared" si="158"/>
        <v/>
      </c>
      <c r="O75" s="48" t="str">
        <f>IFERROR(__xludf.DUMMYFUNCTION("IF(COUNTA(J75:N75)=0, """", ARRAYFORMULA(""- ""&amp;TEXTJOIN(char(10)&amp;""- "", TRUE, FILTER(J$1:N$1&amp;"": ""&amp;J75:N75, NOT(ISBLANK(J75:N75))))))"),"")</f>
        <v/>
      </c>
      <c r="P75" s="48" t="s">
        <v>460</v>
      </c>
      <c r="Q75" s="50" t="b">
        <v>1</v>
      </c>
    </row>
    <row r="76">
      <c r="A76" s="23" t="s">
        <v>331</v>
      </c>
      <c r="B76" s="23" t="s">
        <v>332</v>
      </c>
      <c r="C76" s="46" t="str">
        <f>IF(OR(COUNTIF(D76:H76, "FALSE")=1, COUNTIF(D76:H76, "TRUE")=1), IF(COUNTA(D76:H76)-COUNTIF(D76:H76, "TO DO")=4, "Minor Disagreement (1v3)", "Disagreement (1v2)"), "Major Disagreement (2v2)")</f>
        <v>Disagreement (1v2)</v>
      </c>
      <c r="D76" s="47" t="b">
        <f t="shared" ref="D76:H76" si="159">VLOOKUP($A76, INDIRECT(D$1&amp;"!B:D"), 3, FALSE)</f>
        <v>1</v>
      </c>
      <c r="E76" s="47" t="str">
        <f t="shared" si="159"/>
        <v>TO DO</v>
      </c>
      <c r="F76" s="47" t="str">
        <f t="shared" si="159"/>
        <v>TO DO</v>
      </c>
      <c r="G76" s="47" t="b">
        <f t="shared" si="159"/>
        <v>1</v>
      </c>
      <c r="H76" s="47" t="b">
        <f t="shared" si="159"/>
        <v>0</v>
      </c>
      <c r="I76" s="48">
        <f t="shared" si="4"/>
        <v>0.3333333333</v>
      </c>
      <c r="J76" s="49" t="str">
        <f t="shared" ref="J76:N76" si="160">VLOOKUP($A76, INDIRECT(J$1&amp;"!B:E"), 4, FALSE)</f>
        <v/>
      </c>
      <c r="K76" s="49" t="str">
        <f t="shared" si="160"/>
        <v/>
      </c>
      <c r="L76" s="49" t="str">
        <f t="shared" si="160"/>
        <v/>
      </c>
      <c r="M76" s="49" t="str">
        <f t="shared" si="160"/>
        <v>policy ideas for achieving gender equality? eventhough also related to other goals?</v>
      </c>
      <c r="N76" s="49" t="str">
        <f t="shared" si="160"/>
        <v/>
      </c>
      <c r="O76" s="48" t="str">
        <f>IFERROR(__xludf.DUMMYFUNCTION("IF(COUNTA(J76:N76)=0, """", ARRAYFORMULA(""- ""&amp;TEXTJOIN(char(10)&amp;""- "", TRUE, FILTER(J$1:N$1&amp;"": ""&amp;J76:N76, NOT(ISBLANK(J76:N76))))))"),"- Meike: policy ideas for achieving gender equality? eventhough also related to other goals?")</f>
        <v>- Meike: policy ideas for achieving gender equality? eventhough also related to other goals?</v>
      </c>
      <c r="P76" s="48" t="s">
        <v>505</v>
      </c>
      <c r="Q76" s="50" t="s">
        <v>451</v>
      </c>
    </row>
    <row r="77">
      <c r="A77" s="23" t="s">
        <v>201</v>
      </c>
      <c r="B77" s="23" t="s">
        <v>202</v>
      </c>
      <c r="C77" s="47"/>
      <c r="D77" s="47" t="b">
        <f t="shared" ref="D77:H77" si="161">VLOOKUP($A77, INDIRECT(D$1&amp;"!B:D"), 3, FALSE)</f>
        <v>0</v>
      </c>
      <c r="E77" s="47" t="b">
        <f t="shared" si="161"/>
        <v>0</v>
      </c>
      <c r="F77" s="47" t="str">
        <f t="shared" si="161"/>
        <v>TO DO</v>
      </c>
      <c r="G77" s="47" t="b">
        <f t="shared" si="161"/>
        <v>0</v>
      </c>
      <c r="H77" s="47" t="b">
        <f t="shared" si="161"/>
        <v>0</v>
      </c>
      <c r="I77" s="48">
        <f t="shared" si="4"/>
        <v>1</v>
      </c>
      <c r="J77" s="49" t="str">
        <f t="shared" ref="J77:N77" si="162">VLOOKUP($A77, INDIRECT(J$1&amp;"!B:E"), 4, FALSE)</f>
        <v/>
      </c>
      <c r="K77" s="49" t="str">
        <f t="shared" si="162"/>
        <v/>
      </c>
      <c r="L77" s="49" t="str">
        <f t="shared" si="162"/>
        <v/>
      </c>
      <c r="M77" s="49" t="str">
        <f t="shared" si="162"/>
        <v/>
      </c>
      <c r="N77" s="49" t="str">
        <f t="shared" si="162"/>
        <v/>
      </c>
      <c r="O77" s="48" t="str">
        <f>IFERROR(__xludf.DUMMYFUNCTION("IF(COUNTA(J77:N77)=0, """", ARRAYFORMULA(""- ""&amp;TEXTJOIN(char(10)&amp;""- "", TRUE, FILTER(J$1:N$1&amp;"": ""&amp;J77:N77, NOT(ISBLANK(J77:N77))))))"),"")</f>
        <v/>
      </c>
      <c r="P77" s="48" t="s">
        <v>460</v>
      </c>
      <c r="Q77" s="50" t="b">
        <v>0</v>
      </c>
    </row>
    <row r="78">
      <c r="A78" s="23" t="s">
        <v>204</v>
      </c>
      <c r="B78" s="23" t="s">
        <v>205</v>
      </c>
      <c r="C78" s="47"/>
      <c r="D78" s="47" t="b">
        <f t="shared" ref="D78:H78" si="163">VLOOKUP($A78, INDIRECT(D$1&amp;"!B:D"), 3, FALSE)</f>
        <v>0</v>
      </c>
      <c r="E78" s="47" t="str">
        <f t="shared" si="163"/>
        <v>TO DO</v>
      </c>
      <c r="F78" s="47" t="str">
        <f t="shared" si="163"/>
        <v>TO DO</v>
      </c>
      <c r="G78" s="47" t="b">
        <f t="shared" si="163"/>
        <v>0</v>
      </c>
      <c r="H78" s="47" t="b">
        <f t="shared" si="163"/>
        <v>0</v>
      </c>
      <c r="I78" s="48">
        <f t="shared" si="4"/>
        <v>1</v>
      </c>
      <c r="J78" s="49" t="str">
        <f t="shared" ref="J78:N78" si="164">VLOOKUP($A78, INDIRECT(J$1&amp;"!B:E"), 4, FALSE)</f>
        <v/>
      </c>
      <c r="K78" s="49" t="str">
        <f t="shared" si="164"/>
        <v/>
      </c>
      <c r="L78" s="49" t="str">
        <f t="shared" si="164"/>
        <v/>
      </c>
      <c r="M78" s="49" t="str">
        <f t="shared" si="164"/>
        <v/>
      </c>
      <c r="N78" s="49" t="str">
        <f t="shared" si="164"/>
        <v/>
      </c>
      <c r="O78" s="48" t="str">
        <f>IFERROR(__xludf.DUMMYFUNCTION("IF(COUNTA(J78:N78)=0, """", ARRAYFORMULA(""- ""&amp;TEXTJOIN(char(10)&amp;""- "", TRUE, FILTER(J$1:N$1&amp;"": ""&amp;J78:N78, NOT(ISBLANK(J78:N78))))))"),"")</f>
        <v/>
      </c>
      <c r="P78" s="48" t="s">
        <v>460</v>
      </c>
      <c r="Q78" s="50" t="b">
        <v>0</v>
      </c>
    </row>
    <row r="79">
      <c r="A79" s="23" t="s">
        <v>142</v>
      </c>
      <c r="B79" s="23" t="s">
        <v>143</v>
      </c>
      <c r="C79" s="47"/>
      <c r="D79" s="47" t="b">
        <f t="shared" ref="D79:H79" si="165">VLOOKUP($A79, INDIRECT(D$1&amp;"!B:D"), 3, FALSE)</f>
        <v>0</v>
      </c>
      <c r="E79" s="47" t="b">
        <f t="shared" si="165"/>
        <v>0</v>
      </c>
      <c r="F79" s="47" t="str">
        <f t="shared" si="165"/>
        <v>TO DO</v>
      </c>
      <c r="G79" s="47" t="b">
        <f t="shared" si="165"/>
        <v>0</v>
      </c>
      <c r="H79" s="47" t="b">
        <f t="shared" si="165"/>
        <v>0</v>
      </c>
      <c r="I79" s="48">
        <f t="shared" si="4"/>
        <v>1</v>
      </c>
      <c r="J79" s="49" t="str">
        <f t="shared" ref="J79:N79" si="166">VLOOKUP($A79, INDIRECT(J$1&amp;"!B:E"), 4, FALSE)</f>
        <v/>
      </c>
      <c r="K79" s="49" t="str">
        <f t="shared" si="166"/>
        <v/>
      </c>
      <c r="L79" s="49" t="str">
        <f t="shared" si="166"/>
        <v/>
      </c>
      <c r="M79" s="49" t="str">
        <f t="shared" si="166"/>
        <v/>
      </c>
      <c r="N79" s="49" t="str">
        <f t="shared" si="166"/>
        <v/>
      </c>
      <c r="O79" s="48" t="str">
        <f>IFERROR(__xludf.DUMMYFUNCTION("IF(COUNTA(J79:N79)=0, """", ARRAYFORMULA(""- ""&amp;TEXTJOIN(char(10)&amp;""- "", TRUE, FILTER(J$1:N$1&amp;"": ""&amp;J79:N79, NOT(ISBLANK(J79:N79))))))"),"")</f>
        <v/>
      </c>
      <c r="P79" s="48" t="s">
        <v>460</v>
      </c>
      <c r="Q79" s="50" t="b">
        <v>0</v>
      </c>
    </row>
    <row r="80">
      <c r="A80" s="23" t="s">
        <v>229</v>
      </c>
      <c r="B80" s="23" t="s">
        <v>230</v>
      </c>
      <c r="C80" s="47"/>
      <c r="D80" s="47" t="b">
        <f t="shared" ref="D80:H80" si="167">VLOOKUP($A80, INDIRECT(D$1&amp;"!B:D"), 3, FALSE)</f>
        <v>1</v>
      </c>
      <c r="E80" s="47" t="b">
        <f t="shared" si="167"/>
        <v>1</v>
      </c>
      <c r="F80" s="47" t="str">
        <f t="shared" si="167"/>
        <v>TO DO</v>
      </c>
      <c r="G80" s="47" t="b">
        <f t="shared" si="167"/>
        <v>1</v>
      </c>
      <c r="H80" s="47" t="b">
        <f t="shared" si="167"/>
        <v>1</v>
      </c>
      <c r="I80" s="48">
        <f t="shared" si="4"/>
        <v>1</v>
      </c>
      <c r="J80" s="49" t="str">
        <f t="shared" ref="J80:N80" si="168">VLOOKUP($A80, INDIRECT(J$1&amp;"!B:E"), 4, FALSE)</f>
        <v/>
      </c>
      <c r="K80" s="49" t="str">
        <f t="shared" si="168"/>
        <v/>
      </c>
      <c r="L80" s="49" t="str">
        <f t="shared" si="168"/>
        <v/>
      </c>
      <c r="M80" s="49" t="str">
        <f t="shared" si="168"/>
        <v/>
      </c>
      <c r="N80" s="49" t="str">
        <f t="shared" si="168"/>
        <v>access to economic rresources</v>
      </c>
      <c r="O80" s="48" t="str">
        <f>IFERROR(__xludf.DUMMYFUNCTION("IF(COUNTA(J80:N80)=0, """", ARRAYFORMULA(""- ""&amp;TEXTJOIN(char(10)&amp;""- "", TRUE, FILTER(J$1:N$1&amp;"": ""&amp;J80:N80, NOT(ISBLANK(J80:N80))))))"),"- Steve: access to economic rresources")</f>
        <v>- Steve: access to economic rresources</v>
      </c>
      <c r="P80" s="48" t="s">
        <v>506</v>
      </c>
      <c r="Q80" s="50" t="b">
        <v>1</v>
      </c>
    </row>
    <row r="81">
      <c r="A81" s="23" t="s">
        <v>166</v>
      </c>
      <c r="B81" s="23" t="s">
        <v>167</v>
      </c>
      <c r="C81" s="46" t="str">
        <f>IF(OR(COUNTIF(D81:H81, "FALSE")=1, COUNTIF(D81:H81, "TRUE")=1), IF(COUNTA(D81:H81)-COUNTIF(D81:H81, "TO DO")=4, "Minor Disagreement (1v3)", "Disagreement (1v2)"), "Major Disagreement (2v2)")</f>
        <v>Minor Disagreement (1v3)</v>
      </c>
      <c r="D81" s="47" t="b">
        <f t="shared" ref="D81:H81" si="169">VLOOKUP($A81, INDIRECT(D$1&amp;"!B:D"), 3, FALSE)</f>
        <v>1</v>
      </c>
      <c r="E81" s="47" t="b">
        <f t="shared" si="169"/>
        <v>1</v>
      </c>
      <c r="F81" s="47" t="str">
        <f t="shared" si="169"/>
        <v>TO DO</v>
      </c>
      <c r="G81" s="47" t="b">
        <f t="shared" si="169"/>
        <v>1</v>
      </c>
      <c r="H81" s="47" t="b">
        <f t="shared" si="169"/>
        <v>0</v>
      </c>
      <c r="I81" s="48">
        <f t="shared" si="4"/>
        <v>0.5</v>
      </c>
      <c r="J81" s="49" t="str">
        <f t="shared" ref="J81:N81" si="170">VLOOKUP($A81, INDIRECT(J$1&amp;"!B:E"), 4, FALSE)</f>
        <v/>
      </c>
      <c r="K81" s="49" t="str">
        <f t="shared" si="170"/>
        <v/>
      </c>
      <c r="L81" s="49" t="str">
        <f t="shared" si="170"/>
        <v/>
      </c>
      <c r="M81" s="49" t="str">
        <f t="shared" si="170"/>
        <v/>
      </c>
      <c r="N81" s="49" t="str">
        <f t="shared" si="170"/>
        <v>5.3, though no direct sentiment/call to action, it's just a definition#</v>
      </c>
      <c r="O81" s="48" t="str">
        <f>IFERROR(__xludf.DUMMYFUNCTION("IF(COUNTA(J81:N81)=0, """", ARRAYFORMULA(""- ""&amp;TEXTJOIN(char(10)&amp;""- "", TRUE, FILTER(J$1:N$1&amp;"": ""&amp;J81:N81, NOT(ISBLANK(J81:N81))))))"),"- Steve: 5.3, though no direct sentiment/call to action, it's just a definition#")</f>
        <v>- Steve: 5.3, though no direct sentiment/call to action, it's just a definition#</v>
      </c>
      <c r="P81" s="48" t="s">
        <v>507</v>
      </c>
      <c r="Q81" s="50" t="s">
        <v>451</v>
      </c>
    </row>
    <row r="82">
      <c r="A82" s="23" t="s">
        <v>210</v>
      </c>
      <c r="B82" s="23" t="s">
        <v>211</v>
      </c>
      <c r="C82" s="47"/>
      <c r="D82" s="47" t="b">
        <f t="shared" ref="D82:H82" si="171">VLOOKUP($A82, INDIRECT(D$1&amp;"!B:D"), 3, FALSE)</f>
        <v>1</v>
      </c>
      <c r="E82" s="47" t="str">
        <f t="shared" si="171"/>
        <v>TO DO</v>
      </c>
      <c r="F82" s="47" t="str">
        <f t="shared" si="171"/>
        <v>TO DO</v>
      </c>
      <c r="G82" s="47" t="b">
        <f t="shared" si="171"/>
        <v>1</v>
      </c>
      <c r="H82" s="47" t="b">
        <f t="shared" si="171"/>
        <v>1</v>
      </c>
      <c r="I82" s="48">
        <f t="shared" si="4"/>
        <v>1</v>
      </c>
      <c r="J82" s="49" t="str">
        <f t="shared" ref="J82:N82" si="172">VLOOKUP($A82, INDIRECT(J$1&amp;"!B:E"), 4, FALSE)</f>
        <v/>
      </c>
      <c r="K82" s="49" t="str">
        <f t="shared" si="172"/>
        <v/>
      </c>
      <c r="L82" s="49" t="str">
        <f t="shared" si="172"/>
        <v/>
      </c>
      <c r="M82" s="49" t="str">
        <f t="shared" si="172"/>
        <v/>
      </c>
      <c r="N82" s="49" t="str">
        <f t="shared" si="172"/>
        <v/>
      </c>
      <c r="O82" s="48" t="str">
        <f>IFERROR(__xludf.DUMMYFUNCTION("IF(COUNTA(J82:N82)=0, """", ARRAYFORMULA(""- ""&amp;TEXTJOIN(char(10)&amp;""- "", TRUE, FILTER(J$1:N$1&amp;"": ""&amp;J82:N82, NOT(ISBLANK(J82:N82))))))"),"")</f>
        <v/>
      </c>
      <c r="P82" s="48" t="s">
        <v>460</v>
      </c>
      <c r="Q82" s="50" t="b">
        <v>1</v>
      </c>
    </row>
    <row r="83">
      <c r="A83" s="23" t="s">
        <v>178</v>
      </c>
      <c r="B83" s="23" t="s">
        <v>179</v>
      </c>
      <c r="C83" s="47"/>
      <c r="D83" s="47" t="b">
        <f t="shared" ref="D83:H83" si="173">VLOOKUP($A83, INDIRECT(D$1&amp;"!B:D"), 3, FALSE)</f>
        <v>1</v>
      </c>
      <c r="E83" s="47" t="str">
        <f t="shared" si="173"/>
        <v>TO DO</v>
      </c>
      <c r="F83" s="47" t="str">
        <f t="shared" si="173"/>
        <v>TO DO</v>
      </c>
      <c r="G83" s="47" t="b">
        <f t="shared" si="173"/>
        <v>1</v>
      </c>
      <c r="H83" s="47" t="b">
        <f t="shared" si="173"/>
        <v>1</v>
      </c>
      <c r="I83" s="48">
        <f t="shared" si="4"/>
        <v>1</v>
      </c>
      <c r="J83" s="49" t="str">
        <f t="shared" ref="J83:N83" si="174">VLOOKUP($A83, INDIRECT(J$1&amp;"!B:E"), 4, FALSE)</f>
        <v/>
      </c>
      <c r="K83" s="49" t="str">
        <f t="shared" si="174"/>
        <v/>
      </c>
      <c r="L83" s="49" t="str">
        <f t="shared" si="174"/>
        <v/>
      </c>
      <c r="M83" s="49" t="str">
        <f t="shared" si="174"/>
        <v/>
      </c>
      <c r="N83" s="49" t="str">
        <f t="shared" si="174"/>
        <v/>
      </c>
      <c r="O83" s="48" t="str">
        <f>IFERROR(__xludf.DUMMYFUNCTION("IF(COUNTA(J83:N83)=0, """", ARRAYFORMULA(""- ""&amp;TEXTJOIN(char(10)&amp;""- "", TRUE, FILTER(J$1:N$1&amp;"": ""&amp;J83:N83, NOT(ISBLANK(J83:N83))))))"),"")</f>
        <v/>
      </c>
      <c r="P83" s="48" t="s">
        <v>460</v>
      </c>
      <c r="Q83" s="50" t="b">
        <v>1</v>
      </c>
    </row>
    <row r="84">
      <c r="A84" s="23" t="s">
        <v>308</v>
      </c>
      <c r="B84" s="23" t="s">
        <v>309</v>
      </c>
      <c r="C84" s="47"/>
      <c r="D84" s="47" t="b">
        <f t="shared" ref="D84:H84" si="175">VLOOKUP($A84, INDIRECT(D$1&amp;"!B:D"), 3, FALSE)</f>
        <v>1</v>
      </c>
      <c r="E84" s="47" t="b">
        <f t="shared" si="175"/>
        <v>1</v>
      </c>
      <c r="F84" s="47" t="str">
        <f t="shared" si="175"/>
        <v>TO DO</v>
      </c>
      <c r="G84" s="47" t="b">
        <f t="shared" si="175"/>
        <v>1</v>
      </c>
      <c r="H84" s="47" t="b">
        <f t="shared" si="175"/>
        <v>1</v>
      </c>
      <c r="I84" s="48">
        <f t="shared" si="4"/>
        <v>1</v>
      </c>
      <c r="J84" s="49" t="str">
        <f t="shared" ref="J84:N84" si="176">VLOOKUP($A84, INDIRECT(J$1&amp;"!B:E"), 4, FALSE)</f>
        <v/>
      </c>
      <c r="K84" s="49" t="str">
        <f t="shared" si="176"/>
        <v/>
      </c>
      <c r="L84" s="49" t="str">
        <f t="shared" si="176"/>
        <v/>
      </c>
      <c r="M84" s="49" t="str">
        <f t="shared" si="176"/>
        <v>doesnt say how unpaid domestic work will be more equally distributed</v>
      </c>
      <c r="N84" s="49" t="str">
        <f t="shared" si="176"/>
        <v/>
      </c>
      <c r="O84" s="48" t="str">
        <f>IFERROR(__xludf.DUMMYFUNCTION("IF(COUNTA(J84:N84)=0, """", ARRAYFORMULA(""- ""&amp;TEXTJOIN(char(10)&amp;""- "", TRUE, FILTER(J$1:N$1&amp;"": ""&amp;J84:N84, NOT(ISBLANK(J84:N84))))))"),"- Meike: doesnt say how unpaid domestic work will be more equally distributed")</f>
        <v>- Meike: doesnt say how unpaid domestic work will be more equally distributed</v>
      </c>
      <c r="P84" s="48" t="s">
        <v>508</v>
      </c>
      <c r="Q84" s="50" t="b">
        <v>1</v>
      </c>
    </row>
    <row r="85">
      <c r="A85" s="23" t="s">
        <v>157</v>
      </c>
      <c r="B85" s="23" t="s">
        <v>158</v>
      </c>
      <c r="C85" s="47"/>
      <c r="D85" s="47" t="b">
        <f t="shared" ref="D85:H85" si="177">VLOOKUP($A85, INDIRECT(D$1&amp;"!B:D"), 3, FALSE)</f>
        <v>0</v>
      </c>
      <c r="E85" s="47" t="b">
        <f t="shared" si="177"/>
        <v>0</v>
      </c>
      <c r="F85" s="47" t="str">
        <f t="shared" si="177"/>
        <v>TO DO</v>
      </c>
      <c r="G85" s="47" t="b">
        <f t="shared" si="177"/>
        <v>0</v>
      </c>
      <c r="H85" s="47" t="b">
        <f t="shared" si="177"/>
        <v>0</v>
      </c>
      <c r="I85" s="48">
        <f t="shared" si="4"/>
        <v>1</v>
      </c>
      <c r="J85" s="49" t="str">
        <f t="shared" ref="J85:N85" si="178">VLOOKUP($A85, INDIRECT(J$1&amp;"!B:E"), 4, FALSE)</f>
        <v/>
      </c>
      <c r="K85" s="49" t="str">
        <f t="shared" si="178"/>
        <v/>
      </c>
      <c r="L85" s="49" t="str">
        <f t="shared" si="178"/>
        <v/>
      </c>
      <c r="M85" s="49" t="str">
        <f t="shared" si="178"/>
        <v/>
      </c>
      <c r="N85" s="49" t="str">
        <f t="shared" si="178"/>
        <v/>
      </c>
      <c r="O85" s="48" t="str">
        <f>IFERROR(__xludf.DUMMYFUNCTION("IF(COUNTA(J85:N85)=0, """", ARRAYFORMULA(""- ""&amp;TEXTJOIN(char(10)&amp;""- "", TRUE, FILTER(J$1:N$1&amp;"": ""&amp;J85:N85, NOT(ISBLANK(J85:N85))))))"),"")</f>
        <v/>
      </c>
      <c r="P85" s="48" t="s">
        <v>460</v>
      </c>
      <c r="Q85" s="50" t="b">
        <v>0</v>
      </c>
    </row>
    <row r="86">
      <c r="A86" s="23" t="s">
        <v>311</v>
      </c>
      <c r="B86" s="23" t="s">
        <v>312</v>
      </c>
      <c r="C86" s="47"/>
      <c r="D86" s="47" t="b">
        <f t="shared" ref="D86:H86" si="179">VLOOKUP($A86, INDIRECT(D$1&amp;"!B:D"), 3, FALSE)</f>
        <v>1</v>
      </c>
      <c r="E86" s="47" t="b">
        <f t="shared" si="179"/>
        <v>1</v>
      </c>
      <c r="F86" s="47" t="str">
        <f t="shared" si="179"/>
        <v>TO DO</v>
      </c>
      <c r="G86" s="47" t="b">
        <f t="shared" si="179"/>
        <v>1</v>
      </c>
      <c r="H86" s="47" t="b">
        <f t="shared" si="179"/>
        <v>1</v>
      </c>
      <c r="I86" s="48">
        <f t="shared" si="4"/>
        <v>1</v>
      </c>
      <c r="J86" s="49" t="str">
        <f t="shared" ref="J86:N86" si="180">VLOOKUP($A86, INDIRECT(J$1&amp;"!B:E"), 4, FALSE)</f>
        <v/>
      </c>
      <c r="K86" s="49" t="str">
        <f t="shared" si="180"/>
        <v/>
      </c>
      <c r="L86" s="49" t="str">
        <f t="shared" si="180"/>
        <v/>
      </c>
      <c r="M86" s="49" t="str">
        <f t="shared" si="180"/>
        <v/>
      </c>
      <c r="N86" s="49" t="str">
        <f t="shared" si="180"/>
        <v>5.a</v>
      </c>
      <c r="O86" s="48" t="str">
        <f>IFERROR(__xludf.DUMMYFUNCTION("IF(COUNTA(J86:N86)=0, """", ARRAYFORMULA(""- ""&amp;TEXTJOIN(char(10)&amp;""- "", TRUE, FILTER(J$1:N$1&amp;"": ""&amp;J86:N86, NOT(ISBLANK(J86:N86))))))"),"- Steve: 5.a")</f>
        <v>- Steve: 5.a</v>
      </c>
      <c r="P86" s="48" t="s">
        <v>509</v>
      </c>
      <c r="Q86" s="50" t="b">
        <v>1</v>
      </c>
    </row>
    <row r="87">
      <c r="A87" s="23" t="s">
        <v>257</v>
      </c>
      <c r="B87" s="23" t="s">
        <v>258</v>
      </c>
      <c r="C87" s="47"/>
      <c r="D87" s="47" t="b">
        <f t="shared" ref="D87:H87" si="181">VLOOKUP($A87, INDIRECT(D$1&amp;"!B:D"), 3, FALSE)</f>
        <v>1</v>
      </c>
      <c r="E87" s="47" t="str">
        <f t="shared" si="181"/>
        <v>TO DO</v>
      </c>
      <c r="F87" s="47" t="str">
        <f t="shared" si="181"/>
        <v>TO DO</v>
      </c>
      <c r="G87" s="47" t="b">
        <f t="shared" si="181"/>
        <v>1</v>
      </c>
      <c r="H87" s="47" t="b">
        <f t="shared" si="181"/>
        <v>1</v>
      </c>
      <c r="I87" s="48">
        <f t="shared" si="4"/>
        <v>1</v>
      </c>
      <c r="J87" s="49" t="str">
        <f t="shared" ref="J87:N87" si="182">VLOOKUP($A87, INDIRECT(J$1&amp;"!B:E"), 4, FALSE)</f>
        <v/>
      </c>
      <c r="K87" s="49" t="str">
        <f t="shared" si="182"/>
        <v/>
      </c>
      <c r="L87" s="49" t="str">
        <f t="shared" si="182"/>
        <v/>
      </c>
      <c r="M87" s="49" t="str">
        <f t="shared" si="182"/>
        <v>trafficking is referred to, and in 2nd sentence that this applies to trafficking of women. so for rest of text it is implied about women?</v>
      </c>
      <c r="N87" s="49">
        <f t="shared" si="182"/>
        <v>5.2</v>
      </c>
      <c r="O87" s="48" t="str">
        <f>IFERROR(__xludf.DUMMYFUNCTION("IF(COUNTA(J87:N87)=0, """", ARRAYFORMULA(""- ""&amp;TEXTJOIN(char(10)&amp;""- "", TRUE, FILTER(J$1:N$1&amp;"": ""&amp;J87:N87, NOT(ISBLANK(J87:N87))))))"),"- Meike: trafficking is referred to, and in 2nd sentence that this applies to trafficking of women. so for rest of text it is implied about women?
- Steve: 5.2")</f>
        <v>- Meike: trafficking is referred to, and in 2nd sentence that this applies to trafficking of women. so for rest of text it is implied about women?
- Steve: 5.2</v>
      </c>
      <c r="P87" s="48" t="s">
        <v>510</v>
      </c>
      <c r="Q87" s="50" t="b">
        <v>1</v>
      </c>
    </row>
    <row r="88">
      <c r="A88" s="23" t="s">
        <v>246</v>
      </c>
      <c r="B88" s="23" t="s">
        <v>247</v>
      </c>
      <c r="C88" s="47"/>
      <c r="D88" s="47" t="b">
        <f t="shared" ref="D88:H88" si="183">VLOOKUP($A88, INDIRECT(D$1&amp;"!B:D"), 3, FALSE)</f>
        <v>0</v>
      </c>
      <c r="E88" s="47" t="b">
        <f t="shared" si="183"/>
        <v>0</v>
      </c>
      <c r="F88" s="47" t="str">
        <f t="shared" si="183"/>
        <v>TO DO</v>
      </c>
      <c r="G88" s="47" t="b">
        <f t="shared" si="183"/>
        <v>0</v>
      </c>
      <c r="H88" s="47" t="b">
        <f t="shared" si="183"/>
        <v>0</v>
      </c>
      <c r="I88" s="48">
        <f t="shared" si="4"/>
        <v>1</v>
      </c>
      <c r="J88" s="49" t="str">
        <f t="shared" ref="J88:N88" si="184">VLOOKUP($A88, INDIRECT(J$1&amp;"!B:E"), 4, FALSE)</f>
        <v>not specific to gender?</v>
      </c>
      <c r="K88" s="49" t="str">
        <f t="shared" si="184"/>
        <v>not specifically about women</v>
      </c>
      <c r="L88" s="49" t="str">
        <f t="shared" si="184"/>
        <v/>
      </c>
      <c r="M88" s="49" t="str">
        <f t="shared" si="184"/>
        <v/>
      </c>
      <c r="N88" s="49" t="str">
        <f t="shared" si="184"/>
        <v>missing gender dimension</v>
      </c>
      <c r="O88" s="48" t="str">
        <f>IFERROR(__xludf.DUMMYFUNCTION("IF(COUNTA(J88:N88)=0, """", ARRAYFORMULA(""- ""&amp;TEXTJOIN(char(10)&amp;""- "", TRUE, FILTER(J$1:N$1&amp;"": ""&amp;J88:N88, NOT(ISBLANK(J88:N88))))))"),"- Finn: not specific to gender?
- Gib: not specifically about women
- Steve: missing gender dimension")</f>
        <v>- Finn: not specific to gender?
- Gib: not specifically about women
- Steve: missing gender dimension</v>
      </c>
      <c r="P88" s="48" t="s">
        <v>511</v>
      </c>
      <c r="Q88" s="50" t="b">
        <v>0</v>
      </c>
    </row>
    <row r="89">
      <c r="A89" s="23" t="s">
        <v>317</v>
      </c>
      <c r="B89" s="23" t="s">
        <v>318</v>
      </c>
      <c r="C89" s="47"/>
      <c r="D89" s="47" t="b">
        <f t="shared" ref="D89:H89" si="185">VLOOKUP($A89, INDIRECT(D$1&amp;"!B:D"), 3, FALSE)</f>
        <v>1</v>
      </c>
      <c r="E89" s="47" t="b">
        <f t="shared" si="185"/>
        <v>1</v>
      </c>
      <c r="F89" s="47" t="str">
        <f t="shared" si="185"/>
        <v>TO DO</v>
      </c>
      <c r="G89" s="47" t="b">
        <f t="shared" si="185"/>
        <v>1</v>
      </c>
      <c r="H89" s="47" t="b">
        <f t="shared" si="185"/>
        <v>1</v>
      </c>
      <c r="I89" s="48">
        <f t="shared" si="4"/>
        <v>1</v>
      </c>
      <c r="J89" s="49" t="str">
        <f t="shared" ref="J89:N89" si="186">VLOOKUP($A89, INDIRECT(J$1&amp;"!B:E"), 4, FALSE)</f>
        <v/>
      </c>
      <c r="K89" s="49" t="str">
        <f t="shared" si="186"/>
        <v/>
      </c>
      <c r="L89" s="49" t="str">
        <f t="shared" si="186"/>
        <v/>
      </c>
      <c r="M89" s="49" t="str">
        <f t="shared" si="186"/>
        <v/>
      </c>
      <c r="N89" s="49" t="str">
        <f t="shared" si="186"/>
        <v/>
      </c>
      <c r="O89" s="48" t="str">
        <f>IFERROR(__xludf.DUMMYFUNCTION("IF(COUNTA(J89:N89)=0, """", ARRAYFORMULA(""- ""&amp;TEXTJOIN(char(10)&amp;""- "", TRUE, FILTER(J$1:N$1&amp;"": ""&amp;J89:N89, NOT(ISBLANK(J89:N89))))))"),"")</f>
        <v/>
      </c>
      <c r="P89" s="48" t="s">
        <v>460</v>
      </c>
      <c r="Q89" s="50" t="b">
        <v>1</v>
      </c>
    </row>
    <row r="90">
      <c r="A90" s="23" t="s">
        <v>187</v>
      </c>
      <c r="B90" s="23" t="s">
        <v>188</v>
      </c>
      <c r="C90" s="47"/>
      <c r="D90" s="47" t="b">
        <f t="shared" ref="D90:H90" si="187">VLOOKUP($A90, INDIRECT(D$1&amp;"!B:D"), 3, FALSE)</f>
        <v>1</v>
      </c>
      <c r="E90" s="47" t="str">
        <f t="shared" si="187"/>
        <v>TO DO</v>
      </c>
      <c r="F90" s="47" t="str">
        <f t="shared" si="187"/>
        <v>TO DO</v>
      </c>
      <c r="G90" s="47" t="b">
        <f t="shared" si="187"/>
        <v>1</v>
      </c>
      <c r="H90" s="47" t="b">
        <f t="shared" si="187"/>
        <v>1</v>
      </c>
      <c r="I90" s="48">
        <f t="shared" si="4"/>
        <v>1</v>
      </c>
      <c r="J90" s="49" t="str">
        <f t="shared" ref="J90:N90" si="188">VLOOKUP($A90, INDIRECT(J$1&amp;"!B:E"), 4, FALSE)</f>
        <v/>
      </c>
      <c r="K90" s="49" t="str">
        <f t="shared" si="188"/>
        <v/>
      </c>
      <c r="L90" s="49" t="str">
        <f t="shared" si="188"/>
        <v/>
      </c>
      <c r="M90" s="49" t="str">
        <f t="shared" si="188"/>
        <v/>
      </c>
      <c r="N90" s="49">
        <f t="shared" si="188"/>
        <v>5.4</v>
      </c>
      <c r="O90" s="48" t="str">
        <f>IFERROR(__xludf.DUMMYFUNCTION("IF(COUNTA(J90:N90)=0, """", ARRAYFORMULA(""- ""&amp;TEXTJOIN(char(10)&amp;""- "", TRUE, FILTER(J$1:N$1&amp;"": ""&amp;J90:N90, NOT(ISBLANK(J90:N90))))))"),"- Steve: 5.4")</f>
        <v>- Steve: 5.4</v>
      </c>
      <c r="P90" s="48" t="s">
        <v>512</v>
      </c>
      <c r="Q90" s="50" t="b">
        <v>1</v>
      </c>
    </row>
    <row r="91">
      <c r="A91" s="23" t="s">
        <v>293</v>
      </c>
      <c r="B91" s="23" t="s">
        <v>294</v>
      </c>
      <c r="C91" s="46" t="str">
        <f t="shared" ref="C91:C95" si="191">IF(OR(COUNTIF(D91:H91, "FALSE")=1, COUNTIF(D91:H91, "TRUE")=1), IF(COUNTA(D91:H91)-COUNTIF(D91:H91, "TO DO")=4, "Minor Disagreement (1v3)", "Disagreement (1v2)"), "Major Disagreement (2v2)")</f>
        <v>Disagreement (1v2)</v>
      </c>
      <c r="D91" s="47" t="b">
        <f t="shared" ref="D91:H91" si="189">VLOOKUP($A91, INDIRECT(D$1&amp;"!B:D"), 3, FALSE)</f>
        <v>1</v>
      </c>
      <c r="E91" s="47" t="str">
        <f t="shared" si="189"/>
        <v>TO DO</v>
      </c>
      <c r="F91" s="47" t="str">
        <f t="shared" si="189"/>
        <v>TO DO</v>
      </c>
      <c r="G91" s="47" t="b">
        <f t="shared" si="189"/>
        <v>1</v>
      </c>
      <c r="H91" s="47" t="b">
        <f t="shared" si="189"/>
        <v>0</v>
      </c>
      <c r="I91" s="48">
        <f t="shared" si="4"/>
        <v>0.3333333333</v>
      </c>
      <c r="J91" s="49" t="str">
        <f t="shared" ref="J91:N91" si="190">VLOOKUP($A91, INDIRECT(J$1&amp;"!B:E"), 4, FALSE)</f>
        <v/>
      </c>
      <c r="K91" s="49" t="str">
        <f t="shared" si="190"/>
        <v/>
      </c>
      <c r="L91" s="49" t="str">
        <f t="shared" si="190"/>
        <v/>
      </c>
      <c r="M91" s="49" t="str">
        <f t="shared" si="190"/>
        <v>child marriage policy</v>
      </c>
      <c r="N91" s="49" t="str">
        <f t="shared" si="190"/>
        <v>harmful practices mentioned under 5.3, though not gender-specific? </v>
      </c>
      <c r="O91" s="48" t="str">
        <f>IFERROR(__xludf.DUMMYFUNCTION("IF(COUNTA(J91:N91)=0, """", ARRAYFORMULA(""- ""&amp;TEXTJOIN(char(10)&amp;""- "", TRUE, FILTER(J$1:N$1&amp;"": ""&amp;J91:N91, NOT(ISBLANK(J91:N91))))))"),"- Meike: child marriage policy
- Steve: harmful practices mentioned under 5.3, though not gender-specific? ")</f>
        <v>- Meike: child marriage policy
- Steve: harmful practices mentioned under 5.3, though not gender-specific? </v>
      </c>
      <c r="P91" s="48" t="s">
        <v>513</v>
      </c>
      <c r="Q91" s="50" t="s">
        <v>451</v>
      </c>
    </row>
    <row r="92">
      <c r="A92" s="23" t="s">
        <v>107</v>
      </c>
      <c r="B92" s="23" t="s">
        <v>108</v>
      </c>
      <c r="C92" s="46" t="str">
        <f t="shared" si="191"/>
        <v>Minor Disagreement (1v3)</v>
      </c>
      <c r="D92" s="47" t="b">
        <f t="shared" ref="D92:H92" si="192">VLOOKUP($A92, INDIRECT(D$1&amp;"!B:D"), 3, FALSE)</f>
        <v>1</v>
      </c>
      <c r="E92" s="47" t="b">
        <f t="shared" si="192"/>
        <v>0</v>
      </c>
      <c r="F92" s="47" t="str">
        <f t="shared" si="192"/>
        <v>TO DO</v>
      </c>
      <c r="G92" s="47" t="b">
        <f t="shared" si="192"/>
        <v>0</v>
      </c>
      <c r="H92" s="47" t="b">
        <f t="shared" si="192"/>
        <v>0</v>
      </c>
      <c r="I92" s="48">
        <f t="shared" si="4"/>
        <v>0.5</v>
      </c>
      <c r="J92" s="49" t="str">
        <f t="shared" ref="J92:N92" si="193">VLOOKUP($A92, INDIRECT(J$1&amp;"!B:E"), 4, FALSE)</f>
        <v>not specific to gender; but neither is the target</v>
      </c>
      <c r="K92" s="49" t="str">
        <f t="shared" si="193"/>
        <v/>
      </c>
      <c r="L92" s="49" t="str">
        <f t="shared" si="193"/>
        <v/>
      </c>
      <c r="M92" s="49" t="str">
        <f t="shared" si="193"/>
        <v/>
      </c>
      <c r="N92" s="49" t="str">
        <f t="shared" si="193"/>
        <v/>
      </c>
      <c r="O92" s="48" t="str">
        <f>IFERROR(__xludf.DUMMYFUNCTION("IF(COUNTA(J92:N92)=0, """", ARRAYFORMULA(""- ""&amp;TEXTJOIN(char(10)&amp;""- "", TRUE, FILTER(J$1:N$1&amp;"": ""&amp;J92:N92, NOT(ISBLANK(J92:N92))))))"),"- Finn: not specific to gender; but neither is the target")</f>
        <v>- Finn: not specific to gender; but neither is the target</v>
      </c>
      <c r="P92" s="48" t="s">
        <v>514</v>
      </c>
      <c r="Q92" s="50" t="s">
        <v>451</v>
      </c>
    </row>
    <row r="93">
      <c r="A93" s="23" t="s">
        <v>291</v>
      </c>
      <c r="B93" s="23" t="s">
        <v>292</v>
      </c>
      <c r="C93" s="46" t="str">
        <f t="shared" si="191"/>
        <v>Minor Disagreement (1v3)</v>
      </c>
      <c r="D93" s="47" t="b">
        <f t="shared" ref="D93:H93" si="194">VLOOKUP($A93, INDIRECT(D$1&amp;"!B:D"), 3, FALSE)</f>
        <v>1</v>
      </c>
      <c r="E93" s="47" t="b">
        <f t="shared" si="194"/>
        <v>1</v>
      </c>
      <c r="F93" s="47" t="str">
        <f t="shared" si="194"/>
        <v>TO DO</v>
      </c>
      <c r="G93" s="47" t="b">
        <f t="shared" si="194"/>
        <v>0</v>
      </c>
      <c r="H93" s="47" t="b">
        <f t="shared" si="194"/>
        <v>1</v>
      </c>
      <c r="I93" s="48">
        <f t="shared" si="4"/>
        <v>0.5</v>
      </c>
      <c r="J93" s="49" t="str">
        <f t="shared" ref="J93:N93" si="195">VLOOKUP($A93, INDIRECT(J$1&amp;"!B:E"), 4, FALSE)</f>
        <v/>
      </c>
      <c r="K93" s="49" t="str">
        <f t="shared" si="195"/>
        <v/>
      </c>
      <c r="L93" s="49" t="str">
        <f t="shared" si="195"/>
        <v/>
      </c>
      <c r="M93" s="49" t="str">
        <f t="shared" si="195"/>
        <v/>
      </c>
      <c r="N93" s="49" t="str">
        <f t="shared" si="195"/>
        <v/>
      </c>
      <c r="O93" s="48" t="str">
        <f>IFERROR(__xludf.DUMMYFUNCTION("IF(COUNTA(J93:N93)=0, """", ARRAYFORMULA(""- ""&amp;TEXTJOIN(char(10)&amp;""- "", TRUE, FILTER(J$1:N$1&amp;"": ""&amp;J93:N93, NOT(ISBLANK(J93:N93))))))"),"")</f>
        <v/>
      </c>
      <c r="P93" s="48" t="s">
        <v>460</v>
      </c>
      <c r="Q93" s="50" t="s">
        <v>451</v>
      </c>
    </row>
    <row r="94">
      <c r="A94" s="23" t="s">
        <v>92</v>
      </c>
      <c r="B94" s="23" t="s">
        <v>93</v>
      </c>
      <c r="C94" s="46" t="str">
        <f t="shared" si="191"/>
        <v>Minor Disagreement (1v3)</v>
      </c>
      <c r="D94" s="47" t="b">
        <f t="shared" ref="D94:H94" si="196">VLOOKUP($A94, INDIRECT(D$1&amp;"!B:D"), 3, FALSE)</f>
        <v>1</v>
      </c>
      <c r="E94" s="47" t="b">
        <f t="shared" si="196"/>
        <v>1</v>
      </c>
      <c r="F94" s="47" t="str">
        <f t="shared" si="196"/>
        <v>TO DO</v>
      </c>
      <c r="G94" s="47" t="b">
        <f t="shared" si="196"/>
        <v>0</v>
      </c>
      <c r="H94" s="47" t="b">
        <f t="shared" si="196"/>
        <v>1</v>
      </c>
      <c r="I94" s="48">
        <f t="shared" si="4"/>
        <v>0.5</v>
      </c>
      <c r="J94" s="49" t="str">
        <f t="shared" ref="J94:N94" si="197">VLOOKUP($A94, INDIRECT(J$1&amp;"!B:E"), 4, FALSE)</f>
        <v/>
      </c>
      <c r="K94" s="49" t="str">
        <f t="shared" si="197"/>
        <v>Assuming that caregivers and domestic workers are likely to be women. Could also be false.</v>
      </c>
      <c r="L94" s="49" t="str">
        <f t="shared" si="197"/>
        <v/>
      </c>
      <c r="M94" s="49" t="str">
        <f t="shared" si="197"/>
        <v/>
      </c>
      <c r="N94" s="49" t="str">
        <f t="shared" si="197"/>
        <v>links to 5.4 but does not mention gender-specific issue in the context of unpaid domestic work, but 5.4 does not have gender-specific focus</v>
      </c>
      <c r="O94" s="48" t="str">
        <f>IFERROR(__xludf.DUMMYFUNCTION("IF(COUNTA(J94:N94)=0, """", ARRAYFORMULA(""- ""&amp;TEXTJOIN(char(10)&amp;""- "", TRUE, FILTER(J$1:N$1&amp;"": ""&amp;J94:N94, NOT(ISBLANK(J94:N94))))))"),"- Gib: Assuming that caregivers and domestic workers are likely to be women. Could also be false.
- Steve: links to 5.4 but does not mention gender-specific issue in the context of unpaid domestic work, but 5.4 does not have gender-specific focus")</f>
        <v>- Gib: Assuming that caregivers and domestic workers are likely to be women. Could also be false.
- Steve: links to 5.4 but does not mention gender-specific issue in the context of unpaid domestic work, but 5.4 does not have gender-specific focus</v>
      </c>
      <c r="P94" s="48" t="s">
        <v>515</v>
      </c>
      <c r="Q94" s="50" t="b">
        <v>1</v>
      </c>
      <c r="R94" s="5" t="s">
        <v>516</v>
      </c>
    </row>
    <row r="95">
      <c r="A95" s="23" t="s">
        <v>217</v>
      </c>
      <c r="B95" s="23" t="s">
        <v>218</v>
      </c>
      <c r="C95" s="46" t="str">
        <f t="shared" si="191"/>
        <v>Disagreement (1v2)</v>
      </c>
      <c r="D95" s="47" t="b">
        <f t="shared" ref="D95:H95" si="198">VLOOKUP($A95, INDIRECT(D$1&amp;"!B:D"), 3, FALSE)</f>
        <v>1</v>
      </c>
      <c r="E95" s="47" t="str">
        <f t="shared" si="198"/>
        <v>TO DO</v>
      </c>
      <c r="F95" s="47" t="str">
        <f t="shared" si="198"/>
        <v>TO DO</v>
      </c>
      <c r="G95" s="47" t="b">
        <f t="shared" si="198"/>
        <v>0</v>
      </c>
      <c r="H95" s="47" t="b">
        <f t="shared" si="198"/>
        <v>0</v>
      </c>
      <c r="I95" s="48">
        <f t="shared" si="4"/>
        <v>0.3333333333</v>
      </c>
      <c r="J95" s="49" t="str">
        <f t="shared" ref="J95:N95" si="199">VLOOKUP($A95, INDIRECT(J$1&amp;"!B:E"), 4, FALSE)</f>
        <v/>
      </c>
      <c r="K95" s="49" t="str">
        <f t="shared" si="199"/>
        <v/>
      </c>
      <c r="L95" s="49" t="str">
        <f t="shared" si="199"/>
        <v/>
      </c>
      <c r="M95" s="49" t="str">
        <f t="shared" si="199"/>
        <v/>
      </c>
      <c r="N95" s="49" t="str">
        <f t="shared" si="199"/>
        <v>not gender-specific</v>
      </c>
      <c r="O95" s="48" t="str">
        <f>IFERROR(__xludf.DUMMYFUNCTION("IF(COUNTA(J95:N95)=0, """", ARRAYFORMULA(""- ""&amp;TEXTJOIN(char(10)&amp;""- "", TRUE, FILTER(J$1:N$1&amp;"": ""&amp;J95:N95, NOT(ISBLANK(J95:N95))))))"),"- Steve: not gender-specific")</f>
        <v>- Steve: not gender-specific</v>
      </c>
      <c r="P95" s="48" t="s">
        <v>517</v>
      </c>
      <c r="Q95" s="50" t="s">
        <v>451</v>
      </c>
    </row>
    <row r="96">
      <c r="A96" s="23" t="s">
        <v>145</v>
      </c>
      <c r="B96" s="23" t="s">
        <v>146</v>
      </c>
      <c r="C96" s="47"/>
      <c r="D96" s="47" t="b">
        <f t="shared" ref="D96:H96" si="200">VLOOKUP($A96, INDIRECT(D$1&amp;"!B:D"), 3, FALSE)</f>
        <v>0</v>
      </c>
      <c r="E96" s="47" t="b">
        <f t="shared" si="200"/>
        <v>0</v>
      </c>
      <c r="F96" s="47" t="str">
        <f t="shared" si="200"/>
        <v>TO DO</v>
      </c>
      <c r="G96" s="47" t="b">
        <f t="shared" si="200"/>
        <v>0</v>
      </c>
      <c r="H96" s="47" t="b">
        <f t="shared" si="200"/>
        <v>0</v>
      </c>
      <c r="I96" s="48">
        <f t="shared" si="4"/>
        <v>1</v>
      </c>
      <c r="J96" s="49" t="str">
        <f t="shared" ref="J96:N96" si="201">VLOOKUP($A96, INDIRECT(J$1&amp;"!B:E"), 4, FALSE)</f>
        <v>this is indirectly limiting women's ability to take leadership roles</v>
      </c>
      <c r="K96" s="49" t="str">
        <f t="shared" si="201"/>
        <v>Can eventually be extrapolated to women vs men work opportunity. But this is not explicit here.</v>
      </c>
      <c r="L96" s="49" t="str">
        <f t="shared" si="201"/>
        <v/>
      </c>
      <c r="M96" s="49" t="str">
        <f t="shared" si="201"/>
        <v/>
      </c>
      <c r="N96" s="49" t="str">
        <f t="shared" si="201"/>
        <v/>
      </c>
      <c r="O96" s="48" t="str">
        <f>IFERROR(__xludf.DUMMYFUNCTION("IF(COUNTA(J96:N96)=0, """", ARRAYFORMULA(""- ""&amp;TEXTJOIN(char(10)&amp;""- "", TRUE, FILTER(J$1:N$1&amp;"": ""&amp;J96:N96, NOT(ISBLANK(J96:N96))))))"),"- Finn: this is indirectly limiting women's ability to take leadership roles
- Gib: Can eventually be extrapolated to women vs men work opportunity. But this is not explicit here.")</f>
        <v>- Finn: this is indirectly limiting women's ability to take leadership roles
- Gib: Can eventually be extrapolated to women vs men work opportunity. But this is not explicit here.</v>
      </c>
      <c r="P96" s="48" t="s">
        <v>518</v>
      </c>
      <c r="Q96" s="50" t="b">
        <v>0</v>
      </c>
    </row>
    <row r="97">
      <c r="A97" s="23" t="s">
        <v>82</v>
      </c>
      <c r="B97" s="23" t="s">
        <v>83</v>
      </c>
      <c r="C97" s="47"/>
      <c r="D97" s="47" t="b">
        <f t="shared" ref="D97:H97" si="202">VLOOKUP($A97, INDIRECT(D$1&amp;"!B:D"), 3, FALSE)</f>
        <v>0</v>
      </c>
      <c r="E97" s="47" t="str">
        <f t="shared" si="202"/>
        <v>TO DO</v>
      </c>
      <c r="F97" s="47" t="str">
        <f t="shared" si="202"/>
        <v>TO DO</v>
      </c>
      <c r="G97" s="47" t="b">
        <f t="shared" si="202"/>
        <v>0</v>
      </c>
      <c r="H97" s="47" t="b">
        <f t="shared" si="202"/>
        <v>0</v>
      </c>
      <c r="I97" s="48">
        <f t="shared" si="4"/>
        <v>1</v>
      </c>
      <c r="J97" s="49" t="str">
        <f t="shared" ref="J97:N97" si="203">VLOOKUP($A97, INDIRECT(J$1&amp;"!B:E"), 4, FALSE)</f>
        <v>not specific to gender</v>
      </c>
      <c r="K97" s="49" t="str">
        <f t="shared" si="203"/>
        <v/>
      </c>
      <c r="L97" s="49" t="str">
        <f t="shared" si="203"/>
        <v/>
      </c>
      <c r="M97" s="49" t="str">
        <f t="shared" si="203"/>
        <v/>
      </c>
      <c r="N97" s="49" t="str">
        <f t="shared" si="203"/>
        <v/>
      </c>
      <c r="O97" s="48" t="str">
        <f>IFERROR(__xludf.DUMMYFUNCTION("IF(COUNTA(J97:N97)=0, """", ARRAYFORMULA(""- ""&amp;TEXTJOIN(char(10)&amp;""- "", TRUE, FILTER(J$1:N$1&amp;"": ""&amp;J97:N97, NOT(ISBLANK(J97:N97))))))"),"- Finn: not specific to gender")</f>
        <v>- Finn: not specific to gender</v>
      </c>
      <c r="P97" s="48" t="s">
        <v>471</v>
      </c>
      <c r="Q97" s="50" t="b">
        <v>0</v>
      </c>
    </row>
    <row r="98">
      <c r="A98" s="23" t="s">
        <v>169</v>
      </c>
      <c r="B98" s="23" t="s">
        <v>170</v>
      </c>
      <c r="C98" s="47"/>
      <c r="D98" s="47" t="b">
        <f t="shared" ref="D98:H98" si="204">VLOOKUP($A98, INDIRECT(D$1&amp;"!B:D"), 3, FALSE)</f>
        <v>0</v>
      </c>
      <c r="E98" s="47" t="b">
        <f t="shared" si="204"/>
        <v>0</v>
      </c>
      <c r="F98" s="47" t="str">
        <f t="shared" si="204"/>
        <v>TO DO</v>
      </c>
      <c r="G98" s="47" t="b">
        <f t="shared" si="204"/>
        <v>0</v>
      </c>
      <c r="H98" s="47" t="b">
        <f t="shared" si="204"/>
        <v>0</v>
      </c>
      <c r="I98" s="48">
        <f t="shared" si="4"/>
        <v>1</v>
      </c>
      <c r="J98" s="49" t="str">
        <f t="shared" ref="J98:N98" si="205">VLOOKUP($A98, INDIRECT(J$1&amp;"!B:E"), 4, FALSE)</f>
        <v/>
      </c>
      <c r="K98" s="49" t="str">
        <f t="shared" si="205"/>
        <v/>
      </c>
      <c r="L98" s="49" t="str">
        <f t="shared" si="205"/>
        <v/>
      </c>
      <c r="M98" s="49" t="str">
        <f t="shared" si="205"/>
        <v/>
      </c>
      <c r="N98" s="49" t="str">
        <f t="shared" si="205"/>
        <v/>
      </c>
      <c r="O98" s="48" t="str">
        <f>IFERROR(__xludf.DUMMYFUNCTION("IF(COUNTA(J98:N98)=0, """", ARRAYFORMULA(""- ""&amp;TEXTJOIN(char(10)&amp;""- "", TRUE, FILTER(J$1:N$1&amp;"": ""&amp;J98:N98, NOT(ISBLANK(J98:N98))))))"),"")</f>
        <v/>
      </c>
      <c r="P98" s="48" t="s">
        <v>460</v>
      </c>
      <c r="Q98" s="50" t="b">
        <v>0</v>
      </c>
    </row>
    <row r="99">
      <c r="A99" s="23" t="s">
        <v>86</v>
      </c>
      <c r="B99" s="23" t="s">
        <v>87</v>
      </c>
      <c r="C99" s="47"/>
      <c r="D99" s="47" t="b">
        <f t="shared" ref="D99:H99" si="206">VLOOKUP($A99, INDIRECT(D$1&amp;"!B:D"), 3, FALSE)</f>
        <v>0</v>
      </c>
      <c r="E99" s="47" t="str">
        <f t="shared" si="206"/>
        <v>TO DO</v>
      </c>
      <c r="F99" s="47" t="str">
        <f t="shared" si="206"/>
        <v>TO DO</v>
      </c>
      <c r="G99" s="47" t="b">
        <f t="shared" si="206"/>
        <v>0</v>
      </c>
      <c r="H99" s="47" t="b">
        <f t="shared" si="206"/>
        <v>0</v>
      </c>
      <c r="I99" s="48">
        <f t="shared" si="4"/>
        <v>1</v>
      </c>
      <c r="J99" s="49" t="str">
        <f t="shared" ref="J99:N99" si="207">VLOOKUP($A99, INDIRECT(J$1&amp;"!B:E"), 4, FALSE)</f>
        <v/>
      </c>
      <c r="K99" s="49" t="str">
        <f t="shared" si="207"/>
        <v/>
      </c>
      <c r="L99" s="49" t="str">
        <f t="shared" si="207"/>
        <v/>
      </c>
      <c r="M99" s="49" t="str">
        <f t="shared" si="207"/>
        <v/>
      </c>
      <c r="N99" s="49" t="str">
        <f t="shared" si="207"/>
        <v/>
      </c>
      <c r="O99" s="48" t="str">
        <f>IFERROR(__xludf.DUMMYFUNCTION("IF(COUNTA(J99:N99)=0, """", ARRAYFORMULA(""- ""&amp;TEXTJOIN(char(10)&amp;""- "", TRUE, FILTER(J$1:N$1&amp;"": ""&amp;J99:N99, NOT(ISBLANK(J99:N99))))))"),"")</f>
        <v/>
      </c>
      <c r="P99" s="48" t="s">
        <v>460</v>
      </c>
      <c r="Q99" s="50" t="b">
        <v>0</v>
      </c>
    </row>
    <row r="100">
      <c r="A100" s="23" t="s">
        <v>148</v>
      </c>
      <c r="B100" s="23" t="s">
        <v>149</v>
      </c>
      <c r="C100" s="46" t="str">
        <f>IF(OR(COUNTIF(D100:H100, "FALSE")=1, COUNTIF(D100:H100, "TRUE")=1), IF(COUNTA(D100:H100)-COUNTIF(D100:H100, "TO DO")=4, "Minor Disagreement (1v3)", "Disagreement (1v2)"), "Major Disagreement (2v2)")</f>
        <v>Minor Disagreement (1v3)</v>
      </c>
      <c r="D100" s="47" t="b">
        <f t="shared" ref="D100:H100" si="208">VLOOKUP($A100, INDIRECT(D$1&amp;"!B:D"), 3, FALSE)</f>
        <v>1</v>
      </c>
      <c r="E100" s="47" t="b">
        <f t="shared" si="208"/>
        <v>1</v>
      </c>
      <c r="F100" s="47" t="str">
        <f t="shared" si="208"/>
        <v>TO DO</v>
      </c>
      <c r="G100" s="47" t="b">
        <f t="shared" si="208"/>
        <v>1</v>
      </c>
      <c r="H100" s="47" t="b">
        <f t="shared" si="208"/>
        <v>0</v>
      </c>
      <c r="I100" s="48">
        <f t="shared" si="4"/>
        <v>0.5</v>
      </c>
      <c r="J100" s="49" t="str">
        <f t="shared" ref="J100:N100" si="209">VLOOKUP($A100, INDIRECT(J$1&amp;"!B:E"), 4, FALSE)</f>
        <v/>
      </c>
      <c r="K100" s="49" t="str">
        <f t="shared" si="209"/>
        <v/>
      </c>
      <c r="L100" s="49" t="str">
        <f t="shared" si="209"/>
        <v/>
      </c>
      <c r="M100" s="49" t="str">
        <f t="shared" si="209"/>
        <v>access to reproductive health, but only implied for gender equality?</v>
      </c>
      <c r="N100" s="49" t="str">
        <f t="shared" si="209"/>
        <v>not specifically gender-focused</v>
      </c>
      <c r="O100" s="48" t="str">
        <f>IFERROR(__xludf.DUMMYFUNCTION("IF(COUNTA(J100:N100)=0, """", ARRAYFORMULA(""- ""&amp;TEXTJOIN(char(10)&amp;""- "", TRUE, FILTER(J$1:N$1&amp;"": ""&amp;J100:N100, NOT(ISBLANK(J100:N100))))))"),"- Meike: access to reproductive health, but only implied for gender equality?
- Steve: not specifically gender-focused")</f>
        <v>- Meike: access to reproductive health, but only implied for gender equality?
- Steve: not specifically gender-focused</v>
      </c>
      <c r="P100" s="48" t="s">
        <v>519</v>
      </c>
      <c r="Q100" s="50" t="s">
        <v>451</v>
      </c>
    </row>
    <row r="101">
      <c r="A101" s="23" t="s">
        <v>196</v>
      </c>
      <c r="B101" s="23" t="s">
        <v>197</v>
      </c>
      <c r="C101" s="47"/>
      <c r="D101" s="47" t="b">
        <f t="shared" ref="D101:H101" si="210">VLOOKUP($A101, INDIRECT(D$1&amp;"!B:D"), 3, FALSE)</f>
        <v>1</v>
      </c>
      <c r="E101" s="47" t="b">
        <f t="shared" si="210"/>
        <v>1</v>
      </c>
      <c r="F101" s="47" t="str">
        <f t="shared" si="210"/>
        <v>TO DO</v>
      </c>
      <c r="G101" s="47" t="b">
        <f t="shared" si="210"/>
        <v>1</v>
      </c>
      <c r="H101" s="47" t="b">
        <f t="shared" si="210"/>
        <v>1</v>
      </c>
      <c r="I101" s="48">
        <f t="shared" si="4"/>
        <v>1</v>
      </c>
      <c r="J101" s="49" t="str">
        <f t="shared" ref="J101:N101" si="211">VLOOKUP($A101, INDIRECT(J$1&amp;"!B:E"), 4, FALSE)</f>
        <v/>
      </c>
      <c r="K101" s="49" t="str">
        <f t="shared" si="211"/>
        <v/>
      </c>
      <c r="L101" s="49" t="str">
        <f t="shared" si="211"/>
        <v/>
      </c>
      <c r="M101" s="49" t="str">
        <f t="shared" si="211"/>
        <v/>
      </c>
      <c r="N101" s="49" t="str">
        <f t="shared" si="211"/>
        <v/>
      </c>
      <c r="O101" s="48" t="str">
        <f>IFERROR(__xludf.DUMMYFUNCTION("IF(COUNTA(J101:N101)=0, """", ARRAYFORMULA(""- ""&amp;TEXTJOIN(char(10)&amp;""- "", TRUE, FILTER(J$1:N$1&amp;"": ""&amp;J101:N101, NOT(ISBLANK(J101:N101))))))"),"")</f>
        <v/>
      </c>
      <c r="P101" s="48" t="s">
        <v>460</v>
      </c>
      <c r="Q101" s="50" t="b">
        <v>1</v>
      </c>
    </row>
    <row r="102">
      <c r="B102" s="26"/>
      <c r="C102" s="46"/>
      <c r="D102" s="46"/>
      <c r="E102" s="46"/>
      <c r="F102" s="46"/>
      <c r="G102" s="46"/>
      <c r="H102" s="46"/>
      <c r="I102" s="51"/>
      <c r="J102" s="51"/>
      <c r="K102" s="51"/>
      <c r="L102" s="51"/>
      <c r="M102" s="51"/>
      <c r="N102" s="51"/>
      <c r="O102" s="51"/>
      <c r="P102" s="51"/>
      <c r="Q102" s="52"/>
    </row>
    <row r="103">
      <c r="B103" s="26"/>
      <c r="C103" s="46"/>
      <c r="D103" s="46"/>
      <c r="E103" s="46"/>
      <c r="F103" s="46"/>
      <c r="G103" s="46"/>
      <c r="H103" s="46"/>
      <c r="I103" s="51"/>
      <c r="J103" s="51"/>
      <c r="K103" s="51"/>
      <c r="L103" s="51"/>
      <c r="M103" s="51"/>
      <c r="N103" s="51"/>
      <c r="O103" s="51"/>
      <c r="P103" s="51"/>
      <c r="Q103" s="52"/>
    </row>
    <row r="104">
      <c r="B104" s="26"/>
      <c r="C104" s="46"/>
      <c r="D104" s="46"/>
      <c r="E104" s="46"/>
      <c r="F104" s="46"/>
      <c r="G104" s="46"/>
      <c r="H104" s="46"/>
      <c r="I104" s="51"/>
      <c r="J104" s="51"/>
      <c r="K104" s="51"/>
      <c r="L104" s="51"/>
      <c r="M104" s="51"/>
      <c r="N104" s="51"/>
      <c r="O104" s="51"/>
      <c r="P104" s="51"/>
      <c r="Q104" s="52"/>
    </row>
    <row r="105">
      <c r="B105" s="26"/>
      <c r="C105" s="46"/>
      <c r="D105" s="46"/>
      <c r="E105" s="46"/>
      <c r="F105" s="46"/>
      <c r="G105" s="46"/>
      <c r="H105" s="46"/>
      <c r="I105" s="51"/>
      <c r="J105" s="51"/>
      <c r="K105" s="51"/>
      <c r="L105" s="51"/>
      <c r="M105" s="51"/>
      <c r="N105" s="51"/>
      <c r="O105" s="51"/>
      <c r="P105" s="51"/>
      <c r="Q105" s="52"/>
    </row>
    <row r="106">
      <c r="B106" s="26"/>
      <c r="C106" s="46"/>
      <c r="D106" s="46"/>
      <c r="E106" s="46"/>
      <c r="F106" s="46"/>
      <c r="G106" s="46"/>
      <c r="H106" s="46"/>
      <c r="I106" s="51"/>
      <c r="J106" s="51"/>
      <c r="K106" s="51"/>
      <c r="L106" s="51"/>
      <c r="M106" s="51"/>
      <c r="N106" s="51"/>
      <c r="O106" s="51"/>
      <c r="P106" s="51"/>
      <c r="Q106" s="52"/>
    </row>
    <row r="107">
      <c r="B107" s="26"/>
      <c r="C107" s="46"/>
      <c r="D107" s="46"/>
      <c r="E107" s="46"/>
      <c r="F107" s="46"/>
      <c r="G107" s="46"/>
      <c r="H107" s="46"/>
      <c r="I107" s="51"/>
      <c r="J107" s="51"/>
      <c r="K107" s="51"/>
      <c r="L107" s="51"/>
      <c r="M107" s="51"/>
      <c r="N107" s="51"/>
      <c r="O107" s="51"/>
      <c r="P107" s="51"/>
      <c r="Q107" s="52"/>
    </row>
    <row r="108">
      <c r="B108" s="26"/>
      <c r="C108" s="46"/>
      <c r="D108" s="46"/>
      <c r="E108" s="46"/>
      <c r="F108" s="46"/>
      <c r="G108" s="46"/>
      <c r="H108" s="46"/>
      <c r="I108" s="51"/>
      <c r="J108" s="51"/>
      <c r="K108" s="51"/>
      <c r="L108" s="51"/>
      <c r="M108" s="51"/>
      <c r="N108" s="51"/>
      <c r="O108" s="51"/>
      <c r="P108" s="51"/>
      <c r="Q108" s="52"/>
    </row>
    <row r="109">
      <c r="B109" s="26"/>
      <c r="C109" s="46"/>
      <c r="D109" s="46"/>
      <c r="E109" s="46"/>
      <c r="F109" s="46"/>
      <c r="G109" s="46"/>
      <c r="H109" s="46"/>
      <c r="I109" s="51"/>
      <c r="J109" s="51"/>
      <c r="K109" s="51"/>
      <c r="L109" s="51"/>
      <c r="M109" s="51"/>
      <c r="N109" s="51"/>
      <c r="O109" s="51"/>
      <c r="P109" s="51"/>
      <c r="Q109" s="52"/>
    </row>
    <row r="110">
      <c r="B110" s="26"/>
      <c r="C110" s="46"/>
      <c r="D110" s="46"/>
      <c r="E110" s="46"/>
      <c r="F110" s="46"/>
      <c r="G110" s="46"/>
      <c r="H110" s="46"/>
      <c r="I110" s="51"/>
      <c r="J110" s="51"/>
      <c r="K110" s="51"/>
      <c r="L110" s="51"/>
      <c r="M110" s="51"/>
      <c r="N110" s="51"/>
      <c r="O110" s="51"/>
      <c r="P110" s="51"/>
      <c r="Q110" s="52"/>
    </row>
    <row r="111">
      <c r="B111" s="26"/>
      <c r="C111" s="46"/>
      <c r="D111" s="46"/>
      <c r="E111" s="46"/>
      <c r="F111" s="46"/>
      <c r="G111" s="46"/>
      <c r="H111" s="46"/>
      <c r="I111" s="51"/>
      <c r="J111" s="51"/>
      <c r="K111" s="51"/>
      <c r="L111" s="51"/>
      <c r="M111" s="51"/>
      <c r="N111" s="51"/>
      <c r="O111" s="51"/>
      <c r="P111" s="51"/>
      <c r="Q111" s="52"/>
    </row>
    <row r="112">
      <c r="B112" s="26"/>
      <c r="C112" s="46"/>
      <c r="D112" s="46"/>
      <c r="E112" s="46"/>
      <c r="F112" s="46"/>
      <c r="G112" s="46"/>
      <c r="H112" s="46"/>
      <c r="I112" s="51"/>
      <c r="J112" s="51"/>
      <c r="K112" s="51"/>
      <c r="L112" s="51"/>
      <c r="M112" s="51"/>
      <c r="N112" s="51"/>
      <c r="O112" s="51"/>
      <c r="P112" s="51"/>
      <c r="Q112" s="52"/>
    </row>
    <row r="113">
      <c r="B113" s="26"/>
      <c r="C113" s="46"/>
      <c r="D113" s="46"/>
      <c r="E113" s="46"/>
      <c r="F113" s="46"/>
      <c r="G113" s="46"/>
      <c r="H113" s="46"/>
      <c r="I113" s="51"/>
      <c r="J113" s="51"/>
      <c r="K113" s="51"/>
      <c r="L113" s="51"/>
      <c r="M113" s="51"/>
      <c r="N113" s="51"/>
      <c r="O113" s="51"/>
      <c r="P113" s="51"/>
      <c r="Q113" s="52"/>
    </row>
    <row r="114">
      <c r="B114" s="26"/>
      <c r="C114" s="46"/>
      <c r="D114" s="46"/>
      <c r="E114" s="46"/>
      <c r="F114" s="46"/>
      <c r="G114" s="46"/>
      <c r="H114" s="46"/>
      <c r="I114" s="51"/>
      <c r="J114" s="51"/>
      <c r="K114" s="51"/>
      <c r="L114" s="51"/>
      <c r="M114" s="51"/>
      <c r="N114" s="51"/>
      <c r="O114" s="51"/>
      <c r="P114" s="51"/>
      <c r="Q114" s="52"/>
    </row>
    <row r="115">
      <c r="B115" s="26"/>
      <c r="C115" s="46"/>
      <c r="D115" s="46"/>
      <c r="E115" s="46"/>
      <c r="F115" s="46"/>
      <c r="G115" s="46"/>
      <c r="H115" s="46"/>
      <c r="I115" s="51"/>
      <c r="J115" s="51"/>
      <c r="K115" s="51"/>
      <c r="L115" s="51"/>
      <c r="M115" s="51"/>
      <c r="N115" s="51"/>
      <c r="O115" s="51"/>
      <c r="P115" s="51"/>
      <c r="Q115" s="52"/>
    </row>
    <row r="116">
      <c r="B116" s="26"/>
      <c r="C116" s="46"/>
      <c r="D116" s="46"/>
      <c r="E116" s="46"/>
      <c r="F116" s="46"/>
      <c r="G116" s="46"/>
      <c r="H116" s="46"/>
      <c r="I116" s="51"/>
      <c r="J116" s="51"/>
      <c r="K116" s="51"/>
      <c r="L116" s="51"/>
      <c r="M116" s="51"/>
      <c r="N116" s="51"/>
      <c r="O116" s="51"/>
      <c r="P116" s="51"/>
      <c r="Q116" s="52"/>
    </row>
    <row r="117">
      <c r="B117" s="26"/>
      <c r="C117" s="46"/>
      <c r="D117" s="46"/>
      <c r="E117" s="46"/>
      <c r="F117" s="46"/>
      <c r="G117" s="46"/>
      <c r="H117" s="46"/>
      <c r="I117" s="51"/>
      <c r="J117" s="51"/>
      <c r="K117" s="51"/>
      <c r="L117" s="51"/>
      <c r="M117" s="51"/>
      <c r="N117" s="51"/>
      <c r="O117" s="51"/>
      <c r="P117" s="51"/>
      <c r="Q117" s="52"/>
    </row>
    <row r="118">
      <c r="B118" s="26"/>
      <c r="C118" s="46"/>
      <c r="D118" s="46"/>
      <c r="E118" s="46"/>
      <c r="F118" s="46"/>
      <c r="G118" s="46"/>
      <c r="H118" s="46"/>
      <c r="I118" s="51"/>
      <c r="J118" s="51"/>
      <c r="K118" s="51"/>
      <c r="L118" s="51"/>
      <c r="M118" s="51"/>
      <c r="N118" s="51"/>
      <c r="O118" s="51"/>
      <c r="P118" s="51"/>
      <c r="Q118" s="52"/>
    </row>
    <row r="119">
      <c r="B119" s="26"/>
      <c r="C119" s="46"/>
      <c r="D119" s="46"/>
      <c r="E119" s="46"/>
      <c r="F119" s="46"/>
      <c r="G119" s="46"/>
      <c r="H119" s="46"/>
      <c r="I119" s="51"/>
      <c r="J119" s="51"/>
      <c r="K119" s="51"/>
      <c r="L119" s="51"/>
      <c r="M119" s="51"/>
      <c r="N119" s="51"/>
      <c r="O119" s="51"/>
      <c r="P119" s="51"/>
      <c r="Q119" s="52"/>
    </row>
    <row r="120">
      <c r="B120" s="26"/>
      <c r="C120" s="46"/>
      <c r="D120" s="46"/>
      <c r="E120" s="46"/>
      <c r="F120" s="46"/>
      <c r="G120" s="46"/>
      <c r="H120" s="46"/>
      <c r="I120" s="51"/>
      <c r="J120" s="51"/>
      <c r="K120" s="51"/>
      <c r="L120" s="51"/>
      <c r="M120" s="51"/>
      <c r="N120" s="51"/>
      <c r="O120" s="51"/>
      <c r="P120" s="51"/>
      <c r="Q120" s="52"/>
    </row>
    <row r="121">
      <c r="B121" s="26"/>
      <c r="C121" s="46"/>
      <c r="D121" s="46"/>
      <c r="E121" s="46"/>
      <c r="F121" s="46"/>
      <c r="G121" s="46"/>
      <c r="H121" s="46"/>
      <c r="I121" s="51"/>
      <c r="J121" s="51"/>
      <c r="K121" s="51"/>
      <c r="L121" s="51"/>
      <c r="M121" s="51"/>
      <c r="N121" s="51"/>
      <c r="O121" s="51"/>
      <c r="P121" s="51"/>
      <c r="Q121" s="52"/>
    </row>
    <row r="122">
      <c r="B122" s="26"/>
      <c r="C122" s="46"/>
      <c r="D122" s="46"/>
      <c r="E122" s="46"/>
      <c r="F122" s="46"/>
      <c r="G122" s="46"/>
      <c r="H122" s="46"/>
      <c r="I122" s="51"/>
      <c r="J122" s="51"/>
      <c r="K122" s="51"/>
      <c r="L122" s="51"/>
      <c r="M122" s="51"/>
      <c r="N122" s="51"/>
      <c r="O122" s="51"/>
      <c r="P122" s="51"/>
      <c r="Q122" s="52"/>
    </row>
    <row r="123">
      <c r="B123" s="26"/>
      <c r="C123" s="46"/>
      <c r="D123" s="46"/>
      <c r="E123" s="46"/>
      <c r="F123" s="46"/>
      <c r="G123" s="46"/>
      <c r="H123" s="46"/>
      <c r="I123" s="51"/>
      <c r="J123" s="51"/>
      <c r="K123" s="51"/>
      <c r="L123" s="51"/>
      <c r="M123" s="51"/>
      <c r="N123" s="51"/>
      <c r="O123" s="51"/>
      <c r="P123" s="51"/>
      <c r="Q123" s="52"/>
    </row>
    <row r="124">
      <c r="B124" s="26"/>
      <c r="C124" s="46"/>
      <c r="D124" s="46"/>
      <c r="E124" s="46"/>
      <c r="F124" s="46"/>
      <c r="G124" s="46"/>
      <c r="H124" s="46"/>
      <c r="I124" s="51"/>
      <c r="J124" s="51"/>
      <c r="K124" s="51"/>
      <c r="L124" s="51"/>
      <c r="M124" s="51"/>
      <c r="N124" s="51"/>
      <c r="O124" s="51"/>
      <c r="P124" s="51"/>
      <c r="Q124" s="52"/>
    </row>
    <row r="125">
      <c r="B125" s="26"/>
      <c r="C125" s="46"/>
      <c r="D125" s="46"/>
      <c r="E125" s="46"/>
      <c r="F125" s="46"/>
      <c r="G125" s="46"/>
      <c r="H125" s="46"/>
      <c r="I125" s="51"/>
      <c r="J125" s="51"/>
      <c r="K125" s="51"/>
      <c r="L125" s="51"/>
      <c r="M125" s="51"/>
      <c r="N125" s="51"/>
      <c r="O125" s="51"/>
      <c r="P125" s="51"/>
      <c r="Q125" s="52"/>
    </row>
    <row r="126">
      <c r="B126" s="26"/>
      <c r="C126" s="46"/>
      <c r="D126" s="46"/>
      <c r="E126" s="46"/>
      <c r="F126" s="46"/>
      <c r="G126" s="46"/>
      <c r="H126" s="46"/>
      <c r="I126" s="51"/>
      <c r="J126" s="51"/>
      <c r="K126" s="51"/>
      <c r="L126" s="51"/>
      <c r="M126" s="51"/>
      <c r="N126" s="51"/>
      <c r="O126" s="51"/>
      <c r="P126" s="51"/>
      <c r="Q126" s="52"/>
    </row>
    <row r="127">
      <c r="B127" s="26"/>
      <c r="C127" s="40"/>
      <c r="D127" s="40"/>
      <c r="E127" s="40"/>
      <c r="F127" s="40"/>
      <c r="G127" s="40"/>
      <c r="H127" s="40"/>
      <c r="I127" s="53"/>
      <c r="J127" s="53"/>
      <c r="K127" s="53"/>
      <c r="L127" s="53"/>
      <c r="M127" s="53"/>
      <c r="N127" s="53"/>
      <c r="O127" s="53"/>
      <c r="P127" s="53"/>
      <c r="Q127" s="52"/>
    </row>
    <row r="128">
      <c r="B128" s="26"/>
      <c r="C128" s="40"/>
      <c r="D128" s="40"/>
      <c r="E128" s="40"/>
      <c r="F128" s="40"/>
      <c r="G128" s="40"/>
      <c r="H128" s="40"/>
      <c r="I128" s="53"/>
      <c r="J128" s="53"/>
      <c r="K128" s="53"/>
      <c r="L128" s="53"/>
      <c r="M128" s="53"/>
      <c r="N128" s="53"/>
      <c r="O128" s="53"/>
      <c r="P128" s="53"/>
      <c r="Q128" s="52"/>
    </row>
    <row r="129">
      <c r="B129" s="26"/>
      <c r="C129" s="40"/>
      <c r="D129" s="40"/>
      <c r="E129" s="40"/>
      <c r="F129" s="40"/>
      <c r="G129" s="40"/>
      <c r="H129" s="40"/>
      <c r="I129" s="53"/>
      <c r="J129" s="53"/>
      <c r="K129" s="53"/>
      <c r="L129" s="53"/>
      <c r="M129" s="53"/>
      <c r="N129" s="53"/>
      <c r="O129" s="53"/>
      <c r="P129" s="53"/>
      <c r="Q129" s="52"/>
    </row>
    <row r="130">
      <c r="B130" s="26"/>
      <c r="C130" s="40"/>
      <c r="D130" s="40"/>
      <c r="E130" s="40"/>
      <c r="F130" s="40"/>
      <c r="G130" s="40"/>
      <c r="H130" s="40"/>
      <c r="I130" s="53"/>
      <c r="J130" s="53"/>
      <c r="K130" s="53"/>
      <c r="L130" s="53"/>
      <c r="M130" s="53"/>
      <c r="N130" s="53"/>
      <c r="O130" s="53"/>
      <c r="P130" s="53"/>
      <c r="Q130" s="52"/>
    </row>
    <row r="131">
      <c r="B131" s="26"/>
      <c r="C131" s="40"/>
      <c r="D131" s="40"/>
      <c r="E131" s="40"/>
      <c r="F131" s="40"/>
      <c r="G131" s="40"/>
      <c r="H131" s="40"/>
      <c r="I131" s="53"/>
      <c r="J131" s="53"/>
      <c r="K131" s="53"/>
      <c r="L131" s="53"/>
      <c r="M131" s="53"/>
      <c r="N131" s="53"/>
      <c r="O131" s="53"/>
      <c r="P131" s="53"/>
      <c r="Q131" s="52"/>
    </row>
    <row r="132">
      <c r="B132" s="26"/>
      <c r="C132" s="40"/>
      <c r="D132" s="40"/>
      <c r="E132" s="40"/>
      <c r="F132" s="40"/>
      <c r="G132" s="40"/>
      <c r="H132" s="40"/>
      <c r="I132" s="53"/>
      <c r="J132" s="53"/>
      <c r="K132" s="53"/>
      <c r="L132" s="53"/>
      <c r="M132" s="53"/>
      <c r="N132" s="53"/>
      <c r="O132" s="53"/>
      <c r="P132" s="53"/>
      <c r="Q132" s="52"/>
    </row>
    <row r="133">
      <c r="B133" s="26"/>
      <c r="C133" s="40"/>
      <c r="D133" s="40"/>
      <c r="E133" s="40"/>
      <c r="F133" s="40"/>
      <c r="G133" s="40"/>
      <c r="H133" s="40"/>
      <c r="I133" s="53"/>
      <c r="J133" s="53"/>
      <c r="K133" s="53"/>
      <c r="L133" s="53"/>
      <c r="M133" s="53"/>
      <c r="N133" s="53"/>
      <c r="O133" s="53"/>
      <c r="P133" s="53"/>
      <c r="Q133" s="52"/>
    </row>
    <row r="134">
      <c r="B134" s="26"/>
      <c r="C134" s="40"/>
      <c r="D134" s="40"/>
      <c r="E134" s="40"/>
      <c r="F134" s="40"/>
      <c r="G134" s="40"/>
      <c r="H134" s="40"/>
      <c r="I134" s="53"/>
      <c r="J134" s="53"/>
      <c r="K134" s="53"/>
      <c r="L134" s="53"/>
      <c r="M134" s="53"/>
      <c r="N134" s="53"/>
      <c r="O134" s="53"/>
      <c r="P134" s="53"/>
      <c r="Q134" s="52"/>
    </row>
    <row r="135">
      <c r="B135" s="26"/>
      <c r="C135" s="40"/>
      <c r="D135" s="40"/>
      <c r="E135" s="40"/>
      <c r="F135" s="40"/>
      <c r="G135" s="40"/>
      <c r="H135" s="40"/>
      <c r="I135" s="53"/>
      <c r="J135" s="53"/>
      <c r="K135" s="53"/>
      <c r="L135" s="53"/>
      <c r="M135" s="53"/>
      <c r="N135" s="53"/>
      <c r="O135" s="53"/>
      <c r="P135" s="53"/>
      <c r="Q135" s="52"/>
    </row>
    <row r="136">
      <c r="B136" s="26"/>
      <c r="C136" s="40"/>
      <c r="D136" s="40"/>
      <c r="E136" s="40"/>
      <c r="F136" s="40"/>
      <c r="G136" s="40"/>
      <c r="H136" s="40"/>
      <c r="I136" s="53"/>
      <c r="J136" s="53"/>
      <c r="K136" s="53"/>
      <c r="L136" s="53"/>
      <c r="M136" s="53"/>
      <c r="N136" s="53"/>
      <c r="O136" s="53"/>
      <c r="P136" s="53"/>
      <c r="Q136" s="52"/>
    </row>
    <row r="137">
      <c r="B137" s="26"/>
      <c r="C137" s="40"/>
      <c r="D137" s="40"/>
      <c r="E137" s="40"/>
      <c r="F137" s="40"/>
      <c r="G137" s="40"/>
      <c r="H137" s="40"/>
      <c r="I137" s="53"/>
      <c r="J137" s="53"/>
      <c r="K137" s="53"/>
      <c r="L137" s="53"/>
      <c r="M137" s="53"/>
      <c r="N137" s="53"/>
      <c r="O137" s="53"/>
      <c r="P137" s="53"/>
      <c r="Q137" s="52"/>
    </row>
    <row r="138">
      <c r="B138" s="26"/>
      <c r="C138" s="40"/>
      <c r="D138" s="40"/>
      <c r="E138" s="40"/>
      <c r="F138" s="40"/>
      <c r="G138" s="40"/>
      <c r="H138" s="40"/>
      <c r="I138" s="53"/>
      <c r="J138" s="53"/>
      <c r="K138" s="53"/>
      <c r="L138" s="53"/>
      <c r="M138" s="53"/>
      <c r="N138" s="53"/>
      <c r="O138" s="53"/>
      <c r="P138" s="53"/>
      <c r="Q138" s="52"/>
    </row>
    <row r="139">
      <c r="B139" s="26"/>
      <c r="C139" s="40"/>
      <c r="D139" s="40"/>
      <c r="E139" s="40"/>
      <c r="F139" s="40"/>
      <c r="G139" s="40"/>
      <c r="H139" s="40"/>
      <c r="I139" s="53"/>
      <c r="J139" s="53"/>
      <c r="K139" s="53"/>
      <c r="L139" s="53"/>
      <c r="M139" s="53"/>
      <c r="N139" s="53"/>
      <c r="O139" s="53"/>
      <c r="P139" s="53"/>
      <c r="Q139" s="52"/>
    </row>
    <row r="140">
      <c r="B140" s="26"/>
      <c r="C140" s="40"/>
      <c r="D140" s="40"/>
      <c r="E140" s="40"/>
      <c r="F140" s="40"/>
      <c r="G140" s="40"/>
      <c r="H140" s="40"/>
      <c r="I140" s="53"/>
      <c r="J140" s="53"/>
      <c r="K140" s="53"/>
      <c r="L140" s="53"/>
      <c r="M140" s="53"/>
      <c r="N140" s="53"/>
      <c r="O140" s="53"/>
      <c r="P140" s="53"/>
      <c r="Q140" s="52"/>
    </row>
    <row r="141">
      <c r="B141" s="26"/>
      <c r="C141" s="40"/>
      <c r="D141" s="40"/>
      <c r="E141" s="40"/>
      <c r="F141" s="40"/>
      <c r="G141" s="40"/>
      <c r="H141" s="40"/>
      <c r="I141" s="53"/>
      <c r="J141" s="53"/>
      <c r="K141" s="53"/>
      <c r="L141" s="53"/>
      <c r="M141" s="53"/>
      <c r="N141" s="53"/>
      <c r="O141" s="53"/>
      <c r="P141" s="53"/>
      <c r="Q141" s="52"/>
    </row>
    <row r="142">
      <c r="B142" s="26"/>
      <c r="C142" s="40"/>
      <c r="D142" s="40"/>
      <c r="E142" s="40"/>
      <c r="F142" s="40"/>
      <c r="G142" s="40"/>
      <c r="H142" s="40"/>
      <c r="I142" s="53"/>
      <c r="J142" s="53"/>
      <c r="K142" s="53"/>
      <c r="L142" s="53"/>
      <c r="M142" s="53"/>
      <c r="N142" s="53"/>
      <c r="O142" s="53"/>
      <c r="P142" s="53"/>
      <c r="Q142" s="52"/>
    </row>
    <row r="143">
      <c r="B143" s="26"/>
      <c r="C143" s="40"/>
      <c r="D143" s="40"/>
      <c r="E143" s="40"/>
      <c r="F143" s="40"/>
      <c r="G143" s="40"/>
      <c r="H143" s="40"/>
      <c r="I143" s="53"/>
      <c r="J143" s="53"/>
      <c r="K143" s="53"/>
      <c r="L143" s="53"/>
      <c r="M143" s="53"/>
      <c r="N143" s="53"/>
      <c r="O143" s="53"/>
      <c r="P143" s="53"/>
      <c r="Q143" s="52"/>
    </row>
    <row r="144">
      <c r="B144" s="26"/>
      <c r="C144" s="40"/>
      <c r="D144" s="40"/>
      <c r="E144" s="40"/>
      <c r="F144" s="40"/>
      <c r="G144" s="40"/>
      <c r="H144" s="40"/>
      <c r="I144" s="53"/>
      <c r="J144" s="53"/>
      <c r="K144" s="53"/>
      <c r="L144" s="53"/>
      <c r="M144" s="53"/>
      <c r="N144" s="53"/>
      <c r="O144" s="53"/>
      <c r="P144" s="53"/>
      <c r="Q144" s="52"/>
    </row>
    <row r="145">
      <c r="B145" s="26"/>
      <c r="C145" s="40"/>
      <c r="D145" s="40"/>
      <c r="E145" s="40"/>
      <c r="F145" s="40"/>
      <c r="G145" s="40"/>
      <c r="H145" s="40"/>
      <c r="I145" s="53"/>
      <c r="J145" s="53"/>
      <c r="K145" s="53"/>
      <c r="L145" s="53"/>
      <c r="M145" s="53"/>
      <c r="N145" s="53"/>
      <c r="O145" s="53"/>
      <c r="P145" s="53"/>
      <c r="Q145" s="52"/>
    </row>
    <row r="146">
      <c r="B146" s="26"/>
      <c r="C146" s="40"/>
      <c r="D146" s="40"/>
      <c r="E146" s="40"/>
      <c r="F146" s="40"/>
      <c r="G146" s="40"/>
      <c r="H146" s="40"/>
      <c r="I146" s="53"/>
      <c r="J146" s="53"/>
      <c r="K146" s="53"/>
      <c r="L146" s="53"/>
      <c r="M146" s="53"/>
      <c r="N146" s="53"/>
      <c r="O146" s="53"/>
      <c r="P146" s="53"/>
      <c r="Q146" s="52"/>
    </row>
    <row r="147">
      <c r="B147" s="26"/>
      <c r="C147" s="40"/>
      <c r="D147" s="40"/>
      <c r="E147" s="40"/>
      <c r="F147" s="40"/>
      <c r="G147" s="40"/>
      <c r="H147" s="40"/>
      <c r="I147" s="53"/>
      <c r="J147" s="53"/>
      <c r="K147" s="53"/>
      <c r="L147" s="53"/>
      <c r="M147" s="53"/>
      <c r="N147" s="53"/>
      <c r="O147" s="53"/>
      <c r="P147" s="53"/>
      <c r="Q147" s="52"/>
    </row>
    <row r="148">
      <c r="B148" s="26"/>
      <c r="C148" s="40"/>
      <c r="D148" s="40"/>
      <c r="E148" s="40"/>
      <c r="F148" s="40"/>
      <c r="G148" s="40"/>
      <c r="H148" s="40"/>
      <c r="I148" s="53"/>
      <c r="J148" s="53"/>
      <c r="K148" s="53"/>
      <c r="L148" s="53"/>
      <c r="M148" s="53"/>
      <c r="N148" s="53"/>
      <c r="O148" s="53"/>
      <c r="P148" s="53"/>
      <c r="Q148" s="52"/>
    </row>
    <row r="149">
      <c r="B149" s="26"/>
      <c r="C149" s="40"/>
      <c r="D149" s="40"/>
      <c r="E149" s="40"/>
      <c r="F149" s="40"/>
      <c r="G149" s="40"/>
      <c r="H149" s="40"/>
      <c r="I149" s="53"/>
      <c r="J149" s="53"/>
      <c r="K149" s="53"/>
      <c r="L149" s="53"/>
      <c r="M149" s="53"/>
      <c r="N149" s="53"/>
      <c r="O149" s="53"/>
      <c r="P149" s="53"/>
      <c r="Q149" s="52"/>
    </row>
    <row r="150">
      <c r="B150" s="26"/>
      <c r="C150" s="40"/>
      <c r="D150" s="40"/>
      <c r="E150" s="40"/>
      <c r="F150" s="40"/>
      <c r="G150" s="40"/>
      <c r="H150" s="40"/>
      <c r="I150" s="53"/>
      <c r="J150" s="53"/>
      <c r="K150" s="53"/>
      <c r="L150" s="53"/>
      <c r="M150" s="53"/>
      <c r="N150" s="53"/>
      <c r="O150" s="53"/>
      <c r="P150" s="53"/>
      <c r="Q150" s="52"/>
    </row>
    <row r="151">
      <c r="B151" s="26"/>
      <c r="C151" s="40"/>
      <c r="D151" s="40"/>
      <c r="E151" s="40"/>
      <c r="F151" s="40"/>
      <c r="G151" s="40"/>
      <c r="H151" s="40"/>
      <c r="I151" s="53"/>
      <c r="J151" s="53"/>
      <c r="K151" s="53"/>
      <c r="L151" s="53"/>
      <c r="M151" s="53"/>
      <c r="N151" s="53"/>
      <c r="O151" s="53"/>
      <c r="P151" s="53"/>
      <c r="Q151" s="52"/>
    </row>
    <row r="152">
      <c r="B152" s="26"/>
      <c r="C152" s="40"/>
      <c r="D152" s="40"/>
      <c r="E152" s="40"/>
      <c r="F152" s="40"/>
      <c r="G152" s="40"/>
      <c r="H152" s="40"/>
      <c r="I152" s="53"/>
      <c r="J152" s="53"/>
      <c r="K152" s="53"/>
      <c r="L152" s="53"/>
      <c r="M152" s="53"/>
      <c r="N152" s="53"/>
      <c r="O152" s="53"/>
      <c r="P152" s="53"/>
      <c r="Q152" s="52"/>
    </row>
    <row r="153">
      <c r="B153" s="26"/>
      <c r="C153" s="40"/>
      <c r="D153" s="40"/>
      <c r="E153" s="40"/>
      <c r="F153" s="40"/>
      <c r="G153" s="40"/>
      <c r="H153" s="40"/>
      <c r="I153" s="53"/>
      <c r="J153" s="53"/>
      <c r="K153" s="53"/>
      <c r="L153" s="53"/>
      <c r="M153" s="53"/>
      <c r="N153" s="53"/>
      <c r="O153" s="53"/>
      <c r="P153" s="53"/>
      <c r="Q153" s="52"/>
    </row>
    <row r="154">
      <c r="B154" s="26"/>
      <c r="C154" s="40"/>
      <c r="D154" s="40"/>
      <c r="E154" s="40"/>
      <c r="F154" s="40"/>
      <c r="G154" s="40"/>
      <c r="H154" s="40"/>
      <c r="I154" s="53"/>
      <c r="J154" s="53"/>
      <c r="K154" s="53"/>
      <c r="L154" s="53"/>
      <c r="M154" s="53"/>
      <c r="N154" s="53"/>
      <c r="O154" s="53"/>
      <c r="P154" s="53"/>
      <c r="Q154" s="52"/>
    </row>
    <row r="155">
      <c r="B155" s="26"/>
      <c r="C155" s="40"/>
      <c r="D155" s="40"/>
      <c r="E155" s="40"/>
      <c r="F155" s="40"/>
      <c r="G155" s="40"/>
      <c r="H155" s="40"/>
      <c r="I155" s="53"/>
      <c r="J155" s="53"/>
      <c r="K155" s="53"/>
      <c r="L155" s="53"/>
      <c r="M155" s="53"/>
      <c r="N155" s="53"/>
      <c r="O155" s="53"/>
      <c r="P155" s="53"/>
      <c r="Q155" s="52"/>
    </row>
    <row r="156">
      <c r="B156" s="26"/>
      <c r="C156" s="40"/>
      <c r="D156" s="40"/>
      <c r="E156" s="40"/>
      <c r="F156" s="40"/>
      <c r="G156" s="40"/>
      <c r="H156" s="40"/>
      <c r="I156" s="53"/>
      <c r="J156" s="53"/>
      <c r="K156" s="53"/>
      <c r="L156" s="53"/>
      <c r="M156" s="53"/>
      <c r="N156" s="53"/>
      <c r="O156" s="53"/>
      <c r="P156" s="53"/>
      <c r="Q156" s="52"/>
    </row>
    <row r="157">
      <c r="B157" s="26"/>
      <c r="C157" s="40"/>
      <c r="D157" s="40"/>
      <c r="E157" s="40"/>
      <c r="F157" s="40"/>
      <c r="G157" s="40"/>
      <c r="H157" s="40"/>
      <c r="I157" s="53"/>
      <c r="J157" s="53"/>
      <c r="K157" s="53"/>
      <c r="L157" s="53"/>
      <c r="M157" s="53"/>
      <c r="N157" s="53"/>
      <c r="O157" s="53"/>
      <c r="P157" s="53"/>
      <c r="Q157" s="52"/>
    </row>
    <row r="158">
      <c r="B158" s="26"/>
      <c r="C158" s="40"/>
      <c r="D158" s="40"/>
      <c r="E158" s="40"/>
      <c r="F158" s="40"/>
      <c r="G158" s="40"/>
      <c r="H158" s="40"/>
      <c r="I158" s="53"/>
      <c r="J158" s="53"/>
      <c r="K158" s="53"/>
      <c r="L158" s="53"/>
      <c r="M158" s="53"/>
      <c r="N158" s="53"/>
      <c r="O158" s="53"/>
      <c r="P158" s="53"/>
      <c r="Q158" s="52"/>
    </row>
    <row r="159">
      <c r="B159" s="26"/>
      <c r="C159" s="40"/>
      <c r="D159" s="40"/>
      <c r="E159" s="40"/>
      <c r="F159" s="40"/>
      <c r="G159" s="40"/>
      <c r="H159" s="40"/>
      <c r="I159" s="53"/>
      <c r="J159" s="53"/>
      <c r="K159" s="53"/>
      <c r="L159" s="53"/>
      <c r="M159" s="53"/>
      <c r="N159" s="53"/>
      <c r="O159" s="53"/>
      <c r="P159" s="53"/>
      <c r="Q159" s="52"/>
    </row>
    <row r="160">
      <c r="B160" s="26"/>
      <c r="C160" s="40"/>
      <c r="D160" s="40"/>
      <c r="E160" s="40"/>
      <c r="F160" s="40"/>
      <c r="G160" s="40"/>
      <c r="H160" s="40"/>
      <c r="I160" s="53"/>
      <c r="J160" s="53"/>
      <c r="K160" s="53"/>
      <c r="L160" s="53"/>
      <c r="M160" s="53"/>
      <c r="N160" s="53"/>
      <c r="O160" s="53"/>
      <c r="P160" s="53"/>
      <c r="Q160" s="52"/>
    </row>
    <row r="161">
      <c r="B161" s="26"/>
      <c r="C161" s="40"/>
      <c r="D161" s="40"/>
      <c r="E161" s="40"/>
      <c r="F161" s="40"/>
      <c r="G161" s="40"/>
      <c r="H161" s="40"/>
      <c r="I161" s="53"/>
      <c r="J161" s="53"/>
      <c r="K161" s="53"/>
      <c r="L161" s="53"/>
      <c r="M161" s="53"/>
      <c r="N161" s="53"/>
      <c r="O161" s="53"/>
      <c r="P161" s="53"/>
      <c r="Q161" s="52"/>
    </row>
    <row r="162">
      <c r="B162" s="26"/>
      <c r="C162" s="40"/>
      <c r="D162" s="40"/>
      <c r="E162" s="40"/>
      <c r="F162" s="40"/>
      <c r="G162" s="40"/>
      <c r="H162" s="40"/>
      <c r="I162" s="53"/>
      <c r="J162" s="53"/>
      <c r="K162" s="53"/>
      <c r="L162" s="53"/>
      <c r="M162" s="53"/>
      <c r="N162" s="53"/>
      <c r="O162" s="53"/>
      <c r="P162" s="53"/>
      <c r="Q162" s="52"/>
    </row>
    <row r="163">
      <c r="B163" s="26"/>
      <c r="C163" s="40"/>
      <c r="D163" s="40"/>
      <c r="E163" s="40"/>
      <c r="F163" s="40"/>
      <c r="G163" s="40"/>
      <c r="H163" s="40"/>
      <c r="I163" s="53"/>
      <c r="J163" s="53"/>
      <c r="K163" s="53"/>
      <c r="L163" s="53"/>
      <c r="M163" s="53"/>
      <c r="N163" s="53"/>
      <c r="O163" s="53"/>
      <c r="P163" s="53"/>
      <c r="Q163" s="52"/>
    </row>
    <row r="164">
      <c r="B164" s="26"/>
      <c r="C164" s="40"/>
      <c r="D164" s="40"/>
      <c r="E164" s="40"/>
      <c r="F164" s="40"/>
      <c r="G164" s="40"/>
      <c r="H164" s="40"/>
      <c r="I164" s="53"/>
      <c r="J164" s="53"/>
      <c r="K164" s="53"/>
      <c r="L164" s="53"/>
      <c r="M164" s="53"/>
      <c r="N164" s="53"/>
      <c r="O164" s="53"/>
      <c r="P164" s="53"/>
      <c r="Q164" s="52"/>
    </row>
    <row r="165">
      <c r="B165" s="26"/>
      <c r="C165" s="40"/>
      <c r="D165" s="40"/>
      <c r="E165" s="40"/>
      <c r="F165" s="40"/>
      <c r="G165" s="40"/>
      <c r="H165" s="40"/>
      <c r="I165" s="53"/>
      <c r="J165" s="53"/>
      <c r="K165" s="53"/>
      <c r="L165" s="53"/>
      <c r="M165" s="53"/>
      <c r="N165" s="53"/>
      <c r="O165" s="53"/>
      <c r="P165" s="53"/>
      <c r="Q165" s="52"/>
    </row>
    <row r="166">
      <c r="B166" s="26"/>
      <c r="C166" s="40"/>
      <c r="D166" s="40"/>
      <c r="E166" s="40"/>
      <c r="F166" s="40"/>
      <c r="G166" s="40"/>
      <c r="H166" s="40"/>
      <c r="I166" s="53"/>
      <c r="J166" s="53"/>
      <c r="K166" s="53"/>
      <c r="L166" s="53"/>
      <c r="M166" s="53"/>
      <c r="N166" s="53"/>
      <c r="O166" s="53"/>
      <c r="P166" s="53"/>
      <c r="Q166" s="52"/>
    </row>
    <row r="167">
      <c r="B167" s="26"/>
      <c r="C167" s="40"/>
      <c r="D167" s="40"/>
      <c r="E167" s="40"/>
      <c r="F167" s="40"/>
      <c r="G167" s="40"/>
      <c r="H167" s="40"/>
      <c r="I167" s="53"/>
      <c r="J167" s="53"/>
      <c r="K167" s="53"/>
      <c r="L167" s="53"/>
      <c r="M167" s="53"/>
      <c r="N167" s="53"/>
      <c r="O167" s="53"/>
      <c r="P167" s="53"/>
      <c r="Q167" s="52"/>
    </row>
    <row r="168">
      <c r="B168" s="26"/>
      <c r="C168" s="40"/>
      <c r="D168" s="40"/>
      <c r="E168" s="40"/>
      <c r="F168" s="40"/>
      <c r="G168" s="40"/>
      <c r="H168" s="40"/>
      <c r="I168" s="53"/>
      <c r="J168" s="53"/>
      <c r="K168" s="53"/>
      <c r="L168" s="53"/>
      <c r="M168" s="53"/>
      <c r="N168" s="53"/>
      <c r="O168" s="53"/>
      <c r="P168" s="53"/>
      <c r="Q168" s="52"/>
    </row>
    <row r="169">
      <c r="B169" s="26"/>
      <c r="C169" s="40"/>
      <c r="D169" s="40"/>
      <c r="E169" s="40"/>
      <c r="F169" s="40"/>
      <c r="G169" s="40"/>
      <c r="H169" s="40"/>
      <c r="I169" s="53"/>
      <c r="J169" s="53"/>
      <c r="K169" s="53"/>
      <c r="L169" s="53"/>
      <c r="M169" s="53"/>
      <c r="N169" s="53"/>
      <c r="O169" s="53"/>
      <c r="P169" s="53"/>
      <c r="Q169" s="52"/>
    </row>
    <row r="170">
      <c r="B170" s="26"/>
      <c r="C170" s="40"/>
      <c r="D170" s="40"/>
      <c r="E170" s="40"/>
      <c r="F170" s="40"/>
      <c r="G170" s="40"/>
      <c r="H170" s="40"/>
      <c r="I170" s="53"/>
      <c r="J170" s="53"/>
      <c r="K170" s="53"/>
      <c r="L170" s="53"/>
      <c r="M170" s="53"/>
      <c r="N170" s="53"/>
      <c r="O170" s="53"/>
      <c r="P170" s="53"/>
      <c r="Q170" s="52"/>
    </row>
    <row r="171">
      <c r="B171" s="26"/>
      <c r="C171" s="40"/>
      <c r="D171" s="40"/>
      <c r="E171" s="40"/>
      <c r="F171" s="40"/>
      <c r="G171" s="40"/>
      <c r="H171" s="40"/>
      <c r="I171" s="53"/>
      <c r="J171" s="53"/>
      <c r="K171" s="53"/>
      <c r="L171" s="53"/>
      <c r="M171" s="53"/>
      <c r="N171" s="53"/>
      <c r="O171" s="53"/>
      <c r="P171" s="53"/>
      <c r="Q171" s="52"/>
    </row>
    <row r="172">
      <c r="B172" s="26"/>
      <c r="C172" s="40"/>
      <c r="D172" s="40"/>
      <c r="E172" s="40"/>
      <c r="F172" s="40"/>
      <c r="G172" s="40"/>
      <c r="H172" s="40"/>
      <c r="I172" s="53"/>
      <c r="J172" s="53"/>
      <c r="K172" s="53"/>
      <c r="L172" s="53"/>
      <c r="M172" s="53"/>
      <c r="N172" s="53"/>
      <c r="O172" s="53"/>
      <c r="P172" s="53"/>
      <c r="Q172" s="52"/>
    </row>
    <row r="173">
      <c r="B173" s="26"/>
      <c r="C173" s="40"/>
      <c r="D173" s="40"/>
      <c r="E173" s="40"/>
      <c r="F173" s="40"/>
      <c r="G173" s="40"/>
      <c r="H173" s="40"/>
      <c r="I173" s="53"/>
      <c r="J173" s="53"/>
      <c r="K173" s="53"/>
      <c r="L173" s="53"/>
      <c r="M173" s="53"/>
      <c r="N173" s="53"/>
      <c r="O173" s="53"/>
      <c r="P173" s="53"/>
      <c r="Q173" s="52"/>
    </row>
    <row r="174">
      <c r="B174" s="26"/>
      <c r="C174" s="40"/>
      <c r="D174" s="40"/>
      <c r="E174" s="40"/>
      <c r="F174" s="40"/>
      <c r="G174" s="40"/>
      <c r="H174" s="40"/>
      <c r="I174" s="53"/>
      <c r="J174" s="53"/>
      <c r="K174" s="53"/>
      <c r="L174" s="53"/>
      <c r="M174" s="53"/>
      <c r="N174" s="53"/>
      <c r="O174" s="53"/>
      <c r="P174" s="53"/>
      <c r="Q174" s="52"/>
    </row>
    <row r="175">
      <c r="B175" s="26"/>
      <c r="C175" s="40"/>
      <c r="D175" s="40"/>
      <c r="E175" s="40"/>
      <c r="F175" s="40"/>
      <c r="G175" s="40"/>
      <c r="H175" s="40"/>
      <c r="I175" s="53"/>
      <c r="J175" s="53"/>
      <c r="K175" s="53"/>
      <c r="L175" s="53"/>
      <c r="M175" s="53"/>
      <c r="N175" s="53"/>
      <c r="O175" s="53"/>
      <c r="P175" s="53"/>
      <c r="Q175" s="52"/>
    </row>
    <row r="176">
      <c r="B176" s="26"/>
      <c r="C176" s="40"/>
      <c r="D176" s="40"/>
      <c r="E176" s="40"/>
      <c r="F176" s="40"/>
      <c r="G176" s="40"/>
      <c r="H176" s="40"/>
      <c r="I176" s="53"/>
      <c r="J176" s="53"/>
      <c r="K176" s="53"/>
      <c r="L176" s="53"/>
      <c r="M176" s="53"/>
      <c r="N176" s="53"/>
      <c r="O176" s="53"/>
      <c r="P176" s="53"/>
      <c r="Q176" s="52"/>
    </row>
    <row r="177">
      <c r="B177" s="26"/>
      <c r="C177" s="40"/>
      <c r="D177" s="40"/>
      <c r="E177" s="40"/>
      <c r="F177" s="40"/>
      <c r="G177" s="40"/>
      <c r="H177" s="40"/>
      <c r="I177" s="53"/>
      <c r="J177" s="53"/>
      <c r="K177" s="53"/>
      <c r="L177" s="53"/>
      <c r="M177" s="53"/>
      <c r="N177" s="53"/>
      <c r="O177" s="53"/>
      <c r="P177" s="53"/>
      <c r="Q177" s="52"/>
    </row>
    <row r="178">
      <c r="B178" s="26"/>
      <c r="C178" s="40"/>
      <c r="D178" s="40"/>
      <c r="E178" s="40"/>
      <c r="F178" s="40"/>
      <c r="G178" s="40"/>
      <c r="H178" s="40"/>
      <c r="I178" s="53"/>
      <c r="J178" s="53"/>
      <c r="K178" s="53"/>
      <c r="L178" s="53"/>
      <c r="M178" s="53"/>
      <c r="N178" s="53"/>
      <c r="O178" s="53"/>
      <c r="P178" s="53"/>
      <c r="Q178" s="52"/>
    </row>
    <row r="179">
      <c r="B179" s="26"/>
      <c r="C179" s="40"/>
      <c r="D179" s="40"/>
      <c r="E179" s="40"/>
      <c r="F179" s="40"/>
      <c r="G179" s="40"/>
      <c r="H179" s="40"/>
      <c r="I179" s="53"/>
      <c r="J179" s="53"/>
      <c r="K179" s="53"/>
      <c r="L179" s="53"/>
      <c r="M179" s="53"/>
      <c r="N179" s="53"/>
      <c r="O179" s="53"/>
      <c r="P179" s="53"/>
      <c r="Q179" s="52"/>
    </row>
    <row r="180">
      <c r="B180" s="26"/>
      <c r="C180" s="40"/>
      <c r="D180" s="40"/>
      <c r="E180" s="40"/>
      <c r="F180" s="40"/>
      <c r="G180" s="40"/>
      <c r="H180" s="40"/>
      <c r="I180" s="53"/>
      <c r="J180" s="53"/>
      <c r="K180" s="53"/>
      <c r="L180" s="53"/>
      <c r="M180" s="53"/>
      <c r="N180" s="53"/>
      <c r="O180" s="53"/>
      <c r="P180" s="53"/>
      <c r="Q180" s="52"/>
    </row>
    <row r="181">
      <c r="B181" s="26"/>
      <c r="C181" s="40"/>
      <c r="D181" s="40"/>
      <c r="E181" s="40"/>
      <c r="F181" s="40"/>
      <c r="G181" s="40"/>
      <c r="H181" s="40"/>
      <c r="I181" s="53"/>
      <c r="J181" s="53"/>
      <c r="K181" s="53"/>
      <c r="L181" s="53"/>
      <c r="M181" s="53"/>
      <c r="N181" s="53"/>
      <c r="O181" s="53"/>
      <c r="P181" s="53"/>
      <c r="Q181" s="52"/>
    </row>
    <row r="182">
      <c r="B182" s="26"/>
      <c r="C182" s="40"/>
      <c r="D182" s="40"/>
      <c r="E182" s="40"/>
      <c r="F182" s="40"/>
      <c r="G182" s="40"/>
      <c r="H182" s="40"/>
      <c r="I182" s="53"/>
      <c r="J182" s="53"/>
      <c r="K182" s="53"/>
      <c r="L182" s="53"/>
      <c r="M182" s="53"/>
      <c r="N182" s="53"/>
      <c r="O182" s="53"/>
      <c r="P182" s="53"/>
      <c r="Q182" s="52"/>
    </row>
    <row r="183">
      <c r="B183" s="26"/>
      <c r="C183" s="40"/>
      <c r="D183" s="40"/>
      <c r="E183" s="40"/>
      <c r="F183" s="40"/>
      <c r="G183" s="40"/>
      <c r="H183" s="40"/>
      <c r="I183" s="53"/>
      <c r="J183" s="53"/>
      <c r="K183" s="53"/>
      <c r="L183" s="53"/>
      <c r="M183" s="53"/>
      <c r="N183" s="53"/>
      <c r="O183" s="53"/>
      <c r="P183" s="53"/>
      <c r="Q183" s="52"/>
    </row>
    <row r="184">
      <c r="B184" s="26"/>
      <c r="C184" s="40"/>
      <c r="D184" s="40"/>
      <c r="E184" s="40"/>
      <c r="F184" s="40"/>
      <c r="G184" s="40"/>
      <c r="H184" s="40"/>
      <c r="I184" s="53"/>
      <c r="J184" s="53"/>
      <c r="K184" s="53"/>
      <c r="L184" s="53"/>
      <c r="M184" s="53"/>
      <c r="N184" s="53"/>
      <c r="O184" s="53"/>
      <c r="P184" s="53"/>
      <c r="Q184" s="52"/>
    </row>
    <row r="185">
      <c r="B185" s="26"/>
      <c r="C185" s="40"/>
      <c r="D185" s="40"/>
      <c r="E185" s="40"/>
      <c r="F185" s="40"/>
      <c r="G185" s="40"/>
      <c r="H185" s="40"/>
      <c r="I185" s="53"/>
      <c r="J185" s="53"/>
      <c r="K185" s="53"/>
      <c r="L185" s="53"/>
      <c r="M185" s="53"/>
      <c r="N185" s="53"/>
      <c r="O185" s="53"/>
      <c r="P185" s="53"/>
      <c r="Q185" s="52"/>
    </row>
    <row r="186">
      <c r="B186" s="26"/>
      <c r="C186" s="40"/>
      <c r="D186" s="40"/>
      <c r="E186" s="40"/>
      <c r="F186" s="40"/>
      <c r="G186" s="40"/>
      <c r="H186" s="40"/>
      <c r="I186" s="53"/>
      <c r="J186" s="53"/>
      <c r="K186" s="53"/>
      <c r="L186" s="53"/>
      <c r="M186" s="53"/>
      <c r="N186" s="53"/>
      <c r="O186" s="53"/>
      <c r="P186" s="53"/>
      <c r="Q186" s="52"/>
    </row>
    <row r="187">
      <c r="B187" s="26"/>
      <c r="C187" s="40"/>
      <c r="D187" s="40"/>
      <c r="E187" s="40"/>
      <c r="F187" s="40"/>
      <c r="G187" s="40"/>
      <c r="H187" s="40"/>
      <c r="I187" s="53"/>
      <c r="J187" s="53"/>
      <c r="K187" s="53"/>
      <c r="L187" s="53"/>
      <c r="M187" s="53"/>
      <c r="N187" s="53"/>
      <c r="O187" s="53"/>
      <c r="P187" s="53"/>
      <c r="Q187" s="52"/>
    </row>
    <row r="188">
      <c r="B188" s="26"/>
      <c r="C188" s="40"/>
      <c r="D188" s="40"/>
      <c r="E188" s="40"/>
      <c r="F188" s="40"/>
      <c r="G188" s="40"/>
      <c r="H188" s="40"/>
      <c r="I188" s="53"/>
      <c r="J188" s="53"/>
      <c r="K188" s="53"/>
      <c r="L188" s="53"/>
      <c r="M188" s="53"/>
      <c r="N188" s="53"/>
      <c r="O188" s="53"/>
      <c r="P188" s="53"/>
      <c r="Q188" s="52"/>
    </row>
    <row r="189">
      <c r="B189" s="26"/>
      <c r="C189" s="40"/>
      <c r="D189" s="40"/>
      <c r="E189" s="40"/>
      <c r="F189" s="40"/>
      <c r="G189" s="40"/>
      <c r="H189" s="40"/>
      <c r="I189" s="53"/>
      <c r="J189" s="53"/>
      <c r="K189" s="53"/>
      <c r="L189" s="53"/>
      <c r="M189" s="53"/>
      <c r="N189" s="53"/>
      <c r="O189" s="53"/>
      <c r="P189" s="53"/>
      <c r="Q189" s="52"/>
    </row>
    <row r="190">
      <c r="B190" s="26"/>
      <c r="C190" s="40"/>
      <c r="D190" s="40"/>
      <c r="E190" s="40"/>
      <c r="F190" s="40"/>
      <c r="G190" s="40"/>
      <c r="H190" s="40"/>
      <c r="I190" s="53"/>
      <c r="J190" s="53"/>
      <c r="K190" s="53"/>
      <c r="L190" s="53"/>
      <c r="M190" s="53"/>
      <c r="N190" s="53"/>
      <c r="O190" s="53"/>
      <c r="P190" s="53"/>
      <c r="Q190" s="52"/>
    </row>
    <row r="191">
      <c r="B191" s="26"/>
      <c r="C191" s="40"/>
      <c r="D191" s="40"/>
      <c r="E191" s="40"/>
      <c r="F191" s="40"/>
      <c r="G191" s="40"/>
      <c r="H191" s="40"/>
      <c r="I191" s="53"/>
      <c r="J191" s="53"/>
      <c r="K191" s="53"/>
      <c r="L191" s="53"/>
      <c r="M191" s="53"/>
      <c r="N191" s="53"/>
      <c r="O191" s="53"/>
      <c r="P191" s="53"/>
      <c r="Q191" s="52"/>
    </row>
    <row r="192">
      <c r="B192" s="26"/>
      <c r="C192" s="40"/>
      <c r="D192" s="40"/>
      <c r="E192" s="40"/>
      <c r="F192" s="40"/>
      <c r="G192" s="40"/>
      <c r="H192" s="40"/>
      <c r="I192" s="53"/>
      <c r="J192" s="53"/>
      <c r="K192" s="53"/>
      <c r="L192" s="53"/>
      <c r="M192" s="53"/>
      <c r="N192" s="53"/>
      <c r="O192" s="53"/>
      <c r="P192" s="53"/>
      <c r="Q192" s="52"/>
    </row>
    <row r="193">
      <c r="B193" s="26"/>
      <c r="C193" s="40"/>
      <c r="D193" s="40"/>
      <c r="E193" s="40"/>
      <c r="F193" s="40"/>
      <c r="G193" s="40"/>
      <c r="H193" s="40"/>
      <c r="I193" s="53"/>
      <c r="J193" s="53"/>
      <c r="K193" s="53"/>
      <c r="L193" s="53"/>
      <c r="M193" s="53"/>
      <c r="N193" s="53"/>
      <c r="O193" s="53"/>
      <c r="P193" s="53"/>
      <c r="Q193" s="52"/>
    </row>
    <row r="194">
      <c r="B194" s="26"/>
      <c r="C194" s="40"/>
      <c r="D194" s="40"/>
      <c r="E194" s="40"/>
      <c r="F194" s="40"/>
      <c r="G194" s="40"/>
      <c r="H194" s="40"/>
      <c r="I194" s="53"/>
      <c r="J194" s="53"/>
      <c r="K194" s="53"/>
      <c r="L194" s="53"/>
      <c r="M194" s="53"/>
      <c r="N194" s="53"/>
      <c r="O194" s="53"/>
      <c r="P194" s="53"/>
      <c r="Q194" s="52"/>
    </row>
    <row r="195">
      <c r="B195" s="26"/>
      <c r="C195" s="40"/>
      <c r="D195" s="40"/>
      <c r="E195" s="40"/>
      <c r="F195" s="40"/>
      <c r="G195" s="40"/>
      <c r="H195" s="40"/>
      <c r="I195" s="53"/>
      <c r="J195" s="53"/>
      <c r="K195" s="53"/>
      <c r="L195" s="53"/>
      <c r="M195" s="53"/>
      <c r="N195" s="53"/>
      <c r="O195" s="53"/>
      <c r="P195" s="53"/>
      <c r="Q195" s="52"/>
    </row>
    <row r="196">
      <c r="B196" s="26"/>
      <c r="C196" s="40"/>
      <c r="D196" s="40"/>
      <c r="E196" s="40"/>
      <c r="F196" s="40"/>
      <c r="G196" s="40"/>
      <c r="H196" s="40"/>
      <c r="I196" s="53"/>
      <c r="J196" s="53"/>
      <c r="K196" s="53"/>
      <c r="L196" s="53"/>
      <c r="M196" s="53"/>
      <c r="N196" s="53"/>
      <c r="O196" s="53"/>
      <c r="P196" s="53"/>
      <c r="Q196" s="52"/>
    </row>
    <row r="197">
      <c r="B197" s="26"/>
      <c r="C197" s="40"/>
      <c r="D197" s="40"/>
      <c r="E197" s="40"/>
      <c r="F197" s="40"/>
      <c r="G197" s="40"/>
      <c r="H197" s="40"/>
      <c r="I197" s="53"/>
      <c r="J197" s="53"/>
      <c r="K197" s="53"/>
      <c r="L197" s="53"/>
      <c r="M197" s="53"/>
      <c r="N197" s="53"/>
      <c r="O197" s="53"/>
      <c r="P197" s="53"/>
      <c r="Q197" s="52"/>
    </row>
    <row r="198">
      <c r="B198" s="26"/>
      <c r="C198" s="40"/>
      <c r="D198" s="40"/>
      <c r="E198" s="40"/>
      <c r="F198" s="40"/>
      <c r="G198" s="40"/>
      <c r="H198" s="40"/>
      <c r="I198" s="53"/>
      <c r="J198" s="53"/>
      <c r="K198" s="53"/>
      <c r="L198" s="53"/>
      <c r="M198" s="53"/>
      <c r="N198" s="53"/>
      <c r="O198" s="53"/>
      <c r="P198" s="53"/>
      <c r="Q198" s="52"/>
    </row>
    <row r="199">
      <c r="B199" s="26"/>
      <c r="C199" s="40"/>
      <c r="D199" s="40"/>
      <c r="E199" s="40"/>
      <c r="F199" s="40"/>
      <c r="G199" s="40"/>
      <c r="H199" s="40"/>
      <c r="I199" s="53"/>
      <c r="J199" s="53"/>
      <c r="K199" s="53"/>
      <c r="L199" s="53"/>
      <c r="M199" s="53"/>
      <c r="N199" s="53"/>
      <c r="O199" s="53"/>
      <c r="P199" s="53"/>
      <c r="Q199" s="52"/>
    </row>
    <row r="200">
      <c r="B200" s="26"/>
      <c r="C200" s="40"/>
      <c r="D200" s="40"/>
      <c r="E200" s="40"/>
      <c r="F200" s="40"/>
      <c r="G200" s="40"/>
      <c r="H200" s="40"/>
      <c r="I200" s="53"/>
      <c r="J200" s="53"/>
      <c r="K200" s="53"/>
      <c r="L200" s="53"/>
      <c r="M200" s="53"/>
      <c r="N200" s="53"/>
      <c r="O200" s="53"/>
      <c r="P200" s="53"/>
      <c r="Q200" s="52"/>
    </row>
    <row r="201">
      <c r="B201" s="26"/>
      <c r="C201" s="40"/>
      <c r="D201" s="40"/>
      <c r="E201" s="40"/>
      <c r="F201" s="40"/>
      <c r="G201" s="40"/>
      <c r="H201" s="40"/>
      <c r="I201" s="53"/>
      <c r="J201" s="53"/>
      <c r="K201" s="53"/>
      <c r="L201" s="53"/>
      <c r="M201" s="53"/>
      <c r="N201" s="53"/>
      <c r="O201" s="53"/>
      <c r="P201" s="53"/>
      <c r="Q201" s="52"/>
    </row>
    <row r="202">
      <c r="B202" s="26"/>
      <c r="C202" s="40"/>
      <c r="D202" s="40"/>
      <c r="E202" s="40"/>
      <c r="F202" s="40"/>
      <c r="G202" s="40"/>
      <c r="H202" s="40"/>
      <c r="I202" s="53"/>
      <c r="J202" s="53"/>
      <c r="K202" s="53"/>
      <c r="L202" s="53"/>
      <c r="M202" s="53"/>
      <c r="N202" s="53"/>
      <c r="O202" s="53"/>
      <c r="P202" s="53"/>
      <c r="Q202" s="52"/>
    </row>
    <row r="203">
      <c r="B203" s="26"/>
      <c r="C203" s="40"/>
      <c r="D203" s="40"/>
      <c r="E203" s="40"/>
      <c r="F203" s="40"/>
      <c r="G203" s="40"/>
      <c r="H203" s="40"/>
      <c r="I203" s="53"/>
      <c r="J203" s="53"/>
      <c r="K203" s="53"/>
      <c r="L203" s="53"/>
      <c r="M203" s="53"/>
      <c r="N203" s="53"/>
      <c r="O203" s="53"/>
      <c r="P203" s="53"/>
      <c r="Q203" s="52"/>
    </row>
    <row r="204">
      <c r="B204" s="26"/>
      <c r="C204" s="40"/>
      <c r="D204" s="40"/>
      <c r="E204" s="40"/>
      <c r="F204" s="40"/>
      <c r="G204" s="40"/>
      <c r="H204" s="40"/>
      <c r="I204" s="53"/>
      <c r="J204" s="53"/>
      <c r="K204" s="53"/>
      <c r="L204" s="53"/>
      <c r="M204" s="53"/>
      <c r="N204" s="53"/>
      <c r="O204" s="53"/>
      <c r="P204" s="53"/>
      <c r="Q204" s="52"/>
    </row>
    <row r="205">
      <c r="B205" s="26"/>
      <c r="C205" s="40"/>
      <c r="D205" s="40"/>
      <c r="E205" s="40"/>
      <c r="F205" s="40"/>
      <c r="G205" s="40"/>
      <c r="H205" s="40"/>
      <c r="I205" s="53"/>
      <c r="J205" s="53"/>
      <c r="K205" s="53"/>
      <c r="L205" s="53"/>
      <c r="M205" s="53"/>
      <c r="N205" s="53"/>
      <c r="O205" s="53"/>
      <c r="P205" s="53"/>
      <c r="Q205" s="52"/>
    </row>
    <row r="206">
      <c r="B206" s="26"/>
      <c r="C206" s="40"/>
      <c r="D206" s="40"/>
      <c r="E206" s="40"/>
      <c r="F206" s="40"/>
      <c r="G206" s="40"/>
      <c r="H206" s="40"/>
      <c r="I206" s="53"/>
      <c r="J206" s="53"/>
      <c r="K206" s="53"/>
      <c r="L206" s="53"/>
      <c r="M206" s="53"/>
      <c r="N206" s="53"/>
      <c r="O206" s="53"/>
      <c r="P206" s="53"/>
      <c r="Q206" s="52"/>
    </row>
    <row r="207">
      <c r="B207" s="26"/>
      <c r="C207" s="40"/>
      <c r="D207" s="40"/>
      <c r="E207" s="40"/>
      <c r="F207" s="40"/>
      <c r="G207" s="40"/>
      <c r="H207" s="40"/>
      <c r="I207" s="53"/>
      <c r="J207" s="53"/>
      <c r="K207" s="53"/>
      <c r="L207" s="53"/>
      <c r="M207" s="53"/>
      <c r="N207" s="53"/>
      <c r="O207" s="53"/>
      <c r="P207" s="53"/>
      <c r="Q207" s="52"/>
    </row>
    <row r="208">
      <c r="B208" s="26"/>
      <c r="C208" s="40"/>
      <c r="D208" s="40"/>
      <c r="E208" s="40"/>
      <c r="F208" s="40"/>
      <c r="G208" s="40"/>
      <c r="H208" s="40"/>
      <c r="I208" s="53"/>
      <c r="J208" s="53"/>
      <c r="K208" s="53"/>
      <c r="L208" s="53"/>
      <c r="M208" s="53"/>
      <c r="N208" s="53"/>
      <c r="O208" s="53"/>
      <c r="P208" s="53"/>
      <c r="Q208" s="52"/>
    </row>
    <row r="209">
      <c r="B209" s="26"/>
      <c r="C209" s="40"/>
      <c r="D209" s="40"/>
      <c r="E209" s="40"/>
      <c r="F209" s="40"/>
      <c r="G209" s="40"/>
      <c r="H209" s="40"/>
      <c r="I209" s="53"/>
      <c r="J209" s="53"/>
      <c r="K209" s="53"/>
      <c r="L209" s="53"/>
      <c r="M209" s="53"/>
      <c r="N209" s="53"/>
      <c r="O209" s="53"/>
      <c r="P209" s="53"/>
      <c r="Q209" s="52"/>
    </row>
    <row r="210">
      <c r="B210" s="26"/>
      <c r="C210" s="40"/>
      <c r="D210" s="40"/>
      <c r="E210" s="40"/>
      <c r="F210" s="40"/>
      <c r="G210" s="40"/>
      <c r="H210" s="40"/>
      <c r="I210" s="53"/>
      <c r="J210" s="53"/>
      <c r="K210" s="53"/>
      <c r="L210" s="53"/>
      <c r="M210" s="53"/>
      <c r="N210" s="53"/>
      <c r="O210" s="53"/>
      <c r="P210" s="53"/>
      <c r="Q210" s="52"/>
    </row>
    <row r="211">
      <c r="B211" s="26"/>
      <c r="C211" s="40"/>
      <c r="D211" s="40"/>
      <c r="E211" s="40"/>
      <c r="F211" s="40"/>
      <c r="G211" s="40"/>
      <c r="H211" s="40"/>
      <c r="I211" s="53"/>
      <c r="J211" s="53"/>
      <c r="K211" s="53"/>
      <c r="L211" s="53"/>
      <c r="M211" s="53"/>
      <c r="N211" s="53"/>
      <c r="O211" s="53"/>
      <c r="P211" s="53"/>
      <c r="Q211" s="52"/>
    </row>
    <row r="212">
      <c r="B212" s="26"/>
      <c r="C212" s="40"/>
      <c r="D212" s="40"/>
      <c r="E212" s="40"/>
      <c r="F212" s="40"/>
      <c r="G212" s="40"/>
      <c r="H212" s="40"/>
      <c r="I212" s="53"/>
      <c r="J212" s="53"/>
      <c r="K212" s="53"/>
      <c r="L212" s="53"/>
      <c r="M212" s="53"/>
      <c r="N212" s="53"/>
      <c r="O212" s="53"/>
      <c r="P212" s="53"/>
      <c r="Q212" s="52"/>
    </row>
    <row r="213">
      <c r="B213" s="26"/>
      <c r="C213" s="40"/>
      <c r="D213" s="40"/>
      <c r="E213" s="40"/>
      <c r="F213" s="40"/>
      <c r="G213" s="40"/>
      <c r="H213" s="40"/>
      <c r="I213" s="53"/>
      <c r="J213" s="53"/>
      <c r="K213" s="53"/>
      <c r="L213" s="53"/>
      <c r="M213" s="53"/>
      <c r="N213" s="53"/>
      <c r="O213" s="53"/>
      <c r="P213" s="53"/>
      <c r="Q213" s="52"/>
    </row>
    <row r="214">
      <c r="B214" s="26"/>
      <c r="C214" s="40"/>
      <c r="D214" s="40"/>
      <c r="E214" s="40"/>
      <c r="F214" s="40"/>
      <c r="G214" s="40"/>
      <c r="H214" s="40"/>
      <c r="I214" s="53"/>
      <c r="J214" s="53"/>
      <c r="K214" s="53"/>
      <c r="L214" s="53"/>
      <c r="M214" s="53"/>
      <c r="N214" s="53"/>
      <c r="O214" s="53"/>
      <c r="P214" s="53"/>
      <c r="Q214" s="52"/>
    </row>
    <row r="215">
      <c r="B215" s="26"/>
      <c r="C215" s="40"/>
      <c r="D215" s="40"/>
      <c r="E215" s="40"/>
      <c r="F215" s="40"/>
      <c r="G215" s="40"/>
      <c r="H215" s="40"/>
      <c r="I215" s="53"/>
      <c r="J215" s="53"/>
      <c r="K215" s="53"/>
      <c r="L215" s="53"/>
      <c r="M215" s="53"/>
      <c r="N215" s="53"/>
      <c r="O215" s="53"/>
      <c r="P215" s="53"/>
      <c r="Q215" s="52"/>
    </row>
    <row r="216">
      <c r="B216" s="26"/>
      <c r="C216" s="40"/>
      <c r="D216" s="40"/>
      <c r="E216" s="40"/>
      <c r="F216" s="40"/>
      <c r="G216" s="40"/>
      <c r="H216" s="40"/>
      <c r="I216" s="53"/>
      <c r="J216" s="53"/>
      <c r="K216" s="53"/>
      <c r="L216" s="53"/>
      <c r="M216" s="53"/>
      <c r="N216" s="53"/>
      <c r="O216" s="53"/>
      <c r="P216" s="53"/>
      <c r="Q216" s="52"/>
    </row>
    <row r="217">
      <c r="B217" s="26"/>
      <c r="C217" s="40"/>
      <c r="D217" s="40"/>
      <c r="E217" s="40"/>
      <c r="F217" s="40"/>
      <c r="G217" s="40"/>
      <c r="H217" s="40"/>
      <c r="I217" s="53"/>
      <c r="J217" s="53"/>
      <c r="K217" s="53"/>
      <c r="L217" s="53"/>
      <c r="M217" s="53"/>
      <c r="N217" s="53"/>
      <c r="O217" s="53"/>
      <c r="P217" s="53"/>
      <c r="Q217" s="52"/>
    </row>
    <row r="218">
      <c r="B218" s="26"/>
      <c r="C218" s="40"/>
      <c r="D218" s="40"/>
      <c r="E218" s="40"/>
      <c r="F218" s="40"/>
      <c r="G218" s="40"/>
      <c r="H218" s="40"/>
      <c r="I218" s="53"/>
      <c r="J218" s="53"/>
      <c r="K218" s="53"/>
      <c r="L218" s="53"/>
      <c r="M218" s="53"/>
      <c r="N218" s="53"/>
      <c r="O218" s="53"/>
      <c r="P218" s="53"/>
      <c r="Q218" s="52"/>
    </row>
    <row r="219">
      <c r="B219" s="26"/>
      <c r="C219" s="40"/>
      <c r="D219" s="40"/>
      <c r="E219" s="40"/>
      <c r="F219" s="40"/>
      <c r="G219" s="40"/>
      <c r="H219" s="40"/>
      <c r="I219" s="53"/>
      <c r="J219" s="53"/>
      <c r="K219" s="53"/>
      <c r="L219" s="53"/>
      <c r="M219" s="53"/>
      <c r="N219" s="53"/>
      <c r="O219" s="53"/>
      <c r="P219" s="53"/>
      <c r="Q219" s="52"/>
    </row>
    <row r="220">
      <c r="B220" s="26"/>
      <c r="C220" s="40"/>
      <c r="D220" s="40"/>
      <c r="E220" s="40"/>
      <c r="F220" s="40"/>
      <c r="G220" s="40"/>
      <c r="H220" s="40"/>
      <c r="I220" s="53"/>
      <c r="J220" s="53"/>
      <c r="K220" s="53"/>
      <c r="L220" s="53"/>
      <c r="M220" s="53"/>
      <c r="N220" s="53"/>
      <c r="O220" s="53"/>
      <c r="P220" s="53"/>
      <c r="Q220" s="52"/>
    </row>
    <row r="221">
      <c r="B221" s="26"/>
      <c r="C221" s="40"/>
      <c r="D221" s="40"/>
      <c r="E221" s="40"/>
      <c r="F221" s="40"/>
      <c r="G221" s="40"/>
      <c r="H221" s="40"/>
      <c r="I221" s="53"/>
      <c r="J221" s="53"/>
      <c r="K221" s="53"/>
      <c r="L221" s="53"/>
      <c r="M221" s="53"/>
      <c r="N221" s="53"/>
      <c r="O221" s="53"/>
      <c r="P221" s="53"/>
      <c r="Q221" s="52"/>
    </row>
    <row r="222">
      <c r="B222" s="26"/>
      <c r="C222" s="40"/>
      <c r="D222" s="40"/>
      <c r="E222" s="40"/>
      <c r="F222" s="40"/>
      <c r="G222" s="40"/>
      <c r="H222" s="40"/>
      <c r="I222" s="53"/>
      <c r="J222" s="53"/>
      <c r="K222" s="53"/>
      <c r="L222" s="53"/>
      <c r="M222" s="53"/>
      <c r="N222" s="53"/>
      <c r="O222" s="53"/>
      <c r="P222" s="53"/>
      <c r="Q222" s="52"/>
    </row>
    <row r="223">
      <c r="B223" s="26"/>
      <c r="C223" s="40"/>
      <c r="D223" s="40"/>
      <c r="E223" s="40"/>
      <c r="F223" s="40"/>
      <c r="G223" s="40"/>
      <c r="H223" s="40"/>
      <c r="I223" s="53"/>
      <c r="J223" s="53"/>
      <c r="K223" s="53"/>
      <c r="L223" s="53"/>
      <c r="M223" s="53"/>
      <c r="N223" s="53"/>
      <c r="O223" s="53"/>
      <c r="P223" s="53"/>
      <c r="Q223" s="52"/>
    </row>
    <row r="224">
      <c r="B224" s="26"/>
      <c r="C224" s="40"/>
      <c r="D224" s="40"/>
      <c r="E224" s="40"/>
      <c r="F224" s="40"/>
      <c r="G224" s="40"/>
      <c r="H224" s="40"/>
      <c r="I224" s="53"/>
      <c r="J224" s="53"/>
      <c r="K224" s="53"/>
      <c r="L224" s="53"/>
      <c r="M224" s="53"/>
      <c r="N224" s="53"/>
      <c r="O224" s="53"/>
      <c r="P224" s="53"/>
      <c r="Q224" s="52"/>
    </row>
    <row r="225">
      <c r="B225" s="26"/>
      <c r="C225" s="40"/>
      <c r="D225" s="40"/>
      <c r="E225" s="40"/>
      <c r="F225" s="40"/>
      <c r="G225" s="40"/>
      <c r="H225" s="40"/>
      <c r="I225" s="53"/>
      <c r="J225" s="53"/>
      <c r="K225" s="53"/>
      <c r="L225" s="53"/>
      <c r="M225" s="53"/>
      <c r="N225" s="53"/>
      <c r="O225" s="53"/>
      <c r="P225" s="53"/>
      <c r="Q225" s="52"/>
    </row>
    <row r="226">
      <c r="B226" s="26"/>
      <c r="C226" s="40"/>
      <c r="D226" s="40"/>
      <c r="E226" s="40"/>
      <c r="F226" s="40"/>
      <c r="G226" s="40"/>
      <c r="H226" s="40"/>
      <c r="I226" s="53"/>
      <c r="J226" s="53"/>
      <c r="K226" s="53"/>
      <c r="L226" s="53"/>
      <c r="M226" s="53"/>
      <c r="N226" s="53"/>
      <c r="O226" s="53"/>
      <c r="P226" s="53"/>
      <c r="Q226" s="52"/>
    </row>
    <row r="227">
      <c r="B227" s="26"/>
      <c r="C227" s="40"/>
      <c r="D227" s="40"/>
      <c r="E227" s="40"/>
      <c r="F227" s="40"/>
      <c r="G227" s="40"/>
      <c r="H227" s="40"/>
      <c r="I227" s="53"/>
      <c r="J227" s="53"/>
      <c r="K227" s="53"/>
      <c r="L227" s="53"/>
      <c r="M227" s="53"/>
      <c r="N227" s="53"/>
      <c r="O227" s="53"/>
      <c r="P227" s="53"/>
      <c r="Q227" s="52"/>
    </row>
    <row r="228">
      <c r="B228" s="26"/>
      <c r="C228" s="40"/>
      <c r="D228" s="40"/>
      <c r="E228" s="40"/>
      <c r="F228" s="40"/>
      <c r="G228" s="40"/>
      <c r="H228" s="40"/>
      <c r="I228" s="53"/>
      <c r="J228" s="53"/>
      <c r="K228" s="53"/>
      <c r="L228" s="53"/>
      <c r="M228" s="53"/>
      <c r="N228" s="53"/>
      <c r="O228" s="53"/>
      <c r="P228" s="53"/>
      <c r="Q228" s="52"/>
    </row>
    <row r="229">
      <c r="B229" s="26"/>
      <c r="C229" s="40"/>
      <c r="D229" s="40"/>
      <c r="E229" s="40"/>
      <c r="F229" s="40"/>
      <c r="G229" s="40"/>
      <c r="H229" s="40"/>
      <c r="I229" s="53"/>
      <c r="J229" s="53"/>
      <c r="K229" s="53"/>
      <c r="L229" s="53"/>
      <c r="M229" s="53"/>
      <c r="N229" s="53"/>
      <c r="O229" s="53"/>
      <c r="P229" s="53"/>
      <c r="Q229" s="52"/>
    </row>
    <row r="230">
      <c r="B230" s="26"/>
      <c r="C230" s="40"/>
      <c r="D230" s="40"/>
      <c r="E230" s="40"/>
      <c r="F230" s="40"/>
      <c r="G230" s="40"/>
      <c r="H230" s="40"/>
      <c r="I230" s="53"/>
      <c r="J230" s="53"/>
      <c r="K230" s="53"/>
      <c r="L230" s="53"/>
      <c r="M230" s="53"/>
      <c r="N230" s="53"/>
      <c r="O230" s="53"/>
      <c r="P230" s="53"/>
      <c r="Q230" s="52"/>
    </row>
    <row r="231">
      <c r="B231" s="26"/>
      <c r="C231" s="40"/>
      <c r="D231" s="40"/>
      <c r="E231" s="40"/>
      <c r="F231" s="40"/>
      <c r="G231" s="40"/>
      <c r="H231" s="40"/>
      <c r="I231" s="53"/>
      <c r="J231" s="53"/>
      <c r="K231" s="53"/>
      <c r="L231" s="53"/>
      <c r="M231" s="53"/>
      <c r="N231" s="53"/>
      <c r="O231" s="53"/>
      <c r="P231" s="53"/>
      <c r="Q231" s="52"/>
    </row>
    <row r="232">
      <c r="B232" s="26"/>
      <c r="C232" s="40"/>
      <c r="D232" s="40"/>
      <c r="E232" s="40"/>
      <c r="F232" s="40"/>
      <c r="G232" s="40"/>
      <c r="H232" s="40"/>
      <c r="I232" s="53"/>
      <c r="J232" s="53"/>
      <c r="K232" s="53"/>
      <c r="L232" s="53"/>
      <c r="M232" s="53"/>
      <c r="N232" s="53"/>
      <c r="O232" s="53"/>
      <c r="P232" s="53"/>
      <c r="Q232" s="52"/>
    </row>
    <row r="233">
      <c r="B233" s="26"/>
      <c r="C233" s="40"/>
      <c r="D233" s="40"/>
      <c r="E233" s="40"/>
      <c r="F233" s="40"/>
      <c r="G233" s="40"/>
      <c r="H233" s="40"/>
      <c r="I233" s="53"/>
      <c r="J233" s="53"/>
      <c r="K233" s="53"/>
      <c r="L233" s="53"/>
      <c r="M233" s="53"/>
      <c r="N233" s="53"/>
      <c r="O233" s="53"/>
      <c r="P233" s="53"/>
      <c r="Q233" s="52"/>
    </row>
    <row r="234">
      <c r="B234" s="26"/>
      <c r="C234" s="40"/>
      <c r="D234" s="40"/>
      <c r="E234" s="40"/>
      <c r="F234" s="40"/>
      <c r="G234" s="40"/>
      <c r="H234" s="40"/>
      <c r="I234" s="53"/>
      <c r="J234" s="53"/>
      <c r="K234" s="53"/>
      <c r="L234" s="53"/>
      <c r="M234" s="53"/>
      <c r="N234" s="53"/>
      <c r="O234" s="53"/>
      <c r="P234" s="53"/>
      <c r="Q234" s="52"/>
    </row>
    <row r="235">
      <c r="B235" s="26"/>
      <c r="C235" s="40"/>
      <c r="D235" s="40"/>
      <c r="E235" s="40"/>
      <c r="F235" s="40"/>
      <c r="G235" s="40"/>
      <c r="H235" s="40"/>
      <c r="I235" s="53"/>
      <c r="J235" s="53"/>
      <c r="K235" s="53"/>
      <c r="L235" s="53"/>
      <c r="M235" s="53"/>
      <c r="N235" s="53"/>
      <c r="O235" s="53"/>
      <c r="P235" s="53"/>
      <c r="Q235" s="52"/>
    </row>
    <row r="236">
      <c r="B236" s="26"/>
      <c r="C236" s="40"/>
      <c r="D236" s="40"/>
      <c r="E236" s="40"/>
      <c r="F236" s="40"/>
      <c r="G236" s="40"/>
      <c r="H236" s="40"/>
      <c r="I236" s="53"/>
      <c r="J236" s="53"/>
      <c r="K236" s="53"/>
      <c r="L236" s="53"/>
      <c r="M236" s="53"/>
      <c r="N236" s="53"/>
      <c r="O236" s="53"/>
      <c r="P236" s="53"/>
      <c r="Q236" s="52"/>
    </row>
    <row r="237">
      <c r="B237" s="26"/>
      <c r="C237" s="40"/>
      <c r="D237" s="40"/>
      <c r="E237" s="40"/>
      <c r="F237" s="40"/>
      <c r="G237" s="40"/>
      <c r="H237" s="40"/>
      <c r="I237" s="53"/>
      <c r="J237" s="53"/>
      <c r="K237" s="53"/>
      <c r="L237" s="53"/>
      <c r="M237" s="53"/>
      <c r="N237" s="53"/>
      <c r="O237" s="53"/>
      <c r="P237" s="53"/>
      <c r="Q237" s="52"/>
    </row>
    <row r="238">
      <c r="B238" s="26"/>
      <c r="C238" s="40"/>
      <c r="D238" s="40"/>
      <c r="E238" s="40"/>
      <c r="F238" s="40"/>
      <c r="G238" s="40"/>
      <c r="H238" s="40"/>
      <c r="I238" s="53"/>
      <c r="J238" s="53"/>
      <c r="K238" s="53"/>
      <c r="L238" s="53"/>
      <c r="M238" s="53"/>
      <c r="N238" s="53"/>
      <c r="O238" s="53"/>
      <c r="P238" s="53"/>
      <c r="Q238" s="52"/>
    </row>
    <row r="239">
      <c r="B239" s="26"/>
      <c r="C239" s="40"/>
      <c r="D239" s="40"/>
      <c r="E239" s="40"/>
      <c r="F239" s="40"/>
      <c r="G239" s="40"/>
      <c r="H239" s="40"/>
      <c r="I239" s="53"/>
      <c r="J239" s="53"/>
      <c r="K239" s="53"/>
      <c r="L239" s="53"/>
      <c r="M239" s="53"/>
      <c r="N239" s="53"/>
      <c r="O239" s="53"/>
      <c r="P239" s="53"/>
      <c r="Q239" s="52"/>
    </row>
    <row r="240">
      <c r="B240" s="26"/>
      <c r="C240" s="40"/>
      <c r="D240" s="40"/>
      <c r="E240" s="40"/>
      <c r="F240" s="40"/>
      <c r="G240" s="40"/>
      <c r="H240" s="40"/>
      <c r="I240" s="53"/>
      <c r="J240" s="53"/>
      <c r="K240" s="53"/>
      <c r="L240" s="53"/>
      <c r="M240" s="53"/>
      <c r="N240" s="53"/>
      <c r="O240" s="53"/>
      <c r="P240" s="53"/>
      <c r="Q240" s="52"/>
    </row>
    <row r="241">
      <c r="B241" s="26"/>
      <c r="C241" s="40"/>
      <c r="D241" s="40"/>
      <c r="E241" s="40"/>
      <c r="F241" s="40"/>
      <c r="G241" s="40"/>
      <c r="H241" s="40"/>
      <c r="I241" s="53"/>
      <c r="J241" s="53"/>
      <c r="K241" s="53"/>
      <c r="L241" s="53"/>
      <c r="M241" s="53"/>
      <c r="N241" s="53"/>
      <c r="O241" s="53"/>
      <c r="P241" s="53"/>
      <c r="Q241" s="52"/>
    </row>
    <row r="242">
      <c r="B242" s="26"/>
      <c r="C242" s="40"/>
      <c r="D242" s="40"/>
      <c r="E242" s="40"/>
      <c r="F242" s="40"/>
      <c r="G242" s="40"/>
      <c r="H242" s="40"/>
      <c r="I242" s="53"/>
      <c r="J242" s="53"/>
      <c r="K242" s="53"/>
      <c r="L242" s="53"/>
      <c r="M242" s="53"/>
      <c r="N242" s="53"/>
      <c r="O242" s="53"/>
      <c r="P242" s="53"/>
      <c r="Q242" s="52"/>
    </row>
    <row r="243">
      <c r="B243" s="26"/>
      <c r="C243" s="40"/>
      <c r="D243" s="40"/>
      <c r="E243" s="40"/>
      <c r="F243" s="40"/>
      <c r="G243" s="40"/>
      <c r="H243" s="40"/>
      <c r="I243" s="53"/>
      <c r="J243" s="53"/>
      <c r="K243" s="53"/>
      <c r="L243" s="53"/>
      <c r="M243" s="53"/>
      <c r="N243" s="53"/>
      <c r="O243" s="53"/>
      <c r="P243" s="53"/>
      <c r="Q243" s="52"/>
    </row>
    <row r="244">
      <c r="B244" s="26"/>
      <c r="C244" s="40"/>
      <c r="D244" s="40"/>
      <c r="E244" s="40"/>
      <c r="F244" s="40"/>
      <c r="G244" s="40"/>
      <c r="H244" s="40"/>
      <c r="I244" s="53"/>
      <c r="J244" s="53"/>
      <c r="K244" s="53"/>
      <c r="L244" s="53"/>
      <c r="M244" s="53"/>
      <c r="N244" s="53"/>
      <c r="O244" s="53"/>
      <c r="P244" s="53"/>
      <c r="Q244" s="52"/>
    </row>
    <row r="245">
      <c r="B245" s="26"/>
      <c r="C245" s="40"/>
      <c r="D245" s="40"/>
      <c r="E245" s="40"/>
      <c r="F245" s="40"/>
      <c r="G245" s="40"/>
      <c r="H245" s="40"/>
      <c r="I245" s="53"/>
      <c r="J245" s="53"/>
      <c r="K245" s="53"/>
      <c r="L245" s="53"/>
      <c r="M245" s="53"/>
      <c r="N245" s="53"/>
      <c r="O245" s="53"/>
      <c r="P245" s="53"/>
      <c r="Q245" s="52"/>
    </row>
    <row r="246">
      <c r="B246" s="26"/>
      <c r="C246" s="40"/>
      <c r="D246" s="40"/>
      <c r="E246" s="40"/>
      <c r="F246" s="40"/>
      <c r="G246" s="40"/>
      <c r="H246" s="40"/>
      <c r="I246" s="53"/>
      <c r="J246" s="53"/>
      <c r="K246" s="53"/>
      <c r="L246" s="53"/>
      <c r="M246" s="53"/>
      <c r="N246" s="53"/>
      <c r="O246" s="53"/>
      <c r="P246" s="53"/>
      <c r="Q246" s="52"/>
    </row>
    <row r="247">
      <c r="B247" s="26"/>
      <c r="C247" s="40"/>
      <c r="D247" s="40"/>
      <c r="E247" s="40"/>
      <c r="F247" s="40"/>
      <c r="G247" s="40"/>
      <c r="H247" s="40"/>
      <c r="I247" s="53"/>
      <c r="J247" s="53"/>
      <c r="K247" s="53"/>
      <c r="L247" s="53"/>
      <c r="M247" s="53"/>
      <c r="N247" s="53"/>
      <c r="O247" s="53"/>
      <c r="P247" s="53"/>
      <c r="Q247" s="52"/>
    </row>
    <row r="248">
      <c r="B248" s="26"/>
      <c r="C248" s="40"/>
      <c r="D248" s="40"/>
      <c r="E248" s="40"/>
      <c r="F248" s="40"/>
      <c r="G248" s="40"/>
      <c r="H248" s="40"/>
      <c r="I248" s="53"/>
      <c r="J248" s="53"/>
      <c r="K248" s="53"/>
      <c r="L248" s="53"/>
      <c r="M248" s="53"/>
      <c r="N248" s="53"/>
      <c r="O248" s="53"/>
      <c r="P248" s="53"/>
      <c r="Q248" s="52"/>
    </row>
    <row r="249">
      <c r="B249" s="26"/>
      <c r="C249" s="40"/>
      <c r="D249" s="40"/>
      <c r="E249" s="40"/>
      <c r="F249" s="40"/>
      <c r="G249" s="40"/>
      <c r="H249" s="40"/>
      <c r="I249" s="53"/>
      <c r="J249" s="53"/>
      <c r="K249" s="53"/>
      <c r="L249" s="53"/>
      <c r="M249" s="53"/>
      <c r="N249" s="53"/>
      <c r="O249" s="53"/>
      <c r="P249" s="53"/>
      <c r="Q249" s="52"/>
    </row>
    <row r="250">
      <c r="B250" s="26"/>
      <c r="C250" s="40"/>
      <c r="D250" s="40"/>
      <c r="E250" s="40"/>
      <c r="F250" s="40"/>
      <c r="G250" s="40"/>
      <c r="H250" s="40"/>
      <c r="I250" s="53"/>
      <c r="J250" s="53"/>
      <c r="K250" s="53"/>
      <c r="L250" s="53"/>
      <c r="M250" s="53"/>
      <c r="N250" s="53"/>
      <c r="O250" s="53"/>
      <c r="P250" s="53"/>
      <c r="Q250" s="52"/>
    </row>
    <row r="251">
      <c r="B251" s="26"/>
      <c r="C251" s="40"/>
      <c r="D251" s="40"/>
      <c r="E251" s="40"/>
      <c r="F251" s="40"/>
      <c r="G251" s="40"/>
      <c r="H251" s="40"/>
      <c r="I251" s="53"/>
      <c r="J251" s="53"/>
      <c r="K251" s="53"/>
      <c r="L251" s="53"/>
      <c r="M251" s="53"/>
      <c r="N251" s="53"/>
      <c r="O251" s="53"/>
      <c r="P251" s="53"/>
      <c r="Q251" s="52"/>
    </row>
    <row r="252">
      <c r="B252" s="26"/>
      <c r="C252" s="40"/>
      <c r="D252" s="40"/>
      <c r="E252" s="40"/>
      <c r="F252" s="40"/>
      <c r="G252" s="40"/>
      <c r="H252" s="40"/>
      <c r="I252" s="53"/>
      <c r="J252" s="53"/>
      <c r="K252" s="53"/>
      <c r="L252" s="53"/>
      <c r="M252" s="53"/>
      <c r="N252" s="53"/>
      <c r="O252" s="53"/>
      <c r="P252" s="53"/>
      <c r="Q252" s="52"/>
    </row>
    <row r="253">
      <c r="B253" s="26"/>
      <c r="C253" s="40"/>
      <c r="D253" s="40"/>
      <c r="E253" s="40"/>
      <c r="F253" s="40"/>
      <c r="G253" s="40"/>
      <c r="H253" s="40"/>
      <c r="I253" s="53"/>
      <c r="J253" s="53"/>
      <c r="K253" s="53"/>
      <c r="L253" s="53"/>
      <c r="M253" s="53"/>
      <c r="N253" s="53"/>
      <c r="O253" s="53"/>
      <c r="P253" s="53"/>
      <c r="Q253" s="52"/>
    </row>
    <row r="254">
      <c r="B254" s="26"/>
      <c r="C254" s="40"/>
      <c r="D254" s="40"/>
      <c r="E254" s="40"/>
      <c r="F254" s="40"/>
      <c r="G254" s="40"/>
      <c r="H254" s="40"/>
      <c r="I254" s="53"/>
      <c r="J254" s="53"/>
      <c r="K254" s="53"/>
      <c r="L254" s="53"/>
      <c r="M254" s="53"/>
      <c r="N254" s="53"/>
      <c r="O254" s="53"/>
      <c r="P254" s="53"/>
      <c r="Q254" s="52"/>
    </row>
    <row r="255">
      <c r="B255" s="26"/>
      <c r="C255" s="40"/>
      <c r="D255" s="40"/>
      <c r="E255" s="40"/>
      <c r="F255" s="40"/>
      <c r="G255" s="40"/>
      <c r="H255" s="40"/>
      <c r="I255" s="53"/>
      <c r="J255" s="53"/>
      <c r="K255" s="53"/>
      <c r="L255" s="53"/>
      <c r="M255" s="53"/>
      <c r="N255" s="53"/>
      <c r="O255" s="53"/>
      <c r="P255" s="53"/>
      <c r="Q255" s="52"/>
    </row>
    <row r="256">
      <c r="B256" s="26"/>
      <c r="C256" s="40"/>
      <c r="D256" s="40"/>
      <c r="E256" s="40"/>
      <c r="F256" s="40"/>
      <c r="G256" s="40"/>
      <c r="H256" s="40"/>
      <c r="I256" s="53"/>
      <c r="J256" s="53"/>
      <c r="K256" s="53"/>
      <c r="L256" s="53"/>
      <c r="M256" s="53"/>
      <c r="N256" s="53"/>
      <c r="O256" s="53"/>
      <c r="P256" s="53"/>
      <c r="Q256" s="52"/>
    </row>
    <row r="257">
      <c r="B257" s="26"/>
      <c r="C257" s="40"/>
      <c r="D257" s="40"/>
      <c r="E257" s="40"/>
      <c r="F257" s="40"/>
      <c r="G257" s="40"/>
      <c r="H257" s="40"/>
      <c r="I257" s="53"/>
      <c r="J257" s="53"/>
      <c r="K257" s="53"/>
      <c r="L257" s="53"/>
      <c r="M257" s="53"/>
      <c r="N257" s="53"/>
      <c r="O257" s="53"/>
      <c r="P257" s="53"/>
      <c r="Q257" s="52"/>
    </row>
    <row r="258">
      <c r="B258" s="26"/>
      <c r="C258" s="40"/>
      <c r="D258" s="40"/>
      <c r="E258" s="40"/>
      <c r="F258" s="40"/>
      <c r="G258" s="40"/>
      <c r="H258" s="40"/>
      <c r="I258" s="53"/>
      <c r="J258" s="53"/>
      <c r="K258" s="53"/>
      <c r="L258" s="53"/>
      <c r="M258" s="53"/>
      <c r="N258" s="53"/>
      <c r="O258" s="53"/>
      <c r="P258" s="53"/>
      <c r="Q258" s="52"/>
    </row>
    <row r="259">
      <c r="B259" s="26"/>
      <c r="C259" s="40"/>
      <c r="D259" s="40"/>
      <c r="E259" s="40"/>
      <c r="F259" s="40"/>
      <c r="G259" s="40"/>
      <c r="H259" s="40"/>
      <c r="I259" s="53"/>
      <c r="J259" s="53"/>
      <c r="K259" s="53"/>
      <c r="L259" s="53"/>
      <c r="M259" s="53"/>
      <c r="N259" s="53"/>
      <c r="O259" s="53"/>
      <c r="P259" s="53"/>
      <c r="Q259" s="52"/>
    </row>
    <row r="260">
      <c r="B260" s="26"/>
      <c r="C260" s="40"/>
      <c r="D260" s="40"/>
      <c r="E260" s="40"/>
      <c r="F260" s="40"/>
      <c r="G260" s="40"/>
      <c r="H260" s="40"/>
      <c r="I260" s="53"/>
      <c r="J260" s="53"/>
      <c r="K260" s="53"/>
      <c r="L260" s="53"/>
      <c r="M260" s="53"/>
      <c r="N260" s="53"/>
      <c r="O260" s="53"/>
      <c r="P260" s="53"/>
      <c r="Q260" s="52"/>
    </row>
    <row r="261">
      <c r="B261" s="26"/>
      <c r="C261" s="40"/>
      <c r="D261" s="40"/>
      <c r="E261" s="40"/>
      <c r="F261" s="40"/>
      <c r="G261" s="40"/>
      <c r="H261" s="40"/>
      <c r="I261" s="53"/>
      <c r="J261" s="53"/>
      <c r="K261" s="53"/>
      <c r="L261" s="53"/>
      <c r="M261" s="53"/>
      <c r="N261" s="53"/>
      <c r="O261" s="53"/>
      <c r="P261" s="53"/>
      <c r="Q261" s="52"/>
    </row>
    <row r="262">
      <c r="B262" s="26"/>
      <c r="C262" s="40"/>
      <c r="D262" s="40"/>
      <c r="E262" s="40"/>
      <c r="F262" s="40"/>
      <c r="G262" s="40"/>
      <c r="H262" s="40"/>
      <c r="I262" s="53"/>
      <c r="J262" s="53"/>
      <c r="K262" s="53"/>
      <c r="L262" s="53"/>
      <c r="M262" s="53"/>
      <c r="N262" s="53"/>
      <c r="O262" s="53"/>
      <c r="P262" s="53"/>
      <c r="Q262" s="52"/>
    </row>
    <row r="263">
      <c r="B263" s="26"/>
      <c r="C263" s="40"/>
      <c r="D263" s="40"/>
      <c r="E263" s="40"/>
      <c r="F263" s="40"/>
      <c r="G263" s="40"/>
      <c r="H263" s="40"/>
      <c r="I263" s="53"/>
      <c r="J263" s="53"/>
      <c r="K263" s="53"/>
      <c r="L263" s="53"/>
      <c r="M263" s="53"/>
      <c r="N263" s="53"/>
      <c r="O263" s="53"/>
      <c r="P263" s="53"/>
      <c r="Q263" s="52"/>
    </row>
    <row r="264">
      <c r="B264" s="26"/>
      <c r="C264" s="40"/>
      <c r="D264" s="40"/>
      <c r="E264" s="40"/>
      <c r="F264" s="40"/>
      <c r="G264" s="40"/>
      <c r="H264" s="40"/>
      <c r="I264" s="53"/>
      <c r="J264" s="53"/>
      <c r="K264" s="53"/>
      <c r="L264" s="53"/>
      <c r="M264" s="53"/>
      <c r="N264" s="53"/>
      <c r="O264" s="53"/>
      <c r="P264" s="53"/>
      <c r="Q264" s="52"/>
    </row>
    <row r="265">
      <c r="B265" s="26"/>
      <c r="C265" s="40"/>
      <c r="D265" s="40"/>
      <c r="E265" s="40"/>
      <c r="F265" s="40"/>
      <c r="G265" s="40"/>
      <c r="H265" s="40"/>
      <c r="I265" s="53"/>
      <c r="J265" s="53"/>
      <c r="K265" s="53"/>
      <c r="L265" s="53"/>
      <c r="M265" s="53"/>
      <c r="N265" s="53"/>
      <c r="O265" s="53"/>
      <c r="P265" s="53"/>
      <c r="Q265" s="52"/>
    </row>
    <row r="266">
      <c r="B266" s="26"/>
      <c r="C266" s="40"/>
      <c r="D266" s="40"/>
      <c r="E266" s="40"/>
      <c r="F266" s="40"/>
      <c r="G266" s="40"/>
      <c r="H266" s="40"/>
      <c r="I266" s="53"/>
      <c r="J266" s="53"/>
      <c r="K266" s="53"/>
      <c r="L266" s="53"/>
      <c r="M266" s="53"/>
      <c r="N266" s="53"/>
      <c r="O266" s="53"/>
      <c r="P266" s="53"/>
      <c r="Q266" s="52"/>
    </row>
    <row r="267">
      <c r="B267" s="26"/>
      <c r="C267" s="40"/>
      <c r="D267" s="40"/>
      <c r="E267" s="40"/>
      <c r="F267" s="40"/>
      <c r="G267" s="40"/>
      <c r="H267" s="40"/>
      <c r="I267" s="53"/>
      <c r="J267" s="53"/>
      <c r="K267" s="53"/>
      <c r="L267" s="53"/>
      <c r="M267" s="53"/>
      <c r="N267" s="53"/>
      <c r="O267" s="53"/>
      <c r="P267" s="53"/>
      <c r="Q267" s="52"/>
    </row>
    <row r="268">
      <c r="B268" s="26"/>
      <c r="C268" s="40"/>
      <c r="D268" s="40"/>
      <c r="E268" s="40"/>
      <c r="F268" s="40"/>
      <c r="G268" s="40"/>
      <c r="H268" s="40"/>
      <c r="I268" s="53"/>
      <c r="J268" s="53"/>
      <c r="K268" s="53"/>
      <c r="L268" s="53"/>
      <c r="M268" s="53"/>
      <c r="N268" s="53"/>
      <c r="O268" s="53"/>
      <c r="P268" s="53"/>
      <c r="Q268" s="52"/>
    </row>
    <row r="269">
      <c r="B269" s="26"/>
      <c r="C269" s="40"/>
      <c r="D269" s="40"/>
      <c r="E269" s="40"/>
      <c r="F269" s="40"/>
      <c r="G269" s="40"/>
      <c r="H269" s="40"/>
      <c r="I269" s="53"/>
      <c r="J269" s="53"/>
      <c r="K269" s="53"/>
      <c r="L269" s="53"/>
      <c r="M269" s="53"/>
      <c r="N269" s="53"/>
      <c r="O269" s="53"/>
      <c r="P269" s="53"/>
      <c r="Q269" s="52"/>
    </row>
    <row r="270">
      <c r="B270" s="26"/>
      <c r="C270" s="40"/>
      <c r="D270" s="40"/>
      <c r="E270" s="40"/>
      <c r="F270" s="40"/>
      <c r="G270" s="40"/>
      <c r="H270" s="40"/>
      <c r="I270" s="53"/>
      <c r="J270" s="53"/>
      <c r="K270" s="53"/>
      <c r="L270" s="53"/>
      <c r="M270" s="53"/>
      <c r="N270" s="53"/>
      <c r="O270" s="53"/>
      <c r="P270" s="53"/>
      <c r="Q270" s="52"/>
    </row>
    <row r="271">
      <c r="B271" s="26"/>
      <c r="C271" s="40"/>
      <c r="D271" s="40"/>
      <c r="E271" s="40"/>
      <c r="F271" s="40"/>
      <c r="G271" s="40"/>
      <c r="H271" s="40"/>
      <c r="I271" s="53"/>
      <c r="J271" s="53"/>
      <c r="K271" s="53"/>
      <c r="L271" s="53"/>
      <c r="M271" s="53"/>
      <c r="N271" s="53"/>
      <c r="O271" s="53"/>
      <c r="P271" s="53"/>
      <c r="Q271" s="52"/>
    </row>
    <row r="272">
      <c r="B272" s="26"/>
      <c r="C272" s="40"/>
      <c r="D272" s="40"/>
      <c r="E272" s="40"/>
      <c r="F272" s="40"/>
      <c r="G272" s="40"/>
      <c r="H272" s="40"/>
      <c r="I272" s="53"/>
      <c r="J272" s="53"/>
      <c r="K272" s="53"/>
      <c r="L272" s="53"/>
      <c r="M272" s="53"/>
      <c r="N272" s="53"/>
      <c r="O272" s="53"/>
      <c r="P272" s="53"/>
      <c r="Q272" s="52"/>
    </row>
    <row r="273">
      <c r="B273" s="26"/>
      <c r="C273" s="40"/>
      <c r="D273" s="40"/>
      <c r="E273" s="40"/>
      <c r="F273" s="40"/>
      <c r="G273" s="40"/>
      <c r="H273" s="40"/>
      <c r="I273" s="53"/>
      <c r="J273" s="53"/>
      <c r="K273" s="53"/>
      <c r="L273" s="53"/>
      <c r="M273" s="53"/>
      <c r="N273" s="53"/>
      <c r="O273" s="53"/>
      <c r="P273" s="53"/>
      <c r="Q273" s="52"/>
    </row>
    <row r="274">
      <c r="B274" s="26"/>
      <c r="C274" s="40"/>
      <c r="D274" s="40"/>
      <c r="E274" s="40"/>
      <c r="F274" s="40"/>
      <c r="G274" s="40"/>
      <c r="H274" s="40"/>
      <c r="I274" s="53"/>
      <c r="J274" s="53"/>
      <c r="K274" s="53"/>
      <c r="L274" s="53"/>
      <c r="M274" s="53"/>
      <c r="N274" s="53"/>
      <c r="O274" s="53"/>
      <c r="P274" s="53"/>
      <c r="Q274" s="52"/>
    </row>
    <row r="275">
      <c r="B275" s="26"/>
      <c r="C275" s="40"/>
      <c r="D275" s="40"/>
      <c r="E275" s="40"/>
      <c r="F275" s="40"/>
      <c r="G275" s="40"/>
      <c r="H275" s="40"/>
      <c r="I275" s="53"/>
      <c r="J275" s="53"/>
      <c r="K275" s="53"/>
      <c r="L275" s="53"/>
      <c r="M275" s="53"/>
      <c r="N275" s="53"/>
      <c r="O275" s="53"/>
      <c r="P275" s="53"/>
      <c r="Q275" s="52"/>
    </row>
    <row r="276">
      <c r="B276" s="26"/>
      <c r="C276" s="40"/>
      <c r="D276" s="40"/>
      <c r="E276" s="40"/>
      <c r="F276" s="40"/>
      <c r="G276" s="40"/>
      <c r="H276" s="40"/>
      <c r="I276" s="53"/>
      <c r="J276" s="53"/>
      <c r="K276" s="53"/>
      <c r="L276" s="53"/>
      <c r="M276" s="53"/>
      <c r="N276" s="53"/>
      <c r="O276" s="53"/>
      <c r="P276" s="53"/>
      <c r="Q276" s="52"/>
    </row>
    <row r="277">
      <c r="B277" s="26"/>
      <c r="C277" s="40"/>
      <c r="D277" s="40"/>
      <c r="E277" s="40"/>
      <c r="F277" s="40"/>
      <c r="G277" s="40"/>
      <c r="H277" s="40"/>
      <c r="I277" s="53"/>
      <c r="J277" s="53"/>
      <c r="K277" s="53"/>
      <c r="L277" s="53"/>
      <c r="M277" s="53"/>
      <c r="N277" s="53"/>
      <c r="O277" s="53"/>
      <c r="P277" s="53"/>
      <c r="Q277" s="52"/>
    </row>
    <row r="278">
      <c r="B278" s="26"/>
      <c r="C278" s="40"/>
      <c r="D278" s="40"/>
      <c r="E278" s="40"/>
      <c r="F278" s="40"/>
      <c r="G278" s="40"/>
      <c r="H278" s="40"/>
      <c r="I278" s="53"/>
      <c r="J278" s="53"/>
      <c r="K278" s="53"/>
      <c r="L278" s="53"/>
      <c r="M278" s="53"/>
      <c r="N278" s="53"/>
      <c r="O278" s="53"/>
      <c r="P278" s="53"/>
      <c r="Q278" s="52"/>
    </row>
    <row r="279">
      <c r="B279" s="26"/>
      <c r="C279" s="40"/>
      <c r="D279" s="40"/>
      <c r="E279" s="40"/>
      <c r="F279" s="40"/>
      <c r="G279" s="40"/>
      <c r="H279" s="40"/>
      <c r="I279" s="53"/>
      <c r="J279" s="53"/>
      <c r="K279" s="53"/>
      <c r="L279" s="53"/>
      <c r="M279" s="53"/>
      <c r="N279" s="53"/>
      <c r="O279" s="53"/>
      <c r="P279" s="53"/>
      <c r="Q279" s="52"/>
    </row>
    <row r="280">
      <c r="B280" s="26"/>
      <c r="C280" s="40"/>
      <c r="D280" s="40"/>
      <c r="E280" s="40"/>
      <c r="F280" s="40"/>
      <c r="G280" s="40"/>
      <c r="H280" s="40"/>
      <c r="I280" s="53"/>
      <c r="J280" s="53"/>
      <c r="K280" s="53"/>
      <c r="L280" s="53"/>
      <c r="M280" s="53"/>
      <c r="N280" s="53"/>
      <c r="O280" s="53"/>
      <c r="P280" s="53"/>
      <c r="Q280" s="52"/>
    </row>
    <row r="281">
      <c r="B281" s="26"/>
      <c r="C281" s="40"/>
      <c r="D281" s="40"/>
      <c r="E281" s="40"/>
      <c r="F281" s="40"/>
      <c r="G281" s="40"/>
      <c r="H281" s="40"/>
      <c r="I281" s="53"/>
      <c r="J281" s="53"/>
      <c r="K281" s="53"/>
      <c r="L281" s="53"/>
      <c r="M281" s="53"/>
      <c r="N281" s="53"/>
      <c r="O281" s="53"/>
      <c r="P281" s="53"/>
      <c r="Q281" s="52"/>
    </row>
    <row r="282">
      <c r="B282" s="26"/>
      <c r="C282" s="40"/>
      <c r="D282" s="40"/>
      <c r="E282" s="40"/>
      <c r="F282" s="40"/>
      <c r="G282" s="40"/>
      <c r="H282" s="40"/>
      <c r="I282" s="53"/>
      <c r="J282" s="53"/>
      <c r="K282" s="53"/>
      <c r="L282" s="53"/>
      <c r="M282" s="53"/>
      <c r="N282" s="53"/>
      <c r="O282" s="53"/>
      <c r="P282" s="53"/>
      <c r="Q282" s="52"/>
    </row>
    <row r="283">
      <c r="B283" s="26"/>
      <c r="C283" s="40"/>
      <c r="D283" s="40"/>
      <c r="E283" s="40"/>
      <c r="F283" s="40"/>
      <c r="G283" s="40"/>
      <c r="H283" s="40"/>
      <c r="I283" s="53"/>
      <c r="J283" s="53"/>
      <c r="K283" s="53"/>
      <c r="L283" s="53"/>
      <c r="M283" s="53"/>
      <c r="N283" s="53"/>
      <c r="O283" s="53"/>
      <c r="P283" s="53"/>
      <c r="Q283" s="52"/>
    </row>
    <row r="284">
      <c r="B284" s="26"/>
      <c r="C284" s="40"/>
      <c r="D284" s="40"/>
      <c r="E284" s="40"/>
      <c r="F284" s="40"/>
      <c r="G284" s="40"/>
      <c r="H284" s="40"/>
      <c r="I284" s="53"/>
      <c r="J284" s="53"/>
      <c r="K284" s="53"/>
      <c r="L284" s="53"/>
      <c r="M284" s="53"/>
      <c r="N284" s="53"/>
      <c r="O284" s="53"/>
      <c r="P284" s="53"/>
      <c r="Q284" s="52"/>
    </row>
    <row r="285">
      <c r="B285" s="26"/>
      <c r="C285" s="40"/>
      <c r="D285" s="40"/>
      <c r="E285" s="40"/>
      <c r="F285" s="40"/>
      <c r="G285" s="40"/>
      <c r="H285" s="40"/>
      <c r="I285" s="53"/>
      <c r="J285" s="53"/>
      <c r="K285" s="53"/>
      <c r="L285" s="53"/>
      <c r="M285" s="53"/>
      <c r="N285" s="53"/>
      <c r="O285" s="53"/>
      <c r="P285" s="53"/>
      <c r="Q285" s="52"/>
    </row>
    <row r="286">
      <c r="B286" s="26"/>
      <c r="C286" s="40"/>
      <c r="D286" s="40"/>
      <c r="E286" s="40"/>
      <c r="F286" s="40"/>
      <c r="G286" s="40"/>
      <c r="H286" s="40"/>
      <c r="I286" s="53"/>
      <c r="J286" s="53"/>
      <c r="K286" s="53"/>
      <c r="L286" s="53"/>
      <c r="M286" s="53"/>
      <c r="N286" s="53"/>
      <c r="O286" s="53"/>
      <c r="P286" s="53"/>
      <c r="Q286" s="52"/>
    </row>
    <row r="287">
      <c r="B287" s="26"/>
      <c r="C287" s="40"/>
      <c r="D287" s="40"/>
      <c r="E287" s="40"/>
      <c r="F287" s="40"/>
      <c r="G287" s="40"/>
      <c r="H287" s="40"/>
      <c r="I287" s="53"/>
      <c r="J287" s="53"/>
      <c r="K287" s="53"/>
      <c r="L287" s="53"/>
      <c r="M287" s="53"/>
      <c r="N287" s="53"/>
      <c r="O287" s="53"/>
      <c r="P287" s="53"/>
      <c r="Q287" s="52"/>
    </row>
    <row r="288">
      <c r="B288" s="26"/>
      <c r="C288" s="40"/>
      <c r="D288" s="40"/>
      <c r="E288" s="40"/>
      <c r="F288" s="40"/>
      <c r="G288" s="40"/>
      <c r="H288" s="40"/>
      <c r="I288" s="53"/>
      <c r="J288" s="53"/>
      <c r="K288" s="53"/>
      <c r="L288" s="53"/>
      <c r="M288" s="53"/>
      <c r="N288" s="53"/>
      <c r="O288" s="53"/>
      <c r="P288" s="53"/>
      <c r="Q288" s="52"/>
    </row>
    <row r="289">
      <c r="B289" s="26"/>
      <c r="C289" s="40"/>
      <c r="D289" s="40"/>
      <c r="E289" s="40"/>
      <c r="F289" s="40"/>
      <c r="G289" s="40"/>
      <c r="H289" s="40"/>
      <c r="I289" s="53"/>
      <c r="J289" s="53"/>
      <c r="K289" s="53"/>
      <c r="L289" s="53"/>
      <c r="M289" s="53"/>
      <c r="N289" s="53"/>
      <c r="O289" s="53"/>
      <c r="P289" s="53"/>
      <c r="Q289" s="52"/>
    </row>
    <row r="290">
      <c r="B290" s="26"/>
      <c r="C290" s="40"/>
      <c r="D290" s="40"/>
      <c r="E290" s="40"/>
      <c r="F290" s="40"/>
      <c r="G290" s="40"/>
      <c r="H290" s="40"/>
      <c r="I290" s="53"/>
      <c r="J290" s="53"/>
      <c r="K290" s="53"/>
      <c r="L290" s="53"/>
      <c r="M290" s="53"/>
      <c r="N290" s="53"/>
      <c r="O290" s="53"/>
      <c r="P290" s="53"/>
      <c r="Q290" s="52"/>
    </row>
    <row r="291">
      <c r="B291" s="26"/>
      <c r="C291" s="40"/>
      <c r="D291" s="40"/>
      <c r="E291" s="40"/>
      <c r="F291" s="40"/>
      <c r="G291" s="40"/>
      <c r="H291" s="40"/>
      <c r="I291" s="53"/>
      <c r="J291" s="53"/>
      <c r="K291" s="53"/>
      <c r="L291" s="53"/>
      <c r="M291" s="53"/>
      <c r="N291" s="53"/>
      <c r="O291" s="53"/>
      <c r="P291" s="53"/>
      <c r="Q291" s="52"/>
    </row>
    <row r="292">
      <c r="B292" s="26"/>
      <c r="C292" s="40"/>
      <c r="D292" s="40"/>
      <c r="E292" s="40"/>
      <c r="F292" s="40"/>
      <c r="G292" s="40"/>
      <c r="H292" s="40"/>
      <c r="I292" s="53"/>
      <c r="J292" s="53"/>
      <c r="K292" s="53"/>
      <c r="L292" s="53"/>
      <c r="M292" s="53"/>
      <c r="N292" s="53"/>
      <c r="O292" s="53"/>
      <c r="P292" s="53"/>
      <c r="Q292" s="52"/>
    </row>
    <row r="293">
      <c r="B293" s="26"/>
      <c r="C293" s="40"/>
      <c r="D293" s="40"/>
      <c r="E293" s="40"/>
      <c r="F293" s="40"/>
      <c r="G293" s="40"/>
      <c r="H293" s="40"/>
      <c r="I293" s="53"/>
      <c r="J293" s="53"/>
      <c r="K293" s="53"/>
      <c r="L293" s="53"/>
      <c r="M293" s="53"/>
      <c r="N293" s="53"/>
      <c r="O293" s="53"/>
      <c r="P293" s="53"/>
      <c r="Q293" s="52"/>
    </row>
    <row r="294">
      <c r="B294" s="26"/>
      <c r="C294" s="40"/>
      <c r="D294" s="40"/>
      <c r="E294" s="40"/>
      <c r="F294" s="40"/>
      <c r="G294" s="40"/>
      <c r="H294" s="40"/>
      <c r="I294" s="53"/>
      <c r="J294" s="53"/>
      <c r="K294" s="53"/>
      <c r="L294" s="53"/>
      <c r="M294" s="53"/>
      <c r="N294" s="53"/>
      <c r="O294" s="53"/>
      <c r="P294" s="53"/>
      <c r="Q294" s="52"/>
    </row>
    <row r="295">
      <c r="B295" s="26"/>
      <c r="C295" s="40"/>
      <c r="D295" s="40"/>
      <c r="E295" s="40"/>
      <c r="F295" s="40"/>
      <c r="G295" s="40"/>
      <c r="H295" s="40"/>
      <c r="I295" s="53"/>
      <c r="J295" s="53"/>
      <c r="K295" s="53"/>
      <c r="L295" s="53"/>
      <c r="M295" s="53"/>
      <c r="N295" s="53"/>
      <c r="O295" s="53"/>
      <c r="P295" s="53"/>
      <c r="Q295" s="52"/>
    </row>
    <row r="296">
      <c r="B296" s="26"/>
      <c r="C296" s="40"/>
      <c r="D296" s="40"/>
      <c r="E296" s="40"/>
      <c r="F296" s="40"/>
      <c r="G296" s="40"/>
      <c r="H296" s="40"/>
      <c r="I296" s="53"/>
      <c r="J296" s="53"/>
      <c r="K296" s="53"/>
      <c r="L296" s="53"/>
      <c r="M296" s="53"/>
      <c r="N296" s="53"/>
      <c r="O296" s="53"/>
      <c r="P296" s="53"/>
      <c r="Q296" s="52"/>
    </row>
    <row r="297">
      <c r="B297" s="26"/>
      <c r="C297" s="40"/>
      <c r="D297" s="40"/>
      <c r="E297" s="40"/>
      <c r="F297" s="40"/>
      <c r="G297" s="40"/>
      <c r="H297" s="40"/>
      <c r="I297" s="53"/>
      <c r="J297" s="53"/>
      <c r="K297" s="53"/>
      <c r="L297" s="53"/>
      <c r="M297" s="53"/>
      <c r="N297" s="53"/>
      <c r="O297" s="53"/>
      <c r="P297" s="53"/>
      <c r="Q297" s="52"/>
    </row>
    <row r="298">
      <c r="B298" s="26"/>
      <c r="C298" s="40"/>
      <c r="D298" s="40"/>
      <c r="E298" s="40"/>
      <c r="F298" s="40"/>
      <c r="G298" s="40"/>
      <c r="H298" s="40"/>
      <c r="I298" s="53"/>
      <c r="J298" s="53"/>
      <c r="K298" s="53"/>
      <c r="L298" s="53"/>
      <c r="M298" s="53"/>
      <c r="N298" s="53"/>
      <c r="O298" s="53"/>
      <c r="P298" s="53"/>
      <c r="Q298" s="52"/>
    </row>
    <row r="299">
      <c r="B299" s="26"/>
      <c r="C299" s="40"/>
      <c r="D299" s="40"/>
      <c r="E299" s="40"/>
      <c r="F299" s="40"/>
      <c r="G299" s="40"/>
      <c r="H299" s="40"/>
      <c r="I299" s="53"/>
      <c r="J299" s="53"/>
      <c r="K299" s="53"/>
      <c r="L299" s="53"/>
      <c r="M299" s="53"/>
      <c r="N299" s="53"/>
      <c r="O299" s="53"/>
      <c r="P299" s="53"/>
      <c r="Q299" s="52"/>
    </row>
    <row r="300">
      <c r="B300" s="26"/>
      <c r="C300" s="40"/>
      <c r="D300" s="40"/>
      <c r="E300" s="40"/>
      <c r="F300" s="40"/>
      <c r="G300" s="40"/>
      <c r="H300" s="40"/>
      <c r="I300" s="53"/>
      <c r="J300" s="53"/>
      <c r="K300" s="53"/>
      <c r="L300" s="53"/>
      <c r="M300" s="53"/>
      <c r="N300" s="53"/>
      <c r="O300" s="53"/>
      <c r="P300" s="53"/>
      <c r="Q300" s="52"/>
    </row>
    <row r="301">
      <c r="B301" s="26"/>
      <c r="C301" s="40"/>
      <c r="D301" s="40"/>
      <c r="E301" s="40"/>
      <c r="F301" s="40"/>
      <c r="G301" s="40"/>
      <c r="H301" s="40"/>
      <c r="I301" s="53"/>
      <c r="J301" s="53"/>
      <c r="K301" s="53"/>
      <c r="L301" s="53"/>
      <c r="M301" s="53"/>
      <c r="N301" s="53"/>
      <c r="O301" s="53"/>
      <c r="P301" s="53"/>
      <c r="Q301" s="52"/>
    </row>
    <row r="302">
      <c r="B302" s="26"/>
      <c r="C302" s="40"/>
      <c r="D302" s="40"/>
      <c r="E302" s="40"/>
      <c r="F302" s="40"/>
      <c r="G302" s="40"/>
      <c r="H302" s="40"/>
      <c r="I302" s="53"/>
      <c r="J302" s="53"/>
      <c r="K302" s="53"/>
      <c r="L302" s="53"/>
      <c r="M302" s="53"/>
      <c r="N302" s="53"/>
      <c r="O302" s="53"/>
      <c r="P302" s="53"/>
      <c r="Q302" s="52"/>
    </row>
    <row r="303">
      <c r="B303" s="26"/>
      <c r="C303" s="40"/>
      <c r="D303" s="40"/>
      <c r="E303" s="40"/>
      <c r="F303" s="40"/>
      <c r="G303" s="40"/>
      <c r="H303" s="40"/>
      <c r="I303" s="53"/>
      <c r="J303" s="53"/>
      <c r="K303" s="53"/>
      <c r="L303" s="53"/>
      <c r="M303" s="53"/>
      <c r="N303" s="53"/>
      <c r="O303" s="53"/>
      <c r="P303" s="53"/>
      <c r="Q303" s="52"/>
    </row>
    <row r="304">
      <c r="B304" s="26"/>
      <c r="C304" s="40"/>
      <c r="D304" s="40"/>
      <c r="E304" s="40"/>
      <c r="F304" s="40"/>
      <c r="G304" s="40"/>
      <c r="H304" s="40"/>
      <c r="I304" s="53"/>
      <c r="J304" s="53"/>
      <c r="K304" s="53"/>
      <c r="L304" s="53"/>
      <c r="M304" s="53"/>
      <c r="N304" s="53"/>
      <c r="O304" s="53"/>
      <c r="P304" s="53"/>
      <c r="Q304" s="52"/>
    </row>
    <row r="305">
      <c r="B305" s="26"/>
      <c r="C305" s="40"/>
      <c r="D305" s="40"/>
      <c r="E305" s="40"/>
      <c r="F305" s="40"/>
      <c r="G305" s="40"/>
      <c r="H305" s="40"/>
      <c r="I305" s="53"/>
      <c r="J305" s="53"/>
      <c r="K305" s="53"/>
      <c r="L305" s="53"/>
      <c r="M305" s="53"/>
      <c r="N305" s="53"/>
      <c r="O305" s="53"/>
      <c r="P305" s="53"/>
      <c r="Q305" s="52"/>
    </row>
    <row r="306">
      <c r="B306" s="26"/>
      <c r="C306" s="40"/>
      <c r="D306" s="40"/>
      <c r="E306" s="40"/>
      <c r="F306" s="40"/>
      <c r="G306" s="40"/>
      <c r="H306" s="40"/>
      <c r="I306" s="53"/>
      <c r="J306" s="53"/>
      <c r="K306" s="53"/>
      <c r="L306" s="53"/>
      <c r="M306" s="53"/>
      <c r="N306" s="53"/>
      <c r="O306" s="53"/>
      <c r="P306" s="53"/>
      <c r="Q306" s="52"/>
    </row>
    <row r="307">
      <c r="B307" s="26"/>
      <c r="C307" s="40"/>
      <c r="D307" s="40"/>
      <c r="E307" s="40"/>
      <c r="F307" s="40"/>
      <c r="G307" s="40"/>
      <c r="H307" s="40"/>
      <c r="I307" s="53"/>
      <c r="J307" s="53"/>
      <c r="K307" s="53"/>
      <c r="L307" s="53"/>
      <c r="M307" s="53"/>
      <c r="N307" s="53"/>
      <c r="O307" s="53"/>
      <c r="P307" s="53"/>
      <c r="Q307" s="52"/>
    </row>
    <row r="308">
      <c r="B308" s="26"/>
      <c r="C308" s="40"/>
      <c r="D308" s="40"/>
      <c r="E308" s="40"/>
      <c r="F308" s="40"/>
      <c r="G308" s="40"/>
      <c r="H308" s="40"/>
      <c r="I308" s="53"/>
      <c r="J308" s="53"/>
      <c r="K308" s="53"/>
      <c r="L308" s="53"/>
      <c r="M308" s="53"/>
      <c r="N308" s="53"/>
      <c r="O308" s="53"/>
      <c r="P308" s="53"/>
      <c r="Q308" s="52"/>
    </row>
    <row r="309">
      <c r="B309" s="26"/>
      <c r="C309" s="40"/>
      <c r="D309" s="40"/>
      <c r="E309" s="40"/>
      <c r="F309" s="40"/>
      <c r="G309" s="40"/>
      <c r="H309" s="40"/>
      <c r="I309" s="53"/>
      <c r="J309" s="53"/>
      <c r="K309" s="53"/>
      <c r="L309" s="53"/>
      <c r="M309" s="53"/>
      <c r="N309" s="53"/>
      <c r="O309" s="53"/>
      <c r="P309" s="53"/>
      <c r="Q309" s="52"/>
    </row>
    <row r="310">
      <c r="B310" s="26"/>
      <c r="C310" s="40"/>
      <c r="D310" s="40"/>
      <c r="E310" s="40"/>
      <c r="F310" s="40"/>
      <c r="G310" s="40"/>
      <c r="H310" s="40"/>
      <c r="I310" s="53"/>
      <c r="J310" s="53"/>
      <c r="K310" s="53"/>
      <c r="L310" s="53"/>
      <c r="M310" s="53"/>
      <c r="N310" s="53"/>
      <c r="O310" s="53"/>
      <c r="P310" s="53"/>
      <c r="Q310" s="52"/>
    </row>
    <row r="311">
      <c r="B311" s="26"/>
      <c r="C311" s="40"/>
      <c r="D311" s="40"/>
      <c r="E311" s="40"/>
      <c r="F311" s="40"/>
      <c r="G311" s="40"/>
      <c r="H311" s="40"/>
      <c r="I311" s="53"/>
      <c r="J311" s="53"/>
      <c r="K311" s="53"/>
      <c r="L311" s="53"/>
      <c r="M311" s="53"/>
      <c r="N311" s="53"/>
      <c r="O311" s="53"/>
      <c r="P311" s="53"/>
      <c r="Q311" s="52"/>
    </row>
    <row r="312">
      <c r="B312" s="26"/>
      <c r="C312" s="40"/>
      <c r="D312" s="40"/>
      <c r="E312" s="40"/>
      <c r="F312" s="40"/>
      <c r="G312" s="40"/>
      <c r="H312" s="40"/>
      <c r="I312" s="53"/>
      <c r="J312" s="53"/>
      <c r="K312" s="53"/>
      <c r="L312" s="53"/>
      <c r="M312" s="53"/>
      <c r="N312" s="53"/>
      <c r="O312" s="53"/>
      <c r="P312" s="53"/>
      <c r="Q312" s="52"/>
    </row>
    <row r="313">
      <c r="B313" s="26"/>
      <c r="C313" s="40"/>
      <c r="D313" s="40"/>
      <c r="E313" s="40"/>
      <c r="F313" s="40"/>
      <c r="G313" s="40"/>
      <c r="H313" s="40"/>
      <c r="I313" s="53"/>
      <c r="J313" s="53"/>
      <c r="K313" s="53"/>
      <c r="L313" s="53"/>
      <c r="M313" s="53"/>
      <c r="N313" s="53"/>
      <c r="O313" s="53"/>
      <c r="P313" s="53"/>
      <c r="Q313" s="52"/>
    </row>
    <row r="314">
      <c r="B314" s="26"/>
      <c r="C314" s="40"/>
      <c r="D314" s="40"/>
      <c r="E314" s="40"/>
      <c r="F314" s="40"/>
      <c r="G314" s="40"/>
      <c r="H314" s="40"/>
      <c r="I314" s="53"/>
      <c r="J314" s="53"/>
      <c r="K314" s="53"/>
      <c r="L314" s="53"/>
      <c r="M314" s="53"/>
      <c r="N314" s="53"/>
      <c r="O314" s="53"/>
      <c r="P314" s="53"/>
      <c r="Q314" s="52"/>
    </row>
    <row r="315">
      <c r="B315" s="26"/>
      <c r="C315" s="40"/>
      <c r="D315" s="40"/>
      <c r="E315" s="40"/>
      <c r="F315" s="40"/>
      <c r="G315" s="40"/>
      <c r="H315" s="40"/>
      <c r="I315" s="53"/>
      <c r="J315" s="53"/>
      <c r="K315" s="53"/>
      <c r="L315" s="53"/>
      <c r="M315" s="53"/>
      <c r="N315" s="53"/>
      <c r="O315" s="53"/>
      <c r="P315" s="53"/>
      <c r="Q315" s="52"/>
    </row>
    <row r="316">
      <c r="B316" s="26"/>
      <c r="C316" s="40"/>
      <c r="D316" s="40"/>
      <c r="E316" s="40"/>
      <c r="F316" s="40"/>
      <c r="G316" s="40"/>
      <c r="H316" s="40"/>
      <c r="I316" s="53"/>
      <c r="J316" s="53"/>
      <c r="K316" s="53"/>
      <c r="L316" s="53"/>
      <c r="M316" s="53"/>
      <c r="N316" s="53"/>
      <c r="O316" s="53"/>
      <c r="P316" s="53"/>
      <c r="Q316" s="52"/>
    </row>
    <row r="317">
      <c r="B317" s="26"/>
      <c r="C317" s="40"/>
      <c r="D317" s="40"/>
      <c r="E317" s="40"/>
      <c r="F317" s="40"/>
      <c r="G317" s="40"/>
      <c r="H317" s="40"/>
      <c r="I317" s="53"/>
      <c r="J317" s="53"/>
      <c r="K317" s="53"/>
      <c r="L317" s="53"/>
      <c r="M317" s="53"/>
      <c r="N317" s="53"/>
      <c r="O317" s="53"/>
      <c r="P317" s="53"/>
      <c r="Q317" s="52"/>
    </row>
    <row r="318">
      <c r="B318" s="26"/>
      <c r="C318" s="40"/>
      <c r="D318" s="40"/>
      <c r="E318" s="40"/>
      <c r="F318" s="40"/>
      <c r="G318" s="40"/>
      <c r="H318" s="40"/>
      <c r="I318" s="53"/>
      <c r="J318" s="53"/>
      <c r="K318" s="53"/>
      <c r="L318" s="53"/>
      <c r="M318" s="53"/>
      <c r="N318" s="53"/>
      <c r="O318" s="53"/>
      <c r="P318" s="53"/>
      <c r="Q318" s="52"/>
    </row>
    <row r="319">
      <c r="B319" s="26"/>
      <c r="C319" s="40"/>
      <c r="D319" s="40"/>
      <c r="E319" s="40"/>
      <c r="F319" s="40"/>
      <c r="G319" s="40"/>
      <c r="H319" s="40"/>
      <c r="I319" s="53"/>
      <c r="J319" s="53"/>
      <c r="K319" s="53"/>
      <c r="L319" s="53"/>
      <c r="M319" s="53"/>
      <c r="N319" s="53"/>
      <c r="O319" s="53"/>
      <c r="P319" s="53"/>
      <c r="Q319" s="52"/>
    </row>
    <row r="320">
      <c r="B320" s="26"/>
      <c r="C320" s="40"/>
      <c r="D320" s="40"/>
      <c r="E320" s="40"/>
      <c r="F320" s="40"/>
      <c r="G320" s="40"/>
      <c r="H320" s="40"/>
      <c r="I320" s="53"/>
      <c r="J320" s="53"/>
      <c r="K320" s="53"/>
      <c r="L320" s="53"/>
      <c r="M320" s="53"/>
      <c r="N320" s="53"/>
      <c r="O320" s="53"/>
      <c r="P320" s="53"/>
      <c r="Q320" s="52"/>
    </row>
    <row r="321">
      <c r="B321" s="26"/>
      <c r="C321" s="40"/>
      <c r="D321" s="40"/>
      <c r="E321" s="40"/>
      <c r="F321" s="40"/>
      <c r="G321" s="40"/>
      <c r="H321" s="40"/>
      <c r="I321" s="53"/>
      <c r="J321" s="53"/>
      <c r="K321" s="53"/>
      <c r="L321" s="53"/>
      <c r="M321" s="53"/>
      <c r="N321" s="53"/>
      <c r="O321" s="53"/>
      <c r="P321" s="53"/>
      <c r="Q321" s="52"/>
    </row>
    <row r="322">
      <c r="B322" s="26"/>
      <c r="C322" s="40"/>
      <c r="D322" s="40"/>
      <c r="E322" s="40"/>
      <c r="F322" s="40"/>
      <c r="G322" s="40"/>
      <c r="H322" s="40"/>
      <c r="I322" s="53"/>
      <c r="J322" s="53"/>
      <c r="K322" s="53"/>
      <c r="L322" s="53"/>
      <c r="M322" s="53"/>
      <c r="N322" s="53"/>
      <c r="O322" s="53"/>
      <c r="P322" s="53"/>
      <c r="Q322" s="52"/>
    </row>
    <row r="323">
      <c r="B323" s="26"/>
      <c r="C323" s="40"/>
      <c r="D323" s="40"/>
      <c r="E323" s="40"/>
      <c r="F323" s="40"/>
      <c r="G323" s="40"/>
      <c r="H323" s="40"/>
      <c r="I323" s="53"/>
      <c r="J323" s="53"/>
      <c r="K323" s="53"/>
      <c r="L323" s="53"/>
      <c r="M323" s="53"/>
      <c r="N323" s="53"/>
      <c r="O323" s="53"/>
      <c r="P323" s="53"/>
      <c r="Q323" s="52"/>
    </row>
    <row r="324">
      <c r="B324" s="26"/>
      <c r="C324" s="40"/>
      <c r="D324" s="40"/>
      <c r="E324" s="40"/>
      <c r="F324" s="40"/>
      <c r="G324" s="40"/>
      <c r="H324" s="40"/>
      <c r="I324" s="53"/>
      <c r="J324" s="53"/>
      <c r="K324" s="53"/>
      <c r="L324" s="53"/>
      <c r="M324" s="53"/>
      <c r="N324" s="53"/>
      <c r="O324" s="53"/>
      <c r="P324" s="53"/>
      <c r="Q324" s="52"/>
    </row>
    <row r="325">
      <c r="B325" s="26"/>
      <c r="C325" s="40"/>
      <c r="D325" s="40"/>
      <c r="E325" s="40"/>
      <c r="F325" s="40"/>
      <c r="G325" s="40"/>
      <c r="H325" s="40"/>
      <c r="I325" s="53"/>
      <c r="J325" s="53"/>
      <c r="K325" s="53"/>
      <c r="L325" s="53"/>
      <c r="M325" s="53"/>
      <c r="N325" s="53"/>
      <c r="O325" s="53"/>
      <c r="P325" s="53"/>
      <c r="Q325" s="52"/>
    </row>
    <row r="326">
      <c r="B326" s="26"/>
      <c r="C326" s="40"/>
      <c r="D326" s="40"/>
      <c r="E326" s="40"/>
      <c r="F326" s="40"/>
      <c r="G326" s="40"/>
      <c r="H326" s="40"/>
      <c r="I326" s="53"/>
      <c r="J326" s="53"/>
      <c r="K326" s="53"/>
      <c r="L326" s="53"/>
      <c r="M326" s="53"/>
      <c r="N326" s="53"/>
      <c r="O326" s="53"/>
      <c r="P326" s="53"/>
      <c r="Q326" s="52"/>
    </row>
    <row r="327">
      <c r="B327" s="26"/>
      <c r="C327" s="40"/>
      <c r="D327" s="40"/>
      <c r="E327" s="40"/>
      <c r="F327" s="40"/>
      <c r="G327" s="40"/>
      <c r="H327" s="40"/>
      <c r="I327" s="53"/>
      <c r="J327" s="53"/>
      <c r="K327" s="53"/>
      <c r="L327" s="53"/>
      <c r="M327" s="53"/>
      <c r="N327" s="53"/>
      <c r="O327" s="53"/>
      <c r="P327" s="53"/>
      <c r="Q327" s="52"/>
    </row>
    <row r="328">
      <c r="B328" s="26"/>
      <c r="C328" s="40"/>
      <c r="D328" s="40"/>
      <c r="E328" s="40"/>
      <c r="F328" s="40"/>
      <c r="G328" s="40"/>
      <c r="H328" s="40"/>
      <c r="I328" s="53"/>
      <c r="J328" s="53"/>
      <c r="K328" s="53"/>
      <c r="L328" s="53"/>
      <c r="M328" s="53"/>
      <c r="N328" s="53"/>
      <c r="O328" s="53"/>
      <c r="P328" s="53"/>
      <c r="Q328" s="52"/>
    </row>
    <row r="329">
      <c r="B329" s="26"/>
      <c r="C329" s="40"/>
      <c r="D329" s="40"/>
      <c r="E329" s="40"/>
      <c r="F329" s="40"/>
      <c r="G329" s="40"/>
      <c r="H329" s="40"/>
      <c r="I329" s="53"/>
      <c r="J329" s="53"/>
      <c r="K329" s="53"/>
      <c r="L329" s="53"/>
      <c r="M329" s="53"/>
      <c r="N329" s="53"/>
      <c r="O329" s="53"/>
      <c r="P329" s="53"/>
      <c r="Q329" s="52"/>
    </row>
    <row r="330">
      <c r="B330" s="26"/>
      <c r="C330" s="40"/>
      <c r="D330" s="40"/>
      <c r="E330" s="40"/>
      <c r="F330" s="40"/>
      <c r="G330" s="40"/>
      <c r="H330" s="40"/>
      <c r="I330" s="53"/>
      <c r="J330" s="53"/>
      <c r="K330" s="53"/>
      <c r="L330" s="53"/>
      <c r="M330" s="53"/>
      <c r="N330" s="53"/>
      <c r="O330" s="53"/>
      <c r="P330" s="53"/>
      <c r="Q330" s="52"/>
    </row>
    <row r="331">
      <c r="B331" s="26"/>
      <c r="C331" s="40"/>
      <c r="D331" s="40"/>
      <c r="E331" s="40"/>
      <c r="F331" s="40"/>
      <c r="G331" s="40"/>
      <c r="H331" s="40"/>
      <c r="I331" s="53"/>
      <c r="J331" s="53"/>
      <c r="K331" s="53"/>
      <c r="L331" s="53"/>
      <c r="M331" s="53"/>
      <c r="N331" s="53"/>
      <c r="O331" s="53"/>
      <c r="P331" s="53"/>
      <c r="Q331" s="52"/>
    </row>
    <row r="332">
      <c r="B332" s="26"/>
      <c r="C332" s="40"/>
      <c r="D332" s="40"/>
      <c r="E332" s="40"/>
      <c r="F332" s="40"/>
      <c r="G332" s="40"/>
      <c r="H332" s="40"/>
      <c r="I332" s="53"/>
      <c r="J332" s="53"/>
      <c r="K332" s="53"/>
      <c r="L332" s="53"/>
      <c r="M332" s="53"/>
      <c r="N332" s="53"/>
      <c r="O332" s="53"/>
      <c r="P332" s="53"/>
      <c r="Q332" s="52"/>
    </row>
    <row r="333">
      <c r="B333" s="26"/>
      <c r="C333" s="40"/>
      <c r="D333" s="40"/>
      <c r="E333" s="40"/>
      <c r="F333" s="40"/>
      <c r="G333" s="40"/>
      <c r="H333" s="40"/>
      <c r="I333" s="53"/>
      <c r="J333" s="53"/>
      <c r="K333" s="53"/>
      <c r="L333" s="53"/>
      <c r="M333" s="53"/>
      <c r="N333" s="53"/>
      <c r="O333" s="53"/>
      <c r="P333" s="53"/>
      <c r="Q333" s="52"/>
    </row>
    <row r="334">
      <c r="B334" s="26"/>
      <c r="C334" s="40"/>
      <c r="D334" s="40"/>
      <c r="E334" s="40"/>
      <c r="F334" s="40"/>
      <c r="G334" s="40"/>
      <c r="H334" s="40"/>
      <c r="I334" s="53"/>
      <c r="J334" s="53"/>
      <c r="K334" s="53"/>
      <c r="L334" s="53"/>
      <c r="M334" s="53"/>
      <c r="N334" s="53"/>
      <c r="O334" s="53"/>
      <c r="P334" s="53"/>
      <c r="Q334" s="52"/>
    </row>
    <row r="335">
      <c r="B335" s="26"/>
      <c r="C335" s="40"/>
      <c r="D335" s="40"/>
      <c r="E335" s="40"/>
      <c r="F335" s="40"/>
      <c r="G335" s="40"/>
      <c r="H335" s="40"/>
      <c r="I335" s="53"/>
      <c r="J335" s="53"/>
      <c r="K335" s="53"/>
      <c r="L335" s="53"/>
      <c r="M335" s="53"/>
      <c r="N335" s="53"/>
      <c r="O335" s="53"/>
      <c r="P335" s="53"/>
      <c r="Q335" s="52"/>
    </row>
    <row r="336">
      <c r="B336" s="26"/>
      <c r="C336" s="40"/>
      <c r="D336" s="40"/>
      <c r="E336" s="40"/>
      <c r="F336" s="40"/>
      <c r="G336" s="40"/>
      <c r="H336" s="40"/>
      <c r="I336" s="53"/>
      <c r="J336" s="53"/>
      <c r="K336" s="53"/>
      <c r="L336" s="53"/>
      <c r="M336" s="53"/>
      <c r="N336" s="53"/>
      <c r="O336" s="53"/>
      <c r="P336" s="53"/>
      <c r="Q336" s="52"/>
    </row>
    <row r="337">
      <c r="B337" s="26"/>
      <c r="C337" s="40"/>
      <c r="D337" s="40"/>
      <c r="E337" s="40"/>
      <c r="F337" s="40"/>
      <c r="G337" s="40"/>
      <c r="H337" s="40"/>
      <c r="I337" s="53"/>
      <c r="J337" s="53"/>
      <c r="K337" s="53"/>
      <c r="L337" s="53"/>
      <c r="M337" s="53"/>
      <c r="N337" s="53"/>
      <c r="O337" s="53"/>
      <c r="P337" s="53"/>
      <c r="Q337" s="52"/>
    </row>
    <row r="338">
      <c r="B338" s="26"/>
      <c r="C338" s="40"/>
      <c r="D338" s="40"/>
      <c r="E338" s="40"/>
      <c r="F338" s="40"/>
      <c r="G338" s="40"/>
      <c r="H338" s="40"/>
      <c r="I338" s="53"/>
      <c r="J338" s="53"/>
      <c r="K338" s="53"/>
      <c r="L338" s="53"/>
      <c r="M338" s="53"/>
      <c r="N338" s="53"/>
      <c r="O338" s="53"/>
      <c r="P338" s="53"/>
      <c r="Q338" s="52"/>
    </row>
    <row r="339">
      <c r="B339" s="26"/>
      <c r="C339" s="40"/>
      <c r="D339" s="40"/>
      <c r="E339" s="40"/>
      <c r="F339" s="40"/>
      <c r="G339" s="40"/>
      <c r="H339" s="40"/>
      <c r="I339" s="53"/>
      <c r="J339" s="53"/>
      <c r="K339" s="53"/>
      <c r="L339" s="53"/>
      <c r="M339" s="53"/>
      <c r="N339" s="53"/>
      <c r="O339" s="53"/>
      <c r="P339" s="53"/>
      <c r="Q339" s="52"/>
    </row>
    <row r="340">
      <c r="B340" s="26"/>
      <c r="C340" s="40"/>
      <c r="D340" s="40"/>
      <c r="E340" s="40"/>
      <c r="F340" s="40"/>
      <c r="G340" s="40"/>
      <c r="H340" s="40"/>
      <c r="I340" s="53"/>
      <c r="J340" s="53"/>
      <c r="K340" s="53"/>
      <c r="L340" s="53"/>
      <c r="M340" s="53"/>
      <c r="N340" s="53"/>
      <c r="O340" s="53"/>
      <c r="P340" s="53"/>
      <c r="Q340" s="52"/>
    </row>
    <row r="341">
      <c r="B341" s="26"/>
      <c r="C341" s="40"/>
      <c r="D341" s="40"/>
      <c r="E341" s="40"/>
      <c r="F341" s="40"/>
      <c r="G341" s="40"/>
      <c r="H341" s="40"/>
      <c r="I341" s="53"/>
      <c r="J341" s="53"/>
      <c r="K341" s="53"/>
      <c r="L341" s="53"/>
      <c r="M341" s="53"/>
      <c r="N341" s="53"/>
      <c r="O341" s="53"/>
      <c r="P341" s="53"/>
      <c r="Q341" s="52"/>
    </row>
    <row r="342">
      <c r="B342" s="26"/>
      <c r="C342" s="40"/>
      <c r="D342" s="40"/>
      <c r="E342" s="40"/>
      <c r="F342" s="40"/>
      <c r="G342" s="40"/>
      <c r="H342" s="40"/>
      <c r="I342" s="53"/>
      <c r="J342" s="53"/>
      <c r="K342" s="53"/>
      <c r="L342" s="53"/>
      <c r="M342" s="53"/>
      <c r="N342" s="53"/>
      <c r="O342" s="53"/>
      <c r="P342" s="53"/>
      <c r="Q342" s="52"/>
    </row>
    <row r="343">
      <c r="B343" s="26"/>
      <c r="C343" s="40"/>
      <c r="D343" s="40"/>
      <c r="E343" s="40"/>
      <c r="F343" s="40"/>
      <c r="G343" s="40"/>
      <c r="H343" s="40"/>
      <c r="I343" s="53"/>
      <c r="J343" s="53"/>
      <c r="K343" s="53"/>
      <c r="L343" s="53"/>
      <c r="M343" s="53"/>
      <c r="N343" s="53"/>
      <c r="O343" s="53"/>
      <c r="P343" s="53"/>
      <c r="Q343" s="52"/>
    </row>
    <row r="344">
      <c r="B344" s="26"/>
      <c r="C344" s="40"/>
      <c r="D344" s="40"/>
      <c r="E344" s="40"/>
      <c r="F344" s="40"/>
      <c r="G344" s="40"/>
      <c r="H344" s="40"/>
      <c r="I344" s="53"/>
      <c r="J344" s="53"/>
      <c r="K344" s="53"/>
      <c r="L344" s="53"/>
      <c r="M344" s="53"/>
      <c r="N344" s="53"/>
      <c r="O344" s="53"/>
      <c r="P344" s="53"/>
      <c r="Q344" s="52"/>
    </row>
    <row r="345">
      <c r="B345" s="26"/>
      <c r="C345" s="40"/>
      <c r="D345" s="40"/>
      <c r="E345" s="40"/>
      <c r="F345" s="40"/>
      <c r="G345" s="40"/>
      <c r="H345" s="40"/>
      <c r="I345" s="53"/>
      <c r="J345" s="53"/>
      <c r="K345" s="53"/>
      <c r="L345" s="53"/>
      <c r="M345" s="53"/>
      <c r="N345" s="53"/>
      <c r="O345" s="53"/>
      <c r="P345" s="53"/>
      <c r="Q345" s="52"/>
    </row>
    <row r="346">
      <c r="B346" s="26"/>
      <c r="C346" s="40"/>
      <c r="D346" s="40"/>
      <c r="E346" s="40"/>
      <c r="F346" s="40"/>
      <c r="G346" s="40"/>
      <c r="H346" s="40"/>
      <c r="I346" s="53"/>
      <c r="J346" s="53"/>
      <c r="K346" s="53"/>
      <c r="L346" s="53"/>
      <c r="M346" s="53"/>
      <c r="N346" s="53"/>
      <c r="O346" s="53"/>
      <c r="P346" s="53"/>
      <c r="Q346" s="52"/>
    </row>
    <row r="347">
      <c r="B347" s="26"/>
      <c r="C347" s="40"/>
      <c r="D347" s="40"/>
      <c r="E347" s="40"/>
      <c r="F347" s="40"/>
      <c r="G347" s="40"/>
      <c r="H347" s="40"/>
      <c r="I347" s="53"/>
      <c r="J347" s="53"/>
      <c r="K347" s="53"/>
      <c r="L347" s="53"/>
      <c r="M347" s="53"/>
      <c r="N347" s="53"/>
      <c r="O347" s="53"/>
      <c r="P347" s="53"/>
      <c r="Q347" s="52"/>
    </row>
    <row r="348">
      <c r="B348" s="26"/>
      <c r="C348" s="40"/>
      <c r="D348" s="40"/>
      <c r="E348" s="40"/>
      <c r="F348" s="40"/>
      <c r="G348" s="40"/>
      <c r="H348" s="40"/>
      <c r="I348" s="53"/>
      <c r="J348" s="53"/>
      <c r="K348" s="53"/>
      <c r="L348" s="53"/>
      <c r="M348" s="53"/>
      <c r="N348" s="53"/>
      <c r="O348" s="53"/>
      <c r="P348" s="53"/>
      <c r="Q348" s="52"/>
    </row>
    <row r="349">
      <c r="B349" s="26"/>
      <c r="C349" s="40"/>
      <c r="D349" s="40"/>
      <c r="E349" s="40"/>
      <c r="F349" s="40"/>
      <c r="G349" s="40"/>
      <c r="H349" s="40"/>
      <c r="I349" s="53"/>
      <c r="J349" s="53"/>
      <c r="K349" s="53"/>
      <c r="L349" s="53"/>
      <c r="M349" s="53"/>
      <c r="N349" s="53"/>
      <c r="O349" s="53"/>
      <c r="P349" s="53"/>
      <c r="Q349" s="52"/>
    </row>
    <row r="350">
      <c r="B350" s="26"/>
      <c r="C350" s="40"/>
      <c r="D350" s="40"/>
      <c r="E350" s="40"/>
      <c r="F350" s="40"/>
      <c r="G350" s="40"/>
      <c r="H350" s="40"/>
      <c r="I350" s="53"/>
      <c r="J350" s="53"/>
      <c r="K350" s="53"/>
      <c r="L350" s="53"/>
      <c r="M350" s="53"/>
      <c r="N350" s="53"/>
      <c r="O350" s="53"/>
      <c r="P350" s="53"/>
      <c r="Q350" s="52"/>
    </row>
    <row r="351">
      <c r="B351" s="26"/>
      <c r="C351" s="40"/>
      <c r="D351" s="40"/>
      <c r="E351" s="40"/>
      <c r="F351" s="40"/>
      <c r="G351" s="40"/>
      <c r="H351" s="40"/>
      <c r="I351" s="53"/>
      <c r="J351" s="53"/>
      <c r="K351" s="53"/>
      <c r="L351" s="53"/>
      <c r="M351" s="53"/>
      <c r="N351" s="53"/>
      <c r="O351" s="53"/>
      <c r="P351" s="53"/>
      <c r="Q351" s="52"/>
    </row>
    <row r="352">
      <c r="B352" s="26"/>
      <c r="C352" s="40"/>
      <c r="D352" s="40"/>
      <c r="E352" s="40"/>
      <c r="F352" s="40"/>
      <c r="G352" s="40"/>
      <c r="H352" s="40"/>
      <c r="I352" s="53"/>
      <c r="J352" s="53"/>
      <c r="K352" s="53"/>
      <c r="L352" s="53"/>
      <c r="M352" s="53"/>
      <c r="N352" s="53"/>
      <c r="O352" s="53"/>
      <c r="P352" s="53"/>
      <c r="Q352" s="52"/>
    </row>
    <row r="353">
      <c r="B353" s="26"/>
      <c r="C353" s="40"/>
      <c r="D353" s="40"/>
      <c r="E353" s="40"/>
      <c r="F353" s="40"/>
      <c r="G353" s="40"/>
      <c r="H353" s="40"/>
      <c r="I353" s="53"/>
      <c r="J353" s="53"/>
      <c r="K353" s="53"/>
      <c r="L353" s="53"/>
      <c r="M353" s="53"/>
      <c r="N353" s="53"/>
      <c r="O353" s="53"/>
      <c r="P353" s="53"/>
      <c r="Q353" s="52"/>
    </row>
    <row r="354">
      <c r="B354" s="26"/>
      <c r="C354" s="40"/>
      <c r="D354" s="40"/>
      <c r="E354" s="40"/>
      <c r="F354" s="40"/>
      <c r="G354" s="40"/>
      <c r="H354" s="40"/>
      <c r="I354" s="53"/>
      <c r="J354" s="53"/>
      <c r="K354" s="53"/>
      <c r="L354" s="53"/>
      <c r="M354" s="53"/>
      <c r="N354" s="53"/>
      <c r="O354" s="53"/>
      <c r="P354" s="53"/>
      <c r="Q354" s="52"/>
    </row>
    <row r="355">
      <c r="B355" s="26"/>
      <c r="C355" s="40"/>
      <c r="D355" s="40"/>
      <c r="E355" s="40"/>
      <c r="F355" s="40"/>
      <c r="G355" s="40"/>
      <c r="H355" s="40"/>
      <c r="I355" s="53"/>
      <c r="J355" s="53"/>
      <c r="K355" s="53"/>
      <c r="L355" s="53"/>
      <c r="M355" s="53"/>
      <c r="N355" s="53"/>
      <c r="O355" s="53"/>
      <c r="P355" s="53"/>
      <c r="Q355" s="52"/>
    </row>
    <row r="356">
      <c r="B356" s="26"/>
      <c r="C356" s="40"/>
      <c r="D356" s="40"/>
      <c r="E356" s="40"/>
      <c r="F356" s="40"/>
      <c r="G356" s="40"/>
      <c r="H356" s="40"/>
      <c r="I356" s="53"/>
      <c r="J356" s="53"/>
      <c r="K356" s="53"/>
      <c r="L356" s="53"/>
      <c r="M356" s="53"/>
      <c r="N356" s="53"/>
      <c r="O356" s="53"/>
      <c r="P356" s="53"/>
      <c r="Q356" s="52"/>
    </row>
    <row r="357">
      <c r="B357" s="26"/>
      <c r="C357" s="40"/>
      <c r="D357" s="40"/>
      <c r="E357" s="40"/>
      <c r="F357" s="40"/>
      <c r="G357" s="40"/>
      <c r="H357" s="40"/>
      <c r="I357" s="53"/>
      <c r="J357" s="53"/>
      <c r="K357" s="53"/>
      <c r="L357" s="53"/>
      <c r="M357" s="53"/>
      <c r="N357" s="53"/>
      <c r="O357" s="53"/>
      <c r="P357" s="53"/>
      <c r="Q357" s="52"/>
    </row>
    <row r="358">
      <c r="B358" s="26"/>
      <c r="C358" s="40"/>
      <c r="D358" s="40"/>
      <c r="E358" s="40"/>
      <c r="F358" s="40"/>
      <c r="G358" s="40"/>
      <c r="H358" s="40"/>
      <c r="I358" s="53"/>
      <c r="J358" s="53"/>
      <c r="K358" s="53"/>
      <c r="L358" s="53"/>
      <c r="M358" s="53"/>
      <c r="N358" s="53"/>
      <c r="O358" s="53"/>
      <c r="P358" s="53"/>
      <c r="Q358" s="52"/>
    </row>
    <row r="359">
      <c r="B359" s="26"/>
      <c r="C359" s="40"/>
      <c r="D359" s="40"/>
      <c r="E359" s="40"/>
      <c r="F359" s="40"/>
      <c r="G359" s="40"/>
      <c r="H359" s="40"/>
      <c r="I359" s="53"/>
      <c r="J359" s="53"/>
      <c r="K359" s="53"/>
      <c r="L359" s="53"/>
      <c r="M359" s="53"/>
      <c r="N359" s="53"/>
      <c r="O359" s="53"/>
      <c r="P359" s="53"/>
      <c r="Q359" s="52"/>
    </row>
    <row r="360">
      <c r="B360" s="26"/>
      <c r="C360" s="40"/>
      <c r="D360" s="40"/>
      <c r="E360" s="40"/>
      <c r="F360" s="40"/>
      <c r="G360" s="40"/>
      <c r="H360" s="40"/>
      <c r="I360" s="53"/>
      <c r="J360" s="53"/>
      <c r="K360" s="53"/>
      <c r="L360" s="53"/>
      <c r="M360" s="53"/>
      <c r="N360" s="53"/>
      <c r="O360" s="53"/>
      <c r="P360" s="53"/>
      <c r="Q360" s="52"/>
    </row>
    <row r="361">
      <c r="B361" s="26"/>
      <c r="C361" s="40"/>
      <c r="D361" s="40"/>
      <c r="E361" s="40"/>
      <c r="F361" s="40"/>
      <c r="G361" s="40"/>
      <c r="H361" s="40"/>
      <c r="I361" s="53"/>
      <c r="J361" s="53"/>
      <c r="K361" s="53"/>
      <c r="L361" s="53"/>
      <c r="M361" s="53"/>
      <c r="N361" s="53"/>
      <c r="O361" s="53"/>
      <c r="P361" s="53"/>
      <c r="Q361" s="52"/>
    </row>
    <row r="362">
      <c r="B362" s="26"/>
      <c r="C362" s="40"/>
      <c r="D362" s="40"/>
      <c r="E362" s="40"/>
      <c r="F362" s="40"/>
      <c r="G362" s="40"/>
      <c r="H362" s="40"/>
      <c r="I362" s="53"/>
      <c r="J362" s="53"/>
      <c r="K362" s="53"/>
      <c r="L362" s="53"/>
      <c r="M362" s="53"/>
      <c r="N362" s="53"/>
      <c r="O362" s="53"/>
      <c r="P362" s="53"/>
      <c r="Q362" s="52"/>
    </row>
    <row r="363">
      <c r="B363" s="26"/>
      <c r="C363" s="40"/>
      <c r="D363" s="40"/>
      <c r="E363" s="40"/>
      <c r="F363" s="40"/>
      <c r="G363" s="40"/>
      <c r="H363" s="40"/>
      <c r="I363" s="53"/>
      <c r="J363" s="53"/>
      <c r="K363" s="53"/>
      <c r="L363" s="53"/>
      <c r="M363" s="53"/>
      <c r="N363" s="53"/>
      <c r="O363" s="53"/>
      <c r="P363" s="53"/>
      <c r="Q363" s="52"/>
    </row>
    <row r="364">
      <c r="B364" s="26"/>
      <c r="C364" s="40"/>
      <c r="D364" s="40"/>
      <c r="E364" s="40"/>
      <c r="F364" s="40"/>
      <c r="G364" s="40"/>
      <c r="H364" s="40"/>
      <c r="I364" s="53"/>
      <c r="J364" s="53"/>
      <c r="K364" s="53"/>
      <c r="L364" s="53"/>
      <c r="M364" s="53"/>
      <c r="N364" s="53"/>
      <c r="O364" s="53"/>
      <c r="P364" s="53"/>
      <c r="Q364" s="52"/>
    </row>
    <row r="365">
      <c r="B365" s="26"/>
      <c r="C365" s="40"/>
      <c r="D365" s="40"/>
      <c r="E365" s="40"/>
      <c r="F365" s="40"/>
      <c r="G365" s="40"/>
      <c r="H365" s="40"/>
      <c r="I365" s="53"/>
      <c r="J365" s="53"/>
      <c r="K365" s="53"/>
      <c r="L365" s="53"/>
      <c r="M365" s="53"/>
      <c r="N365" s="53"/>
      <c r="O365" s="53"/>
      <c r="P365" s="53"/>
      <c r="Q365" s="52"/>
    </row>
    <row r="366">
      <c r="B366" s="26"/>
      <c r="C366" s="40"/>
      <c r="D366" s="40"/>
      <c r="E366" s="40"/>
      <c r="F366" s="40"/>
      <c r="G366" s="40"/>
      <c r="H366" s="40"/>
      <c r="I366" s="53"/>
      <c r="J366" s="53"/>
      <c r="K366" s="53"/>
      <c r="L366" s="53"/>
      <c r="M366" s="53"/>
      <c r="N366" s="53"/>
      <c r="O366" s="53"/>
      <c r="P366" s="53"/>
      <c r="Q366" s="52"/>
    </row>
    <row r="367">
      <c r="B367" s="26"/>
      <c r="C367" s="40"/>
      <c r="D367" s="40"/>
      <c r="E367" s="40"/>
      <c r="F367" s="40"/>
      <c r="G367" s="40"/>
      <c r="H367" s="40"/>
      <c r="I367" s="53"/>
      <c r="J367" s="53"/>
      <c r="K367" s="53"/>
      <c r="L367" s="53"/>
      <c r="M367" s="53"/>
      <c r="N367" s="53"/>
      <c r="O367" s="53"/>
      <c r="P367" s="53"/>
      <c r="Q367" s="52"/>
    </row>
    <row r="368">
      <c r="B368" s="26"/>
      <c r="C368" s="40"/>
      <c r="D368" s="40"/>
      <c r="E368" s="40"/>
      <c r="F368" s="40"/>
      <c r="G368" s="40"/>
      <c r="H368" s="40"/>
      <c r="I368" s="53"/>
      <c r="J368" s="53"/>
      <c r="K368" s="53"/>
      <c r="L368" s="53"/>
      <c r="M368" s="53"/>
      <c r="N368" s="53"/>
      <c r="O368" s="53"/>
      <c r="P368" s="53"/>
      <c r="Q368" s="52"/>
    </row>
    <row r="369">
      <c r="B369" s="26"/>
      <c r="C369" s="40"/>
      <c r="D369" s="40"/>
      <c r="E369" s="40"/>
      <c r="F369" s="40"/>
      <c r="G369" s="40"/>
      <c r="H369" s="40"/>
      <c r="I369" s="53"/>
      <c r="J369" s="53"/>
      <c r="K369" s="53"/>
      <c r="L369" s="53"/>
      <c r="M369" s="53"/>
      <c r="N369" s="53"/>
      <c r="O369" s="53"/>
      <c r="P369" s="53"/>
      <c r="Q369" s="52"/>
    </row>
    <row r="370">
      <c r="B370" s="26"/>
      <c r="C370" s="40"/>
      <c r="D370" s="40"/>
      <c r="E370" s="40"/>
      <c r="F370" s="40"/>
      <c r="G370" s="40"/>
      <c r="H370" s="40"/>
      <c r="I370" s="53"/>
      <c r="J370" s="53"/>
      <c r="K370" s="53"/>
      <c r="L370" s="53"/>
      <c r="M370" s="53"/>
      <c r="N370" s="53"/>
      <c r="O370" s="53"/>
      <c r="P370" s="53"/>
      <c r="Q370" s="52"/>
    </row>
    <row r="371">
      <c r="B371" s="26"/>
      <c r="C371" s="40"/>
      <c r="D371" s="40"/>
      <c r="E371" s="40"/>
      <c r="F371" s="40"/>
      <c r="G371" s="40"/>
      <c r="H371" s="40"/>
      <c r="I371" s="53"/>
      <c r="J371" s="53"/>
      <c r="K371" s="53"/>
      <c r="L371" s="53"/>
      <c r="M371" s="53"/>
      <c r="N371" s="53"/>
      <c r="O371" s="53"/>
      <c r="P371" s="53"/>
      <c r="Q371" s="52"/>
    </row>
    <row r="372">
      <c r="B372" s="26"/>
      <c r="C372" s="40"/>
      <c r="D372" s="40"/>
      <c r="E372" s="40"/>
      <c r="F372" s="40"/>
      <c r="G372" s="40"/>
      <c r="H372" s="40"/>
      <c r="I372" s="53"/>
      <c r="J372" s="53"/>
      <c r="K372" s="53"/>
      <c r="L372" s="53"/>
      <c r="M372" s="53"/>
      <c r="N372" s="53"/>
      <c r="O372" s="53"/>
      <c r="P372" s="53"/>
      <c r="Q372" s="52"/>
    </row>
    <row r="373">
      <c r="B373" s="26"/>
      <c r="C373" s="40"/>
      <c r="D373" s="40"/>
      <c r="E373" s="40"/>
      <c r="F373" s="40"/>
      <c r="G373" s="40"/>
      <c r="H373" s="40"/>
      <c r="I373" s="53"/>
      <c r="J373" s="53"/>
      <c r="K373" s="53"/>
      <c r="L373" s="53"/>
      <c r="M373" s="53"/>
      <c r="N373" s="53"/>
      <c r="O373" s="53"/>
      <c r="P373" s="53"/>
      <c r="Q373" s="52"/>
    </row>
    <row r="374">
      <c r="B374" s="26"/>
      <c r="C374" s="40"/>
      <c r="D374" s="40"/>
      <c r="E374" s="40"/>
      <c r="F374" s="40"/>
      <c r="G374" s="40"/>
      <c r="H374" s="40"/>
      <c r="I374" s="53"/>
      <c r="J374" s="53"/>
      <c r="K374" s="53"/>
      <c r="L374" s="53"/>
      <c r="M374" s="53"/>
      <c r="N374" s="53"/>
      <c r="O374" s="53"/>
      <c r="P374" s="53"/>
      <c r="Q374" s="52"/>
    </row>
    <row r="375">
      <c r="B375" s="26"/>
      <c r="C375" s="40"/>
      <c r="D375" s="40"/>
      <c r="E375" s="40"/>
      <c r="F375" s="40"/>
      <c r="G375" s="40"/>
      <c r="H375" s="40"/>
      <c r="I375" s="53"/>
      <c r="J375" s="53"/>
      <c r="K375" s="53"/>
      <c r="L375" s="53"/>
      <c r="M375" s="53"/>
      <c r="N375" s="53"/>
      <c r="O375" s="53"/>
      <c r="P375" s="53"/>
      <c r="Q375" s="52"/>
    </row>
    <row r="376">
      <c r="B376" s="26"/>
      <c r="C376" s="40"/>
      <c r="D376" s="40"/>
      <c r="E376" s="40"/>
      <c r="F376" s="40"/>
      <c r="G376" s="40"/>
      <c r="H376" s="40"/>
      <c r="I376" s="53"/>
      <c r="J376" s="53"/>
      <c r="K376" s="53"/>
      <c r="L376" s="53"/>
      <c r="M376" s="53"/>
      <c r="N376" s="53"/>
      <c r="O376" s="53"/>
      <c r="P376" s="53"/>
      <c r="Q376" s="52"/>
    </row>
    <row r="377">
      <c r="B377" s="26"/>
      <c r="C377" s="40"/>
      <c r="D377" s="40"/>
      <c r="E377" s="40"/>
      <c r="F377" s="40"/>
      <c r="G377" s="40"/>
      <c r="H377" s="40"/>
      <c r="I377" s="53"/>
      <c r="J377" s="53"/>
      <c r="K377" s="53"/>
      <c r="L377" s="53"/>
      <c r="M377" s="53"/>
      <c r="N377" s="53"/>
      <c r="O377" s="53"/>
      <c r="P377" s="53"/>
      <c r="Q377" s="52"/>
    </row>
    <row r="378">
      <c r="B378" s="26"/>
      <c r="C378" s="40"/>
      <c r="D378" s="40"/>
      <c r="E378" s="40"/>
      <c r="F378" s="40"/>
      <c r="G378" s="40"/>
      <c r="H378" s="40"/>
      <c r="I378" s="53"/>
      <c r="J378" s="53"/>
      <c r="K378" s="53"/>
      <c r="L378" s="53"/>
      <c r="M378" s="53"/>
      <c r="N378" s="53"/>
      <c r="O378" s="53"/>
      <c r="P378" s="53"/>
      <c r="Q378" s="52"/>
    </row>
    <row r="379">
      <c r="B379" s="26"/>
      <c r="C379" s="40"/>
      <c r="D379" s="40"/>
      <c r="E379" s="40"/>
      <c r="F379" s="40"/>
      <c r="G379" s="40"/>
      <c r="H379" s="40"/>
      <c r="I379" s="53"/>
      <c r="J379" s="53"/>
      <c r="K379" s="53"/>
      <c r="L379" s="53"/>
      <c r="M379" s="53"/>
      <c r="N379" s="53"/>
      <c r="O379" s="53"/>
      <c r="P379" s="53"/>
      <c r="Q379" s="52"/>
    </row>
    <row r="380">
      <c r="B380" s="26"/>
      <c r="C380" s="40"/>
      <c r="D380" s="40"/>
      <c r="E380" s="40"/>
      <c r="F380" s="40"/>
      <c r="G380" s="40"/>
      <c r="H380" s="40"/>
      <c r="I380" s="53"/>
      <c r="J380" s="53"/>
      <c r="K380" s="53"/>
      <c r="L380" s="53"/>
      <c r="M380" s="53"/>
      <c r="N380" s="53"/>
      <c r="O380" s="53"/>
      <c r="P380" s="53"/>
      <c r="Q380" s="52"/>
    </row>
    <row r="381">
      <c r="B381" s="26"/>
      <c r="C381" s="40"/>
      <c r="D381" s="40"/>
      <c r="E381" s="40"/>
      <c r="F381" s="40"/>
      <c r="G381" s="40"/>
      <c r="H381" s="40"/>
      <c r="I381" s="53"/>
      <c r="J381" s="53"/>
      <c r="K381" s="53"/>
      <c r="L381" s="53"/>
      <c r="M381" s="53"/>
      <c r="N381" s="53"/>
      <c r="O381" s="53"/>
      <c r="P381" s="53"/>
      <c r="Q381" s="52"/>
    </row>
    <row r="382">
      <c r="B382" s="26"/>
      <c r="C382" s="40"/>
      <c r="D382" s="40"/>
      <c r="E382" s="40"/>
      <c r="F382" s="40"/>
      <c r="G382" s="40"/>
      <c r="H382" s="40"/>
      <c r="I382" s="53"/>
      <c r="J382" s="53"/>
      <c r="K382" s="53"/>
      <c r="L382" s="53"/>
      <c r="M382" s="53"/>
      <c r="N382" s="53"/>
      <c r="O382" s="53"/>
      <c r="P382" s="53"/>
      <c r="Q382" s="52"/>
    </row>
    <row r="383">
      <c r="B383" s="26"/>
      <c r="C383" s="40"/>
      <c r="D383" s="40"/>
      <c r="E383" s="40"/>
      <c r="F383" s="40"/>
      <c r="G383" s="40"/>
      <c r="H383" s="40"/>
      <c r="I383" s="53"/>
      <c r="J383" s="53"/>
      <c r="K383" s="53"/>
      <c r="L383" s="53"/>
      <c r="M383" s="53"/>
      <c r="N383" s="53"/>
      <c r="O383" s="53"/>
      <c r="P383" s="53"/>
      <c r="Q383" s="52"/>
    </row>
    <row r="384">
      <c r="B384" s="26"/>
      <c r="C384" s="40"/>
      <c r="D384" s="40"/>
      <c r="E384" s="40"/>
      <c r="F384" s="40"/>
      <c r="G384" s="40"/>
      <c r="H384" s="40"/>
      <c r="I384" s="53"/>
      <c r="J384" s="53"/>
      <c r="K384" s="53"/>
      <c r="L384" s="53"/>
      <c r="M384" s="53"/>
      <c r="N384" s="53"/>
      <c r="O384" s="53"/>
      <c r="P384" s="53"/>
      <c r="Q384" s="52"/>
    </row>
    <row r="385">
      <c r="B385" s="26"/>
      <c r="C385" s="40"/>
      <c r="D385" s="40"/>
      <c r="E385" s="40"/>
      <c r="F385" s="40"/>
      <c r="G385" s="40"/>
      <c r="H385" s="40"/>
      <c r="I385" s="53"/>
      <c r="J385" s="53"/>
      <c r="K385" s="53"/>
      <c r="L385" s="53"/>
      <c r="M385" s="53"/>
      <c r="N385" s="53"/>
      <c r="O385" s="53"/>
      <c r="P385" s="53"/>
      <c r="Q385" s="52"/>
    </row>
    <row r="386">
      <c r="B386" s="26"/>
      <c r="C386" s="40"/>
      <c r="D386" s="40"/>
      <c r="E386" s="40"/>
      <c r="F386" s="40"/>
      <c r="G386" s="40"/>
      <c r="H386" s="40"/>
      <c r="I386" s="53"/>
      <c r="J386" s="53"/>
      <c r="K386" s="53"/>
      <c r="L386" s="53"/>
      <c r="M386" s="53"/>
      <c r="N386" s="53"/>
      <c r="O386" s="53"/>
      <c r="P386" s="53"/>
      <c r="Q386" s="52"/>
    </row>
    <row r="387">
      <c r="B387" s="26"/>
      <c r="C387" s="40"/>
      <c r="D387" s="40"/>
      <c r="E387" s="40"/>
      <c r="F387" s="40"/>
      <c r="G387" s="40"/>
      <c r="H387" s="40"/>
      <c r="I387" s="53"/>
      <c r="J387" s="53"/>
      <c r="K387" s="53"/>
      <c r="L387" s="53"/>
      <c r="M387" s="53"/>
      <c r="N387" s="53"/>
      <c r="O387" s="53"/>
      <c r="P387" s="53"/>
      <c r="Q387" s="52"/>
    </row>
    <row r="388">
      <c r="B388" s="26"/>
      <c r="C388" s="40"/>
      <c r="D388" s="40"/>
      <c r="E388" s="40"/>
      <c r="F388" s="40"/>
      <c r="G388" s="40"/>
      <c r="H388" s="40"/>
      <c r="I388" s="53"/>
      <c r="J388" s="53"/>
      <c r="K388" s="53"/>
      <c r="L388" s="53"/>
      <c r="M388" s="53"/>
      <c r="N388" s="53"/>
      <c r="O388" s="53"/>
      <c r="P388" s="53"/>
      <c r="Q388" s="52"/>
    </row>
    <row r="389">
      <c r="B389" s="26"/>
      <c r="C389" s="40"/>
      <c r="D389" s="40"/>
      <c r="E389" s="40"/>
      <c r="F389" s="40"/>
      <c r="G389" s="40"/>
      <c r="H389" s="40"/>
      <c r="I389" s="53"/>
      <c r="J389" s="53"/>
      <c r="K389" s="53"/>
      <c r="L389" s="53"/>
      <c r="M389" s="53"/>
      <c r="N389" s="53"/>
      <c r="O389" s="53"/>
      <c r="P389" s="53"/>
      <c r="Q389" s="52"/>
    </row>
    <row r="390">
      <c r="B390" s="26"/>
      <c r="C390" s="40"/>
      <c r="D390" s="40"/>
      <c r="E390" s="40"/>
      <c r="F390" s="40"/>
      <c r="G390" s="40"/>
      <c r="H390" s="40"/>
      <c r="I390" s="53"/>
      <c r="J390" s="53"/>
      <c r="K390" s="53"/>
      <c r="L390" s="53"/>
      <c r="M390" s="53"/>
      <c r="N390" s="53"/>
      <c r="O390" s="53"/>
      <c r="P390" s="53"/>
      <c r="Q390" s="52"/>
    </row>
    <row r="391">
      <c r="B391" s="26"/>
      <c r="C391" s="40"/>
      <c r="D391" s="40"/>
      <c r="E391" s="40"/>
      <c r="F391" s="40"/>
      <c r="G391" s="40"/>
      <c r="H391" s="40"/>
      <c r="I391" s="53"/>
      <c r="J391" s="53"/>
      <c r="K391" s="53"/>
      <c r="L391" s="53"/>
      <c r="M391" s="53"/>
      <c r="N391" s="53"/>
      <c r="O391" s="53"/>
      <c r="P391" s="53"/>
      <c r="Q391" s="52"/>
    </row>
    <row r="392">
      <c r="B392" s="26"/>
      <c r="C392" s="40"/>
      <c r="D392" s="40"/>
      <c r="E392" s="40"/>
      <c r="F392" s="40"/>
      <c r="G392" s="40"/>
      <c r="H392" s="40"/>
      <c r="I392" s="53"/>
      <c r="J392" s="53"/>
      <c r="K392" s="53"/>
      <c r="L392" s="53"/>
      <c r="M392" s="53"/>
      <c r="N392" s="53"/>
      <c r="O392" s="53"/>
      <c r="P392" s="53"/>
      <c r="Q392" s="52"/>
    </row>
    <row r="393">
      <c r="B393" s="26"/>
      <c r="C393" s="40"/>
      <c r="D393" s="40"/>
      <c r="E393" s="40"/>
      <c r="F393" s="40"/>
      <c r="G393" s="40"/>
      <c r="H393" s="40"/>
      <c r="I393" s="53"/>
      <c r="J393" s="53"/>
      <c r="K393" s="53"/>
      <c r="L393" s="53"/>
      <c r="M393" s="53"/>
      <c r="N393" s="53"/>
      <c r="O393" s="53"/>
      <c r="P393" s="53"/>
      <c r="Q393" s="52"/>
    </row>
    <row r="394">
      <c r="B394" s="26"/>
      <c r="C394" s="40"/>
      <c r="D394" s="40"/>
      <c r="E394" s="40"/>
      <c r="F394" s="40"/>
      <c r="G394" s="40"/>
      <c r="H394" s="40"/>
      <c r="I394" s="53"/>
      <c r="J394" s="53"/>
      <c r="K394" s="53"/>
      <c r="L394" s="53"/>
      <c r="M394" s="53"/>
      <c r="N394" s="53"/>
      <c r="O394" s="53"/>
      <c r="P394" s="53"/>
      <c r="Q394" s="52"/>
    </row>
    <row r="395">
      <c r="B395" s="26"/>
      <c r="C395" s="40"/>
      <c r="D395" s="40"/>
      <c r="E395" s="40"/>
      <c r="F395" s="40"/>
      <c r="G395" s="40"/>
      <c r="H395" s="40"/>
      <c r="I395" s="53"/>
      <c r="J395" s="53"/>
      <c r="K395" s="53"/>
      <c r="L395" s="53"/>
      <c r="M395" s="53"/>
      <c r="N395" s="53"/>
      <c r="O395" s="53"/>
      <c r="P395" s="53"/>
      <c r="Q395" s="52"/>
    </row>
    <row r="396">
      <c r="B396" s="26"/>
      <c r="C396" s="40"/>
      <c r="D396" s="40"/>
      <c r="E396" s="40"/>
      <c r="F396" s="40"/>
      <c r="G396" s="40"/>
      <c r="H396" s="40"/>
      <c r="I396" s="53"/>
      <c r="J396" s="53"/>
      <c r="K396" s="53"/>
      <c r="L396" s="53"/>
      <c r="M396" s="53"/>
      <c r="N396" s="53"/>
      <c r="O396" s="53"/>
      <c r="P396" s="53"/>
      <c r="Q396" s="52"/>
    </row>
    <row r="397">
      <c r="B397" s="26"/>
      <c r="C397" s="40"/>
      <c r="D397" s="40"/>
      <c r="E397" s="40"/>
      <c r="F397" s="40"/>
      <c r="G397" s="40"/>
      <c r="H397" s="40"/>
      <c r="I397" s="53"/>
      <c r="J397" s="53"/>
      <c r="K397" s="53"/>
      <c r="L397" s="53"/>
      <c r="M397" s="53"/>
      <c r="N397" s="53"/>
      <c r="O397" s="53"/>
      <c r="P397" s="53"/>
      <c r="Q397" s="52"/>
    </row>
    <row r="398">
      <c r="B398" s="26"/>
      <c r="C398" s="40"/>
      <c r="D398" s="40"/>
      <c r="E398" s="40"/>
      <c r="F398" s="40"/>
      <c r="G398" s="40"/>
      <c r="H398" s="40"/>
      <c r="I398" s="53"/>
      <c r="J398" s="53"/>
      <c r="K398" s="53"/>
      <c r="L398" s="53"/>
      <c r="M398" s="53"/>
      <c r="N398" s="53"/>
      <c r="O398" s="53"/>
      <c r="P398" s="53"/>
      <c r="Q398" s="52"/>
    </row>
    <row r="399">
      <c r="B399" s="26"/>
      <c r="C399" s="40"/>
      <c r="D399" s="40"/>
      <c r="E399" s="40"/>
      <c r="F399" s="40"/>
      <c r="G399" s="40"/>
      <c r="H399" s="40"/>
      <c r="I399" s="53"/>
      <c r="J399" s="53"/>
      <c r="K399" s="53"/>
      <c r="L399" s="53"/>
      <c r="M399" s="53"/>
      <c r="N399" s="53"/>
      <c r="O399" s="53"/>
      <c r="P399" s="53"/>
      <c r="Q399" s="52"/>
    </row>
    <row r="400">
      <c r="B400" s="26"/>
      <c r="C400" s="40"/>
      <c r="D400" s="40"/>
      <c r="E400" s="40"/>
      <c r="F400" s="40"/>
      <c r="G400" s="40"/>
      <c r="H400" s="40"/>
      <c r="I400" s="53"/>
      <c r="J400" s="53"/>
      <c r="K400" s="53"/>
      <c r="L400" s="53"/>
      <c r="M400" s="53"/>
      <c r="N400" s="53"/>
      <c r="O400" s="53"/>
      <c r="P400" s="53"/>
      <c r="Q400" s="52"/>
    </row>
    <row r="401">
      <c r="B401" s="26"/>
      <c r="C401" s="40"/>
      <c r="D401" s="40"/>
      <c r="E401" s="40"/>
      <c r="F401" s="40"/>
      <c r="G401" s="40"/>
      <c r="H401" s="40"/>
      <c r="I401" s="53"/>
      <c r="J401" s="53"/>
      <c r="K401" s="53"/>
      <c r="L401" s="53"/>
      <c r="M401" s="53"/>
      <c r="N401" s="53"/>
      <c r="O401" s="53"/>
      <c r="P401" s="53"/>
      <c r="Q401" s="52"/>
    </row>
    <row r="402">
      <c r="B402" s="26"/>
      <c r="C402" s="40"/>
      <c r="D402" s="40"/>
      <c r="E402" s="40"/>
      <c r="F402" s="40"/>
      <c r="G402" s="40"/>
      <c r="H402" s="40"/>
      <c r="I402" s="53"/>
      <c r="J402" s="53"/>
      <c r="K402" s="53"/>
      <c r="L402" s="53"/>
      <c r="M402" s="53"/>
      <c r="N402" s="53"/>
      <c r="O402" s="53"/>
      <c r="P402" s="53"/>
      <c r="Q402" s="52"/>
    </row>
    <row r="403">
      <c r="B403" s="26"/>
      <c r="C403" s="40"/>
      <c r="D403" s="40"/>
      <c r="E403" s="40"/>
      <c r="F403" s="40"/>
      <c r="G403" s="40"/>
      <c r="H403" s="40"/>
      <c r="I403" s="53"/>
      <c r="J403" s="53"/>
      <c r="K403" s="53"/>
      <c r="L403" s="53"/>
      <c r="M403" s="53"/>
      <c r="N403" s="53"/>
      <c r="O403" s="53"/>
      <c r="P403" s="53"/>
      <c r="Q403" s="52"/>
    </row>
    <row r="404">
      <c r="B404" s="26"/>
      <c r="C404" s="40"/>
      <c r="D404" s="40"/>
      <c r="E404" s="40"/>
      <c r="F404" s="40"/>
      <c r="G404" s="40"/>
      <c r="H404" s="40"/>
      <c r="I404" s="53"/>
      <c r="J404" s="53"/>
      <c r="K404" s="53"/>
      <c r="L404" s="53"/>
      <c r="M404" s="53"/>
      <c r="N404" s="53"/>
      <c r="O404" s="53"/>
      <c r="P404" s="53"/>
      <c r="Q404" s="52"/>
    </row>
    <row r="405">
      <c r="B405" s="26"/>
      <c r="C405" s="40"/>
      <c r="D405" s="40"/>
      <c r="E405" s="40"/>
      <c r="F405" s="40"/>
      <c r="G405" s="40"/>
      <c r="H405" s="40"/>
      <c r="I405" s="53"/>
      <c r="J405" s="53"/>
      <c r="K405" s="53"/>
      <c r="L405" s="53"/>
      <c r="M405" s="53"/>
      <c r="N405" s="53"/>
      <c r="O405" s="53"/>
      <c r="P405" s="53"/>
      <c r="Q405" s="52"/>
    </row>
    <row r="406">
      <c r="B406" s="26"/>
      <c r="C406" s="40"/>
      <c r="D406" s="40"/>
      <c r="E406" s="40"/>
      <c r="F406" s="40"/>
      <c r="G406" s="40"/>
      <c r="H406" s="40"/>
      <c r="I406" s="53"/>
      <c r="J406" s="53"/>
      <c r="K406" s="53"/>
      <c r="L406" s="53"/>
      <c r="M406" s="53"/>
      <c r="N406" s="53"/>
      <c r="O406" s="53"/>
      <c r="P406" s="53"/>
      <c r="Q406" s="52"/>
    </row>
    <row r="407">
      <c r="B407" s="26"/>
      <c r="C407" s="40"/>
      <c r="D407" s="40"/>
      <c r="E407" s="40"/>
      <c r="F407" s="40"/>
      <c r="G407" s="40"/>
      <c r="H407" s="40"/>
      <c r="I407" s="53"/>
      <c r="J407" s="53"/>
      <c r="K407" s="53"/>
      <c r="L407" s="53"/>
      <c r="M407" s="53"/>
      <c r="N407" s="53"/>
      <c r="O407" s="53"/>
      <c r="P407" s="53"/>
      <c r="Q407" s="52"/>
    </row>
    <row r="408">
      <c r="B408" s="26"/>
      <c r="C408" s="40"/>
      <c r="D408" s="40"/>
      <c r="E408" s="40"/>
      <c r="F408" s="40"/>
      <c r="G408" s="40"/>
      <c r="H408" s="40"/>
      <c r="I408" s="53"/>
      <c r="J408" s="53"/>
      <c r="K408" s="53"/>
      <c r="L408" s="53"/>
      <c r="M408" s="53"/>
      <c r="N408" s="53"/>
      <c r="O408" s="53"/>
      <c r="P408" s="53"/>
      <c r="Q408" s="52"/>
    </row>
    <row r="409">
      <c r="B409" s="26"/>
      <c r="C409" s="40"/>
      <c r="D409" s="40"/>
      <c r="E409" s="40"/>
      <c r="F409" s="40"/>
      <c r="G409" s="40"/>
      <c r="H409" s="40"/>
      <c r="I409" s="53"/>
      <c r="J409" s="53"/>
      <c r="K409" s="53"/>
      <c r="L409" s="53"/>
      <c r="M409" s="53"/>
      <c r="N409" s="53"/>
      <c r="O409" s="53"/>
      <c r="P409" s="53"/>
      <c r="Q409" s="52"/>
    </row>
    <row r="410">
      <c r="B410" s="26"/>
      <c r="C410" s="40"/>
      <c r="D410" s="40"/>
      <c r="E410" s="40"/>
      <c r="F410" s="40"/>
      <c r="G410" s="40"/>
      <c r="H410" s="40"/>
      <c r="I410" s="53"/>
      <c r="J410" s="53"/>
      <c r="K410" s="53"/>
      <c r="L410" s="53"/>
      <c r="M410" s="53"/>
      <c r="N410" s="53"/>
      <c r="O410" s="53"/>
      <c r="P410" s="53"/>
      <c r="Q410" s="52"/>
    </row>
    <row r="411">
      <c r="B411" s="26"/>
      <c r="C411" s="40"/>
      <c r="D411" s="40"/>
      <c r="E411" s="40"/>
      <c r="F411" s="40"/>
      <c r="G411" s="40"/>
      <c r="H411" s="40"/>
      <c r="I411" s="53"/>
      <c r="J411" s="53"/>
      <c r="K411" s="53"/>
      <c r="L411" s="53"/>
      <c r="M411" s="53"/>
      <c r="N411" s="53"/>
      <c r="O411" s="53"/>
      <c r="P411" s="53"/>
      <c r="Q411" s="52"/>
    </row>
    <row r="412">
      <c r="B412" s="26"/>
      <c r="C412" s="40"/>
      <c r="D412" s="40"/>
      <c r="E412" s="40"/>
      <c r="F412" s="40"/>
      <c r="G412" s="40"/>
      <c r="H412" s="40"/>
      <c r="I412" s="53"/>
      <c r="J412" s="53"/>
      <c r="K412" s="53"/>
      <c r="L412" s="53"/>
      <c r="M412" s="53"/>
      <c r="N412" s="53"/>
      <c r="O412" s="53"/>
      <c r="P412" s="53"/>
      <c r="Q412" s="52"/>
    </row>
    <row r="413">
      <c r="B413" s="26"/>
      <c r="C413" s="40"/>
      <c r="D413" s="40"/>
      <c r="E413" s="40"/>
      <c r="F413" s="40"/>
      <c r="G413" s="40"/>
      <c r="H413" s="40"/>
      <c r="I413" s="53"/>
      <c r="J413" s="53"/>
      <c r="K413" s="53"/>
      <c r="L413" s="53"/>
      <c r="M413" s="53"/>
      <c r="N413" s="53"/>
      <c r="O413" s="53"/>
      <c r="P413" s="53"/>
      <c r="Q413" s="52"/>
    </row>
    <row r="414">
      <c r="B414" s="26"/>
      <c r="C414" s="40"/>
      <c r="D414" s="40"/>
      <c r="E414" s="40"/>
      <c r="F414" s="40"/>
      <c r="G414" s="40"/>
      <c r="H414" s="40"/>
      <c r="I414" s="53"/>
      <c r="J414" s="53"/>
      <c r="K414" s="53"/>
      <c r="L414" s="53"/>
      <c r="M414" s="53"/>
      <c r="N414" s="53"/>
      <c r="O414" s="53"/>
      <c r="P414" s="53"/>
      <c r="Q414" s="52"/>
    </row>
    <row r="415">
      <c r="B415" s="26"/>
      <c r="C415" s="40"/>
      <c r="D415" s="40"/>
      <c r="E415" s="40"/>
      <c r="F415" s="40"/>
      <c r="G415" s="40"/>
      <c r="H415" s="40"/>
      <c r="I415" s="53"/>
      <c r="J415" s="53"/>
      <c r="K415" s="53"/>
      <c r="L415" s="53"/>
      <c r="M415" s="53"/>
      <c r="N415" s="53"/>
      <c r="O415" s="53"/>
      <c r="P415" s="53"/>
      <c r="Q415" s="52"/>
    </row>
    <row r="416">
      <c r="B416" s="26"/>
      <c r="C416" s="40"/>
      <c r="D416" s="40"/>
      <c r="E416" s="40"/>
      <c r="F416" s="40"/>
      <c r="G416" s="40"/>
      <c r="H416" s="40"/>
      <c r="I416" s="53"/>
      <c r="J416" s="53"/>
      <c r="K416" s="53"/>
      <c r="L416" s="53"/>
      <c r="M416" s="53"/>
      <c r="N416" s="53"/>
      <c r="O416" s="53"/>
      <c r="P416" s="53"/>
      <c r="Q416" s="52"/>
    </row>
    <row r="417">
      <c r="B417" s="26"/>
      <c r="C417" s="40"/>
      <c r="D417" s="40"/>
      <c r="E417" s="40"/>
      <c r="F417" s="40"/>
      <c r="G417" s="40"/>
      <c r="H417" s="40"/>
      <c r="I417" s="53"/>
      <c r="J417" s="53"/>
      <c r="K417" s="53"/>
      <c r="L417" s="53"/>
      <c r="M417" s="53"/>
      <c r="N417" s="53"/>
      <c r="O417" s="53"/>
      <c r="P417" s="53"/>
      <c r="Q417" s="52"/>
    </row>
    <row r="418">
      <c r="B418" s="26"/>
      <c r="C418" s="40"/>
      <c r="D418" s="40"/>
      <c r="E418" s="40"/>
      <c r="F418" s="40"/>
      <c r="G418" s="40"/>
      <c r="H418" s="40"/>
      <c r="I418" s="53"/>
      <c r="J418" s="53"/>
      <c r="K418" s="53"/>
      <c r="L418" s="53"/>
      <c r="M418" s="53"/>
      <c r="N418" s="53"/>
      <c r="O418" s="53"/>
      <c r="P418" s="53"/>
      <c r="Q418" s="52"/>
    </row>
    <row r="419">
      <c r="B419" s="26"/>
      <c r="C419" s="40"/>
      <c r="D419" s="40"/>
      <c r="E419" s="40"/>
      <c r="F419" s="40"/>
      <c r="G419" s="40"/>
      <c r="H419" s="40"/>
      <c r="I419" s="53"/>
      <c r="J419" s="53"/>
      <c r="K419" s="53"/>
      <c r="L419" s="53"/>
      <c r="M419" s="53"/>
      <c r="N419" s="53"/>
      <c r="O419" s="53"/>
      <c r="P419" s="53"/>
      <c r="Q419" s="52"/>
    </row>
    <row r="420">
      <c r="B420" s="26"/>
      <c r="C420" s="40"/>
      <c r="D420" s="40"/>
      <c r="E420" s="40"/>
      <c r="F420" s="40"/>
      <c r="G420" s="40"/>
      <c r="H420" s="40"/>
      <c r="I420" s="53"/>
      <c r="J420" s="53"/>
      <c r="K420" s="53"/>
      <c r="L420" s="53"/>
      <c r="M420" s="53"/>
      <c r="N420" s="53"/>
      <c r="O420" s="53"/>
      <c r="P420" s="53"/>
      <c r="Q420" s="52"/>
    </row>
    <row r="421">
      <c r="B421" s="26"/>
      <c r="C421" s="40"/>
      <c r="D421" s="40"/>
      <c r="E421" s="40"/>
      <c r="F421" s="40"/>
      <c r="G421" s="40"/>
      <c r="H421" s="40"/>
      <c r="I421" s="53"/>
      <c r="J421" s="53"/>
      <c r="K421" s="53"/>
      <c r="L421" s="53"/>
      <c r="M421" s="53"/>
      <c r="N421" s="53"/>
      <c r="O421" s="53"/>
      <c r="P421" s="53"/>
      <c r="Q421" s="52"/>
    </row>
    <row r="422">
      <c r="B422" s="26"/>
      <c r="C422" s="40"/>
      <c r="D422" s="40"/>
      <c r="E422" s="40"/>
      <c r="F422" s="40"/>
      <c r="G422" s="40"/>
      <c r="H422" s="40"/>
      <c r="I422" s="53"/>
      <c r="J422" s="53"/>
      <c r="K422" s="53"/>
      <c r="L422" s="53"/>
      <c r="M422" s="53"/>
      <c r="N422" s="53"/>
      <c r="O422" s="53"/>
      <c r="P422" s="53"/>
      <c r="Q422" s="52"/>
    </row>
    <row r="423">
      <c r="B423" s="26"/>
      <c r="C423" s="40"/>
      <c r="D423" s="40"/>
      <c r="E423" s="40"/>
      <c r="F423" s="40"/>
      <c r="G423" s="40"/>
      <c r="H423" s="40"/>
      <c r="I423" s="53"/>
      <c r="J423" s="53"/>
      <c r="K423" s="53"/>
      <c r="L423" s="53"/>
      <c r="M423" s="53"/>
      <c r="N423" s="53"/>
      <c r="O423" s="53"/>
      <c r="P423" s="53"/>
      <c r="Q423" s="52"/>
    </row>
    <row r="424">
      <c r="B424" s="26"/>
      <c r="C424" s="40"/>
      <c r="D424" s="40"/>
      <c r="E424" s="40"/>
      <c r="F424" s="40"/>
      <c r="G424" s="40"/>
      <c r="H424" s="40"/>
      <c r="I424" s="53"/>
      <c r="J424" s="53"/>
      <c r="K424" s="53"/>
      <c r="L424" s="53"/>
      <c r="M424" s="53"/>
      <c r="N424" s="53"/>
      <c r="O424" s="53"/>
      <c r="P424" s="53"/>
      <c r="Q424" s="52"/>
    </row>
    <row r="425">
      <c r="B425" s="26"/>
      <c r="C425" s="40"/>
      <c r="D425" s="40"/>
      <c r="E425" s="40"/>
      <c r="F425" s="40"/>
      <c r="G425" s="40"/>
      <c r="H425" s="40"/>
      <c r="I425" s="53"/>
      <c r="J425" s="53"/>
      <c r="K425" s="53"/>
      <c r="L425" s="53"/>
      <c r="M425" s="53"/>
      <c r="N425" s="53"/>
      <c r="O425" s="53"/>
      <c r="P425" s="53"/>
      <c r="Q425" s="52"/>
    </row>
    <row r="426">
      <c r="B426" s="26"/>
      <c r="C426" s="40"/>
      <c r="D426" s="40"/>
      <c r="E426" s="40"/>
      <c r="F426" s="40"/>
      <c r="G426" s="40"/>
      <c r="H426" s="40"/>
      <c r="I426" s="53"/>
      <c r="J426" s="53"/>
      <c r="K426" s="53"/>
      <c r="L426" s="53"/>
      <c r="M426" s="53"/>
      <c r="N426" s="53"/>
      <c r="O426" s="53"/>
      <c r="P426" s="53"/>
      <c r="Q426" s="52"/>
    </row>
    <row r="427">
      <c r="B427" s="26"/>
      <c r="C427" s="40"/>
      <c r="D427" s="40"/>
      <c r="E427" s="40"/>
      <c r="F427" s="40"/>
      <c r="G427" s="40"/>
      <c r="H427" s="40"/>
      <c r="I427" s="53"/>
      <c r="J427" s="53"/>
      <c r="K427" s="53"/>
      <c r="L427" s="53"/>
      <c r="M427" s="53"/>
      <c r="N427" s="53"/>
      <c r="O427" s="53"/>
      <c r="P427" s="53"/>
      <c r="Q427" s="52"/>
    </row>
    <row r="428">
      <c r="B428" s="26"/>
      <c r="C428" s="40"/>
      <c r="D428" s="40"/>
      <c r="E428" s="40"/>
      <c r="F428" s="40"/>
      <c r="G428" s="40"/>
      <c r="H428" s="40"/>
      <c r="I428" s="53"/>
      <c r="J428" s="53"/>
      <c r="K428" s="53"/>
      <c r="L428" s="53"/>
      <c r="M428" s="53"/>
      <c r="N428" s="53"/>
      <c r="O428" s="53"/>
      <c r="P428" s="53"/>
      <c r="Q428" s="52"/>
    </row>
    <row r="429">
      <c r="B429" s="26"/>
      <c r="C429" s="40"/>
      <c r="D429" s="40"/>
      <c r="E429" s="40"/>
      <c r="F429" s="40"/>
      <c r="G429" s="40"/>
      <c r="H429" s="40"/>
      <c r="I429" s="53"/>
      <c r="J429" s="53"/>
      <c r="K429" s="53"/>
      <c r="L429" s="53"/>
      <c r="M429" s="53"/>
      <c r="N429" s="53"/>
      <c r="O429" s="53"/>
      <c r="P429" s="53"/>
      <c r="Q429" s="52"/>
    </row>
    <row r="430">
      <c r="B430" s="26"/>
      <c r="C430" s="40"/>
      <c r="D430" s="40"/>
      <c r="E430" s="40"/>
      <c r="F430" s="40"/>
      <c r="G430" s="40"/>
      <c r="H430" s="40"/>
      <c r="I430" s="53"/>
      <c r="J430" s="53"/>
      <c r="K430" s="53"/>
      <c r="L430" s="53"/>
      <c r="M430" s="53"/>
      <c r="N430" s="53"/>
      <c r="O430" s="53"/>
      <c r="P430" s="53"/>
      <c r="Q430" s="52"/>
    </row>
    <row r="431">
      <c r="B431" s="26"/>
      <c r="C431" s="40"/>
      <c r="D431" s="40"/>
      <c r="E431" s="40"/>
      <c r="F431" s="40"/>
      <c r="G431" s="40"/>
      <c r="H431" s="40"/>
      <c r="I431" s="53"/>
      <c r="J431" s="53"/>
      <c r="K431" s="53"/>
      <c r="L431" s="53"/>
      <c r="M431" s="53"/>
      <c r="N431" s="53"/>
      <c r="O431" s="53"/>
      <c r="P431" s="53"/>
      <c r="Q431" s="52"/>
    </row>
    <row r="432">
      <c r="B432" s="26"/>
      <c r="C432" s="40"/>
      <c r="D432" s="40"/>
      <c r="E432" s="40"/>
      <c r="F432" s="40"/>
      <c r="G432" s="40"/>
      <c r="H432" s="40"/>
      <c r="I432" s="53"/>
      <c r="J432" s="53"/>
      <c r="K432" s="53"/>
      <c r="L432" s="53"/>
      <c r="M432" s="53"/>
      <c r="N432" s="53"/>
      <c r="O432" s="53"/>
      <c r="P432" s="53"/>
      <c r="Q432" s="52"/>
    </row>
    <row r="433">
      <c r="B433" s="26"/>
      <c r="C433" s="40"/>
      <c r="D433" s="40"/>
      <c r="E433" s="40"/>
      <c r="F433" s="40"/>
      <c r="G433" s="40"/>
      <c r="H433" s="40"/>
      <c r="I433" s="53"/>
      <c r="J433" s="53"/>
      <c r="K433" s="53"/>
      <c r="L433" s="53"/>
      <c r="M433" s="53"/>
      <c r="N433" s="53"/>
      <c r="O433" s="53"/>
      <c r="P433" s="53"/>
      <c r="Q433" s="52"/>
    </row>
    <row r="434">
      <c r="B434" s="26"/>
      <c r="C434" s="40"/>
      <c r="D434" s="40"/>
      <c r="E434" s="40"/>
      <c r="F434" s="40"/>
      <c r="G434" s="40"/>
      <c r="H434" s="40"/>
      <c r="I434" s="53"/>
      <c r="J434" s="53"/>
      <c r="K434" s="53"/>
      <c r="L434" s="53"/>
      <c r="M434" s="53"/>
      <c r="N434" s="53"/>
      <c r="O434" s="53"/>
      <c r="P434" s="53"/>
      <c r="Q434" s="52"/>
    </row>
    <row r="435">
      <c r="B435" s="26"/>
      <c r="C435" s="40"/>
      <c r="D435" s="40"/>
      <c r="E435" s="40"/>
      <c r="F435" s="40"/>
      <c r="G435" s="40"/>
      <c r="H435" s="40"/>
      <c r="I435" s="53"/>
      <c r="J435" s="53"/>
      <c r="K435" s="53"/>
      <c r="L435" s="53"/>
      <c r="M435" s="53"/>
      <c r="N435" s="53"/>
      <c r="O435" s="53"/>
      <c r="P435" s="53"/>
      <c r="Q435" s="52"/>
    </row>
    <row r="436">
      <c r="B436" s="26"/>
      <c r="C436" s="40"/>
      <c r="D436" s="40"/>
      <c r="E436" s="40"/>
      <c r="F436" s="40"/>
      <c r="G436" s="40"/>
      <c r="H436" s="40"/>
      <c r="I436" s="53"/>
      <c r="J436" s="53"/>
      <c r="K436" s="53"/>
      <c r="L436" s="53"/>
      <c r="M436" s="53"/>
      <c r="N436" s="53"/>
      <c r="O436" s="53"/>
      <c r="P436" s="53"/>
      <c r="Q436" s="52"/>
    </row>
    <row r="437">
      <c r="B437" s="26"/>
      <c r="C437" s="40"/>
      <c r="D437" s="40"/>
      <c r="E437" s="40"/>
      <c r="F437" s="40"/>
      <c r="G437" s="40"/>
      <c r="H437" s="40"/>
      <c r="I437" s="53"/>
      <c r="J437" s="53"/>
      <c r="K437" s="53"/>
      <c r="L437" s="53"/>
      <c r="M437" s="53"/>
      <c r="N437" s="53"/>
      <c r="O437" s="53"/>
      <c r="P437" s="53"/>
      <c r="Q437" s="52"/>
    </row>
    <row r="438">
      <c r="B438" s="26"/>
      <c r="C438" s="40"/>
      <c r="D438" s="40"/>
      <c r="E438" s="40"/>
      <c r="F438" s="40"/>
      <c r="G438" s="40"/>
      <c r="H438" s="40"/>
      <c r="I438" s="53"/>
      <c r="J438" s="53"/>
      <c r="K438" s="53"/>
      <c r="L438" s="53"/>
      <c r="M438" s="53"/>
      <c r="N438" s="53"/>
      <c r="O438" s="53"/>
      <c r="P438" s="53"/>
      <c r="Q438" s="52"/>
    </row>
    <row r="439">
      <c r="B439" s="26"/>
      <c r="C439" s="40"/>
      <c r="D439" s="40"/>
      <c r="E439" s="40"/>
      <c r="F439" s="40"/>
      <c r="G439" s="40"/>
      <c r="H439" s="40"/>
      <c r="I439" s="53"/>
      <c r="J439" s="53"/>
      <c r="K439" s="53"/>
      <c r="L439" s="53"/>
      <c r="M439" s="53"/>
      <c r="N439" s="53"/>
      <c r="O439" s="53"/>
      <c r="P439" s="53"/>
      <c r="Q439" s="52"/>
    </row>
    <row r="440">
      <c r="B440" s="26"/>
      <c r="C440" s="40"/>
      <c r="D440" s="40"/>
      <c r="E440" s="40"/>
      <c r="F440" s="40"/>
      <c r="G440" s="40"/>
      <c r="H440" s="40"/>
      <c r="I440" s="53"/>
      <c r="J440" s="53"/>
      <c r="K440" s="53"/>
      <c r="L440" s="53"/>
      <c r="M440" s="53"/>
      <c r="N440" s="53"/>
      <c r="O440" s="53"/>
      <c r="P440" s="53"/>
      <c r="Q440" s="52"/>
    </row>
    <row r="441">
      <c r="B441" s="26"/>
      <c r="C441" s="40"/>
      <c r="D441" s="40"/>
      <c r="E441" s="40"/>
      <c r="F441" s="40"/>
      <c r="G441" s="40"/>
      <c r="H441" s="40"/>
      <c r="I441" s="53"/>
      <c r="J441" s="53"/>
      <c r="K441" s="53"/>
      <c r="L441" s="53"/>
      <c r="M441" s="53"/>
      <c r="N441" s="53"/>
      <c r="O441" s="53"/>
      <c r="P441" s="53"/>
      <c r="Q441" s="52"/>
    </row>
    <row r="442">
      <c r="B442" s="26"/>
      <c r="C442" s="40"/>
      <c r="D442" s="40"/>
      <c r="E442" s="40"/>
      <c r="F442" s="40"/>
      <c r="G442" s="40"/>
      <c r="H442" s="40"/>
      <c r="I442" s="53"/>
      <c r="J442" s="53"/>
      <c r="K442" s="53"/>
      <c r="L442" s="53"/>
      <c r="M442" s="53"/>
      <c r="N442" s="53"/>
      <c r="O442" s="53"/>
      <c r="P442" s="53"/>
      <c r="Q442" s="52"/>
    </row>
    <row r="443">
      <c r="B443" s="26"/>
      <c r="C443" s="40"/>
      <c r="D443" s="40"/>
      <c r="E443" s="40"/>
      <c r="F443" s="40"/>
      <c r="G443" s="40"/>
      <c r="H443" s="40"/>
      <c r="I443" s="53"/>
      <c r="J443" s="53"/>
      <c r="K443" s="53"/>
      <c r="L443" s="53"/>
      <c r="M443" s="53"/>
      <c r="N443" s="53"/>
      <c r="O443" s="53"/>
      <c r="P443" s="53"/>
      <c r="Q443" s="52"/>
    </row>
    <row r="444">
      <c r="B444" s="26"/>
      <c r="C444" s="40"/>
      <c r="D444" s="40"/>
      <c r="E444" s="40"/>
      <c r="F444" s="40"/>
      <c r="G444" s="40"/>
      <c r="H444" s="40"/>
      <c r="I444" s="53"/>
      <c r="J444" s="53"/>
      <c r="K444" s="53"/>
      <c r="L444" s="53"/>
      <c r="M444" s="53"/>
      <c r="N444" s="53"/>
      <c r="O444" s="53"/>
      <c r="P444" s="53"/>
      <c r="Q444" s="52"/>
    </row>
    <row r="445">
      <c r="B445" s="26"/>
      <c r="C445" s="40"/>
      <c r="D445" s="40"/>
      <c r="E445" s="40"/>
      <c r="F445" s="40"/>
      <c r="G445" s="40"/>
      <c r="H445" s="40"/>
      <c r="I445" s="53"/>
      <c r="J445" s="53"/>
      <c r="K445" s="53"/>
      <c r="L445" s="53"/>
      <c r="M445" s="53"/>
      <c r="N445" s="53"/>
      <c r="O445" s="53"/>
      <c r="P445" s="53"/>
      <c r="Q445" s="52"/>
    </row>
    <row r="446">
      <c r="B446" s="26"/>
      <c r="C446" s="40"/>
      <c r="D446" s="40"/>
      <c r="E446" s="40"/>
      <c r="F446" s="40"/>
      <c r="G446" s="40"/>
      <c r="H446" s="40"/>
      <c r="I446" s="53"/>
      <c r="J446" s="53"/>
      <c r="K446" s="53"/>
      <c r="L446" s="53"/>
      <c r="M446" s="53"/>
      <c r="N446" s="53"/>
      <c r="O446" s="53"/>
      <c r="P446" s="53"/>
      <c r="Q446" s="52"/>
    </row>
    <row r="447">
      <c r="B447" s="26"/>
      <c r="C447" s="40"/>
      <c r="D447" s="40"/>
      <c r="E447" s="40"/>
      <c r="F447" s="40"/>
      <c r="G447" s="40"/>
      <c r="H447" s="40"/>
      <c r="I447" s="53"/>
      <c r="J447" s="53"/>
      <c r="K447" s="53"/>
      <c r="L447" s="53"/>
      <c r="M447" s="53"/>
      <c r="N447" s="53"/>
      <c r="O447" s="53"/>
      <c r="P447" s="53"/>
      <c r="Q447" s="52"/>
    </row>
    <row r="448">
      <c r="B448" s="26"/>
      <c r="C448" s="40"/>
      <c r="D448" s="40"/>
      <c r="E448" s="40"/>
      <c r="F448" s="40"/>
      <c r="G448" s="40"/>
      <c r="H448" s="40"/>
      <c r="I448" s="53"/>
      <c r="J448" s="53"/>
      <c r="K448" s="53"/>
      <c r="L448" s="53"/>
      <c r="M448" s="53"/>
      <c r="N448" s="53"/>
      <c r="O448" s="53"/>
      <c r="P448" s="53"/>
      <c r="Q448" s="52"/>
    </row>
    <row r="449">
      <c r="B449" s="26"/>
      <c r="C449" s="40"/>
      <c r="D449" s="40"/>
      <c r="E449" s="40"/>
      <c r="F449" s="40"/>
      <c r="G449" s="40"/>
      <c r="H449" s="40"/>
      <c r="I449" s="53"/>
      <c r="J449" s="53"/>
      <c r="K449" s="53"/>
      <c r="L449" s="53"/>
      <c r="M449" s="53"/>
      <c r="N449" s="53"/>
      <c r="O449" s="53"/>
      <c r="P449" s="53"/>
      <c r="Q449" s="52"/>
    </row>
    <row r="450">
      <c r="B450" s="26"/>
      <c r="C450" s="40"/>
      <c r="D450" s="40"/>
      <c r="E450" s="40"/>
      <c r="F450" s="40"/>
      <c r="G450" s="40"/>
      <c r="H450" s="40"/>
      <c r="I450" s="53"/>
      <c r="J450" s="53"/>
      <c r="K450" s="53"/>
      <c r="L450" s="53"/>
      <c r="M450" s="53"/>
      <c r="N450" s="53"/>
      <c r="O450" s="53"/>
      <c r="P450" s="53"/>
      <c r="Q450" s="52"/>
    </row>
    <row r="451">
      <c r="B451" s="26"/>
      <c r="C451" s="40"/>
      <c r="D451" s="40"/>
      <c r="E451" s="40"/>
      <c r="F451" s="40"/>
      <c r="G451" s="40"/>
      <c r="H451" s="40"/>
      <c r="I451" s="53"/>
      <c r="J451" s="53"/>
      <c r="K451" s="53"/>
      <c r="L451" s="53"/>
      <c r="M451" s="53"/>
      <c r="N451" s="53"/>
      <c r="O451" s="53"/>
      <c r="P451" s="53"/>
      <c r="Q451" s="52"/>
    </row>
    <row r="452">
      <c r="B452" s="26"/>
      <c r="C452" s="40"/>
      <c r="D452" s="40"/>
      <c r="E452" s="40"/>
      <c r="F452" s="40"/>
      <c r="G452" s="40"/>
      <c r="H452" s="40"/>
      <c r="I452" s="53"/>
      <c r="J452" s="53"/>
      <c r="K452" s="53"/>
      <c r="L452" s="53"/>
      <c r="M452" s="53"/>
      <c r="N452" s="53"/>
      <c r="O452" s="53"/>
      <c r="P452" s="53"/>
      <c r="Q452" s="52"/>
    </row>
    <row r="453">
      <c r="B453" s="26"/>
      <c r="C453" s="40"/>
      <c r="D453" s="40"/>
      <c r="E453" s="40"/>
      <c r="F453" s="40"/>
      <c r="G453" s="40"/>
      <c r="H453" s="40"/>
      <c r="I453" s="53"/>
      <c r="J453" s="53"/>
      <c r="K453" s="53"/>
      <c r="L453" s="53"/>
      <c r="M453" s="53"/>
      <c r="N453" s="53"/>
      <c r="O453" s="53"/>
      <c r="P453" s="53"/>
      <c r="Q453" s="52"/>
    </row>
    <row r="454">
      <c r="B454" s="26"/>
      <c r="C454" s="40"/>
      <c r="D454" s="40"/>
      <c r="E454" s="40"/>
      <c r="F454" s="40"/>
      <c r="G454" s="40"/>
      <c r="H454" s="40"/>
      <c r="I454" s="53"/>
      <c r="J454" s="53"/>
      <c r="K454" s="53"/>
      <c r="L454" s="53"/>
      <c r="M454" s="53"/>
      <c r="N454" s="53"/>
      <c r="O454" s="53"/>
      <c r="P454" s="53"/>
      <c r="Q454" s="52"/>
    </row>
    <row r="455">
      <c r="B455" s="26"/>
      <c r="C455" s="40"/>
      <c r="D455" s="40"/>
      <c r="E455" s="40"/>
      <c r="F455" s="40"/>
      <c r="G455" s="40"/>
      <c r="H455" s="40"/>
      <c r="I455" s="53"/>
      <c r="J455" s="53"/>
      <c r="K455" s="53"/>
      <c r="L455" s="53"/>
      <c r="M455" s="53"/>
      <c r="N455" s="53"/>
      <c r="O455" s="53"/>
      <c r="P455" s="53"/>
      <c r="Q455" s="52"/>
    </row>
    <row r="456">
      <c r="B456" s="26"/>
      <c r="C456" s="40"/>
      <c r="D456" s="40"/>
      <c r="E456" s="40"/>
      <c r="F456" s="40"/>
      <c r="G456" s="40"/>
      <c r="H456" s="40"/>
      <c r="I456" s="53"/>
      <c r="J456" s="53"/>
      <c r="K456" s="53"/>
      <c r="L456" s="53"/>
      <c r="M456" s="53"/>
      <c r="N456" s="53"/>
      <c r="O456" s="53"/>
      <c r="P456" s="53"/>
      <c r="Q456" s="52"/>
    </row>
    <row r="457">
      <c r="B457" s="26"/>
      <c r="C457" s="40"/>
      <c r="D457" s="40"/>
      <c r="E457" s="40"/>
      <c r="F457" s="40"/>
      <c r="G457" s="40"/>
      <c r="H457" s="40"/>
      <c r="I457" s="53"/>
      <c r="J457" s="53"/>
      <c r="K457" s="53"/>
      <c r="L457" s="53"/>
      <c r="M457" s="53"/>
      <c r="N457" s="53"/>
      <c r="O457" s="53"/>
      <c r="P457" s="53"/>
      <c r="Q457" s="52"/>
    </row>
    <row r="458">
      <c r="B458" s="26"/>
      <c r="C458" s="40"/>
      <c r="D458" s="40"/>
      <c r="E458" s="40"/>
      <c r="F458" s="40"/>
      <c r="G458" s="40"/>
      <c r="H458" s="40"/>
      <c r="I458" s="53"/>
      <c r="J458" s="53"/>
      <c r="K458" s="53"/>
      <c r="L458" s="53"/>
      <c r="M458" s="53"/>
      <c r="N458" s="53"/>
      <c r="O458" s="53"/>
      <c r="P458" s="53"/>
      <c r="Q458" s="52"/>
    </row>
    <row r="459">
      <c r="B459" s="26"/>
      <c r="C459" s="40"/>
      <c r="D459" s="40"/>
      <c r="E459" s="40"/>
      <c r="F459" s="40"/>
      <c r="G459" s="40"/>
      <c r="H459" s="40"/>
      <c r="I459" s="53"/>
      <c r="J459" s="53"/>
      <c r="K459" s="53"/>
      <c r="L459" s="53"/>
      <c r="M459" s="53"/>
      <c r="N459" s="53"/>
      <c r="O459" s="53"/>
      <c r="P459" s="53"/>
      <c r="Q459" s="52"/>
    </row>
    <row r="460">
      <c r="B460" s="26"/>
      <c r="C460" s="40"/>
      <c r="D460" s="40"/>
      <c r="E460" s="40"/>
      <c r="F460" s="40"/>
      <c r="G460" s="40"/>
      <c r="H460" s="40"/>
      <c r="I460" s="53"/>
      <c r="J460" s="53"/>
      <c r="K460" s="53"/>
      <c r="L460" s="53"/>
      <c r="M460" s="53"/>
      <c r="N460" s="53"/>
      <c r="O460" s="53"/>
      <c r="P460" s="53"/>
      <c r="Q460" s="52"/>
    </row>
    <row r="461">
      <c r="B461" s="26"/>
      <c r="C461" s="40"/>
      <c r="D461" s="40"/>
      <c r="E461" s="40"/>
      <c r="F461" s="40"/>
      <c r="G461" s="40"/>
      <c r="H461" s="40"/>
      <c r="I461" s="53"/>
      <c r="J461" s="53"/>
      <c r="K461" s="53"/>
      <c r="L461" s="53"/>
      <c r="M461" s="53"/>
      <c r="N461" s="53"/>
      <c r="O461" s="53"/>
      <c r="P461" s="53"/>
      <c r="Q461" s="52"/>
    </row>
    <row r="462">
      <c r="B462" s="26"/>
      <c r="C462" s="40"/>
      <c r="D462" s="40"/>
      <c r="E462" s="40"/>
      <c r="F462" s="40"/>
      <c r="G462" s="40"/>
      <c r="H462" s="40"/>
      <c r="I462" s="53"/>
      <c r="J462" s="53"/>
      <c r="K462" s="53"/>
      <c r="L462" s="53"/>
      <c r="M462" s="53"/>
      <c r="N462" s="53"/>
      <c r="O462" s="53"/>
      <c r="P462" s="53"/>
      <c r="Q462" s="52"/>
    </row>
    <row r="463">
      <c r="B463" s="26"/>
      <c r="C463" s="40"/>
      <c r="D463" s="40"/>
      <c r="E463" s="40"/>
      <c r="F463" s="40"/>
      <c r="G463" s="40"/>
      <c r="H463" s="40"/>
      <c r="I463" s="53"/>
      <c r="J463" s="53"/>
      <c r="K463" s="53"/>
      <c r="L463" s="53"/>
      <c r="M463" s="53"/>
      <c r="N463" s="53"/>
      <c r="O463" s="53"/>
      <c r="P463" s="53"/>
      <c r="Q463" s="52"/>
    </row>
    <row r="464">
      <c r="B464" s="26"/>
      <c r="C464" s="40"/>
      <c r="D464" s="40"/>
      <c r="E464" s="40"/>
      <c r="F464" s="40"/>
      <c r="G464" s="40"/>
      <c r="H464" s="40"/>
      <c r="I464" s="53"/>
      <c r="J464" s="53"/>
      <c r="K464" s="53"/>
      <c r="L464" s="53"/>
      <c r="M464" s="53"/>
      <c r="N464" s="53"/>
      <c r="O464" s="53"/>
      <c r="P464" s="53"/>
      <c r="Q464" s="52"/>
    </row>
    <row r="465">
      <c r="B465" s="26"/>
      <c r="C465" s="40"/>
      <c r="D465" s="40"/>
      <c r="E465" s="40"/>
      <c r="F465" s="40"/>
      <c r="G465" s="40"/>
      <c r="H465" s="40"/>
      <c r="I465" s="53"/>
      <c r="J465" s="53"/>
      <c r="K465" s="53"/>
      <c r="L465" s="53"/>
      <c r="M465" s="53"/>
      <c r="N465" s="53"/>
      <c r="O465" s="53"/>
      <c r="P465" s="53"/>
      <c r="Q465" s="52"/>
    </row>
    <row r="466">
      <c r="B466" s="26"/>
      <c r="C466" s="40"/>
      <c r="D466" s="40"/>
      <c r="E466" s="40"/>
      <c r="F466" s="40"/>
      <c r="G466" s="40"/>
      <c r="H466" s="40"/>
      <c r="I466" s="53"/>
      <c r="J466" s="53"/>
      <c r="K466" s="53"/>
      <c r="L466" s="53"/>
      <c r="M466" s="53"/>
      <c r="N466" s="53"/>
      <c r="O466" s="53"/>
      <c r="P466" s="53"/>
      <c r="Q466" s="52"/>
    </row>
    <row r="467">
      <c r="B467" s="26"/>
      <c r="C467" s="40"/>
      <c r="D467" s="40"/>
      <c r="E467" s="40"/>
      <c r="F467" s="40"/>
      <c r="G467" s="40"/>
      <c r="H467" s="40"/>
      <c r="I467" s="53"/>
      <c r="J467" s="53"/>
      <c r="K467" s="53"/>
      <c r="L467" s="53"/>
      <c r="M467" s="53"/>
      <c r="N467" s="53"/>
      <c r="O467" s="53"/>
      <c r="P467" s="53"/>
      <c r="Q467" s="52"/>
    </row>
    <row r="468">
      <c r="B468" s="26"/>
      <c r="C468" s="40"/>
      <c r="D468" s="40"/>
      <c r="E468" s="40"/>
      <c r="F468" s="40"/>
      <c r="G468" s="40"/>
      <c r="H468" s="40"/>
      <c r="I468" s="53"/>
      <c r="J468" s="53"/>
      <c r="K468" s="53"/>
      <c r="L468" s="53"/>
      <c r="M468" s="53"/>
      <c r="N468" s="53"/>
      <c r="O468" s="53"/>
      <c r="P468" s="53"/>
      <c r="Q468" s="52"/>
    </row>
    <row r="469">
      <c r="B469" s="26"/>
      <c r="C469" s="40"/>
      <c r="D469" s="40"/>
      <c r="E469" s="40"/>
      <c r="F469" s="40"/>
      <c r="G469" s="40"/>
      <c r="H469" s="40"/>
      <c r="I469" s="53"/>
      <c r="J469" s="53"/>
      <c r="K469" s="53"/>
      <c r="L469" s="53"/>
      <c r="M469" s="53"/>
      <c r="N469" s="53"/>
      <c r="O469" s="53"/>
      <c r="P469" s="53"/>
      <c r="Q469" s="52"/>
    </row>
    <row r="470">
      <c r="B470" s="26"/>
      <c r="C470" s="40"/>
      <c r="D470" s="40"/>
      <c r="E470" s="40"/>
      <c r="F470" s="40"/>
      <c r="G470" s="40"/>
      <c r="H470" s="40"/>
      <c r="I470" s="53"/>
      <c r="J470" s="53"/>
      <c r="K470" s="53"/>
      <c r="L470" s="53"/>
      <c r="M470" s="53"/>
      <c r="N470" s="53"/>
      <c r="O470" s="53"/>
      <c r="P470" s="53"/>
      <c r="Q470" s="52"/>
    </row>
    <row r="471">
      <c r="B471" s="26"/>
      <c r="C471" s="40"/>
      <c r="D471" s="40"/>
      <c r="E471" s="40"/>
      <c r="F471" s="40"/>
      <c r="G471" s="40"/>
      <c r="H471" s="40"/>
      <c r="I471" s="53"/>
      <c r="J471" s="53"/>
      <c r="K471" s="53"/>
      <c r="L471" s="53"/>
      <c r="M471" s="53"/>
      <c r="N471" s="53"/>
      <c r="O471" s="53"/>
      <c r="P471" s="53"/>
      <c r="Q471" s="52"/>
    </row>
    <row r="472">
      <c r="B472" s="26"/>
      <c r="C472" s="40"/>
      <c r="D472" s="40"/>
      <c r="E472" s="40"/>
      <c r="F472" s="40"/>
      <c r="G472" s="40"/>
      <c r="H472" s="40"/>
      <c r="I472" s="53"/>
      <c r="J472" s="53"/>
      <c r="K472" s="53"/>
      <c r="L472" s="53"/>
      <c r="M472" s="53"/>
      <c r="N472" s="53"/>
      <c r="O472" s="53"/>
      <c r="P472" s="53"/>
      <c r="Q472" s="52"/>
    </row>
    <row r="473">
      <c r="B473" s="26"/>
      <c r="C473" s="40"/>
      <c r="D473" s="40"/>
      <c r="E473" s="40"/>
      <c r="F473" s="40"/>
      <c r="G473" s="40"/>
      <c r="H473" s="40"/>
      <c r="I473" s="53"/>
      <c r="J473" s="53"/>
      <c r="K473" s="53"/>
      <c r="L473" s="53"/>
      <c r="M473" s="53"/>
      <c r="N473" s="53"/>
      <c r="O473" s="53"/>
      <c r="P473" s="53"/>
      <c r="Q473" s="52"/>
    </row>
    <row r="474">
      <c r="B474" s="26"/>
      <c r="C474" s="40"/>
      <c r="D474" s="40"/>
      <c r="E474" s="40"/>
      <c r="F474" s="40"/>
      <c r="G474" s="40"/>
      <c r="H474" s="40"/>
      <c r="I474" s="53"/>
      <c r="J474" s="53"/>
      <c r="K474" s="53"/>
      <c r="L474" s="53"/>
      <c r="M474" s="53"/>
      <c r="N474" s="53"/>
      <c r="O474" s="53"/>
      <c r="P474" s="53"/>
      <c r="Q474" s="52"/>
    </row>
    <row r="475">
      <c r="B475" s="26"/>
      <c r="C475" s="40"/>
      <c r="D475" s="40"/>
      <c r="E475" s="40"/>
      <c r="F475" s="40"/>
      <c r="G475" s="40"/>
      <c r="H475" s="40"/>
      <c r="I475" s="53"/>
      <c r="J475" s="53"/>
      <c r="K475" s="53"/>
      <c r="L475" s="53"/>
      <c r="M475" s="53"/>
      <c r="N475" s="53"/>
      <c r="O475" s="53"/>
      <c r="P475" s="53"/>
      <c r="Q475" s="52"/>
    </row>
    <row r="476">
      <c r="B476" s="26"/>
      <c r="C476" s="40"/>
      <c r="D476" s="40"/>
      <c r="E476" s="40"/>
      <c r="F476" s="40"/>
      <c r="G476" s="40"/>
      <c r="H476" s="40"/>
      <c r="I476" s="53"/>
      <c r="J476" s="53"/>
      <c r="K476" s="53"/>
      <c r="L476" s="53"/>
      <c r="M476" s="53"/>
      <c r="N476" s="53"/>
      <c r="O476" s="53"/>
      <c r="P476" s="53"/>
      <c r="Q476" s="52"/>
    </row>
    <row r="477">
      <c r="B477" s="26"/>
      <c r="C477" s="40"/>
      <c r="D477" s="40"/>
      <c r="E477" s="40"/>
      <c r="F477" s="40"/>
      <c r="G477" s="40"/>
      <c r="H477" s="40"/>
      <c r="I477" s="53"/>
      <c r="J477" s="53"/>
      <c r="K477" s="53"/>
      <c r="L477" s="53"/>
      <c r="M477" s="53"/>
      <c r="N477" s="53"/>
      <c r="O477" s="53"/>
      <c r="P477" s="53"/>
      <c r="Q477" s="52"/>
    </row>
    <row r="478">
      <c r="B478" s="26"/>
      <c r="C478" s="40"/>
      <c r="D478" s="40"/>
      <c r="E478" s="40"/>
      <c r="F478" s="40"/>
      <c r="G478" s="40"/>
      <c r="H478" s="40"/>
      <c r="I478" s="53"/>
      <c r="J478" s="53"/>
      <c r="K478" s="53"/>
      <c r="L478" s="53"/>
      <c r="M478" s="53"/>
      <c r="N478" s="53"/>
      <c r="O478" s="53"/>
      <c r="P478" s="53"/>
      <c r="Q478" s="52"/>
    </row>
    <row r="479">
      <c r="B479" s="26"/>
      <c r="C479" s="40"/>
      <c r="D479" s="40"/>
      <c r="E479" s="40"/>
      <c r="F479" s="40"/>
      <c r="G479" s="40"/>
      <c r="H479" s="40"/>
      <c r="I479" s="53"/>
      <c r="J479" s="53"/>
      <c r="K479" s="53"/>
      <c r="L479" s="53"/>
      <c r="M479" s="53"/>
      <c r="N479" s="53"/>
      <c r="O479" s="53"/>
      <c r="P479" s="53"/>
      <c r="Q479" s="52"/>
    </row>
    <row r="480">
      <c r="B480" s="26"/>
      <c r="C480" s="40"/>
      <c r="D480" s="40"/>
      <c r="E480" s="40"/>
      <c r="F480" s="40"/>
      <c r="G480" s="40"/>
      <c r="H480" s="40"/>
      <c r="I480" s="53"/>
      <c r="J480" s="53"/>
      <c r="K480" s="53"/>
      <c r="L480" s="53"/>
      <c r="M480" s="53"/>
      <c r="N480" s="53"/>
      <c r="O480" s="53"/>
      <c r="P480" s="53"/>
      <c r="Q480" s="52"/>
    </row>
    <row r="481">
      <c r="B481" s="26"/>
      <c r="C481" s="40"/>
      <c r="D481" s="40"/>
      <c r="E481" s="40"/>
      <c r="F481" s="40"/>
      <c r="G481" s="40"/>
      <c r="H481" s="40"/>
      <c r="I481" s="53"/>
      <c r="J481" s="53"/>
      <c r="K481" s="53"/>
      <c r="L481" s="53"/>
      <c r="M481" s="53"/>
      <c r="N481" s="53"/>
      <c r="O481" s="53"/>
      <c r="P481" s="53"/>
      <c r="Q481" s="52"/>
    </row>
    <row r="482">
      <c r="B482" s="26"/>
      <c r="C482" s="40"/>
      <c r="D482" s="40"/>
      <c r="E482" s="40"/>
      <c r="F482" s="40"/>
      <c r="G482" s="40"/>
      <c r="H482" s="40"/>
      <c r="I482" s="53"/>
      <c r="J482" s="53"/>
      <c r="K482" s="53"/>
      <c r="L482" s="53"/>
      <c r="M482" s="53"/>
      <c r="N482" s="53"/>
      <c r="O482" s="53"/>
      <c r="P482" s="53"/>
      <c r="Q482" s="52"/>
    </row>
    <row r="483">
      <c r="B483" s="26"/>
      <c r="C483" s="40"/>
      <c r="D483" s="40"/>
      <c r="E483" s="40"/>
      <c r="F483" s="40"/>
      <c r="G483" s="40"/>
      <c r="H483" s="40"/>
      <c r="I483" s="53"/>
      <c r="J483" s="53"/>
      <c r="K483" s="53"/>
      <c r="L483" s="53"/>
      <c r="M483" s="53"/>
      <c r="N483" s="53"/>
      <c r="O483" s="53"/>
      <c r="P483" s="53"/>
      <c r="Q483" s="52"/>
    </row>
    <row r="484">
      <c r="B484" s="26"/>
      <c r="C484" s="40"/>
      <c r="D484" s="40"/>
      <c r="E484" s="40"/>
      <c r="F484" s="40"/>
      <c r="G484" s="40"/>
      <c r="H484" s="40"/>
      <c r="I484" s="53"/>
      <c r="J484" s="53"/>
      <c r="K484" s="53"/>
      <c r="L484" s="53"/>
      <c r="M484" s="53"/>
      <c r="N484" s="53"/>
      <c r="O484" s="53"/>
      <c r="P484" s="53"/>
      <c r="Q484" s="52"/>
    </row>
    <row r="485">
      <c r="B485" s="26"/>
      <c r="C485" s="40"/>
      <c r="D485" s="40"/>
      <c r="E485" s="40"/>
      <c r="F485" s="40"/>
      <c r="G485" s="40"/>
      <c r="H485" s="40"/>
      <c r="I485" s="53"/>
      <c r="J485" s="53"/>
      <c r="K485" s="53"/>
      <c r="L485" s="53"/>
      <c r="M485" s="53"/>
      <c r="N485" s="53"/>
      <c r="O485" s="53"/>
      <c r="P485" s="53"/>
      <c r="Q485" s="52"/>
    </row>
    <row r="486">
      <c r="B486" s="26"/>
      <c r="C486" s="40"/>
      <c r="D486" s="40"/>
      <c r="E486" s="40"/>
      <c r="F486" s="40"/>
      <c r="G486" s="40"/>
      <c r="H486" s="40"/>
      <c r="I486" s="53"/>
      <c r="J486" s="53"/>
      <c r="K486" s="53"/>
      <c r="L486" s="53"/>
      <c r="M486" s="53"/>
      <c r="N486" s="53"/>
      <c r="O486" s="53"/>
      <c r="P486" s="53"/>
      <c r="Q486" s="52"/>
    </row>
    <row r="487">
      <c r="B487" s="26"/>
      <c r="C487" s="40"/>
      <c r="D487" s="40"/>
      <c r="E487" s="40"/>
      <c r="F487" s="40"/>
      <c r="G487" s="40"/>
      <c r="H487" s="40"/>
      <c r="I487" s="53"/>
      <c r="J487" s="53"/>
      <c r="K487" s="53"/>
      <c r="L487" s="53"/>
      <c r="M487" s="53"/>
      <c r="N487" s="53"/>
      <c r="O487" s="53"/>
      <c r="P487" s="53"/>
      <c r="Q487" s="52"/>
    </row>
    <row r="488">
      <c r="B488" s="26"/>
      <c r="C488" s="40"/>
      <c r="D488" s="40"/>
      <c r="E488" s="40"/>
      <c r="F488" s="40"/>
      <c r="G488" s="40"/>
      <c r="H488" s="40"/>
      <c r="I488" s="53"/>
      <c r="J488" s="53"/>
      <c r="K488" s="53"/>
      <c r="L488" s="53"/>
      <c r="M488" s="53"/>
      <c r="N488" s="53"/>
      <c r="O488" s="53"/>
      <c r="P488" s="53"/>
      <c r="Q488" s="52"/>
    </row>
    <row r="489">
      <c r="B489" s="26"/>
      <c r="C489" s="40"/>
      <c r="D489" s="40"/>
      <c r="E489" s="40"/>
      <c r="F489" s="40"/>
      <c r="G489" s="40"/>
      <c r="H489" s="40"/>
      <c r="I489" s="53"/>
      <c r="J489" s="53"/>
      <c r="K489" s="53"/>
      <c r="L489" s="53"/>
      <c r="M489" s="53"/>
      <c r="N489" s="53"/>
      <c r="O489" s="53"/>
      <c r="P489" s="53"/>
      <c r="Q489" s="52"/>
    </row>
    <row r="490">
      <c r="B490" s="26"/>
      <c r="C490" s="40"/>
      <c r="D490" s="40"/>
      <c r="E490" s="40"/>
      <c r="F490" s="40"/>
      <c r="G490" s="40"/>
      <c r="H490" s="40"/>
      <c r="I490" s="53"/>
      <c r="J490" s="53"/>
      <c r="K490" s="53"/>
      <c r="L490" s="53"/>
      <c r="M490" s="53"/>
      <c r="N490" s="53"/>
      <c r="O490" s="53"/>
      <c r="P490" s="53"/>
      <c r="Q490" s="52"/>
    </row>
    <row r="491">
      <c r="B491" s="26"/>
      <c r="C491" s="40"/>
      <c r="D491" s="40"/>
      <c r="E491" s="40"/>
      <c r="F491" s="40"/>
      <c r="G491" s="40"/>
      <c r="H491" s="40"/>
      <c r="I491" s="53"/>
      <c r="J491" s="53"/>
      <c r="K491" s="53"/>
      <c r="L491" s="53"/>
      <c r="M491" s="53"/>
      <c r="N491" s="53"/>
      <c r="O491" s="53"/>
      <c r="P491" s="53"/>
      <c r="Q491" s="52"/>
    </row>
    <row r="492">
      <c r="B492" s="26"/>
      <c r="C492" s="40"/>
      <c r="D492" s="40"/>
      <c r="E492" s="40"/>
      <c r="F492" s="40"/>
      <c r="G492" s="40"/>
      <c r="H492" s="40"/>
      <c r="I492" s="53"/>
      <c r="J492" s="53"/>
      <c r="K492" s="53"/>
      <c r="L492" s="53"/>
      <c r="M492" s="53"/>
      <c r="N492" s="53"/>
      <c r="O492" s="53"/>
      <c r="P492" s="53"/>
      <c r="Q492" s="52"/>
    </row>
    <row r="493">
      <c r="B493" s="26"/>
      <c r="C493" s="40"/>
      <c r="D493" s="40"/>
      <c r="E493" s="40"/>
      <c r="F493" s="40"/>
      <c r="G493" s="40"/>
      <c r="H493" s="40"/>
      <c r="I493" s="53"/>
      <c r="J493" s="53"/>
      <c r="K493" s="53"/>
      <c r="L493" s="53"/>
      <c r="M493" s="53"/>
      <c r="N493" s="53"/>
      <c r="O493" s="53"/>
      <c r="P493" s="53"/>
      <c r="Q493" s="52"/>
    </row>
    <row r="494">
      <c r="B494" s="26"/>
      <c r="C494" s="40"/>
      <c r="D494" s="40"/>
      <c r="E494" s="40"/>
      <c r="F494" s="40"/>
      <c r="G494" s="40"/>
      <c r="H494" s="40"/>
      <c r="I494" s="53"/>
      <c r="J494" s="53"/>
      <c r="K494" s="53"/>
      <c r="L494" s="53"/>
      <c r="M494" s="53"/>
      <c r="N494" s="53"/>
      <c r="O494" s="53"/>
      <c r="P494" s="53"/>
      <c r="Q494" s="52"/>
    </row>
    <row r="495">
      <c r="B495" s="26"/>
      <c r="C495" s="40"/>
      <c r="D495" s="40"/>
      <c r="E495" s="40"/>
      <c r="F495" s="40"/>
      <c r="G495" s="40"/>
      <c r="H495" s="40"/>
      <c r="I495" s="53"/>
      <c r="J495" s="53"/>
      <c r="K495" s="53"/>
      <c r="L495" s="53"/>
      <c r="M495" s="53"/>
      <c r="N495" s="53"/>
      <c r="O495" s="53"/>
      <c r="P495" s="53"/>
      <c r="Q495" s="52"/>
    </row>
    <row r="496">
      <c r="B496" s="26"/>
      <c r="C496" s="40"/>
      <c r="D496" s="40"/>
      <c r="E496" s="40"/>
      <c r="F496" s="40"/>
      <c r="G496" s="40"/>
      <c r="H496" s="40"/>
      <c r="I496" s="53"/>
      <c r="J496" s="53"/>
      <c r="K496" s="53"/>
      <c r="L496" s="53"/>
      <c r="M496" s="53"/>
      <c r="N496" s="53"/>
      <c r="O496" s="53"/>
      <c r="P496" s="53"/>
      <c r="Q496" s="52"/>
    </row>
    <row r="497">
      <c r="B497" s="26"/>
      <c r="C497" s="40"/>
      <c r="D497" s="40"/>
      <c r="E497" s="40"/>
      <c r="F497" s="40"/>
      <c r="G497" s="40"/>
      <c r="H497" s="40"/>
      <c r="I497" s="53"/>
      <c r="J497" s="53"/>
      <c r="K497" s="53"/>
      <c r="L497" s="53"/>
      <c r="M497" s="53"/>
      <c r="N497" s="53"/>
      <c r="O497" s="53"/>
      <c r="P497" s="53"/>
      <c r="Q497" s="52"/>
    </row>
    <row r="498">
      <c r="B498" s="26"/>
      <c r="C498" s="40"/>
      <c r="D498" s="40"/>
      <c r="E498" s="40"/>
      <c r="F498" s="40"/>
      <c r="G498" s="40"/>
      <c r="H498" s="40"/>
      <c r="I498" s="53"/>
      <c r="J498" s="53"/>
      <c r="K498" s="53"/>
      <c r="L498" s="53"/>
      <c r="M498" s="53"/>
      <c r="N498" s="53"/>
      <c r="O498" s="53"/>
      <c r="P498" s="53"/>
      <c r="Q498" s="52"/>
    </row>
    <row r="499">
      <c r="B499" s="26"/>
      <c r="C499" s="40"/>
      <c r="D499" s="40"/>
      <c r="E499" s="40"/>
      <c r="F499" s="40"/>
      <c r="G499" s="40"/>
      <c r="H499" s="40"/>
      <c r="I499" s="53"/>
      <c r="J499" s="53"/>
      <c r="K499" s="53"/>
      <c r="L499" s="53"/>
      <c r="M499" s="53"/>
      <c r="N499" s="53"/>
      <c r="O499" s="53"/>
      <c r="P499" s="53"/>
      <c r="Q499" s="52"/>
    </row>
    <row r="500">
      <c r="B500" s="26"/>
      <c r="C500" s="40"/>
      <c r="D500" s="40"/>
      <c r="E500" s="40"/>
      <c r="F500" s="40"/>
      <c r="G500" s="40"/>
      <c r="H500" s="40"/>
      <c r="I500" s="53"/>
      <c r="J500" s="53"/>
      <c r="K500" s="53"/>
      <c r="L500" s="53"/>
      <c r="M500" s="53"/>
      <c r="N500" s="53"/>
      <c r="O500" s="53"/>
      <c r="P500" s="53"/>
      <c r="Q500" s="52"/>
    </row>
    <row r="501">
      <c r="B501" s="26"/>
      <c r="C501" s="40"/>
      <c r="D501" s="40"/>
      <c r="E501" s="40"/>
      <c r="F501" s="40"/>
      <c r="G501" s="40"/>
      <c r="H501" s="40"/>
      <c r="I501" s="53"/>
      <c r="J501" s="53"/>
      <c r="K501" s="53"/>
      <c r="L501" s="53"/>
      <c r="M501" s="53"/>
      <c r="N501" s="53"/>
      <c r="O501" s="53"/>
      <c r="P501" s="53"/>
      <c r="Q501" s="52"/>
    </row>
    <row r="502">
      <c r="B502" s="26"/>
      <c r="C502" s="40"/>
      <c r="D502" s="40"/>
      <c r="E502" s="40"/>
      <c r="F502" s="40"/>
      <c r="G502" s="40"/>
      <c r="H502" s="40"/>
      <c r="I502" s="53"/>
      <c r="J502" s="53"/>
      <c r="K502" s="53"/>
      <c r="L502" s="53"/>
      <c r="M502" s="53"/>
      <c r="N502" s="53"/>
      <c r="O502" s="53"/>
      <c r="P502" s="53"/>
      <c r="Q502" s="52"/>
    </row>
    <row r="503">
      <c r="B503" s="26"/>
      <c r="C503" s="40"/>
      <c r="D503" s="40"/>
      <c r="E503" s="40"/>
      <c r="F503" s="40"/>
      <c r="G503" s="40"/>
      <c r="H503" s="40"/>
      <c r="I503" s="53"/>
      <c r="J503" s="53"/>
      <c r="K503" s="53"/>
      <c r="L503" s="53"/>
      <c r="M503" s="53"/>
      <c r="N503" s="53"/>
      <c r="O503" s="53"/>
      <c r="P503" s="53"/>
      <c r="Q503" s="52"/>
    </row>
    <row r="504">
      <c r="B504" s="26"/>
      <c r="C504" s="40"/>
      <c r="D504" s="40"/>
      <c r="E504" s="40"/>
      <c r="F504" s="40"/>
      <c r="G504" s="40"/>
      <c r="H504" s="40"/>
      <c r="I504" s="53"/>
      <c r="J504" s="53"/>
      <c r="K504" s="53"/>
      <c r="L504" s="53"/>
      <c r="M504" s="53"/>
      <c r="N504" s="53"/>
      <c r="O504" s="53"/>
      <c r="P504" s="53"/>
      <c r="Q504" s="52"/>
    </row>
    <row r="505">
      <c r="B505" s="26"/>
      <c r="C505" s="40"/>
      <c r="D505" s="40"/>
      <c r="E505" s="40"/>
      <c r="F505" s="40"/>
      <c r="G505" s="40"/>
      <c r="H505" s="40"/>
      <c r="I505" s="53"/>
      <c r="J505" s="53"/>
      <c r="K505" s="53"/>
      <c r="L505" s="53"/>
      <c r="M505" s="53"/>
      <c r="N505" s="53"/>
      <c r="O505" s="53"/>
      <c r="P505" s="53"/>
      <c r="Q505" s="52"/>
    </row>
    <row r="506">
      <c r="B506" s="26"/>
      <c r="C506" s="40"/>
      <c r="D506" s="40"/>
      <c r="E506" s="40"/>
      <c r="F506" s="40"/>
      <c r="G506" s="40"/>
      <c r="H506" s="40"/>
      <c r="I506" s="53"/>
      <c r="J506" s="53"/>
      <c r="K506" s="53"/>
      <c r="L506" s="53"/>
      <c r="M506" s="53"/>
      <c r="N506" s="53"/>
      <c r="O506" s="53"/>
      <c r="P506" s="53"/>
      <c r="Q506" s="52"/>
    </row>
    <row r="507">
      <c r="B507" s="26"/>
      <c r="C507" s="40"/>
      <c r="D507" s="40"/>
      <c r="E507" s="40"/>
      <c r="F507" s="40"/>
      <c r="G507" s="40"/>
      <c r="H507" s="40"/>
      <c r="I507" s="53"/>
      <c r="J507" s="53"/>
      <c r="K507" s="53"/>
      <c r="L507" s="53"/>
      <c r="M507" s="53"/>
      <c r="N507" s="53"/>
      <c r="O507" s="53"/>
      <c r="P507" s="53"/>
      <c r="Q507" s="52"/>
    </row>
    <row r="508">
      <c r="B508" s="26"/>
      <c r="C508" s="40"/>
      <c r="D508" s="40"/>
      <c r="E508" s="40"/>
      <c r="F508" s="40"/>
      <c r="G508" s="40"/>
      <c r="H508" s="40"/>
      <c r="I508" s="53"/>
      <c r="J508" s="53"/>
      <c r="K508" s="53"/>
      <c r="L508" s="53"/>
      <c r="M508" s="53"/>
      <c r="N508" s="53"/>
      <c r="O508" s="53"/>
      <c r="P508" s="53"/>
      <c r="Q508" s="52"/>
    </row>
    <row r="509">
      <c r="B509" s="26"/>
      <c r="C509" s="40"/>
      <c r="D509" s="40"/>
      <c r="E509" s="40"/>
      <c r="F509" s="40"/>
      <c r="G509" s="40"/>
      <c r="H509" s="40"/>
      <c r="I509" s="53"/>
      <c r="J509" s="53"/>
      <c r="K509" s="53"/>
      <c r="L509" s="53"/>
      <c r="M509" s="53"/>
      <c r="N509" s="53"/>
      <c r="O509" s="53"/>
      <c r="P509" s="53"/>
      <c r="Q509" s="52"/>
    </row>
    <row r="510">
      <c r="B510" s="26"/>
      <c r="C510" s="40"/>
      <c r="D510" s="40"/>
      <c r="E510" s="40"/>
      <c r="F510" s="40"/>
      <c r="G510" s="40"/>
      <c r="H510" s="40"/>
      <c r="I510" s="53"/>
      <c r="J510" s="53"/>
      <c r="K510" s="53"/>
      <c r="L510" s="53"/>
      <c r="M510" s="53"/>
      <c r="N510" s="53"/>
      <c r="O510" s="53"/>
      <c r="P510" s="53"/>
      <c r="Q510" s="52"/>
    </row>
    <row r="511">
      <c r="B511" s="26"/>
      <c r="C511" s="40"/>
      <c r="D511" s="40"/>
      <c r="E511" s="40"/>
      <c r="F511" s="40"/>
      <c r="G511" s="40"/>
      <c r="H511" s="40"/>
      <c r="I511" s="53"/>
      <c r="J511" s="53"/>
      <c r="K511" s="53"/>
      <c r="L511" s="53"/>
      <c r="M511" s="53"/>
      <c r="N511" s="53"/>
      <c r="O511" s="53"/>
      <c r="P511" s="53"/>
      <c r="Q511" s="52"/>
    </row>
    <row r="512">
      <c r="B512" s="26"/>
      <c r="C512" s="40"/>
      <c r="D512" s="40"/>
      <c r="E512" s="40"/>
      <c r="F512" s="40"/>
      <c r="G512" s="40"/>
      <c r="H512" s="40"/>
      <c r="I512" s="53"/>
      <c r="J512" s="53"/>
      <c r="K512" s="53"/>
      <c r="L512" s="53"/>
      <c r="M512" s="53"/>
      <c r="N512" s="53"/>
      <c r="O512" s="53"/>
      <c r="P512" s="53"/>
      <c r="Q512" s="52"/>
    </row>
    <row r="513">
      <c r="B513" s="26"/>
      <c r="C513" s="40"/>
      <c r="D513" s="40"/>
      <c r="E513" s="40"/>
      <c r="F513" s="40"/>
      <c r="G513" s="40"/>
      <c r="H513" s="40"/>
      <c r="I513" s="53"/>
      <c r="J513" s="53"/>
      <c r="K513" s="53"/>
      <c r="L513" s="53"/>
      <c r="M513" s="53"/>
      <c r="N513" s="53"/>
      <c r="O513" s="53"/>
      <c r="P513" s="53"/>
      <c r="Q513" s="52"/>
    </row>
    <row r="514">
      <c r="B514" s="26"/>
      <c r="C514" s="40"/>
      <c r="D514" s="40"/>
      <c r="E514" s="40"/>
      <c r="F514" s="40"/>
      <c r="G514" s="40"/>
      <c r="H514" s="40"/>
      <c r="I514" s="53"/>
      <c r="J514" s="53"/>
      <c r="K514" s="53"/>
      <c r="L514" s="53"/>
      <c r="M514" s="53"/>
      <c r="N514" s="53"/>
      <c r="O514" s="53"/>
      <c r="P514" s="53"/>
      <c r="Q514" s="52"/>
    </row>
    <row r="515">
      <c r="B515" s="26"/>
      <c r="C515" s="40"/>
      <c r="D515" s="40"/>
      <c r="E515" s="40"/>
      <c r="F515" s="40"/>
      <c r="G515" s="40"/>
      <c r="H515" s="40"/>
      <c r="I515" s="53"/>
      <c r="J515" s="53"/>
      <c r="K515" s="53"/>
      <c r="L515" s="53"/>
      <c r="M515" s="53"/>
      <c r="N515" s="53"/>
      <c r="O515" s="53"/>
      <c r="P515" s="53"/>
      <c r="Q515" s="52"/>
    </row>
    <row r="516">
      <c r="B516" s="26"/>
      <c r="C516" s="40"/>
      <c r="D516" s="40"/>
      <c r="E516" s="40"/>
      <c r="F516" s="40"/>
      <c r="G516" s="40"/>
      <c r="H516" s="40"/>
      <c r="I516" s="53"/>
      <c r="J516" s="53"/>
      <c r="K516" s="53"/>
      <c r="L516" s="53"/>
      <c r="M516" s="53"/>
      <c r="N516" s="53"/>
      <c r="O516" s="53"/>
      <c r="P516" s="53"/>
      <c r="Q516" s="52"/>
    </row>
    <row r="517">
      <c r="B517" s="26"/>
      <c r="C517" s="40"/>
      <c r="D517" s="40"/>
      <c r="E517" s="40"/>
      <c r="F517" s="40"/>
      <c r="G517" s="40"/>
      <c r="H517" s="40"/>
      <c r="I517" s="53"/>
      <c r="J517" s="53"/>
      <c r="K517" s="53"/>
      <c r="L517" s="53"/>
      <c r="M517" s="53"/>
      <c r="N517" s="53"/>
      <c r="O517" s="53"/>
      <c r="P517" s="53"/>
      <c r="Q517" s="52"/>
    </row>
    <row r="518">
      <c r="B518" s="26"/>
      <c r="C518" s="40"/>
      <c r="D518" s="40"/>
      <c r="E518" s="40"/>
      <c r="F518" s="40"/>
      <c r="G518" s="40"/>
      <c r="H518" s="40"/>
      <c r="I518" s="53"/>
      <c r="J518" s="53"/>
      <c r="K518" s="53"/>
      <c r="L518" s="53"/>
      <c r="M518" s="53"/>
      <c r="N518" s="53"/>
      <c r="O518" s="53"/>
      <c r="P518" s="53"/>
      <c r="Q518" s="52"/>
    </row>
    <row r="519">
      <c r="B519" s="26"/>
      <c r="C519" s="40"/>
      <c r="D519" s="40"/>
      <c r="E519" s="40"/>
      <c r="F519" s="40"/>
      <c r="G519" s="40"/>
      <c r="H519" s="40"/>
      <c r="I519" s="53"/>
      <c r="J519" s="53"/>
      <c r="K519" s="53"/>
      <c r="L519" s="53"/>
      <c r="M519" s="53"/>
      <c r="N519" s="53"/>
      <c r="O519" s="53"/>
      <c r="P519" s="53"/>
      <c r="Q519" s="52"/>
    </row>
    <row r="520">
      <c r="B520" s="26"/>
      <c r="C520" s="40"/>
      <c r="D520" s="40"/>
      <c r="E520" s="40"/>
      <c r="F520" s="40"/>
      <c r="G520" s="40"/>
      <c r="H520" s="40"/>
      <c r="I520" s="53"/>
      <c r="J520" s="53"/>
      <c r="K520" s="53"/>
      <c r="L520" s="53"/>
      <c r="M520" s="53"/>
      <c r="N520" s="53"/>
      <c r="O520" s="53"/>
      <c r="P520" s="53"/>
      <c r="Q520" s="52"/>
    </row>
    <row r="521">
      <c r="B521" s="26"/>
      <c r="C521" s="40"/>
      <c r="D521" s="40"/>
      <c r="E521" s="40"/>
      <c r="F521" s="40"/>
      <c r="G521" s="40"/>
      <c r="H521" s="40"/>
      <c r="I521" s="53"/>
      <c r="J521" s="53"/>
      <c r="K521" s="53"/>
      <c r="L521" s="53"/>
      <c r="M521" s="53"/>
      <c r="N521" s="53"/>
      <c r="O521" s="53"/>
      <c r="P521" s="53"/>
      <c r="Q521" s="52"/>
    </row>
    <row r="522">
      <c r="B522" s="26"/>
      <c r="C522" s="40"/>
      <c r="D522" s="40"/>
      <c r="E522" s="40"/>
      <c r="F522" s="40"/>
      <c r="G522" s="40"/>
      <c r="H522" s="40"/>
      <c r="I522" s="53"/>
      <c r="J522" s="53"/>
      <c r="K522" s="53"/>
      <c r="L522" s="53"/>
      <c r="M522" s="53"/>
      <c r="N522" s="53"/>
      <c r="O522" s="53"/>
      <c r="P522" s="53"/>
      <c r="Q522" s="52"/>
    </row>
    <row r="523">
      <c r="B523" s="26"/>
      <c r="C523" s="40"/>
      <c r="D523" s="40"/>
      <c r="E523" s="40"/>
      <c r="F523" s="40"/>
      <c r="G523" s="40"/>
      <c r="H523" s="40"/>
      <c r="I523" s="53"/>
      <c r="J523" s="53"/>
      <c r="K523" s="53"/>
      <c r="L523" s="53"/>
      <c r="M523" s="53"/>
      <c r="N523" s="53"/>
      <c r="O523" s="53"/>
      <c r="P523" s="53"/>
      <c r="Q523" s="52"/>
    </row>
    <row r="524">
      <c r="B524" s="26"/>
      <c r="C524" s="40"/>
      <c r="D524" s="40"/>
      <c r="E524" s="40"/>
      <c r="F524" s="40"/>
      <c r="G524" s="40"/>
      <c r="H524" s="40"/>
      <c r="I524" s="53"/>
      <c r="J524" s="53"/>
      <c r="K524" s="53"/>
      <c r="L524" s="53"/>
      <c r="M524" s="53"/>
      <c r="N524" s="53"/>
      <c r="O524" s="53"/>
      <c r="P524" s="53"/>
      <c r="Q524" s="52"/>
    </row>
    <row r="525">
      <c r="B525" s="26"/>
      <c r="C525" s="40"/>
      <c r="D525" s="40"/>
      <c r="E525" s="40"/>
      <c r="F525" s="40"/>
      <c r="G525" s="40"/>
      <c r="H525" s="40"/>
      <c r="I525" s="53"/>
      <c r="J525" s="53"/>
      <c r="K525" s="53"/>
      <c r="L525" s="53"/>
      <c r="M525" s="53"/>
      <c r="N525" s="53"/>
      <c r="O525" s="53"/>
      <c r="P525" s="53"/>
      <c r="Q525" s="52"/>
    </row>
    <row r="526">
      <c r="B526" s="26"/>
      <c r="C526" s="40"/>
      <c r="D526" s="40"/>
      <c r="E526" s="40"/>
      <c r="F526" s="40"/>
      <c r="G526" s="40"/>
      <c r="H526" s="40"/>
      <c r="I526" s="53"/>
      <c r="J526" s="53"/>
      <c r="K526" s="53"/>
      <c r="L526" s="53"/>
      <c r="M526" s="53"/>
      <c r="N526" s="53"/>
      <c r="O526" s="53"/>
      <c r="P526" s="53"/>
      <c r="Q526" s="52"/>
    </row>
    <row r="527">
      <c r="B527" s="26"/>
      <c r="C527" s="40"/>
      <c r="D527" s="40"/>
      <c r="E527" s="40"/>
      <c r="F527" s="40"/>
      <c r="G527" s="40"/>
      <c r="H527" s="40"/>
      <c r="I527" s="53"/>
      <c r="J527" s="53"/>
      <c r="K527" s="53"/>
      <c r="L527" s="53"/>
      <c r="M527" s="53"/>
      <c r="N527" s="53"/>
      <c r="O527" s="53"/>
      <c r="P527" s="53"/>
      <c r="Q527" s="52"/>
    </row>
    <row r="528">
      <c r="B528" s="26"/>
      <c r="C528" s="40"/>
      <c r="D528" s="40"/>
      <c r="E528" s="40"/>
      <c r="F528" s="40"/>
      <c r="G528" s="40"/>
      <c r="H528" s="40"/>
      <c r="I528" s="53"/>
      <c r="J528" s="53"/>
      <c r="K528" s="53"/>
      <c r="L528" s="53"/>
      <c r="M528" s="53"/>
      <c r="N528" s="53"/>
      <c r="O528" s="53"/>
      <c r="P528" s="53"/>
      <c r="Q528" s="52"/>
    </row>
    <row r="529">
      <c r="B529" s="26"/>
      <c r="C529" s="40"/>
      <c r="D529" s="40"/>
      <c r="E529" s="40"/>
      <c r="F529" s="40"/>
      <c r="G529" s="40"/>
      <c r="H529" s="40"/>
      <c r="I529" s="53"/>
      <c r="J529" s="53"/>
      <c r="K529" s="53"/>
      <c r="L529" s="53"/>
      <c r="M529" s="53"/>
      <c r="N529" s="53"/>
      <c r="O529" s="53"/>
      <c r="P529" s="53"/>
      <c r="Q529" s="52"/>
    </row>
    <row r="530">
      <c r="B530" s="26"/>
      <c r="C530" s="40"/>
      <c r="D530" s="40"/>
      <c r="E530" s="40"/>
      <c r="F530" s="40"/>
      <c r="G530" s="40"/>
      <c r="H530" s="40"/>
      <c r="I530" s="53"/>
      <c r="J530" s="53"/>
      <c r="K530" s="53"/>
      <c r="L530" s="53"/>
      <c r="M530" s="53"/>
      <c r="N530" s="53"/>
      <c r="O530" s="53"/>
      <c r="P530" s="53"/>
      <c r="Q530" s="52"/>
    </row>
    <row r="531">
      <c r="B531" s="26"/>
      <c r="C531" s="40"/>
      <c r="D531" s="40"/>
      <c r="E531" s="40"/>
      <c r="F531" s="40"/>
      <c r="G531" s="40"/>
      <c r="H531" s="40"/>
      <c r="I531" s="53"/>
      <c r="J531" s="53"/>
      <c r="K531" s="53"/>
      <c r="L531" s="53"/>
      <c r="M531" s="53"/>
      <c r="N531" s="53"/>
      <c r="O531" s="53"/>
      <c r="P531" s="53"/>
      <c r="Q531" s="52"/>
    </row>
    <row r="532">
      <c r="B532" s="26"/>
      <c r="C532" s="40"/>
      <c r="D532" s="40"/>
      <c r="E532" s="40"/>
      <c r="F532" s="40"/>
      <c r="G532" s="40"/>
      <c r="H532" s="40"/>
      <c r="I532" s="53"/>
      <c r="J532" s="53"/>
      <c r="K532" s="53"/>
      <c r="L532" s="53"/>
      <c r="M532" s="53"/>
      <c r="N532" s="53"/>
      <c r="O532" s="53"/>
      <c r="P532" s="53"/>
      <c r="Q532" s="52"/>
    </row>
    <row r="533">
      <c r="B533" s="26"/>
      <c r="C533" s="40"/>
      <c r="D533" s="40"/>
      <c r="E533" s="40"/>
      <c r="F533" s="40"/>
      <c r="G533" s="40"/>
      <c r="H533" s="40"/>
      <c r="I533" s="53"/>
      <c r="J533" s="53"/>
      <c r="K533" s="53"/>
      <c r="L533" s="53"/>
      <c r="M533" s="53"/>
      <c r="N533" s="53"/>
      <c r="O533" s="53"/>
      <c r="P533" s="53"/>
      <c r="Q533" s="52"/>
    </row>
    <row r="534">
      <c r="B534" s="26"/>
      <c r="C534" s="40"/>
      <c r="D534" s="40"/>
      <c r="E534" s="40"/>
      <c r="F534" s="40"/>
      <c r="G534" s="40"/>
      <c r="H534" s="40"/>
      <c r="I534" s="53"/>
      <c r="J534" s="53"/>
      <c r="K534" s="53"/>
      <c r="L534" s="53"/>
      <c r="M534" s="53"/>
      <c r="N534" s="53"/>
      <c r="O534" s="53"/>
      <c r="P534" s="53"/>
      <c r="Q534" s="52"/>
    </row>
    <row r="535">
      <c r="B535" s="26"/>
      <c r="C535" s="40"/>
      <c r="D535" s="40"/>
      <c r="E535" s="40"/>
      <c r="F535" s="40"/>
      <c r="G535" s="40"/>
      <c r="H535" s="40"/>
      <c r="I535" s="53"/>
      <c r="J535" s="53"/>
      <c r="K535" s="53"/>
      <c r="L535" s="53"/>
      <c r="M535" s="53"/>
      <c r="N535" s="53"/>
      <c r="O535" s="53"/>
      <c r="P535" s="53"/>
      <c r="Q535" s="52"/>
    </row>
    <row r="536">
      <c r="B536" s="26"/>
      <c r="C536" s="40"/>
      <c r="D536" s="40"/>
      <c r="E536" s="40"/>
      <c r="F536" s="40"/>
      <c r="G536" s="40"/>
      <c r="H536" s="40"/>
      <c r="I536" s="53"/>
      <c r="J536" s="53"/>
      <c r="K536" s="53"/>
      <c r="L536" s="53"/>
      <c r="M536" s="53"/>
      <c r="N536" s="53"/>
      <c r="O536" s="53"/>
      <c r="P536" s="53"/>
      <c r="Q536" s="52"/>
    </row>
    <row r="537">
      <c r="B537" s="26"/>
      <c r="C537" s="40"/>
      <c r="D537" s="40"/>
      <c r="E537" s="40"/>
      <c r="F537" s="40"/>
      <c r="G537" s="40"/>
      <c r="H537" s="40"/>
      <c r="I537" s="53"/>
      <c r="J537" s="53"/>
      <c r="K537" s="53"/>
      <c r="L537" s="53"/>
      <c r="M537" s="53"/>
      <c r="N537" s="53"/>
      <c r="O537" s="53"/>
      <c r="P537" s="53"/>
      <c r="Q537" s="52"/>
    </row>
    <row r="538">
      <c r="B538" s="26"/>
      <c r="C538" s="40"/>
      <c r="D538" s="40"/>
      <c r="E538" s="40"/>
      <c r="F538" s="40"/>
      <c r="G538" s="40"/>
      <c r="H538" s="40"/>
      <c r="I538" s="53"/>
      <c r="J538" s="53"/>
      <c r="K538" s="53"/>
      <c r="L538" s="53"/>
      <c r="M538" s="53"/>
      <c r="N538" s="53"/>
      <c r="O538" s="53"/>
      <c r="P538" s="53"/>
      <c r="Q538" s="52"/>
    </row>
    <row r="539">
      <c r="B539" s="26"/>
      <c r="C539" s="40"/>
      <c r="D539" s="40"/>
      <c r="E539" s="40"/>
      <c r="F539" s="40"/>
      <c r="G539" s="40"/>
      <c r="H539" s="40"/>
      <c r="I539" s="53"/>
      <c r="J539" s="53"/>
      <c r="K539" s="53"/>
      <c r="L539" s="53"/>
      <c r="M539" s="53"/>
      <c r="N539" s="53"/>
      <c r="O539" s="53"/>
      <c r="P539" s="53"/>
      <c r="Q539" s="52"/>
    </row>
    <row r="540">
      <c r="B540" s="26"/>
      <c r="C540" s="40"/>
      <c r="D540" s="40"/>
      <c r="E540" s="40"/>
      <c r="F540" s="40"/>
      <c r="G540" s="40"/>
      <c r="H540" s="40"/>
      <c r="I540" s="53"/>
      <c r="J540" s="53"/>
      <c r="K540" s="53"/>
      <c r="L540" s="53"/>
      <c r="M540" s="53"/>
      <c r="N540" s="53"/>
      <c r="O540" s="53"/>
      <c r="P540" s="53"/>
      <c r="Q540" s="52"/>
    </row>
    <row r="541">
      <c r="B541" s="26"/>
      <c r="C541" s="40"/>
      <c r="D541" s="40"/>
      <c r="E541" s="40"/>
      <c r="F541" s="40"/>
      <c r="G541" s="40"/>
      <c r="H541" s="40"/>
      <c r="I541" s="53"/>
      <c r="J541" s="53"/>
      <c r="K541" s="53"/>
      <c r="L541" s="53"/>
      <c r="M541" s="53"/>
      <c r="N541" s="53"/>
      <c r="O541" s="53"/>
      <c r="P541" s="53"/>
      <c r="Q541" s="52"/>
    </row>
    <row r="542">
      <c r="B542" s="26"/>
      <c r="C542" s="40"/>
      <c r="D542" s="40"/>
      <c r="E542" s="40"/>
      <c r="F542" s="40"/>
      <c r="G542" s="40"/>
      <c r="H542" s="40"/>
      <c r="I542" s="53"/>
      <c r="J542" s="53"/>
      <c r="K542" s="53"/>
      <c r="L542" s="53"/>
      <c r="M542" s="53"/>
      <c r="N542" s="53"/>
      <c r="O542" s="53"/>
      <c r="P542" s="53"/>
      <c r="Q542" s="52"/>
    </row>
    <row r="543">
      <c r="B543" s="26"/>
      <c r="C543" s="40"/>
      <c r="D543" s="40"/>
      <c r="E543" s="40"/>
      <c r="F543" s="40"/>
      <c r="G543" s="40"/>
      <c r="H543" s="40"/>
      <c r="I543" s="53"/>
      <c r="J543" s="53"/>
      <c r="K543" s="53"/>
      <c r="L543" s="53"/>
      <c r="M543" s="53"/>
      <c r="N543" s="53"/>
      <c r="O543" s="53"/>
      <c r="P543" s="53"/>
      <c r="Q543" s="52"/>
    </row>
    <row r="544">
      <c r="B544" s="26"/>
      <c r="C544" s="40"/>
      <c r="D544" s="40"/>
      <c r="E544" s="40"/>
      <c r="F544" s="40"/>
      <c r="G544" s="40"/>
      <c r="H544" s="40"/>
      <c r="I544" s="53"/>
      <c r="J544" s="53"/>
      <c r="K544" s="53"/>
      <c r="L544" s="53"/>
      <c r="M544" s="53"/>
      <c r="N544" s="53"/>
      <c r="O544" s="53"/>
      <c r="P544" s="53"/>
      <c r="Q544" s="52"/>
    </row>
    <row r="545">
      <c r="B545" s="26"/>
      <c r="C545" s="40"/>
      <c r="D545" s="40"/>
      <c r="E545" s="40"/>
      <c r="F545" s="40"/>
      <c r="G545" s="40"/>
      <c r="H545" s="40"/>
      <c r="I545" s="53"/>
      <c r="J545" s="53"/>
      <c r="K545" s="53"/>
      <c r="L545" s="53"/>
      <c r="M545" s="53"/>
      <c r="N545" s="53"/>
      <c r="O545" s="53"/>
      <c r="P545" s="53"/>
      <c r="Q545" s="52"/>
    </row>
    <row r="546">
      <c r="B546" s="26"/>
      <c r="C546" s="40"/>
      <c r="D546" s="40"/>
      <c r="E546" s="40"/>
      <c r="F546" s="40"/>
      <c r="G546" s="40"/>
      <c r="H546" s="40"/>
      <c r="I546" s="53"/>
      <c r="J546" s="53"/>
      <c r="K546" s="53"/>
      <c r="L546" s="53"/>
      <c r="M546" s="53"/>
      <c r="N546" s="53"/>
      <c r="O546" s="53"/>
      <c r="P546" s="53"/>
      <c r="Q546" s="52"/>
    </row>
    <row r="547">
      <c r="B547" s="26"/>
      <c r="C547" s="40"/>
      <c r="D547" s="40"/>
      <c r="E547" s="40"/>
      <c r="F547" s="40"/>
      <c r="G547" s="40"/>
      <c r="H547" s="40"/>
      <c r="I547" s="53"/>
      <c r="J547" s="53"/>
      <c r="K547" s="53"/>
      <c r="L547" s="53"/>
      <c r="M547" s="53"/>
      <c r="N547" s="53"/>
      <c r="O547" s="53"/>
      <c r="P547" s="53"/>
      <c r="Q547" s="52"/>
    </row>
    <row r="548">
      <c r="B548" s="26"/>
      <c r="C548" s="40"/>
      <c r="D548" s="40"/>
      <c r="E548" s="40"/>
      <c r="F548" s="40"/>
      <c r="G548" s="40"/>
      <c r="H548" s="40"/>
      <c r="I548" s="53"/>
      <c r="J548" s="53"/>
      <c r="K548" s="53"/>
      <c r="L548" s="53"/>
      <c r="M548" s="53"/>
      <c r="N548" s="53"/>
      <c r="O548" s="53"/>
      <c r="P548" s="53"/>
      <c r="Q548" s="52"/>
    </row>
    <row r="549">
      <c r="B549" s="26"/>
      <c r="C549" s="40"/>
      <c r="D549" s="40"/>
      <c r="E549" s="40"/>
      <c r="F549" s="40"/>
      <c r="G549" s="40"/>
      <c r="H549" s="40"/>
      <c r="I549" s="53"/>
      <c r="J549" s="53"/>
      <c r="K549" s="53"/>
      <c r="L549" s="53"/>
      <c r="M549" s="53"/>
      <c r="N549" s="53"/>
      <c r="O549" s="53"/>
      <c r="P549" s="53"/>
      <c r="Q549" s="52"/>
    </row>
    <row r="550">
      <c r="B550" s="26"/>
      <c r="C550" s="40"/>
      <c r="D550" s="40"/>
      <c r="E550" s="40"/>
      <c r="F550" s="40"/>
      <c r="G550" s="40"/>
      <c r="H550" s="40"/>
      <c r="I550" s="53"/>
      <c r="J550" s="53"/>
      <c r="K550" s="53"/>
      <c r="L550" s="53"/>
      <c r="M550" s="53"/>
      <c r="N550" s="53"/>
      <c r="O550" s="53"/>
      <c r="P550" s="53"/>
      <c r="Q550" s="52"/>
    </row>
    <row r="551">
      <c r="B551" s="26"/>
      <c r="C551" s="40"/>
      <c r="D551" s="40"/>
      <c r="E551" s="40"/>
      <c r="F551" s="40"/>
      <c r="G551" s="40"/>
      <c r="H551" s="40"/>
      <c r="I551" s="53"/>
      <c r="J551" s="53"/>
      <c r="K551" s="53"/>
      <c r="L551" s="53"/>
      <c r="M551" s="53"/>
      <c r="N551" s="53"/>
      <c r="O551" s="53"/>
      <c r="P551" s="53"/>
      <c r="Q551" s="52"/>
    </row>
    <row r="552">
      <c r="B552" s="26"/>
      <c r="C552" s="40"/>
      <c r="D552" s="40"/>
      <c r="E552" s="40"/>
      <c r="F552" s="40"/>
      <c r="G552" s="40"/>
      <c r="H552" s="40"/>
      <c r="I552" s="53"/>
      <c r="J552" s="53"/>
      <c r="K552" s="53"/>
      <c r="L552" s="53"/>
      <c r="M552" s="53"/>
      <c r="N552" s="53"/>
      <c r="O552" s="53"/>
      <c r="P552" s="53"/>
      <c r="Q552" s="52"/>
    </row>
    <row r="553">
      <c r="B553" s="26"/>
      <c r="C553" s="40"/>
      <c r="D553" s="40"/>
      <c r="E553" s="40"/>
      <c r="F553" s="40"/>
      <c r="G553" s="40"/>
      <c r="H553" s="40"/>
      <c r="I553" s="53"/>
      <c r="J553" s="53"/>
      <c r="K553" s="53"/>
      <c r="L553" s="53"/>
      <c r="M553" s="53"/>
      <c r="N553" s="53"/>
      <c r="O553" s="53"/>
      <c r="P553" s="53"/>
      <c r="Q553" s="52"/>
    </row>
    <row r="554">
      <c r="B554" s="26"/>
      <c r="C554" s="40"/>
      <c r="D554" s="40"/>
      <c r="E554" s="40"/>
      <c r="F554" s="40"/>
      <c r="G554" s="40"/>
      <c r="H554" s="40"/>
      <c r="I554" s="53"/>
      <c r="J554" s="53"/>
      <c r="K554" s="53"/>
      <c r="L554" s="53"/>
      <c r="M554" s="53"/>
      <c r="N554" s="53"/>
      <c r="O554" s="53"/>
      <c r="P554" s="53"/>
      <c r="Q554" s="52"/>
    </row>
    <row r="555">
      <c r="B555" s="26"/>
      <c r="C555" s="40"/>
      <c r="D555" s="40"/>
      <c r="E555" s="40"/>
      <c r="F555" s="40"/>
      <c r="G555" s="40"/>
      <c r="H555" s="40"/>
      <c r="I555" s="53"/>
      <c r="J555" s="53"/>
      <c r="K555" s="53"/>
      <c r="L555" s="53"/>
      <c r="M555" s="53"/>
      <c r="N555" s="53"/>
      <c r="O555" s="53"/>
      <c r="P555" s="53"/>
      <c r="Q555" s="52"/>
    </row>
    <row r="556">
      <c r="B556" s="26"/>
      <c r="C556" s="40"/>
      <c r="D556" s="40"/>
      <c r="E556" s="40"/>
      <c r="F556" s="40"/>
      <c r="G556" s="40"/>
      <c r="H556" s="40"/>
      <c r="I556" s="53"/>
      <c r="J556" s="53"/>
      <c r="K556" s="53"/>
      <c r="L556" s="53"/>
      <c r="M556" s="53"/>
      <c r="N556" s="53"/>
      <c r="O556" s="53"/>
      <c r="P556" s="53"/>
      <c r="Q556" s="52"/>
    </row>
    <row r="557">
      <c r="B557" s="26"/>
      <c r="C557" s="40"/>
      <c r="D557" s="40"/>
      <c r="E557" s="40"/>
      <c r="F557" s="40"/>
      <c r="G557" s="40"/>
      <c r="H557" s="40"/>
      <c r="I557" s="53"/>
      <c r="J557" s="53"/>
      <c r="K557" s="53"/>
      <c r="L557" s="53"/>
      <c r="M557" s="53"/>
      <c r="N557" s="53"/>
      <c r="O557" s="53"/>
      <c r="P557" s="53"/>
      <c r="Q557" s="52"/>
    </row>
    <row r="558">
      <c r="B558" s="26"/>
      <c r="C558" s="40"/>
      <c r="D558" s="40"/>
      <c r="E558" s="40"/>
      <c r="F558" s="40"/>
      <c r="G558" s="40"/>
      <c r="H558" s="40"/>
      <c r="I558" s="53"/>
      <c r="J558" s="53"/>
      <c r="K558" s="53"/>
      <c r="L558" s="53"/>
      <c r="M558" s="53"/>
      <c r="N558" s="53"/>
      <c r="O558" s="53"/>
      <c r="P558" s="53"/>
      <c r="Q558" s="52"/>
    </row>
    <row r="559">
      <c r="B559" s="26"/>
      <c r="C559" s="40"/>
      <c r="D559" s="40"/>
      <c r="E559" s="40"/>
      <c r="F559" s="40"/>
      <c r="G559" s="40"/>
      <c r="H559" s="40"/>
      <c r="I559" s="53"/>
      <c r="J559" s="53"/>
      <c r="K559" s="53"/>
      <c r="L559" s="53"/>
      <c r="M559" s="53"/>
      <c r="N559" s="53"/>
      <c r="O559" s="53"/>
      <c r="P559" s="53"/>
      <c r="Q559" s="52"/>
    </row>
    <row r="560">
      <c r="B560" s="26"/>
      <c r="C560" s="40"/>
      <c r="D560" s="40"/>
      <c r="E560" s="40"/>
      <c r="F560" s="40"/>
      <c r="G560" s="40"/>
      <c r="H560" s="40"/>
      <c r="I560" s="53"/>
      <c r="J560" s="53"/>
      <c r="K560" s="53"/>
      <c r="L560" s="53"/>
      <c r="M560" s="53"/>
      <c r="N560" s="53"/>
      <c r="O560" s="53"/>
      <c r="P560" s="53"/>
      <c r="Q560" s="52"/>
    </row>
    <row r="561">
      <c r="B561" s="26"/>
      <c r="C561" s="40"/>
      <c r="D561" s="40"/>
      <c r="E561" s="40"/>
      <c r="F561" s="40"/>
      <c r="G561" s="40"/>
      <c r="H561" s="40"/>
      <c r="I561" s="53"/>
      <c r="J561" s="53"/>
      <c r="K561" s="53"/>
      <c r="L561" s="53"/>
      <c r="M561" s="53"/>
      <c r="N561" s="53"/>
      <c r="O561" s="53"/>
      <c r="P561" s="53"/>
      <c r="Q561" s="52"/>
    </row>
    <row r="562">
      <c r="B562" s="26"/>
      <c r="C562" s="40"/>
      <c r="D562" s="40"/>
      <c r="E562" s="40"/>
      <c r="F562" s="40"/>
      <c r="G562" s="40"/>
      <c r="H562" s="40"/>
      <c r="I562" s="53"/>
      <c r="J562" s="53"/>
      <c r="K562" s="53"/>
      <c r="L562" s="53"/>
      <c r="M562" s="53"/>
      <c r="N562" s="53"/>
      <c r="O562" s="53"/>
      <c r="P562" s="53"/>
      <c r="Q562" s="52"/>
    </row>
    <row r="563">
      <c r="B563" s="26"/>
      <c r="C563" s="40"/>
      <c r="D563" s="40"/>
      <c r="E563" s="40"/>
      <c r="F563" s="40"/>
      <c r="G563" s="40"/>
      <c r="H563" s="40"/>
      <c r="I563" s="53"/>
      <c r="J563" s="53"/>
      <c r="K563" s="53"/>
      <c r="L563" s="53"/>
      <c r="M563" s="53"/>
      <c r="N563" s="53"/>
      <c r="O563" s="53"/>
      <c r="P563" s="53"/>
      <c r="Q563" s="52"/>
    </row>
    <row r="564">
      <c r="B564" s="26"/>
      <c r="C564" s="40"/>
      <c r="D564" s="40"/>
      <c r="E564" s="40"/>
      <c r="F564" s="40"/>
      <c r="G564" s="40"/>
      <c r="H564" s="40"/>
      <c r="I564" s="53"/>
      <c r="J564" s="53"/>
      <c r="K564" s="53"/>
      <c r="L564" s="53"/>
      <c r="M564" s="53"/>
      <c r="N564" s="53"/>
      <c r="O564" s="53"/>
      <c r="P564" s="53"/>
      <c r="Q564" s="52"/>
    </row>
    <row r="565">
      <c r="B565" s="26"/>
      <c r="C565" s="40"/>
      <c r="D565" s="40"/>
      <c r="E565" s="40"/>
      <c r="F565" s="40"/>
      <c r="G565" s="40"/>
      <c r="H565" s="40"/>
      <c r="I565" s="53"/>
      <c r="J565" s="53"/>
      <c r="K565" s="53"/>
      <c r="L565" s="53"/>
      <c r="M565" s="53"/>
      <c r="N565" s="53"/>
      <c r="O565" s="53"/>
      <c r="P565" s="53"/>
      <c r="Q565" s="52"/>
    </row>
    <row r="566">
      <c r="B566" s="26"/>
      <c r="C566" s="40"/>
      <c r="D566" s="40"/>
      <c r="E566" s="40"/>
      <c r="F566" s="40"/>
      <c r="G566" s="40"/>
      <c r="H566" s="40"/>
      <c r="I566" s="53"/>
      <c r="J566" s="53"/>
      <c r="K566" s="53"/>
      <c r="L566" s="53"/>
      <c r="M566" s="53"/>
      <c r="N566" s="53"/>
      <c r="O566" s="53"/>
      <c r="P566" s="53"/>
      <c r="Q566" s="52"/>
    </row>
    <row r="567">
      <c r="B567" s="26"/>
      <c r="C567" s="40"/>
      <c r="D567" s="40"/>
      <c r="E567" s="40"/>
      <c r="F567" s="40"/>
      <c r="G567" s="40"/>
      <c r="H567" s="40"/>
      <c r="I567" s="53"/>
      <c r="J567" s="53"/>
      <c r="K567" s="53"/>
      <c r="L567" s="53"/>
      <c r="M567" s="53"/>
      <c r="N567" s="53"/>
      <c r="O567" s="53"/>
      <c r="P567" s="53"/>
      <c r="Q567" s="52"/>
    </row>
    <row r="568">
      <c r="B568" s="26"/>
      <c r="C568" s="40"/>
      <c r="D568" s="40"/>
      <c r="E568" s="40"/>
      <c r="F568" s="40"/>
      <c r="G568" s="40"/>
      <c r="H568" s="40"/>
      <c r="I568" s="53"/>
      <c r="J568" s="53"/>
      <c r="K568" s="53"/>
      <c r="L568" s="53"/>
      <c r="M568" s="53"/>
      <c r="N568" s="53"/>
      <c r="O568" s="53"/>
      <c r="P568" s="53"/>
      <c r="Q568" s="52"/>
    </row>
    <row r="569">
      <c r="B569" s="26"/>
      <c r="C569" s="40"/>
      <c r="D569" s="40"/>
      <c r="E569" s="40"/>
      <c r="F569" s="40"/>
      <c r="G569" s="40"/>
      <c r="H569" s="40"/>
      <c r="I569" s="53"/>
      <c r="J569" s="53"/>
      <c r="K569" s="53"/>
      <c r="L569" s="53"/>
      <c r="M569" s="53"/>
      <c r="N569" s="53"/>
      <c r="O569" s="53"/>
      <c r="P569" s="53"/>
      <c r="Q569" s="52"/>
    </row>
    <row r="570">
      <c r="B570" s="26"/>
      <c r="C570" s="40"/>
      <c r="D570" s="40"/>
      <c r="E570" s="40"/>
      <c r="F570" s="40"/>
      <c r="G570" s="40"/>
      <c r="H570" s="40"/>
      <c r="I570" s="53"/>
      <c r="J570" s="53"/>
      <c r="K570" s="53"/>
      <c r="L570" s="53"/>
      <c r="M570" s="53"/>
      <c r="N570" s="53"/>
      <c r="O570" s="53"/>
      <c r="P570" s="53"/>
      <c r="Q570" s="52"/>
    </row>
    <row r="571">
      <c r="B571" s="26"/>
      <c r="C571" s="40"/>
      <c r="D571" s="40"/>
      <c r="E571" s="40"/>
      <c r="F571" s="40"/>
      <c r="G571" s="40"/>
      <c r="H571" s="40"/>
      <c r="I571" s="53"/>
      <c r="J571" s="53"/>
      <c r="K571" s="53"/>
      <c r="L571" s="53"/>
      <c r="M571" s="53"/>
      <c r="N571" s="53"/>
      <c r="O571" s="53"/>
      <c r="P571" s="53"/>
      <c r="Q571" s="52"/>
    </row>
    <row r="572">
      <c r="B572" s="26"/>
      <c r="C572" s="40"/>
      <c r="D572" s="40"/>
      <c r="E572" s="40"/>
      <c r="F572" s="40"/>
      <c r="G572" s="40"/>
      <c r="H572" s="40"/>
      <c r="I572" s="53"/>
      <c r="J572" s="53"/>
      <c r="K572" s="53"/>
      <c r="L572" s="53"/>
      <c r="M572" s="53"/>
      <c r="N572" s="53"/>
      <c r="O572" s="53"/>
      <c r="P572" s="53"/>
      <c r="Q572" s="52"/>
    </row>
    <row r="573">
      <c r="B573" s="26"/>
      <c r="C573" s="40"/>
      <c r="D573" s="40"/>
      <c r="E573" s="40"/>
      <c r="F573" s="40"/>
      <c r="G573" s="40"/>
      <c r="H573" s="40"/>
      <c r="I573" s="53"/>
      <c r="J573" s="53"/>
      <c r="K573" s="53"/>
      <c r="L573" s="53"/>
      <c r="M573" s="53"/>
      <c r="N573" s="53"/>
      <c r="O573" s="53"/>
      <c r="P573" s="53"/>
      <c r="Q573" s="52"/>
    </row>
    <row r="574">
      <c r="B574" s="26"/>
      <c r="C574" s="40"/>
      <c r="D574" s="40"/>
      <c r="E574" s="40"/>
      <c r="F574" s="40"/>
      <c r="G574" s="40"/>
      <c r="H574" s="40"/>
      <c r="I574" s="53"/>
      <c r="J574" s="53"/>
      <c r="K574" s="53"/>
      <c r="L574" s="53"/>
      <c r="M574" s="53"/>
      <c r="N574" s="53"/>
      <c r="O574" s="53"/>
      <c r="P574" s="53"/>
      <c r="Q574" s="52"/>
    </row>
    <row r="575">
      <c r="B575" s="26"/>
      <c r="C575" s="40"/>
      <c r="D575" s="40"/>
      <c r="E575" s="40"/>
      <c r="F575" s="40"/>
      <c r="G575" s="40"/>
      <c r="H575" s="40"/>
      <c r="I575" s="53"/>
      <c r="J575" s="53"/>
      <c r="K575" s="53"/>
      <c r="L575" s="53"/>
      <c r="M575" s="53"/>
      <c r="N575" s="53"/>
      <c r="O575" s="53"/>
      <c r="P575" s="53"/>
      <c r="Q575" s="52"/>
    </row>
    <row r="576">
      <c r="B576" s="26"/>
      <c r="C576" s="40"/>
      <c r="D576" s="40"/>
      <c r="E576" s="40"/>
      <c r="F576" s="40"/>
      <c r="G576" s="40"/>
      <c r="H576" s="40"/>
      <c r="I576" s="53"/>
      <c r="J576" s="53"/>
      <c r="K576" s="53"/>
      <c r="L576" s="53"/>
      <c r="M576" s="53"/>
      <c r="N576" s="53"/>
      <c r="O576" s="53"/>
      <c r="P576" s="53"/>
      <c r="Q576" s="52"/>
    </row>
    <row r="577">
      <c r="B577" s="26"/>
      <c r="C577" s="40"/>
      <c r="D577" s="40"/>
      <c r="E577" s="40"/>
      <c r="F577" s="40"/>
      <c r="G577" s="40"/>
      <c r="H577" s="40"/>
      <c r="I577" s="53"/>
      <c r="J577" s="53"/>
      <c r="K577" s="53"/>
      <c r="L577" s="53"/>
      <c r="M577" s="53"/>
      <c r="N577" s="53"/>
      <c r="O577" s="53"/>
      <c r="P577" s="53"/>
      <c r="Q577" s="52"/>
    </row>
    <row r="578">
      <c r="B578" s="26"/>
      <c r="C578" s="40"/>
      <c r="D578" s="40"/>
      <c r="E578" s="40"/>
      <c r="F578" s="40"/>
      <c r="G578" s="40"/>
      <c r="H578" s="40"/>
      <c r="I578" s="53"/>
      <c r="J578" s="53"/>
      <c r="K578" s="53"/>
      <c r="L578" s="53"/>
      <c r="M578" s="53"/>
      <c r="N578" s="53"/>
      <c r="O578" s="53"/>
      <c r="P578" s="53"/>
      <c r="Q578" s="52"/>
    </row>
    <row r="579">
      <c r="B579" s="26"/>
      <c r="C579" s="40"/>
      <c r="D579" s="40"/>
      <c r="E579" s="40"/>
      <c r="F579" s="40"/>
      <c r="G579" s="40"/>
      <c r="H579" s="40"/>
      <c r="I579" s="53"/>
      <c r="J579" s="53"/>
      <c r="K579" s="53"/>
      <c r="L579" s="53"/>
      <c r="M579" s="53"/>
      <c r="N579" s="53"/>
      <c r="O579" s="53"/>
      <c r="P579" s="53"/>
      <c r="Q579" s="52"/>
    </row>
    <row r="580">
      <c r="B580" s="26"/>
      <c r="C580" s="40"/>
      <c r="D580" s="40"/>
      <c r="E580" s="40"/>
      <c r="F580" s="40"/>
      <c r="G580" s="40"/>
      <c r="H580" s="40"/>
      <c r="I580" s="53"/>
      <c r="J580" s="53"/>
      <c r="K580" s="53"/>
      <c r="L580" s="53"/>
      <c r="M580" s="53"/>
      <c r="N580" s="53"/>
      <c r="O580" s="53"/>
      <c r="P580" s="53"/>
      <c r="Q580" s="52"/>
    </row>
    <row r="581">
      <c r="B581" s="26"/>
      <c r="C581" s="40"/>
      <c r="D581" s="40"/>
      <c r="E581" s="40"/>
      <c r="F581" s="40"/>
      <c r="G581" s="40"/>
      <c r="H581" s="40"/>
      <c r="I581" s="53"/>
      <c r="J581" s="53"/>
      <c r="K581" s="53"/>
      <c r="L581" s="53"/>
      <c r="M581" s="53"/>
      <c r="N581" s="53"/>
      <c r="O581" s="53"/>
      <c r="P581" s="53"/>
      <c r="Q581" s="52"/>
    </row>
    <row r="582">
      <c r="B582" s="26"/>
      <c r="C582" s="40"/>
      <c r="D582" s="40"/>
      <c r="E582" s="40"/>
      <c r="F582" s="40"/>
      <c r="G582" s="40"/>
      <c r="H582" s="40"/>
      <c r="I582" s="53"/>
      <c r="J582" s="53"/>
      <c r="K582" s="53"/>
      <c r="L582" s="53"/>
      <c r="M582" s="53"/>
      <c r="N582" s="53"/>
      <c r="O582" s="53"/>
      <c r="P582" s="53"/>
      <c r="Q582" s="52"/>
    </row>
    <row r="583">
      <c r="B583" s="26"/>
      <c r="C583" s="40"/>
      <c r="D583" s="40"/>
      <c r="E583" s="40"/>
      <c r="F583" s="40"/>
      <c r="G583" s="40"/>
      <c r="H583" s="40"/>
      <c r="I583" s="53"/>
      <c r="J583" s="53"/>
      <c r="K583" s="53"/>
      <c r="L583" s="53"/>
      <c r="M583" s="53"/>
      <c r="N583" s="53"/>
      <c r="O583" s="53"/>
      <c r="P583" s="53"/>
      <c r="Q583" s="52"/>
    </row>
    <row r="584">
      <c r="B584" s="26"/>
      <c r="C584" s="40"/>
      <c r="D584" s="40"/>
      <c r="E584" s="40"/>
      <c r="F584" s="40"/>
      <c r="G584" s="40"/>
      <c r="H584" s="40"/>
      <c r="I584" s="53"/>
      <c r="J584" s="53"/>
      <c r="K584" s="53"/>
      <c r="L584" s="53"/>
      <c r="M584" s="53"/>
      <c r="N584" s="53"/>
      <c r="O584" s="53"/>
      <c r="P584" s="53"/>
      <c r="Q584" s="52"/>
    </row>
    <row r="585">
      <c r="B585" s="26"/>
      <c r="C585" s="40"/>
      <c r="D585" s="40"/>
      <c r="E585" s="40"/>
      <c r="F585" s="40"/>
      <c r="G585" s="40"/>
      <c r="H585" s="40"/>
      <c r="I585" s="53"/>
      <c r="J585" s="53"/>
      <c r="K585" s="53"/>
      <c r="L585" s="53"/>
      <c r="M585" s="53"/>
      <c r="N585" s="53"/>
      <c r="O585" s="53"/>
      <c r="P585" s="53"/>
      <c r="Q585" s="52"/>
    </row>
    <row r="586">
      <c r="B586" s="26"/>
      <c r="C586" s="40"/>
      <c r="D586" s="40"/>
      <c r="E586" s="40"/>
      <c r="F586" s="40"/>
      <c r="G586" s="40"/>
      <c r="H586" s="40"/>
      <c r="I586" s="53"/>
      <c r="J586" s="53"/>
      <c r="K586" s="53"/>
      <c r="L586" s="53"/>
      <c r="M586" s="53"/>
      <c r="N586" s="53"/>
      <c r="O586" s="53"/>
      <c r="P586" s="53"/>
      <c r="Q586" s="52"/>
    </row>
    <row r="587">
      <c r="B587" s="26"/>
      <c r="C587" s="40"/>
      <c r="D587" s="40"/>
      <c r="E587" s="40"/>
      <c r="F587" s="40"/>
      <c r="G587" s="40"/>
      <c r="H587" s="40"/>
      <c r="I587" s="53"/>
      <c r="J587" s="53"/>
      <c r="K587" s="53"/>
      <c r="L587" s="53"/>
      <c r="M587" s="53"/>
      <c r="N587" s="53"/>
      <c r="O587" s="53"/>
      <c r="P587" s="53"/>
      <c r="Q587" s="52"/>
    </row>
    <row r="588">
      <c r="B588" s="26"/>
      <c r="C588" s="40"/>
      <c r="D588" s="40"/>
      <c r="E588" s="40"/>
      <c r="F588" s="40"/>
      <c r="G588" s="40"/>
      <c r="H588" s="40"/>
      <c r="I588" s="53"/>
      <c r="J588" s="53"/>
      <c r="K588" s="53"/>
      <c r="L588" s="53"/>
      <c r="M588" s="53"/>
      <c r="N588" s="53"/>
      <c r="O588" s="53"/>
      <c r="P588" s="53"/>
      <c r="Q588" s="52"/>
    </row>
    <row r="589">
      <c r="B589" s="26"/>
      <c r="C589" s="40"/>
      <c r="D589" s="40"/>
      <c r="E589" s="40"/>
      <c r="F589" s="40"/>
      <c r="G589" s="40"/>
      <c r="H589" s="40"/>
      <c r="I589" s="53"/>
      <c r="J589" s="53"/>
      <c r="K589" s="53"/>
      <c r="L589" s="53"/>
      <c r="M589" s="53"/>
      <c r="N589" s="53"/>
      <c r="O589" s="53"/>
      <c r="P589" s="53"/>
      <c r="Q589" s="52"/>
    </row>
    <row r="590">
      <c r="B590" s="26"/>
      <c r="C590" s="40"/>
      <c r="D590" s="40"/>
      <c r="E590" s="40"/>
      <c r="F590" s="40"/>
      <c r="G590" s="40"/>
      <c r="H590" s="40"/>
      <c r="I590" s="53"/>
      <c r="J590" s="53"/>
      <c r="K590" s="53"/>
      <c r="L590" s="53"/>
      <c r="M590" s="53"/>
      <c r="N590" s="53"/>
      <c r="O590" s="53"/>
      <c r="P590" s="53"/>
      <c r="Q590" s="52"/>
    </row>
    <row r="591">
      <c r="B591" s="26"/>
      <c r="C591" s="40"/>
      <c r="D591" s="40"/>
      <c r="E591" s="40"/>
      <c r="F591" s="40"/>
      <c r="G591" s="40"/>
      <c r="H591" s="40"/>
      <c r="I591" s="53"/>
      <c r="J591" s="53"/>
      <c r="K591" s="53"/>
      <c r="L591" s="53"/>
      <c r="M591" s="53"/>
      <c r="N591" s="53"/>
      <c r="O591" s="53"/>
      <c r="P591" s="53"/>
      <c r="Q591" s="52"/>
    </row>
    <row r="592">
      <c r="B592" s="26"/>
      <c r="C592" s="40"/>
      <c r="D592" s="40"/>
      <c r="E592" s="40"/>
      <c r="F592" s="40"/>
      <c r="G592" s="40"/>
      <c r="H592" s="40"/>
      <c r="I592" s="53"/>
      <c r="J592" s="53"/>
      <c r="K592" s="53"/>
      <c r="L592" s="53"/>
      <c r="M592" s="53"/>
      <c r="N592" s="53"/>
      <c r="O592" s="53"/>
      <c r="P592" s="53"/>
      <c r="Q592" s="52"/>
    </row>
    <row r="593">
      <c r="B593" s="26"/>
      <c r="C593" s="40"/>
      <c r="D593" s="40"/>
      <c r="E593" s="40"/>
      <c r="F593" s="40"/>
      <c r="G593" s="40"/>
      <c r="H593" s="40"/>
      <c r="I593" s="53"/>
      <c r="J593" s="53"/>
      <c r="K593" s="53"/>
      <c r="L593" s="53"/>
      <c r="M593" s="53"/>
      <c r="N593" s="53"/>
      <c r="O593" s="53"/>
      <c r="P593" s="53"/>
      <c r="Q593" s="52"/>
    </row>
    <row r="594">
      <c r="B594" s="26"/>
      <c r="C594" s="40"/>
      <c r="D594" s="40"/>
      <c r="E594" s="40"/>
      <c r="F594" s="40"/>
      <c r="G594" s="40"/>
      <c r="H594" s="40"/>
      <c r="I594" s="53"/>
      <c r="J594" s="53"/>
      <c r="K594" s="53"/>
      <c r="L594" s="53"/>
      <c r="M594" s="53"/>
      <c r="N594" s="53"/>
      <c r="O594" s="53"/>
      <c r="P594" s="53"/>
      <c r="Q594" s="52"/>
    </row>
    <row r="595">
      <c r="B595" s="26"/>
      <c r="C595" s="40"/>
      <c r="D595" s="40"/>
      <c r="E595" s="40"/>
      <c r="F595" s="40"/>
      <c r="G595" s="40"/>
      <c r="H595" s="40"/>
      <c r="I595" s="53"/>
      <c r="J595" s="53"/>
      <c r="K595" s="53"/>
      <c r="L595" s="53"/>
      <c r="M595" s="53"/>
      <c r="N595" s="53"/>
      <c r="O595" s="53"/>
      <c r="P595" s="53"/>
      <c r="Q595" s="52"/>
    </row>
    <row r="596">
      <c r="B596" s="26"/>
      <c r="C596" s="40"/>
      <c r="D596" s="40"/>
      <c r="E596" s="40"/>
      <c r="F596" s="40"/>
      <c r="G596" s="40"/>
      <c r="H596" s="40"/>
      <c r="I596" s="53"/>
      <c r="J596" s="53"/>
      <c r="K596" s="53"/>
      <c r="L596" s="53"/>
      <c r="M596" s="53"/>
      <c r="N596" s="53"/>
      <c r="O596" s="53"/>
      <c r="P596" s="53"/>
      <c r="Q596" s="52"/>
    </row>
    <row r="597">
      <c r="B597" s="26"/>
      <c r="C597" s="40"/>
      <c r="D597" s="40"/>
      <c r="E597" s="40"/>
      <c r="F597" s="40"/>
      <c r="G597" s="40"/>
      <c r="H597" s="40"/>
      <c r="I597" s="53"/>
      <c r="J597" s="53"/>
      <c r="K597" s="53"/>
      <c r="L597" s="53"/>
      <c r="M597" s="53"/>
      <c r="N597" s="53"/>
      <c r="O597" s="53"/>
      <c r="P597" s="53"/>
      <c r="Q597" s="52"/>
    </row>
    <row r="598">
      <c r="B598" s="26"/>
      <c r="C598" s="40"/>
      <c r="D598" s="40"/>
      <c r="E598" s="40"/>
      <c r="F598" s="40"/>
      <c r="G598" s="40"/>
      <c r="H598" s="40"/>
      <c r="I598" s="53"/>
      <c r="J598" s="53"/>
      <c r="K598" s="53"/>
      <c r="L598" s="53"/>
      <c r="M598" s="53"/>
      <c r="N598" s="53"/>
      <c r="O598" s="53"/>
      <c r="P598" s="53"/>
      <c r="Q598" s="52"/>
    </row>
    <row r="599">
      <c r="B599" s="26"/>
      <c r="C599" s="40"/>
      <c r="D599" s="40"/>
      <c r="E599" s="40"/>
      <c r="F599" s="40"/>
      <c r="G599" s="40"/>
      <c r="H599" s="40"/>
      <c r="I599" s="53"/>
      <c r="J599" s="53"/>
      <c r="K599" s="53"/>
      <c r="L599" s="53"/>
      <c r="M599" s="53"/>
      <c r="N599" s="53"/>
      <c r="O599" s="53"/>
      <c r="P599" s="53"/>
      <c r="Q599" s="52"/>
    </row>
    <row r="600">
      <c r="B600" s="26"/>
      <c r="C600" s="40"/>
      <c r="D600" s="40"/>
      <c r="E600" s="40"/>
      <c r="F600" s="40"/>
      <c r="G600" s="40"/>
      <c r="H600" s="40"/>
      <c r="I600" s="53"/>
      <c r="J600" s="53"/>
      <c r="K600" s="53"/>
      <c r="L600" s="53"/>
      <c r="M600" s="53"/>
      <c r="N600" s="53"/>
      <c r="O600" s="53"/>
      <c r="P600" s="53"/>
      <c r="Q600" s="52"/>
    </row>
    <row r="601">
      <c r="B601" s="26"/>
      <c r="C601" s="40"/>
      <c r="D601" s="40"/>
      <c r="E601" s="40"/>
      <c r="F601" s="40"/>
      <c r="G601" s="40"/>
      <c r="H601" s="40"/>
      <c r="I601" s="53"/>
      <c r="J601" s="53"/>
      <c r="K601" s="53"/>
      <c r="L601" s="53"/>
      <c r="M601" s="53"/>
      <c r="N601" s="53"/>
      <c r="O601" s="53"/>
      <c r="P601" s="53"/>
      <c r="Q601" s="52"/>
    </row>
    <row r="602">
      <c r="B602" s="26"/>
      <c r="C602" s="40"/>
      <c r="D602" s="40"/>
      <c r="E602" s="40"/>
      <c r="F602" s="40"/>
      <c r="G602" s="40"/>
      <c r="H602" s="40"/>
      <c r="I602" s="53"/>
      <c r="J602" s="53"/>
      <c r="K602" s="53"/>
      <c r="L602" s="53"/>
      <c r="M602" s="53"/>
      <c r="N602" s="53"/>
      <c r="O602" s="53"/>
      <c r="P602" s="53"/>
      <c r="Q602" s="52"/>
    </row>
    <row r="603">
      <c r="B603" s="26"/>
      <c r="C603" s="40"/>
      <c r="D603" s="40"/>
      <c r="E603" s="40"/>
      <c r="F603" s="40"/>
      <c r="G603" s="40"/>
      <c r="H603" s="40"/>
      <c r="I603" s="53"/>
      <c r="J603" s="53"/>
      <c r="K603" s="53"/>
      <c r="L603" s="53"/>
      <c r="M603" s="53"/>
      <c r="N603" s="53"/>
      <c r="O603" s="53"/>
      <c r="P603" s="53"/>
      <c r="Q603" s="52"/>
    </row>
    <row r="604">
      <c r="B604" s="26"/>
      <c r="C604" s="40"/>
      <c r="D604" s="40"/>
      <c r="E604" s="40"/>
      <c r="F604" s="40"/>
      <c r="G604" s="40"/>
      <c r="H604" s="40"/>
      <c r="I604" s="53"/>
      <c r="J604" s="53"/>
      <c r="K604" s="53"/>
      <c r="L604" s="53"/>
      <c r="M604" s="53"/>
      <c r="N604" s="53"/>
      <c r="O604" s="53"/>
      <c r="P604" s="53"/>
      <c r="Q604" s="52"/>
    </row>
    <row r="605">
      <c r="B605" s="26"/>
      <c r="C605" s="40"/>
      <c r="D605" s="40"/>
      <c r="E605" s="40"/>
      <c r="F605" s="40"/>
      <c r="G605" s="40"/>
      <c r="H605" s="40"/>
      <c r="I605" s="53"/>
      <c r="J605" s="53"/>
      <c r="K605" s="53"/>
      <c r="L605" s="53"/>
      <c r="M605" s="53"/>
      <c r="N605" s="53"/>
      <c r="O605" s="53"/>
      <c r="P605" s="53"/>
      <c r="Q605" s="52"/>
    </row>
    <row r="606">
      <c r="B606" s="26"/>
      <c r="C606" s="40"/>
      <c r="D606" s="40"/>
      <c r="E606" s="40"/>
      <c r="F606" s="40"/>
      <c r="G606" s="40"/>
      <c r="H606" s="40"/>
      <c r="I606" s="53"/>
      <c r="J606" s="53"/>
      <c r="K606" s="53"/>
      <c r="L606" s="53"/>
      <c r="M606" s="53"/>
      <c r="N606" s="53"/>
      <c r="O606" s="53"/>
      <c r="P606" s="53"/>
      <c r="Q606" s="52"/>
    </row>
    <row r="607">
      <c r="B607" s="26"/>
      <c r="C607" s="40"/>
      <c r="D607" s="40"/>
      <c r="E607" s="40"/>
      <c r="F607" s="40"/>
      <c r="G607" s="40"/>
      <c r="H607" s="40"/>
      <c r="I607" s="53"/>
      <c r="J607" s="53"/>
      <c r="K607" s="53"/>
      <c r="L607" s="53"/>
      <c r="M607" s="53"/>
      <c r="N607" s="53"/>
      <c r="O607" s="53"/>
      <c r="P607" s="53"/>
      <c r="Q607" s="52"/>
    </row>
    <row r="608">
      <c r="B608" s="26"/>
      <c r="C608" s="40"/>
      <c r="D608" s="40"/>
      <c r="E608" s="40"/>
      <c r="F608" s="40"/>
      <c r="G608" s="40"/>
      <c r="H608" s="40"/>
      <c r="I608" s="53"/>
      <c r="J608" s="53"/>
      <c r="K608" s="53"/>
      <c r="L608" s="53"/>
      <c r="M608" s="53"/>
      <c r="N608" s="53"/>
      <c r="O608" s="53"/>
      <c r="P608" s="53"/>
      <c r="Q608" s="52"/>
    </row>
    <row r="609">
      <c r="B609" s="26"/>
      <c r="C609" s="40"/>
      <c r="D609" s="40"/>
      <c r="E609" s="40"/>
      <c r="F609" s="40"/>
      <c r="G609" s="40"/>
      <c r="H609" s="40"/>
      <c r="I609" s="53"/>
      <c r="J609" s="53"/>
      <c r="K609" s="53"/>
      <c r="L609" s="53"/>
      <c r="M609" s="53"/>
      <c r="N609" s="53"/>
      <c r="O609" s="53"/>
      <c r="P609" s="53"/>
      <c r="Q609" s="52"/>
    </row>
    <row r="610">
      <c r="B610" s="26"/>
      <c r="C610" s="40"/>
      <c r="D610" s="40"/>
      <c r="E610" s="40"/>
      <c r="F610" s="40"/>
      <c r="G610" s="40"/>
      <c r="H610" s="40"/>
      <c r="I610" s="53"/>
      <c r="J610" s="53"/>
      <c r="K610" s="53"/>
      <c r="L610" s="53"/>
      <c r="M610" s="53"/>
      <c r="N610" s="53"/>
      <c r="O610" s="53"/>
      <c r="P610" s="53"/>
      <c r="Q610" s="52"/>
    </row>
    <row r="611">
      <c r="B611" s="26"/>
      <c r="C611" s="40"/>
      <c r="D611" s="40"/>
      <c r="E611" s="40"/>
      <c r="F611" s="40"/>
      <c r="G611" s="40"/>
      <c r="H611" s="40"/>
      <c r="I611" s="53"/>
      <c r="J611" s="53"/>
      <c r="K611" s="53"/>
      <c r="L611" s="53"/>
      <c r="M611" s="53"/>
      <c r="N611" s="53"/>
      <c r="O611" s="53"/>
      <c r="P611" s="53"/>
      <c r="Q611" s="52"/>
    </row>
    <row r="612">
      <c r="B612" s="26"/>
      <c r="C612" s="40"/>
      <c r="D612" s="40"/>
      <c r="E612" s="40"/>
      <c r="F612" s="40"/>
      <c r="G612" s="40"/>
      <c r="H612" s="40"/>
      <c r="I612" s="53"/>
      <c r="J612" s="53"/>
      <c r="K612" s="53"/>
      <c r="L612" s="53"/>
      <c r="M612" s="53"/>
      <c r="N612" s="53"/>
      <c r="O612" s="53"/>
      <c r="P612" s="53"/>
      <c r="Q612" s="52"/>
    </row>
    <row r="613">
      <c r="B613" s="26"/>
      <c r="C613" s="40"/>
      <c r="D613" s="40"/>
      <c r="E613" s="40"/>
      <c r="F613" s="40"/>
      <c r="G613" s="40"/>
      <c r="H613" s="40"/>
      <c r="I613" s="53"/>
      <c r="J613" s="53"/>
      <c r="K613" s="53"/>
      <c r="L613" s="53"/>
      <c r="M613" s="53"/>
      <c r="N613" s="53"/>
      <c r="O613" s="53"/>
      <c r="P613" s="53"/>
      <c r="Q613" s="52"/>
    </row>
    <row r="614">
      <c r="B614" s="26"/>
      <c r="C614" s="40"/>
      <c r="D614" s="40"/>
      <c r="E614" s="40"/>
      <c r="F614" s="40"/>
      <c r="G614" s="40"/>
      <c r="H614" s="40"/>
      <c r="I614" s="53"/>
      <c r="J614" s="53"/>
      <c r="K614" s="53"/>
      <c r="L614" s="53"/>
      <c r="M614" s="53"/>
      <c r="N614" s="53"/>
      <c r="O614" s="53"/>
      <c r="P614" s="53"/>
      <c r="Q614" s="52"/>
    </row>
    <row r="615">
      <c r="B615" s="26"/>
      <c r="C615" s="40"/>
      <c r="D615" s="40"/>
      <c r="E615" s="40"/>
      <c r="F615" s="40"/>
      <c r="G615" s="40"/>
      <c r="H615" s="40"/>
      <c r="I615" s="53"/>
      <c r="J615" s="53"/>
      <c r="K615" s="53"/>
      <c r="L615" s="53"/>
      <c r="M615" s="53"/>
      <c r="N615" s="53"/>
      <c r="O615" s="53"/>
      <c r="P615" s="53"/>
      <c r="Q615" s="52"/>
    </row>
    <row r="616">
      <c r="B616" s="26"/>
      <c r="C616" s="40"/>
      <c r="D616" s="40"/>
      <c r="E616" s="40"/>
      <c r="F616" s="40"/>
      <c r="G616" s="40"/>
      <c r="H616" s="40"/>
      <c r="I616" s="53"/>
      <c r="J616" s="53"/>
      <c r="K616" s="53"/>
      <c r="L616" s="53"/>
      <c r="M616" s="53"/>
      <c r="N616" s="53"/>
      <c r="O616" s="53"/>
      <c r="P616" s="53"/>
      <c r="Q616" s="52"/>
    </row>
    <row r="617">
      <c r="B617" s="26"/>
      <c r="C617" s="40"/>
      <c r="D617" s="40"/>
      <c r="E617" s="40"/>
      <c r="F617" s="40"/>
      <c r="G617" s="40"/>
      <c r="H617" s="40"/>
      <c r="I617" s="53"/>
      <c r="J617" s="53"/>
      <c r="K617" s="53"/>
      <c r="L617" s="53"/>
      <c r="M617" s="53"/>
      <c r="N617" s="53"/>
      <c r="O617" s="53"/>
      <c r="P617" s="53"/>
      <c r="Q617" s="52"/>
    </row>
    <row r="618">
      <c r="B618" s="26"/>
      <c r="C618" s="40"/>
      <c r="D618" s="40"/>
      <c r="E618" s="40"/>
      <c r="F618" s="40"/>
      <c r="G618" s="40"/>
      <c r="H618" s="40"/>
      <c r="I618" s="53"/>
      <c r="J618" s="53"/>
      <c r="K618" s="53"/>
      <c r="L618" s="53"/>
      <c r="M618" s="53"/>
      <c r="N618" s="53"/>
      <c r="O618" s="53"/>
      <c r="P618" s="53"/>
      <c r="Q618" s="52"/>
    </row>
    <row r="619">
      <c r="B619" s="26"/>
      <c r="C619" s="40"/>
      <c r="D619" s="40"/>
      <c r="E619" s="40"/>
      <c r="F619" s="40"/>
      <c r="G619" s="40"/>
      <c r="H619" s="40"/>
      <c r="I619" s="53"/>
      <c r="J619" s="53"/>
      <c r="K619" s="53"/>
      <c r="L619" s="53"/>
      <c r="M619" s="53"/>
      <c r="N619" s="53"/>
      <c r="O619" s="53"/>
      <c r="P619" s="53"/>
      <c r="Q619" s="52"/>
    </row>
    <row r="620">
      <c r="B620" s="26"/>
      <c r="C620" s="40"/>
      <c r="D620" s="40"/>
      <c r="E620" s="40"/>
      <c r="F620" s="40"/>
      <c r="G620" s="40"/>
      <c r="H620" s="40"/>
      <c r="I620" s="53"/>
      <c r="J620" s="53"/>
      <c r="K620" s="53"/>
      <c r="L620" s="53"/>
      <c r="M620" s="53"/>
      <c r="N620" s="53"/>
      <c r="O620" s="53"/>
      <c r="P620" s="53"/>
      <c r="Q620" s="52"/>
    </row>
    <row r="621">
      <c r="B621" s="26"/>
      <c r="C621" s="40"/>
      <c r="D621" s="40"/>
      <c r="E621" s="40"/>
      <c r="F621" s="40"/>
      <c r="G621" s="40"/>
      <c r="H621" s="40"/>
      <c r="I621" s="53"/>
      <c r="J621" s="53"/>
      <c r="K621" s="53"/>
      <c r="L621" s="53"/>
      <c r="M621" s="53"/>
      <c r="N621" s="53"/>
      <c r="O621" s="53"/>
      <c r="P621" s="53"/>
      <c r="Q621" s="52"/>
    </row>
    <row r="622">
      <c r="B622" s="26"/>
      <c r="C622" s="40"/>
      <c r="D622" s="40"/>
      <c r="E622" s="40"/>
      <c r="F622" s="40"/>
      <c r="G622" s="40"/>
      <c r="H622" s="40"/>
      <c r="I622" s="53"/>
      <c r="J622" s="53"/>
      <c r="K622" s="53"/>
      <c r="L622" s="53"/>
      <c r="M622" s="53"/>
      <c r="N622" s="53"/>
      <c r="O622" s="53"/>
      <c r="P622" s="53"/>
      <c r="Q622" s="52"/>
    </row>
    <row r="623">
      <c r="B623" s="26"/>
      <c r="C623" s="40"/>
      <c r="D623" s="40"/>
      <c r="E623" s="40"/>
      <c r="F623" s="40"/>
      <c r="G623" s="40"/>
      <c r="H623" s="40"/>
      <c r="I623" s="53"/>
      <c r="J623" s="53"/>
      <c r="K623" s="53"/>
      <c r="L623" s="53"/>
      <c r="M623" s="53"/>
      <c r="N623" s="53"/>
      <c r="O623" s="53"/>
      <c r="P623" s="53"/>
      <c r="Q623" s="52"/>
    </row>
    <row r="624">
      <c r="B624" s="26"/>
      <c r="C624" s="40"/>
      <c r="D624" s="40"/>
      <c r="E624" s="40"/>
      <c r="F624" s="40"/>
      <c r="G624" s="40"/>
      <c r="H624" s="40"/>
      <c r="I624" s="53"/>
      <c r="J624" s="53"/>
      <c r="K624" s="53"/>
      <c r="L624" s="53"/>
      <c r="M624" s="53"/>
      <c r="N624" s="53"/>
      <c r="O624" s="53"/>
      <c r="P624" s="53"/>
      <c r="Q624" s="52"/>
    </row>
    <row r="625">
      <c r="B625" s="26"/>
      <c r="C625" s="40"/>
      <c r="D625" s="40"/>
      <c r="E625" s="40"/>
      <c r="F625" s="40"/>
      <c r="G625" s="40"/>
      <c r="H625" s="40"/>
      <c r="I625" s="53"/>
      <c r="J625" s="53"/>
      <c r="K625" s="53"/>
      <c r="L625" s="53"/>
      <c r="M625" s="53"/>
      <c r="N625" s="53"/>
      <c r="O625" s="53"/>
      <c r="P625" s="53"/>
      <c r="Q625" s="52"/>
    </row>
    <row r="626">
      <c r="B626" s="26"/>
      <c r="C626" s="40"/>
      <c r="D626" s="40"/>
      <c r="E626" s="40"/>
      <c r="F626" s="40"/>
      <c r="G626" s="40"/>
      <c r="H626" s="40"/>
      <c r="I626" s="53"/>
      <c r="J626" s="53"/>
      <c r="K626" s="53"/>
      <c r="L626" s="53"/>
      <c r="M626" s="53"/>
      <c r="N626" s="53"/>
      <c r="O626" s="53"/>
      <c r="P626" s="53"/>
      <c r="Q626" s="52"/>
    </row>
    <row r="627">
      <c r="B627" s="26"/>
      <c r="C627" s="40"/>
      <c r="D627" s="40"/>
      <c r="E627" s="40"/>
      <c r="F627" s="40"/>
      <c r="G627" s="40"/>
      <c r="H627" s="40"/>
      <c r="I627" s="53"/>
      <c r="J627" s="53"/>
      <c r="K627" s="53"/>
      <c r="L627" s="53"/>
      <c r="M627" s="53"/>
      <c r="N627" s="53"/>
      <c r="O627" s="53"/>
      <c r="P627" s="53"/>
      <c r="Q627" s="52"/>
    </row>
    <row r="628">
      <c r="B628" s="26"/>
      <c r="C628" s="40"/>
      <c r="D628" s="40"/>
      <c r="E628" s="40"/>
      <c r="F628" s="40"/>
      <c r="G628" s="40"/>
      <c r="H628" s="40"/>
      <c r="I628" s="53"/>
      <c r="J628" s="53"/>
      <c r="K628" s="53"/>
      <c r="L628" s="53"/>
      <c r="M628" s="53"/>
      <c r="N628" s="53"/>
      <c r="O628" s="53"/>
      <c r="P628" s="53"/>
      <c r="Q628" s="52"/>
    </row>
    <row r="629">
      <c r="B629" s="26"/>
      <c r="C629" s="40"/>
      <c r="D629" s="40"/>
      <c r="E629" s="40"/>
      <c r="F629" s="40"/>
      <c r="G629" s="40"/>
      <c r="H629" s="40"/>
      <c r="I629" s="53"/>
      <c r="J629" s="53"/>
      <c r="K629" s="53"/>
      <c r="L629" s="53"/>
      <c r="M629" s="53"/>
      <c r="N629" s="53"/>
      <c r="O629" s="53"/>
      <c r="P629" s="53"/>
      <c r="Q629" s="52"/>
    </row>
    <row r="630">
      <c r="B630" s="26"/>
      <c r="C630" s="40"/>
      <c r="D630" s="40"/>
      <c r="E630" s="40"/>
      <c r="F630" s="40"/>
      <c r="G630" s="40"/>
      <c r="H630" s="40"/>
      <c r="I630" s="53"/>
      <c r="J630" s="53"/>
      <c r="K630" s="53"/>
      <c r="L630" s="53"/>
      <c r="M630" s="53"/>
      <c r="N630" s="53"/>
      <c r="O630" s="53"/>
      <c r="P630" s="53"/>
      <c r="Q630" s="52"/>
    </row>
    <row r="631">
      <c r="B631" s="26"/>
      <c r="C631" s="40"/>
      <c r="D631" s="40"/>
      <c r="E631" s="40"/>
      <c r="F631" s="40"/>
      <c r="G631" s="40"/>
      <c r="H631" s="40"/>
      <c r="I631" s="53"/>
      <c r="J631" s="53"/>
      <c r="K631" s="53"/>
      <c r="L631" s="53"/>
      <c r="M631" s="53"/>
      <c r="N631" s="53"/>
      <c r="O631" s="53"/>
      <c r="P631" s="53"/>
      <c r="Q631" s="52"/>
    </row>
    <row r="632">
      <c r="B632" s="26"/>
      <c r="C632" s="40"/>
      <c r="D632" s="40"/>
      <c r="E632" s="40"/>
      <c r="F632" s="40"/>
      <c r="G632" s="40"/>
      <c r="H632" s="40"/>
      <c r="I632" s="53"/>
      <c r="J632" s="53"/>
      <c r="K632" s="53"/>
      <c r="L632" s="53"/>
      <c r="M632" s="53"/>
      <c r="N632" s="53"/>
      <c r="O632" s="53"/>
      <c r="P632" s="53"/>
      <c r="Q632" s="52"/>
    </row>
    <row r="633">
      <c r="B633" s="26"/>
      <c r="C633" s="40"/>
      <c r="D633" s="40"/>
      <c r="E633" s="40"/>
      <c r="F633" s="40"/>
      <c r="G633" s="40"/>
      <c r="H633" s="40"/>
      <c r="I633" s="53"/>
      <c r="J633" s="53"/>
      <c r="K633" s="53"/>
      <c r="L633" s="53"/>
      <c r="M633" s="53"/>
      <c r="N633" s="53"/>
      <c r="O633" s="53"/>
      <c r="P633" s="53"/>
      <c r="Q633" s="52"/>
    </row>
    <row r="634">
      <c r="B634" s="26"/>
      <c r="C634" s="40"/>
      <c r="D634" s="40"/>
      <c r="E634" s="40"/>
      <c r="F634" s="40"/>
      <c r="G634" s="40"/>
      <c r="H634" s="40"/>
      <c r="I634" s="53"/>
      <c r="J634" s="53"/>
      <c r="K634" s="53"/>
      <c r="L634" s="53"/>
      <c r="M634" s="53"/>
      <c r="N634" s="53"/>
      <c r="O634" s="53"/>
      <c r="P634" s="53"/>
      <c r="Q634" s="52"/>
    </row>
    <row r="635">
      <c r="B635" s="26"/>
      <c r="C635" s="40"/>
      <c r="D635" s="40"/>
      <c r="E635" s="40"/>
      <c r="F635" s="40"/>
      <c r="G635" s="40"/>
      <c r="H635" s="40"/>
      <c r="I635" s="53"/>
      <c r="J635" s="53"/>
      <c r="K635" s="53"/>
      <c r="L635" s="53"/>
      <c r="M635" s="53"/>
      <c r="N635" s="53"/>
      <c r="O635" s="53"/>
      <c r="P635" s="53"/>
      <c r="Q635" s="52"/>
    </row>
    <row r="636">
      <c r="B636" s="26"/>
      <c r="C636" s="40"/>
      <c r="D636" s="40"/>
      <c r="E636" s="40"/>
      <c r="F636" s="40"/>
      <c r="G636" s="40"/>
      <c r="H636" s="40"/>
      <c r="I636" s="53"/>
      <c r="J636" s="53"/>
      <c r="K636" s="53"/>
      <c r="L636" s="53"/>
      <c r="M636" s="53"/>
      <c r="N636" s="53"/>
      <c r="O636" s="53"/>
      <c r="P636" s="53"/>
      <c r="Q636" s="52"/>
    </row>
    <row r="637">
      <c r="B637" s="26"/>
      <c r="C637" s="40"/>
      <c r="D637" s="40"/>
      <c r="E637" s="40"/>
      <c r="F637" s="40"/>
      <c r="G637" s="40"/>
      <c r="H637" s="40"/>
      <c r="I637" s="53"/>
      <c r="J637" s="53"/>
      <c r="K637" s="53"/>
      <c r="L637" s="53"/>
      <c r="M637" s="53"/>
      <c r="N637" s="53"/>
      <c r="O637" s="53"/>
      <c r="P637" s="53"/>
      <c r="Q637" s="52"/>
    </row>
    <row r="638">
      <c r="B638" s="26"/>
      <c r="C638" s="40"/>
      <c r="D638" s="40"/>
      <c r="E638" s="40"/>
      <c r="F638" s="40"/>
      <c r="G638" s="40"/>
      <c r="H638" s="40"/>
      <c r="I638" s="53"/>
      <c r="J638" s="53"/>
      <c r="K638" s="53"/>
      <c r="L638" s="53"/>
      <c r="M638" s="53"/>
      <c r="N638" s="53"/>
      <c r="O638" s="53"/>
      <c r="P638" s="53"/>
      <c r="Q638" s="52"/>
    </row>
    <row r="639">
      <c r="B639" s="26"/>
      <c r="C639" s="40"/>
      <c r="D639" s="40"/>
      <c r="E639" s="40"/>
      <c r="F639" s="40"/>
      <c r="G639" s="40"/>
      <c r="H639" s="40"/>
      <c r="I639" s="53"/>
      <c r="J639" s="53"/>
      <c r="K639" s="53"/>
      <c r="L639" s="53"/>
      <c r="M639" s="53"/>
      <c r="N639" s="53"/>
      <c r="O639" s="53"/>
      <c r="P639" s="53"/>
      <c r="Q639" s="52"/>
    </row>
    <row r="640">
      <c r="B640" s="26"/>
      <c r="C640" s="40"/>
      <c r="D640" s="40"/>
      <c r="E640" s="40"/>
      <c r="F640" s="40"/>
      <c r="G640" s="40"/>
      <c r="H640" s="40"/>
      <c r="I640" s="53"/>
      <c r="J640" s="53"/>
      <c r="K640" s="53"/>
      <c r="L640" s="53"/>
      <c r="M640" s="53"/>
      <c r="N640" s="53"/>
      <c r="O640" s="53"/>
      <c r="P640" s="53"/>
      <c r="Q640" s="52"/>
    </row>
    <row r="641">
      <c r="B641" s="26"/>
      <c r="C641" s="40"/>
      <c r="D641" s="40"/>
      <c r="E641" s="40"/>
      <c r="F641" s="40"/>
      <c r="G641" s="40"/>
      <c r="H641" s="40"/>
      <c r="I641" s="53"/>
      <c r="J641" s="53"/>
      <c r="K641" s="53"/>
      <c r="L641" s="53"/>
      <c r="M641" s="53"/>
      <c r="N641" s="53"/>
      <c r="O641" s="53"/>
      <c r="P641" s="53"/>
      <c r="Q641" s="52"/>
    </row>
    <row r="642">
      <c r="B642" s="26"/>
      <c r="C642" s="40"/>
      <c r="D642" s="40"/>
      <c r="E642" s="40"/>
      <c r="F642" s="40"/>
      <c r="G642" s="40"/>
      <c r="H642" s="40"/>
      <c r="I642" s="53"/>
      <c r="J642" s="53"/>
      <c r="K642" s="53"/>
      <c r="L642" s="53"/>
      <c r="M642" s="53"/>
      <c r="N642" s="53"/>
      <c r="O642" s="53"/>
      <c r="P642" s="53"/>
      <c r="Q642" s="52"/>
    </row>
    <row r="643">
      <c r="B643" s="26"/>
      <c r="C643" s="40"/>
      <c r="D643" s="40"/>
      <c r="E643" s="40"/>
      <c r="F643" s="40"/>
      <c r="G643" s="40"/>
      <c r="H643" s="40"/>
      <c r="I643" s="53"/>
      <c r="J643" s="53"/>
      <c r="K643" s="53"/>
      <c r="L643" s="53"/>
      <c r="M643" s="53"/>
      <c r="N643" s="53"/>
      <c r="O643" s="53"/>
      <c r="P643" s="53"/>
      <c r="Q643" s="52"/>
    </row>
    <row r="644">
      <c r="B644" s="26"/>
      <c r="C644" s="40"/>
      <c r="D644" s="40"/>
      <c r="E644" s="40"/>
      <c r="F644" s="40"/>
      <c r="G644" s="40"/>
      <c r="H644" s="40"/>
      <c r="I644" s="53"/>
      <c r="J644" s="53"/>
      <c r="K644" s="53"/>
      <c r="L644" s="53"/>
      <c r="M644" s="53"/>
      <c r="N644" s="53"/>
      <c r="O644" s="53"/>
      <c r="P644" s="53"/>
      <c r="Q644" s="52"/>
    </row>
    <row r="645">
      <c r="B645" s="26"/>
      <c r="C645" s="40"/>
      <c r="D645" s="40"/>
      <c r="E645" s="40"/>
      <c r="F645" s="40"/>
      <c r="G645" s="40"/>
      <c r="H645" s="40"/>
      <c r="I645" s="53"/>
      <c r="J645" s="53"/>
      <c r="K645" s="53"/>
      <c r="L645" s="53"/>
      <c r="M645" s="53"/>
      <c r="N645" s="53"/>
      <c r="O645" s="53"/>
      <c r="P645" s="53"/>
      <c r="Q645" s="52"/>
    </row>
    <row r="646">
      <c r="B646" s="26"/>
      <c r="C646" s="40"/>
      <c r="D646" s="40"/>
      <c r="E646" s="40"/>
      <c r="F646" s="40"/>
      <c r="G646" s="40"/>
      <c r="H646" s="40"/>
      <c r="I646" s="53"/>
      <c r="J646" s="53"/>
      <c r="K646" s="53"/>
      <c r="L646" s="53"/>
      <c r="M646" s="53"/>
      <c r="N646" s="53"/>
      <c r="O646" s="53"/>
      <c r="P646" s="53"/>
      <c r="Q646" s="52"/>
    </row>
    <row r="647">
      <c r="B647" s="26"/>
      <c r="C647" s="40"/>
      <c r="D647" s="40"/>
      <c r="E647" s="40"/>
      <c r="F647" s="40"/>
      <c r="G647" s="40"/>
      <c r="H647" s="40"/>
      <c r="I647" s="53"/>
      <c r="J647" s="53"/>
      <c r="K647" s="53"/>
      <c r="L647" s="53"/>
      <c r="M647" s="53"/>
      <c r="N647" s="53"/>
      <c r="O647" s="53"/>
      <c r="P647" s="53"/>
      <c r="Q647" s="52"/>
    </row>
    <row r="648">
      <c r="B648" s="26"/>
      <c r="C648" s="40"/>
      <c r="D648" s="40"/>
      <c r="E648" s="40"/>
      <c r="F648" s="40"/>
      <c r="G648" s="40"/>
      <c r="H648" s="40"/>
      <c r="I648" s="53"/>
      <c r="J648" s="53"/>
      <c r="K648" s="53"/>
      <c r="L648" s="53"/>
      <c r="M648" s="53"/>
      <c r="N648" s="53"/>
      <c r="O648" s="53"/>
      <c r="P648" s="53"/>
      <c r="Q648" s="52"/>
    </row>
    <row r="649">
      <c r="B649" s="26"/>
      <c r="C649" s="40"/>
      <c r="D649" s="40"/>
      <c r="E649" s="40"/>
      <c r="F649" s="40"/>
      <c r="G649" s="40"/>
      <c r="H649" s="40"/>
      <c r="I649" s="53"/>
      <c r="J649" s="53"/>
      <c r="K649" s="53"/>
      <c r="L649" s="53"/>
      <c r="M649" s="53"/>
      <c r="N649" s="53"/>
      <c r="O649" s="53"/>
      <c r="P649" s="53"/>
      <c r="Q649" s="52"/>
    </row>
    <row r="650">
      <c r="B650" s="26"/>
      <c r="C650" s="40"/>
      <c r="D650" s="40"/>
      <c r="E650" s="40"/>
      <c r="F650" s="40"/>
      <c r="G650" s="40"/>
      <c r="H650" s="40"/>
      <c r="I650" s="53"/>
      <c r="J650" s="53"/>
      <c r="K650" s="53"/>
      <c r="L650" s="53"/>
      <c r="M650" s="53"/>
      <c r="N650" s="53"/>
      <c r="O650" s="53"/>
      <c r="P650" s="53"/>
      <c r="Q650" s="52"/>
    </row>
    <row r="651">
      <c r="B651" s="26"/>
      <c r="C651" s="40"/>
      <c r="D651" s="40"/>
      <c r="E651" s="40"/>
      <c r="F651" s="40"/>
      <c r="G651" s="40"/>
      <c r="H651" s="40"/>
      <c r="I651" s="53"/>
      <c r="J651" s="53"/>
      <c r="K651" s="53"/>
      <c r="L651" s="53"/>
      <c r="M651" s="53"/>
      <c r="N651" s="53"/>
      <c r="O651" s="53"/>
      <c r="P651" s="53"/>
      <c r="Q651" s="52"/>
    </row>
    <row r="652">
      <c r="B652" s="26"/>
      <c r="C652" s="40"/>
      <c r="D652" s="40"/>
      <c r="E652" s="40"/>
      <c r="F652" s="40"/>
      <c r="G652" s="40"/>
      <c r="H652" s="40"/>
      <c r="I652" s="53"/>
      <c r="J652" s="53"/>
      <c r="K652" s="53"/>
      <c r="L652" s="53"/>
      <c r="M652" s="53"/>
      <c r="N652" s="53"/>
      <c r="O652" s="53"/>
      <c r="P652" s="53"/>
      <c r="Q652" s="52"/>
    </row>
    <row r="653">
      <c r="B653" s="26"/>
      <c r="C653" s="40"/>
      <c r="D653" s="40"/>
      <c r="E653" s="40"/>
      <c r="F653" s="40"/>
      <c r="G653" s="40"/>
      <c r="H653" s="40"/>
      <c r="I653" s="53"/>
      <c r="J653" s="53"/>
      <c r="K653" s="53"/>
      <c r="L653" s="53"/>
      <c r="M653" s="53"/>
      <c r="N653" s="53"/>
      <c r="O653" s="53"/>
      <c r="P653" s="53"/>
      <c r="Q653" s="52"/>
    </row>
    <row r="654">
      <c r="B654" s="26"/>
      <c r="C654" s="40"/>
      <c r="D654" s="40"/>
      <c r="E654" s="40"/>
      <c r="F654" s="40"/>
      <c r="G654" s="40"/>
      <c r="H654" s="40"/>
      <c r="I654" s="53"/>
      <c r="J654" s="53"/>
      <c r="K654" s="53"/>
      <c r="L654" s="53"/>
      <c r="M654" s="53"/>
      <c r="N654" s="53"/>
      <c r="O654" s="53"/>
      <c r="P654" s="53"/>
      <c r="Q654" s="52"/>
    </row>
    <row r="655">
      <c r="B655" s="26"/>
      <c r="C655" s="40"/>
      <c r="D655" s="40"/>
      <c r="E655" s="40"/>
      <c r="F655" s="40"/>
      <c r="G655" s="40"/>
      <c r="H655" s="40"/>
      <c r="I655" s="53"/>
      <c r="J655" s="53"/>
      <c r="K655" s="53"/>
      <c r="L655" s="53"/>
      <c r="M655" s="53"/>
      <c r="N655" s="53"/>
      <c r="O655" s="53"/>
      <c r="P655" s="53"/>
      <c r="Q655" s="52"/>
    </row>
    <row r="656">
      <c r="B656" s="26"/>
      <c r="C656" s="40"/>
      <c r="D656" s="40"/>
      <c r="E656" s="40"/>
      <c r="F656" s="40"/>
      <c r="G656" s="40"/>
      <c r="H656" s="40"/>
      <c r="I656" s="53"/>
      <c r="J656" s="53"/>
      <c r="K656" s="53"/>
      <c r="L656" s="53"/>
      <c r="M656" s="53"/>
      <c r="N656" s="53"/>
      <c r="O656" s="53"/>
      <c r="P656" s="53"/>
      <c r="Q656" s="52"/>
    </row>
    <row r="657">
      <c r="B657" s="26"/>
      <c r="C657" s="40"/>
      <c r="D657" s="40"/>
      <c r="E657" s="40"/>
      <c r="F657" s="40"/>
      <c r="G657" s="40"/>
      <c r="H657" s="40"/>
      <c r="I657" s="53"/>
      <c r="J657" s="53"/>
      <c r="K657" s="53"/>
      <c r="L657" s="53"/>
      <c r="M657" s="53"/>
      <c r="N657" s="53"/>
      <c r="O657" s="53"/>
      <c r="P657" s="53"/>
      <c r="Q657" s="52"/>
    </row>
    <row r="658">
      <c r="B658" s="26"/>
      <c r="C658" s="40"/>
      <c r="D658" s="40"/>
      <c r="E658" s="40"/>
      <c r="F658" s="40"/>
      <c r="G658" s="40"/>
      <c r="H658" s="40"/>
      <c r="I658" s="53"/>
      <c r="J658" s="53"/>
      <c r="K658" s="53"/>
      <c r="L658" s="53"/>
      <c r="M658" s="53"/>
      <c r="N658" s="53"/>
      <c r="O658" s="53"/>
      <c r="P658" s="53"/>
      <c r="Q658" s="52"/>
    </row>
    <row r="659">
      <c r="B659" s="26"/>
      <c r="C659" s="40"/>
      <c r="D659" s="40"/>
      <c r="E659" s="40"/>
      <c r="F659" s="40"/>
      <c r="G659" s="40"/>
      <c r="H659" s="40"/>
      <c r="I659" s="53"/>
      <c r="J659" s="53"/>
      <c r="K659" s="53"/>
      <c r="L659" s="53"/>
      <c r="M659" s="53"/>
      <c r="N659" s="53"/>
      <c r="O659" s="53"/>
      <c r="P659" s="53"/>
      <c r="Q659" s="52"/>
    </row>
    <row r="660">
      <c r="B660" s="26"/>
      <c r="C660" s="40"/>
      <c r="D660" s="40"/>
      <c r="E660" s="40"/>
      <c r="F660" s="40"/>
      <c r="G660" s="40"/>
      <c r="H660" s="40"/>
      <c r="I660" s="53"/>
      <c r="J660" s="53"/>
      <c r="K660" s="53"/>
      <c r="L660" s="53"/>
      <c r="M660" s="53"/>
      <c r="N660" s="53"/>
      <c r="O660" s="53"/>
      <c r="P660" s="53"/>
      <c r="Q660" s="52"/>
    </row>
    <row r="661">
      <c r="B661" s="26"/>
      <c r="C661" s="40"/>
      <c r="D661" s="40"/>
      <c r="E661" s="40"/>
      <c r="F661" s="40"/>
      <c r="G661" s="40"/>
      <c r="H661" s="40"/>
      <c r="I661" s="53"/>
      <c r="J661" s="53"/>
      <c r="K661" s="53"/>
      <c r="L661" s="53"/>
      <c r="M661" s="53"/>
      <c r="N661" s="53"/>
      <c r="O661" s="53"/>
      <c r="P661" s="53"/>
      <c r="Q661" s="52"/>
    </row>
    <row r="662">
      <c r="B662" s="26"/>
      <c r="C662" s="40"/>
      <c r="D662" s="40"/>
      <c r="E662" s="40"/>
      <c r="F662" s="40"/>
      <c r="G662" s="40"/>
      <c r="H662" s="40"/>
      <c r="I662" s="53"/>
      <c r="J662" s="53"/>
      <c r="K662" s="53"/>
      <c r="L662" s="53"/>
      <c r="M662" s="53"/>
      <c r="N662" s="53"/>
      <c r="O662" s="53"/>
      <c r="P662" s="53"/>
      <c r="Q662" s="52"/>
    </row>
    <row r="663">
      <c r="B663" s="26"/>
      <c r="C663" s="40"/>
      <c r="D663" s="40"/>
      <c r="E663" s="40"/>
      <c r="F663" s="40"/>
      <c r="G663" s="40"/>
      <c r="H663" s="40"/>
      <c r="I663" s="53"/>
      <c r="J663" s="53"/>
      <c r="K663" s="53"/>
      <c r="L663" s="53"/>
      <c r="M663" s="53"/>
      <c r="N663" s="53"/>
      <c r="O663" s="53"/>
      <c r="P663" s="53"/>
      <c r="Q663" s="52"/>
    </row>
    <row r="664">
      <c r="B664" s="26"/>
      <c r="C664" s="40"/>
      <c r="D664" s="40"/>
      <c r="E664" s="40"/>
      <c r="F664" s="40"/>
      <c r="G664" s="40"/>
      <c r="H664" s="40"/>
      <c r="I664" s="53"/>
      <c r="J664" s="53"/>
      <c r="K664" s="53"/>
      <c r="L664" s="53"/>
      <c r="M664" s="53"/>
      <c r="N664" s="53"/>
      <c r="O664" s="53"/>
      <c r="P664" s="53"/>
      <c r="Q664" s="52"/>
    </row>
    <row r="665">
      <c r="B665" s="26"/>
      <c r="C665" s="40"/>
      <c r="D665" s="40"/>
      <c r="E665" s="40"/>
      <c r="F665" s="40"/>
      <c r="G665" s="40"/>
      <c r="H665" s="40"/>
      <c r="I665" s="53"/>
      <c r="J665" s="53"/>
      <c r="K665" s="53"/>
      <c r="L665" s="53"/>
      <c r="M665" s="53"/>
      <c r="N665" s="53"/>
      <c r="O665" s="53"/>
      <c r="P665" s="53"/>
      <c r="Q665" s="52"/>
    </row>
    <row r="666">
      <c r="B666" s="26"/>
      <c r="C666" s="40"/>
      <c r="D666" s="40"/>
      <c r="E666" s="40"/>
      <c r="F666" s="40"/>
      <c r="G666" s="40"/>
      <c r="H666" s="40"/>
      <c r="I666" s="53"/>
      <c r="J666" s="53"/>
      <c r="K666" s="53"/>
      <c r="L666" s="53"/>
      <c r="M666" s="53"/>
      <c r="N666" s="53"/>
      <c r="O666" s="53"/>
      <c r="P666" s="53"/>
      <c r="Q666" s="52"/>
    </row>
    <row r="667">
      <c r="B667" s="26"/>
      <c r="C667" s="40"/>
      <c r="D667" s="40"/>
      <c r="E667" s="40"/>
      <c r="F667" s="40"/>
      <c r="G667" s="40"/>
      <c r="H667" s="40"/>
      <c r="I667" s="53"/>
      <c r="J667" s="53"/>
      <c r="K667" s="53"/>
      <c r="L667" s="53"/>
      <c r="M667" s="53"/>
      <c r="N667" s="53"/>
      <c r="O667" s="53"/>
      <c r="P667" s="53"/>
      <c r="Q667" s="52"/>
    </row>
    <row r="668">
      <c r="B668" s="26"/>
      <c r="C668" s="40"/>
      <c r="D668" s="40"/>
      <c r="E668" s="40"/>
      <c r="F668" s="40"/>
      <c r="G668" s="40"/>
      <c r="H668" s="40"/>
      <c r="I668" s="53"/>
      <c r="J668" s="53"/>
      <c r="K668" s="53"/>
      <c r="L668" s="53"/>
      <c r="M668" s="53"/>
      <c r="N668" s="53"/>
      <c r="O668" s="53"/>
      <c r="P668" s="53"/>
      <c r="Q668" s="52"/>
    </row>
    <row r="669">
      <c r="B669" s="26"/>
      <c r="C669" s="40"/>
      <c r="D669" s="40"/>
      <c r="E669" s="40"/>
      <c r="F669" s="40"/>
      <c r="G669" s="40"/>
      <c r="H669" s="40"/>
      <c r="I669" s="53"/>
      <c r="J669" s="53"/>
      <c r="K669" s="53"/>
      <c r="L669" s="53"/>
      <c r="M669" s="53"/>
      <c r="N669" s="53"/>
      <c r="O669" s="53"/>
      <c r="P669" s="53"/>
      <c r="Q669" s="52"/>
    </row>
    <row r="670">
      <c r="B670" s="26"/>
      <c r="C670" s="40"/>
      <c r="D670" s="40"/>
      <c r="E670" s="40"/>
      <c r="F670" s="40"/>
      <c r="G670" s="40"/>
      <c r="H670" s="40"/>
      <c r="I670" s="53"/>
      <c r="J670" s="53"/>
      <c r="K670" s="53"/>
      <c r="L670" s="53"/>
      <c r="M670" s="53"/>
      <c r="N670" s="53"/>
      <c r="O670" s="53"/>
      <c r="P670" s="53"/>
      <c r="Q670" s="52"/>
    </row>
    <row r="671">
      <c r="B671" s="26"/>
      <c r="C671" s="40"/>
      <c r="D671" s="40"/>
      <c r="E671" s="40"/>
      <c r="F671" s="40"/>
      <c r="G671" s="40"/>
      <c r="H671" s="40"/>
      <c r="I671" s="53"/>
      <c r="J671" s="53"/>
      <c r="K671" s="53"/>
      <c r="L671" s="53"/>
      <c r="M671" s="53"/>
      <c r="N671" s="53"/>
      <c r="O671" s="53"/>
      <c r="P671" s="53"/>
      <c r="Q671" s="52"/>
    </row>
    <row r="672">
      <c r="B672" s="26"/>
      <c r="C672" s="40"/>
      <c r="D672" s="40"/>
      <c r="E672" s="40"/>
      <c r="F672" s="40"/>
      <c r="G672" s="40"/>
      <c r="H672" s="40"/>
      <c r="I672" s="53"/>
      <c r="J672" s="53"/>
      <c r="K672" s="53"/>
      <c r="L672" s="53"/>
      <c r="M672" s="53"/>
      <c r="N672" s="53"/>
      <c r="O672" s="53"/>
      <c r="P672" s="53"/>
      <c r="Q672" s="52"/>
    </row>
    <row r="673">
      <c r="B673" s="26"/>
      <c r="C673" s="40"/>
      <c r="D673" s="40"/>
      <c r="E673" s="40"/>
      <c r="F673" s="40"/>
      <c r="G673" s="40"/>
      <c r="H673" s="40"/>
      <c r="I673" s="53"/>
      <c r="J673" s="53"/>
      <c r="K673" s="53"/>
      <c r="L673" s="53"/>
      <c r="M673" s="53"/>
      <c r="N673" s="53"/>
      <c r="O673" s="53"/>
      <c r="P673" s="53"/>
      <c r="Q673" s="52"/>
    </row>
    <row r="674">
      <c r="B674" s="26"/>
      <c r="C674" s="40"/>
      <c r="D674" s="40"/>
      <c r="E674" s="40"/>
      <c r="F674" s="40"/>
      <c r="G674" s="40"/>
      <c r="H674" s="40"/>
      <c r="I674" s="53"/>
      <c r="J674" s="53"/>
      <c r="K674" s="53"/>
      <c r="L674" s="53"/>
      <c r="M674" s="53"/>
      <c r="N674" s="53"/>
      <c r="O674" s="53"/>
      <c r="P674" s="53"/>
      <c r="Q674" s="52"/>
    </row>
    <row r="675">
      <c r="B675" s="26"/>
      <c r="C675" s="40"/>
      <c r="D675" s="40"/>
      <c r="E675" s="40"/>
      <c r="F675" s="40"/>
      <c r="G675" s="40"/>
      <c r="H675" s="40"/>
      <c r="I675" s="53"/>
      <c r="J675" s="53"/>
      <c r="K675" s="53"/>
      <c r="L675" s="53"/>
      <c r="M675" s="53"/>
      <c r="N675" s="53"/>
      <c r="O675" s="53"/>
      <c r="P675" s="53"/>
      <c r="Q675" s="52"/>
    </row>
    <row r="676">
      <c r="B676" s="26"/>
      <c r="C676" s="40"/>
      <c r="D676" s="40"/>
      <c r="E676" s="40"/>
      <c r="F676" s="40"/>
      <c r="G676" s="40"/>
      <c r="H676" s="40"/>
      <c r="I676" s="53"/>
      <c r="J676" s="53"/>
      <c r="K676" s="53"/>
      <c r="L676" s="53"/>
      <c r="M676" s="53"/>
      <c r="N676" s="53"/>
      <c r="O676" s="53"/>
      <c r="P676" s="53"/>
      <c r="Q676" s="52"/>
    </row>
    <row r="677">
      <c r="B677" s="26"/>
      <c r="C677" s="40"/>
      <c r="D677" s="40"/>
      <c r="E677" s="40"/>
      <c r="F677" s="40"/>
      <c r="G677" s="40"/>
      <c r="H677" s="40"/>
      <c r="I677" s="53"/>
      <c r="J677" s="53"/>
      <c r="K677" s="53"/>
      <c r="L677" s="53"/>
      <c r="M677" s="53"/>
      <c r="N677" s="53"/>
      <c r="O677" s="53"/>
      <c r="P677" s="53"/>
      <c r="Q677" s="52"/>
    </row>
    <row r="678">
      <c r="B678" s="26"/>
      <c r="C678" s="40"/>
      <c r="D678" s="40"/>
      <c r="E678" s="40"/>
      <c r="F678" s="40"/>
      <c r="G678" s="40"/>
      <c r="H678" s="40"/>
      <c r="I678" s="53"/>
      <c r="J678" s="53"/>
      <c r="K678" s="53"/>
      <c r="L678" s="53"/>
      <c r="M678" s="53"/>
      <c r="N678" s="53"/>
      <c r="O678" s="53"/>
      <c r="P678" s="53"/>
      <c r="Q678" s="52"/>
    </row>
    <row r="679">
      <c r="B679" s="26"/>
      <c r="C679" s="40"/>
      <c r="D679" s="40"/>
      <c r="E679" s="40"/>
      <c r="F679" s="40"/>
      <c r="G679" s="40"/>
      <c r="H679" s="40"/>
      <c r="I679" s="53"/>
      <c r="J679" s="53"/>
      <c r="K679" s="53"/>
      <c r="L679" s="53"/>
      <c r="M679" s="53"/>
      <c r="N679" s="53"/>
      <c r="O679" s="53"/>
      <c r="P679" s="53"/>
      <c r="Q679" s="52"/>
    </row>
    <row r="680">
      <c r="B680" s="26"/>
      <c r="C680" s="40"/>
      <c r="D680" s="40"/>
      <c r="E680" s="40"/>
      <c r="F680" s="40"/>
      <c r="G680" s="40"/>
      <c r="H680" s="40"/>
      <c r="I680" s="53"/>
      <c r="J680" s="53"/>
      <c r="K680" s="53"/>
      <c r="L680" s="53"/>
      <c r="M680" s="53"/>
      <c r="N680" s="53"/>
      <c r="O680" s="53"/>
      <c r="P680" s="53"/>
      <c r="Q680" s="52"/>
    </row>
    <row r="681">
      <c r="B681" s="26"/>
      <c r="C681" s="40"/>
      <c r="D681" s="40"/>
      <c r="E681" s="40"/>
      <c r="F681" s="40"/>
      <c r="G681" s="40"/>
      <c r="H681" s="40"/>
      <c r="I681" s="53"/>
      <c r="J681" s="53"/>
      <c r="K681" s="53"/>
      <c r="L681" s="53"/>
      <c r="M681" s="53"/>
      <c r="N681" s="53"/>
      <c r="O681" s="53"/>
      <c r="P681" s="53"/>
      <c r="Q681" s="52"/>
    </row>
    <row r="682">
      <c r="B682" s="26"/>
      <c r="C682" s="40"/>
      <c r="D682" s="40"/>
      <c r="E682" s="40"/>
      <c r="F682" s="40"/>
      <c r="G682" s="40"/>
      <c r="H682" s="40"/>
      <c r="I682" s="53"/>
      <c r="J682" s="53"/>
      <c r="K682" s="53"/>
      <c r="L682" s="53"/>
      <c r="M682" s="53"/>
      <c r="N682" s="53"/>
      <c r="O682" s="53"/>
      <c r="P682" s="53"/>
      <c r="Q682" s="52"/>
    </row>
    <row r="683">
      <c r="B683" s="26"/>
      <c r="C683" s="40"/>
      <c r="D683" s="40"/>
      <c r="E683" s="40"/>
      <c r="F683" s="40"/>
      <c r="G683" s="40"/>
      <c r="H683" s="40"/>
      <c r="I683" s="53"/>
      <c r="J683" s="53"/>
      <c r="K683" s="53"/>
      <c r="L683" s="53"/>
      <c r="M683" s="53"/>
      <c r="N683" s="53"/>
      <c r="O683" s="53"/>
      <c r="P683" s="53"/>
      <c r="Q683" s="52"/>
    </row>
    <row r="684">
      <c r="B684" s="26"/>
      <c r="C684" s="40"/>
      <c r="D684" s="40"/>
      <c r="E684" s="40"/>
      <c r="F684" s="40"/>
      <c r="G684" s="40"/>
      <c r="H684" s="40"/>
      <c r="I684" s="53"/>
      <c r="J684" s="53"/>
      <c r="K684" s="53"/>
      <c r="L684" s="53"/>
      <c r="M684" s="53"/>
      <c r="N684" s="53"/>
      <c r="O684" s="53"/>
      <c r="P684" s="53"/>
      <c r="Q684" s="52"/>
    </row>
    <row r="685">
      <c r="B685" s="26"/>
      <c r="C685" s="40"/>
      <c r="D685" s="40"/>
      <c r="E685" s="40"/>
      <c r="F685" s="40"/>
      <c r="G685" s="40"/>
      <c r="H685" s="40"/>
      <c r="I685" s="53"/>
      <c r="J685" s="53"/>
      <c r="K685" s="53"/>
      <c r="L685" s="53"/>
      <c r="M685" s="53"/>
      <c r="N685" s="53"/>
      <c r="O685" s="53"/>
      <c r="P685" s="53"/>
      <c r="Q685" s="52"/>
    </row>
    <row r="686">
      <c r="B686" s="26"/>
      <c r="C686" s="40"/>
      <c r="D686" s="40"/>
      <c r="E686" s="40"/>
      <c r="F686" s="40"/>
      <c r="G686" s="40"/>
      <c r="H686" s="40"/>
      <c r="I686" s="53"/>
      <c r="J686" s="53"/>
      <c r="K686" s="53"/>
      <c r="L686" s="53"/>
      <c r="M686" s="53"/>
      <c r="N686" s="53"/>
      <c r="O686" s="53"/>
      <c r="P686" s="53"/>
      <c r="Q686" s="52"/>
    </row>
    <row r="687">
      <c r="B687" s="26"/>
      <c r="C687" s="40"/>
      <c r="D687" s="40"/>
      <c r="E687" s="40"/>
      <c r="F687" s="40"/>
      <c r="G687" s="40"/>
      <c r="H687" s="40"/>
      <c r="I687" s="53"/>
      <c r="J687" s="53"/>
      <c r="K687" s="53"/>
      <c r="L687" s="53"/>
      <c r="M687" s="53"/>
      <c r="N687" s="53"/>
      <c r="O687" s="53"/>
      <c r="P687" s="53"/>
      <c r="Q687" s="52"/>
    </row>
    <row r="688">
      <c r="B688" s="26"/>
      <c r="C688" s="40"/>
      <c r="D688" s="40"/>
      <c r="E688" s="40"/>
      <c r="F688" s="40"/>
      <c r="G688" s="40"/>
      <c r="H688" s="40"/>
      <c r="I688" s="53"/>
      <c r="J688" s="53"/>
      <c r="K688" s="53"/>
      <c r="L688" s="53"/>
      <c r="M688" s="53"/>
      <c r="N688" s="53"/>
      <c r="O688" s="53"/>
      <c r="P688" s="53"/>
      <c r="Q688" s="52"/>
    </row>
    <row r="689">
      <c r="B689" s="26"/>
      <c r="C689" s="40"/>
      <c r="D689" s="40"/>
      <c r="E689" s="40"/>
      <c r="F689" s="40"/>
      <c r="G689" s="40"/>
      <c r="H689" s="40"/>
      <c r="I689" s="53"/>
      <c r="J689" s="53"/>
      <c r="K689" s="53"/>
      <c r="L689" s="53"/>
      <c r="M689" s="53"/>
      <c r="N689" s="53"/>
      <c r="O689" s="53"/>
      <c r="P689" s="53"/>
      <c r="Q689" s="52"/>
    </row>
    <row r="690">
      <c r="B690" s="26"/>
      <c r="C690" s="40"/>
      <c r="D690" s="40"/>
      <c r="E690" s="40"/>
      <c r="F690" s="40"/>
      <c r="G690" s="40"/>
      <c r="H690" s="40"/>
      <c r="I690" s="53"/>
      <c r="J690" s="53"/>
      <c r="K690" s="53"/>
      <c r="L690" s="53"/>
      <c r="M690" s="53"/>
      <c r="N690" s="53"/>
      <c r="O690" s="53"/>
      <c r="P690" s="53"/>
      <c r="Q690" s="52"/>
    </row>
    <row r="691">
      <c r="B691" s="26"/>
      <c r="C691" s="40"/>
      <c r="D691" s="40"/>
      <c r="E691" s="40"/>
      <c r="F691" s="40"/>
      <c r="G691" s="40"/>
      <c r="H691" s="40"/>
      <c r="I691" s="53"/>
      <c r="J691" s="53"/>
      <c r="K691" s="53"/>
      <c r="L691" s="53"/>
      <c r="M691" s="53"/>
      <c r="N691" s="53"/>
      <c r="O691" s="53"/>
      <c r="P691" s="53"/>
      <c r="Q691" s="52"/>
    </row>
    <row r="692">
      <c r="B692" s="26"/>
      <c r="C692" s="40"/>
      <c r="D692" s="40"/>
      <c r="E692" s="40"/>
      <c r="F692" s="40"/>
      <c r="G692" s="40"/>
      <c r="H692" s="40"/>
      <c r="I692" s="53"/>
      <c r="J692" s="53"/>
      <c r="K692" s="53"/>
      <c r="L692" s="53"/>
      <c r="M692" s="53"/>
      <c r="N692" s="53"/>
      <c r="O692" s="53"/>
      <c r="P692" s="53"/>
      <c r="Q692" s="52"/>
    </row>
    <row r="693">
      <c r="B693" s="26"/>
      <c r="C693" s="40"/>
      <c r="D693" s="40"/>
      <c r="E693" s="40"/>
      <c r="F693" s="40"/>
      <c r="G693" s="40"/>
      <c r="H693" s="40"/>
      <c r="I693" s="53"/>
      <c r="J693" s="53"/>
      <c r="K693" s="53"/>
      <c r="L693" s="53"/>
      <c r="M693" s="53"/>
      <c r="N693" s="53"/>
      <c r="O693" s="53"/>
      <c r="P693" s="53"/>
      <c r="Q693" s="52"/>
    </row>
    <row r="694">
      <c r="B694" s="26"/>
      <c r="C694" s="40"/>
      <c r="D694" s="40"/>
      <c r="E694" s="40"/>
      <c r="F694" s="40"/>
      <c r="G694" s="40"/>
      <c r="H694" s="40"/>
      <c r="I694" s="53"/>
      <c r="J694" s="53"/>
      <c r="K694" s="53"/>
      <c r="L694" s="53"/>
      <c r="M694" s="53"/>
      <c r="N694" s="53"/>
      <c r="O694" s="53"/>
      <c r="P694" s="53"/>
      <c r="Q694" s="52"/>
    </row>
    <row r="695">
      <c r="B695" s="26"/>
      <c r="C695" s="40"/>
      <c r="D695" s="40"/>
      <c r="E695" s="40"/>
      <c r="F695" s="40"/>
      <c r="G695" s="40"/>
      <c r="H695" s="40"/>
      <c r="I695" s="53"/>
      <c r="J695" s="53"/>
      <c r="K695" s="53"/>
      <c r="L695" s="53"/>
      <c r="M695" s="53"/>
      <c r="N695" s="53"/>
      <c r="O695" s="53"/>
      <c r="P695" s="53"/>
      <c r="Q695" s="52"/>
    </row>
    <row r="696">
      <c r="B696" s="26"/>
      <c r="C696" s="40"/>
      <c r="D696" s="40"/>
      <c r="E696" s="40"/>
      <c r="F696" s="40"/>
      <c r="G696" s="40"/>
      <c r="H696" s="40"/>
      <c r="I696" s="53"/>
      <c r="J696" s="53"/>
      <c r="K696" s="53"/>
      <c r="L696" s="53"/>
      <c r="M696" s="53"/>
      <c r="N696" s="53"/>
      <c r="O696" s="53"/>
      <c r="P696" s="53"/>
      <c r="Q696" s="52"/>
    </row>
    <row r="697">
      <c r="B697" s="26"/>
      <c r="C697" s="40"/>
      <c r="D697" s="40"/>
      <c r="E697" s="40"/>
      <c r="F697" s="40"/>
      <c r="G697" s="40"/>
      <c r="H697" s="40"/>
      <c r="I697" s="53"/>
      <c r="J697" s="53"/>
      <c r="K697" s="53"/>
      <c r="L697" s="53"/>
      <c r="M697" s="53"/>
      <c r="N697" s="53"/>
      <c r="O697" s="53"/>
      <c r="P697" s="53"/>
      <c r="Q697" s="52"/>
    </row>
    <row r="698">
      <c r="B698" s="26"/>
      <c r="C698" s="40"/>
      <c r="D698" s="40"/>
      <c r="E698" s="40"/>
      <c r="F698" s="40"/>
      <c r="G698" s="40"/>
      <c r="H698" s="40"/>
      <c r="I698" s="53"/>
      <c r="J698" s="53"/>
      <c r="K698" s="53"/>
      <c r="L698" s="53"/>
      <c r="M698" s="53"/>
      <c r="N698" s="53"/>
      <c r="O698" s="53"/>
      <c r="P698" s="53"/>
      <c r="Q698" s="52"/>
    </row>
    <row r="699">
      <c r="B699" s="26"/>
      <c r="C699" s="40"/>
      <c r="D699" s="40"/>
      <c r="E699" s="40"/>
      <c r="F699" s="40"/>
      <c r="G699" s="40"/>
      <c r="H699" s="40"/>
      <c r="I699" s="53"/>
      <c r="J699" s="53"/>
      <c r="K699" s="53"/>
      <c r="L699" s="53"/>
      <c r="M699" s="53"/>
      <c r="N699" s="53"/>
      <c r="O699" s="53"/>
      <c r="P699" s="53"/>
      <c r="Q699" s="52"/>
    </row>
    <row r="700">
      <c r="B700" s="26"/>
      <c r="C700" s="40"/>
      <c r="D700" s="40"/>
      <c r="E700" s="40"/>
      <c r="F700" s="40"/>
      <c r="G700" s="40"/>
      <c r="H700" s="40"/>
      <c r="I700" s="53"/>
      <c r="J700" s="53"/>
      <c r="K700" s="53"/>
      <c r="L700" s="53"/>
      <c r="M700" s="53"/>
      <c r="N700" s="53"/>
      <c r="O700" s="53"/>
      <c r="P700" s="53"/>
      <c r="Q700" s="52"/>
    </row>
    <row r="701">
      <c r="B701" s="26"/>
      <c r="C701" s="40"/>
      <c r="D701" s="40"/>
      <c r="E701" s="40"/>
      <c r="F701" s="40"/>
      <c r="G701" s="40"/>
      <c r="H701" s="40"/>
      <c r="I701" s="53"/>
      <c r="J701" s="53"/>
      <c r="K701" s="53"/>
      <c r="L701" s="53"/>
      <c r="M701" s="53"/>
      <c r="N701" s="53"/>
      <c r="O701" s="53"/>
      <c r="P701" s="53"/>
      <c r="Q701" s="52"/>
    </row>
    <row r="702">
      <c r="B702" s="26"/>
      <c r="C702" s="40"/>
      <c r="D702" s="40"/>
      <c r="E702" s="40"/>
      <c r="F702" s="40"/>
      <c r="G702" s="40"/>
      <c r="H702" s="40"/>
      <c r="I702" s="53"/>
      <c r="J702" s="53"/>
      <c r="K702" s="53"/>
      <c r="L702" s="53"/>
      <c r="M702" s="53"/>
      <c r="N702" s="53"/>
      <c r="O702" s="53"/>
      <c r="P702" s="53"/>
      <c r="Q702" s="52"/>
    </row>
    <row r="703">
      <c r="B703" s="26"/>
      <c r="C703" s="40"/>
      <c r="D703" s="40"/>
      <c r="E703" s="40"/>
      <c r="F703" s="40"/>
      <c r="G703" s="40"/>
      <c r="H703" s="40"/>
      <c r="I703" s="53"/>
      <c r="J703" s="53"/>
      <c r="K703" s="53"/>
      <c r="L703" s="53"/>
      <c r="M703" s="53"/>
      <c r="N703" s="53"/>
      <c r="O703" s="53"/>
      <c r="P703" s="53"/>
      <c r="Q703" s="52"/>
    </row>
    <row r="704">
      <c r="B704" s="26"/>
      <c r="C704" s="40"/>
      <c r="D704" s="40"/>
      <c r="E704" s="40"/>
      <c r="F704" s="40"/>
      <c r="G704" s="40"/>
      <c r="H704" s="40"/>
      <c r="I704" s="53"/>
      <c r="J704" s="53"/>
      <c r="K704" s="53"/>
      <c r="L704" s="53"/>
      <c r="M704" s="53"/>
      <c r="N704" s="53"/>
      <c r="O704" s="53"/>
      <c r="P704" s="53"/>
      <c r="Q704" s="52"/>
    </row>
    <row r="705">
      <c r="B705" s="26"/>
      <c r="C705" s="40"/>
      <c r="D705" s="40"/>
      <c r="E705" s="40"/>
      <c r="F705" s="40"/>
      <c r="G705" s="40"/>
      <c r="H705" s="40"/>
      <c r="I705" s="53"/>
      <c r="J705" s="53"/>
      <c r="K705" s="53"/>
      <c r="L705" s="53"/>
      <c r="M705" s="53"/>
      <c r="N705" s="53"/>
      <c r="O705" s="53"/>
      <c r="P705" s="53"/>
      <c r="Q705" s="52"/>
    </row>
    <row r="706">
      <c r="B706" s="26"/>
      <c r="C706" s="40"/>
      <c r="D706" s="40"/>
      <c r="E706" s="40"/>
      <c r="F706" s="40"/>
      <c r="G706" s="40"/>
      <c r="H706" s="40"/>
      <c r="I706" s="53"/>
      <c r="J706" s="53"/>
      <c r="K706" s="53"/>
      <c r="L706" s="53"/>
      <c r="M706" s="53"/>
      <c r="N706" s="53"/>
      <c r="O706" s="53"/>
      <c r="P706" s="53"/>
      <c r="Q706" s="52"/>
    </row>
    <row r="707">
      <c r="B707" s="26"/>
      <c r="C707" s="40"/>
      <c r="D707" s="40"/>
      <c r="E707" s="40"/>
      <c r="F707" s="40"/>
      <c r="G707" s="40"/>
      <c r="H707" s="40"/>
      <c r="I707" s="53"/>
      <c r="J707" s="53"/>
      <c r="K707" s="53"/>
      <c r="L707" s="53"/>
      <c r="M707" s="53"/>
      <c r="N707" s="53"/>
      <c r="O707" s="53"/>
      <c r="P707" s="53"/>
      <c r="Q707" s="52"/>
    </row>
    <row r="708">
      <c r="B708" s="26"/>
      <c r="C708" s="40"/>
      <c r="D708" s="40"/>
      <c r="E708" s="40"/>
      <c r="F708" s="40"/>
      <c r="G708" s="40"/>
      <c r="H708" s="40"/>
      <c r="I708" s="53"/>
      <c r="J708" s="53"/>
      <c r="K708" s="53"/>
      <c r="L708" s="53"/>
      <c r="M708" s="53"/>
      <c r="N708" s="53"/>
      <c r="O708" s="53"/>
      <c r="P708" s="53"/>
      <c r="Q708" s="52"/>
    </row>
    <row r="709">
      <c r="B709" s="26"/>
      <c r="C709" s="40"/>
      <c r="D709" s="40"/>
      <c r="E709" s="40"/>
      <c r="F709" s="40"/>
      <c r="G709" s="40"/>
      <c r="H709" s="40"/>
      <c r="I709" s="53"/>
      <c r="J709" s="53"/>
      <c r="K709" s="53"/>
      <c r="L709" s="53"/>
      <c r="M709" s="53"/>
      <c r="N709" s="53"/>
      <c r="O709" s="53"/>
      <c r="P709" s="53"/>
      <c r="Q709" s="52"/>
    </row>
    <row r="710">
      <c r="B710" s="26"/>
      <c r="C710" s="40"/>
      <c r="D710" s="40"/>
      <c r="E710" s="40"/>
      <c r="F710" s="40"/>
      <c r="G710" s="40"/>
      <c r="H710" s="40"/>
      <c r="I710" s="53"/>
      <c r="J710" s="53"/>
      <c r="K710" s="53"/>
      <c r="L710" s="53"/>
      <c r="M710" s="53"/>
      <c r="N710" s="53"/>
      <c r="O710" s="53"/>
      <c r="P710" s="53"/>
      <c r="Q710" s="52"/>
    </row>
    <row r="711">
      <c r="B711" s="26"/>
      <c r="C711" s="40"/>
      <c r="D711" s="40"/>
      <c r="E711" s="40"/>
      <c r="F711" s="40"/>
      <c r="G711" s="40"/>
      <c r="H711" s="40"/>
      <c r="I711" s="53"/>
      <c r="J711" s="53"/>
      <c r="K711" s="53"/>
      <c r="L711" s="53"/>
      <c r="M711" s="53"/>
      <c r="N711" s="53"/>
      <c r="O711" s="53"/>
      <c r="P711" s="53"/>
      <c r="Q711" s="52"/>
    </row>
    <row r="712">
      <c r="B712" s="26"/>
      <c r="C712" s="40"/>
      <c r="D712" s="40"/>
      <c r="E712" s="40"/>
      <c r="F712" s="40"/>
      <c r="G712" s="40"/>
      <c r="H712" s="40"/>
      <c r="I712" s="53"/>
      <c r="J712" s="53"/>
      <c r="K712" s="53"/>
      <c r="L712" s="53"/>
      <c r="M712" s="53"/>
      <c r="N712" s="53"/>
      <c r="O712" s="53"/>
      <c r="P712" s="53"/>
      <c r="Q712" s="52"/>
    </row>
    <row r="713">
      <c r="B713" s="26"/>
      <c r="C713" s="40"/>
      <c r="D713" s="40"/>
      <c r="E713" s="40"/>
      <c r="F713" s="40"/>
      <c r="G713" s="40"/>
      <c r="H713" s="40"/>
      <c r="I713" s="53"/>
      <c r="J713" s="53"/>
      <c r="K713" s="53"/>
      <c r="L713" s="53"/>
      <c r="M713" s="53"/>
      <c r="N713" s="53"/>
      <c r="O713" s="53"/>
      <c r="P713" s="53"/>
      <c r="Q713" s="52"/>
    </row>
    <row r="714">
      <c r="B714" s="26"/>
      <c r="C714" s="40"/>
      <c r="D714" s="40"/>
      <c r="E714" s="40"/>
      <c r="F714" s="40"/>
      <c r="G714" s="40"/>
      <c r="H714" s="40"/>
      <c r="I714" s="53"/>
      <c r="J714" s="53"/>
      <c r="K714" s="53"/>
      <c r="L714" s="53"/>
      <c r="M714" s="53"/>
      <c r="N714" s="53"/>
      <c r="O714" s="53"/>
      <c r="P714" s="53"/>
      <c r="Q714" s="52"/>
    </row>
    <row r="715">
      <c r="B715" s="26"/>
      <c r="C715" s="40"/>
      <c r="D715" s="40"/>
      <c r="E715" s="40"/>
      <c r="F715" s="40"/>
      <c r="G715" s="40"/>
      <c r="H715" s="40"/>
      <c r="I715" s="53"/>
      <c r="J715" s="53"/>
      <c r="K715" s="53"/>
      <c r="L715" s="53"/>
      <c r="M715" s="53"/>
      <c r="N715" s="53"/>
      <c r="O715" s="53"/>
      <c r="P715" s="53"/>
      <c r="Q715" s="52"/>
    </row>
    <row r="716">
      <c r="B716" s="26"/>
      <c r="C716" s="40"/>
      <c r="D716" s="40"/>
      <c r="E716" s="40"/>
      <c r="F716" s="40"/>
      <c r="G716" s="40"/>
      <c r="H716" s="40"/>
      <c r="I716" s="53"/>
      <c r="J716" s="53"/>
      <c r="K716" s="53"/>
      <c r="L716" s="53"/>
      <c r="M716" s="53"/>
      <c r="N716" s="53"/>
      <c r="O716" s="53"/>
      <c r="P716" s="53"/>
      <c r="Q716" s="52"/>
    </row>
    <row r="717">
      <c r="B717" s="26"/>
      <c r="C717" s="40"/>
      <c r="D717" s="40"/>
      <c r="E717" s="40"/>
      <c r="F717" s="40"/>
      <c r="G717" s="40"/>
      <c r="H717" s="40"/>
      <c r="I717" s="53"/>
      <c r="J717" s="53"/>
      <c r="K717" s="53"/>
      <c r="L717" s="53"/>
      <c r="M717" s="53"/>
      <c r="N717" s="53"/>
      <c r="O717" s="53"/>
      <c r="P717" s="53"/>
      <c r="Q717" s="52"/>
    </row>
    <row r="718">
      <c r="B718" s="26"/>
      <c r="C718" s="40"/>
      <c r="D718" s="40"/>
      <c r="E718" s="40"/>
      <c r="F718" s="40"/>
      <c r="G718" s="40"/>
      <c r="H718" s="40"/>
      <c r="I718" s="53"/>
      <c r="J718" s="53"/>
      <c r="K718" s="53"/>
      <c r="L718" s="53"/>
      <c r="M718" s="53"/>
      <c r="N718" s="53"/>
      <c r="O718" s="53"/>
      <c r="P718" s="53"/>
      <c r="Q718" s="52"/>
    </row>
    <row r="719">
      <c r="B719" s="26"/>
      <c r="C719" s="40"/>
      <c r="D719" s="40"/>
      <c r="E719" s="40"/>
      <c r="F719" s="40"/>
      <c r="G719" s="40"/>
      <c r="H719" s="40"/>
      <c r="I719" s="53"/>
      <c r="J719" s="53"/>
      <c r="K719" s="53"/>
      <c r="L719" s="53"/>
      <c r="M719" s="53"/>
      <c r="N719" s="53"/>
      <c r="O719" s="53"/>
      <c r="P719" s="53"/>
      <c r="Q719" s="52"/>
    </row>
    <row r="720">
      <c r="B720" s="26"/>
      <c r="C720" s="40"/>
      <c r="D720" s="40"/>
      <c r="E720" s="40"/>
      <c r="F720" s="40"/>
      <c r="G720" s="40"/>
      <c r="H720" s="40"/>
      <c r="I720" s="53"/>
      <c r="J720" s="53"/>
      <c r="K720" s="53"/>
      <c r="L720" s="53"/>
      <c r="M720" s="53"/>
      <c r="N720" s="53"/>
      <c r="O720" s="53"/>
      <c r="P720" s="53"/>
      <c r="Q720" s="52"/>
    </row>
    <row r="721">
      <c r="B721" s="26"/>
      <c r="C721" s="40"/>
      <c r="D721" s="40"/>
      <c r="E721" s="40"/>
      <c r="F721" s="40"/>
      <c r="G721" s="40"/>
      <c r="H721" s="40"/>
      <c r="I721" s="53"/>
      <c r="J721" s="53"/>
      <c r="K721" s="53"/>
      <c r="L721" s="53"/>
      <c r="M721" s="53"/>
      <c r="N721" s="53"/>
      <c r="O721" s="53"/>
      <c r="P721" s="53"/>
      <c r="Q721" s="52"/>
    </row>
    <row r="722">
      <c r="B722" s="26"/>
      <c r="C722" s="40"/>
      <c r="D722" s="40"/>
      <c r="E722" s="40"/>
      <c r="F722" s="40"/>
      <c r="G722" s="40"/>
      <c r="H722" s="40"/>
      <c r="I722" s="53"/>
      <c r="J722" s="53"/>
      <c r="K722" s="53"/>
      <c r="L722" s="53"/>
      <c r="M722" s="53"/>
      <c r="N722" s="53"/>
      <c r="O722" s="53"/>
      <c r="P722" s="53"/>
      <c r="Q722" s="52"/>
    </row>
    <row r="723">
      <c r="B723" s="26"/>
      <c r="C723" s="40"/>
      <c r="D723" s="40"/>
      <c r="E723" s="40"/>
      <c r="F723" s="40"/>
      <c r="G723" s="40"/>
      <c r="H723" s="40"/>
      <c r="I723" s="53"/>
      <c r="J723" s="53"/>
      <c r="K723" s="53"/>
      <c r="L723" s="53"/>
      <c r="M723" s="53"/>
      <c r="N723" s="53"/>
      <c r="O723" s="53"/>
      <c r="P723" s="53"/>
      <c r="Q723" s="52"/>
    </row>
    <row r="724">
      <c r="B724" s="26"/>
      <c r="C724" s="40"/>
      <c r="D724" s="40"/>
      <c r="E724" s="40"/>
      <c r="F724" s="40"/>
      <c r="G724" s="40"/>
      <c r="H724" s="40"/>
      <c r="I724" s="53"/>
      <c r="J724" s="53"/>
      <c r="K724" s="53"/>
      <c r="L724" s="53"/>
      <c r="M724" s="53"/>
      <c r="N724" s="53"/>
      <c r="O724" s="53"/>
      <c r="P724" s="53"/>
      <c r="Q724" s="52"/>
    </row>
    <row r="725">
      <c r="B725" s="26"/>
      <c r="C725" s="40"/>
      <c r="D725" s="40"/>
      <c r="E725" s="40"/>
      <c r="F725" s="40"/>
      <c r="G725" s="40"/>
      <c r="H725" s="40"/>
      <c r="I725" s="53"/>
      <c r="J725" s="53"/>
      <c r="K725" s="53"/>
      <c r="L725" s="53"/>
      <c r="M725" s="53"/>
      <c r="N725" s="53"/>
      <c r="O725" s="53"/>
      <c r="P725" s="53"/>
      <c r="Q725" s="52"/>
    </row>
    <row r="726">
      <c r="B726" s="26"/>
      <c r="C726" s="40"/>
      <c r="D726" s="40"/>
      <c r="E726" s="40"/>
      <c r="F726" s="40"/>
      <c r="G726" s="40"/>
      <c r="H726" s="40"/>
      <c r="I726" s="53"/>
      <c r="J726" s="53"/>
      <c r="K726" s="53"/>
      <c r="L726" s="53"/>
      <c r="M726" s="53"/>
      <c r="N726" s="53"/>
      <c r="O726" s="53"/>
      <c r="P726" s="53"/>
      <c r="Q726" s="52"/>
    </row>
    <row r="727">
      <c r="B727" s="26"/>
      <c r="C727" s="40"/>
      <c r="D727" s="40"/>
      <c r="E727" s="40"/>
      <c r="F727" s="40"/>
      <c r="G727" s="40"/>
      <c r="H727" s="40"/>
      <c r="I727" s="53"/>
      <c r="J727" s="53"/>
      <c r="K727" s="53"/>
      <c r="L727" s="53"/>
      <c r="M727" s="53"/>
      <c r="N727" s="53"/>
      <c r="O727" s="53"/>
      <c r="P727" s="53"/>
      <c r="Q727" s="52"/>
    </row>
    <row r="728">
      <c r="B728" s="26"/>
      <c r="C728" s="40"/>
      <c r="D728" s="40"/>
      <c r="E728" s="40"/>
      <c r="F728" s="40"/>
      <c r="G728" s="40"/>
      <c r="H728" s="40"/>
      <c r="I728" s="53"/>
      <c r="J728" s="53"/>
      <c r="K728" s="53"/>
      <c r="L728" s="53"/>
      <c r="M728" s="53"/>
      <c r="N728" s="53"/>
      <c r="O728" s="53"/>
      <c r="P728" s="53"/>
      <c r="Q728" s="52"/>
    </row>
    <row r="729">
      <c r="B729" s="26"/>
      <c r="C729" s="40"/>
      <c r="D729" s="40"/>
      <c r="E729" s="40"/>
      <c r="F729" s="40"/>
      <c r="G729" s="40"/>
      <c r="H729" s="40"/>
      <c r="I729" s="53"/>
      <c r="J729" s="53"/>
      <c r="K729" s="53"/>
      <c r="L729" s="53"/>
      <c r="M729" s="53"/>
      <c r="N729" s="53"/>
      <c r="O729" s="53"/>
      <c r="P729" s="53"/>
      <c r="Q729" s="52"/>
    </row>
    <row r="730">
      <c r="B730" s="26"/>
      <c r="C730" s="40"/>
      <c r="D730" s="40"/>
      <c r="E730" s="40"/>
      <c r="F730" s="40"/>
      <c r="G730" s="40"/>
      <c r="H730" s="40"/>
      <c r="I730" s="53"/>
      <c r="J730" s="53"/>
      <c r="K730" s="53"/>
      <c r="L730" s="53"/>
      <c r="M730" s="53"/>
      <c r="N730" s="53"/>
      <c r="O730" s="53"/>
      <c r="P730" s="53"/>
      <c r="Q730" s="52"/>
    </row>
    <row r="731">
      <c r="B731" s="26"/>
      <c r="C731" s="40"/>
      <c r="D731" s="40"/>
      <c r="E731" s="40"/>
      <c r="F731" s="40"/>
      <c r="G731" s="40"/>
      <c r="H731" s="40"/>
      <c r="I731" s="53"/>
      <c r="J731" s="53"/>
      <c r="K731" s="53"/>
      <c r="L731" s="53"/>
      <c r="M731" s="53"/>
      <c r="N731" s="53"/>
      <c r="O731" s="53"/>
      <c r="P731" s="53"/>
      <c r="Q731" s="52"/>
    </row>
    <row r="732">
      <c r="B732" s="26"/>
      <c r="C732" s="40"/>
      <c r="D732" s="40"/>
      <c r="E732" s="40"/>
      <c r="F732" s="40"/>
      <c r="G732" s="40"/>
      <c r="H732" s="40"/>
      <c r="I732" s="53"/>
      <c r="J732" s="53"/>
      <c r="K732" s="53"/>
      <c r="L732" s="53"/>
      <c r="M732" s="53"/>
      <c r="N732" s="53"/>
      <c r="O732" s="53"/>
      <c r="P732" s="53"/>
      <c r="Q732" s="52"/>
    </row>
    <row r="733">
      <c r="B733" s="26"/>
      <c r="C733" s="40"/>
      <c r="D733" s="40"/>
      <c r="E733" s="40"/>
      <c r="F733" s="40"/>
      <c r="G733" s="40"/>
      <c r="H733" s="40"/>
      <c r="I733" s="53"/>
      <c r="J733" s="53"/>
      <c r="K733" s="53"/>
      <c r="L733" s="53"/>
      <c r="M733" s="53"/>
      <c r="N733" s="53"/>
      <c r="O733" s="53"/>
      <c r="P733" s="53"/>
      <c r="Q733" s="52"/>
    </row>
    <row r="734">
      <c r="B734" s="26"/>
      <c r="C734" s="40"/>
      <c r="D734" s="40"/>
      <c r="E734" s="40"/>
      <c r="F734" s="40"/>
      <c r="G734" s="40"/>
      <c r="H734" s="40"/>
      <c r="I734" s="53"/>
      <c r="J734" s="53"/>
      <c r="K734" s="53"/>
      <c r="L734" s="53"/>
      <c r="M734" s="53"/>
      <c r="N734" s="53"/>
      <c r="O734" s="53"/>
      <c r="P734" s="53"/>
      <c r="Q734" s="52"/>
    </row>
    <row r="735">
      <c r="B735" s="26"/>
      <c r="C735" s="40"/>
      <c r="D735" s="40"/>
      <c r="E735" s="40"/>
      <c r="F735" s="40"/>
      <c r="G735" s="40"/>
      <c r="H735" s="40"/>
      <c r="I735" s="53"/>
      <c r="J735" s="53"/>
      <c r="K735" s="53"/>
      <c r="L735" s="53"/>
      <c r="M735" s="53"/>
      <c r="N735" s="53"/>
      <c r="O735" s="53"/>
      <c r="P735" s="53"/>
      <c r="Q735" s="52"/>
    </row>
    <row r="736">
      <c r="B736" s="26"/>
      <c r="C736" s="40"/>
      <c r="D736" s="40"/>
      <c r="E736" s="40"/>
      <c r="F736" s="40"/>
      <c r="G736" s="40"/>
      <c r="H736" s="40"/>
      <c r="I736" s="53"/>
      <c r="J736" s="53"/>
      <c r="K736" s="53"/>
      <c r="L736" s="53"/>
      <c r="M736" s="53"/>
      <c r="N736" s="53"/>
      <c r="O736" s="53"/>
      <c r="P736" s="53"/>
      <c r="Q736" s="52"/>
    </row>
    <row r="737">
      <c r="B737" s="26"/>
      <c r="C737" s="40"/>
      <c r="D737" s="40"/>
      <c r="E737" s="40"/>
      <c r="F737" s="40"/>
      <c r="G737" s="40"/>
      <c r="H737" s="40"/>
      <c r="I737" s="53"/>
      <c r="J737" s="53"/>
      <c r="K737" s="53"/>
      <c r="L737" s="53"/>
      <c r="M737" s="53"/>
      <c r="N737" s="53"/>
      <c r="O737" s="53"/>
      <c r="P737" s="53"/>
      <c r="Q737" s="52"/>
    </row>
    <row r="738">
      <c r="B738" s="26"/>
      <c r="C738" s="40"/>
      <c r="D738" s="40"/>
      <c r="E738" s="40"/>
      <c r="F738" s="40"/>
      <c r="G738" s="40"/>
      <c r="H738" s="40"/>
      <c r="I738" s="53"/>
      <c r="J738" s="53"/>
      <c r="K738" s="53"/>
      <c r="L738" s="53"/>
      <c r="M738" s="53"/>
      <c r="N738" s="53"/>
      <c r="O738" s="53"/>
      <c r="P738" s="53"/>
      <c r="Q738" s="52"/>
    </row>
    <row r="739">
      <c r="B739" s="26"/>
      <c r="C739" s="40"/>
      <c r="D739" s="40"/>
      <c r="E739" s="40"/>
      <c r="F739" s="40"/>
      <c r="G739" s="40"/>
      <c r="H739" s="40"/>
      <c r="I739" s="53"/>
      <c r="J739" s="53"/>
      <c r="K739" s="53"/>
      <c r="L739" s="53"/>
      <c r="M739" s="53"/>
      <c r="N739" s="53"/>
      <c r="O739" s="53"/>
      <c r="P739" s="53"/>
      <c r="Q739" s="52"/>
    </row>
    <row r="740">
      <c r="B740" s="26"/>
      <c r="C740" s="40"/>
      <c r="D740" s="40"/>
      <c r="E740" s="40"/>
      <c r="F740" s="40"/>
      <c r="G740" s="40"/>
      <c r="H740" s="40"/>
      <c r="I740" s="53"/>
      <c r="J740" s="53"/>
      <c r="K740" s="53"/>
      <c r="L740" s="53"/>
      <c r="M740" s="53"/>
      <c r="N740" s="53"/>
      <c r="O740" s="53"/>
      <c r="P740" s="53"/>
      <c r="Q740" s="52"/>
    </row>
    <row r="741">
      <c r="B741" s="26"/>
      <c r="C741" s="40"/>
      <c r="D741" s="40"/>
      <c r="E741" s="40"/>
      <c r="F741" s="40"/>
      <c r="G741" s="40"/>
      <c r="H741" s="40"/>
      <c r="I741" s="53"/>
      <c r="J741" s="53"/>
      <c r="K741" s="53"/>
      <c r="L741" s="53"/>
      <c r="M741" s="53"/>
      <c r="N741" s="53"/>
      <c r="O741" s="53"/>
      <c r="P741" s="53"/>
      <c r="Q741" s="52"/>
    </row>
    <row r="742">
      <c r="B742" s="26"/>
      <c r="C742" s="40"/>
      <c r="D742" s="40"/>
      <c r="E742" s="40"/>
      <c r="F742" s="40"/>
      <c r="G742" s="40"/>
      <c r="H742" s="40"/>
      <c r="I742" s="53"/>
      <c r="J742" s="53"/>
      <c r="K742" s="53"/>
      <c r="L742" s="53"/>
      <c r="M742" s="53"/>
      <c r="N742" s="53"/>
      <c r="O742" s="53"/>
      <c r="P742" s="53"/>
      <c r="Q742" s="52"/>
    </row>
    <row r="743">
      <c r="B743" s="26"/>
      <c r="C743" s="40"/>
      <c r="D743" s="40"/>
      <c r="E743" s="40"/>
      <c r="F743" s="40"/>
      <c r="G743" s="40"/>
      <c r="H743" s="40"/>
      <c r="I743" s="53"/>
      <c r="J743" s="53"/>
      <c r="K743" s="53"/>
      <c r="L743" s="53"/>
      <c r="M743" s="53"/>
      <c r="N743" s="53"/>
      <c r="O743" s="53"/>
      <c r="P743" s="53"/>
      <c r="Q743" s="52"/>
    </row>
    <row r="744">
      <c r="B744" s="26"/>
      <c r="C744" s="40"/>
      <c r="D744" s="40"/>
      <c r="E744" s="40"/>
      <c r="F744" s="40"/>
      <c r="G744" s="40"/>
      <c r="H744" s="40"/>
      <c r="I744" s="53"/>
      <c r="J744" s="53"/>
      <c r="K744" s="53"/>
      <c r="L744" s="53"/>
      <c r="M744" s="53"/>
      <c r="N744" s="53"/>
      <c r="O744" s="53"/>
      <c r="P744" s="53"/>
      <c r="Q744" s="52"/>
    </row>
    <row r="745">
      <c r="B745" s="26"/>
      <c r="C745" s="40"/>
      <c r="D745" s="40"/>
      <c r="E745" s="40"/>
      <c r="F745" s="40"/>
      <c r="G745" s="40"/>
      <c r="H745" s="40"/>
      <c r="I745" s="53"/>
      <c r="J745" s="53"/>
      <c r="K745" s="53"/>
      <c r="L745" s="53"/>
      <c r="M745" s="53"/>
      <c r="N745" s="53"/>
      <c r="O745" s="53"/>
      <c r="P745" s="53"/>
      <c r="Q745" s="52"/>
    </row>
    <row r="746">
      <c r="B746" s="26"/>
      <c r="C746" s="40"/>
      <c r="D746" s="40"/>
      <c r="E746" s="40"/>
      <c r="F746" s="40"/>
      <c r="G746" s="40"/>
      <c r="H746" s="40"/>
      <c r="I746" s="53"/>
      <c r="J746" s="53"/>
      <c r="K746" s="53"/>
      <c r="L746" s="53"/>
      <c r="M746" s="53"/>
      <c r="N746" s="53"/>
      <c r="O746" s="53"/>
      <c r="P746" s="53"/>
      <c r="Q746" s="52"/>
    </row>
    <row r="747">
      <c r="B747" s="26"/>
      <c r="C747" s="40"/>
      <c r="D747" s="40"/>
      <c r="E747" s="40"/>
      <c r="F747" s="40"/>
      <c r="G747" s="40"/>
      <c r="H747" s="40"/>
      <c r="I747" s="53"/>
      <c r="J747" s="53"/>
      <c r="K747" s="53"/>
      <c r="L747" s="53"/>
      <c r="M747" s="53"/>
      <c r="N747" s="53"/>
      <c r="O747" s="53"/>
      <c r="P747" s="53"/>
      <c r="Q747" s="52"/>
    </row>
    <row r="748">
      <c r="B748" s="26"/>
      <c r="C748" s="40"/>
      <c r="D748" s="40"/>
      <c r="E748" s="40"/>
      <c r="F748" s="40"/>
      <c r="G748" s="40"/>
      <c r="H748" s="40"/>
      <c r="I748" s="53"/>
      <c r="J748" s="53"/>
      <c r="K748" s="53"/>
      <c r="L748" s="53"/>
      <c r="M748" s="53"/>
      <c r="N748" s="53"/>
      <c r="O748" s="53"/>
      <c r="P748" s="53"/>
      <c r="Q748" s="52"/>
    </row>
    <row r="749">
      <c r="B749" s="26"/>
      <c r="C749" s="40"/>
      <c r="D749" s="40"/>
      <c r="E749" s="40"/>
      <c r="F749" s="40"/>
      <c r="G749" s="40"/>
      <c r="H749" s="40"/>
      <c r="I749" s="53"/>
      <c r="J749" s="53"/>
      <c r="K749" s="53"/>
      <c r="L749" s="53"/>
      <c r="M749" s="53"/>
      <c r="N749" s="53"/>
      <c r="O749" s="53"/>
      <c r="P749" s="53"/>
      <c r="Q749" s="52"/>
    </row>
    <row r="750">
      <c r="B750" s="26"/>
      <c r="C750" s="40"/>
      <c r="D750" s="40"/>
      <c r="E750" s="40"/>
      <c r="F750" s="40"/>
      <c r="G750" s="40"/>
      <c r="H750" s="40"/>
      <c r="I750" s="53"/>
      <c r="J750" s="53"/>
      <c r="K750" s="53"/>
      <c r="L750" s="53"/>
      <c r="M750" s="53"/>
      <c r="N750" s="53"/>
      <c r="O750" s="53"/>
      <c r="P750" s="53"/>
      <c r="Q750" s="52"/>
    </row>
    <row r="751">
      <c r="B751" s="26"/>
      <c r="C751" s="40"/>
      <c r="D751" s="40"/>
      <c r="E751" s="40"/>
      <c r="F751" s="40"/>
      <c r="G751" s="40"/>
      <c r="H751" s="40"/>
      <c r="I751" s="53"/>
      <c r="J751" s="53"/>
      <c r="K751" s="53"/>
      <c r="L751" s="53"/>
      <c r="M751" s="53"/>
      <c r="N751" s="53"/>
      <c r="O751" s="53"/>
      <c r="P751" s="53"/>
      <c r="Q751" s="52"/>
    </row>
    <row r="752">
      <c r="B752" s="26"/>
      <c r="C752" s="40"/>
      <c r="D752" s="40"/>
      <c r="E752" s="40"/>
      <c r="F752" s="40"/>
      <c r="G752" s="40"/>
      <c r="H752" s="40"/>
      <c r="I752" s="53"/>
      <c r="J752" s="53"/>
      <c r="K752" s="53"/>
      <c r="L752" s="53"/>
      <c r="M752" s="53"/>
      <c r="N752" s="53"/>
      <c r="O752" s="53"/>
      <c r="P752" s="53"/>
      <c r="Q752" s="52"/>
    </row>
    <row r="753">
      <c r="B753" s="26"/>
      <c r="C753" s="40"/>
      <c r="D753" s="40"/>
      <c r="E753" s="40"/>
      <c r="F753" s="40"/>
      <c r="G753" s="40"/>
      <c r="H753" s="40"/>
      <c r="I753" s="53"/>
      <c r="J753" s="53"/>
      <c r="K753" s="53"/>
      <c r="L753" s="53"/>
      <c r="M753" s="53"/>
      <c r="N753" s="53"/>
      <c r="O753" s="53"/>
      <c r="P753" s="53"/>
      <c r="Q753" s="52"/>
    </row>
    <row r="754">
      <c r="B754" s="26"/>
      <c r="C754" s="40"/>
      <c r="D754" s="40"/>
      <c r="E754" s="40"/>
      <c r="F754" s="40"/>
      <c r="G754" s="40"/>
      <c r="H754" s="40"/>
      <c r="I754" s="53"/>
      <c r="J754" s="53"/>
      <c r="K754" s="53"/>
      <c r="L754" s="53"/>
      <c r="M754" s="53"/>
      <c r="N754" s="53"/>
      <c r="O754" s="53"/>
      <c r="P754" s="53"/>
      <c r="Q754" s="52"/>
    </row>
    <row r="755">
      <c r="B755" s="26"/>
      <c r="C755" s="40"/>
      <c r="D755" s="40"/>
      <c r="E755" s="40"/>
      <c r="F755" s="40"/>
      <c r="G755" s="40"/>
      <c r="H755" s="40"/>
      <c r="I755" s="53"/>
      <c r="J755" s="53"/>
      <c r="K755" s="53"/>
      <c r="L755" s="53"/>
      <c r="M755" s="53"/>
      <c r="N755" s="53"/>
      <c r="O755" s="53"/>
      <c r="P755" s="53"/>
      <c r="Q755" s="52"/>
    </row>
    <row r="756">
      <c r="B756" s="26"/>
      <c r="C756" s="40"/>
      <c r="D756" s="40"/>
      <c r="E756" s="40"/>
      <c r="F756" s="40"/>
      <c r="G756" s="40"/>
      <c r="H756" s="40"/>
      <c r="I756" s="53"/>
      <c r="J756" s="53"/>
      <c r="K756" s="53"/>
      <c r="L756" s="53"/>
      <c r="M756" s="53"/>
      <c r="N756" s="53"/>
      <c r="O756" s="53"/>
      <c r="P756" s="53"/>
      <c r="Q756" s="52"/>
    </row>
    <row r="757">
      <c r="B757" s="26"/>
      <c r="C757" s="40"/>
      <c r="D757" s="40"/>
      <c r="E757" s="40"/>
      <c r="F757" s="40"/>
      <c r="G757" s="40"/>
      <c r="H757" s="40"/>
      <c r="I757" s="53"/>
      <c r="J757" s="53"/>
      <c r="K757" s="53"/>
      <c r="L757" s="53"/>
      <c r="M757" s="53"/>
      <c r="N757" s="53"/>
      <c r="O757" s="53"/>
      <c r="P757" s="53"/>
      <c r="Q757" s="52"/>
    </row>
    <row r="758">
      <c r="B758" s="26"/>
      <c r="C758" s="40"/>
      <c r="D758" s="40"/>
      <c r="E758" s="40"/>
      <c r="F758" s="40"/>
      <c r="G758" s="40"/>
      <c r="H758" s="40"/>
      <c r="I758" s="53"/>
      <c r="J758" s="53"/>
      <c r="K758" s="53"/>
      <c r="L758" s="53"/>
      <c r="M758" s="53"/>
      <c r="N758" s="53"/>
      <c r="O758" s="53"/>
      <c r="P758" s="53"/>
      <c r="Q758" s="52"/>
    </row>
    <row r="759">
      <c r="B759" s="26"/>
      <c r="C759" s="40"/>
      <c r="D759" s="40"/>
      <c r="E759" s="40"/>
      <c r="F759" s="40"/>
      <c r="G759" s="40"/>
      <c r="H759" s="40"/>
      <c r="I759" s="53"/>
      <c r="J759" s="53"/>
      <c r="K759" s="53"/>
      <c r="L759" s="53"/>
      <c r="M759" s="53"/>
      <c r="N759" s="53"/>
      <c r="O759" s="53"/>
      <c r="P759" s="53"/>
      <c r="Q759" s="52"/>
    </row>
    <row r="760">
      <c r="B760" s="26"/>
      <c r="C760" s="40"/>
      <c r="D760" s="40"/>
      <c r="E760" s="40"/>
      <c r="F760" s="40"/>
      <c r="G760" s="40"/>
      <c r="H760" s="40"/>
      <c r="I760" s="53"/>
      <c r="J760" s="53"/>
      <c r="K760" s="53"/>
      <c r="L760" s="53"/>
      <c r="M760" s="53"/>
      <c r="N760" s="53"/>
      <c r="O760" s="53"/>
      <c r="P760" s="53"/>
      <c r="Q760" s="52"/>
    </row>
    <row r="761">
      <c r="B761" s="26"/>
      <c r="C761" s="40"/>
      <c r="D761" s="40"/>
      <c r="E761" s="40"/>
      <c r="F761" s="40"/>
      <c r="G761" s="40"/>
      <c r="H761" s="40"/>
      <c r="I761" s="53"/>
      <c r="J761" s="53"/>
      <c r="K761" s="53"/>
      <c r="L761" s="53"/>
      <c r="M761" s="53"/>
      <c r="N761" s="53"/>
      <c r="O761" s="53"/>
      <c r="P761" s="53"/>
      <c r="Q761" s="52"/>
    </row>
    <row r="762">
      <c r="B762" s="26"/>
      <c r="C762" s="40"/>
      <c r="D762" s="40"/>
      <c r="E762" s="40"/>
      <c r="F762" s="40"/>
      <c r="G762" s="40"/>
      <c r="H762" s="40"/>
      <c r="I762" s="53"/>
      <c r="J762" s="53"/>
      <c r="K762" s="53"/>
      <c r="L762" s="53"/>
      <c r="M762" s="53"/>
      <c r="N762" s="53"/>
      <c r="O762" s="53"/>
      <c r="P762" s="53"/>
      <c r="Q762" s="52"/>
    </row>
    <row r="763">
      <c r="B763" s="26"/>
      <c r="C763" s="40"/>
      <c r="D763" s="40"/>
      <c r="E763" s="40"/>
      <c r="F763" s="40"/>
      <c r="G763" s="40"/>
      <c r="H763" s="40"/>
      <c r="I763" s="53"/>
      <c r="J763" s="53"/>
      <c r="K763" s="53"/>
      <c r="L763" s="53"/>
      <c r="M763" s="53"/>
      <c r="N763" s="53"/>
      <c r="O763" s="53"/>
      <c r="P763" s="53"/>
      <c r="Q763" s="52"/>
    </row>
    <row r="764">
      <c r="B764" s="26"/>
      <c r="C764" s="40"/>
      <c r="D764" s="40"/>
      <c r="E764" s="40"/>
      <c r="F764" s="40"/>
      <c r="G764" s="40"/>
      <c r="H764" s="40"/>
      <c r="I764" s="53"/>
      <c r="J764" s="53"/>
      <c r="K764" s="53"/>
      <c r="L764" s="53"/>
      <c r="M764" s="53"/>
      <c r="N764" s="53"/>
      <c r="O764" s="53"/>
      <c r="P764" s="53"/>
      <c r="Q764" s="52"/>
    </row>
    <row r="765">
      <c r="B765" s="26"/>
      <c r="C765" s="40"/>
      <c r="D765" s="40"/>
      <c r="E765" s="40"/>
      <c r="F765" s="40"/>
      <c r="G765" s="40"/>
      <c r="H765" s="40"/>
      <c r="I765" s="53"/>
      <c r="J765" s="53"/>
      <c r="K765" s="53"/>
      <c r="L765" s="53"/>
      <c r="M765" s="53"/>
      <c r="N765" s="53"/>
      <c r="O765" s="53"/>
      <c r="P765" s="53"/>
      <c r="Q765" s="52"/>
    </row>
    <row r="766">
      <c r="B766" s="26"/>
      <c r="C766" s="40"/>
      <c r="D766" s="40"/>
      <c r="E766" s="40"/>
      <c r="F766" s="40"/>
      <c r="G766" s="40"/>
      <c r="H766" s="40"/>
      <c r="I766" s="53"/>
      <c r="J766" s="53"/>
      <c r="K766" s="53"/>
      <c r="L766" s="53"/>
      <c r="M766" s="53"/>
      <c r="N766" s="53"/>
      <c r="O766" s="53"/>
      <c r="P766" s="53"/>
      <c r="Q766" s="52"/>
    </row>
    <row r="767">
      <c r="B767" s="26"/>
      <c r="C767" s="40"/>
      <c r="D767" s="40"/>
      <c r="E767" s="40"/>
      <c r="F767" s="40"/>
      <c r="G767" s="40"/>
      <c r="H767" s="40"/>
      <c r="I767" s="53"/>
      <c r="J767" s="53"/>
      <c r="K767" s="53"/>
      <c r="L767" s="53"/>
      <c r="M767" s="53"/>
      <c r="N767" s="53"/>
      <c r="O767" s="53"/>
      <c r="P767" s="53"/>
      <c r="Q767" s="52"/>
    </row>
    <row r="768">
      <c r="B768" s="26"/>
      <c r="C768" s="40"/>
      <c r="D768" s="40"/>
      <c r="E768" s="40"/>
      <c r="F768" s="40"/>
      <c r="G768" s="40"/>
      <c r="H768" s="40"/>
      <c r="I768" s="53"/>
      <c r="J768" s="53"/>
      <c r="K768" s="53"/>
      <c r="L768" s="53"/>
      <c r="M768" s="53"/>
      <c r="N768" s="53"/>
      <c r="O768" s="53"/>
      <c r="P768" s="53"/>
      <c r="Q768" s="52"/>
    </row>
    <row r="769">
      <c r="B769" s="26"/>
      <c r="C769" s="40"/>
      <c r="D769" s="40"/>
      <c r="E769" s="40"/>
      <c r="F769" s="40"/>
      <c r="G769" s="40"/>
      <c r="H769" s="40"/>
      <c r="I769" s="53"/>
      <c r="J769" s="53"/>
      <c r="K769" s="53"/>
      <c r="L769" s="53"/>
      <c r="M769" s="53"/>
      <c r="N769" s="53"/>
      <c r="O769" s="53"/>
      <c r="P769" s="53"/>
      <c r="Q769" s="52"/>
    </row>
    <row r="770">
      <c r="B770" s="26"/>
      <c r="C770" s="40"/>
      <c r="D770" s="40"/>
      <c r="E770" s="40"/>
      <c r="F770" s="40"/>
      <c r="G770" s="40"/>
      <c r="H770" s="40"/>
      <c r="I770" s="53"/>
      <c r="J770" s="53"/>
      <c r="K770" s="53"/>
      <c r="L770" s="53"/>
      <c r="M770" s="53"/>
      <c r="N770" s="53"/>
      <c r="O770" s="53"/>
      <c r="P770" s="53"/>
      <c r="Q770" s="52"/>
    </row>
    <row r="771">
      <c r="B771" s="26"/>
      <c r="C771" s="40"/>
      <c r="D771" s="40"/>
      <c r="E771" s="40"/>
      <c r="F771" s="40"/>
      <c r="G771" s="40"/>
      <c r="H771" s="40"/>
      <c r="I771" s="53"/>
      <c r="J771" s="53"/>
      <c r="K771" s="53"/>
      <c r="L771" s="53"/>
      <c r="M771" s="53"/>
      <c r="N771" s="53"/>
      <c r="O771" s="53"/>
      <c r="P771" s="53"/>
      <c r="Q771" s="52"/>
    </row>
    <row r="772">
      <c r="B772" s="26"/>
      <c r="C772" s="40"/>
      <c r="D772" s="40"/>
      <c r="E772" s="40"/>
      <c r="F772" s="40"/>
      <c r="G772" s="40"/>
      <c r="H772" s="40"/>
      <c r="I772" s="53"/>
      <c r="J772" s="53"/>
      <c r="K772" s="53"/>
      <c r="L772" s="53"/>
      <c r="M772" s="53"/>
      <c r="N772" s="53"/>
      <c r="O772" s="53"/>
      <c r="P772" s="53"/>
      <c r="Q772" s="52"/>
    </row>
    <row r="773">
      <c r="B773" s="26"/>
      <c r="C773" s="40"/>
      <c r="D773" s="40"/>
      <c r="E773" s="40"/>
      <c r="F773" s="40"/>
      <c r="G773" s="40"/>
      <c r="H773" s="40"/>
      <c r="I773" s="53"/>
      <c r="J773" s="53"/>
      <c r="K773" s="53"/>
      <c r="L773" s="53"/>
      <c r="M773" s="53"/>
      <c r="N773" s="53"/>
      <c r="O773" s="53"/>
      <c r="P773" s="53"/>
      <c r="Q773" s="52"/>
    </row>
    <row r="774">
      <c r="B774" s="26"/>
      <c r="C774" s="40"/>
      <c r="D774" s="40"/>
      <c r="E774" s="40"/>
      <c r="F774" s="40"/>
      <c r="G774" s="40"/>
      <c r="H774" s="40"/>
      <c r="I774" s="53"/>
      <c r="J774" s="53"/>
      <c r="K774" s="53"/>
      <c r="L774" s="53"/>
      <c r="M774" s="53"/>
      <c r="N774" s="53"/>
      <c r="O774" s="53"/>
      <c r="P774" s="53"/>
      <c r="Q774" s="52"/>
    </row>
    <row r="775">
      <c r="B775" s="26"/>
      <c r="C775" s="40"/>
      <c r="D775" s="40"/>
      <c r="E775" s="40"/>
      <c r="F775" s="40"/>
      <c r="G775" s="40"/>
      <c r="H775" s="40"/>
      <c r="I775" s="53"/>
      <c r="J775" s="53"/>
      <c r="K775" s="53"/>
      <c r="L775" s="53"/>
      <c r="M775" s="53"/>
      <c r="N775" s="53"/>
      <c r="O775" s="53"/>
      <c r="P775" s="53"/>
      <c r="Q775" s="52"/>
    </row>
    <row r="776">
      <c r="B776" s="26"/>
      <c r="C776" s="40"/>
      <c r="D776" s="40"/>
      <c r="E776" s="40"/>
      <c r="F776" s="40"/>
      <c r="G776" s="40"/>
      <c r="H776" s="40"/>
      <c r="I776" s="53"/>
      <c r="J776" s="53"/>
      <c r="K776" s="53"/>
      <c r="L776" s="53"/>
      <c r="M776" s="53"/>
      <c r="N776" s="53"/>
      <c r="O776" s="53"/>
      <c r="P776" s="53"/>
      <c r="Q776" s="52"/>
    </row>
    <row r="777">
      <c r="B777" s="26"/>
      <c r="C777" s="40"/>
      <c r="D777" s="40"/>
      <c r="E777" s="40"/>
      <c r="F777" s="40"/>
      <c r="G777" s="40"/>
      <c r="H777" s="40"/>
      <c r="I777" s="53"/>
      <c r="J777" s="53"/>
      <c r="K777" s="53"/>
      <c r="L777" s="53"/>
      <c r="M777" s="53"/>
      <c r="N777" s="53"/>
      <c r="O777" s="53"/>
      <c r="P777" s="53"/>
      <c r="Q777" s="52"/>
    </row>
    <row r="778">
      <c r="B778" s="26"/>
      <c r="C778" s="40"/>
      <c r="D778" s="40"/>
      <c r="E778" s="40"/>
      <c r="F778" s="40"/>
      <c r="G778" s="40"/>
      <c r="H778" s="40"/>
      <c r="I778" s="53"/>
      <c r="J778" s="53"/>
      <c r="K778" s="53"/>
      <c r="L778" s="53"/>
      <c r="M778" s="53"/>
      <c r="N778" s="53"/>
      <c r="O778" s="53"/>
      <c r="P778" s="53"/>
      <c r="Q778" s="52"/>
    </row>
    <row r="779">
      <c r="B779" s="26"/>
      <c r="C779" s="40"/>
      <c r="D779" s="40"/>
      <c r="E779" s="40"/>
      <c r="F779" s="40"/>
      <c r="G779" s="40"/>
      <c r="H779" s="40"/>
      <c r="I779" s="53"/>
      <c r="J779" s="53"/>
      <c r="K779" s="53"/>
      <c r="L779" s="53"/>
      <c r="M779" s="53"/>
      <c r="N779" s="53"/>
      <c r="O779" s="53"/>
      <c r="P779" s="53"/>
      <c r="Q779" s="52"/>
    </row>
    <row r="780">
      <c r="B780" s="26"/>
      <c r="C780" s="40"/>
      <c r="D780" s="40"/>
      <c r="E780" s="40"/>
      <c r="F780" s="40"/>
      <c r="G780" s="40"/>
      <c r="H780" s="40"/>
      <c r="I780" s="53"/>
      <c r="J780" s="53"/>
      <c r="K780" s="53"/>
      <c r="L780" s="53"/>
      <c r="M780" s="53"/>
      <c r="N780" s="53"/>
      <c r="O780" s="53"/>
      <c r="P780" s="53"/>
      <c r="Q780" s="52"/>
    </row>
    <row r="781">
      <c r="B781" s="26"/>
      <c r="C781" s="40"/>
      <c r="D781" s="40"/>
      <c r="E781" s="40"/>
      <c r="F781" s="40"/>
      <c r="G781" s="40"/>
      <c r="H781" s="40"/>
      <c r="I781" s="53"/>
      <c r="J781" s="53"/>
      <c r="K781" s="53"/>
      <c r="L781" s="53"/>
      <c r="M781" s="53"/>
      <c r="N781" s="53"/>
      <c r="O781" s="53"/>
      <c r="P781" s="53"/>
      <c r="Q781" s="52"/>
    </row>
    <row r="782">
      <c r="B782" s="26"/>
      <c r="C782" s="40"/>
      <c r="D782" s="40"/>
      <c r="E782" s="40"/>
      <c r="F782" s="40"/>
      <c r="G782" s="40"/>
      <c r="H782" s="40"/>
      <c r="I782" s="53"/>
      <c r="J782" s="53"/>
      <c r="K782" s="53"/>
      <c r="L782" s="53"/>
      <c r="M782" s="53"/>
      <c r="N782" s="53"/>
      <c r="O782" s="53"/>
      <c r="P782" s="53"/>
      <c r="Q782" s="52"/>
    </row>
    <row r="783">
      <c r="B783" s="26"/>
      <c r="C783" s="40"/>
      <c r="D783" s="40"/>
      <c r="E783" s="40"/>
      <c r="F783" s="40"/>
      <c r="G783" s="40"/>
      <c r="H783" s="40"/>
      <c r="I783" s="53"/>
      <c r="J783" s="53"/>
      <c r="K783" s="53"/>
      <c r="L783" s="53"/>
      <c r="M783" s="53"/>
      <c r="N783" s="53"/>
      <c r="O783" s="53"/>
      <c r="P783" s="53"/>
      <c r="Q783" s="52"/>
    </row>
    <row r="784">
      <c r="B784" s="26"/>
      <c r="C784" s="40"/>
      <c r="D784" s="40"/>
      <c r="E784" s="40"/>
      <c r="F784" s="40"/>
      <c r="G784" s="40"/>
      <c r="H784" s="40"/>
      <c r="I784" s="53"/>
      <c r="J784" s="53"/>
      <c r="K784" s="53"/>
      <c r="L784" s="53"/>
      <c r="M784" s="53"/>
      <c r="N784" s="53"/>
      <c r="O784" s="53"/>
      <c r="P784" s="53"/>
      <c r="Q784" s="52"/>
    </row>
    <row r="785">
      <c r="B785" s="26"/>
      <c r="C785" s="40"/>
      <c r="D785" s="40"/>
      <c r="E785" s="40"/>
      <c r="F785" s="40"/>
      <c r="G785" s="40"/>
      <c r="H785" s="40"/>
      <c r="I785" s="53"/>
      <c r="J785" s="53"/>
      <c r="K785" s="53"/>
      <c r="L785" s="53"/>
      <c r="M785" s="53"/>
      <c r="N785" s="53"/>
      <c r="O785" s="53"/>
      <c r="P785" s="53"/>
      <c r="Q785" s="52"/>
    </row>
    <row r="786">
      <c r="B786" s="26"/>
      <c r="C786" s="40"/>
      <c r="D786" s="40"/>
      <c r="E786" s="40"/>
      <c r="F786" s="40"/>
      <c r="G786" s="40"/>
      <c r="H786" s="40"/>
      <c r="I786" s="53"/>
      <c r="J786" s="53"/>
      <c r="K786" s="53"/>
      <c r="L786" s="53"/>
      <c r="M786" s="53"/>
      <c r="N786" s="53"/>
      <c r="O786" s="53"/>
      <c r="P786" s="53"/>
      <c r="Q786" s="52"/>
    </row>
    <row r="787">
      <c r="B787" s="26"/>
      <c r="C787" s="40"/>
      <c r="D787" s="40"/>
      <c r="E787" s="40"/>
      <c r="F787" s="40"/>
      <c r="G787" s="40"/>
      <c r="H787" s="40"/>
      <c r="I787" s="53"/>
      <c r="J787" s="53"/>
      <c r="K787" s="53"/>
      <c r="L787" s="53"/>
      <c r="M787" s="53"/>
      <c r="N787" s="53"/>
      <c r="O787" s="53"/>
      <c r="P787" s="53"/>
      <c r="Q787" s="52"/>
    </row>
    <row r="788">
      <c r="B788" s="26"/>
      <c r="C788" s="40"/>
      <c r="D788" s="40"/>
      <c r="E788" s="40"/>
      <c r="F788" s="40"/>
      <c r="G788" s="40"/>
      <c r="H788" s="40"/>
      <c r="I788" s="53"/>
      <c r="J788" s="53"/>
      <c r="K788" s="53"/>
      <c r="L788" s="53"/>
      <c r="M788" s="53"/>
      <c r="N788" s="53"/>
      <c r="O788" s="53"/>
      <c r="P788" s="53"/>
      <c r="Q788" s="52"/>
    </row>
    <row r="789">
      <c r="B789" s="26"/>
      <c r="C789" s="40"/>
      <c r="D789" s="40"/>
      <c r="E789" s="40"/>
      <c r="F789" s="40"/>
      <c r="G789" s="40"/>
      <c r="H789" s="40"/>
      <c r="I789" s="53"/>
      <c r="J789" s="53"/>
      <c r="K789" s="53"/>
      <c r="L789" s="53"/>
      <c r="M789" s="53"/>
      <c r="N789" s="53"/>
      <c r="O789" s="53"/>
      <c r="P789" s="53"/>
      <c r="Q789" s="52"/>
    </row>
    <row r="790">
      <c r="B790" s="26"/>
      <c r="C790" s="40"/>
      <c r="D790" s="40"/>
      <c r="E790" s="40"/>
      <c r="F790" s="40"/>
      <c r="G790" s="40"/>
      <c r="H790" s="40"/>
      <c r="I790" s="53"/>
      <c r="J790" s="53"/>
      <c r="K790" s="53"/>
      <c r="L790" s="53"/>
      <c r="M790" s="53"/>
      <c r="N790" s="53"/>
      <c r="O790" s="53"/>
      <c r="P790" s="53"/>
      <c r="Q790" s="52"/>
    </row>
    <row r="791">
      <c r="B791" s="26"/>
      <c r="C791" s="40"/>
      <c r="D791" s="40"/>
      <c r="E791" s="40"/>
      <c r="F791" s="40"/>
      <c r="G791" s="40"/>
      <c r="H791" s="40"/>
      <c r="I791" s="53"/>
      <c r="J791" s="53"/>
      <c r="K791" s="53"/>
      <c r="L791" s="53"/>
      <c r="M791" s="53"/>
      <c r="N791" s="53"/>
      <c r="O791" s="53"/>
      <c r="P791" s="53"/>
      <c r="Q791" s="52"/>
    </row>
    <row r="792">
      <c r="B792" s="26"/>
      <c r="C792" s="40"/>
      <c r="D792" s="40"/>
      <c r="E792" s="40"/>
      <c r="F792" s="40"/>
      <c r="G792" s="40"/>
      <c r="H792" s="40"/>
      <c r="I792" s="53"/>
      <c r="J792" s="53"/>
      <c r="K792" s="53"/>
      <c r="L792" s="53"/>
      <c r="M792" s="53"/>
      <c r="N792" s="53"/>
      <c r="O792" s="53"/>
      <c r="P792" s="53"/>
      <c r="Q792" s="52"/>
    </row>
    <row r="793">
      <c r="B793" s="26"/>
      <c r="C793" s="40"/>
      <c r="D793" s="40"/>
      <c r="E793" s="40"/>
      <c r="F793" s="40"/>
      <c r="G793" s="40"/>
      <c r="H793" s="40"/>
      <c r="I793" s="53"/>
      <c r="J793" s="53"/>
      <c r="K793" s="53"/>
      <c r="L793" s="53"/>
      <c r="M793" s="53"/>
      <c r="N793" s="53"/>
      <c r="O793" s="53"/>
      <c r="P793" s="53"/>
      <c r="Q793" s="52"/>
    </row>
    <row r="794">
      <c r="B794" s="26"/>
      <c r="C794" s="40"/>
      <c r="D794" s="40"/>
      <c r="E794" s="40"/>
      <c r="F794" s="40"/>
      <c r="G794" s="40"/>
      <c r="H794" s="40"/>
      <c r="I794" s="53"/>
      <c r="J794" s="53"/>
      <c r="K794" s="53"/>
      <c r="L794" s="53"/>
      <c r="M794" s="53"/>
      <c r="N794" s="53"/>
      <c r="O794" s="53"/>
      <c r="P794" s="53"/>
      <c r="Q794" s="52"/>
    </row>
    <row r="795">
      <c r="B795" s="26"/>
      <c r="C795" s="40"/>
      <c r="D795" s="40"/>
      <c r="E795" s="40"/>
      <c r="F795" s="40"/>
      <c r="G795" s="40"/>
      <c r="H795" s="40"/>
      <c r="I795" s="53"/>
      <c r="J795" s="53"/>
      <c r="K795" s="53"/>
      <c r="L795" s="53"/>
      <c r="M795" s="53"/>
      <c r="N795" s="53"/>
      <c r="O795" s="53"/>
      <c r="P795" s="53"/>
      <c r="Q795" s="52"/>
    </row>
    <row r="796">
      <c r="B796" s="26"/>
      <c r="C796" s="40"/>
      <c r="D796" s="40"/>
      <c r="E796" s="40"/>
      <c r="F796" s="40"/>
      <c r="G796" s="40"/>
      <c r="H796" s="40"/>
      <c r="I796" s="53"/>
      <c r="J796" s="53"/>
      <c r="K796" s="53"/>
      <c r="L796" s="53"/>
      <c r="M796" s="53"/>
      <c r="N796" s="53"/>
      <c r="O796" s="53"/>
      <c r="P796" s="53"/>
      <c r="Q796" s="52"/>
    </row>
    <row r="797">
      <c r="B797" s="26"/>
      <c r="C797" s="40"/>
      <c r="D797" s="40"/>
      <c r="E797" s="40"/>
      <c r="F797" s="40"/>
      <c r="G797" s="40"/>
      <c r="H797" s="40"/>
      <c r="I797" s="53"/>
      <c r="J797" s="53"/>
      <c r="K797" s="53"/>
      <c r="L797" s="53"/>
      <c r="M797" s="53"/>
      <c r="N797" s="53"/>
      <c r="O797" s="53"/>
      <c r="P797" s="53"/>
      <c r="Q797" s="52"/>
    </row>
    <row r="798">
      <c r="B798" s="26"/>
      <c r="C798" s="40"/>
      <c r="D798" s="40"/>
      <c r="E798" s="40"/>
      <c r="F798" s="40"/>
      <c r="G798" s="40"/>
      <c r="H798" s="40"/>
      <c r="I798" s="53"/>
      <c r="J798" s="53"/>
      <c r="K798" s="53"/>
      <c r="L798" s="53"/>
      <c r="M798" s="53"/>
      <c r="N798" s="53"/>
      <c r="O798" s="53"/>
      <c r="P798" s="53"/>
      <c r="Q798" s="52"/>
    </row>
    <row r="799">
      <c r="B799" s="26"/>
      <c r="C799" s="40"/>
      <c r="D799" s="40"/>
      <c r="E799" s="40"/>
      <c r="F799" s="40"/>
      <c r="G799" s="40"/>
      <c r="H799" s="40"/>
      <c r="I799" s="53"/>
      <c r="J799" s="53"/>
      <c r="K799" s="53"/>
      <c r="L799" s="53"/>
      <c r="M799" s="53"/>
      <c r="N799" s="53"/>
      <c r="O799" s="53"/>
      <c r="P799" s="53"/>
      <c r="Q799" s="52"/>
    </row>
    <row r="800">
      <c r="B800" s="26"/>
      <c r="C800" s="40"/>
      <c r="D800" s="40"/>
      <c r="E800" s="40"/>
      <c r="F800" s="40"/>
      <c r="G800" s="40"/>
      <c r="H800" s="40"/>
      <c r="I800" s="53"/>
      <c r="J800" s="53"/>
      <c r="K800" s="53"/>
      <c r="L800" s="53"/>
      <c r="M800" s="53"/>
      <c r="N800" s="53"/>
      <c r="O800" s="53"/>
      <c r="P800" s="53"/>
      <c r="Q800" s="52"/>
    </row>
    <row r="801">
      <c r="B801" s="26"/>
      <c r="C801" s="40"/>
      <c r="D801" s="40"/>
      <c r="E801" s="40"/>
      <c r="F801" s="40"/>
      <c r="G801" s="40"/>
      <c r="H801" s="40"/>
      <c r="I801" s="53"/>
      <c r="J801" s="53"/>
      <c r="K801" s="53"/>
      <c r="L801" s="53"/>
      <c r="M801" s="53"/>
      <c r="N801" s="53"/>
      <c r="O801" s="53"/>
      <c r="P801" s="53"/>
      <c r="Q801" s="52"/>
    </row>
    <row r="802">
      <c r="B802" s="26"/>
      <c r="C802" s="40"/>
      <c r="D802" s="40"/>
      <c r="E802" s="40"/>
      <c r="F802" s="40"/>
      <c r="G802" s="40"/>
      <c r="H802" s="40"/>
      <c r="I802" s="53"/>
      <c r="J802" s="53"/>
      <c r="K802" s="53"/>
      <c r="L802" s="53"/>
      <c r="M802" s="53"/>
      <c r="N802" s="53"/>
      <c r="O802" s="53"/>
      <c r="P802" s="53"/>
      <c r="Q802" s="52"/>
    </row>
    <row r="803">
      <c r="B803" s="26"/>
      <c r="C803" s="40"/>
      <c r="D803" s="40"/>
      <c r="E803" s="40"/>
      <c r="F803" s="40"/>
      <c r="G803" s="40"/>
      <c r="H803" s="40"/>
      <c r="I803" s="53"/>
      <c r="J803" s="53"/>
      <c r="K803" s="53"/>
      <c r="L803" s="53"/>
      <c r="M803" s="53"/>
      <c r="N803" s="53"/>
      <c r="O803" s="53"/>
      <c r="P803" s="53"/>
      <c r="Q803" s="52"/>
    </row>
    <row r="804">
      <c r="B804" s="26"/>
      <c r="C804" s="40"/>
      <c r="D804" s="40"/>
      <c r="E804" s="40"/>
      <c r="F804" s="40"/>
      <c r="G804" s="40"/>
      <c r="H804" s="40"/>
      <c r="I804" s="53"/>
      <c r="J804" s="53"/>
      <c r="K804" s="53"/>
      <c r="L804" s="53"/>
      <c r="M804" s="53"/>
      <c r="N804" s="53"/>
      <c r="O804" s="53"/>
      <c r="P804" s="53"/>
      <c r="Q804" s="52"/>
    </row>
    <row r="805">
      <c r="B805" s="26"/>
      <c r="C805" s="40"/>
      <c r="D805" s="40"/>
      <c r="E805" s="40"/>
      <c r="F805" s="40"/>
      <c r="G805" s="40"/>
      <c r="H805" s="40"/>
      <c r="I805" s="53"/>
      <c r="J805" s="53"/>
      <c r="K805" s="53"/>
      <c r="L805" s="53"/>
      <c r="M805" s="53"/>
      <c r="N805" s="53"/>
      <c r="O805" s="53"/>
      <c r="P805" s="53"/>
      <c r="Q805" s="52"/>
    </row>
    <row r="806">
      <c r="B806" s="26"/>
      <c r="C806" s="40"/>
      <c r="D806" s="40"/>
      <c r="E806" s="40"/>
      <c r="F806" s="40"/>
      <c r="G806" s="40"/>
      <c r="H806" s="40"/>
      <c r="I806" s="53"/>
      <c r="J806" s="53"/>
      <c r="K806" s="53"/>
      <c r="L806" s="53"/>
      <c r="M806" s="53"/>
      <c r="N806" s="53"/>
      <c r="O806" s="53"/>
      <c r="P806" s="53"/>
      <c r="Q806" s="52"/>
    </row>
    <row r="807">
      <c r="B807" s="26"/>
      <c r="C807" s="40"/>
      <c r="D807" s="40"/>
      <c r="E807" s="40"/>
      <c r="F807" s="40"/>
      <c r="G807" s="40"/>
      <c r="H807" s="40"/>
      <c r="I807" s="53"/>
      <c r="J807" s="53"/>
      <c r="K807" s="53"/>
      <c r="L807" s="53"/>
      <c r="M807" s="53"/>
      <c r="N807" s="53"/>
      <c r="O807" s="53"/>
      <c r="P807" s="53"/>
      <c r="Q807" s="52"/>
    </row>
    <row r="808">
      <c r="B808" s="26"/>
      <c r="C808" s="40"/>
      <c r="D808" s="40"/>
      <c r="E808" s="40"/>
      <c r="F808" s="40"/>
      <c r="G808" s="40"/>
      <c r="H808" s="40"/>
      <c r="I808" s="53"/>
      <c r="J808" s="53"/>
      <c r="K808" s="53"/>
      <c r="L808" s="53"/>
      <c r="M808" s="53"/>
      <c r="N808" s="53"/>
      <c r="O808" s="53"/>
      <c r="P808" s="53"/>
      <c r="Q808" s="52"/>
    </row>
    <row r="809">
      <c r="B809" s="26"/>
      <c r="C809" s="40"/>
      <c r="D809" s="40"/>
      <c r="E809" s="40"/>
      <c r="F809" s="40"/>
      <c r="G809" s="40"/>
      <c r="H809" s="40"/>
      <c r="I809" s="53"/>
      <c r="J809" s="53"/>
      <c r="K809" s="53"/>
      <c r="L809" s="53"/>
      <c r="M809" s="53"/>
      <c r="N809" s="53"/>
      <c r="O809" s="53"/>
      <c r="P809" s="53"/>
      <c r="Q809" s="52"/>
    </row>
    <row r="810">
      <c r="B810" s="26"/>
      <c r="C810" s="40"/>
      <c r="D810" s="40"/>
      <c r="E810" s="40"/>
      <c r="F810" s="40"/>
      <c r="G810" s="40"/>
      <c r="H810" s="40"/>
      <c r="I810" s="53"/>
      <c r="J810" s="53"/>
      <c r="K810" s="53"/>
      <c r="L810" s="53"/>
      <c r="M810" s="53"/>
      <c r="N810" s="53"/>
      <c r="O810" s="53"/>
      <c r="P810" s="53"/>
      <c r="Q810" s="52"/>
    </row>
    <row r="811">
      <c r="B811" s="26"/>
      <c r="C811" s="40"/>
      <c r="D811" s="40"/>
      <c r="E811" s="40"/>
      <c r="F811" s="40"/>
      <c r="G811" s="40"/>
      <c r="H811" s="40"/>
      <c r="I811" s="53"/>
      <c r="J811" s="53"/>
      <c r="K811" s="53"/>
      <c r="L811" s="53"/>
      <c r="M811" s="53"/>
      <c r="N811" s="53"/>
      <c r="O811" s="53"/>
      <c r="P811" s="53"/>
      <c r="Q811" s="52"/>
    </row>
    <row r="812">
      <c r="B812" s="26"/>
      <c r="C812" s="40"/>
      <c r="D812" s="40"/>
      <c r="E812" s="40"/>
      <c r="F812" s="40"/>
      <c r="G812" s="40"/>
      <c r="H812" s="40"/>
      <c r="I812" s="53"/>
      <c r="J812" s="53"/>
      <c r="K812" s="53"/>
      <c r="L812" s="53"/>
      <c r="M812" s="53"/>
      <c r="N812" s="53"/>
      <c r="O812" s="53"/>
      <c r="P812" s="53"/>
      <c r="Q812" s="52"/>
    </row>
    <row r="813">
      <c r="B813" s="26"/>
      <c r="C813" s="40"/>
      <c r="D813" s="40"/>
      <c r="E813" s="40"/>
      <c r="F813" s="40"/>
      <c r="G813" s="40"/>
      <c r="H813" s="40"/>
      <c r="I813" s="53"/>
      <c r="J813" s="53"/>
      <c r="K813" s="53"/>
      <c r="L813" s="53"/>
      <c r="M813" s="53"/>
      <c r="N813" s="53"/>
      <c r="O813" s="53"/>
      <c r="P813" s="53"/>
      <c r="Q813" s="52"/>
    </row>
    <row r="814">
      <c r="B814" s="26"/>
      <c r="C814" s="40"/>
      <c r="D814" s="40"/>
      <c r="E814" s="40"/>
      <c r="F814" s="40"/>
      <c r="G814" s="40"/>
      <c r="H814" s="40"/>
      <c r="I814" s="53"/>
      <c r="J814" s="53"/>
      <c r="K814" s="53"/>
      <c r="L814" s="53"/>
      <c r="M814" s="53"/>
      <c r="N814" s="53"/>
      <c r="O814" s="53"/>
      <c r="P814" s="53"/>
      <c r="Q814" s="52"/>
    </row>
    <row r="815">
      <c r="B815" s="26"/>
      <c r="C815" s="40"/>
      <c r="D815" s="40"/>
      <c r="E815" s="40"/>
      <c r="F815" s="40"/>
      <c r="G815" s="40"/>
      <c r="H815" s="40"/>
      <c r="I815" s="53"/>
      <c r="J815" s="53"/>
      <c r="K815" s="53"/>
      <c r="L815" s="53"/>
      <c r="M815" s="53"/>
      <c r="N815" s="53"/>
      <c r="O815" s="53"/>
      <c r="P815" s="53"/>
      <c r="Q815" s="52"/>
    </row>
    <row r="816">
      <c r="B816" s="26"/>
      <c r="C816" s="40"/>
      <c r="D816" s="40"/>
      <c r="E816" s="40"/>
      <c r="F816" s="40"/>
      <c r="G816" s="40"/>
      <c r="H816" s="40"/>
      <c r="I816" s="53"/>
      <c r="J816" s="53"/>
      <c r="K816" s="53"/>
      <c r="L816" s="53"/>
      <c r="M816" s="53"/>
      <c r="N816" s="53"/>
      <c r="O816" s="53"/>
      <c r="P816" s="53"/>
      <c r="Q816" s="52"/>
    </row>
    <row r="817">
      <c r="B817" s="26"/>
      <c r="C817" s="40"/>
      <c r="D817" s="40"/>
      <c r="E817" s="40"/>
      <c r="F817" s="40"/>
      <c r="G817" s="40"/>
      <c r="H817" s="40"/>
      <c r="I817" s="53"/>
      <c r="J817" s="53"/>
      <c r="K817" s="53"/>
      <c r="L817" s="53"/>
      <c r="M817" s="53"/>
      <c r="N817" s="53"/>
      <c r="O817" s="53"/>
      <c r="P817" s="53"/>
      <c r="Q817" s="52"/>
    </row>
    <row r="818">
      <c r="B818" s="26"/>
      <c r="C818" s="40"/>
      <c r="D818" s="40"/>
      <c r="E818" s="40"/>
      <c r="F818" s="40"/>
      <c r="G818" s="40"/>
      <c r="H818" s="40"/>
      <c r="I818" s="53"/>
      <c r="J818" s="53"/>
      <c r="K818" s="53"/>
      <c r="L818" s="53"/>
      <c r="M818" s="53"/>
      <c r="N818" s="53"/>
      <c r="O818" s="53"/>
      <c r="P818" s="53"/>
      <c r="Q818" s="52"/>
    </row>
    <row r="819">
      <c r="B819" s="26"/>
      <c r="C819" s="40"/>
      <c r="D819" s="40"/>
      <c r="E819" s="40"/>
      <c r="F819" s="40"/>
      <c r="G819" s="40"/>
      <c r="H819" s="40"/>
      <c r="I819" s="53"/>
      <c r="J819" s="53"/>
      <c r="K819" s="53"/>
      <c r="L819" s="53"/>
      <c r="M819" s="53"/>
      <c r="N819" s="53"/>
      <c r="O819" s="53"/>
      <c r="P819" s="53"/>
      <c r="Q819" s="52"/>
    </row>
    <row r="820">
      <c r="B820" s="26"/>
      <c r="C820" s="40"/>
      <c r="D820" s="40"/>
      <c r="E820" s="40"/>
      <c r="F820" s="40"/>
      <c r="G820" s="40"/>
      <c r="H820" s="40"/>
      <c r="I820" s="53"/>
      <c r="J820" s="53"/>
      <c r="K820" s="53"/>
      <c r="L820" s="53"/>
      <c r="M820" s="53"/>
      <c r="N820" s="53"/>
      <c r="O820" s="53"/>
      <c r="P820" s="53"/>
      <c r="Q820" s="52"/>
    </row>
    <row r="821">
      <c r="B821" s="26"/>
      <c r="C821" s="40"/>
      <c r="D821" s="40"/>
      <c r="E821" s="40"/>
      <c r="F821" s="40"/>
      <c r="G821" s="40"/>
      <c r="H821" s="40"/>
      <c r="I821" s="53"/>
      <c r="J821" s="53"/>
      <c r="K821" s="53"/>
      <c r="L821" s="53"/>
      <c r="M821" s="53"/>
      <c r="N821" s="53"/>
      <c r="O821" s="53"/>
      <c r="P821" s="53"/>
      <c r="Q821" s="52"/>
    </row>
    <row r="822">
      <c r="B822" s="26"/>
      <c r="C822" s="40"/>
      <c r="D822" s="40"/>
      <c r="E822" s="40"/>
      <c r="F822" s="40"/>
      <c r="G822" s="40"/>
      <c r="H822" s="40"/>
      <c r="I822" s="53"/>
      <c r="J822" s="53"/>
      <c r="K822" s="53"/>
      <c r="L822" s="53"/>
      <c r="M822" s="53"/>
      <c r="N822" s="53"/>
      <c r="O822" s="53"/>
      <c r="P822" s="53"/>
      <c r="Q822" s="52"/>
    </row>
    <row r="823">
      <c r="B823" s="26"/>
      <c r="C823" s="40"/>
      <c r="D823" s="40"/>
      <c r="E823" s="40"/>
      <c r="F823" s="40"/>
      <c r="G823" s="40"/>
      <c r="H823" s="40"/>
      <c r="I823" s="53"/>
      <c r="J823" s="53"/>
      <c r="K823" s="53"/>
      <c r="L823" s="53"/>
      <c r="M823" s="53"/>
      <c r="N823" s="53"/>
      <c r="O823" s="53"/>
      <c r="P823" s="53"/>
      <c r="Q823" s="52"/>
    </row>
    <row r="824">
      <c r="B824" s="26"/>
      <c r="C824" s="40"/>
      <c r="D824" s="40"/>
      <c r="E824" s="40"/>
      <c r="F824" s="40"/>
      <c r="G824" s="40"/>
      <c r="H824" s="40"/>
      <c r="I824" s="53"/>
      <c r="J824" s="53"/>
      <c r="K824" s="53"/>
      <c r="L824" s="53"/>
      <c r="M824" s="53"/>
      <c r="N824" s="53"/>
      <c r="O824" s="53"/>
      <c r="P824" s="53"/>
      <c r="Q824" s="52"/>
    </row>
    <row r="825">
      <c r="B825" s="26"/>
      <c r="C825" s="40"/>
      <c r="D825" s="40"/>
      <c r="E825" s="40"/>
      <c r="F825" s="40"/>
      <c r="G825" s="40"/>
      <c r="H825" s="40"/>
      <c r="I825" s="53"/>
      <c r="J825" s="53"/>
      <c r="K825" s="53"/>
      <c r="L825" s="53"/>
      <c r="M825" s="53"/>
      <c r="N825" s="53"/>
      <c r="O825" s="53"/>
      <c r="P825" s="53"/>
      <c r="Q825" s="52"/>
    </row>
    <row r="826">
      <c r="B826" s="26"/>
      <c r="C826" s="40"/>
      <c r="D826" s="40"/>
      <c r="E826" s="40"/>
      <c r="F826" s="40"/>
      <c r="G826" s="40"/>
      <c r="H826" s="40"/>
      <c r="I826" s="53"/>
      <c r="J826" s="53"/>
      <c r="K826" s="53"/>
      <c r="L826" s="53"/>
      <c r="M826" s="53"/>
      <c r="N826" s="53"/>
      <c r="O826" s="53"/>
      <c r="P826" s="53"/>
      <c r="Q826" s="52"/>
    </row>
    <row r="827">
      <c r="B827" s="26"/>
      <c r="C827" s="40"/>
      <c r="D827" s="40"/>
      <c r="E827" s="40"/>
      <c r="F827" s="40"/>
      <c r="G827" s="40"/>
      <c r="H827" s="40"/>
      <c r="I827" s="53"/>
      <c r="J827" s="53"/>
      <c r="K827" s="53"/>
      <c r="L827" s="53"/>
      <c r="M827" s="53"/>
      <c r="N827" s="53"/>
      <c r="O827" s="53"/>
      <c r="P827" s="53"/>
      <c r="Q827" s="52"/>
    </row>
    <row r="828">
      <c r="B828" s="26"/>
      <c r="C828" s="40"/>
      <c r="D828" s="40"/>
      <c r="E828" s="40"/>
      <c r="F828" s="40"/>
      <c r="G828" s="40"/>
      <c r="H828" s="40"/>
      <c r="I828" s="53"/>
      <c r="J828" s="53"/>
      <c r="K828" s="53"/>
      <c r="L828" s="53"/>
      <c r="M828" s="53"/>
      <c r="N828" s="53"/>
      <c r="O828" s="53"/>
      <c r="P828" s="53"/>
      <c r="Q828" s="52"/>
    </row>
    <row r="829">
      <c r="B829" s="26"/>
      <c r="C829" s="40"/>
      <c r="D829" s="40"/>
      <c r="E829" s="40"/>
      <c r="F829" s="40"/>
      <c r="G829" s="40"/>
      <c r="H829" s="40"/>
      <c r="I829" s="53"/>
      <c r="J829" s="53"/>
      <c r="K829" s="53"/>
      <c r="L829" s="53"/>
      <c r="M829" s="53"/>
      <c r="N829" s="53"/>
      <c r="O829" s="53"/>
      <c r="P829" s="53"/>
      <c r="Q829" s="52"/>
    </row>
    <row r="830">
      <c r="B830" s="26"/>
      <c r="C830" s="40"/>
      <c r="D830" s="40"/>
      <c r="E830" s="40"/>
      <c r="F830" s="40"/>
      <c r="G830" s="40"/>
      <c r="H830" s="40"/>
      <c r="I830" s="53"/>
      <c r="J830" s="53"/>
      <c r="K830" s="53"/>
      <c r="L830" s="53"/>
      <c r="M830" s="53"/>
      <c r="N830" s="53"/>
      <c r="O830" s="53"/>
      <c r="P830" s="53"/>
      <c r="Q830" s="52"/>
    </row>
    <row r="831">
      <c r="B831" s="26"/>
      <c r="C831" s="40"/>
      <c r="D831" s="40"/>
      <c r="E831" s="40"/>
      <c r="F831" s="40"/>
      <c r="G831" s="40"/>
      <c r="H831" s="40"/>
      <c r="I831" s="53"/>
      <c r="J831" s="53"/>
      <c r="K831" s="53"/>
      <c r="L831" s="53"/>
      <c r="M831" s="53"/>
      <c r="N831" s="53"/>
      <c r="O831" s="53"/>
      <c r="P831" s="53"/>
      <c r="Q831" s="52"/>
    </row>
    <row r="832">
      <c r="B832" s="26"/>
      <c r="C832" s="40"/>
      <c r="D832" s="40"/>
      <c r="E832" s="40"/>
      <c r="F832" s="40"/>
      <c r="G832" s="40"/>
      <c r="H832" s="40"/>
      <c r="I832" s="53"/>
      <c r="J832" s="53"/>
      <c r="K832" s="53"/>
      <c r="L832" s="53"/>
      <c r="M832" s="53"/>
      <c r="N832" s="53"/>
      <c r="O832" s="53"/>
      <c r="P832" s="53"/>
      <c r="Q832" s="52"/>
    </row>
    <row r="833">
      <c r="B833" s="26"/>
      <c r="C833" s="40"/>
      <c r="D833" s="40"/>
      <c r="E833" s="40"/>
      <c r="F833" s="40"/>
      <c r="G833" s="40"/>
      <c r="H833" s="40"/>
      <c r="I833" s="53"/>
      <c r="J833" s="53"/>
      <c r="K833" s="53"/>
      <c r="L833" s="53"/>
      <c r="M833" s="53"/>
      <c r="N833" s="53"/>
      <c r="O833" s="53"/>
      <c r="P833" s="53"/>
      <c r="Q833" s="52"/>
    </row>
    <row r="834">
      <c r="B834" s="26"/>
      <c r="C834" s="40"/>
      <c r="D834" s="40"/>
      <c r="E834" s="40"/>
      <c r="F834" s="40"/>
      <c r="G834" s="40"/>
      <c r="H834" s="40"/>
      <c r="I834" s="53"/>
      <c r="J834" s="53"/>
      <c r="K834" s="53"/>
      <c r="L834" s="53"/>
      <c r="M834" s="53"/>
      <c r="N834" s="53"/>
      <c r="O834" s="53"/>
      <c r="P834" s="53"/>
      <c r="Q834" s="52"/>
    </row>
    <row r="835">
      <c r="B835" s="26"/>
      <c r="C835" s="40"/>
      <c r="D835" s="40"/>
      <c r="E835" s="40"/>
      <c r="F835" s="40"/>
      <c r="G835" s="40"/>
      <c r="H835" s="40"/>
      <c r="I835" s="53"/>
      <c r="J835" s="53"/>
      <c r="K835" s="53"/>
      <c r="L835" s="53"/>
      <c r="M835" s="53"/>
      <c r="N835" s="53"/>
      <c r="O835" s="53"/>
      <c r="P835" s="53"/>
      <c r="Q835" s="52"/>
    </row>
    <row r="836">
      <c r="B836" s="26"/>
      <c r="C836" s="40"/>
      <c r="D836" s="40"/>
      <c r="E836" s="40"/>
      <c r="F836" s="40"/>
      <c r="G836" s="40"/>
      <c r="H836" s="40"/>
      <c r="I836" s="53"/>
      <c r="J836" s="53"/>
      <c r="K836" s="53"/>
      <c r="L836" s="53"/>
      <c r="M836" s="53"/>
      <c r="N836" s="53"/>
      <c r="O836" s="53"/>
      <c r="P836" s="53"/>
      <c r="Q836" s="52"/>
    </row>
    <row r="837">
      <c r="B837" s="26"/>
      <c r="C837" s="40"/>
      <c r="D837" s="40"/>
      <c r="E837" s="40"/>
      <c r="F837" s="40"/>
      <c r="G837" s="40"/>
      <c r="H837" s="40"/>
      <c r="I837" s="53"/>
      <c r="J837" s="53"/>
      <c r="K837" s="53"/>
      <c r="L837" s="53"/>
      <c r="M837" s="53"/>
      <c r="N837" s="53"/>
      <c r="O837" s="53"/>
      <c r="P837" s="53"/>
      <c r="Q837" s="52"/>
    </row>
    <row r="838">
      <c r="B838" s="26"/>
      <c r="C838" s="40"/>
      <c r="D838" s="40"/>
      <c r="E838" s="40"/>
      <c r="F838" s="40"/>
      <c r="G838" s="40"/>
      <c r="H838" s="40"/>
      <c r="I838" s="53"/>
      <c r="J838" s="53"/>
      <c r="K838" s="53"/>
      <c r="L838" s="53"/>
      <c r="M838" s="53"/>
      <c r="N838" s="53"/>
      <c r="O838" s="53"/>
      <c r="P838" s="53"/>
      <c r="Q838" s="52"/>
    </row>
    <row r="839">
      <c r="B839" s="26"/>
      <c r="C839" s="40"/>
      <c r="D839" s="40"/>
      <c r="E839" s="40"/>
      <c r="F839" s="40"/>
      <c r="G839" s="40"/>
      <c r="H839" s="40"/>
      <c r="I839" s="53"/>
      <c r="J839" s="53"/>
      <c r="K839" s="53"/>
      <c r="L839" s="53"/>
      <c r="M839" s="53"/>
      <c r="N839" s="53"/>
      <c r="O839" s="53"/>
      <c r="P839" s="53"/>
      <c r="Q839" s="52"/>
    </row>
    <row r="840">
      <c r="B840" s="26"/>
      <c r="C840" s="40"/>
      <c r="D840" s="40"/>
      <c r="E840" s="40"/>
      <c r="F840" s="40"/>
      <c r="G840" s="40"/>
      <c r="H840" s="40"/>
      <c r="I840" s="53"/>
      <c r="J840" s="53"/>
      <c r="K840" s="53"/>
      <c r="L840" s="53"/>
      <c r="M840" s="53"/>
      <c r="N840" s="53"/>
      <c r="O840" s="53"/>
      <c r="P840" s="53"/>
      <c r="Q840" s="52"/>
    </row>
    <row r="841">
      <c r="B841" s="26"/>
      <c r="C841" s="40"/>
      <c r="D841" s="40"/>
      <c r="E841" s="40"/>
      <c r="F841" s="40"/>
      <c r="G841" s="40"/>
      <c r="H841" s="40"/>
      <c r="I841" s="53"/>
      <c r="J841" s="53"/>
      <c r="K841" s="53"/>
      <c r="L841" s="53"/>
      <c r="M841" s="53"/>
      <c r="N841" s="53"/>
      <c r="O841" s="53"/>
      <c r="P841" s="53"/>
      <c r="Q841" s="52"/>
    </row>
    <row r="842">
      <c r="B842" s="26"/>
      <c r="C842" s="40"/>
      <c r="D842" s="40"/>
      <c r="E842" s="40"/>
      <c r="F842" s="40"/>
      <c r="G842" s="40"/>
      <c r="H842" s="40"/>
      <c r="I842" s="53"/>
      <c r="J842" s="53"/>
      <c r="K842" s="53"/>
      <c r="L842" s="53"/>
      <c r="M842" s="53"/>
      <c r="N842" s="53"/>
      <c r="O842" s="53"/>
      <c r="P842" s="53"/>
      <c r="Q842" s="52"/>
    </row>
    <row r="843">
      <c r="B843" s="26"/>
      <c r="C843" s="40"/>
      <c r="D843" s="40"/>
      <c r="E843" s="40"/>
      <c r="F843" s="40"/>
      <c r="G843" s="40"/>
      <c r="H843" s="40"/>
      <c r="I843" s="53"/>
      <c r="J843" s="53"/>
      <c r="K843" s="53"/>
      <c r="L843" s="53"/>
      <c r="M843" s="53"/>
      <c r="N843" s="53"/>
      <c r="O843" s="53"/>
      <c r="P843" s="53"/>
      <c r="Q843" s="52"/>
    </row>
    <row r="844">
      <c r="B844" s="26"/>
      <c r="C844" s="40"/>
      <c r="D844" s="40"/>
      <c r="E844" s="40"/>
      <c r="F844" s="40"/>
      <c r="G844" s="40"/>
      <c r="H844" s="40"/>
      <c r="I844" s="53"/>
      <c r="J844" s="53"/>
      <c r="K844" s="53"/>
      <c r="L844" s="53"/>
      <c r="M844" s="53"/>
      <c r="N844" s="53"/>
      <c r="O844" s="53"/>
      <c r="P844" s="53"/>
      <c r="Q844" s="52"/>
    </row>
    <row r="845">
      <c r="B845" s="26"/>
      <c r="C845" s="40"/>
      <c r="D845" s="40"/>
      <c r="E845" s="40"/>
      <c r="F845" s="40"/>
      <c r="G845" s="40"/>
      <c r="H845" s="40"/>
      <c r="I845" s="53"/>
      <c r="J845" s="53"/>
      <c r="K845" s="53"/>
      <c r="L845" s="53"/>
      <c r="M845" s="53"/>
      <c r="N845" s="53"/>
      <c r="O845" s="53"/>
      <c r="P845" s="53"/>
      <c r="Q845" s="52"/>
    </row>
    <row r="846">
      <c r="B846" s="26"/>
      <c r="C846" s="40"/>
      <c r="D846" s="40"/>
      <c r="E846" s="40"/>
      <c r="F846" s="40"/>
      <c r="G846" s="40"/>
      <c r="H846" s="40"/>
      <c r="I846" s="53"/>
      <c r="J846" s="53"/>
      <c r="K846" s="53"/>
      <c r="L846" s="53"/>
      <c r="M846" s="53"/>
      <c r="N846" s="53"/>
      <c r="O846" s="53"/>
      <c r="P846" s="53"/>
      <c r="Q846" s="52"/>
    </row>
    <row r="847">
      <c r="B847" s="26"/>
      <c r="C847" s="40"/>
      <c r="D847" s="40"/>
      <c r="E847" s="40"/>
      <c r="F847" s="40"/>
      <c r="G847" s="40"/>
      <c r="H847" s="40"/>
      <c r="I847" s="53"/>
      <c r="J847" s="53"/>
      <c r="K847" s="53"/>
      <c r="L847" s="53"/>
      <c r="M847" s="53"/>
      <c r="N847" s="53"/>
      <c r="O847" s="53"/>
      <c r="P847" s="53"/>
      <c r="Q847" s="52"/>
    </row>
    <row r="848">
      <c r="B848" s="26"/>
      <c r="C848" s="40"/>
      <c r="D848" s="40"/>
      <c r="E848" s="40"/>
      <c r="F848" s="40"/>
      <c r="G848" s="40"/>
      <c r="H848" s="40"/>
      <c r="I848" s="53"/>
      <c r="J848" s="53"/>
      <c r="K848" s="53"/>
      <c r="L848" s="53"/>
      <c r="M848" s="53"/>
      <c r="N848" s="53"/>
      <c r="O848" s="53"/>
      <c r="P848" s="53"/>
      <c r="Q848" s="52"/>
    </row>
    <row r="849">
      <c r="B849" s="26"/>
      <c r="C849" s="40"/>
      <c r="D849" s="40"/>
      <c r="E849" s="40"/>
      <c r="F849" s="40"/>
      <c r="G849" s="40"/>
      <c r="H849" s="40"/>
      <c r="I849" s="53"/>
      <c r="J849" s="53"/>
      <c r="K849" s="53"/>
      <c r="L849" s="53"/>
      <c r="M849" s="53"/>
      <c r="N849" s="53"/>
      <c r="O849" s="53"/>
      <c r="P849" s="53"/>
      <c r="Q849" s="52"/>
    </row>
    <row r="850">
      <c r="B850" s="26"/>
      <c r="C850" s="40"/>
      <c r="D850" s="40"/>
      <c r="E850" s="40"/>
      <c r="F850" s="40"/>
      <c r="G850" s="40"/>
      <c r="H850" s="40"/>
      <c r="I850" s="53"/>
      <c r="J850" s="53"/>
      <c r="K850" s="53"/>
      <c r="L850" s="53"/>
      <c r="M850" s="53"/>
      <c r="N850" s="53"/>
      <c r="O850" s="53"/>
      <c r="P850" s="53"/>
      <c r="Q850" s="52"/>
    </row>
    <row r="851">
      <c r="B851" s="26"/>
      <c r="C851" s="40"/>
      <c r="D851" s="40"/>
      <c r="E851" s="40"/>
      <c r="F851" s="40"/>
      <c r="G851" s="40"/>
      <c r="H851" s="40"/>
      <c r="I851" s="53"/>
      <c r="J851" s="53"/>
      <c r="K851" s="53"/>
      <c r="L851" s="53"/>
      <c r="M851" s="53"/>
      <c r="N851" s="53"/>
      <c r="O851" s="53"/>
      <c r="P851" s="53"/>
      <c r="Q851" s="52"/>
    </row>
    <row r="852">
      <c r="B852" s="26"/>
      <c r="C852" s="40"/>
      <c r="D852" s="40"/>
      <c r="E852" s="40"/>
      <c r="F852" s="40"/>
      <c r="G852" s="40"/>
      <c r="H852" s="40"/>
      <c r="I852" s="53"/>
      <c r="J852" s="53"/>
      <c r="K852" s="53"/>
      <c r="L852" s="53"/>
      <c r="M852" s="53"/>
      <c r="N852" s="53"/>
      <c r="O852" s="53"/>
      <c r="P852" s="53"/>
      <c r="Q852" s="52"/>
    </row>
    <row r="853">
      <c r="B853" s="26"/>
      <c r="C853" s="40"/>
      <c r="D853" s="40"/>
      <c r="E853" s="40"/>
      <c r="F853" s="40"/>
      <c r="G853" s="40"/>
      <c r="H853" s="40"/>
      <c r="I853" s="53"/>
      <c r="J853" s="53"/>
      <c r="K853" s="53"/>
      <c r="L853" s="53"/>
      <c r="M853" s="53"/>
      <c r="N853" s="53"/>
      <c r="O853" s="53"/>
      <c r="P853" s="53"/>
      <c r="Q853" s="52"/>
    </row>
    <row r="854">
      <c r="B854" s="26"/>
      <c r="C854" s="40"/>
      <c r="D854" s="40"/>
      <c r="E854" s="40"/>
      <c r="F854" s="40"/>
      <c r="G854" s="40"/>
      <c r="H854" s="40"/>
      <c r="I854" s="53"/>
      <c r="J854" s="53"/>
      <c r="K854" s="53"/>
      <c r="L854" s="53"/>
      <c r="M854" s="53"/>
      <c r="N854" s="53"/>
      <c r="O854" s="53"/>
      <c r="P854" s="53"/>
      <c r="Q854" s="52"/>
    </row>
    <row r="855">
      <c r="B855" s="26"/>
      <c r="C855" s="40"/>
      <c r="D855" s="40"/>
      <c r="E855" s="40"/>
      <c r="F855" s="40"/>
      <c r="G855" s="40"/>
      <c r="H855" s="40"/>
      <c r="I855" s="53"/>
      <c r="J855" s="53"/>
      <c r="K855" s="53"/>
      <c r="L855" s="53"/>
      <c r="M855" s="53"/>
      <c r="N855" s="53"/>
      <c r="O855" s="53"/>
      <c r="P855" s="53"/>
      <c r="Q855" s="52"/>
    </row>
    <row r="856">
      <c r="B856" s="26"/>
      <c r="C856" s="40"/>
      <c r="D856" s="40"/>
      <c r="E856" s="40"/>
      <c r="F856" s="40"/>
      <c r="G856" s="40"/>
      <c r="H856" s="40"/>
      <c r="I856" s="53"/>
      <c r="J856" s="53"/>
      <c r="K856" s="53"/>
      <c r="L856" s="53"/>
      <c r="M856" s="53"/>
      <c r="N856" s="53"/>
      <c r="O856" s="53"/>
      <c r="P856" s="53"/>
      <c r="Q856" s="52"/>
    </row>
    <row r="857">
      <c r="B857" s="26"/>
      <c r="C857" s="40"/>
      <c r="D857" s="40"/>
      <c r="E857" s="40"/>
      <c r="F857" s="40"/>
      <c r="G857" s="40"/>
      <c r="H857" s="40"/>
      <c r="I857" s="53"/>
      <c r="J857" s="53"/>
      <c r="K857" s="53"/>
      <c r="L857" s="53"/>
      <c r="M857" s="53"/>
      <c r="N857" s="53"/>
      <c r="O857" s="53"/>
      <c r="P857" s="53"/>
      <c r="Q857" s="52"/>
    </row>
    <row r="858">
      <c r="B858" s="26"/>
      <c r="C858" s="40"/>
      <c r="D858" s="40"/>
      <c r="E858" s="40"/>
      <c r="F858" s="40"/>
      <c r="G858" s="40"/>
      <c r="H858" s="40"/>
      <c r="I858" s="53"/>
      <c r="J858" s="53"/>
      <c r="K858" s="53"/>
      <c r="L858" s="53"/>
      <c r="M858" s="53"/>
      <c r="N858" s="53"/>
      <c r="O858" s="53"/>
      <c r="P858" s="53"/>
      <c r="Q858" s="52"/>
    </row>
    <row r="859">
      <c r="B859" s="26"/>
      <c r="C859" s="40"/>
      <c r="D859" s="40"/>
      <c r="E859" s="40"/>
      <c r="F859" s="40"/>
      <c r="G859" s="40"/>
      <c r="H859" s="40"/>
      <c r="I859" s="53"/>
      <c r="J859" s="53"/>
      <c r="K859" s="53"/>
      <c r="L859" s="53"/>
      <c r="M859" s="53"/>
      <c r="N859" s="53"/>
      <c r="O859" s="53"/>
      <c r="P859" s="53"/>
      <c r="Q859" s="52"/>
    </row>
    <row r="860">
      <c r="B860" s="26"/>
      <c r="C860" s="40"/>
      <c r="D860" s="40"/>
      <c r="E860" s="40"/>
      <c r="F860" s="40"/>
      <c r="G860" s="40"/>
      <c r="H860" s="40"/>
      <c r="I860" s="53"/>
      <c r="J860" s="53"/>
      <c r="K860" s="53"/>
      <c r="L860" s="53"/>
      <c r="M860" s="53"/>
      <c r="N860" s="53"/>
      <c r="O860" s="53"/>
      <c r="P860" s="53"/>
      <c r="Q860" s="52"/>
    </row>
    <row r="861">
      <c r="B861" s="26"/>
      <c r="C861" s="40"/>
      <c r="D861" s="40"/>
      <c r="E861" s="40"/>
      <c r="F861" s="40"/>
      <c r="G861" s="40"/>
      <c r="H861" s="40"/>
      <c r="I861" s="53"/>
      <c r="J861" s="53"/>
      <c r="K861" s="53"/>
      <c r="L861" s="53"/>
      <c r="M861" s="53"/>
      <c r="N861" s="53"/>
      <c r="O861" s="53"/>
      <c r="P861" s="53"/>
      <c r="Q861" s="52"/>
    </row>
    <row r="862">
      <c r="B862" s="26"/>
      <c r="C862" s="40"/>
      <c r="D862" s="40"/>
      <c r="E862" s="40"/>
      <c r="F862" s="40"/>
      <c r="G862" s="40"/>
      <c r="H862" s="40"/>
      <c r="I862" s="53"/>
      <c r="J862" s="53"/>
      <c r="K862" s="53"/>
      <c r="L862" s="53"/>
      <c r="M862" s="53"/>
      <c r="N862" s="53"/>
      <c r="O862" s="53"/>
      <c r="P862" s="53"/>
      <c r="Q862" s="52"/>
    </row>
    <row r="863">
      <c r="B863" s="26"/>
      <c r="C863" s="40"/>
      <c r="D863" s="40"/>
      <c r="E863" s="40"/>
      <c r="F863" s="40"/>
      <c r="G863" s="40"/>
      <c r="H863" s="40"/>
      <c r="I863" s="53"/>
      <c r="J863" s="53"/>
      <c r="K863" s="53"/>
      <c r="L863" s="53"/>
      <c r="M863" s="53"/>
      <c r="N863" s="53"/>
      <c r="O863" s="53"/>
      <c r="P863" s="53"/>
      <c r="Q863" s="52"/>
    </row>
    <row r="864">
      <c r="B864" s="26"/>
      <c r="C864" s="40"/>
      <c r="D864" s="40"/>
      <c r="E864" s="40"/>
      <c r="F864" s="40"/>
      <c r="G864" s="40"/>
      <c r="H864" s="40"/>
      <c r="I864" s="53"/>
      <c r="J864" s="53"/>
      <c r="K864" s="53"/>
      <c r="L864" s="53"/>
      <c r="M864" s="53"/>
      <c r="N864" s="53"/>
      <c r="O864" s="53"/>
      <c r="P864" s="53"/>
      <c r="Q864" s="52"/>
    </row>
    <row r="865">
      <c r="B865" s="26"/>
      <c r="C865" s="40"/>
      <c r="D865" s="40"/>
      <c r="E865" s="40"/>
      <c r="F865" s="40"/>
      <c r="G865" s="40"/>
      <c r="H865" s="40"/>
      <c r="I865" s="53"/>
      <c r="J865" s="53"/>
      <c r="K865" s="53"/>
      <c r="L865" s="53"/>
      <c r="M865" s="53"/>
      <c r="N865" s="53"/>
      <c r="O865" s="53"/>
      <c r="P865" s="53"/>
      <c r="Q865" s="52"/>
    </row>
    <row r="866">
      <c r="B866" s="26"/>
      <c r="C866" s="40"/>
      <c r="D866" s="40"/>
      <c r="E866" s="40"/>
      <c r="F866" s="40"/>
      <c r="G866" s="40"/>
      <c r="H866" s="40"/>
      <c r="I866" s="53"/>
      <c r="J866" s="53"/>
      <c r="K866" s="53"/>
      <c r="L866" s="53"/>
      <c r="M866" s="53"/>
      <c r="N866" s="53"/>
      <c r="O866" s="53"/>
      <c r="P866" s="53"/>
      <c r="Q866" s="52"/>
    </row>
    <row r="867">
      <c r="B867" s="26"/>
      <c r="C867" s="40"/>
      <c r="D867" s="40"/>
      <c r="E867" s="40"/>
      <c r="F867" s="40"/>
      <c r="G867" s="40"/>
      <c r="H867" s="40"/>
      <c r="I867" s="53"/>
      <c r="J867" s="53"/>
      <c r="K867" s="53"/>
      <c r="L867" s="53"/>
      <c r="M867" s="53"/>
      <c r="N867" s="53"/>
      <c r="O867" s="53"/>
      <c r="P867" s="53"/>
      <c r="Q867" s="52"/>
    </row>
    <row r="868">
      <c r="B868" s="26"/>
      <c r="C868" s="40"/>
      <c r="D868" s="40"/>
      <c r="E868" s="40"/>
      <c r="F868" s="40"/>
      <c r="G868" s="40"/>
      <c r="H868" s="40"/>
      <c r="I868" s="53"/>
      <c r="J868" s="53"/>
      <c r="K868" s="53"/>
      <c r="L868" s="53"/>
      <c r="M868" s="53"/>
      <c r="N868" s="53"/>
      <c r="O868" s="53"/>
      <c r="P868" s="53"/>
      <c r="Q868" s="52"/>
    </row>
    <row r="869">
      <c r="B869" s="26"/>
      <c r="C869" s="40"/>
      <c r="D869" s="40"/>
      <c r="E869" s="40"/>
      <c r="F869" s="40"/>
      <c r="G869" s="40"/>
      <c r="H869" s="40"/>
      <c r="I869" s="53"/>
      <c r="J869" s="53"/>
      <c r="K869" s="53"/>
      <c r="L869" s="53"/>
      <c r="M869" s="53"/>
      <c r="N869" s="53"/>
      <c r="O869" s="53"/>
      <c r="P869" s="53"/>
      <c r="Q869" s="52"/>
    </row>
    <row r="870">
      <c r="B870" s="26"/>
      <c r="C870" s="40"/>
      <c r="D870" s="40"/>
      <c r="E870" s="40"/>
      <c r="F870" s="40"/>
      <c r="G870" s="40"/>
      <c r="H870" s="40"/>
      <c r="I870" s="53"/>
      <c r="J870" s="53"/>
      <c r="K870" s="53"/>
      <c r="L870" s="53"/>
      <c r="M870" s="53"/>
      <c r="N870" s="53"/>
      <c r="O870" s="53"/>
      <c r="P870" s="53"/>
      <c r="Q870" s="52"/>
    </row>
    <row r="871">
      <c r="B871" s="26"/>
      <c r="C871" s="40"/>
      <c r="D871" s="40"/>
      <c r="E871" s="40"/>
      <c r="F871" s="40"/>
      <c r="G871" s="40"/>
      <c r="H871" s="40"/>
      <c r="I871" s="53"/>
      <c r="J871" s="53"/>
      <c r="K871" s="53"/>
      <c r="L871" s="53"/>
      <c r="M871" s="53"/>
      <c r="N871" s="53"/>
      <c r="O871" s="53"/>
      <c r="P871" s="53"/>
      <c r="Q871" s="52"/>
    </row>
    <row r="872">
      <c r="B872" s="26"/>
      <c r="C872" s="40"/>
      <c r="D872" s="40"/>
      <c r="E872" s="40"/>
      <c r="F872" s="40"/>
      <c r="G872" s="40"/>
      <c r="H872" s="40"/>
      <c r="I872" s="53"/>
      <c r="J872" s="53"/>
      <c r="K872" s="53"/>
      <c r="L872" s="53"/>
      <c r="M872" s="53"/>
      <c r="N872" s="53"/>
      <c r="O872" s="53"/>
      <c r="P872" s="53"/>
      <c r="Q872" s="52"/>
    </row>
    <row r="873">
      <c r="B873" s="26"/>
      <c r="C873" s="40"/>
      <c r="D873" s="40"/>
      <c r="E873" s="40"/>
      <c r="F873" s="40"/>
      <c r="G873" s="40"/>
      <c r="H873" s="40"/>
      <c r="I873" s="53"/>
      <c r="J873" s="53"/>
      <c r="K873" s="53"/>
      <c r="L873" s="53"/>
      <c r="M873" s="53"/>
      <c r="N873" s="53"/>
      <c r="O873" s="53"/>
      <c r="P873" s="53"/>
      <c r="Q873" s="52"/>
    </row>
    <row r="874">
      <c r="B874" s="26"/>
      <c r="C874" s="40"/>
      <c r="D874" s="40"/>
      <c r="E874" s="40"/>
      <c r="F874" s="40"/>
      <c r="G874" s="40"/>
      <c r="H874" s="40"/>
      <c r="I874" s="53"/>
      <c r="J874" s="53"/>
      <c r="K874" s="53"/>
      <c r="L874" s="53"/>
      <c r="M874" s="53"/>
      <c r="N874" s="53"/>
      <c r="O874" s="53"/>
      <c r="P874" s="53"/>
      <c r="Q874" s="52"/>
    </row>
    <row r="875">
      <c r="B875" s="26"/>
      <c r="C875" s="40"/>
      <c r="D875" s="40"/>
      <c r="E875" s="40"/>
      <c r="F875" s="40"/>
      <c r="G875" s="40"/>
      <c r="H875" s="40"/>
      <c r="I875" s="53"/>
      <c r="J875" s="53"/>
      <c r="K875" s="53"/>
      <c r="L875" s="53"/>
      <c r="M875" s="53"/>
      <c r="N875" s="53"/>
      <c r="O875" s="53"/>
      <c r="P875" s="53"/>
      <c r="Q875" s="52"/>
    </row>
    <row r="876">
      <c r="B876" s="26"/>
      <c r="C876" s="40"/>
      <c r="D876" s="40"/>
      <c r="E876" s="40"/>
      <c r="F876" s="40"/>
      <c r="G876" s="40"/>
      <c r="H876" s="40"/>
      <c r="I876" s="53"/>
      <c r="J876" s="53"/>
      <c r="K876" s="53"/>
      <c r="L876" s="53"/>
      <c r="M876" s="53"/>
      <c r="N876" s="53"/>
      <c r="O876" s="53"/>
      <c r="P876" s="53"/>
      <c r="Q876" s="52"/>
    </row>
    <row r="877">
      <c r="B877" s="26"/>
      <c r="C877" s="40"/>
      <c r="D877" s="40"/>
      <c r="E877" s="40"/>
      <c r="F877" s="40"/>
      <c r="G877" s="40"/>
      <c r="H877" s="40"/>
      <c r="I877" s="53"/>
      <c r="J877" s="53"/>
      <c r="K877" s="53"/>
      <c r="L877" s="53"/>
      <c r="M877" s="53"/>
      <c r="N877" s="53"/>
      <c r="O877" s="53"/>
      <c r="P877" s="53"/>
      <c r="Q877" s="52"/>
    </row>
    <row r="878">
      <c r="B878" s="26"/>
      <c r="C878" s="40"/>
      <c r="D878" s="40"/>
      <c r="E878" s="40"/>
      <c r="F878" s="40"/>
      <c r="G878" s="40"/>
      <c r="H878" s="40"/>
      <c r="I878" s="53"/>
      <c r="J878" s="53"/>
      <c r="K878" s="53"/>
      <c r="L878" s="53"/>
      <c r="M878" s="53"/>
      <c r="N878" s="53"/>
      <c r="O878" s="53"/>
      <c r="P878" s="53"/>
      <c r="Q878" s="52"/>
    </row>
    <row r="879">
      <c r="B879" s="26"/>
      <c r="C879" s="40"/>
      <c r="D879" s="40"/>
      <c r="E879" s="40"/>
      <c r="F879" s="40"/>
      <c r="G879" s="40"/>
      <c r="H879" s="40"/>
      <c r="I879" s="53"/>
      <c r="J879" s="53"/>
      <c r="K879" s="53"/>
      <c r="L879" s="53"/>
      <c r="M879" s="53"/>
      <c r="N879" s="53"/>
      <c r="O879" s="53"/>
      <c r="P879" s="53"/>
      <c r="Q879" s="52"/>
    </row>
    <row r="880">
      <c r="B880" s="26"/>
      <c r="C880" s="40"/>
      <c r="D880" s="40"/>
      <c r="E880" s="40"/>
      <c r="F880" s="40"/>
      <c r="G880" s="40"/>
      <c r="H880" s="40"/>
      <c r="I880" s="53"/>
      <c r="J880" s="53"/>
      <c r="K880" s="53"/>
      <c r="L880" s="53"/>
      <c r="M880" s="53"/>
      <c r="N880" s="53"/>
      <c r="O880" s="53"/>
      <c r="P880" s="53"/>
      <c r="Q880" s="52"/>
    </row>
    <row r="881">
      <c r="B881" s="26"/>
      <c r="C881" s="40"/>
      <c r="D881" s="40"/>
      <c r="E881" s="40"/>
      <c r="F881" s="40"/>
      <c r="G881" s="40"/>
      <c r="H881" s="40"/>
      <c r="I881" s="53"/>
      <c r="J881" s="53"/>
      <c r="K881" s="53"/>
      <c r="L881" s="53"/>
      <c r="M881" s="53"/>
      <c r="N881" s="53"/>
      <c r="O881" s="53"/>
      <c r="P881" s="53"/>
      <c r="Q881" s="52"/>
    </row>
    <row r="882">
      <c r="B882" s="26"/>
      <c r="C882" s="40"/>
      <c r="D882" s="40"/>
      <c r="E882" s="40"/>
      <c r="F882" s="40"/>
      <c r="G882" s="40"/>
      <c r="H882" s="40"/>
      <c r="I882" s="53"/>
      <c r="J882" s="53"/>
      <c r="K882" s="53"/>
      <c r="L882" s="53"/>
      <c r="M882" s="53"/>
      <c r="N882" s="53"/>
      <c r="O882" s="53"/>
      <c r="P882" s="53"/>
      <c r="Q882" s="52"/>
    </row>
    <row r="883">
      <c r="B883" s="26"/>
      <c r="C883" s="40"/>
      <c r="D883" s="40"/>
      <c r="E883" s="40"/>
      <c r="F883" s="40"/>
      <c r="G883" s="40"/>
      <c r="H883" s="40"/>
      <c r="I883" s="53"/>
      <c r="J883" s="53"/>
      <c r="K883" s="53"/>
      <c r="L883" s="53"/>
      <c r="M883" s="53"/>
      <c r="N883" s="53"/>
      <c r="O883" s="53"/>
      <c r="P883" s="53"/>
      <c r="Q883" s="52"/>
    </row>
    <row r="884">
      <c r="B884" s="26"/>
      <c r="C884" s="40"/>
      <c r="D884" s="40"/>
      <c r="E884" s="40"/>
      <c r="F884" s="40"/>
      <c r="G884" s="40"/>
      <c r="H884" s="40"/>
      <c r="I884" s="53"/>
      <c r="J884" s="53"/>
      <c r="K884" s="53"/>
      <c r="L884" s="53"/>
      <c r="M884" s="53"/>
      <c r="N884" s="53"/>
      <c r="O884" s="53"/>
      <c r="P884" s="53"/>
      <c r="Q884" s="52"/>
    </row>
    <row r="885">
      <c r="B885" s="26"/>
      <c r="C885" s="40"/>
      <c r="D885" s="40"/>
      <c r="E885" s="40"/>
      <c r="F885" s="40"/>
      <c r="G885" s="40"/>
      <c r="H885" s="40"/>
      <c r="I885" s="53"/>
      <c r="J885" s="53"/>
      <c r="K885" s="53"/>
      <c r="L885" s="53"/>
      <c r="M885" s="53"/>
      <c r="N885" s="53"/>
      <c r="O885" s="53"/>
      <c r="P885" s="53"/>
      <c r="Q885" s="52"/>
    </row>
    <row r="886">
      <c r="B886" s="26"/>
      <c r="C886" s="40"/>
      <c r="D886" s="40"/>
      <c r="E886" s="40"/>
      <c r="F886" s="40"/>
      <c r="G886" s="40"/>
      <c r="H886" s="40"/>
      <c r="I886" s="53"/>
      <c r="J886" s="53"/>
      <c r="K886" s="53"/>
      <c r="L886" s="53"/>
      <c r="M886" s="53"/>
      <c r="N886" s="53"/>
      <c r="O886" s="53"/>
      <c r="P886" s="53"/>
      <c r="Q886" s="52"/>
    </row>
    <row r="887">
      <c r="B887" s="26"/>
      <c r="C887" s="40"/>
      <c r="D887" s="40"/>
      <c r="E887" s="40"/>
      <c r="F887" s="40"/>
      <c r="G887" s="40"/>
      <c r="H887" s="40"/>
      <c r="I887" s="53"/>
      <c r="J887" s="53"/>
      <c r="K887" s="53"/>
      <c r="L887" s="53"/>
      <c r="M887" s="53"/>
      <c r="N887" s="53"/>
      <c r="O887" s="53"/>
      <c r="P887" s="53"/>
      <c r="Q887" s="52"/>
    </row>
    <row r="888">
      <c r="B888" s="26"/>
      <c r="C888" s="40"/>
      <c r="D888" s="40"/>
      <c r="E888" s="40"/>
      <c r="F888" s="40"/>
      <c r="G888" s="40"/>
      <c r="H888" s="40"/>
      <c r="I888" s="53"/>
      <c r="J888" s="53"/>
      <c r="K888" s="53"/>
      <c r="L888" s="53"/>
      <c r="M888" s="53"/>
      <c r="N888" s="53"/>
      <c r="O888" s="53"/>
      <c r="P888" s="53"/>
      <c r="Q888" s="52"/>
    </row>
    <row r="889">
      <c r="B889" s="26"/>
      <c r="C889" s="40"/>
      <c r="D889" s="40"/>
      <c r="E889" s="40"/>
      <c r="F889" s="40"/>
      <c r="G889" s="40"/>
      <c r="H889" s="40"/>
      <c r="I889" s="53"/>
      <c r="J889" s="53"/>
      <c r="K889" s="53"/>
      <c r="L889" s="53"/>
      <c r="M889" s="53"/>
      <c r="N889" s="53"/>
      <c r="O889" s="53"/>
      <c r="P889" s="53"/>
      <c r="Q889" s="52"/>
    </row>
    <row r="890">
      <c r="B890" s="26"/>
      <c r="C890" s="40"/>
      <c r="D890" s="40"/>
      <c r="E890" s="40"/>
      <c r="F890" s="40"/>
      <c r="G890" s="40"/>
      <c r="H890" s="40"/>
      <c r="I890" s="53"/>
      <c r="J890" s="53"/>
      <c r="K890" s="53"/>
      <c r="L890" s="53"/>
      <c r="M890" s="53"/>
      <c r="N890" s="53"/>
      <c r="O890" s="53"/>
      <c r="P890" s="53"/>
      <c r="Q890" s="52"/>
    </row>
    <row r="891">
      <c r="B891" s="26"/>
      <c r="C891" s="40"/>
      <c r="D891" s="40"/>
      <c r="E891" s="40"/>
      <c r="F891" s="40"/>
      <c r="G891" s="40"/>
      <c r="H891" s="40"/>
      <c r="I891" s="53"/>
      <c r="J891" s="53"/>
      <c r="K891" s="53"/>
      <c r="L891" s="53"/>
      <c r="M891" s="53"/>
      <c r="N891" s="53"/>
      <c r="O891" s="53"/>
      <c r="P891" s="53"/>
      <c r="Q891" s="52"/>
    </row>
    <row r="892">
      <c r="B892" s="26"/>
      <c r="C892" s="40"/>
      <c r="D892" s="40"/>
      <c r="E892" s="40"/>
      <c r="F892" s="40"/>
      <c r="G892" s="40"/>
      <c r="H892" s="40"/>
      <c r="I892" s="53"/>
      <c r="J892" s="53"/>
      <c r="K892" s="53"/>
      <c r="L892" s="53"/>
      <c r="M892" s="53"/>
      <c r="N892" s="53"/>
      <c r="O892" s="53"/>
      <c r="P892" s="53"/>
      <c r="Q892" s="52"/>
    </row>
    <row r="893">
      <c r="B893" s="26"/>
      <c r="C893" s="40"/>
      <c r="D893" s="40"/>
      <c r="E893" s="40"/>
      <c r="F893" s="40"/>
      <c r="G893" s="40"/>
      <c r="H893" s="40"/>
      <c r="I893" s="53"/>
      <c r="J893" s="53"/>
      <c r="K893" s="53"/>
      <c r="L893" s="53"/>
      <c r="M893" s="53"/>
      <c r="N893" s="53"/>
      <c r="O893" s="53"/>
      <c r="P893" s="53"/>
      <c r="Q893" s="52"/>
    </row>
    <row r="894">
      <c r="B894" s="26"/>
      <c r="C894" s="40"/>
      <c r="D894" s="40"/>
      <c r="E894" s="40"/>
      <c r="F894" s="40"/>
      <c r="G894" s="40"/>
      <c r="H894" s="40"/>
      <c r="I894" s="53"/>
      <c r="J894" s="53"/>
      <c r="K894" s="53"/>
      <c r="L894" s="53"/>
      <c r="M894" s="53"/>
      <c r="N894" s="53"/>
      <c r="O894" s="53"/>
      <c r="P894" s="53"/>
      <c r="Q894" s="52"/>
    </row>
    <row r="895">
      <c r="B895" s="26"/>
      <c r="C895" s="40"/>
      <c r="D895" s="40"/>
      <c r="E895" s="40"/>
      <c r="F895" s="40"/>
      <c r="G895" s="40"/>
      <c r="H895" s="40"/>
      <c r="I895" s="53"/>
      <c r="J895" s="53"/>
      <c r="K895" s="53"/>
      <c r="L895" s="53"/>
      <c r="M895" s="53"/>
      <c r="N895" s="53"/>
      <c r="O895" s="53"/>
      <c r="P895" s="53"/>
      <c r="Q895" s="52"/>
    </row>
    <row r="896">
      <c r="B896" s="26"/>
      <c r="C896" s="40"/>
      <c r="D896" s="40"/>
      <c r="E896" s="40"/>
      <c r="F896" s="40"/>
      <c r="G896" s="40"/>
      <c r="H896" s="40"/>
      <c r="I896" s="53"/>
      <c r="J896" s="53"/>
      <c r="K896" s="53"/>
      <c r="L896" s="53"/>
      <c r="M896" s="53"/>
      <c r="N896" s="53"/>
      <c r="O896" s="53"/>
      <c r="P896" s="53"/>
      <c r="Q896" s="52"/>
    </row>
    <row r="897">
      <c r="B897" s="26"/>
      <c r="C897" s="40"/>
      <c r="D897" s="40"/>
      <c r="E897" s="40"/>
      <c r="F897" s="40"/>
      <c r="G897" s="40"/>
      <c r="H897" s="40"/>
      <c r="I897" s="53"/>
      <c r="J897" s="53"/>
      <c r="K897" s="53"/>
      <c r="L897" s="53"/>
      <c r="M897" s="53"/>
      <c r="N897" s="53"/>
      <c r="O897" s="53"/>
      <c r="P897" s="53"/>
      <c r="Q897" s="52"/>
    </row>
    <row r="898">
      <c r="B898" s="26"/>
      <c r="C898" s="40"/>
      <c r="D898" s="40"/>
      <c r="E898" s="40"/>
      <c r="F898" s="40"/>
      <c r="G898" s="40"/>
      <c r="H898" s="40"/>
      <c r="I898" s="53"/>
      <c r="J898" s="53"/>
      <c r="K898" s="53"/>
      <c r="L898" s="53"/>
      <c r="M898" s="53"/>
      <c r="N898" s="53"/>
      <c r="O898" s="53"/>
      <c r="P898" s="53"/>
      <c r="Q898" s="52"/>
    </row>
    <row r="899">
      <c r="B899" s="26"/>
      <c r="C899" s="40"/>
      <c r="D899" s="40"/>
      <c r="E899" s="40"/>
      <c r="F899" s="40"/>
      <c r="G899" s="40"/>
      <c r="H899" s="40"/>
      <c r="I899" s="53"/>
      <c r="J899" s="53"/>
      <c r="K899" s="53"/>
      <c r="L899" s="53"/>
      <c r="M899" s="53"/>
      <c r="N899" s="53"/>
      <c r="O899" s="53"/>
      <c r="P899" s="53"/>
      <c r="Q899" s="52"/>
    </row>
    <row r="900">
      <c r="B900" s="26"/>
      <c r="C900" s="40"/>
      <c r="D900" s="40"/>
      <c r="E900" s="40"/>
      <c r="F900" s="40"/>
      <c r="G900" s="40"/>
      <c r="H900" s="40"/>
      <c r="I900" s="53"/>
      <c r="J900" s="53"/>
      <c r="K900" s="53"/>
      <c r="L900" s="53"/>
      <c r="M900" s="53"/>
      <c r="N900" s="53"/>
      <c r="O900" s="53"/>
      <c r="P900" s="53"/>
      <c r="Q900" s="52"/>
    </row>
    <row r="901">
      <c r="B901" s="26"/>
      <c r="C901" s="40"/>
      <c r="D901" s="40"/>
      <c r="E901" s="40"/>
      <c r="F901" s="40"/>
      <c r="G901" s="40"/>
      <c r="H901" s="40"/>
      <c r="I901" s="53"/>
      <c r="J901" s="53"/>
      <c r="K901" s="53"/>
      <c r="L901" s="53"/>
      <c r="M901" s="53"/>
      <c r="N901" s="53"/>
      <c r="O901" s="53"/>
      <c r="P901" s="53"/>
      <c r="Q901" s="52"/>
    </row>
    <row r="902">
      <c r="B902" s="26"/>
      <c r="C902" s="40"/>
      <c r="D902" s="40"/>
      <c r="E902" s="40"/>
      <c r="F902" s="40"/>
      <c r="G902" s="40"/>
      <c r="H902" s="40"/>
      <c r="I902" s="53"/>
      <c r="J902" s="53"/>
      <c r="K902" s="53"/>
      <c r="L902" s="53"/>
      <c r="M902" s="53"/>
      <c r="N902" s="53"/>
      <c r="O902" s="53"/>
      <c r="P902" s="53"/>
      <c r="Q902" s="52"/>
    </row>
    <row r="903">
      <c r="B903" s="26"/>
      <c r="C903" s="40"/>
      <c r="D903" s="40"/>
      <c r="E903" s="40"/>
      <c r="F903" s="40"/>
      <c r="G903" s="40"/>
      <c r="H903" s="40"/>
      <c r="I903" s="53"/>
      <c r="J903" s="53"/>
      <c r="K903" s="53"/>
      <c r="L903" s="53"/>
      <c r="M903" s="53"/>
      <c r="N903" s="53"/>
      <c r="O903" s="53"/>
      <c r="P903" s="53"/>
      <c r="Q903" s="52"/>
    </row>
    <row r="904">
      <c r="B904" s="26"/>
      <c r="C904" s="40"/>
      <c r="D904" s="40"/>
      <c r="E904" s="40"/>
      <c r="F904" s="40"/>
      <c r="G904" s="40"/>
      <c r="H904" s="40"/>
      <c r="I904" s="53"/>
      <c r="J904" s="53"/>
      <c r="K904" s="53"/>
      <c r="L904" s="53"/>
      <c r="M904" s="53"/>
      <c r="N904" s="53"/>
      <c r="O904" s="53"/>
      <c r="P904" s="53"/>
      <c r="Q904" s="52"/>
    </row>
    <row r="905">
      <c r="B905" s="26"/>
      <c r="C905" s="40"/>
      <c r="D905" s="40"/>
      <c r="E905" s="40"/>
      <c r="F905" s="40"/>
      <c r="G905" s="40"/>
      <c r="H905" s="40"/>
      <c r="I905" s="53"/>
      <c r="J905" s="53"/>
      <c r="K905" s="53"/>
      <c r="L905" s="53"/>
      <c r="M905" s="53"/>
      <c r="N905" s="53"/>
      <c r="O905" s="53"/>
      <c r="P905" s="53"/>
      <c r="Q905" s="52"/>
    </row>
    <row r="906">
      <c r="B906" s="26"/>
      <c r="C906" s="40"/>
      <c r="D906" s="40"/>
      <c r="E906" s="40"/>
      <c r="F906" s="40"/>
      <c r="G906" s="40"/>
      <c r="H906" s="40"/>
      <c r="I906" s="53"/>
      <c r="J906" s="53"/>
      <c r="K906" s="53"/>
      <c r="L906" s="53"/>
      <c r="M906" s="53"/>
      <c r="N906" s="53"/>
      <c r="O906" s="53"/>
      <c r="P906" s="53"/>
      <c r="Q906" s="52"/>
    </row>
    <row r="907">
      <c r="B907" s="26"/>
      <c r="C907" s="40"/>
      <c r="D907" s="40"/>
      <c r="E907" s="40"/>
      <c r="F907" s="40"/>
      <c r="G907" s="40"/>
      <c r="H907" s="40"/>
      <c r="I907" s="53"/>
      <c r="J907" s="53"/>
      <c r="K907" s="53"/>
      <c r="L907" s="53"/>
      <c r="M907" s="53"/>
      <c r="N907" s="53"/>
      <c r="O907" s="53"/>
      <c r="P907" s="53"/>
      <c r="Q907" s="52"/>
    </row>
    <row r="908">
      <c r="B908" s="26"/>
      <c r="C908" s="40"/>
      <c r="D908" s="40"/>
      <c r="E908" s="40"/>
      <c r="F908" s="40"/>
      <c r="G908" s="40"/>
      <c r="H908" s="40"/>
      <c r="I908" s="53"/>
      <c r="J908" s="53"/>
      <c r="K908" s="53"/>
      <c r="L908" s="53"/>
      <c r="M908" s="53"/>
      <c r="N908" s="53"/>
      <c r="O908" s="53"/>
      <c r="P908" s="53"/>
      <c r="Q908" s="52"/>
    </row>
    <row r="909">
      <c r="B909" s="26"/>
      <c r="C909" s="46"/>
      <c r="D909" s="46"/>
      <c r="E909" s="46"/>
      <c r="F909" s="46"/>
      <c r="G909" s="46"/>
      <c r="H909" s="46"/>
      <c r="I909" s="51"/>
      <c r="J909" s="51"/>
      <c r="K909" s="51"/>
      <c r="L909" s="51"/>
      <c r="M909" s="51"/>
      <c r="N909" s="51"/>
      <c r="O909" s="51"/>
      <c r="P909" s="51"/>
      <c r="Q909" s="52"/>
    </row>
    <row r="910">
      <c r="B910" s="26"/>
      <c r="C910" s="46"/>
      <c r="D910" s="46"/>
      <c r="E910" s="46"/>
      <c r="F910" s="46"/>
      <c r="G910" s="46"/>
      <c r="H910" s="46"/>
      <c r="I910" s="51"/>
      <c r="J910" s="51"/>
      <c r="K910" s="51"/>
      <c r="L910" s="51"/>
      <c r="M910" s="51"/>
      <c r="N910" s="51"/>
      <c r="O910" s="51"/>
      <c r="P910" s="51"/>
      <c r="Q910" s="52"/>
    </row>
    <row r="911">
      <c r="B911" s="26"/>
      <c r="C911" s="46"/>
      <c r="D911" s="46"/>
      <c r="E911" s="46"/>
      <c r="F911" s="46"/>
      <c r="G911" s="46"/>
      <c r="H911" s="46"/>
      <c r="I911" s="51"/>
      <c r="J911" s="51"/>
      <c r="K911" s="51"/>
      <c r="L911" s="51"/>
      <c r="M911" s="51"/>
      <c r="N911" s="51"/>
      <c r="O911" s="51"/>
      <c r="P911" s="51"/>
      <c r="Q911" s="52"/>
    </row>
    <row r="912">
      <c r="B912" s="26"/>
      <c r="C912" s="46"/>
      <c r="D912" s="46"/>
      <c r="E912" s="46"/>
      <c r="F912" s="46"/>
      <c r="G912" s="46"/>
      <c r="H912" s="46"/>
      <c r="I912" s="51"/>
      <c r="J912" s="51"/>
      <c r="K912" s="51"/>
      <c r="L912" s="51"/>
      <c r="M912" s="51"/>
      <c r="N912" s="51"/>
      <c r="O912" s="51"/>
      <c r="P912" s="51"/>
      <c r="Q912" s="52"/>
    </row>
    <row r="913">
      <c r="B913" s="26"/>
      <c r="C913" s="46"/>
      <c r="D913" s="46"/>
      <c r="E913" s="46"/>
      <c r="F913" s="46"/>
      <c r="G913" s="46"/>
      <c r="H913" s="46"/>
      <c r="I913" s="51"/>
      <c r="J913" s="51"/>
      <c r="K913" s="51"/>
      <c r="L913" s="51"/>
      <c r="M913" s="51"/>
      <c r="N913" s="51"/>
      <c r="O913" s="51"/>
      <c r="P913" s="51"/>
      <c r="Q913" s="52"/>
    </row>
    <row r="914">
      <c r="B914" s="26"/>
      <c r="C914" s="46"/>
      <c r="D914" s="46"/>
      <c r="E914" s="46"/>
      <c r="F914" s="46"/>
      <c r="G914" s="46"/>
      <c r="H914" s="46"/>
      <c r="I914" s="51"/>
      <c r="J914" s="51"/>
      <c r="K914" s="51"/>
      <c r="L914" s="51"/>
      <c r="M914" s="51"/>
      <c r="N914" s="51"/>
      <c r="O914" s="51"/>
      <c r="P914" s="51"/>
      <c r="Q914" s="52"/>
    </row>
    <row r="915">
      <c r="B915" s="26"/>
      <c r="C915" s="46"/>
      <c r="D915" s="46"/>
      <c r="E915" s="46"/>
      <c r="F915" s="46"/>
      <c r="G915" s="46"/>
      <c r="H915" s="46"/>
      <c r="I915" s="51"/>
      <c r="J915" s="51"/>
      <c r="K915" s="51"/>
      <c r="L915" s="51"/>
      <c r="M915" s="51"/>
      <c r="N915" s="51"/>
      <c r="O915" s="51"/>
      <c r="P915" s="51"/>
      <c r="Q915" s="52"/>
    </row>
    <row r="916">
      <c r="B916" s="26"/>
      <c r="C916" s="46"/>
      <c r="D916" s="46"/>
      <c r="E916" s="46"/>
      <c r="F916" s="46"/>
      <c r="G916" s="46"/>
      <c r="H916" s="46"/>
      <c r="I916" s="51"/>
      <c r="J916" s="51"/>
      <c r="K916" s="51"/>
      <c r="L916" s="51"/>
      <c r="M916" s="51"/>
      <c r="N916" s="51"/>
      <c r="O916" s="51"/>
      <c r="P916" s="51"/>
      <c r="Q916" s="52"/>
    </row>
    <row r="917">
      <c r="B917" s="26"/>
      <c r="C917" s="46"/>
      <c r="D917" s="46"/>
      <c r="E917" s="46"/>
      <c r="F917" s="46"/>
      <c r="G917" s="46"/>
      <c r="H917" s="46"/>
      <c r="I917" s="51"/>
      <c r="J917" s="51"/>
      <c r="K917" s="51"/>
      <c r="L917" s="51"/>
      <c r="M917" s="51"/>
      <c r="N917" s="51"/>
      <c r="O917" s="51"/>
      <c r="P917" s="51"/>
      <c r="Q917" s="52"/>
    </row>
    <row r="918">
      <c r="B918" s="26"/>
      <c r="C918" s="46"/>
      <c r="D918" s="46"/>
      <c r="E918" s="46"/>
      <c r="F918" s="46"/>
      <c r="G918" s="46"/>
      <c r="H918" s="46"/>
      <c r="I918" s="51"/>
      <c r="J918" s="51"/>
      <c r="K918" s="51"/>
      <c r="L918" s="51"/>
      <c r="M918" s="51"/>
      <c r="N918" s="51"/>
      <c r="O918" s="51"/>
      <c r="P918" s="51"/>
      <c r="Q918" s="52"/>
    </row>
    <row r="919">
      <c r="B919" s="26"/>
      <c r="C919" s="46"/>
      <c r="D919" s="46"/>
      <c r="E919" s="46"/>
      <c r="F919" s="46"/>
      <c r="G919" s="46"/>
      <c r="H919" s="46"/>
      <c r="I919" s="51"/>
      <c r="J919" s="51"/>
      <c r="K919" s="51"/>
      <c r="L919" s="51"/>
      <c r="M919" s="51"/>
      <c r="N919" s="51"/>
      <c r="O919" s="51"/>
      <c r="P919" s="51"/>
      <c r="Q919" s="52"/>
    </row>
    <row r="920">
      <c r="B920" s="26"/>
      <c r="C920" s="46"/>
      <c r="D920" s="46"/>
      <c r="E920" s="46"/>
      <c r="F920" s="46"/>
      <c r="G920" s="46"/>
      <c r="H920" s="46"/>
      <c r="I920" s="51"/>
      <c r="J920" s="51"/>
      <c r="K920" s="51"/>
      <c r="L920" s="51"/>
      <c r="M920" s="51"/>
      <c r="N920" s="51"/>
      <c r="O920" s="51"/>
      <c r="P920" s="51"/>
      <c r="Q920" s="52"/>
    </row>
    <row r="921">
      <c r="B921" s="26"/>
      <c r="C921" s="46"/>
      <c r="D921" s="46"/>
      <c r="E921" s="46"/>
      <c r="F921" s="46"/>
      <c r="G921" s="46"/>
      <c r="H921" s="46"/>
      <c r="I921" s="51"/>
      <c r="J921" s="51"/>
      <c r="K921" s="51"/>
      <c r="L921" s="51"/>
      <c r="M921" s="51"/>
      <c r="N921" s="51"/>
      <c r="O921" s="51"/>
      <c r="P921" s="51"/>
      <c r="Q921" s="52"/>
    </row>
    <row r="922">
      <c r="B922" s="26"/>
      <c r="C922" s="46"/>
      <c r="D922" s="46"/>
      <c r="E922" s="46"/>
      <c r="F922" s="46"/>
      <c r="G922" s="46"/>
      <c r="H922" s="46"/>
      <c r="I922" s="51"/>
      <c r="J922" s="51"/>
      <c r="K922" s="51"/>
      <c r="L922" s="51"/>
      <c r="M922" s="51"/>
      <c r="N922" s="51"/>
      <c r="O922" s="51"/>
      <c r="P922" s="51"/>
      <c r="Q922" s="52"/>
    </row>
    <row r="923">
      <c r="B923" s="26"/>
      <c r="C923" s="46"/>
      <c r="D923" s="46"/>
      <c r="E923" s="46"/>
      <c r="F923" s="46"/>
      <c r="G923" s="46"/>
      <c r="H923" s="46"/>
      <c r="I923" s="51"/>
      <c r="J923" s="51"/>
      <c r="K923" s="51"/>
      <c r="L923" s="51"/>
      <c r="M923" s="51"/>
      <c r="N923" s="51"/>
      <c r="O923" s="51"/>
      <c r="P923" s="51"/>
      <c r="Q923" s="52"/>
    </row>
    <row r="924">
      <c r="B924" s="26"/>
      <c r="C924" s="46"/>
      <c r="D924" s="46"/>
      <c r="E924" s="46"/>
      <c r="F924" s="46"/>
      <c r="G924" s="46"/>
      <c r="H924" s="46"/>
      <c r="I924" s="51"/>
      <c r="J924" s="51"/>
      <c r="K924" s="51"/>
      <c r="L924" s="51"/>
      <c r="M924" s="51"/>
      <c r="N924" s="51"/>
      <c r="O924" s="51"/>
      <c r="P924" s="51"/>
      <c r="Q924" s="52"/>
    </row>
    <row r="925">
      <c r="B925" s="26"/>
      <c r="C925" s="46"/>
      <c r="D925" s="46"/>
      <c r="E925" s="46"/>
      <c r="F925" s="46"/>
      <c r="G925" s="46"/>
      <c r="H925" s="46"/>
      <c r="I925" s="51"/>
      <c r="J925" s="51"/>
      <c r="K925" s="51"/>
      <c r="L925" s="51"/>
      <c r="M925" s="51"/>
      <c r="N925" s="51"/>
      <c r="O925" s="51"/>
      <c r="P925" s="51"/>
      <c r="Q925" s="52"/>
    </row>
    <row r="926">
      <c r="B926" s="26"/>
      <c r="C926" s="46"/>
      <c r="D926" s="46"/>
      <c r="E926" s="46"/>
      <c r="F926" s="46"/>
      <c r="G926" s="46"/>
      <c r="H926" s="46"/>
      <c r="I926" s="51"/>
      <c r="J926" s="51"/>
      <c r="K926" s="51"/>
      <c r="L926" s="51"/>
      <c r="M926" s="51"/>
      <c r="N926" s="51"/>
      <c r="O926" s="51"/>
      <c r="P926" s="51"/>
      <c r="Q926" s="52"/>
    </row>
    <row r="927">
      <c r="B927" s="26"/>
      <c r="C927" s="46"/>
      <c r="D927" s="46"/>
      <c r="E927" s="46"/>
      <c r="F927" s="46"/>
      <c r="G927" s="46"/>
      <c r="H927" s="46"/>
      <c r="I927" s="51"/>
      <c r="J927" s="51"/>
      <c r="K927" s="51"/>
      <c r="L927" s="51"/>
      <c r="M927" s="51"/>
      <c r="N927" s="51"/>
      <c r="O927" s="51"/>
      <c r="P927" s="51"/>
      <c r="Q927" s="52"/>
    </row>
    <row r="928">
      <c r="B928" s="26"/>
      <c r="C928" s="46"/>
      <c r="D928" s="46"/>
      <c r="E928" s="46"/>
      <c r="F928" s="46"/>
      <c r="G928" s="46"/>
      <c r="H928" s="46"/>
      <c r="I928" s="51"/>
      <c r="J928" s="51"/>
      <c r="K928" s="51"/>
      <c r="L928" s="51"/>
      <c r="M928" s="51"/>
      <c r="N928" s="51"/>
      <c r="O928" s="51"/>
      <c r="P928" s="51"/>
      <c r="Q928" s="52"/>
    </row>
    <row r="929">
      <c r="B929" s="26"/>
      <c r="C929" s="46"/>
      <c r="D929" s="46"/>
      <c r="E929" s="46"/>
      <c r="F929" s="46"/>
      <c r="G929" s="46"/>
      <c r="H929" s="46"/>
      <c r="I929" s="51"/>
      <c r="J929" s="51"/>
      <c r="K929" s="51"/>
      <c r="L929" s="51"/>
      <c r="M929" s="51"/>
      <c r="N929" s="51"/>
      <c r="O929" s="51"/>
      <c r="P929" s="51"/>
      <c r="Q929" s="52"/>
    </row>
    <row r="930">
      <c r="B930" s="26"/>
      <c r="C930" s="46"/>
      <c r="D930" s="46"/>
      <c r="E930" s="46"/>
      <c r="F930" s="46"/>
      <c r="G930" s="46"/>
      <c r="H930" s="46"/>
      <c r="I930" s="51"/>
      <c r="J930" s="51"/>
      <c r="K930" s="51"/>
      <c r="L930" s="51"/>
      <c r="M930" s="51"/>
      <c r="N930" s="51"/>
      <c r="O930" s="51"/>
      <c r="P930" s="51"/>
      <c r="Q930" s="52"/>
    </row>
    <row r="931">
      <c r="B931" s="26"/>
      <c r="C931" s="46"/>
      <c r="D931" s="46"/>
      <c r="E931" s="46"/>
      <c r="F931" s="46"/>
      <c r="G931" s="46"/>
      <c r="H931" s="46"/>
      <c r="I931" s="51"/>
      <c r="J931" s="51"/>
      <c r="K931" s="51"/>
      <c r="L931" s="51"/>
      <c r="M931" s="51"/>
      <c r="N931" s="51"/>
      <c r="O931" s="51"/>
      <c r="P931" s="51"/>
      <c r="Q931" s="52"/>
    </row>
    <row r="932">
      <c r="B932" s="26"/>
      <c r="C932" s="46"/>
      <c r="D932" s="46"/>
      <c r="E932" s="46"/>
      <c r="F932" s="46"/>
      <c r="G932" s="46"/>
      <c r="H932" s="46"/>
      <c r="I932" s="51"/>
      <c r="J932" s="51"/>
      <c r="K932" s="51"/>
      <c r="L932" s="51"/>
      <c r="M932" s="51"/>
      <c r="N932" s="51"/>
      <c r="O932" s="51"/>
      <c r="P932" s="51"/>
      <c r="Q932" s="52"/>
    </row>
    <row r="933">
      <c r="B933" s="26"/>
      <c r="C933" s="46"/>
      <c r="D933" s="46"/>
      <c r="E933" s="46"/>
      <c r="F933" s="46"/>
      <c r="G933" s="46"/>
      <c r="H933" s="46"/>
      <c r="I933" s="51"/>
      <c r="J933" s="51"/>
      <c r="K933" s="51"/>
      <c r="L933" s="51"/>
      <c r="M933" s="51"/>
      <c r="N933" s="51"/>
      <c r="O933" s="51"/>
      <c r="P933" s="51"/>
      <c r="Q933" s="52"/>
    </row>
    <row r="934">
      <c r="B934" s="26"/>
      <c r="C934" s="46"/>
      <c r="D934" s="46"/>
      <c r="E934" s="46"/>
      <c r="F934" s="46"/>
      <c r="G934" s="46"/>
      <c r="H934" s="46"/>
      <c r="I934" s="51"/>
      <c r="J934" s="51"/>
      <c r="K934" s="51"/>
      <c r="L934" s="51"/>
      <c r="M934" s="51"/>
      <c r="N934" s="51"/>
      <c r="O934" s="51"/>
      <c r="P934" s="51"/>
      <c r="Q934" s="52"/>
    </row>
    <row r="935">
      <c r="B935" s="26"/>
      <c r="C935" s="46"/>
      <c r="D935" s="46"/>
      <c r="E935" s="46"/>
      <c r="F935" s="46"/>
      <c r="G935" s="46"/>
      <c r="H935" s="46"/>
      <c r="I935" s="51"/>
      <c r="J935" s="51"/>
      <c r="K935" s="51"/>
      <c r="L935" s="51"/>
      <c r="M935" s="51"/>
      <c r="N935" s="51"/>
      <c r="O935" s="51"/>
      <c r="P935" s="51"/>
      <c r="Q935" s="52"/>
    </row>
    <row r="936">
      <c r="B936" s="26"/>
      <c r="C936" s="46"/>
      <c r="D936" s="46"/>
      <c r="E936" s="46"/>
      <c r="F936" s="46"/>
      <c r="G936" s="46"/>
      <c r="H936" s="46"/>
      <c r="I936" s="51"/>
      <c r="J936" s="51"/>
      <c r="K936" s="51"/>
      <c r="L936" s="51"/>
      <c r="M936" s="51"/>
      <c r="N936" s="51"/>
      <c r="O936" s="51"/>
      <c r="P936" s="51"/>
      <c r="Q936" s="52"/>
    </row>
    <row r="937">
      <c r="B937" s="26"/>
      <c r="C937" s="46"/>
      <c r="D937" s="46"/>
      <c r="E937" s="46"/>
      <c r="F937" s="46"/>
      <c r="G937" s="46"/>
      <c r="H937" s="46"/>
      <c r="I937" s="51"/>
      <c r="J937" s="51"/>
      <c r="K937" s="51"/>
      <c r="L937" s="51"/>
      <c r="M937" s="51"/>
      <c r="N937" s="51"/>
      <c r="O937" s="51"/>
      <c r="P937" s="51"/>
      <c r="Q937" s="52"/>
    </row>
    <row r="938">
      <c r="B938" s="26"/>
      <c r="C938" s="46"/>
      <c r="D938" s="46"/>
      <c r="E938" s="46"/>
      <c r="F938" s="46"/>
      <c r="G938" s="46"/>
      <c r="H938" s="46"/>
      <c r="I938" s="51"/>
      <c r="J938" s="51"/>
      <c r="K938" s="51"/>
      <c r="L938" s="51"/>
      <c r="M938" s="51"/>
      <c r="N938" s="51"/>
      <c r="O938" s="51"/>
      <c r="P938" s="51"/>
      <c r="Q938" s="52"/>
    </row>
    <row r="939">
      <c r="B939" s="26"/>
      <c r="C939" s="46"/>
      <c r="D939" s="46"/>
      <c r="E939" s="46"/>
      <c r="F939" s="46"/>
      <c r="G939" s="46"/>
      <c r="H939" s="46"/>
      <c r="I939" s="51"/>
      <c r="J939" s="51"/>
      <c r="K939" s="51"/>
      <c r="L939" s="51"/>
      <c r="M939" s="51"/>
      <c r="N939" s="51"/>
      <c r="O939" s="51"/>
      <c r="P939" s="51"/>
      <c r="Q939" s="52"/>
    </row>
    <row r="940">
      <c r="B940" s="26"/>
      <c r="C940" s="46"/>
      <c r="D940" s="46"/>
      <c r="E940" s="46"/>
      <c r="F940" s="46"/>
      <c r="G940" s="46"/>
      <c r="H940" s="46"/>
      <c r="I940" s="51"/>
      <c r="J940" s="51"/>
      <c r="K940" s="51"/>
      <c r="L940" s="51"/>
      <c r="M940" s="51"/>
      <c r="N940" s="51"/>
      <c r="O940" s="51"/>
      <c r="P940" s="51"/>
      <c r="Q940" s="52"/>
    </row>
    <row r="941">
      <c r="B941" s="26"/>
      <c r="C941" s="46"/>
      <c r="D941" s="46"/>
      <c r="E941" s="46"/>
      <c r="F941" s="46"/>
      <c r="G941" s="46"/>
      <c r="H941" s="46"/>
      <c r="I941" s="51"/>
      <c r="J941" s="51"/>
      <c r="K941" s="51"/>
      <c r="L941" s="51"/>
      <c r="M941" s="51"/>
      <c r="N941" s="51"/>
      <c r="O941" s="51"/>
      <c r="P941" s="51"/>
      <c r="Q941" s="52"/>
    </row>
    <row r="942">
      <c r="B942" s="26"/>
      <c r="C942" s="46"/>
      <c r="D942" s="46"/>
      <c r="E942" s="46"/>
      <c r="F942" s="46"/>
      <c r="G942" s="46"/>
      <c r="H942" s="46"/>
      <c r="I942" s="51"/>
      <c r="J942" s="51"/>
      <c r="K942" s="51"/>
      <c r="L942" s="51"/>
      <c r="M942" s="51"/>
      <c r="N942" s="51"/>
      <c r="O942" s="51"/>
      <c r="P942" s="51"/>
      <c r="Q942" s="52"/>
    </row>
    <row r="943">
      <c r="B943" s="26"/>
      <c r="C943" s="46"/>
      <c r="D943" s="46"/>
      <c r="E943" s="46"/>
      <c r="F943" s="46"/>
      <c r="G943" s="46"/>
      <c r="H943" s="46"/>
      <c r="I943" s="51"/>
      <c r="J943" s="51"/>
      <c r="K943" s="51"/>
      <c r="L943" s="51"/>
      <c r="M943" s="51"/>
      <c r="N943" s="51"/>
      <c r="O943" s="51"/>
      <c r="P943" s="51"/>
      <c r="Q943" s="52"/>
    </row>
    <row r="944">
      <c r="B944" s="26"/>
      <c r="C944" s="46"/>
      <c r="D944" s="46"/>
      <c r="E944" s="46"/>
      <c r="F944" s="46"/>
      <c r="G944" s="46"/>
      <c r="H944" s="46"/>
      <c r="I944" s="51"/>
      <c r="J944" s="51"/>
      <c r="K944" s="51"/>
      <c r="L944" s="51"/>
      <c r="M944" s="51"/>
      <c r="N944" s="51"/>
      <c r="O944" s="51"/>
      <c r="P944" s="51"/>
      <c r="Q944" s="52"/>
    </row>
    <row r="945">
      <c r="B945" s="26"/>
      <c r="C945" s="46"/>
      <c r="D945" s="46"/>
      <c r="E945" s="46"/>
      <c r="F945" s="46"/>
      <c r="G945" s="46"/>
      <c r="H945" s="46"/>
      <c r="I945" s="51"/>
      <c r="J945" s="51"/>
      <c r="K945" s="51"/>
      <c r="L945" s="51"/>
      <c r="M945" s="51"/>
      <c r="N945" s="51"/>
      <c r="O945" s="51"/>
      <c r="P945" s="51"/>
      <c r="Q945" s="52"/>
    </row>
    <row r="946">
      <c r="B946" s="26"/>
      <c r="C946" s="46"/>
      <c r="D946" s="46"/>
      <c r="E946" s="46"/>
      <c r="F946" s="46"/>
      <c r="G946" s="46"/>
      <c r="H946" s="46"/>
      <c r="I946" s="51"/>
      <c r="J946" s="51"/>
      <c r="K946" s="51"/>
      <c r="L946" s="51"/>
      <c r="M946" s="51"/>
      <c r="N946" s="51"/>
      <c r="O946" s="51"/>
      <c r="P946" s="51"/>
      <c r="Q946" s="52"/>
    </row>
    <row r="947">
      <c r="B947" s="26"/>
      <c r="C947" s="46"/>
      <c r="D947" s="46"/>
      <c r="E947" s="46"/>
      <c r="F947" s="46"/>
      <c r="G947" s="46"/>
      <c r="H947" s="46"/>
      <c r="I947" s="51"/>
      <c r="J947" s="51"/>
      <c r="K947" s="51"/>
      <c r="L947" s="51"/>
      <c r="M947" s="51"/>
      <c r="N947" s="51"/>
      <c r="O947" s="51"/>
      <c r="P947" s="51"/>
      <c r="Q947" s="52"/>
    </row>
    <row r="948">
      <c r="B948" s="26"/>
      <c r="C948" s="46"/>
      <c r="D948" s="46"/>
      <c r="E948" s="46"/>
      <c r="F948" s="46"/>
      <c r="G948" s="46"/>
      <c r="H948" s="46"/>
      <c r="I948" s="51"/>
      <c r="J948" s="51"/>
      <c r="K948" s="51"/>
      <c r="L948" s="51"/>
      <c r="M948" s="51"/>
      <c r="N948" s="51"/>
      <c r="O948" s="51"/>
      <c r="P948" s="51"/>
      <c r="Q948" s="52"/>
    </row>
    <row r="949">
      <c r="B949" s="26"/>
      <c r="C949" s="46"/>
      <c r="D949" s="46"/>
      <c r="E949" s="46"/>
      <c r="F949" s="46"/>
      <c r="G949" s="46"/>
      <c r="H949" s="46"/>
      <c r="I949" s="51"/>
      <c r="J949" s="51"/>
      <c r="K949" s="51"/>
      <c r="L949" s="51"/>
      <c r="M949" s="51"/>
      <c r="N949" s="51"/>
      <c r="O949" s="51"/>
      <c r="P949" s="51"/>
      <c r="Q949" s="52"/>
    </row>
    <row r="950">
      <c r="B950" s="26"/>
      <c r="C950" s="46"/>
      <c r="D950" s="46"/>
      <c r="E950" s="46"/>
      <c r="F950" s="46"/>
      <c r="G950" s="46"/>
      <c r="H950" s="46"/>
      <c r="I950" s="51"/>
      <c r="J950" s="51"/>
      <c r="K950" s="51"/>
      <c r="L950" s="51"/>
      <c r="M950" s="51"/>
      <c r="N950" s="51"/>
      <c r="O950" s="51"/>
      <c r="P950" s="51"/>
      <c r="Q950" s="52"/>
    </row>
    <row r="951">
      <c r="B951" s="26"/>
      <c r="C951" s="46"/>
      <c r="D951" s="46"/>
      <c r="E951" s="46"/>
      <c r="F951" s="46"/>
      <c r="G951" s="46"/>
      <c r="H951" s="46"/>
      <c r="I951" s="51"/>
      <c r="J951" s="51"/>
      <c r="K951" s="51"/>
      <c r="L951" s="51"/>
      <c r="M951" s="51"/>
      <c r="N951" s="51"/>
      <c r="O951" s="51"/>
      <c r="P951" s="51"/>
      <c r="Q951" s="52"/>
    </row>
    <row r="952">
      <c r="B952" s="26"/>
      <c r="C952" s="46"/>
      <c r="D952" s="46"/>
      <c r="E952" s="46"/>
      <c r="F952" s="46"/>
      <c r="G952" s="46"/>
      <c r="H952" s="46"/>
      <c r="I952" s="51"/>
      <c r="J952" s="51"/>
      <c r="K952" s="51"/>
      <c r="L952" s="51"/>
      <c r="M952" s="51"/>
      <c r="N952" s="51"/>
      <c r="O952" s="51"/>
      <c r="P952" s="51"/>
      <c r="Q952" s="52"/>
    </row>
    <row r="953">
      <c r="B953" s="26"/>
      <c r="C953" s="46"/>
      <c r="D953" s="46"/>
      <c r="E953" s="46"/>
      <c r="F953" s="46"/>
      <c r="G953" s="46"/>
      <c r="H953" s="46"/>
      <c r="I953" s="51"/>
      <c r="J953" s="51"/>
      <c r="K953" s="51"/>
      <c r="L953" s="51"/>
      <c r="M953" s="51"/>
      <c r="N953" s="51"/>
      <c r="O953" s="51"/>
      <c r="P953" s="51"/>
      <c r="Q953" s="52"/>
    </row>
    <row r="954">
      <c r="B954" s="26"/>
      <c r="C954" s="46"/>
      <c r="D954" s="46"/>
      <c r="E954" s="46"/>
      <c r="F954" s="46"/>
      <c r="G954" s="46"/>
      <c r="H954" s="46"/>
      <c r="I954" s="51"/>
      <c r="J954" s="51"/>
      <c r="K954" s="51"/>
      <c r="L954" s="51"/>
      <c r="M954" s="51"/>
      <c r="N954" s="51"/>
      <c r="O954" s="51"/>
      <c r="P954" s="51"/>
      <c r="Q954" s="52"/>
    </row>
    <row r="955">
      <c r="B955" s="26"/>
      <c r="C955" s="46"/>
      <c r="D955" s="46"/>
      <c r="E955" s="46"/>
      <c r="F955" s="46"/>
      <c r="G955" s="46"/>
      <c r="H955" s="46"/>
      <c r="I955" s="51"/>
      <c r="J955" s="51"/>
      <c r="K955" s="51"/>
      <c r="L955" s="51"/>
      <c r="M955" s="51"/>
      <c r="N955" s="51"/>
      <c r="O955" s="51"/>
      <c r="P955" s="51"/>
      <c r="Q955" s="52"/>
    </row>
    <row r="956">
      <c r="B956" s="26"/>
      <c r="C956" s="46"/>
      <c r="D956" s="46"/>
      <c r="E956" s="46"/>
      <c r="F956" s="46"/>
      <c r="G956" s="46"/>
      <c r="H956" s="46"/>
      <c r="I956" s="51"/>
      <c r="J956" s="51"/>
      <c r="K956" s="51"/>
      <c r="L956" s="51"/>
      <c r="M956" s="51"/>
      <c r="N956" s="51"/>
      <c r="O956" s="51"/>
      <c r="P956" s="51"/>
      <c r="Q956" s="52"/>
    </row>
    <row r="957">
      <c r="B957" s="26"/>
      <c r="C957" s="46"/>
      <c r="D957" s="46"/>
      <c r="E957" s="46"/>
      <c r="F957" s="46"/>
      <c r="G957" s="46"/>
      <c r="H957" s="46"/>
      <c r="I957" s="51"/>
      <c r="J957" s="51"/>
      <c r="K957" s="51"/>
      <c r="L957" s="51"/>
      <c r="M957" s="51"/>
      <c r="N957" s="51"/>
      <c r="O957" s="51"/>
      <c r="P957" s="51"/>
      <c r="Q957" s="52"/>
    </row>
    <row r="958">
      <c r="B958" s="26"/>
      <c r="C958" s="46"/>
      <c r="D958" s="46"/>
      <c r="E958" s="46"/>
      <c r="F958" s="46"/>
      <c r="G958" s="46"/>
      <c r="H958" s="46"/>
      <c r="I958" s="51"/>
      <c r="J958" s="51"/>
      <c r="K958" s="51"/>
      <c r="L958" s="51"/>
      <c r="M958" s="51"/>
      <c r="N958" s="51"/>
      <c r="O958" s="51"/>
      <c r="P958" s="51"/>
      <c r="Q958" s="52"/>
    </row>
    <row r="959">
      <c r="B959" s="26"/>
      <c r="C959" s="46"/>
      <c r="D959" s="46"/>
      <c r="E959" s="46"/>
      <c r="F959" s="46"/>
      <c r="G959" s="46"/>
      <c r="H959" s="46"/>
      <c r="I959" s="51"/>
      <c r="J959" s="51"/>
      <c r="K959" s="51"/>
      <c r="L959" s="51"/>
      <c r="M959" s="51"/>
      <c r="N959" s="51"/>
      <c r="O959" s="51"/>
      <c r="P959" s="51"/>
      <c r="Q959" s="52"/>
    </row>
    <row r="960">
      <c r="B960" s="26"/>
      <c r="C960" s="46"/>
      <c r="D960" s="46"/>
      <c r="E960" s="46"/>
      <c r="F960" s="46"/>
      <c r="G960" s="46"/>
      <c r="H960" s="46"/>
      <c r="I960" s="51"/>
      <c r="J960" s="51"/>
      <c r="K960" s="51"/>
      <c r="L960" s="51"/>
      <c r="M960" s="51"/>
      <c r="N960" s="51"/>
      <c r="O960" s="51"/>
      <c r="P960" s="51"/>
      <c r="Q960" s="52"/>
    </row>
    <row r="961">
      <c r="B961" s="26"/>
      <c r="C961" s="46"/>
      <c r="D961" s="46"/>
      <c r="E961" s="46"/>
      <c r="F961" s="46"/>
      <c r="G961" s="46"/>
      <c r="H961" s="46"/>
      <c r="I961" s="51"/>
      <c r="J961" s="51"/>
      <c r="K961" s="51"/>
      <c r="L961" s="51"/>
      <c r="M961" s="51"/>
      <c r="N961" s="51"/>
      <c r="O961" s="51"/>
      <c r="P961" s="51"/>
      <c r="Q961" s="52"/>
    </row>
    <row r="962">
      <c r="B962" s="26"/>
      <c r="C962" s="46"/>
      <c r="D962" s="46"/>
      <c r="E962" s="46"/>
      <c r="F962" s="46"/>
      <c r="G962" s="46"/>
      <c r="H962" s="46"/>
      <c r="I962" s="51"/>
      <c r="J962" s="51"/>
      <c r="K962" s="51"/>
      <c r="L962" s="51"/>
      <c r="M962" s="51"/>
      <c r="N962" s="51"/>
      <c r="O962" s="51"/>
      <c r="P962" s="51"/>
      <c r="Q962" s="52"/>
    </row>
    <row r="963">
      <c r="B963" s="26"/>
      <c r="C963" s="46"/>
      <c r="D963" s="46"/>
      <c r="E963" s="46"/>
      <c r="F963" s="46"/>
      <c r="G963" s="46"/>
      <c r="H963" s="46"/>
      <c r="I963" s="51"/>
      <c r="J963" s="51"/>
      <c r="K963" s="51"/>
      <c r="L963" s="51"/>
      <c r="M963" s="51"/>
      <c r="N963" s="51"/>
      <c r="O963" s="51"/>
      <c r="P963" s="51"/>
      <c r="Q963" s="52"/>
    </row>
    <row r="964">
      <c r="B964" s="26"/>
      <c r="C964" s="46"/>
      <c r="D964" s="46"/>
      <c r="E964" s="46"/>
      <c r="F964" s="46"/>
      <c r="G964" s="46"/>
      <c r="H964" s="46"/>
      <c r="I964" s="51"/>
      <c r="J964" s="51"/>
      <c r="K964" s="51"/>
      <c r="L964" s="51"/>
      <c r="M964" s="51"/>
      <c r="N964" s="51"/>
      <c r="O964" s="51"/>
      <c r="P964" s="51"/>
      <c r="Q964" s="52"/>
    </row>
    <row r="965">
      <c r="B965" s="26"/>
      <c r="C965" s="46"/>
      <c r="D965" s="46"/>
      <c r="E965" s="46"/>
      <c r="F965" s="46"/>
      <c r="G965" s="46"/>
      <c r="H965" s="46"/>
      <c r="I965" s="51"/>
      <c r="J965" s="51"/>
      <c r="K965" s="51"/>
      <c r="L965" s="51"/>
      <c r="M965" s="51"/>
      <c r="N965" s="51"/>
      <c r="O965" s="51"/>
      <c r="P965" s="51"/>
      <c r="Q965" s="52"/>
    </row>
    <row r="966">
      <c r="B966" s="26"/>
      <c r="C966" s="46"/>
      <c r="D966" s="46"/>
      <c r="E966" s="46"/>
      <c r="F966" s="46"/>
      <c r="G966" s="46"/>
      <c r="H966" s="46"/>
      <c r="I966" s="51"/>
      <c r="J966" s="51"/>
      <c r="K966" s="51"/>
      <c r="L966" s="51"/>
      <c r="M966" s="51"/>
      <c r="N966" s="51"/>
      <c r="O966" s="51"/>
      <c r="P966" s="51"/>
      <c r="Q966" s="52"/>
    </row>
    <row r="967">
      <c r="B967" s="26"/>
      <c r="C967" s="46"/>
      <c r="D967" s="46"/>
      <c r="E967" s="46"/>
      <c r="F967" s="46"/>
      <c r="G967" s="46"/>
      <c r="H967" s="46"/>
      <c r="I967" s="51"/>
      <c r="J967" s="51"/>
      <c r="K967" s="51"/>
      <c r="L967" s="51"/>
      <c r="M967" s="51"/>
      <c r="N967" s="51"/>
      <c r="O967" s="51"/>
      <c r="P967" s="51"/>
      <c r="Q967" s="52"/>
    </row>
    <row r="968">
      <c r="B968" s="26"/>
      <c r="C968" s="46"/>
      <c r="D968" s="46"/>
      <c r="E968" s="46"/>
      <c r="F968" s="46"/>
      <c r="G968" s="46"/>
      <c r="H968" s="46"/>
      <c r="I968" s="51"/>
      <c r="J968" s="51"/>
      <c r="K968" s="51"/>
      <c r="L968" s="51"/>
      <c r="M968" s="51"/>
      <c r="N968" s="51"/>
      <c r="O968" s="51"/>
      <c r="P968" s="51"/>
      <c r="Q968" s="52"/>
    </row>
    <row r="969">
      <c r="B969" s="26"/>
      <c r="C969" s="46"/>
      <c r="D969" s="46"/>
      <c r="E969" s="46"/>
      <c r="F969" s="46"/>
      <c r="G969" s="46"/>
      <c r="H969" s="46"/>
      <c r="I969" s="51"/>
      <c r="J969" s="51"/>
      <c r="K969" s="51"/>
      <c r="L969" s="51"/>
      <c r="M969" s="51"/>
      <c r="N969" s="51"/>
      <c r="O969" s="51"/>
      <c r="P969" s="51"/>
      <c r="Q969" s="52"/>
    </row>
    <row r="970">
      <c r="B970" s="26"/>
      <c r="C970" s="46"/>
      <c r="D970" s="46"/>
      <c r="E970" s="46"/>
      <c r="F970" s="46"/>
      <c r="G970" s="46"/>
      <c r="H970" s="46"/>
      <c r="I970" s="51"/>
      <c r="J970" s="51"/>
      <c r="K970" s="51"/>
      <c r="L970" s="51"/>
      <c r="M970" s="51"/>
      <c r="N970" s="51"/>
      <c r="O970" s="51"/>
      <c r="P970" s="51"/>
      <c r="Q970" s="52"/>
    </row>
    <row r="971">
      <c r="B971" s="26"/>
      <c r="C971" s="46"/>
      <c r="D971" s="46"/>
      <c r="E971" s="46"/>
      <c r="F971" s="46"/>
      <c r="G971" s="46"/>
      <c r="H971" s="46"/>
      <c r="I971" s="51"/>
      <c r="J971" s="51"/>
      <c r="K971" s="51"/>
      <c r="L971" s="51"/>
      <c r="M971" s="51"/>
      <c r="N971" s="51"/>
      <c r="O971" s="51"/>
      <c r="P971" s="51"/>
      <c r="Q971" s="52"/>
    </row>
    <row r="972">
      <c r="B972" s="26"/>
      <c r="C972" s="46"/>
      <c r="D972" s="46"/>
      <c r="E972" s="46"/>
      <c r="F972" s="46"/>
      <c r="G972" s="46"/>
      <c r="H972" s="46"/>
      <c r="I972" s="51"/>
      <c r="J972" s="51"/>
      <c r="K972" s="51"/>
      <c r="L972" s="51"/>
      <c r="M972" s="51"/>
      <c r="N972" s="51"/>
      <c r="O972" s="51"/>
      <c r="P972" s="51"/>
      <c r="Q972" s="52"/>
    </row>
    <row r="973">
      <c r="B973" s="26"/>
      <c r="C973" s="46"/>
      <c r="D973" s="46"/>
      <c r="E973" s="46"/>
      <c r="F973" s="46"/>
      <c r="G973" s="46"/>
      <c r="H973" s="46"/>
      <c r="I973" s="51"/>
      <c r="J973" s="51"/>
      <c r="K973" s="51"/>
      <c r="L973" s="51"/>
      <c r="M973" s="51"/>
      <c r="N973" s="51"/>
      <c r="O973" s="51"/>
      <c r="P973" s="51"/>
      <c r="Q973" s="52"/>
    </row>
    <row r="974">
      <c r="B974" s="26"/>
      <c r="C974" s="46"/>
      <c r="D974" s="46"/>
      <c r="E974" s="46"/>
      <c r="F974" s="46"/>
      <c r="G974" s="46"/>
      <c r="H974" s="46"/>
      <c r="I974" s="51"/>
      <c r="J974" s="51"/>
      <c r="K974" s="51"/>
      <c r="L974" s="51"/>
      <c r="M974" s="51"/>
      <c r="N974" s="51"/>
      <c r="O974" s="51"/>
      <c r="P974" s="51"/>
      <c r="Q974" s="52"/>
    </row>
    <row r="975">
      <c r="B975" s="26"/>
      <c r="C975" s="46"/>
      <c r="D975" s="46"/>
      <c r="E975" s="46"/>
      <c r="F975" s="46"/>
      <c r="G975" s="46"/>
      <c r="H975" s="46"/>
      <c r="I975" s="51"/>
      <c r="J975" s="51"/>
      <c r="K975" s="51"/>
      <c r="L975" s="51"/>
      <c r="M975" s="51"/>
      <c r="N975" s="51"/>
      <c r="O975" s="51"/>
      <c r="P975" s="51"/>
      <c r="Q975" s="52"/>
    </row>
    <row r="976">
      <c r="B976" s="26"/>
      <c r="C976" s="46"/>
      <c r="D976" s="46"/>
      <c r="E976" s="46"/>
      <c r="F976" s="46"/>
      <c r="G976" s="46"/>
      <c r="H976" s="46"/>
      <c r="I976" s="51"/>
      <c r="J976" s="51"/>
      <c r="K976" s="51"/>
      <c r="L976" s="51"/>
      <c r="M976" s="51"/>
      <c r="N976" s="51"/>
      <c r="O976" s="51"/>
      <c r="P976" s="51"/>
      <c r="Q976" s="52"/>
    </row>
    <row r="977">
      <c r="B977" s="26"/>
      <c r="C977" s="46"/>
      <c r="D977" s="46"/>
      <c r="E977" s="46"/>
      <c r="F977" s="46"/>
      <c r="G977" s="46"/>
      <c r="H977" s="46"/>
      <c r="I977" s="51"/>
      <c r="J977" s="51"/>
      <c r="K977" s="51"/>
      <c r="L977" s="51"/>
      <c r="M977" s="51"/>
      <c r="N977" s="51"/>
      <c r="O977" s="51"/>
      <c r="P977" s="51"/>
      <c r="Q977" s="52"/>
    </row>
    <row r="978">
      <c r="B978" s="26"/>
      <c r="C978" s="46"/>
      <c r="D978" s="46"/>
      <c r="E978" s="46"/>
      <c r="F978" s="46"/>
      <c r="G978" s="46"/>
      <c r="H978" s="46"/>
      <c r="I978" s="51"/>
      <c r="J978" s="51"/>
      <c r="K978" s="51"/>
      <c r="L978" s="51"/>
      <c r="M978" s="51"/>
      <c r="N978" s="51"/>
      <c r="O978" s="51"/>
      <c r="P978" s="51"/>
      <c r="Q978" s="52"/>
    </row>
    <row r="979">
      <c r="B979" s="26"/>
      <c r="C979" s="46"/>
      <c r="D979" s="46"/>
      <c r="E979" s="46"/>
      <c r="F979" s="46"/>
      <c r="G979" s="46"/>
      <c r="H979" s="46"/>
      <c r="I979" s="51"/>
      <c r="J979" s="51"/>
      <c r="K979" s="51"/>
      <c r="L979" s="51"/>
      <c r="M979" s="51"/>
      <c r="N979" s="51"/>
      <c r="O979" s="51"/>
      <c r="P979" s="51"/>
      <c r="Q979" s="52"/>
    </row>
    <row r="980">
      <c r="B980" s="26"/>
      <c r="C980" s="46"/>
      <c r="D980" s="46"/>
      <c r="E980" s="46"/>
      <c r="F980" s="46"/>
      <c r="G980" s="46"/>
      <c r="H980" s="46"/>
      <c r="I980" s="51"/>
      <c r="J980" s="51"/>
      <c r="K980" s="51"/>
      <c r="L980" s="51"/>
      <c r="M980" s="51"/>
      <c r="N980" s="51"/>
      <c r="O980" s="51"/>
      <c r="P980" s="51"/>
      <c r="Q980" s="52"/>
    </row>
    <row r="981">
      <c r="B981" s="26"/>
      <c r="C981" s="46"/>
      <c r="D981" s="46"/>
      <c r="E981" s="46"/>
      <c r="F981" s="46"/>
      <c r="G981" s="46"/>
      <c r="H981" s="46"/>
      <c r="I981" s="51"/>
      <c r="J981" s="51"/>
      <c r="K981" s="51"/>
      <c r="L981" s="51"/>
      <c r="M981" s="51"/>
      <c r="N981" s="51"/>
      <c r="O981" s="51"/>
      <c r="P981" s="51"/>
      <c r="Q981" s="52"/>
    </row>
    <row r="982">
      <c r="B982" s="26"/>
      <c r="C982" s="46"/>
      <c r="D982" s="46"/>
      <c r="E982" s="46"/>
      <c r="F982" s="46"/>
      <c r="G982" s="46"/>
      <c r="H982" s="46"/>
      <c r="I982" s="51"/>
      <c r="J982" s="51"/>
      <c r="K982" s="51"/>
      <c r="L982" s="51"/>
      <c r="M982" s="51"/>
      <c r="N982" s="51"/>
      <c r="O982" s="51"/>
      <c r="P982" s="51"/>
      <c r="Q982" s="52"/>
    </row>
    <row r="983">
      <c r="B983" s="26"/>
      <c r="C983" s="46"/>
      <c r="D983" s="46"/>
      <c r="E983" s="46"/>
      <c r="F983" s="46"/>
      <c r="G983" s="46"/>
      <c r="H983" s="46"/>
      <c r="I983" s="51"/>
      <c r="J983" s="51"/>
      <c r="K983" s="51"/>
      <c r="L983" s="51"/>
      <c r="M983" s="51"/>
      <c r="N983" s="51"/>
      <c r="O983" s="51"/>
      <c r="P983" s="51"/>
      <c r="Q983" s="52"/>
    </row>
    <row r="984">
      <c r="B984" s="26"/>
      <c r="C984" s="46"/>
      <c r="D984" s="46"/>
      <c r="E984" s="46"/>
      <c r="F984" s="46"/>
      <c r="G984" s="46"/>
      <c r="H984" s="46"/>
      <c r="I984" s="51"/>
      <c r="J984" s="51"/>
      <c r="K984" s="51"/>
      <c r="L984" s="51"/>
      <c r="M984" s="51"/>
      <c r="N984" s="51"/>
      <c r="O984" s="51"/>
      <c r="P984" s="51"/>
      <c r="Q984" s="52"/>
    </row>
    <row r="985">
      <c r="B985" s="26"/>
      <c r="C985" s="46"/>
      <c r="D985" s="46"/>
      <c r="E985" s="46"/>
      <c r="F985" s="46"/>
      <c r="G985" s="46"/>
      <c r="H985" s="46"/>
      <c r="I985" s="51"/>
      <c r="J985" s="51"/>
      <c r="K985" s="51"/>
      <c r="L985" s="51"/>
      <c r="M985" s="51"/>
      <c r="N985" s="51"/>
      <c r="O985" s="51"/>
      <c r="P985" s="51"/>
      <c r="Q985" s="52"/>
    </row>
    <row r="986">
      <c r="B986" s="26"/>
      <c r="C986" s="46"/>
      <c r="D986" s="46"/>
      <c r="E986" s="46"/>
      <c r="F986" s="46"/>
      <c r="G986" s="46"/>
      <c r="H986" s="46"/>
      <c r="I986" s="51"/>
      <c r="J986" s="51"/>
      <c r="K986" s="51"/>
      <c r="L986" s="51"/>
      <c r="M986" s="51"/>
      <c r="N986" s="51"/>
      <c r="O986" s="51"/>
      <c r="P986" s="51"/>
      <c r="Q986" s="52"/>
    </row>
    <row r="987">
      <c r="B987" s="26"/>
      <c r="C987" s="46"/>
      <c r="D987" s="46"/>
      <c r="E987" s="46"/>
      <c r="F987" s="46"/>
      <c r="G987" s="46"/>
      <c r="H987" s="46"/>
      <c r="I987" s="51"/>
      <c r="J987" s="51"/>
      <c r="K987" s="51"/>
      <c r="L987" s="51"/>
      <c r="M987" s="51"/>
      <c r="N987" s="51"/>
      <c r="O987" s="51"/>
      <c r="P987" s="51"/>
      <c r="Q987" s="52"/>
    </row>
    <row r="988">
      <c r="B988" s="26"/>
      <c r="C988" s="46"/>
      <c r="D988" s="46"/>
      <c r="E988" s="46"/>
      <c r="F988" s="46"/>
      <c r="G988" s="46"/>
      <c r="H988" s="46"/>
      <c r="I988" s="51"/>
      <c r="J988" s="51"/>
      <c r="K988" s="51"/>
      <c r="L988" s="51"/>
      <c r="M988" s="51"/>
      <c r="N988" s="51"/>
      <c r="O988" s="51"/>
      <c r="P988" s="51"/>
      <c r="Q988" s="52"/>
    </row>
    <row r="989">
      <c r="B989" s="26"/>
      <c r="C989" s="46"/>
      <c r="D989" s="46"/>
      <c r="E989" s="46"/>
      <c r="F989" s="46"/>
      <c r="G989" s="46"/>
      <c r="H989" s="46"/>
      <c r="I989" s="51"/>
      <c r="J989" s="51"/>
      <c r="K989" s="51"/>
      <c r="L989" s="51"/>
      <c r="M989" s="51"/>
      <c r="N989" s="51"/>
      <c r="O989" s="51"/>
      <c r="P989" s="51"/>
      <c r="Q989" s="52"/>
    </row>
    <row r="990">
      <c r="B990" s="26"/>
      <c r="C990" s="46"/>
      <c r="D990" s="46"/>
      <c r="E990" s="46"/>
      <c r="F990" s="46"/>
      <c r="G990" s="46"/>
      <c r="H990" s="46"/>
      <c r="I990" s="51"/>
      <c r="J990" s="51"/>
      <c r="K990" s="51"/>
      <c r="L990" s="51"/>
      <c r="M990" s="51"/>
      <c r="N990" s="51"/>
      <c r="O990" s="51"/>
      <c r="P990" s="51"/>
      <c r="Q990" s="52"/>
    </row>
    <row r="991">
      <c r="B991" s="26"/>
      <c r="C991" s="46"/>
      <c r="D991" s="46"/>
      <c r="E991" s="46"/>
      <c r="F991" s="46"/>
      <c r="G991" s="46"/>
      <c r="H991" s="46"/>
      <c r="I991" s="51"/>
      <c r="J991" s="51"/>
      <c r="K991" s="51"/>
      <c r="L991" s="51"/>
      <c r="M991" s="51"/>
      <c r="N991" s="51"/>
      <c r="O991" s="51"/>
      <c r="P991" s="51"/>
      <c r="Q991" s="52"/>
    </row>
    <row r="992">
      <c r="B992" s="26"/>
      <c r="C992" s="46"/>
      <c r="D992" s="46"/>
      <c r="E992" s="46"/>
      <c r="F992" s="46"/>
      <c r="G992" s="46"/>
      <c r="H992" s="46"/>
      <c r="I992" s="51"/>
      <c r="J992" s="51"/>
      <c r="K992" s="51"/>
      <c r="L992" s="51"/>
      <c r="M992" s="51"/>
      <c r="N992" s="51"/>
      <c r="O992" s="51"/>
      <c r="P992" s="51"/>
      <c r="Q992" s="52"/>
    </row>
    <row r="993">
      <c r="B993" s="26"/>
      <c r="C993" s="46"/>
      <c r="D993" s="46"/>
      <c r="E993" s="46"/>
      <c r="F993" s="46"/>
      <c r="G993" s="46"/>
      <c r="H993" s="46"/>
      <c r="I993" s="51"/>
      <c r="J993" s="51"/>
      <c r="K993" s="51"/>
      <c r="L993" s="51"/>
      <c r="M993" s="51"/>
      <c r="N993" s="51"/>
      <c r="O993" s="51"/>
      <c r="P993" s="51"/>
      <c r="Q993" s="52"/>
    </row>
    <row r="994">
      <c r="B994" s="26"/>
      <c r="C994" s="46"/>
      <c r="D994" s="46"/>
      <c r="E994" s="46"/>
      <c r="F994" s="46"/>
      <c r="G994" s="46"/>
      <c r="H994" s="46"/>
      <c r="I994" s="51"/>
      <c r="J994" s="51"/>
      <c r="K994" s="51"/>
      <c r="L994" s="51"/>
      <c r="M994" s="51"/>
      <c r="N994" s="51"/>
      <c r="O994" s="51"/>
      <c r="P994" s="51"/>
      <c r="Q994" s="52"/>
    </row>
    <row r="995">
      <c r="B995" s="26"/>
      <c r="C995" s="46"/>
      <c r="D995" s="46"/>
      <c r="E995" s="46"/>
      <c r="F995" s="46"/>
      <c r="G995" s="46"/>
      <c r="H995" s="46"/>
      <c r="I995" s="51"/>
      <c r="J995" s="51"/>
      <c r="K995" s="51"/>
      <c r="L995" s="51"/>
      <c r="M995" s="51"/>
      <c r="N995" s="51"/>
      <c r="O995" s="51"/>
      <c r="P995" s="51"/>
      <c r="Q995" s="52"/>
    </row>
    <row r="996">
      <c r="B996" s="26"/>
      <c r="C996" s="46"/>
      <c r="D996" s="46"/>
      <c r="E996" s="46"/>
      <c r="F996" s="46"/>
      <c r="G996" s="46"/>
      <c r="H996" s="46"/>
      <c r="I996" s="51"/>
      <c r="J996" s="51"/>
      <c r="K996" s="51"/>
      <c r="L996" s="51"/>
      <c r="M996" s="51"/>
      <c r="N996" s="51"/>
      <c r="O996" s="51"/>
      <c r="P996" s="51"/>
      <c r="Q996" s="52"/>
    </row>
    <row r="997">
      <c r="B997" s="26"/>
      <c r="C997" s="46"/>
      <c r="D997" s="46"/>
      <c r="E997" s="46"/>
      <c r="F997" s="46"/>
      <c r="G997" s="46"/>
      <c r="H997" s="46"/>
      <c r="I997" s="51"/>
      <c r="J997" s="51"/>
      <c r="K997" s="51"/>
      <c r="L997" s="51"/>
      <c r="M997" s="51"/>
      <c r="N997" s="51"/>
      <c r="O997" s="51"/>
      <c r="P997" s="51"/>
      <c r="Q997" s="52"/>
    </row>
    <row r="998">
      <c r="B998" s="26"/>
      <c r="C998" s="46"/>
      <c r="D998" s="46"/>
      <c r="E998" s="46"/>
      <c r="F998" s="46"/>
      <c r="G998" s="46"/>
      <c r="H998" s="46"/>
      <c r="I998" s="51"/>
      <c r="J998" s="51"/>
      <c r="K998" s="51"/>
      <c r="L998" s="51"/>
      <c r="M998" s="51"/>
      <c r="N998" s="51"/>
      <c r="O998" s="51"/>
      <c r="P998" s="51"/>
      <c r="Q998" s="52"/>
    </row>
    <row r="999">
      <c r="B999" s="26"/>
      <c r="C999" s="46"/>
      <c r="D999" s="46"/>
      <c r="E999" s="46"/>
      <c r="F999" s="46"/>
      <c r="G999" s="46"/>
      <c r="H999" s="46"/>
      <c r="I999" s="51"/>
      <c r="J999" s="51"/>
      <c r="K999" s="51"/>
      <c r="L999" s="51"/>
      <c r="M999" s="51"/>
      <c r="N999" s="51"/>
      <c r="O999" s="51"/>
      <c r="P999" s="51"/>
      <c r="Q999" s="52"/>
    </row>
    <row r="1000">
      <c r="B1000" s="26"/>
      <c r="C1000" s="46"/>
      <c r="D1000" s="46"/>
      <c r="E1000" s="46"/>
      <c r="F1000" s="46"/>
      <c r="G1000" s="46"/>
      <c r="H1000" s="46"/>
      <c r="I1000" s="51"/>
      <c r="J1000" s="51"/>
      <c r="K1000" s="51"/>
      <c r="L1000" s="51"/>
      <c r="M1000" s="51"/>
      <c r="N1000" s="51"/>
      <c r="O1000" s="51"/>
      <c r="P1000" s="51"/>
      <c r="Q1000" s="52"/>
    </row>
  </sheetData>
  <autoFilter ref="$A$1:$S$1000"/>
  <conditionalFormatting sqref="C2:P126">
    <cfRule type="cellIs" dxfId="0" priority="1" operator="equal">
      <formula>"TRUE"</formula>
    </cfRule>
  </conditionalFormatting>
  <conditionalFormatting sqref="C2:P126">
    <cfRule type="beginsWith" dxfId="1" priority="2" operator="beginsWith" text="FALSE">
      <formula>LEFT((C2),LEN("FALSE"))=("FALSE")</formula>
    </cfRule>
  </conditionalFormatting>
  <conditionalFormatting sqref="C2:P126">
    <cfRule type="cellIs" dxfId="2" priority="3" operator="equal">
      <formula>"TO DO"</formula>
    </cfRule>
  </conditionalFormatting>
  <conditionalFormatting sqref="C2:P126">
    <cfRule type="cellIs" dxfId="3" priority="4" operator="equal">
      <formula>"SKIP"</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5" max="5" width="15.0"/>
    <col customWidth="1" min="6" max="6" width="26.38"/>
  </cols>
  <sheetData>
    <row r="1">
      <c r="A1" s="15" t="s">
        <v>520</v>
      </c>
      <c r="B1" s="15" t="s">
        <v>428</v>
      </c>
      <c r="C1" s="15" t="s">
        <v>429</v>
      </c>
      <c r="D1" s="15" t="s">
        <v>434</v>
      </c>
      <c r="E1" s="15" t="s">
        <v>521</v>
      </c>
      <c r="F1" s="15" t="s">
        <v>426</v>
      </c>
      <c r="G1" s="15" t="s">
        <v>522</v>
      </c>
    </row>
    <row r="2">
      <c r="A2" s="16" t="str">
        <f t="shared" ref="A2:A70" si="1">LEFT(MD5(B2), 7)</f>
        <v>Loading...</v>
      </c>
      <c r="B2" s="16" t="s">
        <v>161</v>
      </c>
      <c r="C2" s="5">
        <v>5.0</v>
      </c>
      <c r="D2" s="5" t="b">
        <v>1</v>
      </c>
      <c r="E2" s="23" t="s">
        <v>160</v>
      </c>
      <c r="F2" s="16" t="str">
        <f t="array" ref="F2">VLOOKUP(E2,{Source!B:B,Source!A:A},2,FALSE)</f>
        <v>10.1787/9789264027862-12-en</v>
      </c>
    </row>
    <row r="3">
      <c r="A3" s="16" t="str">
        <f t="shared" si="1"/>
        <v>Loading...</v>
      </c>
      <c r="B3" s="16" t="s">
        <v>304</v>
      </c>
      <c r="C3" s="5">
        <v>5.0</v>
      </c>
      <c r="D3" s="5" t="b">
        <v>0</v>
      </c>
      <c r="E3" s="23" t="s">
        <v>303</v>
      </c>
      <c r="F3" s="16" t="str">
        <f t="array" ref="F3">VLOOKUP(E3,{Source!B:B,Source!A:A},2,FALSE)</f>
        <v>10.18356/56f09402-en</v>
      </c>
    </row>
    <row r="4">
      <c r="A4" s="16" t="str">
        <f t="shared" si="1"/>
        <v>Loading...</v>
      </c>
      <c r="B4" s="16" t="s">
        <v>297</v>
      </c>
      <c r="C4" s="5">
        <v>5.0</v>
      </c>
      <c r="D4" s="5" t="b">
        <v>1</v>
      </c>
      <c r="E4" s="23" t="s">
        <v>296</v>
      </c>
      <c r="F4" s="16" t="str">
        <f t="array" ref="F4">VLOOKUP(E4,{Source!B:B,Source!A:A},2,FALSE)</f>
        <v>10.18356/32ea1505-en</v>
      </c>
      <c r="G4" s="5" t="s">
        <v>463</v>
      </c>
    </row>
    <row r="5">
      <c r="A5" s="16" t="str">
        <f t="shared" si="1"/>
        <v>Loading...</v>
      </c>
      <c r="B5" s="16" t="s">
        <v>351</v>
      </c>
      <c r="C5" s="5">
        <v>5.0</v>
      </c>
      <c r="D5" s="5" t="b">
        <v>1</v>
      </c>
      <c r="E5" s="23" t="s">
        <v>350</v>
      </c>
      <c r="F5" s="16" t="str">
        <f t="array" ref="F5">VLOOKUP(E5,{Source!B:B,Source!A:A},2,FALSE)</f>
        <v>10.18356/caeceb38-en</v>
      </c>
      <c r="G5" s="5" t="s">
        <v>465</v>
      </c>
    </row>
    <row r="6">
      <c r="A6" s="16" t="str">
        <f t="shared" si="1"/>
        <v>Loading...</v>
      </c>
      <c r="B6" s="16" t="s">
        <v>182</v>
      </c>
      <c r="C6" s="5">
        <v>5.0</v>
      </c>
      <c r="D6" s="5" t="b">
        <v>1</v>
      </c>
      <c r="E6" s="23" t="s">
        <v>181</v>
      </c>
      <c r="F6" s="16" t="str">
        <f t="array" ref="F6">VLOOKUP(E6,{Source!B:B,Source!A:A},2,FALSE)</f>
        <v>10.18356/b82bdbfb-en</v>
      </c>
    </row>
    <row r="7">
      <c r="A7" s="16" t="str">
        <f t="shared" si="1"/>
        <v>Loading...</v>
      </c>
      <c r="B7" s="16" t="s">
        <v>125</v>
      </c>
      <c r="C7" s="5">
        <v>5.0</v>
      </c>
      <c r="D7" s="5" t="b">
        <v>0</v>
      </c>
      <c r="E7" s="23" t="s">
        <v>124</v>
      </c>
      <c r="F7" s="16" t="str">
        <f t="array" ref="F7">VLOOKUP(E7,{Source!B:B,Source!A:A},2,FALSE)</f>
        <v>10.18356/5085bf5a-en</v>
      </c>
      <c r="G7" s="5" t="s">
        <v>467</v>
      </c>
    </row>
    <row r="8">
      <c r="A8" s="16" t="str">
        <f t="shared" si="1"/>
        <v>Loading...</v>
      </c>
      <c r="B8" s="16" t="s">
        <v>268</v>
      </c>
      <c r="C8" s="5">
        <v>5.0</v>
      </c>
      <c r="D8" s="5" t="b">
        <v>1</v>
      </c>
      <c r="E8" s="23" t="s">
        <v>267</v>
      </c>
      <c r="F8" s="16" t="str">
        <f t="array" ref="F8">VLOOKUP(E8,{Source!B:B,Source!A:A},2,FALSE)</f>
        <v>10.1787/9789264279322-4-en</v>
      </c>
    </row>
    <row r="9">
      <c r="A9" s="16" t="str">
        <f t="shared" si="1"/>
        <v>Loading...</v>
      </c>
      <c r="B9" s="16" t="s">
        <v>173</v>
      </c>
      <c r="C9" s="5">
        <v>5.0</v>
      </c>
      <c r="D9" s="5" t="b">
        <v>0</v>
      </c>
      <c r="E9" s="23" t="s">
        <v>172</v>
      </c>
      <c r="F9" s="16" t="str">
        <f t="array" ref="F9">VLOOKUP(E9,{Source!B:B,Source!A:A},2,FALSE)</f>
        <v>10.18356/2e1a4924-en</v>
      </c>
    </row>
    <row r="10">
      <c r="A10" s="16" t="str">
        <f t="shared" si="1"/>
        <v>Loading...</v>
      </c>
      <c r="B10" s="16" t="s">
        <v>96</v>
      </c>
      <c r="C10" s="5">
        <v>5.0</v>
      </c>
      <c r="D10" s="5" t="b">
        <v>0</v>
      </c>
      <c r="E10" s="23" t="s">
        <v>95</v>
      </c>
      <c r="F10" s="16" t="str">
        <f t="array" ref="F10">VLOOKUP(E10,{Source!B:B,Source!A:A},2,FALSE)</f>
        <v>10.18356/a5e42fa0-en</v>
      </c>
    </row>
    <row r="11">
      <c r="A11" s="16" t="str">
        <f t="shared" si="1"/>
        <v>Loading...</v>
      </c>
      <c r="B11" s="16" t="s">
        <v>273</v>
      </c>
      <c r="C11" s="5">
        <v>5.0</v>
      </c>
      <c r="D11" s="5" t="b">
        <v>1</v>
      </c>
      <c r="E11" s="23" t="s">
        <v>272</v>
      </c>
      <c r="F11" s="16" t="str">
        <f t="array" ref="F11">VLOOKUP(E11,{Source!B:B,Source!A:A},2,FALSE)</f>
        <v>10.18356/401c524c-en</v>
      </c>
    </row>
    <row r="12">
      <c r="A12" s="16" t="str">
        <f t="shared" si="1"/>
        <v>Loading...</v>
      </c>
      <c r="B12" s="16" t="s">
        <v>357</v>
      </c>
      <c r="C12" s="5">
        <v>5.0</v>
      </c>
      <c r="D12" s="5" t="b">
        <v>1</v>
      </c>
      <c r="E12" s="23" t="s">
        <v>356</v>
      </c>
      <c r="F12" s="16" t="str">
        <f t="array" ref="F12">VLOOKUP(E12,{Source!B:B,Source!A:A},2,FALSE)</f>
        <v>10.18356/ea56e86b-en</v>
      </c>
    </row>
    <row r="13">
      <c r="A13" s="16" t="str">
        <f t="shared" si="1"/>
        <v>Loading...</v>
      </c>
      <c r="B13" s="16" t="s">
        <v>343</v>
      </c>
      <c r="C13" s="5">
        <v>5.0</v>
      </c>
      <c r="D13" s="5" t="b">
        <v>0</v>
      </c>
      <c r="E13" s="23" t="s">
        <v>342</v>
      </c>
      <c r="F13" s="16" t="str">
        <f t="array" ref="F13">VLOOKUP(E13,{Source!B:B,Source!A:A},2,FALSE)</f>
        <v>10.1787/9789264210745-6-en</v>
      </c>
    </row>
    <row r="14">
      <c r="A14" s="16" t="str">
        <f t="shared" si="1"/>
        <v>Loading...</v>
      </c>
      <c r="B14" s="5" t="s">
        <v>523</v>
      </c>
      <c r="C14" s="5">
        <v>5.0</v>
      </c>
      <c r="D14" s="5" t="b">
        <v>1</v>
      </c>
      <c r="E14" s="23" t="s">
        <v>207</v>
      </c>
      <c r="F14" s="16" t="str">
        <f t="array" ref="F14">VLOOKUP(E14,{Source!B:B,Source!A:A},2,FALSE)</f>
        <v>10.1787/9789264210745-6-en</v>
      </c>
      <c r="G14" s="5" t="s">
        <v>524</v>
      </c>
    </row>
    <row r="15">
      <c r="A15" s="16" t="str">
        <f t="shared" si="1"/>
        <v>Loading...</v>
      </c>
      <c r="B15" s="5" t="s">
        <v>525</v>
      </c>
      <c r="C15" s="5">
        <v>5.0</v>
      </c>
      <c r="D15" s="5" t="b">
        <v>0</v>
      </c>
      <c r="E15" s="23" t="s">
        <v>214</v>
      </c>
      <c r="F15" s="16" t="str">
        <f t="array" ref="F15">VLOOKUP(E15,{Source!B:B,Source!A:A},2,FALSE)</f>
        <v>10.1787/9789264259157-7-en</v>
      </c>
      <c r="G15" s="5" t="s">
        <v>526</v>
      </c>
    </row>
    <row r="16">
      <c r="A16" s="16" t="str">
        <f t="shared" si="1"/>
        <v>Loading...</v>
      </c>
      <c r="B16" s="16" t="s">
        <v>233</v>
      </c>
      <c r="C16" s="5">
        <v>5.0</v>
      </c>
      <c r="D16" s="5" t="b">
        <v>1</v>
      </c>
      <c r="E16" s="23" t="s">
        <v>232</v>
      </c>
      <c r="F16" s="16" t="str">
        <f t="array" ref="F16">VLOOKUP(E16,{Source!B:B,Source!A:A},2,FALSE)</f>
        <v>10.1787/5db444d4-en</v>
      </c>
    </row>
    <row r="17">
      <c r="A17" s="16" t="str">
        <f t="shared" si="1"/>
        <v>Loading...</v>
      </c>
      <c r="B17" s="16" t="s">
        <v>302</v>
      </c>
      <c r="C17" s="5">
        <v>5.0</v>
      </c>
      <c r="D17" s="5" t="b">
        <v>0</v>
      </c>
      <c r="E17" s="23" t="s">
        <v>301</v>
      </c>
      <c r="F17" s="16" t="str">
        <f t="array" ref="F17">VLOOKUP(E17,{Source!B:B,Source!A:A},2,FALSE)</f>
        <v>10.1787/empl/outlook-2016-8-en</v>
      </c>
    </row>
    <row r="18">
      <c r="A18" s="16" t="str">
        <f t="shared" si="1"/>
        <v>Loading...</v>
      </c>
      <c r="B18" s="16" t="s">
        <v>253</v>
      </c>
      <c r="C18" s="5">
        <v>5.0</v>
      </c>
      <c r="D18" s="5" t="b">
        <v>1</v>
      </c>
      <c r="E18" s="23" t="s">
        <v>252</v>
      </c>
      <c r="F18" s="16" t="str">
        <f t="array" ref="F18">VLOOKUP(E18,{Source!B:B,Source!A:A},2,FALSE)</f>
        <v>10.18356/137d57b2-en</v>
      </c>
    </row>
    <row r="19">
      <c r="A19" s="16" t="str">
        <f t="shared" si="1"/>
        <v>Loading...</v>
      </c>
      <c r="B19" s="16" t="s">
        <v>111</v>
      </c>
      <c r="C19" s="5">
        <v>5.0</v>
      </c>
      <c r="D19" s="5" t="b">
        <v>0</v>
      </c>
      <c r="E19" s="23" t="s">
        <v>110</v>
      </c>
      <c r="F19" s="16" t="str">
        <f t="array" ref="F19">VLOOKUP(E19,{Source!B:B,Source!A:A},2,FALSE)</f>
        <v>10.18356/caeceb38-en</v>
      </c>
    </row>
    <row r="20">
      <c r="A20" s="16" t="str">
        <f t="shared" si="1"/>
        <v>Loading...</v>
      </c>
      <c r="B20" s="16" t="s">
        <v>105</v>
      </c>
      <c r="C20" s="5">
        <v>5.0</v>
      </c>
      <c r="D20" s="5" t="b">
        <v>0</v>
      </c>
      <c r="E20" s="23" t="s">
        <v>104</v>
      </c>
      <c r="F20" s="16" t="str">
        <f t="array" ref="F20">VLOOKUP(E20,{Source!B:B,Source!A:A},2,FALSE)</f>
        <v>10.18356/0899dee9-en</v>
      </c>
    </row>
    <row r="21">
      <c r="A21" s="16" t="str">
        <f t="shared" si="1"/>
        <v>Loading...</v>
      </c>
      <c r="B21" s="16" t="s">
        <v>286</v>
      </c>
      <c r="C21" s="5">
        <v>5.0</v>
      </c>
      <c r="D21" s="5" t="b">
        <v>1</v>
      </c>
      <c r="E21" s="23" t="s">
        <v>285</v>
      </c>
      <c r="F21" s="16" t="str">
        <f t="array" ref="F21">VLOOKUP(E21,{Source!B:B,Source!A:A},2,FALSE)</f>
        <v>10.18356/1cef4f1d-en</v>
      </c>
    </row>
    <row r="22">
      <c r="A22" s="16" t="str">
        <f t="shared" si="1"/>
        <v>Loading...</v>
      </c>
      <c r="B22" s="16" t="s">
        <v>90</v>
      </c>
      <c r="C22" s="5">
        <v>5.0</v>
      </c>
      <c r="D22" s="5" t="b">
        <v>0</v>
      </c>
      <c r="E22" s="23" t="s">
        <v>89</v>
      </c>
      <c r="F22" s="16" t="str">
        <f t="array" ref="F22">VLOOKUP(E22,{Source!B:B,Source!A:A},2,FALSE)</f>
        <v>10.6027/9789289338974-12-en</v>
      </c>
    </row>
    <row r="23">
      <c r="A23" s="16" t="str">
        <f t="shared" si="1"/>
        <v>Loading...</v>
      </c>
      <c r="B23" s="16" t="s">
        <v>262</v>
      </c>
      <c r="C23" s="5">
        <v>5.0</v>
      </c>
      <c r="D23" s="5" t="b">
        <v>0</v>
      </c>
      <c r="E23" s="23" t="s">
        <v>261</v>
      </c>
      <c r="F23" s="16" t="str">
        <f t="array" ref="F23">VLOOKUP(E23,{Source!B:B,Source!A:A},2,FALSE)</f>
        <v>10.18356/caeceb38-en</v>
      </c>
    </row>
    <row r="24">
      <c r="A24" s="16" t="str">
        <f t="shared" si="1"/>
        <v>Loading...</v>
      </c>
      <c r="B24" s="16" t="s">
        <v>245</v>
      </c>
      <c r="C24" s="5">
        <v>5.0</v>
      </c>
      <c r="D24" s="5" t="b">
        <v>0</v>
      </c>
      <c r="E24" s="23" t="s">
        <v>244</v>
      </c>
      <c r="F24" s="16" t="str">
        <f t="array" ref="F24">VLOOKUP(E24,{Source!B:B,Source!A:A},2,FALSE)</f>
        <v>10.18356/fa683360-en</v>
      </c>
    </row>
    <row r="25">
      <c r="A25" s="16" t="str">
        <f t="shared" si="1"/>
        <v>Loading...</v>
      </c>
      <c r="B25" s="16" t="s">
        <v>346</v>
      </c>
      <c r="C25" s="5">
        <v>5.0</v>
      </c>
      <c r="D25" s="5" t="b">
        <v>0</v>
      </c>
      <c r="E25" s="23" t="s">
        <v>345</v>
      </c>
      <c r="F25" s="16" t="str">
        <f t="array" ref="F25">VLOOKUP(E25,{Source!B:B,Source!A:A},2,FALSE)</f>
        <v>10.18356/9c9efe4c-en</v>
      </c>
    </row>
    <row r="26">
      <c r="A26" s="16" t="str">
        <f t="shared" si="1"/>
        <v>Loading...</v>
      </c>
      <c r="B26" s="16" t="s">
        <v>200</v>
      </c>
      <c r="C26" s="5">
        <v>5.0</v>
      </c>
      <c r="D26" s="5" t="b">
        <v>1</v>
      </c>
      <c r="E26" s="23" t="s">
        <v>199</v>
      </c>
      <c r="F26" s="16" t="str">
        <f t="array" ref="F26">VLOOKUP(E26,{Source!B:B,Source!A:A},2,FALSE)</f>
        <v>10.1787/9789264265493-9-en</v>
      </c>
    </row>
    <row r="27">
      <c r="A27" s="16" t="str">
        <f t="shared" si="1"/>
        <v>Loading...</v>
      </c>
      <c r="B27" s="16" t="s">
        <v>103</v>
      </c>
      <c r="C27" s="5">
        <v>5.0</v>
      </c>
      <c r="D27" s="5" t="b">
        <v>1</v>
      </c>
      <c r="E27" s="23" t="s">
        <v>102</v>
      </c>
      <c r="F27" s="16" t="str">
        <f t="array" ref="F27">VLOOKUP(E27,{Source!B:B,Source!A:A},2,FALSE)</f>
        <v>10.18356/f5ce8f94-en</v>
      </c>
    </row>
    <row r="28">
      <c r="A28" s="16" t="str">
        <f t="shared" si="1"/>
        <v>Loading...</v>
      </c>
      <c r="B28" s="16" t="s">
        <v>191</v>
      </c>
      <c r="C28" s="5">
        <v>5.0</v>
      </c>
      <c r="D28" s="5" t="b">
        <v>0</v>
      </c>
      <c r="E28" s="23" t="s">
        <v>190</v>
      </c>
      <c r="F28" s="16" t="str">
        <f t="array" ref="F28">VLOOKUP(E28,{Source!B:B,Source!A:A},2,FALSE)</f>
        <v>10.1787/5jm2hz8dgls6-en</v>
      </c>
    </row>
    <row r="29">
      <c r="A29" s="16" t="str">
        <f t="shared" si="1"/>
        <v>Loading...</v>
      </c>
      <c r="B29" s="16" t="s">
        <v>329</v>
      </c>
      <c r="C29" s="5">
        <v>5.0</v>
      </c>
      <c r="D29" s="5" t="b">
        <v>1</v>
      </c>
      <c r="E29" s="23" t="s">
        <v>328</v>
      </c>
      <c r="F29" s="16" t="str">
        <f t="array" ref="F29">VLOOKUP(E29,{Source!B:B,Source!A:A},2,FALSE)</f>
        <v>10.18356/5f92f30f-en</v>
      </c>
    </row>
    <row r="30">
      <c r="A30" s="16" t="str">
        <f t="shared" si="1"/>
        <v>Loading...</v>
      </c>
      <c r="B30" s="5" t="s">
        <v>527</v>
      </c>
      <c r="C30" s="5">
        <v>5.0</v>
      </c>
      <c r="D30" s="5" t="b">
        <v>0</v>
      </c>
      <c r="E30" s="23" t="s">
        <v>237</v>
      </c>
      <c r="F30" s="16" t="str">
        <f t="array" ref="F30">VLOOKUP(E30,{Source!B:B,Source!A:A},2,FALSE)</f>
        <v>10.18356/0899dee9-en</v>
      </c>
      <c r="G30" s="5" t="s">
        <v>528</v>
      </c>
    </row>
    <row r="31">
      <c r="A31" s="16" t="str">
        <f t="shared" si="1"/>
        <v>Loading...</v>
      </c>
      <c r="B31" s="16" t="s">
        <v>265</v>
      </c>
      <c r="C31" s="5">
        <v>5.0</v>
      </c>
      <c r="D31" s="5" t="b">
        <v>1</v>
      </c>
      <c r="E31" s="23" t="s">
        <v>264</v>
      </c>
      <c r="F31" s="16" t="str">
        <f t="array" ref="F31">VLOOKUP(E31,{Source!B:B,Source!A:A},2,FALSE)</f>
        <v>10.18356/56f09402-en</v>
      </c>
    </row>
    <row r="32">
      <c r="A32" s="16" t="str">
        <f t="shared" si="1"/>
        <v>Loading...</v>
      </c>
      <c r="B32" s="16" t="s">
        <v>255</v>
      </c>
      <c r="C32" s="5">
        <v>5.0</v>
      </c>
      <c r="D32" s="5" t="b">
        <v>1</v>
      </c>
      <c r="E32" s="23" t="s">
        <v>254</v>
      </c>
      <c r="F32" s="16" t="str">
        <f t="array" ref="F32">VLOOKUP(E32,{Source!B:B,Source!A:A},2,FALSE)</f>
        <v>10.14217/967bd43c-en</v>
      </c>
    </row>
    <row r="33">
      <c r="A33" s="16" t="str">
        <f t="shared" si="1"/>
        <v>Loading...</v>
      </c>
      <c r="B33" s="16" t="s">
        <v>137</v>
      </c>
      <c r="C33" s="5">
        <v>5.0</v>
      </c>
      <c r="D33" s="5" t="b">
        <v>1</v>
      </c>
      <c r="E33" s="23" t="s">
        <v>136</v>
      </c>
      <c r="F33" s="16" t="str">
        <f t="array" ref="F33">VLOOKUP(E33,{Source!B:B,Source!A:A},2,FALSE)</f>
        <v>10.18356/efc21c19-en</v>
      </c>
    </row>
    <row r="34">
      <c r="A34" s="16" t="str">
        <f t="shared" si="1"/>
        <v>Loading...</v>
      </c>
      <c r="B34" s="16" t="s">
        <v>299</v>
      </c>
      <c r="C34" s="5">
        <v>5.0</v>
      </c>
      <c r="D34" s="5" t="b">
        <v>1</v>
      </c>
      <c r="E34" s="23" t="s">
        <v>298</v>
      </c>
      <c r="F34" s="16" t="str">
        <f t="array" ref="F34">VLOOKUP(E34,{Source!B:B,Source!A:A},2,FALSE)</f>
        <v>10.18356/5085bf5a-en</v>
      </c>
    </row>
    <row r="35">
      <c r="A35" s="16" t="str">
        <f t="shared" si="1"/>
        <v>Loading...</v>
      </c>
      <c r="B35" s="16" t="s">
        <v>334</v>
      </c>
      <c r="C35" s="5">
        <v>5.0</v>
      </c>
      <c r="D35" s="5" t="b">
        <v>0</v>
      </c>
      <c r="E35" s="23" t="s">
        <v>333</v>
      </c>
      <c r="F35" s="16" t="str">
        <f t="array" ref="F35">VLOOKUP(E35,{Source!B:B,Source!A:A},2,FALSE)</f>
        <v>10.18356/0a98da25-en</v>
      </c>
    </row>
    <row r="36">
      <c r="A36" s="16" t="str">
        <f t="shared" si="1"/>
        <v>Loading...</v>
      </c>
      <c r="B36" s="5" t="s">
        <v>529</v>
      </c>
      <c r="C36" s="5">
        <v>5.0</v>
      </c>
      <c r="D36" s="5" t="b">
        <v>0</v>
      </c>
      <c r="E36" s="23" t="s">
        <v>184</v>
      </c>
      <c r="F36" s="16" t="str">
        <f t="array" ref="F36">VLOOKUP(E36,{Source!B:B,Source!A:A},2,FALSE)</f>
        <v>10.18356/8146c4ff-en</v>
      </c>
      <c r="G36" s="5" t="s">
        <v>530</v>
      </c>
    </row>
    <row r="37">
      <c r="A37" s="16" t="str">
        <f t="shared" si="1"/>
        <v>Loading...</v>
      </c>
      <c r="B37" s="16" t="s">
        <v>77</v>
      </c>
      <c r="C37" s="5">
        <v>5.0</v>
      </c>
      <c r="D37" s="5" t="b">
        <v>1</v>
      </c>
      <c r="E37" s="23" t="s">
        <v>76</v>
      </c>
      <c r="F37" s="16" t="str">
        <f t="array" ref="F37">VLOOKUP(E37,{Source!B:B,Source!A:A},2,FALSE)</f>
        <v>10.1787/9789264224636-4-en</v>
      </c>
    </row>
    <row r="38">
      <c r="A38" s="16" t="str">
        <f t="shared" si="1"/>
        <v>Loading...</v>
      </c>
      <c r="B38" s="16" t="s">
        <v>80</v>
      </c>
      <c r="C38" s="5">
        <v>5.0</v>
      </c>
      <c r="D38" s="5" t="b">
        <v>1</v>
      </c>
      <c r="E38" s="23" t="s">
        <v>79</v>
      </c>
      <c r="F38" s="16" t="str">
        <f t="array" ref="F38">VLOOKUP(E38,{Source!B:B,Source!A:A},2,FALSE)</f>
        <v>10.18356/efc21c19-en</v>
      </c>
    </row>
    <row r="39">
      <c r="A39" s="16" t="str">
        <f t="shared" si="1"/>
        <v>Loading...</v>
      </c>
      <c r="B39" s="16" t="s">
        <v>337</v>
      </c>
      <c r="C39" s="5">
        <v>5.0</v>
      </c>
      <c r="D39" s="5" t="b">
        <v>0</v>
      </c>
      <c r="E39" s="23" t="s">
        <v>336</v>
      </c>
      <c r="F39" s="16" t="str">
        <f t="array" ref="F39">VLOOKUP(E39,{Source!B:B,Source!A:A},2,FALSE)</f>
        <v>10.18356/70095f8a-en</v>
      </c>
    </row>
    <row r="40">
      <c r="A40" s="16" t="str">
        <f t="shared" si="1"/>
        <v>Loading...</v>
      </c>
      <c r="B40" s="16" t="s">
        <v>314</v>
      </c>
      <c r="C40" s="5">
        <v>5.0</v>
      </c>
      <c r="D40" s="5" t="b">
        <v>0</v>
      </c>
      <c r="E40" s="23" t="s">
        <v>313</v>
      </c>
      <c r="F40" s="16" t="str">
        <f t="array" ref="F40">VLOOKUP(E40,{Source!B:B,Source!A:A},2,FALSE)</f>
        <v>10.18356/fa683360-en</v>
      </c>
    </row>
    <row r="41">
      <c r="A41" s="16" t="str">
        <f t="shared" si="1"/>
        <v>Loading...</v>
      </c>
      <c r="B41" s="16" t="s">
        <v>236</v>
      </c>
      <c r="C41" s="5">
        <v>5.0</v>
      </c>
      <c r="D41" s="5" t="b">
        <v>0</v>
      </c>
      <c r="E41" s="23" t="s">
        <v>235</v>
      </c>
      <c r="F41" s="16" t="str">
        <f t="array" ref="F41">VLOOKUP(E41,{Source!B:B,Source!A:A},2,FALSE)</f>
        <v>10.18356/e617261d-en</v>
      </c>
    </row>
    <row r="42">
      <c r="A42" s="16" t="str">
        <f t="shared" si="1"/>
        <v>Loading...</v>
      </c>
      <c r="B42" s="16" t="s">
        <v>128</v>
      </c>
      <c r="C42" s="5">
        <v>5.0</v>
      </c>
      <c r="D42" s="5" t="b">
        <v>0</v>
      </c>
      <c r="E42" s="23" t="s">
        <v>127</v>
      </c>
      <c r="F42" s="16" t="str">
        <f t="array" ref="F42">VLOOKUP(E42,{Source!B:B,Source!A:A},2,FALSE)</f>
        <v>10.1787/9789264213944-8-en</v>
      </c>
    </row>
    <row r="43">
      <c r="A43" s="16" t="str">
        <f t="shared" si="1"/>
        <v>Loading...</v>
      </c>
      <c r="B43" s="16" t="s">
        <v>326</v>
      </c>
      <c r="C43" s="5">
        <v>5.0</v>
      </c>
      <c r="D43" s="5" t="b">
        <v>1</v>
      </c>
      <c r="E43" s="23" t="s">
        <v>325</v>
      </c>
      <c r="F43" s="16" t="str">
        <f t="array" ref="F43">VLOOKUP(E43,{Source!B:B,Source!A:A},2,FALSE)</f>
        <v>10.18356/c93219ca-en</v>
      </c>
    </row>
    <row r="44">
      <c r="A44" s="16" t="str">
        <f t="shared" si="1"/>
        <v>Loading...</v>
      </c>
      <c r="B44" s="16" t="s">
        <v>213</v>
      </c>
      <c r="C44" s="5">
        <v>5.0</v>
      </c>
      <c r="D44" s="5" t="b">
        <v>0</v>
      </c>
      <c r="E44" s="23" t="s">
        <v>212</v>
      </c>
      <c r="F44" s="16" t="str">
        <f t="array" ref="F44">VLOOKUP(E44,{Source!B:B,Source!A:A},2,FALSE)</f>
        <v>10.18356/8146c4ff-en</v>
      </c>
    </row>
    <row r="45">
      <c r="A45" s="16" t="str">
        <f t="shared" si="1"/>
        <v>Loading...</v>
      </c>
      <c r="B45" s="16" t="s">
        <v>152</v>
      </c>
      <c r="C45" s="5">
        <v>5.0</v>
      </c>
      <c r="D45" s="5" t="b">
        <v>1</v>
      </c>
      <c r="E45" s="23" t="s">
        <v>151</v>
      </c>
      <c r="F45" s="16" t="str">
        <f t="array" ref="F45">VLOOKUP(E45,{Source!B:B,Source!A:A},2,FALSE)</f>
        <v>10.18356/ca9f4916-en</v>
      </c>
    </row>
    <row r="46">
      <c r="A46" s="16" t="str">
        <f t="shared" si="1"/>
        <v>Loading...</v>
      </c>
      <c r="B46" s="16" t="s">
        <v>283</v>
      </c>
      <c r="C46" s="5">
        <v>5.0</v>
      </c>
      <c r="D46" s="5" t="b">
        <v>0</v>
      </c>
      <c r="E46" s="23" t="s">
        <v>282</v>
      </c>
      <c r="F46" s="16" t="str">
        <f t="array" ref="F46">VLOOKUP(E46,{Source!B:B,Source!A:A},2,FALSE)</f>
        <v>10.18356/36aba0c4-en</v>
      </c>
    </row>
    <row r="47">
      <c r="A47" s="16" t="str">
        <f t="shared" si="1"/>
        <v>Loading...</v>
      </c>
      <c r="B47" s="16" t="s">
        <v>224</v>
      </c>
      <c r="C47" s="5">
        <v>5.0</v>
      </c>
      <c r="D47" s="5" t="b">
        <v>0</v>
      </c>
      <c r="E47" s="23" t="s">
        <v>223</v>
      </c>
      <c r="F47" s="16" t="str">
        <f t="array" ref="F47">VLOOKUP(E47,{Source!B:B,Source!A:A},2,FALSE)</f>
        <v>10.18356/b620ec70-en</v>
      </c>
    </row>
    <row r="48">
      <c r="A48" s="16" t="str">
        <f t="shared" si="1"/>
        <v>Loading...</v>
      </c>
      <c r="B48" s="16" t="s">
        <v>349</v>
      </c>
      <c r="C48" s="5">
        <v>5.0</v>
      </c>
      <c r="D48" s="5" t="b">
        <v>1</v>
      </c>
      <c r="E48" s="23" t="s">
        <v>348</v>
      </c>
      <c r="F48" s="16" t="str">
        <f t="array" ref="F48">VLOOKUP(E48,{Source!B:B,Source!A:A},2,FALSE)</f>
        <v>10.18356/8e0dd871-en</v>
      </c>
    </row>
    <row r="49">
      <c r="A49" s="16" t="str">
        <f t="shared" si="1"/>
        <v>Loading...</v>
      </c>
      <c r="B49" s="5" t="s">
        <v>531</v>
      </c>
      <c r="C49" s="5">
        <v>5.0</v>
      </c>
      <c r="D49" s="5" t="b">
        <v>0</v>
      </c>
      <c r="E49" s="23" t="s">
        <v>274</v>
      </c>
      <c r="F49" s="16" t="str">
        <f t="array" ref="F49">VLOOKUP(E49,{Source!B:B,Source!A:A},2,FALSE)</f>
        <v>10.1787/9789264259157-5-en</v>
      </c>
      <c r="G49" s="5" t="s">
        <v>532</v>
      </c>
    </row>
    <row r="50">
      <c r="A50" s="16" t="str">
        <f t="shared" si="1"/>
        <v>Loading...</v>
      </c>
      <c r="B50" s="16" t="s">
        <v>321</v>
      </c>
      <c r="C50" s="5">
        <v>5.0</v>
      </c>
      <c r="D50" s="5" t="b">
        <v>1</v>
      </c>
      <c r="E50" s="23" t="s">
        <v>320</v>
      </c>
      <c r="F50" s="16" t="str">
        <f t="array" ref="F50">VLOOKUP(E50,{Source!B:B,Source!A:A},2,FALSE)</f>
        <v>10.1787/7ddddd07-en</v>
      </c>
    </row>
    <row r="51">
      <c r="A51" s="16" t="str">
        <f t="shared" si="1"/>
        <v>Loading...</v>
      </c>
      <c r="B51" s="16" t="s">
        <v>221</v>
      </c>
      <c r="C51" s="5">
        <v>5.0</v>
      </c>
      <c r="D51" s="5" t="b">
        <v>1</v>
      </c>
      <c r="E51" s="23" t="s">
        <v>220</v>
      </c>
      <c r="F51" s="16" t="str">
        <f t="array" ref="F51">VLOOKUP(E51,{Source!B:B,Source!A:A},2,FALSE)</f>
        <v>10.1787/9789264210745-5-en</v>
      </c>
    </row>
    <row r="52">
      <c r="A52" s="16" t="str">
        <f t="shared" si="1"/>
        <v>Loading...</v>
      </c>
      <c r="B52" s="5" t="s">
        <v>533</v>
      </c>
      <c r="C52" s="5">
        <v>5.0</v>
      </c>
      <c r="D52" s="5" t="b">
        <v>0</v>
      </c>
      <c r="E52" s="23" t="s">
        <v>201</v>
      </c>
      <c r="F52" s="16" t="str">
        <f t="array" ref="F52">VLOOKUP(E52,{Source!B:B,Source!A:A},2,FALSE)</f>
        <v>10.1787/5js30tvj21hh-en</v>
      </c>
      <c r="G52" s="5" t="s">
        <v>534</v>
      </c>
    </row>
    <row r="53">
      <c r="A53" s="16" t="str">
        <f t="shared" si="1"/>
        <v>Loading...</v>
      </c>
      <c r="B53" s="16" t="s">
        <v>205</v>
      </c>
      <c r="C53" s="5">
        <v>5.0</v>
      </c>
      <c r="D53" s="5" t="b">
        <v>0</v>
      </c>
      <c r="E53" s="23" t="s">
        <v>204</v>
      </c>
      <c r="F53" s="16" t="str">
        <f t="array" ref="F53">VLOOKUP(E53,{Source!B:B,Source!A:A},2,FALSE)</f>
        <v>10.1787/5jm0xdx0b06g-en</v>
      </c>
    </row>
    <row r="54">
      <c r="A54" s="16" t="str">
        <f t="shared" si="1"/>
        <v>Loading...</v>
      </c>
      <c r="B54" s="16" t="s">
        <v>143</v>
      </c>
      <c r="C54" s="5">
        <v>5.0</v>
      </c>
      <c r="D54" s="5" t="b">
        <v>0</v>
      </c>
      <c r="E54" s="23" t="s">
        <v>142</v>
      </c>
      <c r="F54" s="16" t="str">
        <f t="array" ref="F54">VLOOKUP(E54,{Source!B:B,Source!A:A},2,FALSE)</f>
        <v>10.18356/3a0cd6ba-en</v>
      </c>
    </row>
    <row r="55">
      <c r="A55" s="16" t="str">
        <f t="shared" si="1"/>
        <v>Loading...</v>
      </c>
      <c r="B55" s="16" t="s">
        <v>230</v>
      </c>
      <c r="C55" s="5">
        <v>5.0</v>
      </c>
      <c r="D55" s="5" t="b">
        <v>1</v>
      </c>
      <c r="E55" s="23" t="s">
        <v>229</v>
      </c>
      <c r="F55" s="16" t="str">
        <f t="array" ref="F55">VLOOKUP(E55,{Source!B:B,Source!A:A},2,FALSE)</f>
        <v>10.1787/9789264279322-7-en</v>
      </c>
    </row>
    <row r="56">
      <c r="A56" s="16" t="str">
        <f t="shared" si="1"/>
        <v>Loading...</v>
      </c>
      <c r="B56" s="16" t="s">
        <v>211</v>
      </c>
      <c r="C56" s="5">
        <v>5.0</v>
      </c>
      <c r="D56" s="5" t="b">
        <v>1</v>
      </c>
      <c r="E56" s="23" t="s">
        <v>210</v>
      </c>
      <c r="F56" s="16" t="str">
        <f t="array" ref="F56">VLOOKUP(E56,{Source!B:B,Source!A:A},2,FALSE)</f>
        <v>10.18356/ea8c16ef-en</v>
      </c>
    </row>
    <row r="57">
      <c r="A57" s="16" t="str">
        <f t="shared" si="1"/>
        <v>Loading...</v>
      </c>
      <c r="B57" s="5" t="s">
        <v>535</v>
      </c>
      <c r="C57" s="5">
        <v>5.0</v>
      </c>
      <c r="D57" s="5" t="b">
        <v>1</v>
      </c>
      <c r="E57" s="23" t="s">
        <v>178</v>
      </c>
      <c r="F57" s="16" t="str">
        <f t="array" ref="F57">VLOOKUP(E57,{Source!B:B,Source!A:A},2,FALSE)</f>
        <v>10.18356/fa8ae033-en</v>
      </c>
      <c r="G57" s="5" t="s">
        <v>536</v>
      </c>
    </row>
    <row r="58">
      <c r="A58" s="16" t="str">
        <f t="shared" si="1"/>
        <v>Loading...</v>
      </c>
      <c r="B58" s="16" t="s">
        <v>309</v>
      </c>
      <c r="C58" s="5">
        <v>5.0</v>
      </c>
      <c r="D58" s="5" t="b">
        <v>1</v>
      </c>
      <c r="E58" s="23" t="s">
        <v>308</v>
      </c>
      <c r="F58" s="16" t="str">
        <f t="array" ref="F58">VLOOKUP(E58,{Source!B:B,Source!A:A},2,FALSE)</f>
        <v>10.18356/6f7c638a-en</v>
      </c>
    </row>
    <row r="59">
      <c r="A59" s="16" t="str">
        <f t="shared" si="1"/>
        <v>Loading...</v>
      </c>
      <c r="B59" s="5" t="s">
        <v>537</v>
      </c>
      <c r="C59" s="5">
        <v>5.0</v>
      </c>
      <c r="D59" s="5" t="b">
        <v>0</v>
      </c>
      <c r="E59" s="23" t="s">
        <v>157</v>
      </c>
      <c r="F59" s="16" t="str">
        <f t="array" ref="F59">VLOOKUP(E59,{Source!B:B,Source!A:A},2,FALSE)</f>
        <v>10.18356/914e7bcc-en</v>
      </c>
      <c r="G59" s="5" t="s">
        <v>538</v>
      </c>
    </row>
    <row r="60">
      <c r="A60" s="16" t="str">
        <f t="shared" si="1"/>
        <v>Loading...</v>
      </c>
      <c r="B60" s="5" t="s">
        <v>539</v>
      </c>
      <c r="C60" s="5">
        <v>5.0</v>
      </c>
      <c r="D60" s="5" t="b">
        <v>1</v>
      </c>
      <c r="E60" s="23" t="s">
        <v>311</v>
      </c>
      <c r="F60" s="16" t="str">
        <f t="array" ref="F60">VLOOKUP(E60,{Source!B:B,Source!A:A},2,FALSE)</f>
        <v>10.14217/9781848591561-7-en</v>
      </c>
      <c r="G60" s="5" t="s">
        <v>536</v>
      </c>
    </row>
    <row r="61">
      <c r="A61" s="16" t="str">
        <f t="shared" si="1"/>
        <v>Loading...</v>
      </c>
      <c r="B61" s="16" t="s">
        <v>258</v>
      </c>
      <c r="C61" s="5">
        <v>5.0</v>
      </c>
      <c r="D61" s="5" t="b">
        <v>1</v>
      </c>
      <c r="E61" s="23" t="s">
        <v>257</v>
      </c>
      <c r="F61" s="16" t="str">
        <f t="array" ref="F61">VLOOKUP(E61,{Source!B:B,Source!A:A},2,FALSE)</f>
        <v>10.1787/9789264224636-13-en</v>
      </c>
    </row>
    <row r="62">
      <c r="A62" s="16" t="str">
        <f t="shared" si="1"/>
        <v>Loading...</v>
      </c>
      <c r="B62" s="16" t="s">
        <v>247</v>
      </c>
      <c r="C62" s="5">
        <v>5.0</v>
      </c>
      <c r="D62" s="5" t="b">
        <v>0</v>
      </c>
      <c r="E62" s="23" t="s">
        <v>246</v>
      </c>
      <c r="F62" s="16" t="str">
        <f t="array" ref="F62">VLOOKUP(E62,{Source!B:B,Source!A:A},2,FALSE)</f>
        <v>10.18356/fa8ae033-en</v>
      </c>
    </row>
    <row r="63">
      <c r="A63" s="16" t="str">
        <f t="shared" si="1"/>
        <v>Loading...</v>
      </c>
      <c r="B63" s="16" t="s">
        <v>318</v>
      </c>
      <c r="C63" s="5">
        <v>5.0</v>
      </c>
      <c r="D63" s="5" t="b">
        <v>1</v>
      </c>
      <c r="E63" s="23" t="s">
        <v>317</v>
      </c>
      <c r="F63" s="16" t="str">
        <f t="array" ref="F63">VLOOKUP(E63,{Source!B:B,Source!A:A},2,FALSE)</f>
        <v>10.18356/137d57b2-en</v>
      </c>
    </row>
    <row r="64">
      <c r="A64" s="16" t="str">
        <f t="shared" si="1"/>
        <v>Loading...</v>
      </c>
      <c r="B64" s="16" t="s">
        <v>188</v>
      </c>
      <c r="C64" s="5">
        <v>5.0</v>
      </c>
      <c r="D64" s="5" t="b">
        <v>1</v>
      </c>
      <c r="E64" s="23" t="s">
        <v>187</v>
      </c>
      <c r="F64" s="16" t="str">
        <f t="array" ref="F64">VLOOKUP(E64,{Source!B:B,Source!A:A},2,FALSE)</f>
        <v>10.1787/9789264265493-7-en</v>
      </c>
    </row>
    <row r="65">
      <c r="A65" s="16" t="str">
        <f t="shared" si="1"/>
        <v>Loading...</v>
      </c>
      <c r="B65" s="16" t="s">
        <v>93</v>
      </c>
      <c r="C65" s="5">
        <v>5.0</v>
      </c>
      <c r="D65" s="5" t="b">
        <v>1</v>
      </c>
      <c r="E65" s="23" t="s">
        <v>92</v>
      </c>
      <c r="F65" s="16" t="str">
        <f t="array" ref="F65">VLOOKUP(E65,{Source!B:B,Source!A:A},2,FALSE)</f>
        <v>10.18356/0899dee9-en</v>
      </c>
      <c r="G65" s="5" t="s">
        <v>516</v>
      </c>
    </row>
    <row r="66">
      <c r="A66" s="16" t="str">
        <f t="shared" si="1"/>
        <v>Loading...</v>
      </c>
      <c r="B66" s="16" t="s">
        <v>146</v>
      </c>
      <c r="C66" s="5">
        <v>5.0</v>
      </c>
      <c r="D66" s="5" t="b">
        <v>0</v>
      </c>
      <c r="E66" s="23" t="s">
        <v>145</v>
      </c>
      <c r="F66" s="16" t="str">
        <f t="array" ref="F66">VLOOKUP(E66,{Source!B:B,Source!A:A},2,FALSE)</f>
        <v>10.1787/9789264265493-8-en</v>
      </c>
    </row>
    <row r="67">
      <c r="A67" s="16" t="str">
        <f t="shared" si="1"/>
        <v>Loading...</v>
      </c>
      <c r="B67" s="16" t="s">
        <v>83</v>
      </c>
      <c r="C67" s="5">
        <v>5.0</v>
      </c>
      <c r="D67" s="5" t="b">
        <v>0</v>
      </c>
      <c r="E67" s="23" t="s">
        <v>82</v>
      </c>
      <c r="F67" s="16" t="str">
        <f t="array" ref="F67">VLOOKUP(E67,{Source!B:B,Source!A:A},2,FALSE)</f>
        <v>10.18356/77d08b03-en</v>
      </c>
    </row>
    <row r="68">
      <c r="A68" s="16" t="str">
        <f t="shared" si="1"/>
        <v>Loading...</v>
      </c>
      <c r="B68" s="5" t="s">
        <v>540</v>
      </c>
      <c r="C68" s="5">
        <v>5.0</v>
      </c>
      <c r="D68" s="5" t="b">
        <v>0</v>
      </c>
      <c r="E68" s="23" t="s">
        <v>169</v>
      </c>
      <c r="F68" s="16" t="str">
        <f t="array" ref="F68">VLOOKUP(E68,{Source!B:B,Source!A:A},2,FALSE)</f>
        <v>10.1787/9789264259157-5-en</v>
      </c>
      <c r="G68" s="5" t="s">
        <v>541</v>
      </c>
    </row>
    <row r="69">
      <c r="A69" s="16" t="str">
        <f t="shared" si="1"/>
        <v>Loading...</v>
      </c>
      <c r="B69" s="16" t="s">
        <v>87</v>
      </c>
      <c r="C69" s="5">
        <v>5.0</v>
      </c>
      <c r="D69" s="5" t="b">
        <v>0</v>
      </c>
      <c r="E69" s="23" t="s">
        <v>86</v>
      </c>
      <c r="F69" s="16" t="str">
        <f t="array" ref="F69">VLOOKUP(E69,{Source!B:B,Source!A:A},2,FALSE)</f>
        <v>10.1787/9789264179370-6-en</v>
      </c>
    </row>
    <row r="70">
      <c r="A70" s="16" t="str">
        <f t="shared" si="1"/>
        <v>Loading...</v>
      </c>
      <c r="B70" s="16" t="s">
        <v>197</v>
      </c>
      <c r="C70" s="5">
        <v>5.0</v>
      </c>
      <c r="D70" s="5" t="b">
        <v>1</v>
      </c>
      <c r="E70" s="23" t="s">
        <v>196</v>
      </c>
      <c r="F70" s="16" t="str">
        <f t="array" ref="F70">VLOOKUP(E70,{Source!B:B,Source!A:A},2,FALSE)</f>
        <v>10.1787/9789264224636-7-en</v>
      </c>
    </row>
  </sheetData>
  <autoFilter ref="$A$1:$G$961"/>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2" max="2" width="38.13"/>
    <col customWidth="1" min="9" max="9" width="15.88"/>
    <col customWidth="1" min="10" max="14" width="12.63"/>
    <col customWidth="1" min="15" max="15" width="13.88"/>
    <col customWidth="1" min="16" max="16" width="18.25"/>
    <col customWidth="1" min="17" max="18" width="15.88"/>
  </cols>
  <sheetData>
    <row r="1" ht="15.75" customHeight="1">
      <c r="A1" s="20" t="s">
        <v>71</v>
      </c>
      <c r="B1" s="54" t="s">
        <v>72</v>
      </c>
      <c r="C1" s="15" t="s">
        <v>542</v>
      </c>
      <c r="D1" s="15" t="s">
        <v>38</v>
      </c>
      <c r="E1" s="15" t="s">
        <v>39</v>
      </c>
      <c r="F1" s="15" t="s">
        <v>40</v>
      </c>
      <c r="G1" s="15" t="s">
        <v>41</v>
      </c>
      <c r="H1" s="15" t="s">
        <v>42</v>
      </c>
      <c r="I1" s="55" t="s">
        <v>455</v>
      </c>
      <c r="J1" s="15" t="s">
        <v>38</v>
      </c>
      <c r="K1" s="15" t="s">
        <v>39</v>
      </c>
      <c r="L1" s="15" t="s">
        <v>40</v>
      </c>
      <c r="M1" s="15" t="s">
        <v>41</v>
      </c>
      <c r="N1" s="15" t="s">
        <v>42</v>
      </c>
      <c r="O1" s="15" t="s">
        <v>456</v>
      </c>
      <c r="P1" s="56" t="str">
        <f t="array" ref="P1:P1000">O:O</f>
        <v>Comments</v>
      </c>
      <c r="Q1" s="15" t="s">
        <v>543</v>
      </c>
      <c r="R1" s="15" t="s">
        <v>544</v>
      </c>
      <c r="S1" s="15" t="s">
        <v>545</v>
      </c>
      <c r="T1" s="15" t="s">
        <v>546</v>
      </c>
      <c r="U1" s="37"/>
      <c r="V1" s="37"/>
      <c r="W1" s="37"/>
      <c r="X1" s="37"/>
      <c r="Y1" s="37"/>
      <c r="Z1" s="37"/>
      <c r="AA1" s="37"/>
      <c r="AB1" s="37"/>
      <c r="AC1" s="37"/>
      <c r="AD1" s="37"/>
      <c r="AE1" s="37"/>
      <c r="AF1" s="37"/>
      <c r="AG1" s="37"/>
    </row>
    <row r="2" ht="15.75" hidden="1" customHeight="1">
      <c r="A2" s="23" t="s">
        <v>547</v>
      </c>
      <c r="B2" s="23" t="s">
        <v>548</v>
      </c>
      <c r="C2" s="16" t="str">
        <f t="shared" ref="C2:H2" si="1">VLOOKUP($A2, INDIRECT(C$1&amp;"!B:D"), 3, FALSE)</f>
        <v>#REF!</v>
      </c>
      <c r="D2" s="16" t="str">
        <f t="shared" si="1"/>
        <v>#N/A</v>
      </c>
      <c r="E2" s="16" t="str">
        <f t="shared" si="1"/>
        <v>#N/A</v>
      </c>
      <c r="F2" s="16" t="str">
        <f t="shared" si="1"/>
        <v>#N/A</v>
      </c>
      <c r="G2" s="16" t="str">
        <f t="shared" si="1"/>
        <v>#N/A</v>
      </c>
      <c r="H2" s="16" t="str">
        <f t="shared" si="1"/>
        <v>#N/A</v>
      </c>
      <c r="I2" s="57">
        <f t="shared" ref="I2:I101" si="4">ABS((COUNTIF(C2:H2,"SDG 10")-COUNTIF(C2:H2, "NOT SDG 10")) / (COUNTA(C2:H2)-COUNTIF(C2:H2, "TO DO")))</f>
        <v>0</v>
      </c>
      <c r="J2" s="16" t="str">
        <f t="shared" ref="J2:N2" si="2">VLOOKUP($A2, INDIRECT(D$1&amp;"!B:E"), 4, FALSE)</f>
        <v>#N/A</v>
      </c>
      <c r="K2" s="16" t="str">
        <f t="shared" si="2"/>
        <v>#N/A</v>
      </c>
      <c r="L2" s="16" t="str">
        <f t="shared" si="2"/>
        <v>#N/A</v>
      </c>
      <c r="M2" s="16" t="str">
        <f t="shared" si="2"/>
        <v>#N/A</v>
      </c>
      <c r="N2" s="16" t="str">
        <f t="shared" si="2"/>
        <v>#N/A</v>
      </c>
      <c r="O2" s="16" t="str">
        <f t="shared" ref="O2:O101" si="6">IF(COUNTA(J2:N2)=0, "", "- "&amp;TEXTJOIN(char(10)&amp;"- ", TRUE, J2:N2))</f>
        <v>#N/A</v>
      </c>
      <c r="P2" s="58" t="e">
        <v>#N/A</v>
      </c>
      <c r="Q2" s="16" t="str">
        <f t="shared" ref="Q2:Q101" si="7">IF(I2=1, H2, "UNDECIDED")</f>
        <v>UNDECIDED</v>
      </c>
      <c r="R2" s="16" t="str">
        <f>VLOOKUP($A2, Source!B:I, 8, FALSE)</f>
        <v>#N/A</v>
      </c>
      <c r="S2" s="16" t="str">
        <f>VLOOKUP(A2,Source!B:H, 7, FALSE)</f>
        <v>#N/A</v>
      </c>
      <c r="T2" s="16" t="str">
        <f>IF(COUNTIF(Q2:R2, "*SDG 7")&lt;2, "Unclear", IF(Q2=R2, "Yes", "No"))</f>
        <v>Unclear</v>
      </c>
    </row>
    <row r="3" ht="15.75" customHeight="1">
      <c r="A3" s="23" t="s">
        <v>549</v>
      </c>
      <c r="B3" s="23" t="s">
        <v>550</v>
      </c>
      <c r="C3" s="16" t="str">
        <f t="shared" ref="C3:H3" si="3">VLOOKUP($A3, INDIRECT(C$1&amp;"!B:D"), 3, FALSE)</f>
        <v>#REF!</v>
      </c>
      <c r="D3" s="16" t="str">
        <f t="shared" si="3"/>
        <v>#N/A</v>
      </c>
      <c r="E3" s="16" t="str">
        <f t="shared" si="3"/>
        <v>#N/A</v>
      </c>
      <c r="F3" s="16" t="str">
        <f t="shared" si="3"/>
        <v>#N/A</v>
      </c>
      <c r="G3" s="16" t="str">
        <f t="shared" si="3"/>
        <v>#N/A</v>
      </c>
      <c r="H3" s="16" t="str">
        <f t="shared" si="3"/>
        <v>#N/A</v>
      </c>
      <c r="I3" s="57">
        <f t="shared" si="4"/>
        <v>0</v>
      </c>
      <c r="J3" s="16" t="str">
        <f t="shared" ref="J3:N3" si="5">VLOOKUP($A3, INDIRECT(D$1&amp;"!B:E"), 4, FALSE)</f>
        <v>#N/A</v>
      </c>
      <c r="K3" s="16" t="str">
        <f t="shared" si="5"/>
        <v>#N/A</v>
      </c>
      <c r="L3" s="16" t="str">
        <f t="shared" si="5"/>
        <v>#N/A</v>
      </c>
      <c r="M3" s="16" t="str">
        <f t="shared" si="5"/>
        <v>#N/A</v>
      </c>
      <c r="N3" s="16" t="str">
        <f t="shared" si="5"/>
        <v>#N/A</v>
      </c>
      <c r="O3" s="16" t="str">
        <f t="shared" si="6"/>
        <v>#N/A</v>
      </c>
      <c r="P3" s="58" t="e">
        <v>#N/A</v>
      </c>
      <c r="Q3" s="16" t="str">
        <f t="shared" si="7"/>
        <v>UNDECIDED</v>
      </c>
      <c r="R3" s="16" t="str">
        <f>VLOOKUP($A3, Source!B:I, 8, FALSE)</f>
        <v>#N/A</v>
      </c>
      <c r="S3" s="16" t="str">
        <f>VLOOKUP(A3,Source!B:H, 7, FALSE)</f>
        <v>#N/A</v>
      </c>
      <c r="T3" s="16" t="str">
        <f>IF(COUNTIF(Q3:R3, "UNDECIDED")&gt;0, "Unclear", IF((Q3="SDG 10")=R3, "Yes", "No"))</f>
        <v>Unclear</v>
      </c>
    </row>
    <row r="4" ht="15.75" hidden="1" customHeight="1">
      <c r="A4" s="23" t="s">
        <v>551</v>
      </c>
      <c r="B4" s="23" t="s">
        <v>552</v>
      </c>
      <c r="C4" s="16" t="str">
        <f t="shared" ref="C4:H4" si="8">VLOOKUP($A4, INDIRECT(C$1&amp;"!B:D"), 3, FALSE)</f>
        <v>#REF!</v>
      </c>
      <c r="D4" s="16" t="str">
        <f t="shared" si="8"/>
        <v>#N/A</v>
      </c>
      <c r="E4" s="16" t="str">
        <f t="shared" si="8"/>
        <v>#N/A</v>
      </c>
      <c r="F4" s="16" t="str">
        <f t="shared" si="8"/>
        <v>#N/A</v>
      </c>
      <c r="G4" s="16" t="str">
        <f t="shared" si="8"/>
        <v>#N/A</v>
      </c>
      <c r="H4" s="16" t="str">
        <f t="shared" si="8"/>
        <v>#N/A</v>
      </c>
      <c r="I4" s="57">
        <f t="shared" si="4"/>
        <v>0</v>
      </c>
      <c r="J4" s="16" t="str">
        <f t="shared" ref="J4:N4" si="9">VLOOKUP($A4, INDIRECT(D$1&amp;"!B:E"), 4, FALSE)</f>
        <v>#N/A</v>
      </c>
      <c r="K4" s="16" t="str">
        <f t="shared" si="9"/>
        <v>#N/A</v>
      </c>
      <c r="L4" s="16" t="str">
        <f t="shared" si="9"/>
        <v>#N/A</v>
      </c>
      <c r="M4" s="16" t="str">
        <f t="shared" si="9"/>
        <v>#N/A</v>
      </c>
      <c r="N4" s="16" t="str">
        <f t="shared" si="9"/>
        <v>#N/A</v>
      </c>
      <c r="O4" s="16" t="str">
        <f t="shared" si="6"/>
        <v>#N/A</v>
      </c>
      <c r="P4" s="58" t="e">
        <v>#N/A</v>
      </c>
      <c r="Q4" s="16" t="str">
        <f t="shared" si="7"/>
        <v>UNDECIDED</v>
      </c>
      <c r="R4" s="16" t="str">
        <f>VLOOKUP($A4, Source!B:I, 8, FALSE)</f>
        <v>#N/A</v>
      </c>
      <c r="S4" s="16" t="str">
        <f>VLOOKUP(A4,Source!B:H, 7, FALSE)</f>
        <v>#N/A</v>
      </c>
      <c r="T4" s="16" t="str">
        <f>IF(COUNTIF(Q4:R4, "*SDG 7")&lt;2, "Unclear", IF(Q4=R4, "Yes", "No"))</f>
        <v>Unclear</v>
      </c>
    </row>
    <row r="5" ht="15.75" customHeight="1">
      <c r="A5" s="23" t="s">
        <v>553</v>
      </c>
      <c r="B5" s="23" t="s">
        <v>554</v>
      </c>
      <c r="C5" s="16" t="str">
        <f t="shared" ref="C5:H5" si="10">VLOOKUP($A5, INDIRECT(C$1&amp;"!B:D"), 3, FALSE)</f>
        <v>#REF!</v>
      </c>
      <c r="D5" s="16" t="str">
        <f t="shared" si="10"/>
        <v>#N/A</v>
      </c>
      <c r="E5" s="16" t="str">
        <f t="shared" si="10"/>
        <v>#N/A</v>
      </c>
      <c r="F5" s="16" t="str">
        <f t="shared" si="10"/>
        <v>#N/A</v>
      </c>
      <c r="G5" s="16" t="str">
        <f t="shared" si="10"/>
        <v>#N/A</v>
      </c>
      <c r="H5" s="16" t="str">
        <f t="shared" si="10"/>
        <v>#N/A</v>
      </c>
      <c r="I5" s="57">
        <f t="shared" si="4"/>
        <v>0</v>
      </c>
      <c r="J5" s="16" t="str">
        <f t="shared" ref="J5:N5" si="11">VLOOKUP($A5, INDIRECT(D$1&amp;"!B:E"), 4, FALSE)</f>
        <v>#N/A</v>
      </c>
      <c r="K5" s="16" t="str">
        <f t="shared" si="11"/>
        <v>#N/A</v>
      </c>
      <c r="L5" s="16" t="str">
        <f t="shared" si="11"/>
        <v>#N/A</v>
      </c>
      <c r="M5" s="16" t="str">
        <f t="shared" si="11"/>
        <v>#N/A</v>
      </c>
      <c r="N5" s="16" t="str">
        <f t="shared" si="11"/>
        <v>#N/A</v>
      </c>
      <c r="O5" s="16" t="str">
        <f t="shared" si="6"/>
        <v>#N/A</v>
      </c>
      <c r="P5" s="58" t="e">
        <v>#N/A</v>
      </c>
      <c r="Q5" s="16" t="str">
        <f t="shared" si="7"/>
        <v>UNDECIDED</v>
      </c>
      <c r="R5" s="16" t="str">
        <f>VLOOKUP($A5, Source!B:I, 8, FALSE)</f>
        <v>#N/A</v>
      </c>
      <c r="S5" s="16" t="str">
        <f>VLOOKUP(A5,Source!B:H, 7, FALSE)</f>
        <v>#N/A</v>
      </c>
      <c r="T5" s="16" t="str">
        <f t="shared" ref="T5:T7" si="14">IF(COUNTIF(Q5:R5, "UNDECIDED")&gt;0, "Unclear", IF((Q5="SDG 10")=R5, "Yes", "No"))</f>
        <v>Unclear</v>
      </c>
    </row>
    <row r="6" ht="15.75" customHeight="1">
      <c r="A6" s="23" t="s">
        <v>555</v>
      </c>
      <c r="B6" s="23" t="s">
        <v>556</v>
      </c>
      <c r="C6" s="16" t="str">
        <f t="shared" ref="C6:H6" si="12">VLOOKUP($A6, INDIRECT(C$1&amp;"!B:D"), 3, FALSE)</f>
        <v>#REF!</v>
      </c>
      <c r="D6" s="16" t="str">
        <f t="shared" si="12"/>
        <v>#N/A</v>
      </c>
      <c r="E6" s="16" t="str">
        <f t="shared" si="12"/>
        <v>#N/A</v>
      </c>
      <c r="F6" s="16" t="str">
        <f t="shared" si="12"/>
        <v>#N/A</v>
      </c>
      <c r="G6" s="16" t="str">
        <f t="shared" si="12"/>
        <v>#N/A</v>
      </c>
      <c r="H6" s="16" t="str">
        <f t="shared" si="12"/>
        <v>#N/A</v>
      </c>
      <c r="I6" s="57">
        <f t="shared" si="4"/>
        <v>0</v>
      </c>
      <c r="J6" s="16" t="str">
        <f t="shared" ref="J6:N6" si="13">VLOOKUP($A6, INDIRECT(D$1&amp;"!B:E"), 4, FALSE)</f>
        <v>#N/A</v>
      </c>
      <c r="K6" s="16" t="str">
        <f t="shared" si="13"/>
        <v>#N/A</v>
      </c>
      <c r="L6" s="16" t="str">
        <f t="shared" si="13"/>
        <v>#N/A</v>
      </c>
      <c r="M6" s="16" t="str">
        <f t="shared" si="13"/>
        <v>#N/A</v>
      </c>
      <c r="N6" s="16" t="str">
        <f t="shared" si="13"/>
        <v>#N/A</v>
      </c>
      <c r="O6" s="16" t="str">
        <f t="shared" si="6"/>
        <v>#N/A</v>
      </c>
      <c r="P6" s="58" t="e">
        <v>#N/A</v>
      </c>
      <c r="Q6" s="16" t="str">
        <f t="shared" si="7"/>
        <v>UNDECIDED</v>
      </c>
      <c r="R6" s="16" t="str">
        <f>VLOOKUP($A6, Source!B:I, 8, FALSE)</f>
        <v>#N/A</v>
      </c>
      <c r="S6" s="16" t="str">
        <f>VLOOKUP(A6,Source!B:H, 7, FALSE)</f>
        <v>#N/A</v>
      </c>
      <c r="T6" s="16" t="str">
        <f t="shared" si="14"/>
        <v>Unclear</v>
      </c>
    </row>
    <row r="7" ht="15.75" customHeight="1">
      <c r="A7" s="23" t="s">
        <v>557</v>
      </c>
      <c r="B7" s="23" t="s">
        <v>558</v>
      </c>
      <c r="C7" s="16" t="str">
        <f t="shared" ref="C7:H7" si="15">VLOOKUP($A7, INDIRECT(C$1&amp;"!B:D"), 3, FALSE)</f>
        <v>#REF!</v>
      </c>
      <c r="D7" s="16" t="str">
        <f t="shared" si="15"/>
        <v>#N/A</v>
      </c>
      <c r="E7" s="16" t="str">
        <f t="shared" si="15"/>
        <v>#N/A</v>
      </c>
      <c r="F7" s="16" t="str">
        <f t="shared" si="15"/>
        <v>#N/A</v>
      </c>
      <c r="G7" s="16" t="str">
        <f t="shared" si="15"/>
        <v>#N/A</v>
      </c>
      <c r="H7" s="16" t="str">
        <f t="shared" si="15"/>
        <v>#N/A</v>
      </c>
      <c r="I7" s="57">
        <f t="shared" si="4"/>
        <v>0</v>
      </c>
      <c r="J7" s="16" t="str">
        <f t="shared" ref="J7:N7" si="16">VLOOKUP($A7, INDIRECT(D$1&amp;"!B:E"), 4, FALSE)</f>
        <v>#N/A</v>
      </c>
      <c r="K7" s="16" t="str">
        <f t="shared" si="16"/>
        <v>#N/A</v>
      </c>
      <c r="L7" s="16" t="str">
        <f t="shared" si="16"/>
        <v>#N/A</v>
      </c>
      <c r="M7" s="16" t="str">
        <f t="shared" si="16"/>
        <v>#N/A</v>
      </c>
      <c r="N7" s="16" t="str">
        <f t="shared" si="16"/>
        <v>#N/A</v>
      </c>
      <c r="O7" s="16" t="str">
        <f t="shared" si="6"/>
        <v>#N/A</v>
      </c>
      <c r="P7" s="58" t="e">
        <v>#N/A</v>
      </c>
      <c r="Q7" s="16" t="str">
        <f t="shared" si="7"/>
        <v>UNDECIDED</v>
      </c>
      <c r="R7" s="16" t="str">
        <f>VLOOKUP($A7, Source!B:I, 8, FALSE)</f>
        <v>#N/A</v>
      </c>
      <c r="S7" s="16" t="str">
        <f>VLOOKUP(A7,Source!B:H, 7, FALSE)</f>
        <v>#N/A</v>
      </c>
      <c r="T7" s="16" t="str">
        <f t="shared" si="14"/>
        <v>Unclear</v>
      </c>
    </row>
    <row r="8" ht="15.75" hidden="1" customHeight="1">
      <c r="A8" s="23" t="s">
        <v>559</v>
      </c>
      <c r="B8" s="23" t="s">
        <v>560</v>
      </c>
      <c r="C8" s="16" t="str">
        <f t="shared" ref="C8:H8" si="17">VLOOKUP($A8, INDIRECT(C$1&amp;"!B:D"), 3, FALSE)</f>
        <v>#REF!</v>
      </c>
      <c r="D8" s="16" t="str">
        <f t="shared" si="17"/>
        <v>#N/A</v>
      </c>
      <c r="E8" s="16" t="str">
        <f t="shared" si="17"/>
        <v>#N/A</v>
      </c>
      <c r="F8" s="16" t="str">
        <f t="shared" si="17"/>
        <v>#N/A</v>
      </c>
      <c r="G8" s="16" t="str">
        <f t="shared" si="17"/>
        <v>#N/A</v>
      </c>
      <c r="H8" s="16" t="str">
        <f t="shared" si="17"/>
        <v>#N/A</v>
      </c>
      <c r="I8" s="57">
        <f t="shared" si="4"/>
        <v>0</v>
      </c>
      <c r="J8" s="16" t="str">
        <f t="shared" ref="J8:N8" si="18">VLOOKUP($A8, INDIRECT(D$1&amp;"!B:E"), 4, FALSE)</f>
        <v>#N/A</v>
      </c>
      <c r="K8" s="16" t="str">
        <f t="shared" si="18"/>
        <v>#N/A</v>
      </c>
      <c r="L8" s="16" t="str">
        <f t="shared" si="18"/>
        <v>#N/A</v>
      </c>
      <c r="M8" s="16" t="str">
        <f t="shared" si="18"/>
        <v>#N/A</v>
      </c>
      <c r="N8" s="16" t="str">
        <f t="shared" si="18"/>
        <v>#N/A</v>
      </c>
      <c r="O8" s="16" t="str">
        <f t="shared" si="6"/>
        <v>#N/A</v>
      </c>
      <c r="P8" s="58" t="e">
        <v>#N/A</v>
      </c>
      <c r="Q8" s="16" t="str">
        <f t="shared" si="7"/>
        <v>UNDECIDED</v>
      </c>
      <c r="R8" s="16" t="str">
        <f>VLOOKUP($A8, Source!B:I, 8, FALSE)</f>
        <v>#N/A</v>
      </c>
      <c r="S8" s="16" t="str">
        <f>VLOOKUP(A8,Source!B:H, 7, FALSE)</f>
        <v>#N/A</v>
      </c>
      <c r="T8" s="16" t="str">
        <f>IF(COUNTIF(Q8:R8, "*SDG 7")&lt;2, "Unclear", IF(Q8=R8, "Yes", "No"))</f>
        <v>Unclear</v>
      </c>
    </row>
    <row r="9" ht="15.75" customHeight="1">
      <c r="A9" s="23" t="s">
        <v>561</v>
      </c>
      <c r="B9" s="23" t="s">
        <v>562</v>
      </c>
      <c r="C9" s="16" t="str">
        <f t="shared" ref="C9:H9" si="19">VLOOKUP($A9, INDIRECT(C$1&amp;"!B:D"), 3, FALSE)</f>
        <v>#REF!</v>
      </c>
      <c r="D9" s="16" t="str">
        <f t="shared" si="19"/>
        <v>#N/A</v>
      </c>
      <c r="E9" s="16" t="str">
        <f t="shared" si="19"/>
        <v>#N/A</v>
      </c>
      <c r="F9" s="16" t="str">
        <f t="shared" si="19"/>
        <v>#N/A</v>
      </c>
      <c r="G9" s="16" t="str">
        <f t="shared" si="19"/>
        <v>#N/A</v>
      </c>
      <c r="H9" s="16" t="str">
        <f t="shared" si="19"/>
        <v>#N/A</v>
      </c>
      <c r="I9" s="57">
        <f t="shared" si="4"/>
        <v>0</v>
      </c>
      <c r="J9" s="16" t="str">
        <f t="shared" ref="J9:N9" si="20">VLOOKUP($A9, INDIRECT(D$1&amp;"!B:E"), 4, FALSE)</f>
        <v>#N/A</v>
      </c>
      <c r="K9" s="16" t="str">
        <f t="shared" si="20"/>
        <v>#N/A</v>
      </c>
      <c r="L9" s="16" t="str">
        <f t="shared" si="20"/>
        <v>#N/A</v>
      </c>
      <c r="M9" s="16" t="str">
        <f t="shared" si="20"/>
        <v>#N/A</v>
      </c>
      <c r="N9" s="16" t="str">
        <f t="shared" si="20"/>
        <v>#N/A</v>
      </c>
      <c r="O9" s="16" t="str">
        <f t="shared" si="6"/>
        <v>#N/A</v>
      </c>
      <c r="P9" s="58" t="e">
        <v>#N/A</v>
      </c>
      <c r="Q9" s="16" t="str">
        <f t="shared" si="7"/>
        <v>UNDECIDED</v>
      </c>
      <c r="R9" s="16" t="str">
        <f>VLOOKUP($A9, Source!B:I, 8, FALSE)</f>
        <v>#N/A</v>
      </c>
      <c r="S9" s="16" t="str">
        <f>VLOOKUP(A9,Source!B:H, 7, FALSE)</f>
        <v>#N/A</v>
      </c>
      <c r="T9" s="16" t="str">
        <f t="shared" ref="T9:T10" si="23">IF(COUNTIF(Q9:R9, "UNDECIDED")&gt;0, "Unclear", IF((Q9="SDG 10")=R9, "Yes", "No"))</f>
        <v>Unclear</v>
      </c>
    </row>
    <row r="10" ht="15.75" customHeight="1">
      <c r="A10" s="23" t="s">
        <v>563</v>
      </c>
      <c r="B10" s="23" t="s">
        <v>564</v>
      </c>
      <c r="C10" s="16" t="str">
        <f t="shared" ref="C10:H10" si="21">VLOOKUP($A10, INDIRECT(C$1&amp;"!B:D"), 3, FALSE)</f>
        <v>#REF!</v>
      </c>
      <c r="D10" s="16" t="str">
        <f t="shared" si="21"/>
        <v>#N/A</v>
      </c>
      <c r="E10" s="16" t="str">
        <f t="shared" si="21"/>
        <v>#N/A</v>
      </c>
      <c r="F10" s="16" t="str">
        <f t="shared" si="21"/>
        <v>#N/A</v>
      </c>
      <c r="G10" s="16" t="str">
        <f t="shared" si="21"/>
        <v>#N/A</v>
      </c>
      <c r="H10" s="16" t="str">
        <f t="shared" si="21"/>
        <v>#N/A</v>
      </c>
      <c r="I10" s="57">
        <f t="shared" si="4"/>
        <v>0</v>
      </c>
      <c r="J10" s="16" t="str">
        <f t="shared" ref="J10:N10" si="22">VLOOKUP($A10, INDIRECT(D$1&amp;"!B:E"), 4, FALSE)</f>
        <v>#N/A</v>
      </c>
      <c r="K10" s="16" t="str">
        <f t="shared" si="22"/>
        <v>#N/A</v>
      </c>
      <c r="L10" s="16" t="str">
        <f t="shared" si="22"/>
        <v>#N/A</v>
      </c>
      <c r="M10" s="16" t="str">
        <f t="shared" si="22"/>
        <v>#N/A</v>
      </c>
      <c r="N10" s="16" t="str">
        <f t="shared" si="22"/>
        <v>#N/A</v>
      </c>
      <c r="O10" s="16" t="str">
        <f t="shared" si="6"/>
        <v>#N/A</v>
      </c>
      <c r="P10" s="58" t="e">
        <v>#N/A</v>
      </c>
      <c r="Q10" s="16" t="str">
        <f t="shared" si="7"/>
        <v>UNDECIDED</v>
      </c>
      <c r="R10" s="16" t="str">
        <f>VLOOKUP($A10, Source!B:I, 8, FALSE)</f>
        <v>#N/A</v>
      </c>
      <c r="S10" s="16" t="str">
        <f>VLOOKUP(A10,Source!B:H, 7, FALSE)</f>
        <v>#N/A</v>
      </c>
      <c r="T10" s="16" t="str">
        <f t="shared" si="23"/>
        <v>Unclear</v>
      </c>
    </row>
    <row r="11" ht="15.75" hidden="1" customHeight="1">
      <c r="A11" s="23" t="s">
        <v>565</v>
      </c>
      <c r="B11" s="23" t="s">
        <v>566</v>
      </c>
      <c r="C11" s="16" t="str">
        <f t="shared" ref="C11:H11" si="24">VLOOKUP($A11, INDIRECT(C$1&amp;"!B:D"), 3, FALSE)</f>
        <v>#REF!</v>
      </c>
      <c r="D11" s="16" t="str">
        <f t="shared" si="24"/>
        <v>#N/A</v>
      </c>
      <c r="E11" s="16" t="str">
        <f t="shared" si="24"/>
        <v>#N/A</v>
      </c>
      <c r="F11" s="16" t="str">
        <f t="shared" si="24"/>
        <v>#N/A</v>
      </c>
      <c r="G11" s="16" t="str">
        <f t="shared" si="24"/>
        <v>#N/A</v>
      </c>
      <c r="H11" s="16" t="str">
        <f t="shared" si="24"/>
        <v>#N/A</v>
      </c>
      <c r="I11" s="57">
        <f t="shared" si="4"/>
        <v>0</v>
      </c>
      <c r="J11" s="16" t="str">
        <f t="shared" ref="J11:N11" si="25">VLOOKUP($A11, INDIRECT(D$1&amp;"!B:E"), 4, FALSE)</f>
        <v>#N/A</v>
      </c>
      <c r="K11" s="16" t="str">
        <f t="shared" si="25"/>
        <v>#N/A</v>
      </c>
      <c r="L11" s="16" t="str">
        <f t="shared" si="25"/>
        <v>#N/A</v>
      </c>
      <c r="M11" s="16" t="str">
        <f t="shared" si="25"/>
        <v>#N/A</v>
      </c>
      <c r="N11" s="16" t="str">
        <f t="shared" si="25"/>
        <v>#N/A</v>
      </c>
      <c r="O11" s="16" t="str">
        <f t="shared" si="6"/>
        <v>#N/A</v>
      </c>
      <c r="P11" s="58" t="e">
        <v>#N/A</v>
      </c>
      <c r="Q11" s="16" t="str">
        <f t="shared" si="7"/>
        <v>UNDECIDED</v>
      </c>
      <c r="R11" s="16" t="str">
        <f>VLOOKUP($A11, Source!B:I, 8, FALSE)</f>
        <v>#N/A</v>
      </c>
      <c r="S11" s="16" t="str">
        <f>VLOOKUP(A11,Source!B:H, 7, FALSE)</f>
        <v>#N/A</v>
      </c>
      <c r="T11" s="16" t="str">
        <f t="shared" ref="T11:T13" si="28">IF(COUNTIF(Q11:R11, "*SDG 7")&lt;2, "Unclear", IF(Q11=R11, "Yes", "No"))</f>
        <v>Unclear</v>
      </c>
    </row>
    <row r="12" ht="15.75" hidden="1" customHeight="1">
      <c r="A12" s="23" t="s">
        <v>567</v>
      </c>
      <c r="B12" s="23" t="s">
        <v>568</v>
      </c>
      <c r="C12" s="16" t="str">
        <f t="shared" ref="C12:H12" si="26">VLOOKUP($A12, INDIRECT(C$1&amp;"!B:D"), 3, FALSE)</f>
        <v>#REF!</v>
      </c>
      <c r="D12" s="16" t="str">
        <f t="shared" si="26"/>
        <v>#N/A</v>
      </c>
      <c r="E12" s="16" t="str">
        <f t="shared" si="26"/>
        <v>#N/A</v>
      </c>
      <c r="F12" s="16" t="str">
        <f t="shared" si="26"/>
        <v>#N/A</v>
      </c>
      <c r="G12" s="16" t="str">
        <f t="shared" si="26"/>
        <v>#N/A</v>
      </c>
      <c r="H12" s="16" t="str">
        <f t="shared" si="26"/>
        <v>#N/A</v>
      </c>
      <c r="I12" s="57">
        <f t="shared" si="4"/>
        <v>0</v>
      </c>
      <c r="J12" s="16" t="str">
        <f t="shared" ref="J12:N12" si="27">VLOOKUP($A12, INDIRECT(D$1&amp;"!B:E"), 4, FALSE)</f>
        <v>#N/A</v>
      </c>
      <c r="K12" s="16" t="str">
        <f t="shared" si="27"/>
        <v>#N/A</v>
      </c>
      <c r="L12" s="16" t="str">
        <f t="shared" si="27"/>
        <v>#N/A</v>
      </c>
      <c r="M12" s="16" t="str">
        <f t="shared" si="27"/>
        <v>#N/A</v>
      </c>
      <c r="N12" s="16" t="str">
        <f t="shared" si="27"/>
        <v>#N/A</v>
      </c>
      <c r="O12" s="16" t="str">
        <f t="shared" si="6"/>
        <v>#N/A</v>
      </c>
      <c r="P12" s="58" t="e">
        <v>#N/A</v>
      </c>
      <c r="Q12" s="16" t="str">
        <f t="shared" si="7"/>
        <v>UNDECIDED</v>
      </c>
      <c r="R12" s="16" t="str">
        <f>VLOOKUP($A12, Source!B:I, 8, FALSE)</f>
        <v>#N/A</v>
      </c>
      <c r="S12" s="16" t="str">
        <f>VLOOKUP(A12,Source!B:H, 7, FALSE)</f>
        <v>#N/A</v>
      </c>
      <c r="T12" s="16" t="str">
        <f t="shared" si="28"/>
        <v>Unclear</v>
      </c>
    </row>
    <row r="13" ht="15.75" hidden="1" customHeight="1">
      <c r="A13" s="23" t="s">
        <v>569</v>
      </c>
      <c r="B13" s="23" t="s">
        <v>570</v>
      </c>
      <c r="C13" s="16" t="str">
        <f t="shared" ref="C13:H13" si="29">VLOOKUP($A13, INDIRECT(C$1&amp;"!B:D"), 3, FALSE)</f>
        <v>#REF!</v>
      </c>
      <c r="D13" s="16" t="str">
        <f t="shared" si="29"/>
        <v>#N/A</v>
      </c>
      <c r="E13" s="16" t="str">
        <f t="shared" si="29"/>
        <v>#N/A</v>
      </c>
      <c r="F13" s="16" t="str">
        <f t="shared" si="29"/>
        <v>#N/A</v>
      </c>
      <c r="G13" s="16" t="str">
        <f t="shared" si="29"/>
        <v>#N/A</v>
      </c>
      <c r="H13" s="16" t="str">
        <f t="shared" si="29"/>
        <v>#N/A</v>
      </c>
      <c r="I13" s="57">
        <f t="shared" si="4"/>
        <v>0</v>
      </c>
      <c r="J13" s="16" t="str">
        <f t="shared" ref="J13:N13" si="30">VLOOKUP($A13, INDIRECT(D$1&amp;"!B:E"), 4, FALSE)</f>
        <v>#N/A</v>
      </c>
      <c r="K13" s="16" t="str">
        <f t="shared" si="30"/>
        <v>#N/A</v>
      </c>
      <c r="L13" s="16" t="str">
        <f t="shared" si="30"/>
        <v>#N/A</v>
      </c>
      <c r="M13" s="16" t="str">
        <f t="shared" si="30"/>
        <v>#N/A</v>
      </c>
      <c r="N13" s="16" t="str">
        <f t="shared" si="30"/>
        <v>#N/A</v>
      </c>
      <c r="O13" s="16" t="str">
        <f t="shared" si="6"/>
        <v>#N/A</v>
      </c>
      <c r="P13" s="58" t="e">
        <v>#N/A</v>
      </c>
      <c r="Q13" s="16" t="str">
        <f t="shared" si="7"/>
        <v>UNDECIDED</v>
      </c>
      <c r="R13" s="16" t="str">
        <f>VLOOKUP($A13, Source!B:I, 8, FALSE)</f>
        <v>#N/A</v>
      </c>
      <c r="S13" s="16" t="str">
        <f>VLOOKUP(A13,Source!B:H, 7, FALSE)</f>
        <v>#N/A</v>
      </c>
      <c r="T13" s="16" t="str">
        <f t="shared" si="28"/>
        <v>Unclear</v>
      </c>
    </row>
    <row r="14" ht="15.75" customHeight="1">
      <c r="A14" s="23" t="s">
        <v>571</v>
      </c>
      <c r="B14" s="23" t="s">
        <v>572</v>
      </c>
      <c r="C14" s="16" t="str">
        <f t="shared" ref="C14:H14" si="31">VLOOKUP($A14, INDIRECT(C$1&amp;"!B:D"), 3, FALSE)</f>
        <v>#REF!</v>
      </c>
      <c r="D14" s="16" t="str">
        <f t="shared" si="31"/>
        <v>#N/A</v>
      </c>
      <c r="E14" s="16" t="str">
        <f t="shared" si="31"/>
        <v>#N/A</v>
      </c>
      <c r="F14" s="16" t="str">
        <f t="shared" si="31"/>
        <v>#N/A</v>
      </c>
      <c r="G14" s="16" t="str">
        <f t="shared" si="31"/>
        <v>#N/A</v>
      </c>
      <c r="H14" s="16" t="str">
        <f t="shared" si="31"/>
        <v>#N/A</v>
      </c>
      <c r="I14" s="57">
        <f t="shared" si="4"/>
        <v>0</v>
      </c>
      <c r="J14" s="16" t="str">
        <f t="shared" ref="J14:N14" si="32">VLOOKUP($A14, INDIRECT(D$1&amp;"!B:E"), 4, FALSE)</f>
        <v>#N/A</v>
      </c>
      <c r="K14" s="16" t="str">
        <f t="shared" si="32"/>
        <v>#N/A</v>
      </c>
      <c r="L14" s="16" t="str">
        <f t="shared" si="32"/>
        <v>#N/A</v>
      </c>
      <c r="M14" s="16" t="str">
        <f t="shared" si="32"/>
        <v>#N/A</v>
      </c>
      <c r="N14" s="16" t="str">
        <f t="shared" si="32"/>
        <v>#N/A</v>
      </c>
      <c r="O14" s="16" t="str">
        <f t="shared" si="6"/>
        <v>#N/A</v>
      </c>
      <c r="P14" s="58" t="e">
        <v>#N/A</v>
      </c>
      <c r="Q14" s="16" t="str">
        <f t="shared" si="7"/>
        <v>UNDECIDED</v>
      </c>
      <c r="R14" s="16" t="str">
        <f>VLOOKUP($A14, Source!B:I, 8, FALSE)</f>
        <v>#N/A</v>
      </c>
      <c r="S14" s="16" t="str">
        <f>VLOOKUP(A14,Source!B:H, 7, FALSE)</f>
        <v>#N/A</v>
      </c>
      <c r="T14" s="16" t="str">
        <f t="shared" ref="T14:T18" si="35">IF(COUNTIF(Q14:R14, "UNDECIDED")&gt;0, "Unclear", IF((Q14="SDG 10")=R14, "Yes", "No"))</f>
        <v>Unclear</v>
      </c>
    </row>
    <row r="15" ht="15.75" customHeight="1">
      <c r="A15" s="23" t="s">
        <v>573</v>
      </c>
      <c r="B15" s="23" t="s">
        <v>574</v>
      </c>
      <c r="C15" s="16" t="str">
        <f t="shared" ref="C15:H15" si="33">VLOOKUP($A15, INDIRECT(C$1&amp;"!B:D"), 3, FALSE)</f>
        <v>#REF!</v>
      </c>
      <c r="D15" s="16" t="str">
        <f t="shared" si="33"/>
        <v>#N/A</v>
      </c>
      <c r="E15" s="16" t="str">
        <f t="shared" si="33"/>
        <v>#N/A</v>
      </c>
      <c r="F15" s="16" t="str">
        <f t="shared" si="33"/>
        <v>#N/A</v>
      </c>
      <c r="G15" s="16" t="str">
        <f t="shared" si="33"/>
        <v>#N/A</v>
      </c>
      <c r="H15" s="16" t="str">
        <f t="shared" si="33"/>
        <v>#N/A</v>
      </c>
      <c r="I15" s="57">
        <f t="shared" si="4"/>
        <v>0</v>
      </c>
      <c r="J15" s="16" t="str">
        <f t="shared" ref="J15:N15" si="34">VLOOKUP($A15, INDIRECT(D$1&amp;"!B:E"), 4, FALSE)</f>
        <v>#N/A</v>
      </c>
      <c r="K15" s="16" t="str">
        <f t="shared" si="34"/>
        <v>#N/A</v>
      </c>
      <c r="L15" s="16" t="str">
        <f t="shared" si="34"/>
        <v>#N/A</v>
      </c>
      <c r="M15" s="16" t="str">
        <f t="shared" si="34"/>
        <v>#N/A</v>
      </c>
      <c r="N15" s="16" t="str">
        <f t="shared" si="34"/>
        <v>#N/A</v>
      </c>
      <c r="O15" s="16" t="str">
        <f t="shared" si="6"/>
        <v>#N/A</v>
      </c>
      <c r="P15" s="58" t="e">
        <v>#N/A</v>
      </c>
      <c r="Q15" s="16" t="str">
        <f t="shared" si="7"/>
        <v>UNDECIDED</v>
      </c>
      <c r="R15" s="16" t="str">
        <f>VLOOKUP($A15, Source!B:I, 8, FALSE)</f>
        <v>#N/A</v>
      </c>
      <c r="S15" s="16" t="str">
        <f>VLOOKUP(A15,Source!B:H, 7, FALSE)</f>
        <v>#N/A</v>
      </c>
      <c r="T15" s="16" t="str">
        <f t="shared" si="35"/>
        <v>Unclear</v>
      </c>
    </row>
    <row r="16" ht="15.75" customHeight="1">
      <c r="A16" s="23" t="s">
        <v>575</v>
      </c>
      <c r="B16" s="23" t="s">
        <v>576</v>
      </c>
      <c r="C16" s="16" t="str">
        <f t="shared" ref="C16:H16" si="36">VLOOKUP($A16, INDIRECT(C$1&amp;"!B:D"), 3, FALSE)</f>
        <v>#REF!</v>
      </c>
      <c r="D16" s="16" t="str">
        <f t="shared" si="36"/>
        <v>#N/A</v>
      </c>
      <c r="E16" s="16" t="str">
        <f t="shared" si="36"/>
        <v>#N/A</v>
      </c>
      <c r="F16" s="16" t="str">
        <f t="shared" si="36"/>
        <v>#N/A</v>
      </c>
      <c r="G16" s="16" t="str">
        <f t="shared" si="36"/>
        <v>#N/A</v>
      </c>
      <c r="H16" s="16" t="str">
        <f t="shared" si="36"/>
        <v>#N/A</v>
      </c>
      <c r="I16" s="57">
        <f t="shared" si="4"/>
        <v>0</v>
      </c>
      <c r="J16" s="16" t="str">
        <f t="shared" ref="J16:N16" si="37">VLOOKUP($A16, INDIRECT(D$1&amp;"!B:E"), 4, FALSE)</f>
        <v>#N/A</v>
      </c>
      <c r="K16" s="16" t="str">
        <f t="shared" si="37"/>
        <v>#N/A</v>
      </c>
      <c r="L16" s="16" t="str">
        <f t="shared" si="37"/>
        <v>#N/A</v>
      </c>
      <c r="M16" s="16" t="str">
        <f t="shared" si="37"/>
        <v>#N/A</v>
      </c>
      <c r="N16" s="16" t="str">
        <f t="shared" si="37"/>
        <v>#N/A</v>
      </c>
      <c r="O16" s="16" t="str">
        <f t="shared" si="6"/>
        <v>#N/A</v>
      </c>
      <c r="P16" s="58" t="e">
        <v>#N/A</v>
      </c>
      <c r="Q16" s="16" t="str">
        <f t="shared" si="7"/>
        <v>UNDECIDED</v>
      </c>
      <c r="R16" s="16" t="str">
        <f>VLOOKUP($A16, Source!B:I, 8, FALSE)</f>
        <v>#N/A</v>
      </c>
      <c r="S16" s="16" t="str">
        <f>VLOOKUP(A16,Source!B:H, 7, FALSE)</f>
        <v>#N/A</v>
      </c>
      <c r="T16" s="16" t="str">
        <f t="shared" si="35"/>
        <v>Unclear</v>
      </c>
    </row>
    <row r="17" ht="15.75" customHeight="1">
      <c r="A17" s="23" t="s">
        <v>577</v>
      </c>
      <c r="B17" s="23" t="s">
        <v>578</v>
      </c>
      <c r="C17" s="16" t="str">
        <f t="shared" ref="C17:H17" si="38">VLOOKUP($A17, INDIRECT(C$1&amp;"!B:D"), 3, FALSE)</f>
        <v>#REF!</v>
      </c>
      <c r="D17" s="16" t="str">
        <f t="shared" si="38"/>
        <v>#N/A</v>
      </c>
      <c r="E17" s="16" t="str">
        <f t="shared" si="38"/>
        <v>#N/A</v>
      </c>
      <c r="F17" s="16" t="str">
        <f t="shared" si="38"/>
        <v>#N/A</v>
      </c>
      <c r="G17" s="16" t="str">
        <f t="shared" si="38"/>
        <v>#N/A</v>
      </c>
      <c r="H17" s="16" t="str">
        <f t="shared" si="38"/>
        <v>#N/A</v>
      </c>
      <c r="I17" s="57">
        <f t="shared" si="4"/>
        <v>0</v>
      </c>
      <c r="J17" s="16" t="str">
        <f t="shared" ref="J17:N17" si="39">VLOOKUP($A17, INDIRECT(D$1&amp;"!B:E"), 4, FALSE)</f>
        <v>#N/A</v>
      </c>
      <c r="K17" s="16" t="str">
        <f t="shared" si="39"/>
        <v>#N/A</v>
      </c>
      <c r="L17" s="16" t="str">
        <f t="shared" si="39"/>
        <v>#N/A</v>
      </c>
      <c r="M17" s="16" t="str">
        <f t="shared" si="39"/>
        <v>#N/A</v>
      </c>
      <c r="N17" s="16" t="str">
        <f t="shared" si="39"/>
        <v>#N/A</v>
      </c>
      <c r="O17" s="16" t="str">
        <f t="shared" si="6"/>
        <v>#N/A</v>
      </c>
      <c r="P17" s="58" t="e">
        <v>#N/A</v>
      </c>
      <c r="Q17" s="16" t="str">
        <f t="shared" si="7"/>
        <v>UNDECIDED</v>
      </c>
      <c r="R17" s="16" t="str">
        <f>VLOOKUP($A17, Source!B:I, 8, FALSE)</f>
        <v>#N/A</v>
      </c>
      <c r="S17" s="16" t="str">
        <f>VLOOKUP(A17,Source!B:H, 7, FALSE)</f>
        <v>#N/A</v>
      </c>
      <c r="T17" s="16" t="str">
        <f t="shared" si="35"/>
        <v>Unclear</v>
      </c>
    </row>
    <row r="18" ht="15.75" customHeight="1">
      <c r="A18" s="23" t="s">
        <v>579</v>
      </c>
      <c r="B18" s="23" t="s">
        <v>580</v>
      </c>
      <c r="C18" s="16" t="str">
        <f t="shared" ref="C18:H18" si="40">VLOOKUP($A18, INDIRECT(C$1&amp;"!B:D"), 3, FALSE)</f>
        <v>#REF!</v>
      </c>
      <c r="D18" s="16" t="str">
        <f t="shared" si="40"/>
        <v>#N/A</v>
      </c>
      <c r="E18" s="16" t="str">
        <f t="shared" si="40"/>
        <v>#N/A</v>
      </c>
      <c r="F18" s="16" t="str">
        <f t="shared" si="40"/>
        <v>#N/A</v>
      </c>
      <c r="G18" s="16" t="str">
        <f t="shared" si="40"/>
        <v>#N/A</v>
      </c>
      <c r="H18" s="16" t="str">
        <f t="shared" si="40"/>
        <v>#N/A</v>
      </c>
      <c r="I18" s="57">
        <f t="shared" si="4"/>
        <v>0</v>
      </c>
      <c r="J18" s="16" t="str">
        <f t="shared" ref="J18:N18" si="41">VLOOKUP($A18, INDIRECT(D$1&amp;"!B:E"), 4, FALSE)</f>
        <v>#N/A</v>
      </c>
      <c r="K18" s="16" t="str">
        <f t="shared" si="41"/>
        <v>#N/A</v>
      </c>
      <c r="L18" s="16" t="str">
        <f t="shared" si="41"/>
        <v>#N/A</v>
      </c>
      <c r="M18" s="16" t="str">
        <f t="shared" si="41"/>
        <v>#N/A</v>
      </c>
      <c r="N18" s="16" t="str">
        <f t="shared" si="41"/>
        <v>#N/A</v>
      </c>
      <c r="O18" s="16" t="str">
        <f t="shared" si="6"/>
        <v>#N/A</v>
      </c>
      <c r="P18" s="58" t="e">
        <v>#N/A</v>
      </c>
      <c r="Q18" s="16" t="str">
        <f t="shared" si="7"/>
        <v>UNDECIDED</v>
      </c>
      <c r="R18" s="16" t="str">
        <f>VLOOKUP($A18, Source!B:I, 8, FALSE)</f>
        <v>#N/A</v>
      </c>
      <c r="S18" s="16" t="str">
        <f>VLOOKUP(A18,Source!B:H, 7, FALSE)</f>
        <v>#N/A</v>
      </c>
      <c r="T18" s="16" t="str">
        <f t="shared" si="35"/>
        <v>Unclear</v>
      </c>
    </row>
    <row r="19" ht="15.75" hidden="1" customHeight="1">
      <c r="A19" s="23" t="s">
        <v>581</v>
      </c>
      <c r="B19" s="23" t="s">
        <v>582</v>
      </c>
      <c r="C19" s="16" t="str">
        <f t="shared" ref="C19:H19" si="42">VLOOKUP($A19, INDIRECT(C$1&amp;"!B:D"), 3, FALSE)</f>
        <v>#REF!</v>
      </c>
      <c r="D19" s="16" t="str">
        <f t="shared" si="42"/>
        <v>#N/A</v>
      </c>
      <c r="E19" s="16" t="str">
        <f t="shared" si="42"/>
        <v>#N/A</v>
      </c>
      <c r="F19" s="16" t="str">
        <f t="shared" si="42"/>
        <v>#N/A</v>
      </c>
      <c r="G19" s="16" t="str">
        <f t="shared" si="42"/>
        <v>#N/A</v>
      </c>
      <c r="H19" s="16" t="str">
        <f t="shared" si="42"/>
        <v>#N/A</v>
      </c>
      <c r="I19" s="57">
        <f t="shared" si="4"/>
        <v>0</v>
      </c>
      <c r="J19" s="16" t="str">
        <f t="shared" ref="J19:N19" si="43">VLOOKUP($A19, INDIRECT(D$1&amp;"!B:E"), 4, FALSE)</f>
        <v>#N/A</v>
      </c>
      <c r="K19" s="16" t="str">
        <f t="shared" si="43"/>
        <v>#N/A</v>
      </c>
      <c r="L19" s="16" t="str">
        <f t="shared" si="43"/>
        <v>#N/A</v>
      </c>
      <c r="M19" s="16" t="str">
        <f t="shared" si="43"/>
        <v>#N/A</v>
      </c>
      <c r="N19" s="16" t="str">
        <f t="shared" si="43"/>
        <v>#N/A</v>
      </c>
      <c r="O19" s="16" t="str">
        <f t="shared" si="6"/>
        <v>#N/A</v>
      </c>
      <c r="P19" s="58" t="e">
        <v>#N/A</v>
      </c>
      <c r="Q19" s="16" t="str">
        <f t="shared" si="7"/>
        <v>UNDECIDED</v>
      </c>
      <c r="R19" s="16" t="str">
        <f>VLOOKUP($A19, Source!B:I, 8, FALSE)</f>
        <v>#N/A</v>
      </c>
      <c r="S19" s="16" t="str">
        <f>VLOOKUP(A19,Source!B:H, 7, FALSE)</f>
        <v>#N/A</v>
      </c>
      <c r="T19" s="16" t="str">
        <f t="shared" ref="T19:T20" si="46">IF(COUNTIF(Q19:R19, "*SDG 7")&lt;2, "Unclear", IF(Q19=R19, "Yes", "No"))</f>
        <v>Unclear</v>
      </c>
    </row>
    <row r="20" ht="15.75" hidden="1" customHeight="1">
      <c r="A20" s="23" t="s">
        <v>583</v>
      </c>
      <c r="B20" s="23" t="s">
        <v>584</v>
      </c>
      <c r="C20" s="16" t="str">
        <f t="shared" ref="C20:H20" si="44">VLOOKUP($A20, INDIRECT(C$1&amp;"!B:D"), 3, FALSE)</f>
        <v>#REF!</v>
      </c>
      <c r="D20" s="16" t="str">
        <f t="shared" si="44"/>
        <v>#N/A</v>
      </c>
      <c r="E20" s="16" t="str">
        <f t="shared" si="44"/>
        <v>#N/A</v>
      </c>
      <c r="F20" s="16" t="str">
        <f t="shared" si="44"/>
        <v>#N/A</v>
      </c>
      <c r="G20" s="16" t="str">
        <f t="shared" si="44"/>
        <v>#N/A</v>
      </c>
      <c r="H20" s="16" t="str">
        <f t="shared" si="44"/>
        <v>#N/A</v>
      </c>
      <c r="I20" s="57">
        <f t="shared" si="4"/>
        <v>0</v>
      </c>
      <c r="J20" s="16" t="str">
        <f t="shared" ref="J20:N20" si="45">VLOOKUP($A20, INDIRECT(D$1&amp;"!B:E"), 4, FALSE)</f>
        <v>#N/A</v>
      </c>
      <c r="K20" s="16" t="str">
        <f t="shared" si="45"/>
        <v>#N/A</v>
      </c>
      <c r="L20" s="16" t="str">
        <f t="shared" si="45"/>
        <v>#N/A</v>
      </c>
      <c r="M20" s="16" t="str">
        <f t="shared" si="45"/>
        <v>#N/A</v>
      </c>
      <c r="N20" s="16" t="str">
        <f t="shared" si="45"/>
        <v>#N/A</v>
      </c>
      <c r="O20" s="16" t="str">
        <f t="shared" si="6"/>
        <v>#N/A</v>
      </c>
      <c r="P20" s="58" t="e">
        <v>#N/A</v>
      </c>
      <c r="Q20" s="16" t="str">
        <f t="shared" si="7"/>
        <v>UNDECIDED</v>
      </c>
      <c r="R20" s="16" t="str">
        <f>VLOOKUP($A20, Source!B:I, 8, FALSE)</f>
        <v>#N/A</v>
      </c>
      <c r="S20" s="16" t="str">
        <f>VLOOKUP(A20,Source!B:H, 7, FALSE)</f>
        <v>#N/A</v>
      </c>
      <c r="T20" s="16" t="str">
        <f t="shared" si="46"/>
        <v>Unclear</v>
      </c>
    </row>
    <row r="21" ht="15.75" customHeight="1">
      <c r="A21" s="23" t="s">
        <v>585</v>
      </c>
      <c r="B21" s="23" t="s">
        <v>586</v>
      </c>
      <c r="C21" s="16" t="str">
        <f t="shared" ref="C21:H21" si="47">VLOOKUP($A21, INDIRECT(C$1&amp;"!B:D"), 3, FALSE)</f>
        <v>#REF!</v>
      </c>
      <c r="D21" s="16" t="str">
        <f t="shared" si="47"/>
        <v>#N/A</v>
      </c>
      <c r="E21" s="16" t="str">
        <f t="shared" si="47"/>
        <v>#N/A</v>
      </c>
      <c r="F21" s="16" t="str">
        <f t="shared" si="47"/>
        <v>#N/A</v>
      </c>
      <c r="G21" s="16" t="str">
        <f t="shared" si="47"/>
        <v>#N/A</v>
      </c>
      <c r="H21" s="16" t="str">
        <f t="shared" si="47"/>
        <v>#N/A</v>
      </c>
      <c r="I21" s="57">
        <f t="shared" si="4"/>
        <v>0</v>
      </c>
      <c r="J21" s="16" t="str">
        <f t="shared" ref="J21:N21" si="48">VLOOKUP($A21, INDIRECT(D$1&amp;"!B:E"), 4, FALSE)</f>
        <v>#N/A</v>
      </c>
      <c r="K21" s="16" t="str">
        <f t="shared" si="48"/>
        <v>#N/A</v>
      </c>
      <c r="L21" s="16" t="str">
        <f t="shared" si="48"/>
        <v>#N/A</v>
      </c>
      <c r="M21" s="16" t="str">
        <f t="shared" si="48"/>
        <v>#N/A</v>
      </c>
      <c r="N21" s="16" t="str">
        <f t="shared" si="48"/>
        <v>#N/A</v>
      </c>
      <c r="O21" s="16" t="str">
        <f t="shared" si="6"/>
        <v>#N/A</v>
      </c>
      <c r="P21" s="58" t="e">
        <v>#N/A</v>
      </c>
      <c r="Q21" s="16" t="str">
        <f t="shared" si="7"/>
        <v>UNDECIDED</v>
      </c>
      <c r="R21" s="16" t="str">
        <f>VLOOKUP($A21, Source!B:I, 8, FALSE)</f>
        <v>#N/A</v>
      </c>
      <c r="S21" s="16" t="str">
        <f>VLOOKUP(A21,Source!B:H, 7, FALSE)</f>
        <v>#N/A</v>
      </c>
      <c r="T21" s="16" t="str">
        <f t="shared" ref="T21:T24" si="51">IF(COUNTIF(Q21:R21, "UNDECIDED")&gt;0, "Unclear", IF((Q21="SDG 10")=R21, "Yes", "No"))</f>
        <v>Unclear</v>
      </c>
    </row>
    <row r="22" ht="15.75" customHeight="1">
      <c r="A22" s="23" t="s">
        <v>587</v>
      </c>
      <c r="B22" s="23" t="s">
        <v>588</v>
      </c>
      <c r="C22" s="16" t="str">
        <f t="shared" ref="C22:H22" si="49">VLOOKUP($A22, INDIRECT(C$1&amp;"!B:D"), 3, FALSE)</f>
        <v>#REF!</v>
      </c>
      <c r="D22" s="16" t="str">
        <f t="shared" si="49"/>
        <v>#N/A</v>
      </c>
      <c r="E22" s="16" t="str">
        <f t="shared" si="49"/>
        <v>#N/A</v>
      </c>
      <c r="F22" s="16" t="str">
        <f t="shared" si="49"/>
        <v>#N/A</v>
      </c>
      <c r="G22" s="16" t="str">
        <f t="shared" si="49"/>
        <v>#N/A</v>
      </c>
      <c r="H22" s="16" t="str">
        <f t="shared" si="49"/>
        <v>#N/A</v>
      </c>
      <c r="I22" s="57">
        <f t="shared" si="4"/>
        <v>0</v>
      </c>
      <c r="J22" s="16" t="str">
        <f t="shared" ref="J22:N22" si="50">VLOOKUP($A22, INDIRECT(D$1&amp;"!B:E"), 4, FALSE)</f>
        <v>#N/A</v>
      </c>
      <c r="K22" s="16" t="str">
        <f t="shared" si="50"/>
        <v>#N/A</v>
      </c>
      <c r="L22" s="16" t="str">
        <f t="shared" si="50"/>
        <v>#N/A</v>
      </c>
      <c r="M22" s="16" t="str">
        <f t="shared" si="50"/>
        <v>#N/A</v>
      </c>
      <c r="N22" s="16" t="str">
        <f t="shared" si="50"/>
        <v>#N/A</v>
      </c>
      <c r="O22" s="16" t="str">
        <f t="shared" si="6"/>
        <v>#N/A</v>
      </c>
      <c r="P22" s="58" t="e">
        <v>#N/A</v>
      </c>
      <c r="Q22" s="16" t="str">
        <f t="shared" si="7"/>
        <v>UNDECIDED</v>
      </c>
      <c r="R22" s="16" t="str">
        <f>VLOOKUP($A22, Source!B:I, 8, FALSE)</f>
        <v>#N/A</v>
      </c>
      <c r="S22" s="16" t="str">
        <f>VLOOKUP(A22,Source!B:H, 7, FALSE)</f>
        <v>#N/A</v>
      </c>
      <c r="T22" s="16" t="str">
        <f t="shared" si="51"/>
        <v>Unclear</v>
      </c>
    </row>
    <row r="23" ht="15.75" customHeight="1">
      <c r="A23" s="23" t="s">
        <v>589</v>
      </c>
      <c r="B23" s="23" t="s">
        <v>590</v>
      </c>
      <c r="C23" s="16" t="str">
        <f t="shared" ref="C23:H23" si="52">VLOOKUP($A23, INDIRECT(C$1&amp;"!B:D"), 3, FALSE)</f>
        <v>#REF!</v>
      </c>
      <c r="D23" s="16" t="str">
        <f t="shared" si="52"/>
        <v>#N/A</v>
      </c>
      <c r="E23" s="16" t="str">
        <f t="shared" si="52"/>
        <v>#N/A</v>
      </c>
      <c r="F23" s="16" t="str">
        <f t="shared" si="52"/>
        <v>#N/A</v>
      </c>
      <c r="G23" s="16" t="str">
        <f t="shared" si="52"/>
        <v>#N/A</v>
      </c>
      <c r="H23" s="16" t="str">
        <f t="shared" si="52"/>
        <v>#N/A</v>
      </c>
      <c r="I23" s="57">
        <f t="shared" si="4"/>
        <v>0</v>
      </c>
      <c r="J23" s="16" t="str">
        <f t="shared" ref="J23:N23" si="53">VLOOKUP($A23, INDIRECT(D$1&amp;"!B:E"), 4, FALSE)</f>
        <v>#N/A</v>
      </c>
      <c r="K23" s="16" t="str">
        <f t="shared" si="53"/>
        <v>#N/A</v>
      </c>
      <c r="L23" s="16" t="str">
        <f t="shared" si="53"/>
        <v>#N/A</v>
      </c>
      <c r="M23" s="16" t="str">
        <f t="shared" si="53"/>
        <v>#N/A</v>
      </c>
      <c r="N23" s="16" t="str">
        <f t="shared" si="53"/>
        <v>#N/A</v>
      </c>
      <c r="O23" s="16" t="str">
        <f t="shared" si="6"/>
        <v>#N/A</v>
      </c>
      <c r="P23" s="58" t="e">
        <v>#N/A</v>
      </c>
      <c r="Q23" s="16" t="str">
        <f t="shared" si="7"/>
        <v>UNDECIDED</v>
      </c>
      <c r="R23" s="16" t="str">
        <f>VLOOKUP($A23, Source!B:I, 8, FALSE)</f>
        <v>#N/A</v>
      </c>
      <c r="S23" s="16" t="str">
        <f>VLOOKUP(A23,Source!B:H, 7, FALSE)</f>
        <v>#N/A</v>
      </c>
      <c r="T23" s="16" t="str">
        <f t="shared" si="51"/>
        <v>Unclear</v>
      </c>
    </row>
    <row r="24" ht="15.75" customHeight="1">
      <c r="A24" s="23" t="s">
        <v>591</v>
      </c>
      <c r="B24" s="23" t="s">
        <v>592</v>
      </c>
      <c r="C24" s="16" t="str">
        <f t="shared" ref="C24:H24" si="54">VLOOKUP($A24, INDIRECT(C$1&amp;"!B:D"), 3, FALSE)</f>
        <v>#REF!</v>
      </c>
      <c r="D24" s="16" t="str">
        <f t="shared" si="54"/>
        <v>#N/A</v>
      </c>
      <c r="E24" s="16" t="str">
        <f t="shared" si="54"/>
        <v>#N/A</v>
      </c>
      <c r="F24" s="16" t="str">
        <f t="shared" si="54"/>
        <v>#N/A</v>
      </c>
      <c r="G24" s="16" t="str">
        <f t="shared" si="54"/>
        <v>#N/A</v>
      </c>
      <c r="H24" s="16" t="str">
        <f t="shared" si="54"/>
        <v>#N/A</v>
      </c>
      <c r="I24" s="57">
        <f t="shared" si="4"/>
        <v>0</v>
      </c>
      <c r="J24" s="16" t="str">
        <f t="shared" ref="J24:N24" si="55">VLOOKUP($A24, INDIRECT(D$1&amp;"!B:E"), 4, FALSE)</f>
        <v>#N/A</v>
      </c>
      <c r="K24" s="16" t="str">
        <f t="shared" si="55"/>
        <v>#N/A</v>
      </c>
      <c r="L24" s="16" t="str">
        <f t="shared" si="55"/>
        <v>#N/A</v>
      </c>
      <c r="M24" s="16" t="str">
        <f t="shared" si="55"/>
        <v>#N/A</v>
      </c>
      <c r="N24" s="16" t="str">
        <f t="shared" si="55"/>
        <v>#N/A</v>
      </c>
      <c r="O24" s="16" t="str">
        <f t="shared" si="6"/>
        <v>#N/A</v>
      </c>
      <c r="P24" s="58" t="e">
        <v>#N/A</v>
      </c>
      <c r="Q24" s="16" t="str">
        <f t="shared" si="7"/>
        <v>UNDECIDED</v>
      </c>
      <c r="R24" s="16" t="str">
        <f>VLOOKUP($A24, Source!B:I, 8, FALSE)</f>
        <v>#N/A</v>
      </c>
      <c r="S24" s="16" t="str">
        <f>VLOOKUP(A24,Source!B:H, 7, FALSE)</f>
        <v>#N/A</v>
      </c>
      <c r="T24" s="16" t="str">
        <f t="shared" si="51"/>
        <v>Unclear</v>
      </c>
    </row>
    <row r="25" ht="15.75" hidden="1" customHeight="1">
      <c r="A25" s="23" t="s">
        <v>593</v>
      </c>
      <c r="B25" s="23" t="s">
        <v>594</v>
      </c>
      <c r="C25" s="16" t="str">
        <f t="shared" ref="C25:H25" si="56">VLOOKUP($A25, INDIRECT(C$1&amp;"!B:D"), 3, FALSE)</f>
        <v>#REF!</v>
      </c>
      <c r="D25" s="16" t="str">
        <f t="shared" si="56"/>
        <v>#N/A</v>
      </c>
      <c r="E25" s="16" t="str">
        <f t="shared" si="56"/>
        <v>#N/A</v>
      </c>
      <c r="F25" s="16" t="str">
        <f t="shared" si="56"/>
        <v>#N/A</v>
      </c>
      <c r="G25" s="16" t="str">
        <f t="shared" si="56"/>
        <v>#N/A</v>
      </c>
      <c r="H25" s="16" t="str">
        <f t="shared" si="56"/>
        <v>#N/A</v>
      </c>
      <c r="I25" s="57">
        <f t="shared" si="4"/>
        <v>0</v>
      </c>
      <c r="J25" s="16" t="str">
        <f t="shared" ref="J25:N25" si="57">VLOOKUP($A25, INDIRECT(D$1&amp;"!B:E"), 4, FALSE)</f>
        <v>#N/A</v>
      </c>
      <c r="K25" s="16" t="str">
        <f t="shared" si="57"/>
        <v>#N/A</v>
      </c>
      <c r="L25" s="16" t="str">
        <f t="shared" si="57"/>
        <v>#N/A</v>
      </c>
      <c r="M25" s="16" t="str">
        <f t="shared" si="57"/>
        <v>#N/A</v>
      </c>
      <c r="N25" s="16" t="str">
        <f t="shared" si="57"/>
        <v>#N/A</v>
      </c>
      <c r="O25" s="16" t="str">
        <f t="shared" si="6"/>
        <v>#N/A</v>
      </c>
      <c r="P25" s="58" t="e">
        <v>#N/A</v>
      </c>
      <c r="Q25" s="16" t="str">
        <f t="shared" si="7"/>
        <v>UNDECIDED</v>
      </c>
      <c r="R25" s="16" t="str">
        <f>VLOOKUP($A25, Source!B:I, 8, FALSE)</f>
        <v>#N/A</v>
      </c>
      <c r="S25" s="16" t="str">
        <f>VLOOKUP(A25,Source!B:H, 7, FALSE)</f>
        <v>#N/A</v>
      </c>
      <c r="T25" s="16" t="str">
        <f>IF(COUNTIF(Q25:R25, "*SDG 7")&lt;2, "Unclear", IF(Q25=R25, "Yes", "No"))</f>
        <v>Unclear</v>
      </c>
    </row>
    <row r="26" ht="15.75" customHeight="1">
      <c r="A26" s="23" t="s">
        <v>595</v>
      </c>
      <c r="B26" s="23" t="s">
        <v>596</v>
      </c>
      <c r="C26" s="16" t="str">
        <f t="shared" ref="C26:H26" si="58">VLOOKUP($A26, INDIRECT(C$1&amp;"!B:D"), 3, FALSE)</f>
        <v>#REF!</v>
      </c>
      <c r="D26" s="16" t="str">
        <f t="shared" si="58"/>
        <v>#N/A</v>
      </c>
      <c r="E26" s="16" t="str">
        <f t="shared" si="58"/>
        <v>#N/A</v>
      </c>
      <c r="F26" s="16" t="str">
        <f t="shared" si="58"/>
        <v>#N/A</v>
      </c>
      <c r="G26" s="16" t="str">
        <f t="shared" si="58"/>
        <v>#N/A</v>
      </c>
      <c r="H26" s="16" t="str">
        <f t="shared" si="58"/>
        <v>#N/A</v>
      </c>
      <c r="I26" s="57">
        <f t="shared" si="4"/>
        <v>0</v>
      </c>
      <c r="J26" s="16" t="str">
        <f t="shared" ref="J26:N26" si="59">VLOOKUP($A26, INDIRECT(D$1&amp;"!B:E"), 4, FALSE)</f>
        <v>#N/A</v>
      </c>
      <c r="K26" s="16" t="str">
        <f t="shared" si="59"/>
        <v>#N/A</v>
      </c>
      <c r="L26" s="16" t="str">
        <f t="shared" si="59"/>
        <v>#N/A</v>
      </c>
      <c r="M26" s="16" t="str">
        <f t="shared" si="59"/>
        <v>#N/A</v>
      </c>
      <c r="N26" s="16" t="str">
        <f t="shared" si="59"/>
        <v>#N/A</v>
      </c>
      <c r="O26" s="16" t="str">
        <f t="shared" si="6"/>
        <v>#N/A</v>
      </c>
      <c r="P26" s="58" t="e">
        <v>#N/A</v>
      </c>
      <c r="Q26" s="16" t="str">
        <f t="shared" si="7"/>
        <v>UNDECIDED</v>
      </c>
      <c r="R26" s="16" t="str">
        <f>VLOOKUP($A26, Source!B:I, 8, FALSE)</f>
        <v>#N/A</v>
      </c>
      <c r="S26" s="16" t="str">
        <f>VLOOKUP(A26,Source!B:H, 7, FALSE)</f>
        <v>#N/A</v>
      </c>
      <c r="T26" s="16" t="str">
        <f>IF(COUNTIF(Q26:R26, "UNDECIDED")&gt;0, "Unclear", IF((Q26="SDG 10")=R26, "Yes", "No"))</f>
        <v>Unclear</v>
      </c>
    </row>
    <row r="27" ht="15.75" hidden="1" customHeight="1">
      <c r="A27" s="23" t="s">
        <v>597</v>
      </c>
      <c r="B27" s="23" t="s">
        <v>598</v>
      </c>
      <c r="C27" s="16" t="str">
        <f t="shared" ref="C27:H27" si="60">VLOOKUP($A27, INDIRECT(C$1&amp;"!B:D"), 3, FALSE)</f>
        <v>#REF!</v>
      </c>
      <c r="D27" s="16" t="str">
        <f t="shared" si="60"/>
        <v>#N/A</v>
      </c>
      <c r="E27" s="16" t="str">
        <f t="shared" si="60"/>
        <v>#N/A</v>
      </c>
      <c r="F27" s="16" t="str">
        <f t="shared" si="60"/>
        <v>#N/A</v>
      </c>
      <c r="G27" s="16" t="str">
        <f t="shared" si="60"/>
        <v>#N/A</v>
      </c>
      <c r="H27" s="16" t="str">
        <f t="shared" si="60"/>
        <v>#N/A</v>
      </c>
      <c r="I27" s="57">
        <f t="shared" si="4"/>
        <v>0</v>
      </c>
      <c r="J27" s="16" t="str">
        <f t="shared" ref="J27:N27" si="61">VLOOKUP($A27, INDIRECT(D$1&amp;"!B:E"), 4, FALSE)</f>
        <v>#N/A</v>
      </c>
      <c r="K27" s="16" t="str">
        <f t="shared" si="61"/>
        <v>#N/A</v>
      </c>
      <c r="L27" s="16" t="str">
        <f t="shared" si="61"/>
        <v>#N/A</v>
      </c>
      <c r="M27" s="16" t="str">
        <f t="shared" si="61"/>
        <v>#N/A</v>
      </c>
      <c r="N27" s="16" t="str">
        <f t="shared" si="61"/>
        <v>#N/A</v>
      </c>
      <c r="O27" s="16" t="str">
        <f t="shared" si="6"/>
        <v>#N/A</v>
      </c>
      <c r="P27" s="58" t="e">
        <v>#N/A</v>
      </c>
      <c r="Q27" s="16" t="str">
        <f t="shared" si="7"/>
        <v>UNDECIDED</v>
      </c>
      <c r="R27" s="16" t="str">
        <f>VLOOKUP($A27, Source!B:I, 8, FALSE)</f>
        <v>#N/A</v>
      </c>
      <c r="S27" s="16" t="str">
        <f>VLOOKUP(A27,Source!B:H, 7, FALSE)</f>
        <v>#N/A</v>
      </c>
      <c r="T27" s="16" t="str">
        <f t="shared" ref="T27:T29" si="64">IF(COUNTIF(Q27:R27, "*SDG 7")&lt;2, "Unclear", IF(Q27=R27, "Yes", "No"))</f>
        <v>Unclear</v>
      </c>
    </row>
    <row r="28" ht="15.75" hidden="1" customHeight="1">
      <c r="A28" s="23" t="s">
        <v>599</v>
      </c>
      <c r="B28" s="23" t="s">
        <v>600</v>
      </c>
      <c r="C28" s="16" t="str">
        <f t="shared" ref="C28:H28" si="62">VLOOKUP($A28, INDIRECT(C$1&amp;"!B:D"), 3, FALSE)</f>
        <v>#REF!</v>
      </c>
      <c r="D28" s="16" t="str">
        <f t="shared" si="62"/>
        <v>#N/A</v>
      </c>
      <c r="E28" s="16" t="str">
        <f t="shared" si="62"/>
        <v>#N/A</v>
      </c>
      <c r="F28" s="16" t="str">
        <f t="shared" si="62"/>
        <v>#N/A</v>
      </c>
      <c r="G28" s="16" t="str">
        <f t="shared" si="62"/>
        <v>#N/A</v>
      </c>
      <c r="H28" s="16" t="str">
        <f t="shared" si="62"/>
        <v>#N/A</v>
      </c>
      <c r="I28" s="57">
        <f t="shared" si="4"/>
        <v>0</v>
      </c>
      <c r="J28" s="16" t="str">
        <f t="shared" ref="J28:N28" si="63">VLOOKUP($A28, INDIRECT(D$1&amp;"!B:E"), 4, FALSE)</f>
        <v>#N/A</v>
      </c>
      <c r="K28" s="16" t="str">
        <f t="shared" si="63"/>
        <v>#N/A</v>
      </c>
      <c r="L28" s="16" t="str">
        <f t="shared" si="63"/>
        <v>#N/A</v>
      </c>
      <c r="M28" s="16" t="str">
        <f t="shared" si="63"/>
        <v>#N/A</v>
      </c>
      <c r="N28" s="16" t="str">
        <f t="shared" si="63"/>
        <v>#N/A</v>
      </c>
      <c r="O28" s="16" t="str">
        <f t="shared" si="6"/>
        <v>#N/A</v>
      </c>
      <c r="P28" s="58" t="e">
        <v>#N/A</v>
      </c>
      <c r="Q28" s="16" t="str">
        <f t="shared" si="7"/>
        <v>UNDECIDED</v>
      </c>
      <c r="R28" s="16" t="str">
        <f>VLOOKUP($A28, Source!B:I, 8, FALSE)</f>
        <v>#N/A</v>
      </c>
      <c r="S28" s="16" t="str">
        <f>VLOOKUP(A28,Source!B:H, 7, FALSE)</f>
        <v>#N/A</v>
      </c>
      <c r="T28" s="16" t="str">
        <f t="shared" si="64"/>
        <v>Unclear</v>
      </c>
    </row>
    <row r="29" ht="15.75" hidden="1" customHeight="1">
      <c r="A29" s="23" t="s">
        <v>601</v>
      </c>
      <c r="B29" s="23" t="s">
        <v>602</v>
      </c>
      <c r="C29" s="16" t="str">
        <f t="shared" ref="C29:H29" si="65">VLOOKUP($A29, INDIRECT(C$1&amp;"!B:D"), 3, FALSE)</f>
        <v>#REF!</v>
      </c>
      <c r="D29" s="16" t="str">
        <f t="shared" si="65"/>
        <v>#N/A</v>
      </c>
      <c r="E29" s="16" t="str">
        <f t="shared" si="65"/>
        <v>#N/A</v>
      </c>
      <c r="F29" s="16" t="str">
        <f t="shared" si="65"/>
        <v>#N/A</v>
      </c>
      <c r="G29" s="16" t="str">
        <f t="shared" si="65"/>
        <v>#N/A</v>
      </c>
      <c r="H29" s="16" t="str">
        <f t="shared" si="65"/>
        <v>#N/A</v>
      </c>
      <c r="I29" s="57">
        <f t="shared" si="4"/>
        <v>0</v>
      </c>
      <c r="J29" s="16" t="str">
        <f t="shared" ref="J29:N29" si="66">VLOOKUP($A29, INDIRECT(D$1&amp;"!B:E"), 4, FALSE)</f>
        <v>#N/A</v>
      </c>
      <c r="K29" s="16" t="str">
        <f t="shared" si="66"/>
        <v>#N/A</v>
      </c>
      <c r="L29" s="16" t="str">
        <f t="shared" si="66"/>
        <v>#N/A</v>
      </c>
      <c r="M29" s="16" t="str">
        <f t="shared" si="66"/>
        <v>#N/A</v>
      </c>
      <c r="N29" s="16" t="str">
        <f t="shared" si="66"/>
        <v>#N/A</v>
      </c>
      <c r="O29" s="16" t="str">
        <f t="shared" si="6"/>
        <v>#N/A</v>
      </c>
      <c r="P29" s="58" t="e">
        <v>#N/A</v>
      </c>
      <c r="Q29" s="16" t="str">
        <f t="shared" si="7"/>
        <v>UNDECIDED</v>
      </c>
      <c r="R29" s="16" t="str">
        <f>VLOOKUP($A29, Source!B:I, 8, FALSE)</f>
        <v>#N/A</v>
      </c>
      <c r="S29" s="16" t="str">
        <f>VLOOKUP(A29,Source!B:H, 7, FALSE)</f>
        <v>#N/A</v>
      </c>
      <c r="T29" s="16" t="str">
        <f t="shared" si="64"/>
        <v>Unclear</v>
      </c>
    </row>
    <row r="30" ht="15.75" customHeight="1">
      <c r="A30" s="23" t="s">
        <v>603</v>
      </c>
      <c r="B30" s="23" t="s">
        <v>604</v>
      </c>
      <c r="C30" s="16" t="str">
        <f t="shared" ref="C30:H30" si="67">VLOOKUP($A30, INDIRECT(C$1&amp;"!B:D"), 3, FALSE)</f>
        <v>#REF!</v>
      </c>
      <c r="D30" s="16" t="str">
        <f t="shared" si="67"/>
        <v>#N/A</v>
      </c>
      <c r="E30" s="16" t="str">
        <f t="shared" si="67"/>
        <v>#N/A</v>
      </c>
      <c r="F30" s="16" t="str">
        <f t="shared" si="67"/>
        <v>#N/A</v>
      </c>
      <c r="G30" s="16" t="str">
        <f t="shared" si="67"/>
        <v>#N/A</v>
      </c>
      <c r="H30" s="16" t="str">
        <f t="shared" si="67"/>
        <v>#N/A</v>
      </c>
      <c r="I30" s="57">
        <f t="shared" si="4"/>
        <v>0</v>
      </c>
      <c r="J30" s="16" t="str">
        <f t="shared" ref="J30:N30" si="68">VLOOKUP($A30, INDIRECT(D$1&amp;"!B:E"), 4, FALSE)</f>
        <v>#N/A</v>
      </c>
      <c r="K30" s="16" t="str">
        <f t="shared" si="68"/>
        <v>#N/A</v>
      </c>
      <c r="L30" s="16" t="str">
        <f t="shared" si="68"/>
        <v>#N/A</v>
      </c>
      <c r="M30" s="16" t="str">
        <f t="shared" si="68"/>
        <v>#N/A</v>
      </c>
      <c r="N30" s="16" t="str">
        <f t="shared" si="68"/>
        <v>#N/A</v>
      </c>
      <c r="O30" s="16" t="str">
        <f t="shared" si="6"/>
        <v>#N/A</v>
      </c>
      <c r="P30" s="58" t="e">
        <v>#N/A</v>
      </c>
      <c r="Q30" s="16" t="str">
        <f t="shared" si="7"/>
        <v>UNDECIDED</v>
      </c>
      <c r="R30" s="16" t="str">
        <f>VLOOKUP($A30, Source!B:I, 8, FALSE)</f>
        <v>#N/A</v>
      </c>
      <c r="S30" s="16" t="str">
        <f>VLOOKUP(A30,Source!B:H, 7, FALSE)</f>
        <v>#N/A</v>
      </c>
      <c r="T30" s="16" t="str">
        <f t="shared" ref="T30:T32" si="71">IF(COUNTIF(Q30:R30, "UNDECIDED")&gt;0, "Unclear", IF((Q30="SDG 10")=R30, "Yes", "No"))</f>
        <v>Unclear</v>
      </c>
    </row>
    <row r="31" ht="15.75" customHeight="1">
      <c r="A31" s="23" t="s">
        <v>605</v>
      </c>
      <c r="B31" s="23" t="s">
        <v>606</v>
      </c>
      <c r="C31" s="16" t="str">
        <f t="shared" ref="C31:H31" si="69">VLOOKUP($A31, INDIRECT(C$1&amp;"!B:D"), 3, FALSE)</f>
        <v>#REF!</v>
      </c>
      <c r="D31" s="16" t="str">
        <f t="shared" si="69"/>
        <v>#N/A</v>
      </c>
      <c r="E31" s="16" t="str">
        <f t="shared" si="69"/>
        <v>#N/A</v>
      </c>
      <c r="F31" s="16" t="str">
        <f t="shared" si="69"/>
        <v>#N/A</v>
      </c>
      <c r="G31" s="16" t="str">
        <f t="shared" si="69"/>
        <v>#N/A</v>
      </c>
      <c r="H31" s="16" t="str">
        <f t="shared" si="69"/>
        <v>#N/A</v>
      </c>
      <c r="I31" s="57">
        <f t="shared" si="4"/>
        <v>0</v>
      </c>
      <c r="J31" s="16" t="str">
        <f t="shared" ref="J31:N31" si="70">VLOOKUP($A31, INDIRECT(D$1&amp;"!B:E"), 4, FALSE)</f>
        <v>#N/A</v>
      </c>
      <c r="K31" s="16" t="str">
        <f t="shared" si="70"/>
        <v>#N/A</v>
      </c>
      <c r="L31" s="16" t="str">
        <f t="shared" si="70"/>
        <v>#N/A</v>
      </c>
      <c r="M31" s="16" t="str">
        <f t="shared" si="70"/>
        <v>#N/A</v>
      </c>
      <c r="N31" s="16" t="str">
        <f t="shared" si="70"/>
        <v>#N/A</v>
      </c>
      <c r="O31" s="16" t="str">
        <f t="shared" si="6"/>
        <v>#N/A</v>
      </c>
      <c r="P31" s="58" t="e">
        <v>#N/A</v>
      </c>
      <c r="Q31" s="16" t="str">
        <f t="shared" si="7"/>
        <v>UNDECIDED</v>
      </c>
      <c r="R31" s="16" t="str">
        <f>VLOOKUP($A31, Source!B:I, 8, FALSE)</f>
        <v>#N/A</v>
      </c>
      <c r="S31" s="16" t="str">
        <f>VLOOKUP(A31,Source!B:H, 7, FALSE)</f>
        <v>#N/A</v>
      </c>
      <c r="T31" s="16" t="str">
        <f t="shared" si="71"/>
        <v>Unclear</v>
      </c>
    </row>
    <row r="32" ht="15.75" customHeight="1">
      <c r="A32" s="23" t="s">
        <v>607</v>
      </c>
      <c r="B32" s="23" t="s">
        <v>608</v>
      </c>
      <c r="C32" s="16" t="str">
        <f t="shared" ref="C32:H32" si="72">VLOOKUP($A32, INDIRECT(C$1&amp;"!B:D"), 3, FALSE)</f>
        <v>#REF!</v>
      </c>
      <c r="D32" s="16" t="str">
        <f t="shared" si="72"/>
        <v>#N/A</v>
      </c>
      <c r="E32" s="16" t="str">
        <f t="shared" si="72"/>
        <v>#N/A</v>
      </c>
      <c r="F32" s="16" t="str">
        <f t="shared" si="72"/>
        <v>#N/A</v>
      </c>
      <c r="G32" s="16" t="str">
        <f t="shared" si="72"/>
        <v>#N/A</v>
      </c>
      <c r="H32" s="16" t="str">
        <f t="shared" si="72"/>
        <v>#N/A</v>
      </c>
      <c r="I32" s="57">
        <f t="shared" si="4"/>
        <v>0</v>
      </c>
      <c r="J32" s="16" t="str">
        <f t="shared" ref="J32:N32" si="73">VLOOKUP($A32, INDIRECT(D$1&amp;"!B:E"), 4, FALSE)</f>
        <v>#N/A</v>
      </c>
      <c r="K32" s="16" t="str">
        <f t="shared" si="73"/>
        <v>#N/A</v>
      </c>
      <c r="L32" s="16" t="str">
        <f t="shared" si="73"/>
        <v>#N/A</v>
      </c>
      <c r="M32" s="16" t="str">
        <f t="shared" si="73"/>
        <v>#N/A</v>
      </c>
      <c r="N32" s="16" t="str">
        <f t="shared" si="73"/>
        <v>#N/A</v>
      </c>
      <c r="O32" s="16" t="str">
        <f t="shared" si="6"/>
        <v>#N/A</v>
      </c>
      <c r="P32" s="58" t="e">
        <v>#N/A</v>
      </c>
      <c r="Q32" s="16" t="str">
        <f t="shared" si="7"/>
        <v>UNDECIDED</v>
      </c>
      <c r="R32" s="16" t="str">
        <f>VLOOKUP($A32, Source!B:I, 8, FALSE)</f>
        <v>#N/A</v>
      </c>
      <c r="S32" s="16" t="str">
        <f>VLOOKUP(A32,Source!B:H, 7, FALSE)</f>
        <v>#N/A</v>
      </c>
      <c r="T32" s="16" t="str">
        <f t="shared" si="71"/>
        <v>Unclear</v>
      </c>
    </row>
    <row r="33" ht="15.75" hidden="1" customHeight="1">
      <c r="A33" s="23" t="s">
        <v>609</v>
      </c>
      <c r="B33" s="23" t="s">
        <v>610</v>
      </c>
      <c r="C33" s="16" t="str">
        <f t="shared" ref="C33:H33" si="74">VLOOKUP($A33, INDIRECT(C$1&amp;"!B:D"), 3, FALSE)</f>
        <v>#REF!</v>
      </c>
      <c r="D33" s="16" t="str">
        <f t="shared" si="74"/>
        <v>#N/A</v>
      </c>
      <c r="E33" s="16" t="str">
        <f t="shared" si="74"/>
        <v>#N/A</v>
      </c>
      <c r="F33" s="16" t="str">
        <f t="shared" si="74"/>
        <v>#N/A</v>
      </c>
      <c r="G33" s="16" t="str">
        <f t="shared" si="74"/>
        <v>#N/A</v>
      </c>
      <c r="H33" s="16" t="str">
        <f t="shared" si="74"/>
        <v>#N/A</v>
      </c>
      <c r="I33" s="57">
        <f t="shared" si="4"/>
        <v>0</v>
      </c>
      <c r="J33" s="16" t="str">
        <f t="shared" ref="J33:N33" si="75">VLOOKUP($A33, INDIRECT(D$1&amp;"!B:E"), 4, FALSE)</f>
        <v>#N/A</v>
      </c>
      <c r="K33" s="16" t="str">
        <f t="shared" si="75"/>
        <v>#N/A</v>
      </c>
      <c r="L33" s="16" t="str">
        <f t="shared" si="75"/>
        <v>#N/A</v>
      </c>
      <c r="M33" s="16" t="str">
        <f t="shared" si="75"/>
        <v>#N/A</v>
      </c>
      <c r="N33" s="16" t="str">
        <f t="shared" si="75"/>
        <v>#N/A</v>
      </c>
      <c r="O33" s="16" t="str">
        <f t="shared" si="6"/>
        <v>#N/A</v>
      </c>
      <c r="P33" s="58" t="e">
        <v>#N/A</v>
      </c>
      <c r="Q33" s="16" t="str">
        <f t="shared" si="7"/>
        <v>UNDECIDED</v>
      </c>
      <c r="R33" s="16" t="str">
        <f>VLOOKUP($A33, Source!B:I, 8, FALSE)</f>
        <v>#N/A</v>
      </c>
      <c r="S33" s="16" t="str">
        <f>VLOOKUP(A33,Source!B:H, 7, FALSE)</f>
        <v>#N/A</v>
      </c>
      <c r="T33" s="16" t="str">
        <f t="shared" ref="T33:T34" si="78">IF(COUNTIF(Q33:R33, "*SDG 7")&lt;2, "Unclear", IF(Q33=R33, "Yes", "No"))</f>
        <v>Unclear</v>
      </c>
    </row>
    <row r="34" ht="15.75" hidden="1" customHeight="1">
      <c r="A34" s="23" t="s">
        <v>611</v>
      </c>
      <c r="B34" s="23" t="s">
        <v>612</v>
      </c>
      <c r="C34" s="16" t="str">
        <f t="shared" ref="C34:H34" si="76">VLOOKUP($A34, INDIRECT(C$1&amp;"!B:D"), 3, FALSE)</f>
        <v>#REF!</v>
      </c>
      <c r="D34" s="16" t="str">
        <f t="shared" si="76"/>
        <v>#N/A</v>
      </c>
      <c r="E34" s="16" t="str">
        <f t="shared" si="76"/>
        <v>#N/A</v>
      </c>
      <c r="F34" s="16" t="str">
        <f t="shared" si="76"/>
        <v>#N/A</v>
      </c>
      <c r="G34" s="16" t="str">
        <f t="shared" si="76"/>
        <v>#N/A</v>
      </c>
      <c r="H34" s="16" t="str">
        <f t="shared" si="76"/>
        <v>#N/A</v>
      </c>
      <c r="I34" s="57">
        <f t="shared" si="4"/>
        <v>0</v>
      </c>
      <c r="J34" s="16" t="str">
        <f t="shared" ref="J34:N34" si="77">VLOOKUP($A34, INDIRECT(D$1&amp;"!B:E"), 4, FALSE)</f>
        <v>#N/A</v>
      </c>
      <c r="K34" s="16" t="str">
        <f t="shared" si="77"/>
        <v>#N/A</v>
      </c>
      <c r="L34" s="16" t="str">
        <f t="shared" si="77"/>
        <v>#N/A</v>
      </c>
      <c r="M34" s="16" t="str">
        <f t="shared" si="77"/>
        <v>#N/A</v>
      </c>
      <c r="N34" s="16" t="str">
        <f t="shared" si="77"/>
        <v>#N/A</v>
      </c>
      <c r="O34" s="16" t="str">
        <f t="shared" si="6"/>
        <v>#N/A</v>
      </c>
      <c r="P34" s="58" t="e">
        <v>#N/A</v>
      </c>
      <c r="Q34" s="16" t="str">
        <f t="shared" si="7"/>
        <v>UNDECIDED</v>
      </c>
      <c r="R34" s="16" t="str">
        <f>VLOOKUP($A34, Source!B:I, 8, FALSE)</f>
        <v>#N/A</v>
      </c>
      <c r="S34" s="16" t="str">
        <f>VLOOKUP(A34,Source!B:H, 7, FALSE)</f>
        <v>#N/A</v>
      </c>
      <c r="T34" s="16" t="str">
        <f t="shared" si="78"/>
        <v>Unclear</v>
      </c>
    </row>
    <row r="35" ht="15.75" customHeight="1">
      <c r="A35" s="23" t="s">
        <v>613</v>
      </c>
      <c r="B35" s="23" t="s">
        <v>614</v>
      </c>
      <c r="C35" s="16" t="str">
        <f t="shared" ref="C35:H35" si="79">VLOOKUP($A35, INDIRECT(C$1&amp;"!B:D"), 3, FALSE)</f>
        <v>#REF!</v>
      </c>
      <c r="D35" s="16" t="str">
        <f t="shared" si="79"/>
        <v>#N/A</v>
      </c>
      <c r="E35" s="16" t="str">
        <f t="shared" si="79"/>
        <v>#N/A</v>
      </c>
      <c r="F35" s="16" t="str">
        <f t="shared" si="79"/>
        <v>#N/A</v>
      </c>
      <c r="G35" s="16" t="str">
        <f t="shared" si="79"/>
        <v>#N/A</v>
      </c>
      <c r="H35" s="16" t="str">
        <f t="shared" si="79"/>
        <v>#N/A</v>
      </c>
      <c r="I35" s="57">
        <f t="shared" si="4"/>
        <v>0</v>
      </c>
      <c r="J35" s="16" t="str">
        <f t="shared" ref="J35:N35" si="80">VLOOKUP($A35, INDIRECT(D$1&amp;"!B:E"), 4, FALSE)</f>
        <v>#N/A</v>
      </c>
      <c r="K35" s="16" t="str">
        <f t="shared" si="80"/>
        <v>#N/A</v>
      </c>
      <c r="L35" s="16" t="str">
        <f t="shared" si="80"/>
        <v>#N/A</v>
      </c>
      <c r="M35" s="16" t="str">
        <f t="shared" si="80"/>
        <v>#N/A</v>
      </c>
      <c r="N35" s="16" t="str">
        <f t="shared" si="80"/>
        <v>#N/A</v>
      </c>
      <c r="O35" s="16" t="str">
        <f t="shared" si="6"/>
        <v>#N/A</v>
      </c>
      <c r="P35" s="58" t="e">
        <v>#N/A</v>
      </c>
      <c r="Q35" s="16" t="str">
        <f t="shared" si="7"/>
        <v>UNDECIDED</v>
      </c>
      <c r="R35" s="16" t="str">
        <f>VLOOKUP($A35, Source!B:I, 8, FALSE)</f>
        <v>#N/A</v>
      </c>
      <c r="S35" s="16" t="str">
        <f>VLOOKUP(A35,Source!B:H, 7, FALSE)</f>
        <v>#N/A</v>
      </c>
      <c r="T35" s="16" t="str">
        <f t="shared" ref="T35:T37" si="83">IF(COUNTIF(Q35:R35, "UNDECIDED")&gt;0, "Unclear", IF((Q35="SDG 10")=R35, "Yes", "No"))</f>
        <v>Unclear</v>
      </c>
    </row>
    <row r="36" ht="15.75" customHeight="1">
      <c r="A36" s="23" t="s">
        <v>615</v>
      </c>
      <c r="B36" s="23" t="s">
        <v>616</v>
      </c>
      <c r="C36" s="16" t="str">
        <f t="shared" ref="C36:H36" si="81">VLOOKUP($A36, INDIRECT(C$1&amp;"!B:D"), 3, FALSE)</f>
        <v>#REF!</v>
      </c>
      <c r="D36" s="16" t="str">
        <f t="shared" si="81"/>
        <v>#N/A</v>
      </c>
      <c r="E36" s="16" t="str">
        <f t="shared" si="81"/>
        <v>#N/A</v>
      </c>
      <c r="F36" s="16" t="str">
        <f t="shared" si="81"/>
        <v>#N/A</v>
      </c>
      <c r="G36" s="16" t="str">
        <f t="shared" si="81"/>
        <v>#N/A</v>
      </c>
      <c r="H36" s="16" t="str">
        <f t="shared" si="81"/>
        <v>#N/A</v>
      </c>
      <c r="I36" s="57">
        <f t="shared" si="4"/>
        <v>0</v>
      </c>
      <c r="J36" s="16" t="str">
        <f t="shared" ref="J36:N36" si="82">VLOOKUP($A36, INDIRECT(D$1&amp;"!B:E"), 4, FALSE)</f>
        <v>#N/A</v>
      </c>
      <c r="K36" s="16" t="str">
        <f t="shared" si="82"/>
        <v>#N/A</v>
      </c>
      <c r="L36" s="16" t="str">
        <f t="shared" si="82"/>
        <v>#N/A</v>
      </c>
      <c r="M36" s="16" t="str">
        <f t="shared" si="82"/>
        <v>#N/A</v>
      </c>
      <c r="N36" s="16" t="str">
        <f t="shared" si="82"/>
        <v>#N/A</v>
      </c>
      <c r="O36" s="16" t="str">
        <f t="shared" si="6"/>
        <v>#N/A</v>
      </c>
      <c r="P36" s="58" t="e">
        <v>#N/A</v>
      </c>
      <c r="Q36" s="16" t="str">
        <f t="shared" si="7"/>
        <v>UNDECIDED</v>
      </c>
      <c r="R36" s="16" t="str">
        <f>VLOOKUP($A36, Source!B:I, 8, FALSE)</f>
        <v>#N/A</v>
      </c>
      <c r="S36" s="16" t="str">
        <f>VLOOKUP(A36,Source!B:H, 7, FALSE)</f>
        <v>#N/A</v>
      </c>
      <c r="T36" s="16" t="str">
        <f t="shared" si="83"/>
        <v>Unclear</v>
      </c>
    </row>
    <row r="37" ht="15.75" customHeight="1">
      <c r="A37" s="23" t="s">
        <v>617</v>
      </c>
      <c r="B37" s="23" t="s">
        <v>618</v>
      </c>
      <c r="C37" s="16" t="str">
        <f t="shared" ref="C37:H37" si="84">VLOOKUP($A37, INDIRECT(C$1&amp;"!B:D"), 3, FALSE)</f>
        <v>#REF!</v>
      </c>
      <c r="D37" s="16" t="str">
        <f t="shared" si="84"/>
        <v>#N/A</v>
      </c>
      <c r="E37" s="16" t="str">
        <f t="shared" si="84"/>
        <v>#N/A</v>
      </c>
      <c r="F37" s="16" t="str">
        <f t="shared" si="84"/>
        <v>#N/A</v>
      </c>
      <c r="G37" s="16" t="str">
        <f t="shared" si="84"/>
        <v>#N/A</v>
      </c>
      <c r="H37" s="16" t="str">
        <f t="shared" si="84"/>
        <v>#N/A</v>
      </c>
      <c r="I37" s="57">
        <f t="shared" si="4"/>
        <v>0</v>
      </c>
      <c r="J37" s="16" t="str">
        <f t="shared" ref="J37:N37" si="85">VLOOKUP($A37, INDIRECT(D$1&amp;"!B:E"), 4, FALSE)</f>
        <v>#N/A</v>
      </c>
      <c r="K37" s="16" t="str">
        <f t="shared" si="85"/>
        <v>#N/A</v>
      </c>
      <c r="L37" s="16" t="str">
        <f t="shared" si="85"/>
        <v>#N/A</v>
      </c>
      <c r="M37" s="16" t="str">
        <f t="shared" si="85"/>
        <v>#N/A</v>
      </c>
      <c r="N37" s="16" t="str">
        <f t="shared" si="85"/>
        <v>#N/A</v>
      </c>
      <c r="O37" s="16" t="str">
        <f t="shared" si="6"/>
        <v>#N/A</v>
      </c>
      <c r="P37" s="58" t="e">
        <v>#N/A</v>
      </c>
      <c r="Q37" s="16" t="str">
        <f t="shared" si="7"/>
        <v>UNDECIDED</v>
      </c>
      <c r="R37" s="16" t="str">
        <f>VLOOKUP($A37, Source!B:I, 8, FALSE)</f>
        <v>#N/A</v>
      </c>
      <c r="S37" s="16" t="str">
        <f>VLOOKUP(A37,Source!B:H, 7, FALSE)</f>
        <v>#N/A</v>
      </c>
      <c r="T37" s="16" t="str">
        <f t="shared" si="83"/>
        <v>Unclear</v>
      </c>
    </row>
    <row r="38" ht="15.75" hidden="1" customHeight="1">
      <c r="A38" s="23" t="s">
        <v>619</v>
      </c>
      <c r="B38" s="23" t="s">
        <v>620</v>
      </c>
      <c r="C38" s="16" t="str">
        <f t="shared" ref="C38:H38" si="86">VLOOKUP($A38, INDIRECT(C$1&amp;"!B:D"), 3, FALSE)</f>
        <v>#REF!</v>
      </c>
      <c r="D38" s="16" t="str">
        <f t="shared" si="86"/>
        <v>#N/A</v>
      </c>
      <c r="E38" s="16" t="str">
        <f t="shared" si="86"/>
        <v>#N/A</v>
      </c>
      <c r="F38" s="16" t="str">
        <f t="shared" si="86"/>
        <v>#N/A</v>
      </c>
      <c r="G38" s="16" t="str">
        <f t="shared" si="86"/>
        <v>#N/A</v>
      </c>
      <c r="H38" s="16" t="str">
        <f t="shared" si="86"/>
        <v>#N/A</v>
      </c>
      <c r="I38" s="57">
        <f t="shared" si="4"/>
        <v>0</v>
      </c>
      <c r="J38" s="16" t="str">
        <f t="shared" ref="J38:N38" si="87">VLOOKUP($A38, INDIRECT(D$1&amp;"!B:E"), 4, FALSE)</f>
        <v>#N/A</v>
      </c>
      <c r="K38" s="16" t="str">
        <f t="shared" si="87"/>
        <v>#N/A</v>
      </c>
      <c r="L38" s="16" t="str">
        <f t="shared" si="87"/>
        <v>#N/A</v>
      </c>
      <c r="M38" s="16" t="str">
        <f t="shared" si="87"/>
        <v>#N/A</v>
      </c>
      <c r="N38" s="16" t="str">
        <f t="shared" si="87"/>
        <v>#N/A</v>
      </c>
      <c r="O38" s="16" t="str">
        <f t="shared" si="6"/>
        <v>#N/A</v>
      </c>
      <c r="P38" s="58" t="e">
        <v>#N/A</v>
      </c>
      <c r="Q38" s="16" t="str">
        <f t="shared" si="7"/>
        <v>UNDECIDED</v>
      </c>
      <c r="R38" s="16" t="str">
        <f>VLOOKUP($A38, Source!B:I, 8, FALSE)</f>
        <v>#N/A</v>
      </c>
      <c r="S38" s="16" t="str">
        <f>VLOOKUP(A38,Source!B:H, 7, FALSE)</f>
        <v>#N/A</v>
      </c>
      <c r="T38" s="16" t="str">
        <f t="shared" ref="T38:T41" si="90">IF(COUNTIF(Q38:R38, "*SDG 7")&lt;2, "Unclear", IF(Q38=R38, "Yes", "No"))</f>
        <v>Unclear</v>
      </c>
    </row>
    <row r="39" ht="15.75" hidden="1" customHeight="1">
      <c r="A39" s="23" t="s">
        <v>621</v>
      </c>
      <c r="B39" s="23" t="s">
        <v>622</v>
      </c>
      <c r="C39" s="16" t="str">
        <f t="shared" ref="C39:H39" si="88">VLOOKUP($A39, INDIRECT(C$1&amp;"!B:D"), 3, FALSE)</f>
        <v>#REF!</v>
      </c>
      <c r="D39" s="16" t="str">
        <f t="shared" si="88"/>
        <v>#N/A</v>
      </c>
      <c r="E39" s="16" t="str">
        <f t="shared" si="88"/>
        <v>#N/A</v>
      </c>
      <c r="F39" s="16" t="str">
        <f t="shared" si="88"/>
        <v>#N/A</v>
      </c>
      <c r="G39" s="16" t="str">
        <f t="shared" si="88"/>
        <v>#N/A</v>
      </c>
      <c r="H39" s="16" t="str">
        <f t="shared" si="88"/>
        <v>#N/A</v>
      </c>
      <c r="I39" s="57">
        <f t="shared" si="4"/>
        <v>0</v>
      </c>
      <c r="J39" s="16" t="str">
        <f t="shared" ref="J39:N39" si="89">VLOOKUP($A39, INDIRECT(D$1&amp;"!B:E"), 4, FALSE)</f>
        <v>#N/A</v>
      </c>
      <c r="K39" s="16" t="str">
        <f t="shared" si="89"/>
        <v>#N/A</v>
      </c>
      <c r="L39" s="16" t="str">
        <f t="shared" si="89"/>
        <v>#N/A</v>
      </c>
      <c r="M39" s="16" t="str">
        <f t="shared" si="89"/>
        <v>#N/A</v>
      </c>
      <c r="N39" s="16" t="str">
        <f t="shared" si="89"/>
        <v>#N/A</v>
      </c>
      <c r="O39" s="16" t="str">
        <f t="shared" si="6"/>
        <v>#N/A</v>
      </c>
      <c r="P39" s="58" t="e">
        <v>#N/A</v>
      </c>
      <c r="Q39" s="16" t="str">
        <f t="shared" si="7"/>
        <v>UNDECIDED</v>
      </c>
      <c r="R39" s="16" t="str">
        <f>VLOOKUP($A39, Source!B:I, 8, FALSE)</f>
        <v>#N/A</v>
      </c>
      <c r="S39" s="16" t="str">
        <f>VLOOKUP(A39,Source!B:H, 7, FALSE)</f>
        <v>#N/A</v>
      </c>
      <c r="T39" s="16" t="str">
        <f t="shared" si="90"/>
        <v>Unclear</v>
      </c>
    </row>
    <row r="40" ht="15.75" hidden="1" customHeight="1">
      <c r="A40" s="23" t="s">
        <v>623</v>
      </c>
      <c r="B40" s="23" t="s">
        <v>624</v>
      </c>
      <c r="C40" s="16" t="str">
        <f t="shared" ref="C40:H40" si="91">VLOOKUP($A40, INDIRECT(C$1&amp;"!B:D"), 3, FALSE)</f>
        <v>#REF!</v>
      </c>
      <c r="D40" s="16" t="str">
        <f t="shared" si="91"/>
        <v>#N/A</v>
      </c>
      <c r="E40" s="16" t="str">
        <f t="shared" si="91"/>
        <v>#N/A</v>
      </c>
      <c r="F40" s="16" t="str">
        <f t="shared" si="91"/>
        <v>#N/A</v>
      </c>
      <c r="G40" s="16" t="str">
        <f t="shared" si="91"/>
        <v>#N/A</v>
      </c>
      <c r="H40" s="16" t="str">
        <f t="shared" si="91"/>
        <v>#N/A</v>
      </c>
      <c r="I40" s="57">
        <f t="shared" si="4"/>
        <v>0</v>
      </c>
      <c r="J40" s="16" t="str">
        <f t="shared" ref="J40:N40" si="92">VLOOKUP($A40, INDIRECT(D$1&amp;"!B:E"), 4, FALSE)</f>
        <v>#N/A</v>
      </c>
      <c r="K40" s="16" t="str">
        <f t="shared" si="92"/>
        <v>#N/A</v>
      </c>
      <c r="L40" s="16" t="str">
        <f t="shared" si="92"/>
        <v>#N/A</v>
      </c>
      <c r="M40" s="16" t="str">
        <f t="shared" si="92"/>
        <v>#N/A</v>
      </c>
      <c r="N40" s="16" t="str">
        <f t="shared" si="92"/>
        <v>#N/A</v>
      </c>
      <c r="O40" s="16" t="str">
        <f t="shared" si="6"/>
        <v>#N/A</v>
      </c>
      <c r="P40" s="58" t="e">
        <v>#N/A</v>
      </c>
      <c r="Q40" s="16" t="str">
        <f t="shared" si="7"/>
        <v>UNDECIDED</v>
      </c>
      <c r="R40" s="16" t="str">
        <f>VLOOKUP($A40, Source!B:I, 8, FALSE)</f>
        <v>#N/A</v>
      </c>
      <c r="S40" s="16" t="str">
        <f>VLOOKUP(A40,Source!B:H, 7, FALSE)</f>
        <v>#N/A</v>
      </c>
      <c r="T40" s="16" t="str">
        <f t="shared" si="90"/>
        <v>Unclear</v>
      </c>
    </row>
    <row r="41" ht="15.75" hidden="1" customHeight="1">
      <c r="A41" s="23" t="s">
        <v>625</v>
      </c>
      <c r="B41" s="23" t="s">
        <v>626</v>
      </c>
      <c r="C41" s="16" t="str">
        <f t="shared" ref="C41:H41" si="93">VLOOKUP($A41, INDIRECT(C$1&amp;"!B:D"), 3, FALSE)</f>
        <v>#REF!</v>
      </c>
      <c r="D41" s="16" t="str">
        <f t="shared" si="93"/>
        <v>#N/A</v>
      </c>
      <c r="E41" s="16" t="str">
        <f t="shared" si="93"/>
        <v>#N/A</v>
      </c>
      <c r="F41" s="16" t="str">
        <f t="shared" si="93"/>
        <v>#N/A</v>
      </c>
      <c r="G41" s="16" t="str">
        <f t="shared" si="93"/>
        <v>#N/A</v>
      </c>
      <c r="H41" s="16" t="str">
        <f t="shared" si="93"/>
        <v>#N/A</v>
      </c>
      <c r="I41" s="57">
        <f t="shared" si="4"/>
        <v>0</v>
      </c>
      <c r="J41" s="16" t="str">
        <f t="shared" ref="J41:N41" si="94">VLOOKUP($A41, INDIRECT(D$1&amp;"!B:E"), 4, FALSE)</f>
        <v>#N/A</v>
      </c>
      <c r="K41" s="16" t="str">
        <f t="shared" si="94"/>
        <v>#N/A</v>
      </c>
      <c r="L41" s="16" t="str">
        <f t="shared" si="94"/>
        <v>#N/A</v>
      </c>
      <c r="M41" s="16" t="str">
        <f t="shared" si="94"/>
        <v>#N/A</v>
      </c>
      <c r="N41" s="16" t="str">
        <f t="shared" si="94"/>
        <v>#N/A</v>
      </c>
      <c r="O41" s="16" t="str">
        <f t="shared" si="6"/>
        <v>#N/A</v>
      </c>
      <c r="P41" s="58" t="e">
        <v>#N/A</v>
      </c>
      <c r="Q41" s="16" t="str">
        <f t="shared" si="7"/>
        <v>UNDECIDED</v>
      </c>
      <c r="R41" s="16" t="str">
        <f>VLOOKUP($A41, Source!B:I, 8, FALSE)</f>
        <v>#N/A</v>
      </c>
      <c r="S41" s="16" t="str">
        <f>VLOOKUP(A41,Source!B:H, 7, FALSE)</f>
        <v>#N/A</v>
      </c>
      <c r="T41" s="16" t="str">
        <f t="shared" si="90"/>
        <v>Unclear</v>
      </c>
    </row>
    <row r="42" ht="15.75" customHeight="1">
      <c r="A42" s="23" t="s">
        <v>627</v>
      </c>
      <c r="B42" s="23" t="s">
        <v>628</v>
      </c>
      <c r="C42" s="16" t="str">
        <f t="shared" ref="C42:H42" si="95">VLOOKUP($A42, INDIRECT(C$1&amp;"!B:D"), 3, FALSE)</f>
        <v>#REF!</v>
      </c>
      <c r="D42" s="16" t="str">
        <f t="shared" si="95"/>
        <v>#N/A</v>
      </c>
      <c r="E42" s="16" t="str">
        <f t="shared" si="95"/>
        <v>#N/A</v>
      </c>
      <c r="F42" s="16" t="str">
        <f t="shared" si="95"/>
        <v>#N/A</v>
      </c>
      <c r="G42" s="16" t="str">
        <f t="shared" si="95"/>
        <v>#N/A</v>
      </c>
      <c r="H42" s="16" t="str">
        <f t="shared" si="95"/>
        <v>#N/A</v>
      </c>
      <c r="I42" s="57">
        <f t="shared" si="4"/>
        <v>0</v>
      </c>
      <c r="J42" s="16" t="str">
        <f t="shared" ref="J42:N42" si="96">VLOOKUP($A42, INDIRECT(D$1&amp;"!B:E"), 4, FALSE)</f>
        <v>#N/A</v>
      </c>
      <c r="K42" s="16" t="str">
        <f t="shared" si="96"/>
        <v>#N/A</v>
      </c>
      <c r="L42" s="16" t="str">
        <f t="shared" si="96"/>
        <v>#N/A</v>
      </c>
      <c r="M42" s="16" t="str">
        <f t="shared" si="96"/>
        <v>#N/A</v>
      </c>
      <c r="N42" s="16" t="str">
        <f t="shared" si="96"/>
        <v>#N/A</v>
      </c>
      <c r="O42" s="16" t="str">
        <f t="shared" si="6"/>
        <v>#N/A</v>
      </c>
      <c r="P42" s="58" t="e">
        <v>#N/A</v>
      </c>
      <c r="Q42" s="16" t="str">
        <f t="shared" si="7"/>
        <v>UNDECIDED</v>
      </c>
      <c r="R42" s="16" t="str">
        <f>VLOOKUP($A42, Source!B:I, 8, FALSE)</f>
        <v>#N/A</v>
      </c>
      <c r="S42" s="16" t="str">
        <f>VLOOKUP(A42,Source!B:H, 7, FALSE)</f>
        <v>#N/A</v>
      </c>
      <c r="T42" s="16" t="str">
        <f t="shared" ref="T42:T43" si="99">IF(COUNTIF(Q42:R42, "UNDECIDED")&gt;0, "Unclear", IF((Q42="SDG 10")=R42, "Yes", "No"))</f>
        <v>Unclear</v>
      </c>
    </row>
    <row r="43" ht="15.75" customHeight="1">
      <c r="A43" s="23" t="s">
        <v>629</v>
      </c>
      <c r="B43" s="23" t="s">
        <v>630</v>
      </c>
      <c r="C43" s="16" t="str">
        <f t="shared" ref="C43:H43" si="97">VLOOKUP($A43, INDIRECT(C$1&amp;"!B:D"), 3, FALSE)</f>
        <v>#REF!</v>
      </c>
      <c r="D43" s="16" t="str">
        <f t="shared" si="97"/>
        <v>#N/A</v>
      </c>
      <c r="E43" s="16" t="str">
        <f t="shared" si="97"/>
        <v>#N/A</v>
      </c>
      <c r="F43" s="16" t="str">
        <f t="shared" si="97"/>
        <v>#N/A</v>
      </c>
      <c r="G43" s="16" t="str">
        <f t="shared" si="97"/>
        <v>#N/A</v>
      </c>
      <c r="H43" s="16" t="str">
        <f t="shared" si="97"/>
        <v>#N/A</v>
      </c>
      <c r="I43" s="57">
        <f t="shared" si="4"/>
        <v>0</v>
      </c>
      <c r="J43" s="16" t="str">
        <f t="shared" ref="J43:N43" si="98">VLOOKUP($A43, INDIRECT(D$1&amp;"!B:E"), 4, FALSE)</f>
        <v>#N/A</v>
      </c>
      <c r="K43" s="16" t="str">
        <f t="shared" si="98"/>
        <v>#N/A</v>
      </c>
      <c r="L43" s="16" t="str">
        <f t="shared" si="98"/>
        <v>#N/A</v>
      </c>
      <c r="M43" s="16" t="str">
        <f t="shared" si="98"/>
        <v>#N/A</v>
      </c>
      <c r="N43" s="16" t="str">
        <f t="shared" si="98"/>
        <v>#N/A</v>
      </c>
      <c r="O43" s="16" t="str">
        <f t="shared" si="6"/>
        <v>#N/A</v>
      </c>
      <c r="P43" s="58" t="e">
        <v>#N/A</v>
      </c>
      <c r="Q43" s="16" t="str">
        <f t="shared" si="7"/>
        <v>UNDECIDED</v>
      </c>
      <c r="R43" s="16" t="str">
        <f>VLOOKUP($A43, Source!B:I, 8, FALSE)</f>
        <v>#N/A</v>
      </c>
      <c r="S43" s="16" t="str">
        <f>VLOOKUP(A43,Source!B:H, 7, FALSE)</f>
        <v>#N/A</v>
      </c>
      <c r="T43" s="16" t="str">
        <f t="shared" si="99"/>
        <v>Unclear</v>
      </c>
    </row>
    <row r="44" ht="15.75" hidden="1" customHeight="1">
      <c r="A44" s="23" t="s">
        <v>631</v>
      </c>
      <c r="B44" s="23" t="s">
        <v>632</v>
      </c>
      <c r="C44" s="16" t="str">
        <f t="shared" ref="C44:H44" si="100">VLOOKUP($A44, INDIRECT(C$1&amp;"!B:D"), 3, FALSE)</f>
        <v>#REF!</v>
      </c>
      <c r="D44" s="16" t="str">
        <f t="shared" si="100"/>
        <v>#N/A</v>
      </c>
      <c r="E44" s="16" t="str">
        <f t="shared" si="100"/>
        <v>#N/A</v>
      </c>
      <c r="F44" s="16" t="str">
        <f t="shared" si="100"/>
        <v>#N/A</v>
      </c>
      <c r="G44" s="16" t="str">
        <f t="shared" si="100"/>
        <v>#N/A</v>
      </c>
      <c r="H44" s="16" t="str">
        <f t="shared" si="100"/>
        <v>#N/A</v>
      </c>
      <c r="I44" s="57">
        <f t="shared" si="4"/>
        <v>0</v>
      </c>
      <c r="J44" s="16" t="str">
        <f t="shared" ref="J44:N44" si="101">VLOOKUP($A44, INDIRECT(D$1&amp;"!B:E"), 4, FALSE)</f>
        <v>#N/A</v>
      </c>
      <c r="K44" s="16" t="str">
        <f t="shared" si="101"/>
        <v>#N/A</v>
      </c>
      <c r="L44" s="16" t="str">
        <f t="shared" si="101"/>
        <v>#N/A</v>
      </c>
      <c r="M44" s="16" t="str">
        <f t="shared" si="101"/>
        <v>#N/A</v>
      </c>
      <c r="N44" s="16" t="str">
        <f t="shared" si="101"/>
        <v>#N/A</v>
      </c>
      <c r="O44" s="16" t="str">
        <f t="shared" si="6"/>
        <v>#N/A</v>
      </c>
      <c r="P44" s="58" t="e">
        <v>#N/A</v>
      </c>
      <c r="Q44" s="16" t="str">
        <f t="shared" si="7"/>
        <v>UNDECIDED</v>
      </c>
      <c r="R44" s="16" t="str">
        <f>VLOOKUP($A44, Source!B:I, 8, FALSE)</f>
        <v>#N/A</v>
      </c>
      <c r="S44" s="16" t="str">
        <f>VLOOKUP(A44,Source!B:H, 7, FALSE)</f>
        <v>#N/A</v>
      </c>
      <c r="T44" s="16" t="str">
        <f t="shared" ref="T44:T45" si="104">IF(COUNTIF(Q44:R44, "*SDG 7")&lt;2, "Unclear", IF(Q44=R44, "Yes", "No"))</f>
        <v>Unclear</v>
      </c>
    </row>
    <row r="45" ht="15.75" hidden="1" customHeight="1">
      <c r="A45" s="23" t="s">
        <v>633</v>
      </c>
      <c r="B45" s="23" t="s">
        <v>634</v>
      </c>
      <c r="C45" s="16" t="str">
        <f t="shared" ref="C45:H45" si="102">VLOOKUP($A45, INDIRECT(C$1&amp;"!B:D"), 3, FALSE)</f>
        <v>#REF!</v>
      </c>
      <c r="D45" s="16" t="str">
        <f t="shared" si="102"/>
        <v>#N/A</v>
      </c>
      <c r="E45" s="16" t="str">
        <f t="shared" si="102"/>
        <v>#N/A</v>
      </c>
      <c r="F45" s="16" t="str">
        <f t="shared" si="102"/>
        <v>#N/A</v>
      </c>
      <c r="G45" s="16" t="str">
        <f t="shared" si="102"/>
        <v>#N/A</v>
      </c>
      <c r="H45" s="16" t="str">
        <f t="shared" si="102"/>
        <v>#N/A</v>
      </c>
      <c r="I45" s="57">
        <f t="shared" si="4"/>
        <v>0</v>
      </c>
      <c r="J45" s="16" t="str">
        <f t="shared" ref="J45:N45" si="103">VLOOKUP($A45, INDIRECT(D$1&amp;"!B:E"), 4, FALSE)</f>
        <v>#N/A</v>
      </c>
      <c r="K45" s="16" t="str">
        <f t="shared" si="103"/>
        <v>#N/A</v>
      </c>
      <c r="L45" s="16" t="str">
        <f t="shared" si="103"/>
        <v>#N/A</v>
      </c>
      <c r="M45" s="16" t="str">
        <f t="shared" si="103"/>
        <v>#N/A</v>
      </c>
      <c r="N45" s="16" t="str">
        <f t="shared" si="103"/>
        <v>#N/A</v>
      </c>
      <c r="O45" s="16" t="str">
        <f t="shared" si="6"/>
        <v>#N/A</v>
      </c>
      <c r="P45" s="58" t="e">
        <v>#N/A</v>
      </c>
      <c r="Q45" s="16" t="str">
        <f t="shared" si="7"/>
        <v>UNDECIDED</v>
      </c>
      <c r="R45" s="16" t="str">
        <f>VLOOKUP($A45, Source!B:I, 8, FALSE)</f>
        <v>#N/A</v>
      </c>
      <c r="S45" s="16" t="str">
        <f>VLOOKUP(A45,Source!B:H, 7, FALSE)</f>
        <v>#N/A</v>
      </c>
      <c r="T45" s="16" t="str">
        <f t="shared" si="104"/>
        <v>Unclear</v>
      </c>
    </row>
    <row r="46" ht="15.75" customHeight="1">
      <c r="A46" s="23" t="s">
        <v>635</v>
      </c>
      <c r="B46" s="23" t="s">
        <v>636</v>
      </c>
      <c r="C46" s="16" t="str">
        <f t="shared" ref="C46:H46" si="105">VLOOKUP($A46, INDIRECT(C$1&amp;"!B:D"), 3, FALSE)</f>
        <v>#REF!</v>
      </c>
      <c r="D46" s="16" t="str">
        <f t="shared" si="105"/>
        <v>#N/A</v>
      </c>
      <c r="E46" s="16" t="str">
        <f t="shared" si="105"/>
        <v>#N/A</v>
      </c>
      <c r="F46" s="16" t="str">
        <f t="shared" si="105"/>
        <v>#N/A</v>
      </c>
      <c r="G46" s="16" t="str">
        <f t="shared" si="105"/>
        <v>#N/A</v>
      </c>
      <c r="H46" s="16" t="str">
        <f t="shared" si="105"/>
        <v>#N/A</v>
      </c>
      <c r="I46" s="57">
        <f t="shared" si="4"/>
        <v>0</v>
      </c>
      <c r="J46" s="16" t="str">
        <f t="shared" ref="J46:N46" si="106">VLOOKUP($A46, INDIRECT(D$1&amp;"!B:E"), 4, FALSE)</f>
        <v>#N/A</v>
      </c>
      <c r="K46" s="16" t="str">
        <f t="shared" si="106"/>
        <v>#N/A</v>
      </c>
      <c r="L46" s="16" t="str">
        <f t="shared" si="106"/>
        <v>#N/A</v>
      </c>
      <c r="M46" s="16" t="str">
        <f t="shared" si="106"/>
        <v>#N/A</v>
      </c>
      <c r="N46" s="16" t="str">
        <f t="shared" si="106"/>
        <v>#N/A</v>
      </c>
      <c r="O46" s="16" t="str">
        <f t="shared" si="6"/>
        <v>#N/A</v>
      </c>
      <c r="P46" s="58" t="e">
        <v>#N/A</v>
      </c>
      <c r="Q46" s="16" t="str">
        <f t="shared" si="7"/>
        <v>UNDECIDED</v>
      </c>
      <c r="R46" s="16" t="str">
        <f>VLOOKUP($A46, Source!B:I, 8, FALSE)</f>
        <v>#N/A</v>
      </c>
      <c r="S46" s="16" t="str">
        <f>VLOOKUP(A46,Source!B:H, 7, FALSE)</f>
        <v>#N/A</v>
      </c>
      <c r="T46" s="16" t="str">
        <f t="shared" ref="T46:T48" si="109">IF(COUNTIF(Q46:R46, "UNDECIDED")&gt;0, "Unclear", IF((Q46="SDG 10")=R46, "Yes", "No"))</f>
        <v>Unclear</v>
      </c>
    </row>
    <row r="47" ht="15.75" customHeight="1">
      <c r="A47" s="23" t="s">
        <v>637</v>
      </c>
      <c r="B47" s="23" t="s">
        <v>638</v>
      </c>
      <c r="C47" s="16" t="str">
        <f t="shared" ref="C47:H47" si="107">VLOOKUP($A47, INDIRECT(C$1&amp;"!B:D"), 3, FALSE)</f>
        <v>#REF!</v>
      </c>
      <c r="D47" s="16" t="str">
        <f t="shared" si="107"/>
        <v>#N/A</v>
      </c>
      <c r="E47" s="16" t="str">
        <f t="shared" si="107"/>
        <v>#N/A</v>
      </c>
      <c r="F47" s="16" t="str">
        <f t="shared" si="107"/>
        <v>#N/A</v>
      </c>
      <c r="G47" s="16" t="str">
        <f t="shared" si="107"/>
        <v>#N/A</v>
      </c>
      <c r="H47" s="16" t="str">
        <f t="shared" si="107"/>
        <v>#N/A</v>
      </c>
      <c r="I47" s="57">
        <f t="shared" si="4"/>
        <v>0</v>
      </c>
      <c r="J47" s="16" t="str">
        <f t="shared" ref="J47:N47" si="108">VLOOKUP($A47, INDIRECT(D$1&amp;"!B:E"), 4, FALSE)</f>
        <v>#N/A</v>
      </c>
      <c r="K47" s="16" t="str">
        <f t="shared" si="108"/>
        <v>#N/A</v>
      </c>
      <c r="L47" s="16" t="str">
        <f t="shared" si="108"/>
        <v>#N/A</v>
      </c>
      <c r="M47" s="16" t="str">
        <f t="shared" si="108"/>
        <v>#N/A</v>
      </c>
      <c r="N47" s="16" t="str">
        <f t="shared" si="108"/>
        <v>#N/A</v>
      </c>
      <c r="O47" s="16" t="str">
        <f t="shared" si="6"/>
        <v>#N/A</v>
      </c>
      <c r="P47" s="58" t="e">
        <v>#N/A</v>
      </c>
      <c r="Q47" s="16" t="str">
        <f t="shared" si="7"/>
        <v>UNDECIDED</v>
      </c>
      <c r="R47" s="16" t="str">
        <f>VLOOKUP($A47, Source!B:I, 8, FALSE)</f>
        <v>#N/A</v>
      </c>
      <c r="S47" s="16" t="str">
        <f>VLOOKUP(A47,Source!B:H, 7, FALSE)</f>
        <v>#N/A</v>
      </c>
      <c r="T47" s="16" t="str">
        <f t="shared" si="109"/>
        <v>Unclear</v>
      </c>
    </row>
    <row r="48" ht="15.75" customHeight="1">
      <c r="A48" s="23" t="s">
        <v>639</v>
      </c>
      <c r="B48" s="23" t="s">
        <v>640</v>
      </c>
      <c r="C48" s="16" t="str">
        <f t="shared" ref="C48:H48" si="110">VLOOKUP($A48, INDIRECT(C$1&amp;"!B:D"), 3, FALSE)</f>
        <v>#REF!</v>
      </c>
      <c r="D48" s="16" t="str">
        <f t="shared" si="110"/>
        <v>#N/A</v>
      </c>
      <c r="E48" s="16" t="str">
        <f t="shared" si="110"/>
        <v>#N/A</v>
      </c>
      <c r="F48" s="16" t="str">
        <f t="shared" si="110"/>
        <v>#N/A</v>
      </c>
      <c r="G48" s="16" t="str">
        <f t="shared" si="110"/>
        <v>#N/A</v>
      </c>
      <c r="H48" s="16" t="str">
        <f t="shared" si="110"/>
        <v>#N/A</v>
      </c>
      <c r="I48" s="57">
        <f t="shared" si="4"/>
        <v>0</v>
      </c>
      <c r="J48" s="16" t="str">
        <f t="shared" ref="J48:N48" si="111">VLOOKUP($A48, INDIRECT(D$1&amp;"!B:E"), 4, FALSE)</f>
        <v>#N/A</v>
      </c>
      <c r="K48" s="16" t="str">
        <f t="shared" si="111"/>
        <v>#N/A</v>
      </c>
      <c r="L48" s="16" t="str">
        <f t="shared" si="111"/>
        <v>#N/A</v>
      </c>
      <c r="M48" s="16" t="str">
        <f t="shared" si="111"/>
        <v>#N/A</v>
      </c>
      <c r="N48" s="16" t="str">
        <f t="shared" si="111"/>
        <v>#N/A</v>
      </c>
      <c r="O48" s="16" t="str">
        <f t="shared" si="6"/>
        <v>#N/A</v>
      </c>
      <c r="P48" s="58" t="e">
        <v>#N/A</v>
      </c>
      <c r="Q48" s="16" t="str">
        <f t="shared" si="7"/>
        <v>UNDECIDED</v>
      </c>
      <c r="R48" s="16" t="str">
        <f>VLOOKUP($A48, Source!B:I, 8, FALSE)</f>
        <v>#N/A</v>
      </c>
      <c r="S48" s="16" t="str">
        <f>VLOOKUP(A48,Source!B:H, 7, FALSE)</f>
        <v>#N/A</v>
      </c>
      <c r="T48" s="16" t="str">
        <f t="shared" si="109"/>
        <v>Unclear</v>
      </c>
    </row>
    <row r="49" ht="15.75" hidden="1" customHeight="1">
      <c r="A49" s="23" t="s">
        <v>641</v>
      </c>
      <c r="B49" s="23" t="s">
        <v>642</v>
      </c>
      <c r="C49" s="16" t="str">
        <f t="shared" ref="C49:H49" si="112">VLOOKUP($A49, INDIRECT(C$1&amp;"!B:D"), 3, FALSE)</f>
        <v>#REF!</v>
      </c>
      <c r="D49" s="16" t="str">
        <f t="shared" si="112"/>
        <v>#N/A</v>
      </c>
      <c r="E49" s="16" t="str">
        <f t="shared" si="112"/>
        <v>#N/A</v>
      </c>
      <c r="F49" s="16" t="str">
        <f t="shared" si="112"/>
        <v>#N/A</v>
      </c>
      <c r="G49" s="16" t="str">
        <f t="shared" si="112"/>
        <v>#N/A</v>
      </c>
      <c r="H49" s="16" t="str">
        <f t="shared" si="112"/>
        <v>#N/A</v>
      </c>
      <c r="I49" s="57">
        <f t="shared" si="4"/>
        <v>0</v>
      </c>
      <c r="J49" s="16" t="str">
        <f t="shared" ref="J49:N49" si="113">VLOOKUP($A49, INDIRECT(D$1&amp;"!B:E"), 4, FALSE)</f>
        <v>#N/A</v>
      </c>
      <c r="K49" s="16" t="str">
        <f t="shared" si="113"/>
        <v>#N/A</v>
      </c>
      <c r="L49" s="16" t="str">
        <f t="shared" si="113"/>
        <v>#N/A</v>
      </c>
      <c r="M49" s="16" t="str">
        <f t="shared" si="113"/>
        <v>#N/A</v>
      </c>
      <c r="N49" s="16" t="str">
        <f t="shared" si="113"/>
        <v>#N/A</v>
      </c>
      <c r="O49" s="16" t="str">
        <f t="shared" si="6"/>
        <v>#N/A</v>
      </c>
      <c r="P49" s="58" t="e">
        <v>#N/A</v>
      </c>
      <c r="Q49" s="16" t="str">
        <f t="shared" si="7"/>
        <v>UNDECIDED</v>
      </c>
      <c r="R49" s="16" t="str">
        <f>VLOOKUP($A49, Source!B:I, 8, FALSE)</f>
        <v>#N/A</v>
      </c>
      <c r="S49" s="16" t="str">
        <f>VLOOKUP(A49,Source!B:H, 7, FALSE)</f>
        <v>#N/A</v>
      </c>
      <c r="T49" s="16" t="str">
        <f>IF(COUNTIF(Q49:R49, "*SDG 7")&lt;2, "Unclear", IF(Q49=R49, "Yes", "No"))</f>
        <v>Unclear</v>
      </c>
    </row>
    <row r="50" ht="15.75" customHeight="1">
      <c r="A50" s="23" t="s">
        <v>643</v>
      </c>
      <c r="B50" s="23" t="s">
        <v>644</v>
      </c>
      <c r="C50" s="16" t="str">
        <f t="shared" ref="C50:H50" si="114">VLOOKUP($A50, INDIRECT(C$1&amp;"!B:D"), 3, FALSE)</f>
        <v>#REF!</v>
      </c>
      <c r="D50" s="16" t="str">
        <f t="shared" si="114"/>
        <v>#N/A</v>
      </c>
      <c r="E50" s="16" t="str">
        <f t="shared" si="114"/>
        <v>#N/A</v>
      </c>
      <c r="F50" s="16" t="str">
        <f t="shared" si="114"/>
        <v>#N/A</v>
      </c>
      <c r="G50" s="16" t="str">
        <f t="shared" si="114"/>
        <v>#N/A</v>
      </c>
      <c r="H50" s="16" t="str">
        <f t="shared" si="114"/>
        <v>#N/A</v>
      </c>
      <c r="I50" s="57">
        <f t="shared" si="4"/>
        <v>0</v>
      </c>
      <c r="J50" s="16" t="str">
        <f t="shared" ref="J50:N50" si="115">VLOOKUP($A50, INDIRECT(D$1&amp;"!B:E"), 4, FALSE)</f>
        <v>#N/A</v>
      </c>
      <c r="K50" s="16" t="str">
        <f t="shared" si="115"/>
        <v>#N/A</v>
      </c>
      <c r="L50" s="16" t="str">
        <f t="shared" si="115"/>
        <v>#N/A</v>
      </c>
      <c r="M50" s="16" t="str">
        <f t="shared" si="115"/>
        <v>#N/A</v>
      </c>
      <c r="N50" s="16" t="str">
        <f t="shared" si="115"/>
        <v>#N/A</v>
      </c>
      <c r="O50" s="16" t="str">
        <f t="shared" si="6"/>
        <v>#N/A</v>
      </c>
      <c r="P50" s="58" t="e">
        <v>#N/A</v>
      </c>
      <c r="Q50" s="16" t="str">
        <f t="shared" si="7"/>
        <v>UNDECIDED</v>
      </c>
      <c r="R50" s="16" t="str">
        <f>VLOOKUP($A50, Source!B:I, 8, FALSE)</f>
        <v>#N/A</v>
      </c>
      <c r="S50" s="16" t="str">
        <f>VLOOKUP(A50,Source!B:H, 7, FALSE)</f>
        <v>#N/A</v>
      </c>
      <c r="T50" s="16" t="str">
        <f t="shared" ref="T50:T52" si="118">IF(COUNTIF(Q50:R50, "UNDECIDED")&gt;0, "Unclear", IF((Q50="SDG 10")=R50, "Yes", "No"))</f>
        <v>Unclear</v>
      </c>
    </row>
    <row r="51" ht="15.75" customHeight="1">
      <c r="A51" s="23" t="s">
        <v>645</v>
      </c>
      <c r="B51" s="23" t="s">
        <v>646</v>
      </c>
      <c r="C51" s="16" t="str">
        <f t="shared" ref="C51:H51" si="116">VLOOKUP($A51, INDIRECT(C$1&amp;"!B:D"), 3, FALSE)</f>
        <v>#REF!</v>
      </c>
      <c r="D51" s="16" t="str">
        <f t="shared" si="116"/>
        <v>#N/A</v>
      </c>
      <c r="E51" s="16" t="str">
        <f t="shared" si="116"/>
        <v>#N/A</v>
      </c>
      <c r="F51" s="16" t="str">
        <f t="shared" si="116"/>
        <v>#N/A</v>
      </c>
      <c r="G51" s="16" t="str">
        <f t="shared" si="116"/>
        <v>#N/A</v>
      </c>
      <c r="H51" s="16" t="str">
        <f t="shared" si="116"/>
        <v>#N/A</v>
      </c>
      <c r="I51" s="57">
        <f t="shared" si="4"/>
        <v>0</v>
      </c>
      <c r="J51" s="16" t="str">
        <f t="shared" ref="J51:N51" si="117">VLOOKUP($A51, INDIRECT(D$1&amp;"!B:E"), 4, FALSE)</f>
        <v>#N/A</v>
      </c>
      <c r="K51" s="16" t="str">
        <f t="shared" si="117"/>
        <v>#N/A</v>
      </c>
      <c r="L51" s="16" t="str">
        <f t="shared" si="117"/>
        <v>#N/A</v>
      </c>
      <c r="M51" s="16" t="str">
        <f t="shared" si="117"/>
        <v>#N/A</v>
      </c>
      <c r="N51" s="16" t="str">
        <f t="shared" si="117"/>
        <v>#N/A</v>
      </c>
      <c r="O51" s="16" t="str">
        <f t="shared" si="6"/>
        <v>#N/A</v>
      </c>
      <c r="P51" s="58" t="e">
        <v>#N/A</v>
      </c>
      <c r="Q51" s="16" t="str">
        <f t="shared" si="7"/>
        <v>UNDECIDED</v>
      </c>
      <c r="R51" s="16" t="str">
        <f>VLOOKUP($A51, Source!B:I, 8, FALSE)</f>
        <v>#N/A</v>
      </c>
      <c r="S51" s="16" t="str">
        <f>VLOOKUP(A51,Source!B:H, 7, FALSE)</f>
        <v>#N/A</v>
      </c>
      <c r="T51" s="16" t="str">
        <f t="shared" si="118"/>
        <v>Unclear</v>
      </c>
    </row>
    <row r="52" ht="15.75" customHeight="1">
      <c r="A52" s="23" t="s">
        <v>647</v>
      </c>
      <c r="B52" s="23" t="s">
        <v>648</v>
      </c>
      <c r="C52" s="16" t="str">
        <f t="shared" ref="C52:H52" si="119">VLOOKUP($A52, INDIRECT(C$1&amp;"!B:D"), 3, FALSE)</f>
        <v>#REF!</v>
      </c>
      <c r="D52" s="16" t="str">
        <f t="shared" si="119"/>
        <v>#N/A</v>
      </c>
      <c r="E52" s="16" t="str">
        <f t="shared" si="119"/>
        <v>#N/A</v>
      </c>
      <c r="F52" s="16" t="str">
        <f t="shared" si="119"/>
        <v>#N/A</v>
      </c>
      <c r="G52" s="16" t="str">
        <f t="shared" si="119"/>
        <v>#N/A</v>
      </c>
      <c r="H52" s="16" t="str">
        <f t="shared" si="119"/>
        <v>#N/A</v>
      </c>
      <c r="I52" s="57">
        <f t="shared" si="4"/>
        <v>0</v>
      </c>
      <c r="J52" s="16" t="str">
        <f t="shared" ref="J52:N52" si="120">VLOOKUP($A52, INDIRECT(D$1&amp;"!B:E"), 4, FALSE)</f>
        <v>#N/A</v>
      </c>
      <c r="K52" s="16" t="str">
        <f t="shared" si="120"/>
        <v>#N/A</v>
      </c>
      <c r="L52" s="16" t="str">
        <f t="shared" si="120"/>
        <v>#N/A</v>
      </c>
      <c r="M52" s="16" t="str">
        <f t="shared" si="120"/>
        <v>#N/A</v>
      </c>
      <c r="N52" s="16" t="str">
        <f t="shared" si="120"/>
        <v>#N/A</v>
      </c>
      <c r="O52" s="16" t="str">
        <f t="shared" si="6"/>
        <v>#N/A</v>
      </c>
      <c r="P52" s="58" t="e">
        <v>#N/A</v>
      </c>
      <c r="Q52" s="16" t="str">
        <f t="shared" si="7"/>
        <v>UNDECIDED</v>
      </c>
      <c r="R52" s="16" t="str">
        <f>VLOOKUP($A52, Source!B:I, 8, FALSE)</f>
        <v>#N/A</v>
      </c>
      <c r="S52" s="16" t="str">
        <f>VLOOKUP(A52,Source!B:H, 7, FALSE)</f>
        <v>#N/A</v>
      </c>
      <c r="T52" s="16" t="str">
        <f t="shared" si="118"/>
        <v>Unclear</v>
      </c>
    </row>
    <row r="53" ht="15.75" hidden="1" customHeight="1">
      <c r="A53" s="23" t="s">
        <v>649</v>
      </c>
      <c r="B53" s="23" t="s">
        <v>650</v>
      </c>
      <c r="C53" s="16" t="str">
        <f t="shared" ref="C53:H53" si="121">VLOOKUP($A53, INDIRECT(C$1&amp;"!B:D"), 3, FALSE)</f>
        <v>#REF!</v>
      </c>
      <c r="D53" s="16" t="str">
        <f t="shared" si="121"/>
        <v>#N/A</v>
      </c>
      <c r="E53" s="16" t="str">
        <f t="shared" si="121"/>
        <v>#N/A</v>
      </c>
      <c r="F53" s="16" t="str">
        <f t="shared" si="121"/>
        <v>#N/A</v>
      </c>
      <c r="G53" s="16" t="str">
        <f t="shared" si="121"/>
        <v>#N/A</v>
      </c>
      <c r="H53" s="16" t="str">
        <f t="shared" si="121"/>
        <v>#N/A</v>
      </c>
      <c r="I53" s="57">
        <f t="shared" si="4"/>
        <v>0</v>
      </c>
      <c r="J53" s="16" t="str">
        <f t="shared" ref="J53:N53" si="122">VLOOKUP($A53, INDIRECT(D$1&amp;"!B:E"), 4, FALSE)</f>
        <v>#N/A</v>
      </c>
      <c r="K53" s="16" t="str">
        <f t="shared" si="122"/>
        <v>#N/A</v>
      </c>
      <c r="L53" s="16" t="str">
        <f t="shared" si="122"/>
        <v>#N/A</v>
      </c>
      <c r="M53" s="16" t="str">
        <f t="shared" si="122"/>
        <v>#N/A</v>
      </c>
      <c r="N53" s="16" t="str">
        <f t="shared" si="122"/>
        <v>#N/A</v>
      </c>
      <c r="O53" s="16" t="str">
        <f t="shared" si="6"/>
        <v>#N/A</v>
      </c>
      <c r="P53" s="58" t="e">
        <v>#N/A</v>
      </c>
      <c r="Q53" s="16" t="str">
        <f t="shared" si="7"/>
        <v>UNDECIDED</v>
      </c>
      <c r="R53" s="16" t="str">
        <f>VLOOKUP($A53, Source!B:I, 8, FALSE)</f>
        <v>#N/A</v>
      </c>
      <c r="S53" s="16" t="str">
        <f>VLOOKUP(A53,Source!B:H, 7, FALSE)</f>
        <v>#N/A</v>
      </c>
      <c r="T53" s="16" t="str">
        <f>IF(COUNTIF(Q53:R53, "*SDG 7")&lt;2, "Unclear", IF(Q53=R53, "Yes", "No"))</f>
        <v>Unclear</v>
      </c>
    </row>
    <row r="54" ht="15.75" customHeight="1">
      <c r="A54" s="23" t="s">
        <v>651</v>
      </c>
      <c r="B54" s="23" t="s">
        <v>652</v>
      </c>
      <c r="C54" s="16" t="str">
        <f t="shared" ref="C54:H54" si="123">VLOOKUP($A54, INDIRECT(C$1&amp;"!B:D"), 3, FALSE)</f>
        <v>#REF!</v>
      </c>
      <c r="D54" s="16" t="str">
        <f t="shared" si="123"/>
        <v>#N/A</v>
      </c>
      <c r="E54" s="16" t="str">
        <f t="shared" si="123"/>
        <v>#N/A</v>
      </c>
      <c r="F54" s="16" t="str">
        <f t="shared" si="123"/>
        <v>#N/A</v>
      </c>
      <c r="G54" s="16" t="str">
        <f t="shared" si="123"/>
        <v>#N/A</v>
      </c>
      <c r="H54" s="16" t="str">
        <f t="shared" si="123"/>
        <v>#N/A</v>
      </c>
      <c r="I54" s="57">
        <f t="shared" si="4"/>
        <v>0</v>
      </c>
      <c r="J54" s="16" t="str">
        <f t="shared" ref="J54:N54" si="124">VLOOKUP($A54, INDIRECT(D$1&amp;"!B:E"), 4, FALSE)</f>
        <v>#N/A</v>
      </c>
      <c r="K54" s="16" t="str">
        <f t="shared" si="124"/>
        <v>#N/A</v>
      </c>
      <c r="L54" s="16" t="str">
        <f t="shared" si="124"/>
        <v>#N/A</v>
      </c>
      <c r="M54" s="16" t="str">
        <f t="shared" si="124"/>
        <v>#N/A</v>
      </c>
      <c r="N54" s="16" t="str">
        <f t="shared" si="124"/>
        <v>#N/A</v>
      </c>
      <c r="O54" s="16" t="str">
        <f t="shared" si="6"/>
        <v>#N/A</v>
      </c>
      <c r="P54" s="58" t="e">
        <v>#N/A</v>
      </c>
      <c r="Q54" s="16" t="str">
        <f t="shared" si="7"/>
        <v>UNDECIDED</v>
      </c>
      <c r="R54" s="16" t="str">
        <f>VLOOKUP($A54, Source!B:I, 8, FALSE)</f>
        <v>#N/A</v>
      </c>
      <c r="S54" s="16" t="str">
        <f>VLOOKUP(A54,Source!B:H, 7, FALSE)</f>
        <v>#N/A</v>
      </c>
      <c r="T54" s="16" t="str">
        <f>IF(COUNTIF(Q54:R54, "UNDECIDED")&gt;0, "Unclear", IF((Q54="SDG 10")=R54, "Yes", "No"))</f>
        <v>Unclear</v>
      </c>
    </row>
    <row r="55" ht="15.75" hidden="1" customHeight="1">
      <c r="A55" s="23" t="s">
        <v>653</v>
      </c>
      <c r="B55" s="23" t="s">
        <v>654</v>
      </c>
      <c r="C55" s="16" t="str">
        <f t="shared" ref="C55:H55" si="125">VLOOKUP($A55, INDIRECT(C$1&amp;"!B:D"), 3, FALSE)</f>
        <v>#REF!</v>
      </c>
      <c r="D55" s="16" t="str">
        <f t="shared" si="125"/>
        <v>#N/A</v>
      </c>
      <c r="E55" s="16" t="str">
        <f t="shared" si="125"/>
        <v>#N/A</v>
      </c>
      <c r="F55" s="16" t="str">
        <f t="shared" si="125"/>
        <v>#N/A</v>
      </c>
      <c r="G55" s="16" t="str">
        <f t="shared" si="125"/>
        <v>#N/A</v>
      </c>
      <c r="H55" s="16" t="str">
        <f t="shared" si="125"/>
        <v>#N/A</v>
      </c>
      <c r="I55" s="57">
        <f t="shared" si="4"/>
        <v>0</v>
      </c>
      <c r="J55" s="16" t="str">
        <f t="shared" ref="J55:N55" si="126">VLOOKUP($A55, INDIRECT(D$1&amp;"!B:E"), 4, FALSE)</f>
        <v>#N/A</v>
      </c>
      <c r="K55" s="16" t="str">
        <f t="shared" si="126"/>
        <v>#N/A</v>
      </c>
      <c r="L55" s="16" t="str">
        <f t="shared" si="126"/>
        <v>#N/A</v>
      </c>
      <c r="M55" s="16" t="str">
        <f t="shared" si="126"/>
        <v>#N/A</v>
      </c>
      <c r="N55" s="16" t="str">
        <f t="shared" si="126"/>
        <v>#N/A</v>
      </c>
      <c r="O55" s="16" t="str">
        <f t="shared" si="6"/>
        <v>#N/A</v>
      </c>
      <c r="P55" s="58" t="e">
        <v>#N/A</v>
      </c>
      <c r="Q55" s="16" t="str">
        <f t="shared" si="7"/>
        <v>UNDECIDED</v>
      </c>
      <c r="R55" s="16" t="str">
        <f>VLOOKUP($A55, Source!B:I, 8, FALSE)</f>
        <v>#N/A</v>
      </c>
      <c r="S55" s="16" t="str">
        <f>VLOOKUP(A55,Source!B:H, 7, FALSE)</f>
        <v>#N/A</v>
      </c>
      <c r="T55" s="16" t="str">
        <f>IF(COUNTIF(Q55:R55, "*SDG 7")&lt;2, "Unclear", IF(Q55=R55, "Yes", "No"))</f>
        <v>Unclear</v>
      </c>
    </row>
    <row r="56" ht="15.75" customHeight="1">
      <c r="A56" s="23" t="s">
        <v>655</v>
      </c>
      <c r="B56" s="23" t="s">
        <v>656</v>
      </c>
      <c r="C56" s="16" t="str">
        <f t="shared" ref="C56:H56" si="127">VLOOKUP($A56, INDIRECT(C$1&amp;"!B:D"), 3, FALSE)</f>
        <v>#REF!</v>
      </c>
      <c r="D56" s="16" t="str">
        <f t="shared" si="127"/>
        <v>#N/A</v>
      </c>
      <c r="E56" s="16" t="str">
        <f t="shared" si="127"/>
        <v>#N/A</v>
      </c>
      <c r="F56" s="16" t="str">
        <f t="shared" si="127"/>
        <v>#N/A</v>
      </c>
      <c r="G56" s="16" t="str">
        <f t="shared" si="127"/>
        <v>#N/A</v>
      </c>
      <c r="H56" s="16" t="str">
        <f t="shared" si="127"/>
        <v>#N/A</v>
      </c>
      <c r="I56" s="57">
        <f t="shared" si="4"/>
        <v>0</v>
      </c>
      <c r="J56" s="16" t="str">
        <f t="shared" ref="J56:N56" si="128">VLOOKUP($A56, INDIRECT(D$1&amp;"!B:E"), 4, FALSE)</f>
        <v>#N/A</v>
      </c>
      <c r="K56" s="16" t="str">
        <f t="shared" si="128"/>
        <v>#N/A</v>
      </c>
      <c r="L56" s="16" t="str">
        <f t="shared" si="128"/>
        <v>#N/A</v>
      </c>
      <c r="M56" s="16" t="str">
        <f t="shared" si="128"/>
        <v>#N/A</v>
      </c>
      <c r="N56" s="16" t="str">
        <f t="shared" si="128"/>
        <v>#N/A</v>
      </c>
      <c r="O56" s="16" t="str">
        <f t="shared" si="6"/>
        <v>#N/A</v>
      </c>
      <c r="P56" s="58" t="e">
        <v>#N/A</v>
      </c>
      <c r="Q56" s="16" t="str">
        <f t="shared" si="7"/>
        <v>UNDECIDED</v>
      </c>
      <c r="R56" s="16" t="str">
        <f>VLOOKUP($A56, Source!B:I, 8, FALSE)</f>
        <v>#N/A</v>
      </c>
      <c r="S56" s="16" t="str">
        <f>VLOOKUP(A56,Source!B:H, 7, FALSE)</f>
        <v>#N/A</v>
      </c>
      <c r="T56" s="16" t="str">
        <f t="shared" ref="T56:T60" si="131">IF(COUNTIF(Q56:R56, "UNDECIDED")&gt;0, "Unclear", IF((Q56="SDG 10")=R56, "Yes", "No"))</f>
        <v>Unclear</v>
      </c>
    </row>
    <row r="57" ht="15.75" customHeight="1">
      <c r="A57" s="23" t="s">
        <v>657</v>
      </c>
      <c r="B57" s="23" t="s">
        <v>658</v>
      </c>
      <c r="C57" s="16" t="str">
        <f t="shared" ref="C57:H57" si="129">VLOOKUP($A57, INDIRECT(C$1&amp;"!B:D"), 3, FALSE)</f>
        <v>#REF!</v>
      </c>
      <c r="D57" s="16" t="str">
        <f t="shared" si="129"/>
        <v>#N/A</v>
      </c>
      <c r="E57" s="16" t="str">
        <f t="shared" si="129"/>
        <v>#N/A</v>
      </c>
      <c r="F57" s="16" t="str">
        <f t="shared" si="129"/>
        <v>#N/A</v>
      </c>
      <c r="G57" s="16" t="str">
        <f t="shared" si="129"/>
        <v>#N/A</v>
      </c>
      <c r="H57" s="16" t="str">
        <f t="shared" si="129"/>
        <v>#N/A</v>
      </c>
      <c r="I57" s="57">
        <f t="shared" si="4"/>
        <v>0</v>
      </c>
      <c r="J57" s="16" t="str">
        <f t="shared" ref="J57:N57" si="130">VLOOKUP($A57, INDIRECT(D$1&amp;"!B:E"), 4, FALSE)</f>
        <v>#N/A</v>
      </c>
      <c r="K57" s="16" t="str">
        <f t="shared" si="130"/>
        <v>#N/A</v>
      </c>
      <c r="L57" s="16" t="str">
        <f t="shared" si="130"/>
        <v>#N/A</v>
      </c>
      <c r="M57" s="16" t="str">
        <f t="shared" si="130"/>
        <v>#N/A</v>
      </c>
      <c r="N57" s="16" t="str">
        <f t="shared" si="130"/>
        <v>#N/A</v>
      </c>
      <c r="O57" s="16" t="str">
        <f t="shared" si="6"/>
        <v>#N/A</v>
      </c>
      <c r="P57" s="58" t="e">
        <v>#N/A</v>
      </c>
      <c r="Q57" s="16" t="str">
        <f t="shared" si="7"/>
        <v>UNDECIDED</v>
      </c>
      <c r="R57" s="16" t="str">
        <f>VLOOKUP($A57, Source!B:I, 8, FALSE)</f>
        <v>#N/A</v>
      </c>
      <c r="S57" s="16" t="str">
        <f>VLOOKUP(A57,Source!B:H, 7, FALSE)</f>
        <v>#N/A</v>
      </c>
      <c r="T57" s="16" t="str">
        <f t="shared" si="131"/>
        <v>Unclear</v>
      </c>
    </row>
    <row r="58" ht="15.75" customHeight="1">
      <c r="A58" s="23" t="s">
        <v>659</v>
      </c>
      <c r="B58" s="23" t="s">
        <v>660</v>
      </c>
      <c r="C58" s="16" t="str">
        <f t="shared" ref="C58:H58" si="132">VLOOKUP($A58, INDIRECT(C$1&amp;"!B:D"), 3, FALSE)</f>
        <v>#REF!</v>
      </c>
      <c r="D58" s="16" t="str">
        <f t="shared" si="132"/>
        <v>#N/A</v>
      </c>
      <c r="E58" s="16" t="str">
        <f t="shared" si="132"/>
        <v>#N/A</v>
      </c>
      <c r="F58" s="16" t="str">
        <f t="shared" si="132"/>
        <v>#N/A</v>
      </c>
      <c r="G58" s="16" t="str">
        <f t="shared" si="132"/>
        <v>#N/A</v>
      </c>
      <c r="H58" s="16" t="str">
        <f t="shared" si="132"/>
        <v>#N/A</v>
      </c>
      <c r="I58" s="57">
        <f t="shared" si="4"/>
        <v>0</v>
      </c>
      <c r="J58" s="16" t="str">
        <f t="shared" ref="J58:N58" si="133">VLOOKUP($A58, INDIRECT(D$1&amp;"!B:E"), 4, FALSE)</f>
        <v>#N/A</v>
      </c>
      <c r="K58" s="16" t="str">
        <f t="shared" si="133"/>
        <v>#N/A</v>
      </c>
      <c r="L58" s="16" t="str">
        <f t="shared" si="133"/>
        <v>#N/A</v>
      </c>
      <c r="M58" s="16" t="str">
        <f t="shared" si="133"/>
        <v>#N/A</v>
      </c>
      <c r="N58" s="16" t="str">
        <f t="shared" si="133"/>
        <v>#N/A</v>
      </c>
      <c r="O58" s="16" t="str">
        <f t="shared" si="6"/>
        <v>#N/A</v>
      </c>
      <c r="P58" s="58" t="e">
        <v>#N/A</v>
      </c>
      <c r="Q58" s="16" t="str">
        <f t="shared" si="7"/>
        <v>UNDECIDED</v>
      </c>
      <c r="R58" s="16" t="str">
        <f>VLOOKUP($A58, Source!B:I, 8, FALSE)</f>
        <v>#N/A</v>
      </c>
      <c r="S58" s="16" t="str">
        <f>VLOOKUP(A58,Source!B:H, 7, FALSE)</f>
        <v>#N/A</v>
      </c>
      <c r="T58" s="16" t="str">
        <f t="shared" si="131"/>
        <v>Unclear</v>
      </c>
    </row>
    <row r="59" ht="15.75" customHeight="1">
      <c r="A59" s="23" t="s">
        <v>661</v>
      </c>
      <c r="B59" s="23" t="s">
        <v>662</v>
      </c>
      <c r="C59" s="16" t="str">
        <f t="shared" ref="C59:H59" si="134">VLOOKUP($A59, INDIRECT(C$1&amp;"!B:D"), 3, FALSE)</f>
        <v>#REF!</v>
      </c>
      <c r="D59" s="16" t="str">
        <f t="shared" si="134"/>
        <v>#N/A</v>
      </c>
      <c r="E59" s="16" t="str">
        <f t="shared" si="134"/>
        <v>#N/A</v>
      </c>
      <c r="F59" s="16" t="str">
        <f t="shared" si="134"/>
        <v>#N/A</v>
      </c>
      <c r="G59" s="16" t="str">
        <f t="shared" si="134"/>
        <v>#N/A</v>
      </c>
      <c r="H59" s="16" t="str">
        <f t="shared" si="134"/>
        <v>#N/A</v>
      </c>
      <c r="I59" s="57">
        <f t="shared" si="4"/>
        <v>0</v>
      </c>
      <c r="J59" s="16" t="str">
        <f t="shared" ref="J59:N59" si="135">VLOOKUP($A59, INDIRECT(D$1&amp;"!B:E"), 4, FALSE)</f>
        <v>#N/A</v>
      </c>
      <c r="K59" s="16" t="str">
        <f t="shared" si="135"/>
        <v>#N/A</v>
      </c>
      <c r="L59" s="16" t="str">
        <f t="shared" si="135"/>
        <v>#N/A</v>
      </c>
      <c r="M59" s="16" t="str">
        <f t="shared" si="135"/>
        <v>#N/A</v>
      </c>
      <c r="N59" s="16" t="str">
        <f t="shared" si="135"/>
        <v>#N/A</v>
      </c>
      <c r="O59" s="16" t="str">
        <f t="shared" si="6"/>
        <v>#N/A</v>
      </c>
      <c r="P59" s="58" t="e">
        <v>#N/A</v>
      </c>
      <c r="Q59" s="16" t="str">
        <f t="shared" si="7"/>
        <v>UNDECIDED</v>
      </c>
      <c r="R59" s="16" t="str">
        <f>VLOOKUP($A59, Source!B:I, 8, FALSE)</f>
        <v>#N/A</v>
      </c>
      <c r="S59" s="16" t="str">
        <f>VLOOKUP(A59,Source!B:H, 7, FALSE)</f>
        <v>#N/A</v>
      </c>
      <c r="T59" s="16" t="str">
        <f t="shared" si="131"/>
        <v>Unclear</v>
      </c>
    </row>
    <row r="60" ht="15.75" customHeight="1">
      <c r="A60" s="23" t="s">
        <v>663</v>
      </c>
      <c r="B60" s="23" t="s">
        <v>664</v>
      </c>
      <c r="C60" s="16" t="str">
        <f t="shared" ref="C60:H60" si="136">VLOOKUP($A60, INDIRECT(C$1&amp;"!B:D"), 3, FALSE)</f>
        <v>#REF!</v>
      </c>
      <c r="D60" s="16" t="str">
        <f t="shared" si="136"/>
        <v>#N/A</v>
      </c>
      <c r="E60" s="16" t="str">
        <f t="shared" si="136"/>
        <v>#N/A</v>
      </c>
      <c r="F60" s="16" t="str">
        <f t="shared" si="136"/>
        <v>#N/A</v>
      </c>
      <c r="G60" s="16" t="str">
        <f t="shared" si="136"/>
        <v>#N/A</v>
      </c>
      <c r="H60" s="16" t="str">
        <f t="shared" si="136"/>
        <v>#N/A</v>
      </c>
      <c r="I60" s="57">
        <f t="shared" si="4"/>
        <v>0</v>
      </c>
      <c r="J60" s="16" t="str">
        <f t="shared" ref="J60:N60" si="137">VLOOKUP($A60, INDIRECT(D$1&amp;"!B:E"), 4, FALSE)</f>
        <v>#N/A</v>
      </c>
      <c r="K60" s="16" t="str">
        <f t="shared" si="137"/>
        <v>#N/A</v>
      </c>
      <c r="L60" s="16" t="str">
        <f t="shared" si="137"/>
        <v>#N/A</v>
      </c>
      <c r="M60" s="16" t="str">
        <f t="shared" si="137"/>
        <v>#N/A</v>
      </c>
      <c r="N60" s="16" t="str">
        <f t="shared" si="137"/>
        <v>#N/A</v>
      </c>
      <c r="O60" s="16" t="str">
        <f t="shared" si="6"/>
        <v>#N/A</v>
      </c>
      <c r="P60" s="58" t="e">
        <v>#N/A</v>
      </c>
      <c r="Q60" s="16" t="str">
        <f t="shared" si="7"/>
        <v>UNDECIDED</v>
      </c>
      <c r="R60" s="16" t="str">
        <f>VLOOKUP($A60, Source!B:I, 8, FALSE)</f>
        <v>#N/A</v>
      </c>
      <c r="S60" s="16" t="str">
        <f>VLOOKUP(A60,Source!B:H, 7, FALSE)</f>
        <v>#N/A</v>
      </c>
      <c r="T60" s="16" t="str">
        <f t="shared" si="131"/>
        <v>Unclear</v>
      </c>
    </row>
    <row r="61" ht="15.75" hidden="1" customHeight="1">
      <c r="A61" s="23" t="s">
        <v>665</v>
      </c>
      <c r="B61" s="23" t="s">
        <v>666</v>
      </c>
      <c r="C61" s="16" t="str">
        <f t="shared" ref="C61:H61" si="138">VLOOKUP($A61, INDIRECT(C$1&amp;"!B:D"), 3, FALSE)</f>
        <v>#REF!</v>
      </c>
      <c r="D61" s="16" t="str">
        <f t="shared" si="138"/>
        <v>#N/A</v>
      </c>
      <c r="E61" s="16" t="str">
        <f t="shared" si="138"/>
        <v>#N/A</v>
      </c>
      <c r="F61" s="16" t="str">
        <f t="shared" si="138"/>
        <v>#N/A</v>
      </c>
      <c r="G61" s="16" t="str">
        <f t="shared" si="138"/>
        <v>#N/A</v>
      </c>
      <c r="H61" s="16" t="str">
        <f t="shared" si="138"/>
        <v>#N/A</v>
      </c>
      <c r="I61" s="57">
        <f t="shared" si="4"/>
        <v>0</v>
      </c>
      <c r="J61" s="16" t="str">
        <f t="shared" ref="J61:N61" si="139">VLOOKUP($A61, INDIRECT(D$1&amp;"!B:E"), 4, FALSE)</f>
        <v>#N/A</v>
      </c>
      <c r="K61" s="16" t="str">
        <f t="shared" si="139"/>
        <v>#N/A</v>
      </c>
      <c r="L61" s="16" t="str">
        <f t="shared" si="139"/>
        <v>#N/A</v>
      </c>
      <c r="M61" s="16" t="str">
        <f t="shared" si="139"/>
        <v>#N/A</v>
      </c>
      <c r="N61" s="16" t="str">
        <f t="shared" si="139"/>
        <v>#N/A</v>
      </c>
      <c r="O61" s="16" t="str">
        <f t="shared" si="6"/>
        <v>#N/A</v>
      </c>
      <c r="P61" s="58" t="e">
        <v>#N/A</v>
      </c>
      <c r="Q61" s="16" t="str">
        <f t="shared" si="7"/>
        <v>UNDECIDED</v>
      </c>
      <c r="R61" s="16" t="str">
        <f>VLOOKUP($A61, Source!B:I, 8, FALSE)</f>
        <v>#N/A</v>
      </c>
      <c r="S61" s="16" t="str">
        <f>VLOOKUP(A61,Source!B:H, 7, FALSE)</f>
        <v>#N/A</v>
      </c>
      <c r="T61" s="16" t="str">
        <f t="shared" ref="T61:T64" si="142">IF(COUNTIF(Q61:R61, "*SDG 7")&lt;2, "Unclear", IF(Q61=R61, "Yes", "No"))</f>
        <v>Unclear</v>
      </c>
    </row>
    <row r="62" ht="15.75" hidden="1" customHeight="1">
      <c r="A62" s="23" t="s">
        <v>667</v>
      </c>
      <c r="B62" s="23" t="s">
        <v>668</v>
      </c>
      <c r="C62" s="16" t="str">
        <f t="shared" ref="C62:H62" si="140">VLOOKUP($A62, INDIRECT(C$1&amp;"!B:D"), 3, FALSE)</f>
        <v>#REF!</v>
      </c>
      <c r="D62" s="16" t="str">
        <f t="shared" si="140"/>
        <v>#N/A</v>
      </c>
      <c r="E62" s="16" t="str">
        <f t="shared" si="140"/>
        <v>#N/A</v>
      </c>
      <c r="F62" s="16" t="str">
        <f t="shared" si="140"/>
        <v>#N/A</v>
      </c>
      <c r="G62" s="16" t="str">
        <f t="shared" si="140"/>
        <v>#N/A</v>
      </c>
      <c r="H62" s="16" t="str">
        <f t="shared" si="140"/>
        <v>#N/A</v>
      </c>
      <c r="I62" s="57">
        <f t="shared" si="4"/>
        <v>0</v>
      </c>
      <c r="J62" s="16" t="str">
        <f t="shared" ref="J62:N62" si="141">VLOOKUP($A62, INDIRECT(D$1&amp;"!B:E"), 4, FALSE)</f>
        <v>#N/A</v>
      </c>
      <c r="K62" s="16" t="str">
        <f t="shared" si="141"/>
        <v>#N/A</v>
      </c>
      <c r="L62" s="16" t="str">
        <f t="shared" si="141"/>
        <v>#N/A</v>
      </c>
      <c r="M62" s="16" t="str">
        <f t="shared" si="141"/>
        <v>#N/A</v>
      </c>
      <c r="N62" s="16" t="str">
        <f t="shared" si="141"/>
        <v>#N/A</v>
      </c>
      <c r="O62" s="16" t="str">
        <f t="shared" si="6"/>
        <v>#N/A</v>
      </c>
      <c r="P62" s="58" t="e">
        <v>#N/A</v>
      </c>
      <c r="Q62" s="16" t="str">
        <f t="shared" si="7"/>
        <v>UNDECIDED</v>
      </c>
      <c r="R62" s="16" t="str">
        <f>VLOOKUP($A62, Source!B:I, 8, FALSE)</f>
        <v>#N/A</v>
      </c>
      <c r="S62" s="16" t="str">
        <f>VLOOKUP(A62,Source!B:H, 7, FALSE)</f>
        <v>#N/A</v>
      </c>
      <c r="T62" s="16" t="str">
        <f t="shared" si="142"/>
        <v>Unclear</v>
      </c>
    </row>
    <row r="63" ht="15.75" hidden="1" customHeight="1">
      <c r="A63" s="23" t="s">
        <v>669</v>
      </c>
      <c r="B63" s="23" t="s">
        <v>670</v>
      </c>
      <c r="C63" s="16" t="str">
        <f t="shared" ref="C63:H63" si="143">VLOOKUP($A63, INDIRECT(C$1&amp;"!B:D"), 3, FALSE)</f>
        <v>#REF!</v>
      </c>
      <c r="D63" s="16" t="str">
        <f t="shared" si="143"/>
        <v>#N/A</v>
      </c>
      <c r="E63" s="16" t="str">
        <f t="shared" si="143"/>
        <v>#N/A</v>
      </c>
      <c r="F63" s="16" t="str">
        <f t="shared" si="143"/>
        <v>#N/A</v>
      </c>
      <c r="G63" s="16" t="str">
        <f t="shared" si="143"/>
        <v>#N/A</v>
      </c>
      <c r="H63" s="16" t="str">
        <f t="shared" si="143"/>
        <v>#N/A</v>
      </c>
      <c r="I63" s="57">
        <f t="shared" si="4"/>
        <v>0</v>
      </c>
      <c r="J63" s="16" t="str">
        <f t="shared" ref="J63:N63" si="144">VLOOKUP($A63, INDIRECT(D$1&amp;"!B:E"), 4, FALSE)</f>
        <v>#N/A</v>
      </c>
      <c r="K63" s="16" t="str">
        <f t="shared" si="144"/>
        <v>#N/A</v>
      </c>
      <c r="L63" s="16" t="str">
        <f t="shared" si="144"/>
        <v>#N/A</v>
      </c>
      <c r="M63" s="16" t="str">
        <f t="shared" si="144"/>
        <v>#N/A</v>
      </c>
      <c r="N63" s="16" t="str">
        <f t="shared" si="144"/>
        <v>#N/A</v>
      </c>
      <c r="O63" s="16" t="str">
        <f t="shared" si="6"/>
        <v>#N/A</v>
      </c>
      <c r="P63" s="58" t="e">
        <v>#N/A</v>
      </c>
      <c r="Q63" s="16" t="str">
        <f t="shared" si="7"/>
        <v>UNDECIDED</v>
      </c>
      <c r="R63" s="16" t="str">
        <f>VLOOKUP($A63, Source!B:I, 8, FALSE)</f>
        <v>#N/A</v>
      </c>
      <c r="S63" s="16" t="str">
        <f>VLOOKUP(A63,Source!B:H, 7, FALSE)</f>
        <v>#N/A</v>
      </c>
      <c r="T63" s="16" t="str">
        <f t="shared" si="142"/>
        <v>Unclear</v>
      </c>
    </row>
    <row r="64" ht="15.75" hidden="1" customHeight="1">
      <c r="A64" s="23" t="s">
        <v>671</v>
      </c>
      <c r="B64" s="23" t="s">
        <v>672</v>
      </c>
      <c r="C64" s="16" t="str">
        <f t="shared" ref="C64:H64" si="145">VLOOKUP($A64, INDIRECT(C$1&amp;"!B:D"), 3, FALSE)</f>
        <v>#REF!</v>
      </c>
      <c r="D64" s="16" t="str">
        <f t="shared" si="145"/>
        <v>#N/A</v>
      </c>
      <c r="E64" s="16" t="str">
        <f t="shared" si="145"/>
        <v>#N/A</v>
      </c>
      <c r="F64" s="16" t="str">
        <f t="shared" si="145"/>
        <v>#N/A</v>
      </c>
      <c r="G64" s="16" t="str">
        <f t="shared" si="145"/>
        <v>#N/A</v>
      </c>
      <c r="H64" s="16" t="str">
        <f t="shared" si="145"/>
        <v>#N/A</v>
      </c>
      <c r="I64" s="57">
        <f t="shared" si="4"/>
        <v>0</v>
      </c>
      <c r="J64" s="16" t="str">
        <f t="shared" ref="J64:N64" si="146">VLOOKUP($A64, INDIRECT(D$1&amp;"!B:E"), 4, FALSE)</f>
        <v>#N/A</v>
      </c>
      <c r="K64" s="16" t="str">
        <f t="shared" si="146"/>
        <v>#N/A</v>
      </c>
      <c r="L64" s="16" t="str">
        <f t="shared" si="146"/>
        <v>#N/A</v>
      </c>
      <c r="M64" s="16" t="str">
        <f t="shared" si="146"/>
        <v>#N/A</v>
      </c>
      <c r="N64" s="16" t="str">
        <f t="shared" si="146"/>
        <v>#N/A</v>
      </c>
      <c r="O64" s="16" t="str">
        <f t="shared" si="6"/>
        <v>#N/A</v>
      </c>
      <c r="P64" s="58" t="e">
        <v>#N/A</v>
      </c>
      <c r="Q64" s="16" t="str">
        <f t="shared" si="7"/>
        <v>UNDECIDED</v>
      </c>
      <c r="R64" s="16" t="str">
        <f>VLOOKUP($A64, Source!B:I, 8, FALSE)</f>
        <v>#N/A</v>
      </c>
      <c r="S64" s="16" t="str">
        <f>VLOOKUP(A64,Source!B:H, 7, FALSE)</f>
        <v>#N/A</v>
      </c>
      <c r="T64" s="16" t="str">
        <f t="shared" si="142"/>
        <v>Unclear</v>
      </c>
    </row>
    <row r="65" ht="15.75" customHeight="1">
      <c r="A65" s="23" t="s">
        <v>673</v>
      </c>
      <c r="B65" s="23" t="s">
        <v>674</v>
      </c>
      <c r="C65" s="16" t="str">
        <f t="shared" ref="C65:H65" si="147">VLOOKUP($A65, INDIRECT(C$1&amp;"!B:D"), 3, FALSE)</f>
        <v>#REF!</v>
      </c>
      <c r="D65" s="16" t="str">
        <f t="shared" si="147"/>
        <v>#N/A</v>
      </c>
      <c r="E65" s="16" t="str">
        <f t="shared" si="147"/>
        <v>#N/A</v>
      </c>
      <c r="F65" s="16" t="str">
        <f t="shared" si="147"/>
        <v>#N/A</v>
      </c>
      <c r="G65" s="16" t="str">
        <f t="shared" si="147"/>
        <v>#N/A</v>
      </c>
      <c r="H65" s="16" t="str">
        <f t="shared" si="147"/>
        <v>#N/A</v>
      </c>
      <c r="I65" s="57">
        <f t="shared" si="4"/>
        <v>0</v>
      </c>
      <c r="J65" s="16" t="str">
        <f t="shared" ref="J65:N65" si="148">VLOOKUP($A65, INDIRECT(D$1&amp;"!B:E"), 4, FALSE)</f>
        <v>#N/A</v>
      </c>
      <c r="K65" s="16" t="str">
        <f t="shared" si="148"/>
        <v>#N/A</v>
      </c>
      <c r="L65" s="16" t="str">
        <f t="shared" si="148"/>
        <v>#N/A</v>
      </c>
      <c r="M65" s="16" t="str">
        <f t="shared" si="148"/>
        <v>#N/A</v>
      </c>
      <c r="N65" s="16" t="str">
        <f t="shared" si="148"/>
        <v>#N/A</v>
      </c>
      <c r="O65" s="16" t="str">
        <f t="shared" si="6"/>
        <v>#N/A</v>
      </c>
      <c r="P65" s="58" t="e">
        <v>#N/A</v>
      </c>
      <c r="Q65" s="16" t="str">
        <f t="shared" si="7"/>
        <v>UNDECIDED</v>
      </c>
      <c r="R65" s="16" t="str">
        <f>VLOOKUP($A65, Source!B:I, 8, FALSE)</f>
        <v>#N/A</v>
      </c>
      <c r="S65" s="16" t="str">
        <f>VLOOKUP(A65,Source!B:H, 7, FALSE)</f>
        <v>#N/A</v>
      </c>
      <c r="T65" s="16" t="str">
        <f>IF(COUNTIF(Q65:R65, "UNDECIDED")&gt;0, "Unclear", IF((Q65="SDG 10")=R65, "Yes", "No"))</f>
        <v>Unclear</v>
      </c>
    </row>
    <row r="66" ht="15.75" hidden="1" customHeight="1">
      <c r="A66" s="23" t="s">
        <v>675</v>
      </c>
      <c r="B66" s="23" t="s">
        <v>676</v>
      </c>
      <c r="C66" s="16" t="str">
        <f t="shared" ref="C66:H66" si="149">VLOOKUP($A66, INDIRECT(C$1&amp;"!B:D"), 3, FALSE)</f>
        <v>#REF!</v>
      </c>
      <c r="D66" s="16" t="str">
        <f t="shared" si="149"/>
        <v>#N/A</v>
      </c>
      <c r="E66" s="16" t="str">
        <f t="shared" si="149"/>
        <v>#N/A</v>
      </c>
      <c r="F66" s="16" t="str">
        <f t="shared" si="149"/>
        <v>#N/A</v>
      </c>
      <c r="G66" s="16" t="str">
        <f t="shared" si="149"/>
        <v>#N/A</v>
      </c>
      <c r="H66" s="16" t="str">
        <f t="shared" si="149"/>
        <v>#N/A</v>
      </c>
      <c r="I66" s="57">
        <f t="shared" si="4"/>
        <v>0</v>
      </c>
      <c r="J66" s="16" t="str">
        <f t="shared" ref="J66:N66" si="150">VLOOKUP($A66, INDIRECT(D$1&amp;"!B:E"), 4, FALSE)</f>
        <v>#N/A</v>
      </c>
      <c r="K66" s="16" t="str">
        <f t="shared" si="150"/>
        <v>#N/A</v>
      </c>
      <c r="L66" s="16" t="str">
        <f t="shared" si="150"/>
        <v>#N/A</v>
      </c>
      <c r="M66" s="16" t="str">
        <f t="shared" si="150"/>
        <v>#N/A</v>
      </c>
      <c r="N66" s="16" t="str">
        <f t="shared" si="150"/>
        <v>#N/A</v>
      </c>
      <c r="O66" s="16" t="str">
        <f t="shared" si="6"/>
        <v>#N/A</v>
      </c>
      <c r="P66" s="58" t="e">
        <v>#N/A</v>
      </c>
      <c r="Q66" s="16" t="str">
        <f t="shared" si="7"/>
        <v>UNDECIDED</v>
      </c>
      <c r="R66" s="16" t="str">
        <f>VLOOKUP($A66, Source!B:I, 8, FALSE)</f>
        <v>#N/A</v>
      </c>
      <c r="S66" s="16" t="str">
        <f>VLOOKUP(A66,Source!B:H, 7, FALSE)</f>
        <v>#N/A</v>
      </c>
      <c r="T66" s="16" t="str">
        <f>IF(COUNTIF(Q66:R66, "*SDG 7")&lt;2, "Unclear", IF(Q66=R66, "Yes", "No"))</f>
        <v>Unclear</v>
      </c>
    </row>
    <row r="67" ht="15.75" customHeight="1">
      <c r="A67" s="23" t="s">
        <v>677</v>
      </c>
      <c r="B67" s="23" t="s">
        <v>678</v>
      </c>
      <c r="C67" s="16" t="str">
        <f t="shared" ref="C67:H67" si="151">VLOOKUP($A67, INDIRECT(C$1&amp;"!B:D"), 3, FALSE)</f>
        <v>#REF!</v>
      </c>
      <c r="D67" s="16" t="str">
        <f t="shared" si="151"/>
        <v>#N/A</v>
      </c>
      <c r="E67" s="16" t="str">
        <f t="shared" si="151"/>
        <v>#N/A</v>
      </c>
      <c r="F67" s="16" t="str">
        <f t="shared" si="151"/>
        <v>#N/A</v>
      </c>
      <c r="G67" s="16" t="str">
        <f t="shared" si="151"/>
        <v>#N/A</v>
      </c>
      <c r="H67" s="16" t="str">
        <f t="shared" si="151"/>
        <v>#N/A</v>
      </c>
      <c r="I67" s="57">
        <f t="shared" si="4"/>
        <v>0</v>
      </c>
      <c r="J67" s="16" t="str">
        <f t="shared" ref="J67:N67" si="152">VLOOKUP($A67, INDIRECT(D$1&amp;"!B:E"), 4, FALSE)</f>
        <v>#N/A</v>
      </c>
      <c r="K67" s="16" t="str">
        <f t="shared" si="152"/>
        <v>#N/A</v>
      </c>
      <c r="L67" s="16" t="str">
        <f t="shared" si="152"/>
        <v>#N/A</v>
      </c>
      <c r="M67" s="16" t="str">
        <f t="shared" si="152"/>
        <v>#N/A</v>
      </c>
      <c r="N67" s="16" t="str">
        <f t="shared" si="152"/>
        <v>#N/A</v>
      </c>
      <c r="O67" s="16" t="str">
        <f t="shared" si="6"/>
        <v>#N/A</v>
      </c>
      <c r="P67" s="58" t="e">
        <v>#N/A</v>
      </c>
      <c r="Q67" s="16" t="str">
        <f t="shared" si="7"/>
        <v>UNDECIDED</v>
      </c>
      <c r="R67" s="16" t="str">
        <f>VLOOKUP($A67, Source!B:I, 8, FALSE)</f>
        <v>#N/A</v>
      </c>
      <c r="S67" s="16" t="str">
        <f>VLOOKUP(A67,Source!B:H, 7, FALSE)</f>
        <v>#N/A</v>
      </c>
      <c r="T67" s="16" t="str">
        <f>IF(COUNTIF(Q67:R67, "UNDECIDED")&gt;0, "Unclear", IF((Q67="SDG 10")=R67, "Yes", "No"))</f>
        <v>Unclear</v>
      </c>
    </row>
    <row r="68" ht="15.75" hidden="1" customHeight="1">
      <c r="A68" s="23" t="s">
        <v>679</v>
      </c>
      <c r="B68" s="23" t="s">
        <v>680</v>
      </c>
      <c r="C68" s="16" t="str">
        <f t="shared" ref="C68:H68" si="153">VLOOKUP($A68, INDIRECT(C$1&amp;"!B:D"), 3, FALSE)</f>
        <v>#REF!</v>
      </c>
      <c r="D68" s="16" t="str">
        <f t="shared" si="153"/>
        <v>#N/A</v>
      </c>
      <c r="E68" s="16" t="str">
        <f t="shared" si="153"/>
        <v>#N/A</v>
      </c>
      <c r="F68" s="16" t="str">
        <f t="shared" si="153"/>
        <v>#N/A</v>
      </c>
      <c r="G68" s="16" t="str">
        <f t="shared" si="153"/>
        <v>#N/A</v>
      </c>
      <c r="H68" s="16" t="str">
        <f t="shared" si="153"/>
        <v>#N/A</v>
      </c>
      <c r="I68" s="57">
        <f t="shared" si="4"/>
        <v>0</v>
      </c>
      <c r="J68" s="16" t="str">
        <f t="shared" ref="J68:N68" si="154">VLOOKUP($A68, INDIRECT(D$1&amp;"!B:E"), 4, FALSE)</f>
        <v>#N/A</v>
      </c>
      <c r="K68" s="16" t="str">
        <f t="shared" si="154"/>
        <v>#N/A</v>
      </c>
      <c r="L68" s="16" t="str">
        <f t="shared" si="154"/>
        <v>#N/A</v>
      </c>
      <c r="M68" s="16" t="str">
        <f t="shared" si="154"/>
        <v>#N/A</v>
      </c>
      <c r="N68" s="16" t="str">
        <f t="shared" si="154"/>
        <v>#N/A</v>
      </c>
      <c r="O68" s="16" t="str">
        <f t="shared" si="6"/>
        <v>#N/A</v>
      </c>
      <c r="P68" s="58" t="e">
        <v>#N/A</v>
      </c>
      <c r="Q68" s="16" t="str">
        <f t="shared" si="7"/>
        <v>UNDECIDED</v>
      </c>
      <c r="R68" s="16" t="str">
        <f>VLOOKUP($A68, Source!B:I, 8, FALSE)</f>
        <v>#N/A</v>
      </c>
      <c r="S68" s="16" t="str">
        <f>VLOOKUP(A68,Source!B:H, 7, FALSE)</f>
        <v>#N/A</v>
      </c>
      <c r="T68" s="16" t="str">
        <f t="shared" ref="T68:T69" si="157">IF(COUNTIF(Q68:R68, "*SDG 7")&lt;2, "Unclear", IF(Q68=R68, "Yes", "No"))</f>
        <v>Unclear</v>
      </c>
    </row>
    <row r="69" ht="15.75" hidden="1" customHeight="1">
      <c r="A69" s="23" t="s">
        <v>681</v>
      </c>
      <c r="B69" s="23" t="s">
        <v>682</v>
      </c>
      <c r="C69" s="16" t="str">
        <f t="shared" ref="C69:H69" si="155">VLOOKUP($A69, INDIRECT(C$1&amp;"!B:D"), 3, FALSE)</f>
        <v>#REF!</v>
      </c>
      <c r="D69" s="16" t="str">
        <f t="shared" si="155"/>
        <v>#N/A</v>
      </c>
      <c r="E69" s="16" t="str">
        <f t="shared" si="155"/>
        <v>#N/A</v>
      </c>
      <c r="F69" s="16" t="str">
        <f t="shared" si="155"/>
        <v>#N/A</v>
      </c>
      <c r="G69" s="16" t="str">
        <f t="shared" si="155"/>
        <v>#N/A</v>
      </c>
      <c r="H69" s="16" t="str">
        <f t="shared" si="155"/>
        <v>#N/A</v>
      </c>
      <c r="I69" s="57">
        <f t="shared" si="4"/>
        <v>0</v>
      </c>
      <c r="J69" s="16" t="str">
        <f t="shared" ref="J69:N69" si="156">VLOOKUP($A69, INDIRECT(D$1&amp;"!B:E"), 4, FALSE)</f>
        <v>#N/A</v>
      </c>
      <c r="K69" s="16" t="str">
        <f t="shared" si="156"/>
        <v>#N/A</v>
      </c>
      <c r="L69" s="16" t="str">
        <f t="shared" si="156"/>
        <v>#N/A</v>
      </c>
      <c r="M69" s="16" t="str">
        <f t="shared" si="156"/>
        <v>#N/A</v>
      </c>
      <c r="N69" s="16" t="str">
        <f t="shared" si="156"/>
        <v>#N/A</v>
      </c>
      <c r="O69" s="16" t="str">
        <f t="shared" si="6"/>
        <v>#N/A</v>
      </c>
      <c r="P69" s="58" t="e">
        <v>#N/A</v>
      </c>
      <c r="Q69" s="16" t="str">
        <f t="shared" si="7"/>
        <v>UNDECIDED</v>
      </c>
      <c r="R69" s="16" t="str">
        <f>VLOOKUP($A69, Source!B:I, 8, FALSE)</f>
        <v>#N/A</v>
      </c>
      <c r="S69" s="16" t="str">
        <f>VLOOKUP(A69,Source!B:H, 7, FALSE)</f>
        <v>#N/A</v>
      </c>
      <c r="T69" s="16" t="str">
        <f t="shared" si="157"/>
        <v>Unclear</v>
      </c>
    </row>
    <row r="70" ht="15.75" customHeight="1">
      <c r="A70" s="23" t="s">
        <v>683</v>
      </c>
      <c r="B70" s="23" t="s">
        <v>684</v>
      </c>
      <c r="C70" s="16" t="str">
        <f t="shared" ref="C70:H70" si="158">VLOOKUP($A70, INDIRECT(C$1&amp;"!B:D"), 3, FALSE)</f>
        <v>#REF!</v>
      </c>
      <c r="D70" s="16" t="str">
        <f t="shared" si="158"/>
        <v>#N/A</v>
      </c>
      <c r="E70" s="16" t="str">
        <f t="shared" si="158"/>
        <v>#N/A</v>
      </c>
      <c r="F70" s="16" t="str">
        <f t="shared" si="158"/>
        <v>#N/A</v>
      </c>
      <c r="G70" s="16" t="str">
        <f t="shared" si="158"/>
        <v>#N/A</v>
      </c>
      <c r="H70" s="16" t="str">
        <f t="shared" si="158"/>
        <v>#N/A</v>
      </c>
      <c r="I70" s="57">
        <f t="shared" si="4"/>
        <v>0</v>
      </c>
      <c r="J70" s="16" t="str">
        <f t="shared" ref="J70:N70" si="159">VLOOKUP($A70, INDIRECT(D$1&amp;"!B:E"), 4, FALSE)</f>
        <v>#N/A</v>
      </c>
      <c r="K70" s="16" t="str">
        <f t="shared" si="159"/>
        <v>#N/A</v>
      </c>
      <c r="L70" s="16" t="str">
        <f t="shared" si="159"/>
        <v>#N/A</v>
      </c>
      <c r="M70" s="16" t="str">
        <f t="shared" si="159"/>
        <v>#N/A</v>
      </c>
      <c r="N70" s="16" t="str">
        <f t="shared" si="159"/>
        <v>#N/A</v>
      </c>
      <c r="O70" s="16" t="str">
        <f t="shared" si="6"/>
        <v>#N/A</v>
      </c>
      <c r="P70" s="58" t="e">
        <v>#N/A</v>
      </c>
      <c r="Q70" s="16" t="str">
        <f t="shared" si="7"/>
        <v>UNDECIDED</v>
      </c>
      <c r="R70" s="16" t="str">
        <f>VLOOKUP($A70, Source!B:I, 8, FALSE)</f>
        <v>#N/A</v>
      </c>
      <c r="S70" s="16" t="str">
        <f>VLOOKUP(A70,Source!B:H, 7, FALSE)</f>
        <v>#N/A</v>
      </c>
      <c r="T70" s="16" t="str">
        <f t="shared" ref="T70:T72" si="162">IF(COUNTIF(Q70:R70, "UNDECIDED")&gt;0, "Unclear", IF((Q70="SDG 10")=R70, "Yes", "No"))</f>
        <v>Unclear</v>
      </c>
    </row>
    <row r="71" ht="15.75" customHeight="1">
      <c r="A71" s="23" t="s">
        <v>685</v>
      </c>
      <c r="B71" s="23" t="s">
        <v>686</v>
      </c>
      <c r="C71" s="16" t="str">
        <f t="shared" ref="C71:H71" si="160">VLOOKUP($A71, INDIRECT(C$1&amp;"!B:D"), 3, FALSE)</f>
        <v>#REF!</v>
      </c>
      <c r="D71" s="16" t="str">
        <f t="shared" si="160"/>
        <v>#N/A</v>
      </c>
      <c r="E71" s="16" t="str">
        <f t="shared" si="160"/>
        <v>#N/A</v>
      </c>
      <c r="F71" s="16" t="str">
        <f t="shared" si="160"/>
        <v>#N/A</v>
      </c>
      <c r="G71" s="16" t="str">
        <f t="shared" si="160"/>
        <v>#N/A</v>
      </c>
      <c r="H71" s="16" t="str">
        <f t="shared" si="160"/>
        <v>#N/A</v>
      </c>
      <c r="I71" s="57">
        <f t="shared" si="4"/>
        <v>0</v>
      </c>
      <c r="J71" s="16" t="str">
        <f t="shared" ref="J71:N71" si="161">VLOOKUP($A71, INDIRECT(D$1&amp;"!B:E"), 4, FALSE)</f>
        <v>#N/A</v>
      </c>
      <c r="K71" s="16" t="str">
        <f t="shared" si="161"/>
        <v>#N/A</v>
      </c>
      <c r="L71" s="16" t="str">
        <f t="shared" si="161"/>
        <v>#N/A</v>
      </c>
      <c r="M71" s="16" t="str">
        <f t="shared" si="161"/>
        <v>#N/A</v>
      </c>
      <c r="N71" s="16" t="str">
        <f t="shared" si="161"/>
        <v>#N/A</v>
      </c>
      <c r="O71" s="16" t="str">
        <f t="shared" si="6"/>
        <v>#N/A</v>
      </c>
      <c r="P71" s="58" t="e">
        <v>#N/A</v>
      </c>
      <c r="Q71" s="16" t="str">
        <f t="shared" si="7"/>
        <v>UNDECIDED</v>
      </c>
      <c r="R71" s="16" t="str">
        <f>VLOOKUP($A71, Source!B:I, 8, FALSE)</f>
        <v>#N/A</v>
      </c>
      <c r="S71" s="16" t="str">
        <f>VLOOKUP(A71,Source!B:H, 7, FALSE)</f>
        <v>#N/A</v>
      </c>
      <c r="T71" s="16" t="str">
        <f t="shared" si="162"/>
        <v>Unclear</v>
      </c>
    </row>
    <row r="72" ht="15.75" customHeight="1">
      <c r="A72" s="23" t="s">
        <v>687</v>
      </c>
      <c r="B72" s="23" t="s">
        <v>688</v>
      </c>
      <c r="C72" s="16" t="str">
        <f t="shared" ref="C72:H72" si="163">VLOOKUP($A72, INDIRECT(C$1&amp;"!B:D"), 3, FALSE)</f>
        <v>#REF!</v>
      </c>
      <c r="D72" s="16" t="str">
        <f t="shared" si="163"/>
        <v>#N/A</v>
      </c>
      <c r="E72" s="16" t="str">
        <f t="shared" si="163"/>
        <v>#N/A</v>
      </c>
      <c r="F72" s="16" t="str">
        <f t="shared" si="163"/>
        <v>#N/A</v>
      </c>
      <c r="G72" s="16" t="str">
        <f t="shared" si="163"/>
        <v>#N/A</v>
      </c>
      <c r="H72" s="16" t="str">
        <f t="shared" si="163"/>
        <v>#N/A</v>
      </c>
      <c r="I72" s="57">
        <f t="shared" si="4"/>
        <v>0</v>
      </c>
      <c r="J72" s="16" t="str">
        <f t="shared" ref="J72:N72" si="164">VLOOKUP($A72, INDIRECT(D$1&amp;"!B:E"), 4, FALSE)</f>
        <v>#N/A</v>
      </c>
      <c r="K72" s="16" t="str">
        <f t="shared" si="164"/>
        <v>#N/A</v>
      </c>
      <c r="L72" s="16" t="str">
        <f t="shared" si="164"/>
        <v>#N/A</v>
      </c>
      <c r="M72" s="16" t="str">
        <f t="shared" si="164"/>
        <v>#N/A</v>
      </c>
      <c r="N72" s="16" t="str">
        <f t="shared" si="164"/>
        <v>#N/A</v>
      </c>
      <c r="O72" s="16" t="str">
        <f t="shared" si="6"/>
        <v>#N/A</v>
      </c>
      <c r="P72" s="58" t="e">
        <v>#N/A</v>
      </c>
      <c r="Q72" s="16" t="str">
        <f t="shared" si="7"/>
        <v>UNDECIDED</v>
      </c>
      <c r="R72" s="16" t="str">
        <f>VLOOKUP($A72, Source!B:I, 8, FALSE)</f>
        <v>#N/A</v>
      </c>
      <c r="S72" s="16" t="str">
        <f>VLOOKUP(A72,Source!B:H, 7, FALSE)</f>
        <v>#N/A</v>
      </c>
      <c r="T72" s="16" t="str">
        <f t="shared" si="162"/>
        <v>Unclear</v>
      </c>
    </row>
    <row r="73" ht="15.75" hidden="1" customHeight="1">
      <c r="A73" s="23" t="s">
        <v>689</v>
      </c>
      <c r="B73" s="23" t="s">
        <v>690</v>
      </c>
      <c r="C73" s="16" t="str">
        <f t="shared" ref="C73:H73" si="165">VLOOKUP($A73, INDIRECT(C$1&amp;"!B:D"), 3, FALSE)</f>
        <v>#REF!</v>
      </c>
      <c r="D73" s="16" t="str">
        <f t="shared" si="165"/>
        <v>#N/A</v>
      </c>
      <c r="E73" s="16" t="str">
        <f t="shared" si="165"/>
        <v>#N/A</v>
      </c>
      <c r="F73" s="16" t="str">
        <f t="shared" si="165"/>
        <v>#N/A</v>
      </c>
      <c r="G73" s="16" t="str">
        <f t="shared" si="165"/>
        <v>#N/A</v>
      </c>
      <c r="H73" s="16" t="str">
        <f t="shared" si="165"/>
        <v>#N/A</v>
      </c>
      <c r="I73" s="57">
        <f t="shared" si="4"/>
        <v>0</v>
      </c>
      <c r="J73" s="16" t="str">
        <f t="shared" ref="J73:N73" si="166">VLOOKUP($A73, INDIRECT(D$1&amp;"!B:E"), 4, FALSE)</f>
        <v>#N/A</v>
      </c>
      <c r="K73" s="16" t="str">
        <f t="shared" si="166"/>
        <v>#N/A</v>
      </c>
      <c r="L73" s="16" t="str">
        <f t="shared" si="166"/>
        <v>#N/A</v>
      </c>
      <c r="M73" s="16" t="str">
        <f t="shared" si="166"/>
        <v>#N/A</v>
      </c>
      <c r="N73" s="16" t="str">
        <f t="shared" si="166"/>
        <v>#N/A</v>
      </c>
      <c r="O73" s="16" t="str">
        <f t="shared" si="6"/>
        <v>#N/A</v>
      </c>
      <c r="P73" s="58" t="e">
        <v>#N/A</v>
      </c>
      <c r="Q73" s="16" t="str">
        <f t="shared" si="7"/>
        <v>UNDECIDED</v>
      </c>
      <c r="R73" s="16" t="str">
        <f>VLOOKUP($A73, Source!B:I, 8, FALSE)</f>
        <v>#N/A</v>
      </c>
      <c r="S73" s="16" t="str">
        <f>VLOOKUP(A73,Source!B:H, 7, FALSE)</f>
        <v>#N/A</v>
      </c>
      <c r="T73" s="16" t="str">
        <f>IF(COUNTIF(Q73:R73, "*SDG 7")&lt;2, "Unclear", IF(Q73=R73, "Yes", "No"))</f>
        <v>Unclear</v>
      </c>
    </row>
    <row r="74" ht="15.75" customHeight="1">
      <c r="A74" s="23" t="s">
        <v>691</v>
      </c>
      <c r="B74" s="23" t="s">
        <v>692</v>
      </c>
      <c r="C74" s="16" t="str">
        <f t="shared" ref="C74:H74" si="167">VLOOKUP($A74, INDIRECT(C$1&amp;"!B:D"), 3, FALSE)</f>
        <v>#REF!</v>
      </c>
      <c r="D74" s="16" t="str">
        <f t="shared" si="167"/>
        <v>#N/A</v>
      </c>
      <c r="E74" s="16" t="str">
        <f t="shared" si="167"/>
        <v>#N/A</v>
      </c>
      <c r="F74" s="16" t="str">
        <f t="shared" si="167"/>
        <v>#N/A</v>
      </c>
      <c r="G74" s="16" t="str">
        <f t="shared" si="167"/>
        <v>#N/A</v>
      </c>
      <c r="H74" s="16" t="str">
        <f t="shared" si="167"/>
        <v>#N/A</v>
      </c>
      <c r="I74" s="57">
        <f t="shared" si="4"/>
        <v>0</v>
      </c>
      <c r="J74" s="16" t="str">
        <f t="shared" ref="J74:N74" si="168">VLOOKUP($A74, INDIRECT(D$1&amp;"!B:E"), 4, FALSE)</f>
        <v>#N/A</v>
      </c>
      <c r="K74" s="16" t="str">
        <f t="shared" si="168"/>
        <v>#N/A</v>
      </c>
      <c r="L74" s="16" t="str">
        <f t="shared" si="168"/>
        <v>#N/A</v>
      </c>
      <c r="M74" s="16" t="str">
        <f t="shared" si="168"/>
        <v>#N/A</v>
      </c>
      <c r="N74" s="16" t="str">
        <f t="shared" si="168"/>
        <v>#N/A</v>
      </c>
      <c r="O74" s="16" t="str">
        <f t="shared" si="6"/>
        <v>#N/A</v>
      </c>
      <c r="P74" s="58" t="e">
        <v>#N/A</v>
      </c>
      <c r="Q74" s="16" t="str">
        <f t="shared" si="7"/>
        <v>UNDECIDED</v>
      </c>
      <c r="R74" s="16" t="str">
        <f>VLOOKUP($A74, Source!B:I, 8, FALSE)</f>
        <v>#N/A</v>
      </c>
      <c r="S74" s="16" t="str">
        <f>VLOOKUP(A74,Source!B:H, 7, FALSE)</f>
        <v>#N/A</v>
      </c>
      <c r="T74" s="16" t="str">
        <f>IF(COUNTIF(Q74:R74, "UNDECIDED")&gt;0, "Unclear", IF((Q74="SDG 10")=R74, "Yes", "No"))</f>
        <v>Unclear</v>
      </c>
    </row>
    <row r="75" ht="15.75" hidden="1" customHeight="1">
      <c r="A75" s="23" t="s">
        <v>693</v>
      </c>
      <c r="B75" s="23" t="s">
        <v>694</v>
      </c>
      <c r="C75" s="16" t="str">
        <f t="shared" ref="C75:H75" si="169">VLOOKUP($A75, INDIRECT(C$1&amp;"!B:D"), 3, FALSE)</f>
        <v>#REF!</v>
      </c>
      <c r="D75" s="16" t="str">
        <f t="shared" si="169"/>
        <v>#N/A</v>
      </c>
      <c r="E75" s="16" t="str">
        <f t="shared" si="169"/>
        <v>#N/A</v>
      </c>
      <c r="F75" s="16" t="str">
        <f t="shared" si="169"/>
        <v>#N/A</v>
      </c>
      <c r="G75" s="16" t="str">
        <f t="shared" si="169"/>
        <v>#N/A</v>
      </c>
      <c r="H75" s="16" t="str">
        <f t="shared" si="169"/>
        <v>#N/A</v>
      </c>
      <c r="I75" s="57">
        <f t="shared" si="4"/>
        <v>0</v>
      </c>
      <c r="J75" s="16" t="str">
        <f t="shared" ref="J75:N75" si="170">VLOOKUP($A75, INDIRECT(D$1&amp;"!B:E"), 4, FALSE)</f>
        <v>#N/A</v>
      </c>
      <c r="K75" s="16" t="str">
        <f t="shared" si="170"/>
        <v>#N/A</v>
      </c>
      <c r="L75" s="16" t="str">
        <f t="shared" si="170"/>
        <v>#N/A</v>
      </c>
      <c r="M75" s="16" t="str">
        <f t="shared" si="170"/>
        <v>#N/A</v>
      </c>
      <c r="N75" s="16" t="str">
        <f t="shared" si="170"/>
        <v>#N/A</v>
      </c>
      <c r="O75" s="16" t="str">
        <f t="shared" si="6"/>
        <v>#N/A</v>
      </c>
      <c r="P75" s="58" t="e">
        <v>#N/A</v>
      </c>
      <c r="Q75" s="16" t="str">
        <f t="shared" si="7"/>
        <v>UNDECIDED</v>
      </c>
      <c r="R75" s="16" t="str">
        <f>VLOOKUP($A75, Source!B:I, 8, FALSE)</f>
        <v>#N/A</v>
      </c>
      <c r="S75" s="16" t="str">
        <f>VLOOKUP(A75,Source!B:H, 7, FALSE)</f>
        <v>#N/A</v>
      </c>
      <c r="T75" s="16" t="str">
        <f>IF(COUNTIF(Q75:R75, "*SDG 7")&lt;2, "Unclear", IF(Q75=R75, "Yes", "No"))</f>
        <v>Unclear</v>
      </c>
    </row>
    <row r="76" ht="15.75" customHeight="1">
      <c r="A76" s="23" t="s">
        <v>695</v>
      </c>
      <c r="B76" s="23" t="s">
        <v>696</v>
      </c>
      <c r="C76" s="16" t="str">
        <f t="shared" ref="C76:H76" si="171">VLOOKUP($A76, INDIRECT(C$1&amp;"!B:D"), 3, FALSE)</f>
        <v>#REF!</v>
      </c>
      <c r="D76" s="16" t="str">
        <f t="shared" si="171"/>
        <v>#N/A</v>
      </c>
      <c r="E76" s="16" t="str">
        <f t="shared" si="171"/>
        <v>#N/A</v>
      </c>
      <c r="F76" s="16" t="str">
        <f t="shared" si="171"/>
        <v>#N/A</v>
      </c>
      <c r="G76" s="16" t="str">
        <f t="shared" si="171"/>
        <v>#N/A</v>
      </c>
      <c r="H76" s="16" t="str">
        <f t="shared" si="171"/>
        <v>#N/A</v>
      </c>
      <c r="I76" s="57">
        <f t="shared" si="4"/>
        <v>0</v>
      </c>
      <c r="J76" s="16" t="str">
        <f t="shared" ref="J76:N76" si="172">VLOOKUP($A76, INDIRECT(D$1&amp;"!B:E"), 4, FALSE)</f>
        <v>#N/A</v>
      </c>
      <c r="K76" s="16" t="str">
        <f t="shared" si="172"/>
        <v>#N/A</v>
      </c>
      <c r="L76" s="16" t="str">
        <f t="shared" si="172"/>
        <v>#N/A</v>
      </c>
      <c r="M76" s="16" t="str">
        <f t="shared" si="172"/>
        <v>#N/A</v>
      </c>
      <c r="N76" s="16" t="str">
        <f t="shared" si="172"/>
        <v>#N/A</v>
      </c>
      <c r="O76" s="16" t="str">
        <f t="shared" si="6"/>
        <v>#N/A</v>
      </c>
      <c r="P76" s="58" t="e">
        <v>#N/A</v>
      </c>
      <c r="Q76" s="16" t="str">
        <f t="shared" si="7"/>
        <v>UNDECIDED</v>
      </c>
      <c r="R76" s="16" t="str">
        <f>VLOOKUP($A76, Source!B:I, 8, FALSE)</f>
        <v>#N/A</v>
      </c>
      <c r="S76" s="16" t="str">
        <f>VLOOKUP(A76,Source!B:H, 7, FALSE)</f>
        <v>#N/A</v>
      </c>
      <c r="T76" s="16" t="str">
        <f>IF(COUNTIF(Q76:R76, "UNDECIDED")&gt;0, "Unclear", IF((Q76="SDG 10")=R76, "Yes", "No"))</f>
        <v>Unclear</v>
      </c>
    </row>
    <row r="77" ht="15.75" hidden="1" customHeight="1">
      <c r="A77" s="23" t="s">
        <v>697</v>
      </c>
      <c r="B77" s="23" t="s">
        <v>698</v>
      </c>
      <c r="C77" s="16" t="str">
        <f t="shared" ref="C77:H77" si="173">VLOOKUP($A77, INDIRECT(C$1&amp;"!B:D"), 3, FALSE)</f>
        <v>#REF!</v>
      </c>
      <c r="D77" s="16" t="str">
        <f t="shared" si="173"/>
        <v>#N/A</v>
      </c>
      <c r="E77" s="16" t="str">
        <f t="shared" si="173"/>
        <v>#N/A</v>
      </c>
      <c r="F77" s="16" t="str">
        <f t="shared" si="173"/>
        <v>#N/A</v>
      </c>
      <c r="G77" s="16" t="str">
        <f t="shared" si="173"/>
        <v>#N/A</v>
      </c>
      <c r="H77" s="16" t="str">
        <f t="shared" si="173"/>
        <v>#N/A</v>
      </c>
      <c r="I77" s="57">
        <f t="shared" si="4"/>
        <v>0</v>
      </c>
      <c r="J77" s="16" t="str">
        <f t="shared" ref="J77:N77" si="174">VLOOKUP($A77, INDIRECT(D$1&amp;"!B:E"), 4, FALSE)</f>
        <v>#N/A</v>
      </c>
      <c r="K77" s="16" t="str">
        <f t="shared" si="174"/>
        <v>#N/A</v>
      </c>
      <c r="L77" s="16" t="str">
        <f t="shared" si="174"/>
        <v>#N/A</v>
      </c>
      <c r="M77" s="16" t="str">
        <f t="shared" si="174"/>
        <v>#N/A</v>
      </c>
      <c r="N77" s="16" t="str">
        <f t="shared" si="174"/>
        <v>#N/A</v>
      </c>
      <c r="O77" s="16" t="str">
        <f t="shared" si="6"/>
        <v>#N/A</v>
      </c>
      <c r="P77" s="58" t="e">
        <v>#N/A</v>
      </c>
      <c r="Q77" s="16" t="str">
        <f t="shared" si="7"/>
        <v>UNDECIDED</v>
      </c>
      <c r="R77" s="16" t="str">
        <f>VLOOKUP($A77, Source!B:I, 8, FALSE)</f>
        <v>#N/A</v>
      </c>
      <c r="S77" s="16" t="str">
        <f>VLOOKUP(A77,Source!B:H, 7, FALSE)</f>
        <v>#N/A</v>
      </c>
      <c r="T77" s="16" t="str">
        <f t="shared" ref="T77:T79" si="177">IF(COUNTIF(Q77:R77, "*SDG 7")&lt;2, "Unclear", IF(Q77=R77, "Yes", "No"))</f>
        <v>Unclear</v>
      </c>
    </row>
    <row r="78" ht="15.75" hidden="1" customHeight="1">
      <c r="A78" s="23" t="s">
        <v>699</v>
      </c>
      <c r="B78" s="23" t="s">
        <v>700</v>
      </c>
      <c r="C78" s="16" t="str">
        <f t="shared" ref="C78:H78" si="175">VLOOKUP($A78, INDIRECT(C$1&amp;"!B:D"), 3, FALSE)</f>
        <v>#REF!</v>
      </c>
      <c r="D78" s="16" t="str">
        <f t="shared" si="175"/>
        <v>#N/A</v>
      </c>
      <c r="E78" s="16" t="str">
        <f t="shared" si="175"/>
        <v>#N/A</v>
      </c>
      <c r="F78" s="16" t="str">
        <f t="shared" si="175"/>
        <v>#N/A</v>
      </c>
      <c r="G78" s="16" t="str">
        <f t="shared" si="175"/>
        <v>#N/A</v>
      </c>
      <c r="H78" s="16" t="str">
        <f t="shared" si="175"/>
        <v>#N/A</v>
      </c>
      <c r="I78" s="57">
        <f t="shared" si="4"/>
        <v>0</v>
      </c>
      <c r="J78" s="16" t="str">
        <f t="shared" ref="J78:N78" si="176">VLOOKUP($A78, INDIRECT(D$1&amp;"!B:E"), 4, FALSE)</f>
        <v>#N/A</v>
      </c>
      <c r="K78" s="16" t="str">
        <f t="shared" si="176"/>
        <v>#N/A</v>
      </c>
      <c r="L78" s="16" t="str">
        <f t="shared" si="176"/>
        <v>#N/A</v>
      </c>
      <c r="M78" s="16" t="str">
        <f t="shared" si="176"/>
        <v>#N/A</v>
      </c>
      <c r="N78" s="16" t="str">
        <f t="shared" si="176"/>
        <v>#N/A</v>
      </c>
      <c r="O78" s="16" t="str">
        <f t="shared" si="6"/>
        <v>#N/A</v>
      </c>
      <c r="P78" s="58" t="e">
        <v>#N/A</v>
      </c>
      <c r="Q78" s="16" t="str">
        <f t="shared" si="7"/>
        <v>UNDECIDED</v>
      </c>
      <c r="R78" s="16" t="str">
        <f>VLOOKUP($A78, Source!B:I, 8, FALSE)</f>
        <v>#N/A</v>
      </c>
      <c r="S78" s="16" t="str">
        <f>VLOOKUP(A78,Source!B:H, 7, FALSE)</f>
        <v>#N/A</v>
      </c>
      <c r="T78" s="16" t="str">
        <f t="shared" si="177"/>
        <v>Unclear</v>
      </c>
    </row>
    <row r="79" ht="15.75" hidden="1" customHeight="1">
      <c r="A79" s="23" t="s">
        <v>701</v>
      </c>
      <c r="B79" s="23" t="s">
        <v>702</v>
      </c>
      <c r="C79" s="16" t="str">
        <f t="shared" ref="C79:H79" si="178">VLOOKUP($A79, INDIRECT(C$1&amp;"!B:D"), 3, FALSE)</f>
        <v>#REF!</v>
      </c>
      <c r="D79" s="16" t="str">
        <f t="shared" si="178"/>
        <v>#N/A</v>
      </c>
      <c r="E79" s="16" t="str">
        <f t="shared" si="178"/>
        <v>#N/A</v>
      </c>
      <c r="F79" s="16" t="str">
        <f t="shared" si="178"/>
        <v>#N/A</v>
      </c>
      <c r="G79" s="16" t="str">
        <f t="shared" si="178"/>
        <v>#N/A</v>
      </c>
      <c r="H79" s="16" t="str">
        <f t="shared" si="178"/>
        <v>#N/A</v>
      </c>
      <c r="I79" s="57">
        <f t="shared" si="4"/>
        <v>0</v>
      </c>
      <c r="J79" s="16" t="str">
        <f t="shared" ref="J79:N79" si="179">VLOOKUP($A79, INDIRECT(D$1&amp;"!B:E"), 4, FALSE)</f>
        <v>#N/A</v>
      </c>
      <c r="K79" s="16" t="str">
        <f t="shared" si="179"/>
        <v>#N/A</v>
      </c>
      <c r="L79" s="16" t="str">
        <f t="shared" si="179"/>
        <v>#N/A</v>
      </c>
      <c r="M79" s="16" t="str">
        <f t="shared" si="179"/>
        <v>#N/A</v>
      </c>
      <c r="N79" s="16" t="str">
        <f t="shared" si="179"/>
        <v>#N/A</v>
      </c>
      <c r="O79" s="16" t="str">
        <f t="shared" si="6"/>
        <v>#N/A</v>
      </c>
      <c r="P79" s="58" t="e">
        <v>#N/A</v>
      </c>
      <c r="Q79" s="16" t="str">
        <f t="shared" si="7"/>
        <v>UNDECIDED</v>
      </c>
      <c r="R79" s="16" t="str">
        <f>VLOOKUP($A79, Source!B:I, 8, FALSE)</f>
        <v>#N/A</v>
      </c>
      <c r="S79" s="16" t="str">
        <f>VLOOKUP(A79,Source!B:H, 7, FALSE)</f>
        <v>#N/A</v>
      </c>
      <c r="T79" s="16" t="str">
        <f t="shared" si="177"/>
        <v>Unclear</v>
      </c>
    </row>
    <row r="80" ht="15.75" customHeight="1">
      <c r="A80" s="23" t="s">
        <v>703</v>
      </c>
      <c r="B80" s="23" t="s">
        <v>704</v>
      </c>
      <c r="C80" s="16" t="str">
        <f t="shared" ref="C80:H80" si="180">VLOOKUP($A80, INDIRECT(C$1&amp;"!B:D"), 3, FALSE)</f>
        <v>#REF!</v>
      </c>
      <c r="D80" s="16" t="str">
        <f t="shared" si="180"/>
        <v>#N/A</v>
      </c>
      <c r="E80" s="16" t="str">
        <f t="shared" si="180"/>
        <v>#N/A</v>
      </c>
      <c r="F80" s="16" t="str">
        <f t="shared" si="180"/>
        <v>#N/A</v>
      </c>
      <c r="G80" s="16" t="str">
        <f t="shared" si="180"/>
        <v>#N/A</v>
      </c>
      <c r="H80" s="16" t="str">
        <f t="shared" si="180"/>
        <v>#N/A</v>
      </c>
      <c r="I80" s="57">
        <f t="shared" si="4"/>
        <v>0</v>
      </c>
      <c r="J80" s="16" t="str">
        <f t="shared" ref="J80:N80" si="181">VLOOKUP($A80, INDIRECT(D$1&amp;"!B:E"), 4, FALSE)</f>
        <v>#N/A</v>
      </c>
      <c r="K80" s="16" t="str">
        <f t="shared" si="181"/>
        <v>#N/A</v>
      </c>
      <c r="L80" s="16" t="str">
        <f t="shared" si="181"/>
        <v>#N/A</v>
      </c>
      <c r="M80" s="16" t="str">
        <f t="shared" si="181"/>
        <v>#N/A</v>
      </c>
      <c r="N80" s="16" t="str">
        <f t="shared" si="181"/>
        <v>#N/A</v>
      </c>
      <c r="O80" s="16" t="str">
        <f t="shared" si="6"/>
        <v>#N/A</v>
      </c>
      <c r="P80" s="58" t="e">
        <v>#N/A</v>
      </c>
      <c r="Q80" s="16" t="str">
        <f t="shared" si="7"/>
        <v>UNDECIDED</v>
      </c>
      <c r="R80" s="16" t="str">
        <f>VLOOKUP($A80, Source!B:I, 8, FALSE)</f>
        <v>#N/A</v>
      </c>
      <c r="S80" s="16" t="str">
        <f>VLOOKUP(A80,Source!B:H, 7, FALSE)</f>
        <v>#N/A</v>
      </c>
      <c r="T80" s="16" t="str">
        <f>IF(COUNTIF(Q80:R80, "UNDECIDED")&gt;0, "Unclear", IF((Q80="SDG 10")=R80, "Yes", "No"))</f>
        <v>Unclear</v>
      </c>
    </row>
    <row r="81" ht="15.75" hidden="1" customHeight="1">
      <c r="A81" s="23" t="s">
        <v>705</v>
      </c>
      <c r="B81" s="23" t="s">
        <v>706</v>
      </c>
      <c r="C81" s="16" t="str">
        <f t="shared" ref="C81:H81" si="182">VLOOKUP($A81, INDIRECT(C$1&amp;"!B:D"), 3, FALSE)</f>
        <v>#REF!</v>
      </c>
      <c r="D81" s="16" t="str">
        <f t="shared" si="182"/>
        <v>#N/A</v>
      </c>
      <c r="E81" s="16" t="str">
        <f t="shared" si="182"/>
        <v>#N/A</v>
      </c>
      <c r="F81" s="16" t="str">
        <f t="shared" si="182"/>
        <v>#N/A</v>
      </c>
      <c r="G81" s="16" t="str">
        <f t="shared" si="182"/>
        <v>#N/A</v>
      </c>
      <c r="H81" s="16" t="str">
        <f t="shared" si="182"/>
        <v>#N/A</v>
      </c>
      <c r="I81" s="57">
        <f t="shared" si="4"/>
        <v>0</v>
      </c>
      <c r="J81" s="16" t="str">
        <f t="shared" ref="J81:N81" si="183">VLOOKUP($A81, INDIRECT(D$1&amp;"!B:E"), 4, FALSE)</f>
        <v>#N/A</v>
      </c>
      <c r="K81" s="16" t="str">
        <f t="shared" si="183"/>
        <v>#N/A</v>
      </c>
      <c r="L81" s="16" t="str">
        <f t="shared" si="183"/>
        <v>#N/A</v>
      </c>
      <c r="M81" s="16" t="str">
        <f t="shared" si="183"/>
        <v>#N/A</v>
      </c>
      <c r="N81" s="16" t="str">
        <f t="shared" si="183"/>
        <v>#N/A</v>
      </c>
      <c r="O81" s="16" t="str">
        <f t="shared" si="6"/>
        <v>#N/A</v>
      </c>
      <c r="P81" s="58" t="e">
        <v>#N/A</v>
      </c>
      <c r="Q81" s="16" t="str">
        <f t="shared" si="7"/>
        <v>UNDECIDED</v>
      </c>
      <c r="R81" s="16" t="str">
        <f>VLOOKUP($A81, Source!B:I, 8, FALSE)</f>
        <v>#N/A</v>
      </c>
      <c r="S81" s="16" t="str">
        <f>VLOOKUP(A81,Source!B:H, 7, FALSE)</f>
        <v>#N/A</v>
      </c>
      <c r="T81" s="16" t="str">
        <f t="shared" ref="T81:T82" si="186">IF(COUNTIF(Q81:R81, "*SDG 7")&lt;2, "Unclear", IF(Q81=R81, "Yes", "No"))</f>
        <v>Unclear</v>
      </c>
    </row>
    <row r="82" ht="15.75" hidden="1" customHeight="1">
      <c r="A82" s="23" t="s">
        <v>707</v>
      </c>
      <c r="B82" s="23" t="s">
        <v>708</v>
      </c>
      <c r="C82" s="16" t="str">
        <f t="shared" ref="C82:H82" si="184">VLOOKUP($A82, INDIRECT(C$1&amp;"!B:D"), 3, FALSE)</f>
        <v>#REF!</v>
      </c>
      <c r="D82" s="16" t="str">
        <f t="shared" si="184"/>
        <v>#N/A</v>
      </c>
      <c r="E82" s="16" t="str">
        <f t="shared" si="184"/>
        <v>#N/A</v>
      </c>
      <c r="F82" s="16" t="str">
        <f t="shared" si="184"/>
        <v>#N/A</v>
      </c>
      <c r="G82" s="16" t="str">
        <f t="shared" si="184"/>
        <v>#N/A</v>
      </c>
      <c r="H82" s="16" t="str">
        <f t="shared" si="184"/>
        <v>#N/A</v>
      </c>
      <c r="I82" s="57">
        <f t="shared" si="4"/>
        <v>0</v>
      </c>
      <c r="J82" s="16" t="str">
        <f t="shared" ref="J82:N82" si="185">VLOOKUP($A82, INDIRECT(D$1&amp;"!B:E"), 4, FALSE)</f>
        <v>#N/A</v>
      </c>
      <c r="K82" s="16" t="str">
        <f t="shared" si="185"/>
        <v>#N/A</v>
      </c>
      <c r="L82" s="16" t="str">
        <f t="shared" si="185"/>
        <v>#N/A</v>
      </c>
      <c r="M82" s="16" t="str">
        <f t="shared" si="185"/>
        <v>#N/A</v>
      </c>
      <c r="N82" s="16" t="str">
        <f t="shared" si="185"/>
        <v>#N/A</v>
      </c>
      <c r="O82" s="16" t="str">
        <f t="shared" si="6"/>
        <v>#N/A</v>
      </c>
      <c r="P82" s="58" t="e">
        <v>#N/A</v>
      </c>
      <c r="Q82" s="16" t="str">
        <f t="shared" si="7"/>
        <v>UNDECIDED</v>
      </c>
      <c r="R82" s="16" t="str">
        <f>VLOOKUP($A82, Source!B:I, 8, FALSE)</f>
        <v>#N/A</v>
      </c>
      <c r="S82" s="16" t="str">
        <f>VLOOKUP(A82,Source!B:H, 7, FALSE)</f>
        <v>#N/A</v>
      </c>
      <c r="T82" s="16" t="str">
        <f t="shared" si="186"/>
        <v>Unclear</v>
      </c>
    </row>
    <row r="83" ht="15.75" customHeight="1">
      <c r="A83" s="23" t="s">
        <v>709</v>
      </c>
      <c r="B83" s="23" t="s">
        <v>710</v>
      </c>
      <c r="C83" s="16" t="str">
        <f t="shared" ref="C83:H83" si="187">VLOOKUP($A83, INDIRECT(C$1&amp;"!B:D"), 3, FALSE)</f>
        <v>#REF!</v>
      </c>
      <c r="D83" s="16" t="str">
        <f t="shared" si="187"/>
        <v>#N/A</v>
      </c>
      <c r="E83" s="16" t="str">
        <f t="shared" si="187"/>
        <v>#N/A</v>
      </c>
      <c r="F83" s="16" t="str">
        <f t="shared" si="187"/>
        <v>#N/A</v>
      </c>
      <c r="G83" s="16" t="str">
        <f t="shared" si="187"/>
        <v>#N/A</v>
      </c>
      <c r="H83" s="16" t="str">
        <f t="shared" si="187"/>
        <v>#N/A</v>
      </c>
      <c r="I83" s="57">
        <f t="shared" si="4"/>
        <v>0</v>
      </c>
      <c r="J83" s="16" t="str">
        <f t="shared" ref="J83:N83" si="188">VLOOKUP($A83, INDIRECT(D$1&amp;"!B:E"), 4, FALSE)</f>
        <v>#N/A</v>
      </c>
      <c r="K83" s="16" t="str">
        <f t="shared" si="188"/>
        <v>#N/A</v>
      </c>
      <c r="L83" s="16" t="str">
        <f t="shared" si="188"/>
        <v>#N/A</v>
      </c>
      <c r="M83" s="16" t="str">
        <f t="shared" si="188"/>
        <v>#N/A</v>
      </c>
      <c r="N83" s="16" t="str">
        <f t="shared" si="188"/>
        <v>#N/A</v>
      </c>
      <c r="O83" s="16" t="str">
        <f t="shared" si="6"/>
        <v>#N/A</v>
      </c>
      <c r="P83" s="58" t="e">
        <v>#N/A</v>
      </c>
      <c r="Q83" s="16" t="str">
        <f t="shared" si="7"/>
        <v>UNDECIDED</v>
      </c>
      <c r="R83" s="16" t="str">
        <f>VLOOKUP($A83, Source!B:I, 8, FALSE)</f>
        <v>#N/A</v>
      </c>
      <c r="S83" s="16" t="str">
        <f>VLOOKUP(A83,Source!B:H, 7, FALSE)</f>
        <v>#N/A</v>
      </c>
      <c r="T83" s="16" t="str">
        <f>IF(COUNTIF(Q83:R83, "UNDECIDED")&gt;0, "Unclear", IF((Q83="SDG 10")=R83, "Yes", "No"))</f>
        <v>Unclear</v>
      </c>
    </row>
    <row r="84" ht="15.75" hidden="1" customHeight="1">
      <c r="A84" s="23" t="s">
        <v>711</v>
      </c>
      <c r="B84" s="23" t="s">
        <v>712</v>
      </c>
      <c r="C84" s="16" t="str">
        <f t="shared" ref="C84:H84" si="189">VLOOKUP($A84, INDIRECT(C$1&amp;"!B:D"), 3, FALSE)</f>
        <v>#REF!</v>
      </c>
      <c r="D84" s="16" t="str">
        <f t="shared" si="189"/>
        <v>#N/A</v>
      </c>
      <c r="E84" s="16" t="str">
        <f t="shared" si="189"/>
        <v>#N/A</v>
      </c>
      <c r="F84" s="16" t="str">
        <f t="shared" si="189"/>
        <v>#N/A</v>
      </c>
      <c r="G84" s="16" t="str">
        <f t="shared" si="189"/>
        <v>#N/A</v>
      </c>
      <c r="H84" s="16" t="str">
        <f t="shared" si="189"/>
        <v>#N/A</v>
      </c>
      <c r="I84" s="57">
        <f t="shared" si="4"/>
        <v>0</v>
      </c>
      <c r="J84" s="16" t="str">
        <f t="shared" ref="J84:N84" si="190">VLOOKUP($A84, INDIRECT(D$1&amp;"!B:E"), 4, FALSE)</f>
        <v>#N/A</v>
      </c>
      <c r="K84" s="16" t="str">
        <f t="shared" si="190"/>
        <v>#N/A</v>
      </c>
      <c r="L84" s="16" t="str">
        <f t="shared" si="190"/>
        <v>#N/A</v>
      </c>
      <c r="M84" s="16" t="str">
        <f t="shared" si="190"/>
        <v>#N/A</v>
      </c>
      <c r="N84" s="16" t="str">
        <f t="shared" si="190"/>
        <v>#N/A</v>
      </c>
      <c r="O84" s="16" t="str">
        <f t="shared" si="6"/>
        <v>#N/A</v>
      </c>
      <c r="P84" s="58" t="e">
        <v>#N/A</v>
      </c>
      <c r="Q84" s="16" t="str">
        <f t="shared" si="7"/>
        <v>UNDECIDED</v>
      </c>
      <c r="R84" s="16" t="str">
        <f>VLOOKUP($A84, Source!B:I, 8, FALSE)</f>
        <v>#N/A</v>
      </c>
      <c r="S84" s="16" t="str">
        <f>VLOOKUP(A84,Source!B:H, 7, FALSE)</f>
        <v>#N/A</v>
      </c>
      <c r="T84" s="16" t="str">
        <f>IF(COUNTIF(Q84:R84, "*SDG 7")&lt;2, "Unclear", IF(Q84=R84, "Yes", "No"))</f>
        <v>Unclear</v>
      </c>
    </row>
    <row r="85" ht="15.75" customHeight="1">
      <c r="A85" s="23" t="s">
        <v>713</v>
      </c>
      <c r="B85" s="23" t="s">
        <v>714</v>
      </c>
      <c r="C85" s="16" t="str">
        <f t="shared" ref="C85:H85" si="191">VLOOKUP($A85, INDIRECT(C$1&amp;"!B:D"), 3, FALSE)</f>
        <v>#REF!</v>
      </c>
      <c r="D85" s="16" t="str">
        <f t="shared" si="191"/>
        <v>#N/A</v>
      </c>
      <c r="E85" s="16" t="str">
        <f t="shared" si="191"/>
        <v>#N/A</v>
      </c>
      <c r="F85" s="16" t="str">
        <f t="shared" si="191"/>
        <v>#N/A</v>
      </c>
      <c r="G85" s="16" t="str">
        <f t="shared" si="191"/>
        <v>#N/A</v>
      </c>
      <c r="H85" s="16" t="str">
        <f t="shared" si="191"/>
        <v>#N/A</v>
      </c>
      <c r="I85" s="57">
        <f t="shared" si="4"/>
        <v>0</v>
      </c>
      <c r="J85" s="16" t="str">
        <f t="shared" ref="J85:N85" si="192">VLOOKUP($A85, INDIRECT(D$1&amp;"!B:E"), 4, FALSE)</f>
        <v>#N/A</v>
      </c>
      <c r="K85" s="16" t="str">
        <f t="shared" si="192"/>
        <v>#N/A</v>
      </c>
      <c r="L85" s="16" t="str">
        <f t="shared" si="192"/>
        <v>#N/A</v>
      </c>
      <c r="M85" s="16" t="str">
        <f t="shared" si="192"/>
        <v>#N/A</v>
      </c>
      <c r="N85" s="16" t="str">
        <f t="shared" si="192"/>
        <v>#N/A</v>
      </c>
      <c r="O85" s="16" t="str">
        <f t="shared" si="6"/>
        <v>#N/A</v>
      </c>
      <c r="P85" s="58" t="e">
        <v>#N/A</v>
      </c>
      <c r="Q85" s="16" t="str">
        <f t="shared" si="7"/>
        <v>UNDECIDED</v>
      </c>
      <c r="R85" s="16" t="str">
        <f>VLOOKUP($A85, Source!B:I, 8, FALSE)</f>
        <v>#N/A</v>
      </c>
      <c r="S85" s="16" t="str">
        <f>VLOOKUP(A85,Source!B:H, 7, FALSE)</f>
        <v>#N/A</v>
      </c>
      <c r="T85" s="16" t="str">
        <f t="shared" ref="T85:T86" si="195">IF(COUNTIF(Q85:R85, "UNDECIDED")&gt;0, "Unclear", IF((Q85="SDG 10")=R85, "Yes", "No"))</f>
        <v>Unclear</v>
      </c>
    </row>
    <row r="86" ht="15.75" customHeight="1">
      <c r="A86" s="23" t="s">
        <v>715</v>
      </c>
      <c r="B86" s="23" t="s">
        <v>716</v>
      </c>
      <c r="C86" s="16" t="str">
        <f t="shared" ref="C86:H86" si="193">VLOOKUP($A86, INDIRECT(C$1&amp;"!B:D"), 3, FALSE)</f>
        <v>#REF!</v>
      </c>
      <c r="D86" s="16" t="str">
        <f t="shared" si="193"/>
        <v>#N/A</v>
      </c>
      <c r="E86" s="16" t="str">
        <f t="shared" si="193"/>
        <v>#N/A</v>
      </c>
      <c r="F86" s="16" t="str">
        <f t="shared" si="193"/>
        <v>#N/A</v>
      </c>
      <c r="G86" s="16" t="str">
        <f t="shared" si="193"/>
        <v>#N/A</v>
      </c>
      <c r="H86" s="16" t="str">
        <f t="shared" si="193"/>
        <v>#N/A</v>
      </c>
      <c r="I86" s="57">
        <f t="shared" si="4"/>
        <v>0</v>
      </c>
      <c r="J86" s="16" t="str">
        <f t="shared" ref="J86:N86" si="194">VLOOKUP($A86, INDIRECT(D$1&amp;"!B:E"), 4, FALSE)</f>
        <v>#N/A</v>
      </c>
      <c r="K86" s="16" t="str">
        <f t="shared" si="194"/>
        <v>#N/A</v>
      </c>
      <c r="L86" s="16" t="str">
        <f t="shared" si="194"/>
        <v>#N/A</v>
      </c>
      <c r="M86" s="16" t="str">
        <f t="shared" si="194"/>
        <v>#N/A</v>
      </c>
      <c r="N86" s="16" t="str">
        <f t="shared" si="194"/>
        <v>#N/A</v>
      </c>
      <c r="O86" s="16" t="str">
        <f t="shared" si="6"/>
        <v>#N/A</v>
      </c>
      <c r="P86" s="58" t="e">
        <v>#N/A</v>
      </c>
      <c r="Q86" s="16" t="str">
        <f t="shared" si="7"/>
        <v>UNDECIDED</v>
      </c>
      <c r="R86" s="16" t="str">
        <f>VLOOKUP($A86, Source!B:I, 8, FALSE)</f>
        <v>#N/A</v>
      </c>
      <c r="S86" s="16" t="str">
        <f>VLOOKUP(A86,Source!B:H, 7, FALSE)</f>
        <v>#N/A</v>
      </c>
      <c r="T86" s="16" t="str">
        <f t="shared" si="195"/>
        <v>Unclear</v>
      </c>
    </row>
    <row r="87" ht="15.75" hidden="1" customHeight="1">
      <c r="A87" s="23" t="s">
        <v>717</v>
      </c>
      <c r="B87" s="23" t="s">
        <v>718</v>
      </c>
      <c r="C87" s="16" t="str">
        <f t="shared" ref="C87:H87" si="196">VLOOKUP($A87, INDIRECT(C$1&amp;"!B:D"), 3, FALSE)</f>
        <v>#REF!</v>
      </c>
      <c r="D87" s="16" t="str">
        <f t="shared" si="196"/>
        <v>#N/A</v>
      </c>
      <c r="E87" s="16" t="str">
        <f t="shared" si="196"/>
        <v>#N/A</v>
      </c>
      <c r="F87" s="16" t="str">
        <f t="shared" si="196"/>
        <v>#N/A</v>
      </c>
      <c r="G87" s="16" t="str">
        <f t="shared" si="196"/>
        <v>#N/A</v>
      </c>
      <c r="H87" s="16" t="str">
        <f t="shared" si="196"/>
        <v>#N/A</v>
      </c>
      <c r="I87" s="57">
        <f t="shared" si="4"/>
        <v>0</v>
      </c>
      <c r="J87" s="16" t="str">
        <f t="shared" ref="J87:N87" si="197">VLOOKUP($A87, INDIRECT(D$1&amp;"!B:E"), 4, FALSE)</f>
        <v>#N/A</v>
      </c>
      <c r="K87" s="16" t="str">
        <f t="shared" si="197"/>
        <v>#N/A</v>
      </c>
      <c r="L87" s="16" t="str">
        <f t="shared" si="197"/>
        <v>#N/A</v>
      </c>
      <c r="M87" s="16" t="str">
        <f t="shared" si="197"/>
        <v>#N/A</v>
      </c>
      <c r="N87" s="16" t="str">
        <f t="shared" si="197"/>
        <v>#N/A</v>
      </c>
      <c r="O87" s="16" t="str">
        <f t="shared" si="6"/>
        <v>#N/A</v>
      </c>
      <c r="P87" s="58" t="e">
        <v>#N/A</v>
      </c>
      <c r="Q87" s="16" t="str">
        <f t="shared" si="7"/>
        <v>UNDECIDED</v>
      </c>
      <c r="R87" s="16" t="str">
        <f>VLOOKUP($A87, Source!B:I, 8, FALSE)</f>
        <v>#N/A</v>
      </c>
      <c r="S87" s="16" t="str">
        <f>VLOOKUP(A87,Source!B:H, 7, FALSE)</f>
        <v>#N/A</v>
      </c>
      <c r="T87" s="16" t="str">
        <f>IF(COUNTIF(Q87:R87, "*SDG 7")&lt;2, "Unclear", IF(Q87=R87, "Yes", "No"))</f>
        <v>Unclear</v>
      </c>
    </row>
    <row r="88" ht="15.75" customHeight="1">
      <c r="A88" s="23" t="s">
        <v>719</v>
      </c>
      <c r="B88" s="23" t="s">
        <v>720</v>
      </c>
      <c r="C88" s="16" t="str">
        <f t="shared" ref="C88:H88" si="198">VLOOKUP($A88, INDIRECT(C$1&amp;"!B:D"), 3, FALSE)</f>
        <v>#REF!</v>
      </c>
      <c r="D88" s="16" t="str">
        <f t="shared" si="198"/>
        <v>#N/A</v>
      </c>
      <c r="E88" s="16" t="str">
        <f t="shared" si="198"/>
        <v>#N/A</v>
      </c>
      <c r="F88" s="16" t="str">
        <f t="shared" si="198"/>
        <v>#N/A</v>
      </c>
      <c r="G88" s="16" t="str">
        <f t="shared" si="198"/>
        <v>#N/A</v>
      </c>
      <c r="H88" s="16" t="str">
        <f t="shared" si="198"/>
        <v>#N/A</v>
      </c>
      <c r="I88" s="57">
        <f t="shared" si="4"/>
        <v>0</v>
      </c>
      <c r="J88" s="16" t="str">
        <f t="shared" ref="J88:N88" si="199">VLOOKUP($A88, INDIRECT(D$1&amp;"!B:E"), 4, FALSE)</f>
        <v>#N/A</v>
      </c>
      <c r="K88" s="16" t="str">
        <f t="shared" si="199"/>
        <v>#N/A</v>
      </c>
      <c r="L88" s="16" t="str">
        <f t="shared" si="199"/>
        <v>#N/A</v>
      </c>
      <c r="M88" s="16" t="str">
        <f t="shared" si="199"/>
        <v>#N/A</v>
      </c>
      <c r="N88" s="16" t="str">
        <f t="shared" si="199"/>
        <v>#N/A</v>
      </c>
      <c r="O88" s="16" t="str">
        <f t="shared" si="6"/>
        <v>#N/A</v>
      </c>
      <c r="P88" s="58" t="e">
        <v>#N/A</v>
      </c>
      <c r="Q88" s="16" t="str">
        <f t="shared" si="7"/>
        <v>UNDECIDED</v>
      </c>
      <c r="R88" s="16" t="str">
        <f>VLOOKUP($A88, Source!B:I, 8, FALSE)</f>
        <v>#N/A</v>
      </c>
      <c r="S88" s="16" t="str">
        <f>VLOOKUP(A88,Source!B:H, 7, FALSE)</f>
        <v>#N/A</v>
      </c>
      <c r="T88" s="16" t="str">
        <f>IF(COUNTIF(Q88:R88, "UNDECIDED")&gt;0, "Unclear", IF((Q88="SDG 10")=R88, "Yes", "No"))</f>
        <v>Unclear</v>
      </c>
    </row>
    <row r="89" ht="15.75" hidden="1" customHeight="1">
      <c r="A89" s="23" t="s">
        <v>721</v>
      </c>
      <c r="B89" s="23" t="s">
        <v>722</v>
      </c>
      <c r="C89" s="16" t="str">
        <f t="shared" ref="C89:H89" si="200">VLOOKUP($A89, INDIRECT(C$1&amp;"!B:D"), 3, FALSE)</f>
        <v>#REF!</v>
      </c>
      <c r="D89" s="16" t="str">
        <f t="shared" si="200"/>
        <v>#N/A</v>
      </c>
      <c r="E89" s="16" t="str">
        <f t="shared" si="200"/>
        <v>#N/A</v>
      </c>
      <c r="F89" s="16" t="str">
        <f t="shared" si="200"/>
        <v>#N/A</v>
      </c>
      <c r="G89" s="16" t="str">
        <f t="shared" si="200"/>
        <v>#N/A</v>
      </c>
      <c r="H89" s="16" t="str">
        <f t="shared" si="200"/>
        <v>#N/A</v>
      </c>
      <c r="I89" s="57">
        <f t="shared" si="4"/>
        <v>0</v>
      </c>
      <c r="J89" s="16" t="str">
        <f t="shared" ref="J89:N89" si="201">VLOOKUP($A89, INDIRECT(D$1&amp;"!B:E"), 4, FALSE)</f>
        <v>#N/A</v>
      </c>
      <c r="K89" s="16" t="str">
        <f t="shared" si="201"/>
        <v>#N/A</v>
      </c>
      <c r="L89" s="16" t="str">
        <f t="shared" si="201"/>
        <v>#N/A</v>
      </c>
      <c r="M89" s="16" t="str">
        <f t="shared" si="201"/>
        <v>#N/A</v>
      </c>
      <c r="N89" s="16" t="str">
        <f t="shared" si="201"/>
        <v>#N/A</v>
      </c>
      <c r="O89" s="16" t="str">
        <f t="shared" si="6"/>
        <v>#N/A</v>
      </c>
      <c r="P89" s="58" t="e">
        <v>#N/A</v>
      </c>
      <c r="Q89" s="16" t="str">
        <f t="shared" si="7"/>
        <v>UNDECIDED</v>
      </c>
      <c r="R89" s="16" t="str">
        <f>VLOOKUP($A89, Source!B:I, 8, FALSE)</f>
        <v>#N/A</v>
      </c>
      <c r="S89" s="16" t="str">
        <f>VLOOKUP(A89,Source!B:H, 7, FALSE)</f>
        <v>#N/A</v>
      </c>
      <c r="T89" s="16" t="str">
        <f>IF(COUNTIF(Q89:R89, "*SDG 7")&lt;2, "Unclear", IF(Q89=R89, "Yes", "No"))</f>
        <v>Unclear</v>
      </c>
    </row>
    <row r="90" ht="15.75" customHeight="1">
      <c r="A90" s="23" t="s">
        <v>723</v>
      </c>
      <c r="B90" s="23" t="s">
        <v>724</v>
      </c>
      <c r="C90" s="16" t="str">
        <f t="shared" ref="C90:H90" si="202">VLOOKUP($A90, INDIRECT(C$1&amp;"!B:D"), 3, FALSE)</f>
        <v>#REF!</v>
      </c>
      <c r="D90" s="16" t="str">
        <f t="shared" si="202"/>
        <v>#N/A</v>
      </c>
      <c r="E90" s="16" t="str">
        <f t="shared" si="202"/>
        <v>#N/A</v>
      </c>
      <c r="F90" s="16" t="str">
        <f t="shared" si="202"/>
        <v>#N/A</v>
      </c>
      <c r="G90" s="16" t="str">
        <f t="shared" si="202"/>
        <v>#N/A</v>
      </c>
      <c r="H90" s="16" t="str">
        <f t="shared" si="202"/>
        <v>#N/A</v>
      </c>
      <c r="I90" s="57">
        <f t="shared" si="4"/>
        <v>0</v>
      </c>
      <c r="J90" s="16" t="str">
        <f t="shared" ref="J90:N90" si="203">VLOOKUP($A90, INDIRECT(D$1&amp;"!B:E"), 4, FALSE)</f>
        <v>#N/A</v>
      </c>
      <c r="K90" s="16" t="str">
        <f t="shared" si="203"/>
        <v>#N/A</v>
      </c>
      <c r="L90" s="16" t="str">
        <f t="shared" si="203"/>
        <v>#N/A</v>
      </c>
      <c r="M90" s="16" t="str">
        <f t="shared" si="203"/>
        <v>#N/A</v>
      </c>
      <c r="N90" s="16" t="str">
        <f t="shared" si="203"/>
        <v>#N/A</v>
      </c>
      <c r="O90" s="16" t="str">
        <f t="shared" si="6"/>
        <v>#N/A</v>
      </c>
      <c r="P90" s="58" t="e">
        <v>#N/A</v>
      </c>
      <c r="Q90" s="16" t="str">
        <f t="shared" si="7"/>
        <v>UNDECIDED</v>
      </c>
      <c r="R90" s="16" t="str">
        <f>VLOOKUP($A90, Source!B:I, 8, FALSE)</f>
        <v>#N/A</v>
      </c>
      <c r="S90" s="16" t="str">
        <f>VLOOKUP(A90,Source!B:H, 7, FALSE)</f>
        <v>#N/A</v>
      </c>
      <c r="T90" s="16" t="str">
        <f t="shared" ref="T90:T92" si="206">IF(COUNTIF(Q90:R90, "UNDECIDED")&gt;0, "Unclear", IF((Q90="SDG 10")=R90, "Yes", "No"))</f>
        <v>Unclear</v>
      </c>
    </row>
    <row r="91" ht="15.75" customHeight="1">
      <c r="A91" s="23" t="s">
        <v>725</v>
      </c>
      <c r="B91" s="23" t="s">
        <v>726</v>
      </c>
      <c r="C91" s="16" t="str">
        <f t="shared" ref="C91:H91" si="204">VLOOKUP($A91, INDIRECT(C$1&amp;"!B:D"), 3, FALSE)</f>
        <v>#REF!</v>
      </c>
      <c r="D91" s="16" t="str">
        <f t="shared" si="204"/>
        <v>#N/A</v>
      </c>
      <c r="E91" s="16" t="str">
        <f t="shared" si="204"/>
        <v>#N/A</v>
      </c>
      <c r="F91" s="16" t="str">
        <f t="shared" si="204"/>
        <v>#N/A</v>
      </c>
      <c r="G91" s="16" t="str">
        <f t="shared" si="204"/>
        <v>#N/A</v>
      </c>
      <c r="H91" s="16" t="str">
        <f t="shared" si="204"/>
        <v>#N/A</v>
      </c>
      <c r="I91" s="57">
        <f t="shared" si="4"/>
        <v>0</v>
      </c>
      <c r="J91" s="16" t="str">
        <f t="shared" ref="J91:N91" si="205">VLOOKUP($A91, INDIRECT(D$1&amp;"!B:E"), 4, FALSE)</f>
        <v>#N/A</v>
      </c>
      <c r="K91" s="16" t="str">
        <f t="shared" si="205"/>
        <v>#N/A</v>
      </c>
      <c r="L91" s="16" t="str">
        <f t="shared" si="205"/>
        <v>#N/A</v>
      </c>
      <c r="M91" s="16" t="str">
        <f t="shared" si="205"/>
        <v>#N/A</v>
      </c>
      <c r="N91" s="16" t="str">
        <f t="shared" si="205"/>
        <v>#N/A</v>
      </c>
      <c r="O91" s="16" t="str">
        <f t="shared" si="6"/>
        <v>#N/A</v>
      </c>
      <c r="P91" s="58" t="e">
        <v>#N/A</v>
      </c>
      <c r="Q91" s="16" t="str">
        <f t="shared" si="7"/>
        <v>UNDECIDED</v>
      </c>
      <c r="R91" s="16" t="str">
        <f>VLOOKUP($A91, Source!B:I, 8, FALSE)</f>
        <v>#N/A</v>
      </c>
      <c r="S91" s="16" t="str">
        <f>VLOOKUP(A91,Source!B:H, 7, FALSE)</f>
        <v>#N/A</v>
      </c>
      <c r="T91" s="16" t="str">
        <f t="shared" si="206"/>
        <v>Unclear</v>
      </c>
    </row>
    <row r="92" ht="15.75" customHeight="1">
      <c r="A92" s="23" t="s">
        <v>727</v>
      </c>
      <c r="B92" s="23" t="s">
        <v>728</v>
      </c>
      <c r="C92" s="16" t="str">
        <f t="shared" ref="C92:H92" si="207">VLOOKUP($A92, INDIRECT(C$1&amp;"!B:D"), 3, FALSE)</f>
        <v>#REF!</v>
      </c>
      <c r="D92" s="16" t="str">
        <f t="shared" si="207"/>
        <v>#N/A</v>
      </c>
      <c r="E92" s="16" t="str">
        <f t="shared" si="207"/>
        <v>#N/A</v>
      </c>
      <c r="F92" s="16" t="str">
        <f t="shared" si="207"/>
        <v>#N/A</v>
      </c>
      <c r="G92" s="16" t="str">
        <f t="shared" si="207"/>
        <v>#N/A</v>
      </c>
      <c r="H92" s="16" t="str">
        <f t="shared" si="207"/>
        <v>#N/A</v>
      </c>
      <c r="I92" s="57">
        <f t="shared" si="4"/>
        <v>0</v>
      </c>
      <c r="J92" s="16" t="str">
        <f t="shared" ref="J92:N92" si="208">VLOOKUP($A92, INDIRECT(D$1&amp;"!B:E"), 4, FALSE)</f>
        <v>#N/A</v>
      </c>
      <c r="K92" s="16" t="str">
        <f t="shared" si="208"/>
        <v>#N/A</v>
      </c>
      <c r="L92" s="16" t="str">
        <f t="shared" si="208"/>
        <v>#N/A</v>
      </c>
      <c r="M92" s="16" t="str">
        <f t="shared" si="208"/>
        <v>#N/A</v>
      </c>
      <c r="N92" s="16" t="str">
        <f t="shared" si="208"/>
        <v>#N/A</v>
      </c>
      <c r="O92" s="16" t="str">
        <f t="shared" si="6"/>
        <v>#N/A</v>
      </c>
      <c r="P92" s="58" t="e">
        <v>#N/A</v>
      </c>
      <c r="Q92" s="16" t="str">
        <f t="shared" si="7"/>
        <v>UNDECIDED</v>
      </c>
      <c r="R92" s="16" t="str">
        <f>VLOOKUP($A92, Source!B:I, 8, FALSE)</f>
        <v>#N/A</v>
      </c>
      <c r="S92" s="16" t="str">
        <f>VLOOKUP(A92,Source!B:H, 7, FALSE)</f>
        <v>#N/A</v>
      </c>
      <c r="T92" s="16" t="str">
        <f t="shared" si="206"/>
        <v>Unclear</v>
      </c>
    </row>
    <row r="93" ht="15.75" hidden="1" customHeight="1">
      <c r="A93" s="23" t="s">
        <v>729</v>
      </c>
      <c r="B93" s="23" t="s">
        <v>730</v>
      </c>
      <c r="C93" s="16" t="str">
        <f t="shared" ref="C93:H93" si="209">VLOOKUP($A93, INDIRECT(C$1&amp;"!B:D"), 3, FALSE)</f>
        <v>#REF!</v>
      </c>
      <c r="D93" s="16" t="str">
        <f t="shared" si="209"/>
        <v>#N/A</v>
      </c>
      <c r="E93" s="16" t="str">
        <f t="shared" si="209"/>
        <v>#N/A</v>
      </c>
      <c r="F93" s="16" t="str">
        <f t="shared" si="209"/>
        <v>#N/A</v>
      </c>
      <c r="G93" s="16" t="str">
        <f t="shared" si="209"/>
        <v>#N/A</v>
      </c>
      <c r="H93" s="16" t="str">
        <f t="shared" si="209"/>
        <v>#N/A</v>
      </c>
      <c r="I93" s="57">
        <f t="shared" si="4"/>
        <v>0</v>
      </c>
      <c r="J93" s="16" t="str">
        <f t="shared" ref="J93:N93" si="210">VLOOKUP($A93, INDIRECT(D$1&amp;"!B:E"), 4, FALSE)</f>
        <v>#N/A</v>
      </c>
      <c r="K93" s="16" t="str">
        <f t="shared" si="210"/>
        <v>#N/A</v>
      </c>
      <c r="L93" s="16" t="str">
        <f t="shared" si="210"/>
        <v>#N/A</v>
      </c>
      <c r="M93" s="16" t="str">
        <f t="shared" si="210"/>
        <v>#N/A</v>
      </c>
      <c r="N93" s="16" t="str">
        <f t="shared" si="210"/>
        <v>#N/A</v>
      </c>
      <c r="O93" s="16" t="str">
        <f t="shared" si="6"/>
        <v>#N/A</v>
      </c>
      <c r="P93" s="58" t="e">
        <v>#N/A</v>
      </c>
      <c r="Q93" s="16" t="str">
        <f t="shared" si="7"/>
        <v>UNDECIDED</v>
      </c>
      <c r="R93" s="16" t="str">
        <f>VLOOKUP($A93, Source!B:I, 8, FALSE)</f>
        <v>#N/A</v>
      </c>
      <c r="S93" s="16" t="str">
        <f>VLOOKUP(A93,Source!B:H, 7, FALSE)</f>
        <v>#N/A</v>
      </c>
      <c r="T93" s="16" t="str">
        <f t="shared" ref="T93:T94" si="213">IF(COUNTIF(Q93:R93, "*SDG 7")&lt;2, "Unclear", IF(Q93=R93, "Yes", "No"))</f>
        <v>Unclear</v>
      </c>
    </row>
    <row r="94" ht="15.75" hidden="1" customHeight="1">
      <c r="A94" s="23" t="s">
        <v>731</v>
      </c>
      <c r="B94" s="23" t="s">
        <v>732</v>
      </c>
      <c r="C94" s="16" t="str">
        <f t="shared" ref="C94:H94" si="211">VLOOKUP($A94, INDIRECT(C$1&amp;"!B:D"), 3, FALSE)</f>
        <v>#REF!</v>
      </c>
      <c r="D94" s="16" t="str">
        <f t="shared" si="211"/>
        <v>#N/A</v>
      </c>
      <c r="E94" s="16" t="str">
        <f t="shared" si="211"/>
        <v>#N/A</v>
      </c>
      <c r="F94" s="16" t="str">
        <f t="shared" si="211"/>
        <v>#N/A</v>
      </c>
      <c r="G94" s="16" t="str">
        <f t="shared" si="211"/>
        <v>#N/A</v>
      </c>
      <c r="H94" s="16" t="str">
        <f t="shared" si="211"/>
        <v>#N/A</v>
      </c>
      <c r="I94" s="57">
        <f t="shared" si="4"/>
        <v>0</v>
      </c>
      <c r="J94" s="16" t="str">
        <f t="shared" ref="J94:N94" si="212">VLOOKUP($A94, INDIRECT(D$1&amp;"!B:E"), 4, FALSE)</f>
        <v>#N/A</v>
      </c>
      <c r="K94" s="16" t="str">
        <f t="shared" si="212"/>
        <v>#N/A</v>
      </c>
      <c r="L94" s="16" t="str">
        <f t="shared" si="212"/>
        <v>#N/A</v>
      </c>
      <c r="M94" s="16" t="str">
        <f t="shared" si="212"/>
        <v>#N/A</v>
      </c>
      <c r="N94" s="16" t="str">
        <f t="shared" si="212"/>
        <v>#N/A</v>
      </c>
      <c r="O94" s="16" t="str">
        <f t="shared" si="6"/>
        <v>#N/A</v>
      </c>
      <c r="P94" s="58" t="e">
        <v>#N/A</v>
      </c>
      <c r="Q94" s="16" t="str">
        <f t="shared" si="7"/>
        <v>UNDECIDED</v>
      </c>
      <c r="R94" s="16" t="str">
        <f>VLOOKUP($A94, Source!B:I, 8, FALSE)</f>
        <v>#N/A</v>
      </c>
      <c r="S94" s="16" t="str">
        <f>VLOOKUP(A94,Source!B:H, 7, FALSE)</f>
        <v>#N/A</v>
      </c>
      <c r="T94" s="16" t="str">
        <f t="shared" si="213"/>
        <v>Unclear</v>
      </c>
    </row>
    <row r="95" ht="15.75" customHeight="1">
      <c r="A95" s="23" t="s">
        <v>733</v>
      </c>
      <c r="B95" s="23" t="s">
        <v>734</v>
      </c>
      <c r="C95" s="16" t="str">
        <f t="shared" ref="C95:H95" si="214">VLOOKUP($A95, INDIRECT(C$1&amp;"!B:D"), 3, FALSE)</f>
        <v>#REF!</v>
      </c>
      <c r="D95" s="16" t="str">
        <f t="shared" si="214"/>
        <v>#N/A</v>
      </c>
      <c r="E95" s="16" t="str">
        <f t="shared" si="214"/>
        <v>#N/A</v>
      </c>
      <c r="F95" s="16" t="str">
        <f t="shared" si="214"/>
        <v>#N/A</v>
      </c>
      <c r="G95" s="16" t="str">
        <f t="shared" si="214"/>
        <v>#N/A</v>
      </c>
      <c r="H95" s="16" t="str">
        <f t="shared" si="214"/>
        <v>#N/A</v>
      </c>
      <c r="I95" s="57">
        <f t="shared" si="4"/>
        <v>0</v>
      </c>
      <c r="J95" s="16" t="str">
        <f t="shared" ref="J95:N95" si="215">VLOOKUP($A95, INDIRECT(D$1&amp;"!B:E"), 4, FALSE)</f>
        <v>#N/A</v>
      </c>
      <c r="K95" s="16" t="str">
        <f t="shared" si="215"/>
        <v>#N/A</v>
      </c>
      <c r="L95" s="16" t="str">
        <f t="shared" si="215"/>
        <v>#N/A</v>
      </c>
      <c r="M95" s="16" t="str">
        <f t="shared" si="215"/>
        <v>#N/A</v>
      </c>
      <c r="N95" s="16" t="str">
        <f t="shared" si="215"/>
        <v>#N/A</v>
      </c>
      <c r="O95" s="16" t="str">
        <f t="shared" si="6"/>
        <v>#N/A</v>
      </c>
      <c r="P95" s="58" t="e">
        <v>#N/A</v>
      </c>
      <c r="Q95" s="16" t="str">
        <f t="shared" si="7"/>
        <v>UNDECIDED</v>
      </c>
      <c r="R95" s="16" t="str">
        <f>VLOOKUP($A95, Source!B:I, 8, FALSE)</f>
        <v>#N/A</v>
      </c>
      <c r="S95" s="16" t="str">
        <f>VLOOKUP(A95,Source!B:H, 7, FALSE)</f>
        <v>#N/A</v>
      </c>
      <c r="T95" s="16" t="str">
        <f>IF(COUNTIF(Q95:R95, "UNDECIDED")&gt;0, "Unclear", IF((Q95="SDG 10")=R95, "Yes", "No"))</f>
        <v>Unclear</v>
      </c>
    </row>
    <row r="96" ht="15.75" hidden="1" customHeight="1">
      <c r="A96" s="23" t="s">
        <v>735</v>
      </c>
      <c r="B96" s="23" t="s">
        <v>736</v>
      </c>
      <c r="C96" s="16" t="str">
        <f t="shared" ref="C96:H96" si="216">VLOOKUP($A96, INDIRECT(C$1&amp;"!B:D"), 3, FALSE)</f>
        <v>#REF!</v>
      </c>
      <c r="D96" s="16" t="str">
        <f t="shared" si="216"/>
        <v>#N/A</v>
      </c>
      <c r="E96" s="16" t="str">
        <f t="shared" si="216"/>
        <v>#N/A</v>
      </c>
      <c r="F96" s="16" t="str">
        <f t="shared" si="216"/>
        <v>#N/A</v>
      </c>
      <c r="G96" s="16" t="str">
        <f t="shared" si="216"/>
        <v>#N/A</v>
      </c>
      <c r="H96" s="16" t="str">
        <f t="shared" si="216"/>
        <v>#N/A</v>
      </c>
      <c r="I96" s="57">
        <f t="shared" si="4"/>
        <v>0</v>
      </c>
      <c r="J96" s="16" t="str">
        <f t="shared" ref="J96:N96" si="217">VLOOKUP($A96, INDIRECT(D$1&amp;"!B:E"), 4, FALSE)</f>
        <v>#N/A</v>
      </c>
      <c r="K96" s="16" t="str">
        <f t="shared" si="217"/>
        <v>#N/A</v>
      </c>
      <c r="L96" s="16" t="str">
        <f t="shared" si="217"/>
        <v>#N/A</v>
      </c>
      <c r="M96" s="16" t="str">
        <f t="shared" si="217"/>
        <v>#N/A</v>
      </c>
      <c r="N96" s="16" t="str">
        <f t="shared" si="217"/>
        <v>#N/A</v>
      </c>
      <c r="O96" s="16" t="str">
        <f t="shared" si="6"/>
        <v>#N/A</v>
      </c>
      <c r="P96" s="58" t="e">
        <v>#N/A</v>
      </c>
      <c r="Q96" s="16" t="str">
        <f t="shared" si="7"/>
        <v>UNDECIDED</v>
      </c>
      <c r="R96" s="16" t="str">
        <f>VLOOKUP($A96, Source!B:I, 8, FALSE)</f>
        <v>#N/A</v>
      </c>
      <c r="S96" s="16" t="str">
        <f>VLOOKUP(A96,Source!B:H, 7, FALSE)</f>
        <v>#N/A</v>
      </c>
      <c r="T96" s="16" t="str">
        <f>IF(COUNTIF(Q96:R96, "*SDG 7")&lt;2, "Unclear", IF(Q96=R96, "Yes", "No"))</f>
        <v>Unclear</v>
      </c>
    </row>
    <row r="97" ht="15.75" customHeight="1">
      <c r="A97" s="23" t="s">
        <v>737</v>
      </c>
      <c r="B97" s="23" t="s">
        <v>738</v>
      </c>
      <c r="C97" s="16" t="str">
        <f t="shared" ref="C97:H97" si="218">VLOOKUP($A97, INDIRECT(C$1&amp;"!B:D"), 3, FALSE)</f>
        <v>#REF!</v>
      </c>
      <c r="D97" s="16" t="str">
        <f t="shared" si="218"/>
        <v>#N/A</v>
      </c>
      <c r="E97" s="16" t="str">
        <f t="shared" si="218"/>
        <v>#N/A</v>
      </c>
      <c r="F97" s="16" t="str">
        <f t="shared" si="218"/>
        <v>#N/A</v>
      </c>
      <c r="G97" s="16" t="str">
        <f t="shared" si="218"/>
        <v>#N/A</v>
      </c>
      <c r="H97" s="16" t="str">
        <f t="shared" si="218"/>
        <v>#N/A</v>
      </c>
      <c r="I97" s="57">
        <f t="shared" si="4"/>
        <v>0</v>
      </c>
      <c r="J97" s="16" t="str">
        <f t="shared" ref="J97:N97" si="219">VLOOKUP($A97, INDIRECT(D$1&amp;"!B:E"), 4, FALSE)</f>
        <v>#N/A</v>
      </c>
      <c r="K97" s="16" t="str">
        <f t="shared" si="219"/>
        <v>#N/A</v>
      </c>
      <c r="L97" s="16" t="str">
        <f t="shared" si="219"/>
        <v>#N/A</v>
      </c>
      <c r="M97" s="16" t="str">
        <f t="shared" si="219"/>
        <v>#N/A</v>
      </c>
      <c r="N97" s="16" t="str">
        <f t="shared" si="219"/>
        <v>#N/A</v>
      </c>
      <c r="O97" s="16" t="str">
        <f t="shared" si="6"/>
        <v>#N/A</v>
      </c>
      <c r="P97" s="58" t="e">
        <v>#N/A</v>
      </c>
      <c r="Q97" s="16" t="str">
        <f t="shared" si="7"/>
        <v>UNDECIDED</v>
      </c>
      <c r="R97" s="16" t="str">
        <f>VLOOKUP($A97, Source!B:I, 8, FALSE)</f>
        <v>#N/A</v>
      </c>
      <c r="S97" s="16" t="str">
        <f>VLOOKUP(A97,Source!B:H, 7, FALSE)</f>
        <v>#N/A</v>
      </c>
      <c r="T97" s="16" t="str">
        <f t="shared" ref="T97:T101" si="222">IF(COUNTIF(Q97:R97, "UNDECIDED")&gt;0, "Unclear", IF((Q97="SDG 10")=R97, "Yes", "No"))</f>
        <v>Unclear</v>
      </c>
    </row>
    <row r="98" ht="15.75" customHeight="1">
      <c r="A98" s="23" t="s">
        <v>739</v>
      </c>
      <c r="B98" s="23" t="s">
        <v>740</v>
      </c>
      <c r="C98" s="16" t="str">
        <f t="shared" ref="C98:H98" si="220">VLOOKUP($A98, INDIRECT(C$1&amp;"!B:D"), 3, FALSE)</f>
        <v>#REF!</v>
      </c>
      <c r="D98" s="16" t="str">
        <f t="shared" si="220"/>
        <v>#N/A</v>
      </c>
      <c r="E98" s="16" t="str">
        <f t="shared" si="220"/>
        <v>#N/A</v>
      </c>
      <c r="F98" s="16" t="str">
        <f t="shared" si="220"/>
        <v>#N/A</v>
      </c>
      <c r="G98" s="16" t="str">
        <f t="shared" si="220"/>
        <v>#N/A</v>
      </c>
      <c r="H98" s="16" t="str">
        <f t="shared" si="220"/>
        <v>#N/A</v>
      </c>
      <c r="I98" s="57">
        <f t="shared" si="4"/>
        <v>0</v>
      </c>
      <c r="J98" s="16" t="str">
        <f t="shared" ref="J98:N98" si="221">VLOOKUP($A98, INDIRECT(D$1&amp;"!B:E"), 4, FALSE)</f>
        <v>#N/A</v>
      </c>
      <c r="K98" s="16" t="str">
        <f t="shared" si="221"/>
        <v>#N/A</v>
      </c>
      <c r="L98" s="16" t="str">
        <f t="shared" si="221"/>
        <v>#N/A</v>
      </c>
      <c r="M98" s="16" t="str">
        <f t="shared" si="221"/>
        <v>#N/A</v>
      </c>
      <c r="N98" s="16" t="str">
        <f t="shared" si="221"/>
        <v>#N/A</v>
      </c>
      <c r="O98" s="16" t="str">
        <f t="shared" si="6"/>
        <v>#N/A</v>
      </c>
      <c r="P98" s="58" t="e">
        <v>#N/A</v>
      </c>
      <c r="Q98" s="16" t="str">
        <f t="shared" si="7"/>
        <v>UNDECIDED</v>
      </c>
      <c r="R98" s="16" t="str">
        <f>VLOOKUP($A98, Source!B:I, 8, FALSE)</f>
        <v>#N/A</v>
      </c>
      <c r="S98" s="16" t="str">
        <f>VLOOKUP(A98,Source!B:H, 7, FALSE)</f>
        <v>#N/A</v>
      </c>
      <c r="T98" s="16" t="str">
        <f t="shared" si="222"/>
        <v>Unclear</v>
      </c>
    </row>
    <row r="99" ht="15.75" customHeight="1">
      <c r="A99" s="23" t="s">
        <v>741</v>
      </c>
      <c r="B99" s="23" t="s">
        <v>742</v>
      </c>
      <c r="C99" s="16" t="str">
        <f t="shared" ref="C99:H99" si="223">VLOOKUP($A99, INDIRECT(C$1&amp;"!B:D"), 3, FALSE)</f>
        <v>#REF!</v>
      </c>
      <c r="D99" s="16" t="str">
        <f t="shared" si="223"/>
        <v>#N/A</v>
      </c>
      <c r="E99" s="16" t="str">
        <f t="shared" si="223"/>
        <v>#N/A</v>
      </c>
      <c r="F99" s="16" t="str">
        <f t="shared" si="223"/>
        <v>#N/A</v>
      </c>
      <c r="G99" s="16" t="str">
        <f t="shared" si="223"/>
        <v>#N/A</v>
      </c>
      <c r="H99" s="16" t="str">
        <f t="shared" si="223"/>
        <v>#N/A</v>
      </c>
      <c r="I99" s="57">
        <f t="shared" si="4"/>
        <v>0</v>
      </c>
      <c r="J99" s="16" t="str">
        <f t="shared" ref="J99:N99" si="224">VLOOKUP($A99, INDIRECT(D$1&amp;"!B:E"), 4, FALSE)</f>
        <v>#N/A</v>
      </c>
      <c r="K99" s="16" t="str">
        <f t="shared" si="224"/>
        <v>#N/A</v>
      </c>
      <c r="L99" s="16" t="str">
        <f t="shared" si="224"/>
        <v>#N/A</v>
      </c>
      <c r="M99" s="16" t="str">
        <f t="shared" si="224"/>
        <v>#N/A</v>
      </c>
      <c r="N99" s="16" t="str">
        <f t="shared" si="224"/>
        <v>#N/A</v>
      </c>
      <c r="O99" s="16" t="str">
        <f t="shared" si="6"/>
        <v>#N/A</v>
      </c>
      <c r="P99" s="58" t="e">
        <v>#N/A</v>
      </c>
      <c r="Q99" s="16" t="str">
        <f t="shared" si="7"/>
        <v>UNDECIDED</v>
      </c>
      <c r="R99" s="16" t="str">
        <f>VLOOKUP($A99, Source!B:I, 8, FALSE)</f>
        <v>#N/A</v>
      </c>
      <c r="S99" s="16" t="str">
        <f>VLOOKUP(A99,Source!B:H, 7, FALSE)</f>
        <v>#N/A</v>
      </c>
      <c r="T99" s="16" t="str">
        <f t="shared" si="222"/>
        <v>Unclear</v>
      </c>
    </row>
    <row r="100" ht="15.75" customHeight="1">
      <c r="A100" s="23" t="s">
        <v>743</v>
      </c>
      <c r="B100" s="23" t="s">
        <v>744</v>
      </c>
      <c r="C100" s="16" t="str">
        <f t="shared" ref="C100:H100" si="225">VLOOKUP($A100, INDIRECT(C$1&amp;"!B:D"), 3, FALSE)</f>
        <v>#REF!</v>
      </c>
      <c r="D100" s="16" t="str">
        <f t="shared" si="225"/>
        <v>#N/A</v>
      </c>
      <c r="E100" s="16" t="str">
        <f t="shared" si="225"/>
        <v>#N/A</v>
      </c>
      <c r="F100" s="16" t="str">
        <f t="shared" si="225"/>
        <v>#N/A</v>
      </c>
      <c r="G100" s="16" t="str">
        <f t="shared" si="225"/>
        <v>#N/A</v>
      </c>
      <c r="H100" s="16" t="str">
        <f t="shared" si="225"/>
        <v>#N/A</v>
      </c>
      <c r="I100" s="57">
        <f t="shared" si="4"/>
        <v>0</v>
      </c>
      <c r="J100" s="16" t="str">
        <f t="shared" ref="J100:N100" si="226">VLOOKUP($A100, INDIRECT(D$1&amp;"!B:E"), 4, FALSE)</f>
        <v>#N/A</v>
      </c>
      <c r="K100" s="16" t="str">
        <f t="shared" si="226"/>
        <v>#N/A</v>
      </c>
      <c r="L100" s="16" t="str">
        <f t="shared" si="226"/>
        <v>#N/A</v>
      </c>
      <c r="M100" s="16" t="str">
        <f t="shared" si="226"/>
        <v>#N/A</v>
      </c>
      <c r="N100" s="16" t="str">
        <f t="shared" si="226"/>
        <v>#N/A</v>
      </c>
      <c r="O100" s="16" t="str">
        <f t="shared" si="6"/>
        <v>#N/A</v>
      </c>
      <c r="P100" s="58" t="e">
        <v>#N/A</v>
      </c>
      <c r="Q100" s="16" t="str">
        <f t="shared" si="7"/>
        <v>UNDECIDED</v>
      </c>
      <c r="R100" s="16" t="str">
        <f>VLOOKUP($A100, Source!B:I, 8, FALSE)</f>
        <v>#N/A</v>
      </c>
      <c r="S100" s="16" t="str">
        <f>VLOOKUP(A100,Source!B:H, 7, FALSE)</f>
        <v>#N/A</v>
      </c>
      <c r="T100" s="16" t="str">
        <f t="shared" si="222"/>
        <v>Unclear</v>
      </c>
    </row>
    <row r="101" ht="15.75" customHeight="1">
      <c r="A101" s="23" t="s">
        <v>745</v>
      </c>
      <c r="B101" s="23" t="s">
        <v>746</v>
      </c>
      <c r="C101" s="16" t="str">
        <f t="shared" ref="C101:H101" si="227">VLOOKUP($A101, INDIRECT(C$1&amp;"!B:D"), 3, FALSE)</f>
        <v>#REF!</v>
      </c>
      <c r="D101" s="16" t="str">
        <f t="shared" si="227"/>
        <v>#N/A</v>
      </c>
      <c r="E101" s="16" t="str">
        <f t="shared" si="227"/>
        <v>#N/A</v>
      </c>
      <c r="F101" s="16" t="str">
        <f t="shared" si="227"/>
        <v>#N/A</v>
      </c>
      <c r="G101" s="16" t="str">
        <f t="shared" si="227"/>
        <v>#N/A</v>
      </c>
      <c r="H101" s="16" t="str">
        <f t="shared" si="227"/>
        <v>#N/A</v>
      </c>
      <c r="I101" s="57">
        <f t="shared" si="4"/>
        <v>0</v>
      </c>
      <c r="J101" s="16" t="str">
        <f t="shared" ref="J101:N101" si="228">VLOOKUP($A101, INDIRECT(D$1&amp;"!B:E"), 4, FALSE)</f>
        <v>#N/A</v>
      </c>
      <c r="K101" s="16" t="str">
        <f t="shared" si="228"/>
        <v>#N/A</v>
      </c>
      <c r="L101" s="16" t="str">
        <f t="shared" si="228"/>
        <v>#N/A</v>
      </c>
      <c r="M101" s="16" t="str">
        <f t="shared" si="228"/>
        <v>#N/A</v>
      </c>
      <c r="N101" s="16" t="str">
        <f t="shared" si="228"/>
        <v>#N/A</v>
      </c>
      <c r="O101" s="16" t="str">
        <f t="shared" si="6"/>
        <v>#N/A</v>
      </c>
      <c r="P101" s="58" t="e">
        <v>#N/A</v>
      </c>
      <c r="Q101" s="16" t="str">
        <f t="shared" si="7"/>
        <v>UNDECIDED</v>
      </c>
      <c r="R101" s="16" t="str">
        <f>VLOOKUP($A101, Source!B:I, 8, FALSE)</f>
        <v>#N/A</v>
      </c>
      <c r="S101" s="16" t="str">
        <f>VLOOKUP(A101,Source!B:H, 7, FALSE)</f>
        <v>#N/A</v>
      </c>
      <c r="T101" s="16" t="str">
        <f t="shared" si="222"/>
        <v>Unclear</v>
      </c>
    </row>
    <row r="102">
      <c r="B102" s="59"/>
      <c r="I102" s="60"/>
      <c r="P102" s="58"/>
    </row>
    <row r="103">
      <c r="B103" s="59"/>
      <c r="I103" s="60"/>
      <c r="P103" s="58"/>
    </row>
    <row r="104">
      <c r="B104" s="59"/>
      <c r="I104" s="60"/>
      <c r="P104" s="58"/>
    </row>
    <row r="105">
      <c r="B105" s="59"/>
      <c r="I105" s="60"/>
      <c r="P105" s="58"/>
    </row>
    <row r="106">
      <c r="B106" s="59"/>
      <c r="I106" s="60"/>
      <c r="P106" s="58"/>
    </row>
    <row r="107">
      <c r="B107" s="59"/>
      <c r="I107" s="60"/>
      <c r="P107" s="58"/>
    </row>
    <row r="108">
      <c r="B108" s="59"/>
      <c r="I108" s="60"/>
      <c r="P108" s="58"/>
    </row>
    <row r="109">
      <c r="B109" s="59"/>
      <c r="I109" s="60"/>
      <c r="P109" s="58"/>
    </row>
    <row r="110">
      <c r="B110" s="59"/>
      <c r="I110" s="60"/>
      <c r="P110" s="58"/>
    </row>
    <row r="111">
      <c r="B111" s="59"/>
      <c r="I111" s="60"/>
      <c r="P111" s="58"/>
    </row>
    <row r="112">
      <c r="B112" s="59"/>
      <c r="I112" s="60"/>
      <c r="P112" s="58"/>
    </row>
    <row r="113">
      <c r="B113" s="59"/>
      <c r="I113" s="60"/>
      <c r="P113" s="58"/>
    </row>
    <row r="114">
      <c r="B114" s="59"/>
      <c r="I114" s="60"/>
      <c r="P114" s="58"/>
    </row>
    <row r="115">
      <c r="B115" s="59"/>
      <c r="I115" s="60"/>
      <c r="P115" s="58"/>
    </row>
    <row r="116">
      <c r="B116" s="59"/>
      <c r="I116" s="60"/>
      <c r="P116" s="58"/>
    </row>
    <row r="117">
      <c r="B117" s="59"/>
      <c r="I117" s="60"/>
      <c r="P117" s="58"/>
    </row>
    <row r="118">
      <c r="B118" s="59"/>
      <c r="I118" s="60"/>
      <c r="P118" s="58"/>
    </row>
    <row r="119">
      <c r="B119" s="59"/>
      <c r="I119" s="60"/>
      <c r="P119" s="58"/>
    </row>
    <row r="120">
      <c r="B120" s="59"/>
      <c r="I120" s="60"/>
      <c r="P120" s="58"/>
    </row>
    <row r="121">
      <c r="B121" s="59"/>
      <c r="I121" s="60"/>
      <c r="P121" s="58"/>
    </row>
    <row r="122">
      <c r="B122" s="59"/>
      <c r="I122" s="60"/>
      <c r="P122" s="58"/>
    </row>
    <row r="123">
      <c r="B123" s="59"/>
      <c r="I123" s="60"/>
      <c r="P123" s="58"/>
    </row>
    <row r="124">
      <c r="B124" s="59"/>
      <c r="I124" s="60"/>
      <c r="P124" s="58"/>
    </row>
    <row r="125">
      <c r="B125" s="59"/>
      <c r="I125" s="60"/>
      <c r="P125" s="58"/>
    </row>
    <row r="126">
      <c r="B126" s="59"/>
      <c r="I126" s="60"/>
      <c r="P126" s="58"/>
    </row>
    <row r="127">
      <c r="B127" s="59"/>
      <c r="I127" s="60"/>
      <c r="P127" s="58"/>
    </row>
    <row r="128">
      <c r="B128" s="59"/>
      <c r="I128" s="60"/>
      <c r="P128" s="58"/>
    </row>
    <row r="129">
      <c r="B129" s="59"/>
      <c r="I129" s="60"/>
      <c r="P129" s="58"/>
    </row>
    <row r="130">
      <c r="B130" s="59"/>
      <c r="I130" s="60"/>
      <c r="P130" s="58"/>
    </row>
    <row r="131">
      <c r="B131" s="59"/>
      <c r="I131" s="60"/>
      <c r="P131" s="58"/>
    </row>
    <row r="132">
      <c r="B132" s="59"/>
      <c r="I132" s="60"/>
      <c r="P132" s="58"/>
    </row>
    <row r="133">
      <c r="B133" s="59"/>
      <c r="I133" s="60"/>
      <c r="P133" s="58"/>
    </row>
    <row r="134">
      <c r="B134" s="59"/>
      <c r="I134" s="60"/>
      <c r="P134" s="58"/>
    </row>
    <row r="135">
      <c r="B135" s="59"/>
      <c r="I135" s="60"/>
      <c r="P135" s="58"/>
    </row>
    <row r="136">
      <c r="B136" s="59"/>
      <c r="I136" s="60"/>
      <c r="P136" s="58"/>
    </row>
    <row r="137">
      <c r="B137" s="59"/>
      <c r="I137" s="60"/>
      <c r="P137" s="58"/>
    </row>
    <row r="138">
      <c r="B138" s="59"/>
      <c r="I138" s="60"/>
      <c r="P138" s="58"/>
    </row>
    <row r="139">
      <c r="B139" s="59"/>
      <c r="I139" s="60"/>
      <c r="P139" s="58"/>
    </row>
    <row r="140">
      <c r="B140" s="59"/>
      <c r="I140" s="60"/>
      <c r="P140" s="58"/>
    </row>
    <row r="141">
      <c r="B141" s="59"/>
      <c r="I141" s="60"/>
      <c r="P141" s="58"/>
    </row>
    <row r="142">
      <c r="B142" s="59"/>
      <c r="I142" s="60"/>
      <c r="P142" s="58"/>
    </row>
    <row r="143">
      <c r="B143" s="59"/>
      <c r="I143" s="60"/>
      <c r="P143" s="58"/>
    </row>
    <row r="144">
      <c r="B144" s="59"/>
      <c r="I144" s="60"/>
      <c r="P144" s="58"/>
    </row>
    <row r="145">
      <c r="B145" s="59"/>
      <c r="I145" s="60"/>
      <c r="P145" s="58"/>
    </row>
    <row r="146">
      <c r="B146" s="59"/>
      <c r="I146" s="60"/>
      <c r="P146" s="58"/>
    </row>
    <row r="147">
      <c r="B147" s="59"/>
      <c r="I147" s="60"/>
      <c r="P147" s="58"/>
    </row>
    <row r="148">
      <c r="B148" s="59"/>
      <c r="I148" s="60"/>
      <c r="P148" s="58"/>
    </row>
    <row r="149">
      <c r="B149" s="59"/>
      <c r="I149" s="60"/>
      <c r="P149" s="58"/>
    </row>
    <row r="150">
      <c r="B150" s="59"/>
      <c r="I150" s="60"/>
      <c r="P150" s="58"/>
    </row>
    <row r="151">
      <c r="B151" s="59"/>
      <c r="I151" s="60"/>
      <c r="P151" s="58"/>
    </row>
    <row r="152">
      <c r="B152" s="59"/>
      <c r="I152" s="60"/>
      <c r="P152" s="58"/>
    </row>
    <row r="153">
      <c r="B153" s="59"/>
      <c r="I153" s="60"/>
      <c r="P153" s="58"/>
    </row>
    <row r="154">
      <c r="B154" s="59"/>
      <c r="I154" s="60"/>
      <c r="P154" s="58"/>
    </row>
    <row r="155">
      <c r="B155" s="59"/>
      <c r="I155" s="60"/>
      <c r="P155" s="58"/>
    </row>
    <row r="156">
      <c r="B156" s="59"/>
      <c r="I156" s="60"/>
      <c r="P156" s="58"/>
    </row>
    <row r="157">
      <c r="B157" s="59"/>
      <c r="I157" s="60"/>
      <c r="P157" s="58"/>
    </row>
    <row r="158">
      <c r="B158" s="59"/>
      <c r="I158" s="60"/>
      <c r="P158" s="58"/>
    </row>
    <row r="159">
      <c r="B159" s="59"/>
      <c r="I159" s="60"/>
      <c r="P159" s="58"/>
    </row>
    <row r="160">
      <c r="B160" s="59"/>
      <c r="I160" s="60"/>
      <c r="P160" s="58"/>
    </row>
    <row r="161">
      <c r="B161" s="59"/>
      <c r="I161" s="60"/>
      <c r="P161" s="58"/>
    </row>
    <row r="162">
      <c r="B162" s="59"/>
      <c r="I162" s="60"/>
      <c r="P162" s="58"/>
    </row>
    <row r="163">
      <c r="B163" s="59"/>
      <c r="I163" s="60"/>
      <c r="P163" s="58"/>
    </row>
    <row r="164">
      <c r="B164" s="59"/>
      <c r="I164" s="60"/>
      <c r="P164" s="58"/>
    </row>
    <row r="165">
      <c r="B165" s="59"/>
      <c r="I165" s="60"/>
      <c r="P165" s="58"/>
    </row>
    <row r="166">
      <c r="B166" s="59"/>
      <c r="I166" s="60"/>
      <c r="P166" s="58"/>
    </row>
    <row r="167">
      <c r="B167" s="59"/>
      <c r="I167" s="60"/>
      <c r="P167" s="58"/>
    </row>
    <row r="168">
      <c r="B168" s="59"/>
      <c r="I168" s="60"/>
      <c r="P168" s="58"/>
    </row>
    <row r="169">
      <c r="B169" s="59"/>
      <c r="I169" s="60"/>
      <c r="P169" s="58"/>
    </row>
    <row r="170">
      <c r="B170" s="59"/>
      <c r="I170" s="60"/>
      <c r="P170" s="58"/>
    </row>
    <row r="171">
      <c r="B171" s="59"/>
      <c r="I171" s="60"/>
      <c r="P171" s="58"/>
    </row>
    <row r="172">
      <c r="B172" s="59"/>
      <c r="I172" s="60"/>
      <c r="P172" s="58"/>
    </row>
    <row r="173">
      <c r="B173" s="59"/>
      <c r="I173" s="60"/>
      <c r="P173" s="58"/>
    </row>
    <row r="174">
      <c r="B174" s="59"/>
      <c r="I174" s="60"/>
      <c r="P174" s="58"/>
    </row>
    <row r="175">
      <c r="B175" s="59"/>
      <c r="I175" s="60"/>
      <c r="P175" s="58"/>
    </row>
    <row r="176">
      <c r="B176" s="59"/>
      <c r="I176" s="60"/>
      <c r="P176" s="58"/>
    </row>
    <row r="177">
      <c r="B177" s="59"/>
      <c r="I177" s="60"/>
      <c r="P177" s="58"/>
    </row>
    <row r="178">
      <c r="B178" s="59"/>
      <c r="I178" s="60"/>
      <c r="P178" s="58"/>
    </row>
    <row r="179">
      <c r="B179" s="59"/>
      <c r="I179" s="60"/>
      <c r="P179" s="58"/>
    </row>
    <row r="180">
      <c r="B180" s="59"/>
      <c r="I180" s="60"/>
      <c r="P180" s="58"/>
    </row>
    <row r="181">
      <c r="B181" s="59"/>
      <c r="I181" s="60"/>
      <c r="P181" s="58"/>
    </row>
    <row r="182">
      <c r="B182" s="59"/>
      <c r="I182" s="60"/>
      <c r="P182" s="58"/>
    </row>
    <row r="183">
      <c r="B183" s="59"/>
      <c r="I183" s="60"/>
      <c r="P183" s="58"/>
    </row>
    <row r="184">
      <c r="B184" s="59"/>
      <c r="I184" s="60"/>
      <c r="P184" s="58"/>
    </row>
    <row r="185">
      <c r="B185" s="59"/>
      <c r="I185" s="60"/>
      <c r="P185" s="58"/>
    </row>
    <row r="186">
      <c r="B186" s="59"/>
      <c r="I186" s="60"/>
      <c r="P186" s="58"/>
    </row>
    <row r="187">
      <c r="B187" s="59"/>
      <c r="I187" s="60"/>
      <c r="P187" s="58"/>
    </row>
    <row r="188">
      <c r="B188" s="59"/>
      <c r="I188" s="60"/>
      <c r="P188" s="58"/>
    </row>
    <row r="189">
      <c r="B189" s="59"/>
      <c r="I189" s="60"/>
      <c r="P189" s="58"/>
    </row>
    <row r="190">
      <c r="B190" s="59"/>
      <c r="I190" s="60"/>
      <c r="P190" s="58"/>
    </row>
    <row r="191">
      <c r="B191" s="59"/>
      <c r="I191" s="60"/>
      <c r="P191" s="58"/>
    </row>
    <row r="192">
      <c r="B192" s="59"/>
      <c r="I192" s="60"/>
      <c r="P192" s="58"/>
    </row>
    <row r="193">
      <c r="B193" s="59"/>
      <c r="I193" s="60"/>
      <c r="P193" s="58"/>
    </row>
    <row r="194">
      <c r="B194" s="59"/>
      <c r="I194" s="60"/>
      <c r="P194" s="58"/>
    </row>
    <row r="195">
      <c r="B195" s="59"/>
      <c r="I195" s="60"/>
      <c r="P195" s="58"/>
    </row>
    <row r="196">
      <c r="B196" s="59"/>
      <c r="I196" s="60"/>
      <c r="P196" s="58"/>
    </row>
    <row r="197">
      <c r="B197" s="59"/>
      <c r="I197" s="60"/>
      <c r="P197" s="58"/>
    </row>
    <row r="198">
      <c r="B198" s="59"/>
      <c r="I198" s="60"/>
      <c r="P198" s="58"/>
    </row>
    <row r="199">
      <c r="B199" s="59"/>
      <c r="I199" s="60"/>
      <c r="P199" s="58"/>
    </row>
    <row r="200">
      <c r="B200" s="59"/>
      <c r="I200" s="60"/>
      <c r="P200" s="58"/>
    </row>
    <row r="201">
      <c r="B201" s="59"/>
      <c r="I201" s="60"/>
      <c r="P201" s="58"/>
    </row>
    <row r="202">
      <c r="B202" s="59"/>
      <c r="I202" s="60"/>
      <c r="P202" s="58"/>
    </row>
    <row r="203">
      <c r="B203" s="59"/>
      <c r="I203" s="60"/>
      <c r="P203" s="58"/>
    </row>
    <row r="204">
      <c r="B204" s="59"/>
      <c r="I204" s="60"/>
      <c r="P204" s="58"/>
    </row>
    <row r="205">
      <c r="B205" s="59"/>
      <c r="I205" s="60"/>
      <c r="P205" s="58"/>
    </row>
    <row r="206">
      <c r="B206" s="59"/>
      <c r="I206" s="60"/>
      <c r="P206" s="58"/>
    </row>
    <row r="207">
      <c r="B207" s="59"/>
      <c r="I207" s="60"/>
      <c r="P207" s="58"/>
    </row>
    <row r="208">
      <c r="B208" s="59"/>
      <c r="I208" s="60"/>
      <c r="P208" s="58"/>
    </row>
    <row r="209">
      <c r="B209" s="59"/>
      <c r="I209" s="60"/>
      <c r="P209" s="58"/>
    </row>
    <row r="210">
      <c r="B210" s="59"/>
      <c r="I210" s="60"/>
      <c r="P210" s="58"/>
    </row>
    <row r="211">
      <c r="B211" s="59"/>
      <c r="I211" s="60"/>
      <c r="P211" s="58"/>
    </row>
    <row r="212">
      <c r="B212" s="59"/>
      <c r="I212" s="60"/>
      <c r="P212" s="58"/>
    </row>
    <row r="213">
      <c r="B213" s="59"/>
      <c r="I213" s="60"/>
      <c r="P213" s="58"/>
    </row>
    <row r="214">
      <c r="B214" s="59"/>
      <c r="I214" s="60"/>
      <c r="P214" s="58"/>
    </row>
    <row r="215">
      <c r="B215" s="59"/>
      <c r="I215" s="60"/>
      <c r="P215" s="58"/>
    </row>
    <row r="216">
      <c r="B216" s="59"/>
      <c r="I216" s="60"/>
      <c r="P216" s="58"/>
    </row>
    <row r="217">
      <c r="B217" s="59"/>
      <c r="I217" s="60"/>
      <c r="P217" s="58"/>
    </row>
    <row r="218">
      <c r="B218" s="59"/>
      <c r="I218" s="60"/>
      <c r="P218" s="58"/>
    </row>
    <row r="219">
      <c r="B219" s="59"/>
      <c r="I219" s="60"/>
      <c r="P219" s="58"/>
    </row>
    <row r="220">
      <c r="B220" s="59"/>
      <c r="I220" s="60"/>
      <c r="P220" s="58"/>
    </row>
    <row r="221">
      <c r="B221" s="59"/>
      <c r="I221" s="60"/>
      <c r="P221" s="58"/>
    </row>
    <row r="222">
      <c r="B222" s="59"/>
      <c r="I222" s="60"/>
      <c r="P222" s="58"/>
    </row>
    <row r="223">
      <c r="B223" s="59"/>
      <c r="I223" s="60"/>
      <c r="P223" s="58"/>
    </row>
    <row r="224">
      <c r="B224" s="59"/>
      <c r="I224" s="60"/>
      <c r="P224" s="58"/>
    </row>
    <row r="225">
      <c r="B225" s="59"/>
      <c r="I225" s="60"/>
      <c r="P225" s="58"/>
    </row>
    <row r="226">
      <c r="B226" s="59"/>
      <c r="I226" s="60"/>
      <c r="P226" s="58"/>
    </row>
    <row r="227">
      <c r="B227" s="59"/>
      <c r="I227" s="60"/>
      <c r="P227" s="58"/>
    </row>
    <row r="228">
      <c r="B228" s="59"/>
      <c r="I228" s="60"/>
      <c r="P228" s="58"/>
    </row>
    <row r="229">
      <c r="B229" s="59"/>
      <c r="I229" s="60"/>
      <c r="P229" s="58"/>
    </row>
    <row r="230">
      <c r="B230" s="59"/>
      <c r="I230" s="60"/>
      <c r="P230" s="58"/>
    </row>
    <row r="231">
      <c r="B231" s="59"/>
      <c r="I231" s="60"/>
      <c r="P231" s="58"/>
    </row>
    <row r="232">
      <c r="B232" s="59"/>
      <c r="I232" s="60"/>
      <c r="P232" s="58"/>
    </row>
    <row r="233">
      <c r="B233" s="59"/>
      <c r="I233" s="60"/>
      <c r="P233" s="58"/>
    </row>
    <row r="234">
      <c r="B234" s="59"/>
      <c r="I234" s="60"/>
      <c r="P234" s="58"/>
    </row>
    <row r="235">
      <c r="B235" s="59"/>
      <c r="I235" s="60"/>
      <c r="P235" s="58"/>
    </row>
    <row r="236">
      <c r="B236" s="59"/>
      <c r="I236" s="60"/>
      <c r="P236" s="58"/>
    </row>
    <row r="237">
      <c r="B237" s="59"/>
      <c r="I237" s="60"/>
      <c r="P237" s="58"/>
    </row>
    <row r="238">
      <c r="B238" s="59"/>
      <c r="I238" s="60"/>
      <c r="P238" s="58"/>
    </row>
    <row r="239">
      <c r="B239" s="59"/>
      <c r="I239" s="60"/>
      <c r="P239" s="58"/>
    </row>
    <row r="240">
      <c r="B240" s="59"/>
      <c r="I240" s="60"/>
      <c r="P240" s="58"/>
    </row>
    <row r="241">
      <c r="B241" s="59"/>
      <c r="I241" s="60"/>
      <c r="P241" s="58"/>
    </row>
    <row r="242">
      <c r="B242" s="59"/>
      <c r="I242" s="60"/>
      <c r="P242" s="58"/>
    </row>
    <row r="243">
      <c r="B243" s="59"/>
      <c r="I243" s="60"/>
      <c r="P243" s="58"/>
    </row>
    <row r="244">
      <c r="B244" s="59"/>
      <c r="I244" s="60"/>
      <c r="P244" s="58"/>
    </row>
    <row r="245">
      <c r="B245" s="59"/>
      <c r="I245" s="60"/>
      <c r="P245" s="58"/>
    </row>
    <row r="246">
      <c r="B246" s="59"/>
      <c r="I246" s="60"/>
      <c r="P246" s="58"/>
    </row>
    <row r="247">
      <c r="B247" s="59"/>
      <c r="I247" s="60"/>
      <c r="P247" s="58"/>
    </row>
    <row r="248">
      <c r="B248" s="59"/>
      <c r="I248" s="60"/>
      <c r="P248" s="58"/>
    </row>
    <row r="249">
      <c r="B249" s="59"/>
      <c r="I249" s="60"/>
      <c r="P249" s="58"/>
    </row>
    <row r="250">
      <c r="B250" s="59"/>
      <c r="I250" s="60"/>
      <c r="P250" s="58"/>
    </row>
    <row r="251">
      <c r="B251" s="59"/>
      <c r="I251" s="60"/>
      <c r="P251" s="58"/>
    </row>
    <row r="252">
      <c r="B252" s="59"/>
      <c r="I252" s="60"/>
      <c r="P252" s="58"/>
    </row>
    <row r="253">
      <c r="B253" s="59"/>
      <c r="I253" s="60"/>
      <c r="P253" s="58"/>
    </row>
    <row r="254">
      <c r="B254" s="59"/>
      <c r="I254" s="60"/>
      <c r="P254" s="58"/>
    </row>
    <row r="255">
      <c r="B255" s="59"/>
      <c r="I255" s="60"/>
      <c r="P255" s="58"/>
    </row>
    <row r="256">
      <c r="B256" s="59"/>
      <c r="I256" s="60"/>
      <c r="P256" s="58"/>
    </row>
    <row r="257">
      <c r="B257" s="59"/>
      <c r="I257" s="60"/>
      <c r="P257" s="58"/>
    </row>
    <row r="258">
      <c r="B258" s="59"/>
      <c r="I258" s="60"/>
      <c r="P258" s="58"/>
    </row>
    <row r="259">
      <c r="B259" s="59"/>
      <c r="I259" s="60"/>
      <c r="P259" s="58"/>
    </row>
    <row r="260">
      <c r="B260" s="59"/>
      <c r="I260" s="60"/>
      <c r="P260" s="58"/>
    </row>
    <row r="261">
      <c r="B261" s="59"/>
      <c r="I261" s="60"/>
      <c r="P261" s="58"/>
    </row>
    <row r="262">
      <c r="B262" s="59"/>
      <c r="I262" s="60"/>
      <c r="P262" s="58"/>
    </row>
    <row r="263">
      <c r="B263" s="59"/>
      <c r="I263" s="60"/>
      <c r="P263" s="58"/>
    </row>
    <row r="264">
      <c r="B264" s="59"/>
      <c r="I264" s="60"/>
      <c r="P264" s="58"/>
    </row>
    <row r="265">
      <c r="B265" s="59"/>
      <c r="I265" s="60"/>
      <c r="P265" s="58"/>
    </row>
    <row r="266">
      <c r="B266" s="59"/>
      <c r="I266" s="60"/>
      <c r="P266" s="58"/>
    </row>
    <row r="267">
      <c r="B267" s="59"/>
      <c r="I267" s="60"/>
      <c r="P267" s="58"/>
    </row>
    <row r="268">
      <c r="B268" s="59"/>
      <c r="I268" s="60"/>
      <c r="P268" s="58"/>
    </row>
    <row r="269">
      <c r="B269" s="59"/>
      <c r="I269" s="60"/>
      <c r="P269" s="58"/>
    </row>
    <row r="270">
      <c r="B270" s="59"/>
      <c r="I270" s="60"/>
      <c r="P270" s="58"/>
    </row>
    <row r="271">
      <c r="B271" s="59"/>
      <c r="I271" s="60"/>
      <c r="P271" s="58"/>
    </row>
    <row r="272">
      <c r="B272" s="59"/>
      <c r="I272" s="60"/>
      <c r="P272" s="58"/>
    </row>
    <row r="273">
      <c r="B273" s="59"/>
      <c r="I273" s="60"/>
      <c r="P273" s="58"/>
    </row>
    <row r="274">
      <c r="B274" s="59"/>
      <c r="I274" s="60"/>
      <c r="P274" s="58"/>
    </row>
    <row r="275">
      <c r="B275" s="59"/>
      <c r="I275" s="60"/>
      <c r="P275" s="58"/>
    </row>
    <row r="276">
      <c r="B276" s="59"/>
      <c r="I276" s="60"/>
      <c r="P276" s="58"/>
    </row>
    <row r="277">
      <c r="B277" s="59"/>
      <c r="I277" s="60"/>
      <c r="P277" s="58"/>
    </row>
    <row r="278">
      <c r="B278" s="59"/>
      <c r="I278" s="60"/>
      <c r="P278" s="58"/>
    </row>
    <row r="279">
      <c r="B279" s="59"/>
      <c r="I279" s="60"/>
      <c r="P279" s="58"/>
    </row>
    <row r="280">
      <c r="B280" s="59"/>
      <c r="I280" s="60"/>
      <c r="P280" s="58"/>
    </row>
    <row r="281">
      <c r="B281" s="59"/>
      <c r="I281" s="60"/>
      <c r="P281" s="58"/>
    </row>
    <row r="282">
      <c r="B282" s="59"/>
      <c r="I282" s="60"/>
      <c r="P282" s="58"/>
    </row>
    <row r="283">
      <c r="B283" s="59"/>
      <c r="I283" s="60"/>
      <c r="P283" s="58"/>
    </row>
    <row r="284">
      <c r="B284" s="59"/>
      <c r="I284" s="60"/>
      <c r="P284" s="58"/>
    </row>
    <row r="285">
      <c r="B285" s="59"/>
      <c r="I285" s="60"/>
      <c r="P285" s="58"/>
    </row>
    <row r="286">
      <c r="B286" s="59"/>
      <c r="I286" s="60"/>
      <c r="P286" s="58"/>
    </row>
    <row r="287">
      <c r="B287" s="59"/>
      <c r="I287" s="60"/>
      <c r="P287" s="58"/>
    </row>
    <row r="288">
      <c r="B288" s="59"/>
      <c r="I288" s="60"/>
      <c r="P288" s="58"/>
    </row>
    <row r="289">
      <c r="B289" s="59"/>
      <c r="I289" s="60"/>
      <c r="P289" s="58"/>
    </row>
    <row r="290">
      <c r="B290" s="59"/>
      <c r="I290" s="60"/>
      <c r="P290" s="58"/>
    </row>
    <row r="291">
      <c r="B291" s="59"/>
      <c r="I291" s="60"/>
      <c r="P291" s="58"/>
    </row>
    <row r="292">
      <c r="B292" s="59"/>
      <c r="I292" s="60"/>
      <c r="P292" s="58"/>
    </row>
    <row r="293">
      <c r="B293" s="59"/>
      <c r="I293" s="60"/>
      <c r="P293" s="58"/>
    </row>
    <row r="294">
      <c r="B294" s="59"/>
      <c r="I294" s="60"/>
      <c r="P294" s="58"/>
    </row>
    <row r="295">
      <c r="B295" s="59"/>
      <c r="I295" s="60"/>
      <c r="P295" s="58"/>
    </row>
    <row r="296">
      <c r="B296" s="59"/>
      <c r="I296" s="60"/>
      <c r="P296" s="58"/>
    </row>
    <row r="297">
      <c r="B297" s="59"/>
      <c r="I297" s="60"/>
      <c r="P297" s="58"/>
    </row>
    <row r="298">
      <c r="B298" s="59"/>
      <c r="I298" s="60"/>
      <c r="P298" s="58"/>
    </row>
    <row r="299">
      <c r="B299" s="59"/>
      <c r="I299" s="60"/>
      <c r="P299" s="58"/>
    </row>
    <row r="300">
      <c r="B300" s="59"/>
      <c r="I300" s="60"/>
      <c r="P300" s="58"/>
    </row>
    <row r="301">
      <c r="B301" s="59"/>
      <c r="I301" s="60"/>
      <c r="P301" s="58"/>
    </row>
    <row r="302">
      <c r="B302" s="59"/>
      <c r="I302" s="60"/>
      <c r="P302" s="58"/>
    </row>
    <row r="303">
      <c r="B303" s="59"/>
      <c r="I303" s="60"/>
      <c r="P303" s="58"/>
    </row>
    <row r="304">
      <c r="B304" s="59"/>
      <c r="I304" s="60"/>
      <c r="P304" s="58"/>
    </row>
    <row r="305">
      <c r="B305" s="59"/>
      <c r="I305" s="60"/>
      <c r="P305" s="58"/>
    </row>
    <row r="306">
      <c r="B306" s="59"/>
      <c r="I306" s="60"/>
      <c r="P306" s="58"/>
    </row>
    <row r="307">
      <c r="B307" s="59"/>
      <c r="I307" s="60"/>
      <c r="P307" s="58"/>
    </row>
    <row r="308">
      <c r="B308" s="59"/>
      <c r="I308" s="60"/>
      <c r="P308" s="58"/>
    </row>
    <row r="309">
      <c r="B309" s="59"/>
      <c r="I309" s="60"/>
      <c r="P309" s="58"/>
    </row>
    <row r="310">
      <c r="B310" s="59"/>
      <c r="I310" s="60"/>
      <c r="P310" s="58"/>
    </row>
    <row r="311">
      <c r="B311" s="59"/>
      <c r="I311" s="60"/>
      <c r="P311" s="58"/>
    </row>
    <row r="312">
      <c r="B312" s="59"/>
      <c r="I312" s="60"/>
      <c r="P312" s="58"/>
    </row>
    <row r="313">
      <c r="B313" s="59"/>
      <c r="I313" s="60"/>
      <c r="P313" s="58"/>
    </row>
    <row r="314">
      <c r="B314" s="59"/>
      <c r="I314" s="60"/>
      <c r="P314" s="58"/>
    </row>
    <row r="315">
      <c r="B315" s="59"/>
      <c r="I315" s="60"/>
      <c r="P315" s="58"/>
    </row>
    <row r="316">
      <c r="B316" s="59"/>
      <c r="I316" s="60"/>
      <c r="P316" s="58"/>
    </row>
    <row r="317">
      <c r="B317" s="59"/>
      <c r="I317" s="60"/>
      <c r="P317" s="58"/>
    </row>
    <row r="318">
      <c r="B318" s="59"/>
      <c r="I318" s="60"/>
      <c r="P318" s="58"/>
    </row>
    <row r="319">
      <c r="B319" s="59"/>
      <c r="I319" s="60"/>
      <c r="P319" s="58"/>
    </row>
    <row r="320">
      <c r="B320" s="59"/>
      <c r="I320" s="60"/>
      <c r="P320" s="58"/>
    </row>
    <row r="321">
      <c r="B321" s="59"/>
      <c r="I321" s="60"/>
      <c r="P321" s="58"/>
    </row>
    <row r="322">
      <c r="B322" s="59"/>
      <c r="I322" s="60"/>
      <c r="P322" s="58"/>
    </row>
    <row r="323">
      <c r="B323" s="59"/>
      <c r="I323" s="60"/>
      <c r="P323" s="58"/>
    </row>
    <row r="324">
      <c r="B324" s="59"/>
      <c r="I324" s="60"/>
      <c r="P324" s="58"/>
    </row>
    <row r="325">
      <c r="B325" s="59"/>
      <c r="I325" s="60"/>
      <c r="P325" s="58"/>
    </row>
    <row r="326">
      <c r="B326" s="59"/>
      <c r="I326" s="60"/>
      <c r="P326" s="58"/>
    </row>
    <row r="327">
      <c r="B327" s="59"/>
      <c r="I327" s="60"/>
      <c r="P327" s="58"/>
    </row>
    <row r="328">
      <c r="B328" s="59"/>
      <c r="I328" s="60"/>
      <c r="P328" s="58"/>
    </row>
    <row r="329">
      <c r="B329" s="59"/>
      <c r="I329" s="60"/>
      <c r="P329" s="58"/>
    </row>
    <row r="330">
      <c r="B330" s="59"/>
      <c r="I330" s="60"/>
      <c r="P330" s="58"/>
    </row>
    <row r="331">
      <c r="B331" s="59"/>
      <c r="I331" s="60"/>
      <c r="P331" s="58"/>
    </row>
    <row r="332">
      <c r="B332" s="59"/>
      <c r="I332" s="60"/>
      <c r="P332" s="58"/>
    </row>
    <row r="333">
      <c r="B333" s="59"/>
      <c r="I333" s="60"/>
      <c r="P333" s="58"/>
    </row>
    <row r="334">
      <c r="B334" s="59"/>
      <c r="I334" s="60"/>
      <c r="P334" s="58"/>
    </row>
    <row r="335">
      <c r="B335" s="59"/>
      <c r="I335" s="60"/>
      <c r="P335" s="58"/>
    </row>
    <row r="336">
      <c r="B336" s="59"/>
      <c r="I336" s="60"/>
      <c r="P336" s="58"/>
    </row>
    <row r="337">
      <c r="B337" s="59"/>
      <c r="I337" s="60"/>
      <c r="P337" s="58"/>
    </row>
    <row r="338">
      <c r="B338" s="59"/>
      <c r="I338" s="60"/>
      <c r="P338" s="58"/>
    </row>
    <row r="339">
      <c r="B339" s="59"/>
      <c r="I339" s="60"/>
      <c r="P339" s="58"/>
    </row>
    <row r="340">
      <c r="B340" s="59"/>
      <c r="I340" s="60"/>
      <c r="P340" s="58"/>
    </row>
    <row r="341">
      <c r="B341" s="59"/>
      <c r="I341" s="60"/>
      <c r="P341" s="58"/>
    </row>
    <row r="342">
      <c r="B342" s="59"/>
      <c r="I342" s="60"/>
      <c r="P342" s="58"/>
    </row>
    <row r="343">
      <c r="B343" s="59"/>
      <c r="I343" s="60"/>
      <c r="P343" s="58"/>
    </row>
    <row r="344">
      <c r="B344" s="59"/>
      <c r="I344" s="60"/>
      <c r="P344" s="58"/>
    </row>
    <row r="345">
      <c r="B345" s="59"/>
      <c r="I345" s="60"/>
      <c r="P345" s="58"/>
    </row>
    <row r="346">
      <c r="B346" s="59"/>
      <c r="I346" s="60"/>
      <c r="P346" s="58"/>
    </row>
    <row r="347">
      <c r="B347" s="59"/>
      <c r="I347" s="60"/>
      <c r="P347" s="58"/>
    </row>
    <row r="348">
      <c r="B348" s="59"/>
      <c r="I348" s="60"/>
      <c r="P348" s="58"/>
    </row>
    <row r="349">
      <c r="B349" s="59"/>
      <c r="I349" s="60"/>
      <c r="P349" s="58"/>
    </row>
    <row r="350">
      <c r="B350" s="59"/>
      <c r="I350" s="60"/>
      <c r="P350" s="58"/>
    </row>
    <row r="351">
      <c r="B351" s="59"/>
      <c r="I351" s="60"/>
      <c r="P351" s="58"/>
    </row>
    <row r="352">
      <c r="B352" s="59"/>
      <c r="I352" s="60"/>
      <c r="P352" s="58"/>
    </row>
    <row r="353">
      <c r="B353" s="59"/>
      <c r="I353" s="60"/>
      <c r="P353" s="58"/>
    </row>
    <row r="354">
      <c r="B354" s="59"/>
      <c r="I354" s="60"/>
      <c r="P354" s="58"/>
    </row>
    <row r="355">
      <c r="B355" s="59"/>
      <c r="I355" s="60"/>
      <c r="P355" s="58"/>
    </row>
    <row r="356">
      <c r="B356" s="59"/>
      <c r="I356" s="60"/>
      <c r="P356" s="58"/>
    </row>
    <row r="357">
      <c r="B357" s="59"/>
      <c r="I357" s="60"/>
      <c r="P357" s="58"/>
    </row>
    <row r="358">
      <c r="B358" s="59"/>
      <c r="I358" s="60"/>
      <c r="P358" s="58"/>
    </row>
    <row r="359">
      <c r="B359" s="59"/>
      <c r="I359" s="60"/>
      <c r="P359" s="58"/>
    </row>
    <row r="360">
      <c r="B360" s="59"/>
      <c r="I360" s="60"/>
      <c r="P360" s="58"/>
    </row>
    <row r="361">
      <c r="B361" s="59"/>
      <c r="I361" s="60"/>
      <c r="P361" s="58"/>
    </row>
    <row r="362">
      <c r="B362" s="59"/>
      <c r="I362" s="60"/>
      <c r="P362" s="58"/>
    </row>
    <row r="363">
      <c r="B363" s="59"/>
      <c r="I363" s="60"/>
      <c r="P363" s="58"/>
    </row>
    <row r="364">
      <c r="B364" s="59"/>
      <c r="I364" s="60"/>
      <c r="P364" s="58"/>
    </row>
    <row r="365">
      <c r="B365" s="59"/>
      <c r="I365" s="60"/>
      <c r="P365" s="58"/>
    </row>
    <row r="366">
      <c r="B366" s="59"/>
      <c r="I366" s="60"/>
      <c r="P366" s="58"/>
    </row>
    <row r="367">
      <c r="B367" s="59"/>
      <c r="I367" s="60"/>
      <c r="P367" s="58"/>
    </row>
    <row r="368">
      <c r="B368" s="59"/>
      <c r="I368" s="60"/>
      <c r="P368" s="58"/>
    </row>
    <row r="369">
      <c r="B369" s="59"/>
      <c r="I369" s="60"/>
      <c r="P369" s="58"/>
    </row>
    <row r="370">
      <c r="B370" s="59"/>
      <c r="I370" s="60"/>
      <c r="P370" s="58"/>
    </row>
    <row r="371">
      <c r="B371" s="59"/>
      <c r="I371" s="60"/>
      <c r="P371" s="58"/>
    </row>
    <row r="372">
      <c r="B372" s="59"/>
      <c r="I372" s="60"/>
      <c r="P372" s="58"/>
    </row>
    <row r="373">
      <c r="B373" s="59"/>
      <c r="I373" s="60"/>
      <c r="P373" s="58"/>
    </row>
    <row r="374">
      <c r="B374" s="59"/>
      <c r="I374" s="60"/>
      <c r="P374" s="58"/>
    </row>
    <row r="375">
      <c r="B375" s="59"/>
      <c r="I375" s="60"/>
      <c r="P375" s="58"/>
    </row>
    <row r="376">
      <c r="B376" s="59"/>
      <c r="I376" s="60"/>
      <c r="P376" s="58"/>
    </row>
    <row r="377">
      <c r="B377" s="59"/>
      <c r="I377" s="60"/>
      <c r="P377" s="58"/>
    </row>
    <row r="378">
      <c r="B378" s="59"/>
      <c r="I378" s="60"/>
      <c r="P378" s="58"/>
    </row>
    <row r="379">
      <c r="B379" s="59"/>
      <c r="I379" s="60"/>
      <c r="P379" s="58"/>
    </row>
    <row r="380">
      <c r="B380" s="59"/>
      <c r="I380" s="60"/>
      <c r="P380" s="58"/>
    </row>
    <row r="381">
      <c r="B381" s="59"/>
      <c r="I381" s="60"/>
      <c r="P381" s="58"/>
    </row>
    <row r="382">
      <c r="B382" s="59"/>
      <c r="I382" s="60"/>
      <c r="P382" s="58"/>
    </row>
    <row r="383">
      <c r="B383" s="59"/>
      <c r="I383" s="60"/>
      <c r="P383" s="58"/>
    </row>
    <row r="384">
      <c r="B384" s="59"/>
      <c r="I384" s="60"/>
      <c r="P384" s="58"/>
    </row>
    <row r="385">
      <c r="B385" s="59"/>
      <c r="I385" s="60"/>
      <c r="P385" s="58"/>
    </row>
    <row r="386">
      <c r="B386" s="59"/>
      <c r="I386" s="60"/>
      <c r="P386" s="58"/>
    </row>
    <row r="387">
      <c r="B387" s="59"/>
      <c r="I387" s="60"/>
      <c r="P387" s="58"/>
    </row>
    <row r="388">
      <c r="B388" s="59"/>
      <c r="I388" s="60"/>
      <c r="P388" s="58"/>
    </row>
    <row r="389">
      <c r="B389" s="59"/>
      <c r="I389" s="60"/>
      <c r="P389" s="58"/>
    </row>
    <row r="390">
      <c r="B390" s="59"/>
      <c r="I390" s="60"/>
      <c r="P390" s="58"/>
    </row>
    <row r="391">
      <c r="B391" s="59"/>
      <c r="I391" s="60"/>
      <c r="P391" s="58"/>
    </row>
    <row r="392">
      <c r="B392" s="59"/>
      <c r="I392" s="60"/>
      <c r="P392" s="58"/>
    </row>
    <row r="393">
      <c r="B393" s="59"/>
      <c r="I393" s="60"/>
      <c r="P393" s="58"/>
    </row>
    <row r="394">
      <c r="B394" s="59"/>
      <c r="I394" s="60"/>
      <c r="P394" s="58"/>
    </row>
    <row r="395">
      <c r="B395" s="59"/>
      <c r="I395" s="60"/>
      <c r="P395" s="58"/>
    </row>
    <row r="396">
      <c r="B396" s="59"/>
      <c r="I396" s="60"/>
      <c r="P396" s="58"/>
    </row>
    <row r="397">
      <c r="B397" s="59"/>
      <c r="I397" s="60"/>
      <c r="P397" s="58"/>
    </row>
    <row r="398">
      <c r="B398" s="59"/>
      <c r="I398" s="60"/>
      <c r="P398" s="58"/>
    </row>
    <row r="399">
      <c r="B399" s="59"/>
      <c r="I399" s="60"/>
      <c r="P399" s="58"/>
    </row>
    <row r="400">
      <c r="B400" s="59"/>
      <c r="I400" s="60"/>
      <c r="P400" s="58"/>
    </row>
    <row r="401">
      <c r="B401" s="59"/>
      <c r="I401" s="60"/>
      <c r="P401" s="58"/>
    </row>
    <row r="402">
      <c r="B402" s="59"/>
      <c r="I402" s="60"/>
      <c r="P402" s="58"/>
    </row>
    <row r="403">
      <c r="B403" s="59"/>
      <c r="I403" s="60"/>
      <c r="P403" s="58"/>
    </row>
    <row r="404">
      <c r="B404" s="59"/>
      <c r="I404" s="60"/>
      <c r="P404" s="58"/>
    </row>
    <row r="405">
      <c r="B405" s="59"/>
      <c r="I405" s="60"/>
      <c r="P405" s="58"/>
    </row>
    <row r="406">
      <c r="B406" s="59"/>
      <c r="I406" s="60"/>
      <c r="P406" s="58"/>
    </row>
    <row r="407">
      <c r="B407" s="59"/>
      <c r="I407" s="60"/>
      <c r="P407" s="58"/>
    </row>
    <row r="408">
      <c r="B408" s="59"/>
      <c r="I408" s="60"/>
      <c r="P408" s="58"/>
    </row>
    <row r="409">
      <c r="B409" s="59"/>
      <c r="I409" s="60"/>
      <c r="P409" s="58"/>
    </row>
    <row r="410">
      <c r="B410" s="59"/>
      <c r="I410" s="60"/>
      <c r="P410" s="58"/>
    </row>
    <row r="411">
      <c r="B411" s="59"/>
      <c r="I411" s="60"/>
      <c r="P411" s="58"/>
    </row>
    <row r="412">
      <c r="B412" s="59"/>
      <c r="I412" s="60"/>
      <c r="P412" s="58"/>
    </row>
    <row r="413">
      <c r="B413" s="59"/>
      <c r="I413" s="60"/>
      <c r="P413" s="58"/>
    </row>
    <row r="414">
      <c r="B414" s="59"/>
      <c r="I414" s="60"/>
      <c r="P414" s="58"/>
    </row>
    <row r="415">
      <c r="B415" s="59"/>
      <c r="I415" s="60"/>
      <c r="P415" s="58"/>
    </row>
    <row r="416">
      <c r="B416" s="59"/>
      <c r="I416" s="60"/>
      <c r="P416" s="58"/>
    </row>
    <row r="417">
      <c r="B417" s="59"/>
      <c r="I417" s="60"/>
      <c r="P417" s="58"/>
    </row>
    <row r="418">
      <c r="B418" s="59"/>
      <c r="I418" s="60"/>
      <c r="P418" s="58"/>
    </row>
    <row r="419">
      <c r="B419" s="59"/>
      <c r="I419" s="60"/>
      <c r="P419" s="58"/>
    </row>
    <row r="420">
      <c r="B420" s="59"/>
      <c r="I420" s="60"/>
      <c r="P420" s="58"/>
    </row>
    <row r="421">
      <c r="B421" s="59"/>
      <c r="I421" s="60"/>
      <c r="P421" s="58"/>
    </row>
    <row r="422">
      <c r="B422" s="59"/>
      <c r="I422" s="60"/>
      <c r="P422" s="58"/>
    </row>
    <row r="423">
      <c r="B423" s="59"/>
      <c r="I423" s="60"/>
      <c r="P423" s="58"/>
    </row>
    <row r="424">
      <c r="B424" s="59"/>
      <c r="I424" s="60"/>
      <c r="P424" s="58"/>
    </row>
    <row r="425">
      <c r="B425" s="59"/>
      <c r="I425" s="60"/>
      <c r="P425" s="58"/>
    </row>
    <row r="426">
      <c r="B426" s="59"/>
      <c r="I426" s="60"/>
      <c r="P426" s="58"/>
    </row>
    <row r="427">
      <c r="B427" s="59"/>
      <c r="I427" s="60"/>
      <c r="P427" s="58"/>
    </row>
    <row r="428">
      <c r="B428" s="59"/>
      <c r="I428" s="60"/>
      <c r="P428" s="58"/>
    </row>
    <row r="429">
      <c r="B429" s="59"/>
      <c r="I429" s="60"/>
      <c r="P429" s="58"/>
    </row>
    <row r="430">
      <c r="B430" s="59"/>
      <c r="I430" s="60"/>
      <c r="P430" s="58"/>
    </row>
    <row r="431">
      <c r="B431" s="59"/>
      <c r="I431" s="60"/>
      <c r="P431" s="58"/>
    </row>
    <row r="432">
      <c r="B432" s="59"/>
      <c r="I432" s="60"/>
      <c r="P432" s="58"/>
    </row>
    <row r="433">
      <c r="B433" s="59"/>
      <c r="I433" s="60"/>
      <c r="P433" s="58"/>
    </row>
    <row r="434">
      <c r="B434" s="59"/>
      <c r="I434" s="60"/>
      <c r="P434" s="58"/>
    </row>
    <row r="435">
      <c r="B435" s="59"/>
      <c r="I435" s="60"/>
      <c r="P435" s="58"/>
    </row>
    <row r="436">
      <c r="B436" s="59"/>
      <c r="I436" s="60"/>
      <c r="P436" s="58"/>
    </row>
    <row r="437">
      <c r="B437" s="59"/>
      <c r="I437" s="60"/>
      <c r="P437" s="58"/>
    </row>
    <row r="438">
      <c r="B438" s="59"/>
      <c r="I438" s="60"/>
      <c r="P438" s="58"/>
    </row>
    <row r="439">
      <c r="B439" s="59"/>
      <c r="I439" s="60"/>
      <c r="P439" s="58"/>
    </row>
    <row r="440">
      <c r="B440" s="59"/>
      <c r="I440" s="60"/>
      <c r="P440" s="58"/>
    </row>
    <row r="441">
      <c r="B441" s="59"/>
      <c r="I441" s="60"/>
      <c r="P441" s="58"/>
    </row>
    <row r="442">
      <c r="B442" s="59"/>
      <c r="I442" s="60"/>
      <c r="P442" s="58"/>
    </row>
    <row r="443">
      <c r="B443" s="59"/>
      <c r="I443" s="60"/>
      <c r="P443" s="58"/>
    </row>
    <row r="444">
      <c r="B444" s="59"/>
      <c r="I444" s="60"/>
      <c r="P444" s="58"/>
    </row>
    <row r="445">
      <c r="B445" s="59"/>
      <c r="I445" s="60"/>
      <c r="P445" s="58"/>
    </row>
    <row r="446">
      <c r="B446" s="59"/>
      <c r="I446" s="60"/>
      <c r="P446" s="58"/>
    </row>
    <row r="447">
      <c r="B447" s="59"/>
      <c r="I447" s="60"/>
      <c r="P447" s="58"/>
    </row>
    <row r="448">
      <c r="B448" s="59"/>
      <c r="I448" s="60"/>
      <c r="P448" s="58"/>
    </row>
    <row r="449">
      <c r="B449" s="59"/>
      <c r="I449" s="60"/>
      <c r="P449" s="58"/>
    </row>
    <row r="450">
      <c r="B450" s="59"/>
      <c r="I450" s="60"/>
      <c r="P450" s="58"/>
    </row>
    <row r="451">
      <c r="B451" s="59"/>
      <c r="I451" s="60"/>
      <c r="P451" s="58"/>
    </row>
    <row r="452">
      <c r="B452" s="59"/>
      <c r="I452" s="60"/>
      <c r="P452" s="58"/>
    </row>
    <row r="453">
      <c r="B453" s="59"/>
      <c r="I453" s="60"/>
      <c r="P453" s="58"/>
    </row>
    <row r="454">
      <c r="B454" s="59"/>
      <c r="I454" s="60"/>
      <c r="P454" s="58"/>
    </row>
    <row r="455">
      <c r="B455" s="59"/>
      <c r="I455" s="60"/>
      <c r="P455" s="58"/>
    </row>
    <row r="456">
      <c r="B456" s="59"/>
      <c r="I456" s="60"/>
      <c r="P456" s="58"/>
    </row>
    <row r="457">
      <c r="B457" s="59"/>
      <c r="I457" s="60"/>
      <c r="P457" s="58"/>
    </row>
    <row r="458">
      <c r="B458" s="59"/>
      <c r="I458" s="60"/>
      <c r="P458" s="58"/>
    </row>
    <row r="459">
      <c r="B459" s="59"/>
      <c r="I459" s="60"/>
      <c r="P459" s="58"/>
    </row>
    <row r="460">
      <c r="B460" s="59"/>
      <c r="I460" s="60"/>
      <c r="P460" s="58"/>
    </row>
    <row r="461">
      <c r="B461" s="59"/>
      <c r="I461" s="60"/>
      <c r="P461" s="58"/>
    </row>
    <row r="462">
      <c r="B462" s="59"/>
      <c r="I462" s="60"/>
      <c r="P462" s="58"/>
    </row>
    <row r="463">
      <c r="B463" s="59"/>
      <c r="I463" s="60"/>
      <c r="P463" s="58"/>
    </row>
    <row r="464">
      <c r="B464" s="59"/>
      <c r="I464" s="60"/>
      <c r="P464" s="58"/>
    </row>
    <row r="465">
      <c r="B465" s="59"/>
      <c r="I465" s="60"/>
      <c r="P465" s="58"/>
    </row>
    <row r="466">
      <c r="B466" s="59"/>
      <c r="I466" s="60"/>
      <c r="P466" s="58"/>
    </row>
    <row r="467">
      <c r="B467" s="59"/>
      <c r="I467" s="60"/>
      <c r="P467" s="58"/>
    </row>
    <row r="468">
      <c r="B468" s="59"/>
      <c r="I468" s="60"/>
      <c r="P468" s="58"/>
    </row>
    <row r="469">
      <c r="B469" s="59"/>
      <c r="I469" s="60"/>
      <c r="P469" s="58"/>
    </row>
    <row r="470">
      <c r="B470" s="59"/>
      <c r="I470" s="60"/>
      <c r="P470" s="58"/>
    </row>
    <row r="471">
      <c r="B471" s="59"/>
      <c r="I471" s="60"/>
      <c r="P471" s="58"/>
    </row>
    <row r="472">
      <c r="B472" s="59"/>
      <c r="I472" s="60"/>
      <c r="P472" s="58"/>
    </row>
    <row r="473">
      <c r="B473" s="59"/>
      <c r="I473" s="60"/>
      <c r="P473" s="58"/>
    </row>
    <row r="474">
      <c r="B474" s="59"/>
      <c r="I474" s="60"/>
      <c r="P474" s="58"/>
    </row>
    <row r="475">
      <c r="B475" s="59"/>
      <c r="I475" s="60"/>
      <c r="P475" s="58"/>
    </row>
    <row r="476">
      <c r="B476" s="59"/>
      <c r="I476" s="60"/>
      <c r="P476" s="58"/>
    </row>
    <row r="477">
      <c r="B477" s="59"/>
      <c r="I477" s="60"/>
      <c r="P477" s="58"/>
    </row>
    <row r="478">
      <c r="B478" s="59"/>
      <c r="I478" s="60"/>
      <c r="P478" s="58"/>
    </row>
    <row r="479">
      <c r="B479" s="59"/>
      <c r="I479" s="60"/>
      <c r="P479" s="58"/>
    </row>
    <row r="480">
      <c r="B480" s="59"/>
      <c r="I480" s="60"/>
      <c r="P480" s="58"/>
    </row>
    <row r="481">
      <c r="B481" s="59"/>
      <c r="I481" s="60"/>
      <c r="P481" s="58"/>
    </row>
    <row r="482">
      <c r="B482" s="59"/>
      <c r="I482" s="60"/>
      <c r="P482" s="58"/>
    </row>
    <row r="483">
      <c r="B483" s="59"/>
      <c r="I483" s="60"/>
      <c r="P483" s="58"/>
    </row>
    <row r="484">
      <c r="B484" s="59"/>
      <c r="I484" s="60"/>
      <c r="P484" s="58"/>
    </row>
    <row r="485">
      <c r="B485" s="59"/>
      <c r="I485" s="60"/>
      <c r="P485" s="58"/>
    </row>
    <row r="486">
      <c r="B486" s="59"/>
      <c r="I486" s="60"/>
      <c r="P486" s="58"/>
    </row>
    <row r="487">
      <c r="B487" s="59"/>
      <c r="I487" s="60"/>
      <c r="P487" s="58"/>
    </row>
    <row r="488">
      <c r="B488" s="59"/>
      <c r="I488" s="60"/>
      <c r="P488" s="58"/>
    </row>
    <row r="489">
      <c r="B489" s="59"/>
      <c r="I489" s="60"/>
      <c r="P489" s="58"/>
    </row>
    <row r="490">
      <c r="B490" s="59"/>
      <c r="I490" s="60"/>
      <c r="P490" s="58"/>
    </row>
    <row r="491">
      <c r="B491" s="59"/>
      <c r="I491" s="60"/>
      <c r="P491" s="58"/>
    </row>
    <row r="492">
      <c r="B492" s="59"/>
      <c r="I492" s="60"/>
      <c r="P492" s="58"/>
    </row>
    <row r="493">
      <c r="B493" s="59"/>
      <c r="I493" s="60"/>
      <c r="P493" s="58"/>
    </row>
    <row r="494">
      <c r="B494" s="59"/>
      <c r="I494" s="60"/>
      <c r="P494" s="58"/>
    </row>
    <row r="495">
      <c r="B495" s="59"/>
      <c r="I495" s="60"/>
      <c r="P495" s="58"/>
    </row>
    <row r="496">
      <c r="B496" s="59"/>
      <c r="I496" s="60"/>
      <c r="P496" s="58"/>
    </row>
    <row r="497">
      <c r="B497" s="59"/>
      <c r="I497" s="60"/>
      <c r="P497" s="58"/>
    </row>
    <row r="498">
      <c r="B498" s="59"/>
      <c r="I498" s="60"/>
      <c r="P498" s="58"/>
    </row>
    <row r="499">
      <c r="B499" s="59"/>
      <c r="I499" s="60"/>
      <c r="P499" s="58"/>
    </row>
    <row r="500">
      <c r="B500" s="59"/>
      <c r="I500" s="60"/>
      <c r="P500" s="58"/>
    </row>
    <row r="501">
      <c r="B501" s="59"/>
      <c r="I501" s="60"/>
      <c r="P501" s="58"/>
    </row>
    <row r="502">
      <c r="B502" s="59"/>
      <c r="I502" s="60"/>
      <c r="P502" s="58"/>
    </row>
    <row r="503">
      <c r="B503" s="59"/>
      <c r="I503" s="60"/>
      <c r="P503" s="58"/>
    </row>
    <row r="504">
      <c r="B504" s="59"/>
      <c r="I504" s="60"/>
      <c r="P504" s="58"/>
    </row>
    <row r="505">
      <c r="B505" s="59"/>
      <c r="I505" s="60"/>
      <c r="P505" s="58"/>
    </row>
    <row r="506">
      <c r="B506" s="59"/>
      <c r="I506" s="60"/>
      <c r="P506" s="58"/>
    </row>
    <row r="507">
      <c r="B507" s="59"/>
      <c r="I507" s="60"/>
      <c r="P507" s="58"/>
    </row>
    <row r="508">
      <c r="B508" s="59"/>
      <c r="I508" s="60"/>
      <c r="P508" s="58"/>
    </row>
    <row r="509">
      <c r="B509" s="59"/>
      <c r="I509" s="60"/>
      <c r="P509" s="58"/>
    </row>
    <row r="510">
      <c r="B510" s="59"/>
      <c r="I510" s="60"/>
      <c r="P510" s="58"/>
    </row>
    <row r="511">
      <c r="B511" s="59"/>
      <c r="I511" s="60"/>
      <c r="P511" s="58"/>
    </row>
    <row r="512">
      <c r="B512" s="59"/>
      <c r="I512" s="60"/>
      <c r="P512" s="58"/>
    </row>
    <row r="513">
      <c r="B513" s="59"/>
      <c r="I513" s="60"/>
      <c r="P513" s="58"/>
    </row>
    <row r="514">
      <c r="B514" s="59"/>
      <c r="I514" s="60"/>
      <c r="P514" s="58"/>
    </row>
    <row r="515">
      <c r="B515" s="59"/>
      <c r="I515" s="60"/>
      <c r="P515" s="58"/>
    </row>
    <row r="516">
      <c r="B516" s="59"/>
      <c r="I516" s="60"/>
      <c r="P516" s="58"/>
    </row>
    <row r="517">
      <c r="B517" s="59"/>
      <c r="I517" s="60"/>
      <c r="P517" s="58"/>
    </row>
    <row r="518">
      <c r="B518" s="59"/>
      <c r="I518" s="60"/>
      <c r="P518" s="58"/>
    </row>
    <row r="519">
      <c r="B519" s="59"/>
      <c r="I519" s="60"/>
      <c r="P519" s="58"/>
    </row>
    <row r="520">
      <c r="B520" s="59"/>
      <c r="I520" s="60"/>
      <c r="P520" s="58"/>
    </row>
    <row r="521">
      <c r="B521" s="59"/>
      <c r="I521" s="60"/>
      <c r="P521" s="58"/>
    </row>
    <row r="522">
      <c r="B522" s="59"/>
      <c r="I522" s="60"/>
      <c r="P522" s="58"/>
    </row>
    <row r="523">
      <c r="B523" s="59"/>
      <c r="I523" s="60"/>
      <c r="P523" s="58"/>
    </row>
    <row r="524">
      <c r="B524" s="59"/>
      <c r="I524" s="60"/>
      <c r="P524" s="58"/>
    </row>
    <row r="525">
      <c r="B525" s="59"/>
      <c r="I525" s="60"/>
      <c r="P525" s="58"/>
    </row>
    <row r="526">
      <c r="B526" s="59"/>
      <c r="I526" s="60"/>
      <c r="P526" s="58"/>
    </row>
    <row r="527">
      <c r="B527" s="59"/>
      <c r="I527" s="60"/>
      <c r="P527" s="58"/>
    </row>
    <row r="528">
      <c r="B528" s="59"/>
      <c r="I528" s="60"/>
      <c r="P528" s="58"/>
    </row>
    <row r="529">
      <c r="B529" s="59"/>
      <c r="I529" s="60"/>
      <c r="P529" s="58"/>
    </row>
    <row r="530">
      <c r="B530" s="59"/>
      <c r="I530" s="60"/>
      <c r="P530" s="58"/>
    </row>
    <row r="531">
      <c r="B531" s="59"/>
      <c r="I531" s="60"/>
      <c r="P531" s="58"/>
    </row>
    <row r="532">
      <c r="B532" s="59"/>
      <c r="I532" s="60"/>
      <c r="P532" s="58"/>
    </row>
    <row r="533">
      <c r="B533" s="59"/>
      <c r="I533" s="60"/>
      <c r="P533" s="58"/>
    </row>
    <row r="534">
      <c r="B534" s="59"/>
      <c r="I534" s="60"/>
      <c r="P534" s="58"/>
    </row>
    <row r="535">
      <c r="B535" s="59"/>
      <c r="I535" s="60"/>
      <c r="P535" s="58"/>
    </row>
    <row r="536">
      <c r="B536" s="59"/>
      <c r="I536" s="60"/>
      <c r="P536" s="58"/>
    </row>
    <row r="537">
      <c r="B537" s="59"/>
      <c r="I537" s="60"/>
      <c r="P537" s="58"/>
    </row>
    <row r="538">
      <c r="B538" s="59"/>
      <c r="I538" s="60"/>
      <c r="P538" s="58"/>
    </row>
    <row r="539">
      <c r="B539" s="59"/>
      <c r="I539" s="60"/>
      <c r="P539" s="58"/>
    </row>
    <row r="540">
      <c r="B540" s="59"/>
      <c r="I540" s="60"/>
      <c r="P540" s="58"/>
    </row>
    <row r="541">
      <c r="B541" s="59"/>
      <c r="I541" s="60"/>
      <c r="P541" s="58"/>
    </row>
    <row r="542">
      <c r="B542" s="59"/>
      <c r="I542" s="60"/>
      <c r="P542" s="58"/>
    </row>
    <row r="543">
      <c r="B543" s="59"/>
      <c r="I543" s="60"/>
      <c r="P543" s="58"/>
    </row>
    <row r="544">
      <c r="B544" s="59"/>
      <c r="I544" s="60"/>
      <c r="P544" s="58"/>
    </row>
    <row r="545">
      <c r="B545" s="59"/>
      <c r="I545" s="60"/>
      <c r="P545" s="58"/>
    </row>
    <row r="546">
      <c r="B546" s="59"/>
      <c r="I546" s="60"/>
      <c r="P546" s="58"/>
    </row>
    <row r="547">
      <c r="B547" s="59"/>
      <c r="I547" s="60"/>
      <c r="P547" s="58"/>
    </row>
    <row r="548">
      <c r="B548" s="59"/>
      <c r="I548" s="60"/>
      <c r="P548" s="58"/>
    </row>
    <row r="549">
      <c r="B549" s="59"/>
      <c r="I549" s="60"/>
      <c r="P549" s="58"/>
    </row>
    <row r="550">
      <c r="B550" s="59"/>
      <c r="I550" s="60"/>
      <c r="P550" s="58"/>
    </row>
    <row r="551">
      <c r="B551" s="59"/>
      <c r="I551" s="60"/>
      <c r="P551" s="58"/>
    </row>
    <row r="552">
      <c r="B552" s="59"/>
      <c r="I552" s="60"/>
      <c r="P552" s="58"/>
    </row>
    <row r="553">
      <c r="B553" s="59"/>
      <c r="I553" s="60"/>
      <c r="P553" s="58"/>
    </row>
    <row r="554">
      <c r="B554" s="59"/>
      <c r="I554" s="60"/>
      <c r="P554" s="58"/>
    </row>
    <row r="555">
      <c r="B555" s="59"/>
      <c r="I555" s="60"/>
      <c r="P555" s="58"/>
    </row>
    <row r="556">
      <c r="B556" s="59"/>
      <c r="I556" s="60"/>
      <c r="P556" s="58"/>
    </row>
    <row r="557">
      <c r="B557" s="59"/>
      <c r="I557" s="60"/>
      <c r="P557" s="58"/>
    </row>
    <row r="558">
      <c r="B558" s="59"/>
      <c r="I558" s="60"/>
      <c r="P558" s="58"/>
    </row>
    <row r="559">
      <c r="B559" s="59"/>
      <c r="I559" s="60"/>
      <c r="P559" s="58"/>
    </row>
    <row r="560">
      <c r="B560" s="59"/>
      <c r="I560" s="60"/>
      <c r="P560" s="58"/>
    </row>
    <row r="561">
      <c r="B561" s="59"/>
      <c r="I561" s="60"/>
      <c r="P561" s="58"/>
    </row>
    <row r="562">
      <c r="B562" s="59"/>
      <c r="I562" s="60"/>
      <c r="P562" s="58"/>
    </row>
    <row r="563">
      <c r="B563" s="59"/>
      <c r="I563" s="60"/>
      <c r="P563" s="58"/>
    </row>
    <row r="564">
      <c r="B564" s="59"/>
      <c r="I564" s="60"/>
      <c r="P564" s="58"/>
    </row>
    <row r="565">
      <c r="B565" s="59"/>
      <c r="I565" s="60"/>
      <c r="P565" s="58"/>
    </row>
    <row r="566">
      <c r="B566" s="59"/>
      <c r="I566" s="60"/>
      <c r="P566" s="58"/>
    </row>
    <row r="567">
      <c r="B567" s="59"/>
      <c r="I567" s="60"/>
      <c r="P567" s="58"/>
    </row>
    <row r="568">
      <c r="B568" s="59"/>
      <c r="I568" s="60"/>
      <c r="P568" s="58"/>
    </row>
    <row r="569">
      <c r="B569" s="59"/>
      <c r="I569" s="60"/>
      <c r="P569" s="58"/>
    </row>
    <row r="570">
      <c r="B570" s="59"/>
      <c r="I570" s="60"/>
      <c r="P570" s="58"/>
    </row>
    <row r="571">
      <c r="B571" s="59"/>
      <c r="I571" s="60"/>
      <c r="P571" s="58"/>
    </row>
    <row r="572">
      <c r="B572" s="59"/>
      <c r="I572" s="60"/>
      <c r="P572" s="58"/>
    </row>
    <row r="573">
      <c r="B573" s="59"/>
      <c r="I573" s="60"/>
      <c r="P573" s="58"/>
    </row>
    <row r="574">
      <c r="B574" s="59"/>
      <c r="I574" s="60"/>
      <c r="P574" s="58"/>
    </row>
    <row r="575">
      <c r="B575" s="59"/>
      <c r="I575" s="60"/>
      <c r="P575" s="58"/>
    </row>
    <row r="576">
      <c r="B576" s="59"/>
      <c r="I576" s="60"/>
      <c r="P576" s="58"/>
    </row>
    <row r="577">
      <c r="B577" s="59"/>
      <c r="I577" s="60"/>
      <c r="P577" s="58"/>
    </row>
    <row r="578">
      <c r="B578" s="59"/>
      <c r="I578" s="60"/>
      <c r="P578" s="58"/>
    </row>
    <row r="579">
      <c r="B579" s="59"/>
      <c r="I579" s="60"/>
      <c r="P579" s="58"/>
    </row>
    <row r="580">
      <c r="B580" s="59"/>
      <c r="I580" s="60"/>
      <c r="P580" s="58"/>
    </row>
    <row r="581">
      <c r="B581" s="59"/>
      <c r="I581" s="60"/>
      <c r="P581" s="58"/>
    </row>
    <row r="582">
      <c r="B582" s="59"/>
      <c r="I582" s="60"/>
      <c r="P582" s="58"/>
    </row>
    <row r="583">
      <c r="B583" s="59"/>
      <c r="I583" s="60"/>
      <c r="P583" s="58"/>
    </row>
    <row r="584">
      <c r="B584" s="59"/>
      <c r="I584" s="60"/>
      <c r="P584" s="58"/>
    </row>
    <row r="585">
      <c r="B585" s="59"/>
      <c r="I585" s="60"/>
      <c r="P585" s="58"/>
    </row>
    <row r="586">
      <c r="B586" s="59"/>
      <c r="I586" s="60"/>
      <c r="P586" s="58"/>
    </row>
    <row r="587">
      <c r="B587" s="59"/>
      <c r="I587" s="60"/>
      <c r="P587" s="58"/>
    </row>
    <row r="588">
      <c r="B588" s="59"/>
      <c r="I588" s="60"/>
      <c r="P588" s="58"/>
    </row>
    <row r="589">
      <c r="B589" s="59"/>
      <c r="I589" s="60"/>
      <c r="P589" s="58"/>
    </row>
    <row r="590">
      <c r="B590" s="59"/>
      <c r="I590" s="60"/>
      <c r="P590" s="58"/>
    </row>
    <row r="591">
      <c r="B591" s="59"/>
      <c r="I591" s="60"/>
      <c r="P591" s="58"/>
    </row>
    <row r="592">
      <c r="B592" s="59"/>
      <c r="I592" s="60"/>
      <c r="P592" s="58"/>
    </row>
    <row r="593">
      <c r="B593" s="59"/>
      <c r="I593" s="60"/>
      <c r="P593" s="58"/>
    </row>
    <row r="594">
      <c r="B594" s="59"/>
      <c r="I594" s="60"/>
      <c r="P594" s="58"/>
    </row>
    <row r="595">
      <c r="B595" s="59"/>
      <c r="I595" s="60"/>
      <c r="P595" s="58"/>
    </row>
    <row r="596">
      <c r="B596" s="59"/>
      <c r="I596" s="60"/>
      <c r="P596" s="58"/>
    </row>
    <row r="597">
      <c r="B597" s="59"/>
      <c r="I597" s="60"/>
      <c r="P597" s="58"/>
    </row>
    <row r="598">
      <c r="B598" s="59"/>
      <c r="I598" s="60"/>
      <c r="P598" s="58"/>
    </row>
    <row r="599">
      <c r="B599" s="59"/>
      <c r="I599" s="60"/>
      <c r="P599" s="58"/>
    </row>
    <row r="600">
      <c r="B600" s="59"/>
      <c r="I600" s="60"/>
      <c r="P600" s="58"/>
    </row>
    <row r="601">
      <c r="B601" s="59"/>
      <c r="I601" s="60"/>
      <c r="P601" s="58"/>
    </row>
    <row r="602">
      <c r="B602" s="59"/>
      <c r="I602" s="60"/>
      <c r="P602" s="58"/>
    </row>
    <row r="603">
      <c r="B603" s="59"/>
      <c r="I603" s="60"/>
      <c r="P603" s="58"/>
    </row>
    <row r="604">
      <c r="B604" s="59"/>
      <c r="I604" s="60"/>
      <c r="P604" s="58"/>
    </row>
    <row r="605">
      <c r="B605" s="59"/>
      <c r="I605" s="60"/>
      <c r="P605" s="58"/>
    </row>
    <row r="606">
      <c r="B606" s="59"/>
      <c r="I606" s="60"/>
      <c r="P606" s="58"/>
    </row>
    <row r="607">
      <c r="B607" s="59"/>
      <c r="I607" s="60"/>
      <c r="P607" s="58"/>
    </row>
    <row r="608">
      <c r="B608" s="59"/>
      <c r="I608" s="60"/>
      <c r="P608" s="58"/>
    </row>
    <row r="609">
      <c r="B609" s="59"/>
      <c r="I609" s="60"/>
      <c r="P609" s="58"/>
    </row>
    <row r="610">
      <c r="B610" s="59"/>
      <c r="I610" s="60"/>
      <c r="P610" s="58"/>
    </row>
    <row r="611">
      <c r="B611" s="59"/>
      <c r="I611" s="60"/>
      <c r="P611" s="58"/>
    </row>
    <row r="612">
      <c r="B612" s="59"/>
      <c r="I612" s="60"/>
      <c r="P612" s="58"/>
    </row>
    <row r="613">
      <c r="B613" s="59"/>
      <c r="I613" s="60"/>
      <c r="P613" s="58"/>
    </row>
    <row r="614">
      <c r="B614" s="59"/>
      <c r="I614" s="60"/>
      <c r="P614" s="58"/>
    </row>
    <row r="615">
      <c r="B615" s="59"/>
      <c r="I615" s="60"/>
      <c r="P615" s="58"/>
    </row>
    <row r="616">
      <c r="B616" s="59"/>
      <c r="I616" s="60"/>
      <c r="P616" s="58"/>
    </row>
    <row r="617">
      <c r="B617" s="59"/>
      <c r="I617" s="60"/>
      <c r="P617" s="58"/>
    </row>
    <row r="618">
      <c r="B618" s="59"/>
      <c r="I618" s="60"/>
      <c r="P618" s="58"/>
    </row>
    <row r="619">
      <c r="B619" s="59"/>
      <c r="I619" s="60"/>
      <c r="P619" s="58"/>
    </row>
    <row r="620">
      <c r="B620" s="59"/>
      <c r="I620" s="60"/>
      <c r="P620" s="58"/>
    </row>
    <row r="621">
      <c r="B621" s="59"/>
      <c r="I621" s="60"/>
      <c r="P621" s="58"/>
    </row>
    <row r="622">
      <c r="B622" s="59"/>
      <c r="I622" s="60"/>
      <c r="P622" s="58"/>
    </row>
    <row r="623">
      <c r="B623" s="59"/>
      <c r="I623" s="60"/>
      <c r="P623" s="58"/>
    </row>
    <row r="624">
      <c r="B624" s="59"/>
      <c r="I624" s="60"/>
      <c r="P624" s="58"/>
    </row>
    <row r="625">
      <c r="B625" s="59"/>
      <c r="I625" s="60"/>
      <c r="P625" s="58"/>
    </row>
    <row r="626">
      <c r="B626" s="59"/>
      <c r="I626" s="60"/>
      <c r="P626" s="58"/>
    </row>
    <row r="627">
      <c r="B627" s="59"/>
      <c r="I627" s="60"/>
      <c r="P627" s="58"/>
    </row>
    <row r="628">
      <c r="B628" s="59"/>
      <c r="I628" s="60"/>
      <c r="P628" s="58"/>
    </row>
    <row r="629">
      <c r="B629" s="59"/>
      <c r="I629" s="60"/>
      <c r="P629" s="58"/>
    </row>
    <row r="630">
      <c r="B630" s="59"/>
      <c r="I630" s="60"/>
      <c r="P630" s="58"/>
    </row>
    <row r="631">
      <c r="B631" s="59"/>
      <c r="I631" s="60"/>
      <c r="P631" s="58"/>
    </row>
    <row r="632">
      <c r="B632" s="59"/>
      <c r="I632" s="60"/>
      <c r="P632" s="58"/>
    </row>
    <row r="633">
      <c r="B633" s="59"/>
      <c r="I633" s="60"/>
      <c r="P633" s="58"/>
    </row>
    <row r="634">
      <c r="B634" s="59"/>
      <c r="I634" s="60"/>
      <c r="P634" s="58"/>
    </row>
    <row r="635">
      <c r="B635" s="59"/>
      <c r="I635" s="60"/>
      <c r="P635" s="58"/>
    </row>
    <row r="636">
      <c r="B636" s="59"/>
      <c r="I636" s="60"/>
      <c r="P636" s="58"/>
    </row>
    <row r="637">
      <c r="B637" s="59"/>
      <c r="I637" s="60"/>
      <c r="P637" s="58"/>
    </row>
    <row r="638">
      <c r="B638" s="59"/>
      <c r="I638" s="60"/>
      <c r="P638" s="58"/>
    </row>
    <row r="639">
      <c r="B639" s="59"/>
      <c r="I639" s="60"/>
      <c r="P639" s="58"/>
    </row>
    <row r="640">
      <c r="B640" s="59"/>
      <c r="I640" s="60"/>
      <c r="P640" s="58"/>
    </row>
    <row r="641">
      <c r="B641" s="59"/>
      <c r="I641" s="60"/>
      <c r="P641" s="58"/>
    </row>
    <row r="642">
      <c r="B642" s="59"/>
      <c r="I642" s="60"/>
      <c r="P642" s="58"/>
    </row>
    <row r="643">
      <c r="B643" s="59"/>
      <c r="I643" s="60"/>
      <c r="P643" s="58"/>
    </row>
    <row r="644">
      <c r="B644" s="59"/>
      <c r="I644" s="60"/>
      <c r="P644" s="58"/>
    </row>
    <row r="645">
      <c r="B645" s="59"/>
      <c r="I645" s="60"/>
      <c r="P645" s="58"/>
    </row>
    <row r="646">
      <c r="B646" s="59"/>
      <c r="I646" s="60"/>
      <c r="P646" s="58"/>
    </row>
    <row r="647">
      <c r="B647" s="59"/>
      <c r="I647" s="60"/>
      <c r="P647" s="58"/>
    </row>
    <row r="648">
      <c r="B648" s="59"/>
      <c r="I648" s="60"/>
      <c r="P648" s="58"/>
    </row>
    <row r="649">
      <c r="B649" s="59"/>
      <c r="I649" s="60"/>
      <c r="P649" s="58"/>
    </row>
    <row r="650">
      <c r="B650" s="59"/>
      <c r="I650" s="60"/>
      <c r="P650" s="58"/>
    </row>
    <row r="651">
      <c r="B651" s="59"/>
      <c r="I651" s="60"/>
      <c r="P651" s="58"/>
    </row>
    <row r="652">
      <c r="B652" s="59"/>
      <c r="I652" s="60"/>
      <c r="P652" s="58"/>
    </row>
    <row r="653">
      <c r="B653" s="59"/>
      <c r="I653" s="60"/>
      <c r="P653" s="58"/>
    </row>
    <row r="654">
      <c r="B654" s="59"/>
      <c r="I654" s="60"/>
      <c r="P654" s="58"/>
    </row>
    <row r="655">
      <c r="B655" s="59"/>
      <c r="I655" s="60"/>
      <c r="P655" s="58"/>
    </row>
    <row r="656">
      <c r="B656" s="59"/>
      <c r="I656" s="60"/>
      <c r="P656" s="58"/>
    </row>
    <row r="657">
      <c r="B657" s="59"/>
      <c r="I657" s="60"/>
      <c r="P657" s="58"/>
    </row>
    <row r="658">
      <c r="B658" s="59"/>
      <c r="I658" s="60"/>
      <c r="P658" s="58"/>
    </row>
    <row r="659">
      <c r="B659" s="59"/>
      <c r="I659" s="60"/>
      <c r="P659" s="58"/>
    </row>
    <row r="660">
      <c r="B660" s="59"/>
      <c r="I660" s="60"/>
      <c r="P660" s="58"/>
    </row>
    <row r="661">
      <c r="B661" s="59"/>
      <c r="I661" s="60"/>
      <c r="P661" s="58"/>
    </row>
    <row r="662">
      <c r="B662" s="59"/>
      <c r="I662" s="60"/>
      <c r="P662" s="58"/>
    </row>
    <row r="663">
      <c r="B663" s="59"/>
      <c r="I663" s="60"/>
      <c r="P663" s="58"/>
    </row>
    <row r="664">
      <c r="B664" s="59"/>
      <c r="I664" s="60"/>
      <c r="P664" s="58"/>
    </row>
    <row r="665">
      <c r="B665" s="59"/>
      <c r="I665" s="60"/>
      <c r="P665" s="58"/>
    </row>
    <row r="666">
      <c r="B666" s="59"/>
      <c r="I666" s="60"/>
      <c r="P666" s="58"/>
    </row>
    <row r="667">
      <c r="B667" s="59"/>
      <c r="I667" s="60"/>
      <c r="P667" s="58"/>
    </row>
    <row r="668">
      <c r="B668" s="59"/>
      <c r="I668" s="60"/>
      <c r="P668" s="58"/>
    </row>
    <row r="669">
      <c r="B669" s="59"/>
      <c r="I669" s="60"/>
      <c r="P669" s="58"/>
    </row>
    <row r="670">
      <c r="B670" s="59"/>
      <c r="I670" s="60"/>
      <c r="P670" s="58"/>
    </row>
    <row r="671">
      <c r="B671" s="59"/>
      <c r="I671" s="60"/>
      <c r="P671" s="58"/>
    </row>
    <row r="672">
      <c r="B672" s="59"/>
      <c r="I672" s="60"/>
      <c r="P672" s="58"/>
    </row>
    <row r="673">
      <c r="B673" s="59"/>
      <c r="I673" s="60"/>
      <c r="P673" s="58"/>
    </row>
    <row r="674">
      <c r="B674" s="59"/>
      <c r="I674" s="60"/>
      <c r="P674" s="58"/>
    </row>
    <row r="675">
      <c r="B675" s="59"/>
      <c r="I675" s="60"/>
      <c r="P675" s="58"/>
    </row>
    <row r="676">
      <c r="B676" s="59"/>
      <c r="I676" s="60"/>
      <c r="P676" s="58"/>
    </row>
    <row r="677">
      <c r="B677" s="59"/>
      <c r="I677" s="60"/>
      <c r="P677" s="58"/>
    </row>
    <row r="678">
      <c r="B678" s="59"/>
      <c r="I678" s="60"/>
      <c r="P678" s="58"/>
    </row>
    <row r="679">
      <c r="B679" s="59"/>
      <c r="I679" s="60"/>
      <c r="P679" s="58"/>
    </row>
    <row r="680">
      <c r="B680" s="59"/>
      <c r="I680" s="60"/>
      <c r="P680" s="58"/>
    </row>
    <row r="681">
      <c r="B681" s="59"/>
      <c r="I681" s="60"/>
      <c r="P681" s="58"/>
    </row>
    <row r="682">
      <c r="B682" s="59"/>
      <c r="I682" s="60"/>
      <c r="P682" s="58"/>
    </row>
    <row r="683">
      <c r="B683" s="59"/>
      <c r="I683" s="60"/>
      <c r="P683" s="58"/>
    </row>
    <row r="684">
      <c r="B684" s="59"/>
      <c r="I684" s="60"/>
      <c r="P684" s="58"/>
    </row>
    <row r="685">
      <c r="B685" s="59"/>
      <c r="I685" s="60"/>
      <c r="P685" s="58"/>
    </row>
    <row r="686">
      <c r="B686" s="59"/>
      <c r="I686" s="60"/>
      <c r="P686" s="58"/>
    </row>
    <row r="687">
      <c r="B687" s="59"/>
      <c r="I687" s="60"/>
      <c r="P687" s="58"/>
    </row>
    <row r="688">
      <c r="B688" s="59"/>
      <c r="I688" s="60"/>
      <c r="P688" s="58"/>
    </row>
    <row r="689">
      <c r="B689" s="59"/>
      <c r="I689" s="60"/>
      <c r="P689" s="58"/>
    </row>
    <row r="690">
      <c r="B690" s="59"/>
      <c r="I690" s="60"/>
      <c r="P690" s="58"/>
    </row>
    <row r="691">
      <c r="B691" s="59"/>
      <c r="I691" s="60"/>
      <c r="P691" s="58"/>
    </row>
    <row r="692">
      <c r="B692" s="59"/>
      <c r="I692" s="60"/>
      <c r="P692" s="58"/>
    </row>
    <row r="693">
      <c r="B693" s="59"/>
      <c r="I693" s="60"/>
      <c r="P693" s="58"/>
    </row>
    <row r="694">
      <c r="B694" s="59"/>
      <c r="I694" s="60"/>
      <c r="P694" s="58"/>
    </row>
    <row r="695">
      <c r="B695" s="59"/>
      <c r="I695" s="60"/>
      <c r="P695" s="58"/>
    </row>
    <row r="696">
      <c r="B696" s="59"/>
      <c r="I696" s="60"/>
      <c r="P696" s="58"/>
    </row>
    <row r="697">
      <c r="B697" s="59"/>
      <c r="I697" s="60"/>
      <c r="P697" s="58"/>
    </row>
    <row r="698">
      <c r="B698" s="59"/>
      <c r="I698" s="60"/>
      <c r="P698" s="58"/>
    </row>
    <row r="699">
      <c r="B699" s="59"/>
      <c r="I699" s="60"/>
      <c r="P699" s="58"/>
    </row>
    <row r="700">
      <c r="B700" s="59"/>
      <c r="I700" s="60"/>
      <c r="P700" s="58"/>
    </row>
    <row r="701">
      <c r="B701" s="59"/>
      <c r="I701" s="60"/>
      <c r="P701" s="58"/>
    </row>
    <row r="702">
      <c r="B702" s="59"/>
      <c r="I702" s="60"/>
      <c r="P702" s="58"/>
    </row>
    <row r="703">
      <c r="B703" s="59"/>
      <c r="I703" s="60"/>
      <c r="P703" s="58"/>
    </row>
    <row r="704">
      <c r="B704" s="59"/>
      <c r="I704" s="60"/>
      <c r="P704" s="58"/>
    </row>
    <row r="705">
      <c r="B705" s="59"/>
      <c r="I705" s="60"/>
      <c r="P705" s="58"/>
    </row>
    <row r="706">
      <c r="B706" s="59"/>
      <c r="I706" s="60"/>
      <c r="P706" s="58"/>
    </row>
    <row r="707">
      <c r="B707" s="59"/>
      <c r="I707" s="60"/>
      <c r="P707" s="58"/>
    </row>
    <row r="708">
      <c r="B708" s="59"/>
      <c r="I708" s="60"/>
      <c r="P708" s="58"/>
    </row>
    <row r="709">
      <c r="B709" s="59"/>
      <c r="I709" s="60"/>
      <c r="P709" s="58"/>
    </row>
    <row r="710">
      <c r="B710" s="59"/>
      <c r="I710" s="60"/>
      <c r="P710" s="58"/>
    </row>
    <row r="711">
      <c r="B711" s="59"/>
      <c r="I711" s="60"/>
      <c r="P711" s="58"/>
    </row>
    <row r="712">
      <c r="B712" s="59"/>
      <c r="I712" s="60"/>
      <c r="P712" s="58"/>
    </row>
    <row r="713">
      <c r="B713" s="59"/>
      <c r="I713" s="60"/>
      <c r="P713" s="58"/>
    </row>
    <row r="714">
      <c r="B714" s="59"/>
      <c r="I714" s="60"/>
      <c r="P714" s="58"/>
    </row>
    <row r="715">
      <c r="B715" s="59"/>
      <c r="I715" s="60"/>
      <c r="P715" s="58"/>
    </row>
    <row r="716">
      <c r="B716" s="59"/>
      <c r="I716" s="60"/>
      <c r="P716" s="58"/>
    </row>
    <row r="717">
      <c r="B717" s="59"/>
      <c r="I717" s="60"/>
      <c r="P717" s="58"/>
    </row>
    <row r="718">
      <c r="B718" s="59"/>
      <c r="I718" s="60"/>
      <c r="P718" s="58"/>
    </row>
    <row r="719">
      <c r="B719" s="59"/>
      <c r="I719" s="60"/>
      <c r="P719" s="58"/>
    </row>
    <row r="720">
      <c r="B720" s="59"/>
      <c r="I720" s="60"/>
      <c r="P720" s="58"/>
    </row>
    <row r="721">
      <c r="B721" s="59"/>
      <c r="I721" s="60"/>
      <c r="P721" s="58"/>
    </row>
    <row r="722">
      <c r="B722" s="59"/>
      <c r="I722" s="60"/>
      <c r="P722" s="58"/>
    </row>
    <row r="723">
      <c r="B723" s="59"/>
      <c r="I723" s="60"/>
      <c r="P723" s="58"/>
    </row>
    <row r="724">
      <c r="B724" s="59"/>
      <c r="I724" s="60"/>
      <c r="P724" s="58"/>
    </row>
    <row r="725">
      <c r="B725" s="59"/>
      <c r="I725" s="60"/>
      <c r="P725" s="58"/>
    </row>
    <row r="726">
      <c r="B726" s="59"/>
      <c r="I726" s="60"/>
      <c r="P726" s="58"/>
    </row>
    <row r="727">
      <c r="B727" s="59"/>
      <c r="I727" s="60"/>
      <c r="P727" s="58"/>
    </row>
    <row r="728">
      <c r="B728" s="59"/>
      <c r="I728" s="60"/>
      <c r="P728" s="58"/>
    </row>
    <row r="729">
      <c r="B729" s="59"/>
      <c r="I729" s="60"/>
      <c r="P729" s="58"/>
    </row>
    <row r="730">
      <c r="B730" s="59"/>
      <c r="I730" s="60"/>
      <c r="P730" s="58"/>
    </row>
    <row r="731">
      <c r="B731" s="59"/>
      <c r="I731" s="60"/>
      <c r="P731" s="58"/>
    </row>
    <row r="732">
      <c r="B732" s="59"/>
      <c r="I732" s="60"/>
      <c r="P732" s="58"/>
    </row>
    <row r="733">
      <c r="B733" s="59"/>
      <c r="I733" s="60"/>
      <c r="P733" s="58"/>
    </row>
    <row r="734">
      <c r="B734" s="59"/>
      <c r="I734" s="60"/>
      <c r="P734" s="58"/>
    </row>
    <row r="735">
      <c r="B735" s="59"/>
      <c r="I735" s="60"/>
      <c r="P735" s="58"/>
    </row>
    <row r="736">
      <c r="B736" s="59"/>
      <c r="I736" s="60"/>
      <c r="P736" s="58"/>
    </row>
    <row r="737">
      <c r="B737" s="59"/>
      <c r="I737" s="60"/>
      <c r="P737" s="58"/>
    </row>
    <row r="738">
      <c r="B738" s="59"/>
      <c r="I738" s="60"/>
      <c r="P738" s="58"/>
    </row>
    <row r="739">
      <c r="B739" s="59"/>
      <c r="I739" s="60"/>
      <c r="P739" s="58"/>
    </row>
    <row r="740">
      <c r="B740" s="59"/>
      <c r="I740" s="60"/>
      <c r="P740" s="58"/>
    </row>
    <row r="741">
      <c r="B741" s="59"/>
      <c r="I741" s="60"/>
      <c r="P741" s="58"/>
    </row>
    <row r="742">
      <c r="B742" s="59"/>
      <c r="I742" s="60"/>
      <c r="P742" s="58"/>
    </row>
    <row r="743">
      <c r="B743" s="59"/>
      <c r="I743" s="60"/>
      <c r="P743" s="58"/>
    </row>
    <row r="744">
      <c r="B744" s="59"/>
      <c r="I744" s="60"/>
      <c r="P744" s="58"/>
    </row>
    <row r="745">
      <c r="B745" s="59"/>
      <c r="I745" s="60"/>
      <c r="P745" s="58"/>
    </row>
    <row r="746">
      <c r="B746" s="59"/>
      <c r="I746" s="60"/>
      <c r="P746" s="58"/>
    </row>
    <row r="747">
      <c r="B747" s="59"/>
      <c r="I747" s="60"/>
      <c r="P747" s="58"/>
    </row>
    <row r="748">
      <c r="B748" s="59"/>
      <c r="I748" s="60"/>
      <c r="P748" s="58"/>
    </row>
    <row r="749">
      <c r="B749" s="59"/>
      <c r="I749" s="60"/>
      <c r="P749" s="58"/>
    </row>
    <row r="750">
      <c r="B750" s="59"/>
      <c r="I750" s="60"/>
      <c r="P750" s="58"/>
    </row>
    <row r="751">
      <c r="B751" s="59"/>
      <c r="I751" s="60"/>
      <c r="P751" s="58"/>
    </row>
    <row r="752">
      <c r="B752" s="59"/>
      <c r="I752" s="60"/>
      <c r="P752" s="58"/>
    </row>
    <row r="753">
      <c r="B753" s="59"/>
      <c r="I753" s="60"/>
      <c r="P753" s="58"/>
    </row>
    <row r="754">
      <c r="B754" s="59"/>
      <c r="I754" s="60"/>
      <c r="P754" s="58"/>
    </row>
    <row r="755">
      <c r="B755" s="59"/>
      <c r="I755" s="60"/>
      <c r="P755" s="58"/>
    </row>
    <row r="756">
      <c r="B756" s="59"/>
      <c r="I756" s="60"/>
      <c r="P756" s="58"/>
    </row>
    <row r="757">
      <c r="B757" s="59"/>
      <c r="I757" s="60"/>
      <c r="P757" s="58"/>
    </row>
    <row r="758">
      <c r="B758" s="59"/>
      <c r="I758" s="60"/>
      <c r="P758" s="58"/>
    </row>
    <row r="759">
      <c r="B759" s="59"/>
      <c r="I759" s="60"/>
      <c r="P759" s="58"/>
    </row>
    <row r="760">
      <c r="B760" s="59"/>
      <c r="I760" s="60"/>
      <c r="P760" s="58"/>
    </row>
    <row r="761">
      <c r="B761" s="59"/>
      <c r="I761" s="60"/>
      <c r="P761" s="58"/>
    </row>
    <row r="762">
      <c r="B762" s="59"/>
      <c r="I762" s="60"/>
      <c r="P762" s="58"/>
    </row>
    <row r="763">
      <c r="B763" s="59"/>
      <c r="I763" s="60"/>
      <c r="P763" s="58"/>
    </row>
    <row r="764">
      <c r="B764" s="59"/>
      <c r="I764" s="60"/>
      <c r="P764" s="58"/>
    </row>
    <row r="765">
      <c r="B765" s="59"/>
      <c r="I765" s="60"/>
      <c r="P765" s="58"/>
    </row>
    <row r="766">
      <c r="B766" s="59"/>
      <c r="I766" s="60"/>
      <c r="P766" s="58"/>
    </row>
    <row r="767">
      <c r="B767" s="59"/>
      <c r="I767" s="60"/>
      <c r="P767" s="58"/>
    </row>
    <row r="768">
      <c r="B768" s="59"/>
      <c r="I768" s="60"/>
      <c r="P768" s="58"/>
    </row>
    <row r="769">
      <c r="B769" s="59"/>
      <c r="I769" s="60"/>
      <c r="P769" s="58"/>
    </row>
    <row r="770">
      <c r="B770" s="59"/>
      <c r="I770" s="60"/>
      <c r="P770" s="58"/>
    </row>
    <row r="771">
      <c r="B771" s="59"/>
      <c r="I771" s="60"/>
      <c r="P771" s="58"/>
    </row>
    <row r="772">
      <c r="B772" s="59"/>
      <c r="I772" s="60"/>
      <c r="P772" s="58"/>
    </row>
    <row r="773">
      <c r="B773" s="59"/>
      <c r="I773" s="60"/>
      <c r="P773" s="58"/>
    </row>
    <row r="774">
      <c r="B774" s="59"/>
      <c r="I774" s="60"/>
      <c r="P774" s="58"/>
    </row>
    <row r="775">
      <c r="B775" s="59"/>
      <c r="I775" s="60"/>
      <c r="P775" s="58"/>
    </row>
    <row r="776">
      <c r="B776" s="59"/>
      <c r="I776" s="60"/>
      <c r="P776" s="58"/>
    </row>
    <row r="777">
      <c r="B777" s="59"/>
      <c r="I777" s="60"/>
      <c r="P777" s="58"/>
    </row>
    <row r="778">
      <c r="B778" s="59"/>
      <c r="I778" s="60"/>
      <c r="P778" s="58"/>
    </row>
    <row r="779">
      <c r="B779" s="59"/>
      <c r="I779" s="60"/>
      <c r="P779" s="58"/>
    </row>
    <row r="780">
      <c r="B780" s="59"/>
      <c r="I780" s="60"/>
      <c r="P780" s="58"/>
    </row>
    <row r="781">
      <c r="B781" s="59"/>
      <c r="I781" s="60"/>
      <c r="P781" s="58"/>
    </row>
    <row r="782">
      <c r="B782" s="59"/>
      <c r="I782" s="60"/>
      <c r="P782" s="58"/>
    </row>
    <row r="783">
      <c r="B783" s="59"/>
      <c r="I783" s="60"/>
      <c r="P783" s="58"/>
    </row>
    <row r="784">
      <c r="B784" s="59"/>
      <c r="I784" s="60"/>
      <c r="P784" s="58"/>
    </row>
    <row r="785">
      <c r="B785" s="59"/>
      <c r="I785" s="60"/>
      <c r="P785" s="58"/>
    </row>
    <row r="786">
      <c r="B786" s="59"/>
      <c r="I786" s="60"/>
      <c r="P786" s="58"/>
    </row>
    <row r="787">
      <c r="B787" s="59"/>
      <c r="I787" s="60"/>
      <c r="P787" s="58"/>
    </row>
    <row r="788">
      <c r="B788" s="59"/>
      <c r="I788" s="60"/>
      <c r="P788" s="58"/>
    </row>
    <row r="789">
      <c r="B789" s="59"/>
      <c r="I789" s="60"/>
      <c r="P789" s="58"/>
    </row>
    <row r="790">
      <c r="B790" s="59"/>
      <c r="I790" s="60"/>
      <c r="P790" s="58"/>
    </row>
    <row r="791">
      <c r="B791" s="59"/>
      <c r="I791" s="60"/>
      <c r="P791" s="58"/>
    </row>
    <row r="792">
      <c r="B792" s="59"/>
      <c r="I792" s="60"/>
      <c r="P792" s="58"/>
    </row>
    <row r="793">
      <c r="B793" s="59"/>
      <c r="I793" s="60"/>
      <c r="P793" s="58"/>
    </row>
    <row r="794">
      <c r="B794" s="59"/>
      <c r="I794" s="60"/>
      <c r="P794" s="58"/>
    </row>
    <row r="795">
      <c r="B795" s="59"/>
      <c r="I795" s="60"/>
      <c r="P795" s="58"/>
    </row>
    <row r="796">
      <c r="B796" s="59"/>
      <c r="I796" s="60"/>
      <c r="P796" s="58"/>
    </row>
    <row r="797">
      <c r="B797" s="59"/>
      <c r="I797" s="60"/>
      <c r="P797" s="58"/>
    </row>
    <row r="798">
      <c r="B798" s="59"/>
      <c r="I798" s="60"/>
      <c r="P798" s="58"/>
    </row>
    <row r="799">
      <c r="B799" s="59"/>
      <c r="I799" s="60"/>
      <c r="P799" s="58"/>
    </row>
    <row r="800">
      <c r="B800" s="59"/>
      <c r="I800" s="60"/>
      <c r="P800" s="58"/>
    </row>
    <row r="801">
      <c r="B801" s="59"/>
      <c r="I801" s="60"/>
      <c r="P801" s="58"/>
    </row>
    <row r="802">
      <c r="B802" s="59"/>
      <c r="I802" s="60"/>
      <c r="P802" s="58"/>
    </row>
    <row r="803">
      <c r="B803" s="59"/>
      <c r="I803" s="60"/>
      <c r="P803" s="58"/>
    </row>
    <row r="804">
      <c r="B804" s="59"/>
      <c r="I804" s="60"/>
      <c r="P804" s="58"/>
    </row>
    <row r="805">
      <c r="B805" s="59"/>
      <c r="I805" s="60"/>
      <c r="P805" s="58"/>
    </row>
    <row r="806">
      <c r="B806" s="59"/>
      <c r="I806" s="60"/>
      <c r="P806" s="58"/>
    </row>
    <row r="807">
      <c r="B807" s="59"/>
      <c r="I807" s="60"/>
      <c r="P807" s="58"/>
    </row>
    <row r="808">
      <c r="B808" s="59"/>
      <c r="I808" s="60"/>
      <c r="P808" s="58"/>
    </row>
    <row r="809">
      <c r="B809" s="59"/>
      <c r="I809" s="60"/>
      <c r="P809" s="58"/>
    </row>
    <row r="810">
      <c r="B810" s="59"/>
      <c r="I810" s="60"/>
      <c r="P810" s="58"/>
    </row>
    <row r="811">
      <c r="B811" s="59"/>
      <c r="I811" s="60"/>
      <c r="P811" s="58"/>
    </row>
    <row r="812">
      <c r="B812" s="59"/>
      <c r="I812" s="60"/>
      <c r="P812" s="58"/>
    </row>
    <row r="813">
      <c r="B813" s="59"/>
      <c r="I813" s="60"/>
      <c r="P813" s="58"/>
    </row>
    <row r="814">
      <c r="B814" s="59"/>
      <c r="I814" s="60"/>
      <c r="P814" s="58"/>
    </row>
    <row r="815">
      <c r="B815" s="59"/>
      <c r="I815" s="60"/>
      <c r="P815" s="58"/>
    </row>
    <row r="816">
      <c r="B816" s="59"/>
      <c r="I816" s="60"/>
      <c r="P816" s="58"/>
    </row>
    <row r="817">
      <c r="B817" s="59"/>
      <c r="I817" s="60"/>
      <c r="P817" s="58"/>
    </row>
    <row r="818">
      <c r="B818" s="59"/>
      <c r="I818" s="60"/>
      <c r="P818" s="58"/>
    </row>
    <row r="819">
      <c r="B819" s="59"/>
      <c r="I819" s="60"/>
      <c r="P819" s="58"/>
    </row>
    <row r="820">
      <c r="B820" s="59"/>
      <c r="I820" s="60"/>
      <c r="P820" s="58"/>
    </row>
    <row r="821">
      <c r="B821" s="59"/>
      <c r="I821" s="60"/>
      <c r="P821" s="58"/>
    </row>
    <row r="822">
      <c r="B822" s="59"/>
      <c r="I822" s="60"/>
      <c r="P822" s="58"/>
    </row>
    <row r="823">
      <c r="B823" s="59"/>
      <c r="I823" s="60"/>
      <c r="P823" s="58"/>
    </row>
    <row r="824">
      <c r="B824" s="59"/>
      <c r="I824" s="60"/>
      <c r="P824" s="58"/>
    </row>
    <row r="825">
      <c r="B825" s="59"/>
      <c r="I825" s="60"/>
      <c r="P825" s="58"/>
    </row>
    <row r="826">
      <c r="B826" s="59"/>
      <c r="I826" s="60"/>
      <c r="P826" s="58"/>
    </row>
    <row r="827">
      <c r="B827" s="59"/>
      <c r="I827" s="60"/>
      <c r="P827" s="58"/>
    </row>
    <row r="828">
      <c r="B828" s="59"/>
      <c r="I828" s="60"/>
      <c r="P828" s="58"/>
    </row>
    <row r="829">
      <c r="B829" s="59"/>
      <c r="I829" s="60"/>
      <c r="P829" s="58"/>
    </row>
    <row r="830">
      <c r="B830" s="59"/>
      <c r="I830" s="60"/>
      <c r="P830" s="58"/>
    </row>
    <row r="831">
      <c r="B831" s="59"/>
      <c r="I831" s="60"/>
      <c r="P831" s="58"/>
    </row>
    <row r="832">
      <c r="B832" s="59"/>
      <c r="I832" s="60"/>
      <c r="P832" s="58"/>
    </row>
    <row r="833">
      <c r="B833" s="59"/>
      <c r="I833" s="60"/>
      <c r="P833" s="58"/>
    </row>
    <row r="834">
      <c r="B834" s="59"/>
      <c r="I834" s="60"/>
      <c r="P834" s="58"/>
    </row>
    <row r="835">
      <c r="B835" s="59"/>
      <c r="I835" s="60"/>
      <c r="P835" s="58"/>
    </row>
    <row r="836">
      <c r="B836" s="59"/>
      <c r="I836" s="60"/>
      <c r="P836" s="58"/>
    </row>
    <row r="837">
      <c r="B837" s="59"/>
      <c r="I837" s="60"/>
      <c r="P837" s="58"/>
    </row>
    <row r="838">
      <c r="B838" s="59"/>
      <c r="I838" s="60"/>
      <c r="P838" s="58"/>
    </row>
    <row r="839">
      <c r="B839" s="59"/>
      <c r="I839" s="60"/>
      <c r="P839" s="58"/>
    </row>
    <row r="840">
      <c r="B840" s="59"/>
      <c r="I840" s="60"/>
      <c r="P840" s="58"/>
    </row>
    <row r="841">
      <c r="B841" s="59"/>
      <c r="I841" s="60"/>
      <c r="P841" s="58"/>
    </row>
    <row r="842">
      <c r="B842" s="59"/>
      <c r="I842" s="60"/>
      <c r="P842" s="58"/>
    </row>
    <row r="843">
      <c r="B843" s="59"/>
      <c r="I843" s="60"/>
      <c r="P843" s="58"/>
    </row>
    <row r="844">
      <c r="B844" s="59"/>
      <c r="I844" s="60"/>
      <c r="P844" s="58"/>
    </row>
    <row r="845">
      <c r="B845" s="59"/>
      <c r="I845" s="60"/>
      <c r="P845" s="58"/>
    </row>
    <row r="846">
      <c r="B846" s="59"/>
      <c r="I846" s="60"/>
      <c r="P846" s="58"/>
    </row>
    <row r="847">
      <c r="B847" s="59"/>
      <c r="I847" s="60"/>
      <c r="P847" s="58"/>
    </row>
    <row r="848">
      <c r="B848" s="59"/>
      <c r="I848" s="60"/>
      <c r="P848" s="58"/>
    </row>
    <row r="849">
      <c r="B849" s="59"/>
      <c r="I849" s="60"/>
      <c r="P849" s="58"/>
    </row>
    <row r="850">
      <c r="B850" s="59"/>
      <c r="I850" s="60"/>
      <c r="P850" s="58"/>
    </row>
    <row r="851">
      <c r="B851" s="59"/>
      <c r="I851" s="60"/>
      <c r="P851" s="58"/>
    </row>
    <row r="852">
      <c r="B852" s="59"/>
      <c r="I852" s="60"/>
      <c r="P852" s="58"/>
    </row>
    <row r="853">
      <c r="B853" s="59"/>
      <c r="I853" s="60"/>
      <c r="P853" s="58"/>
    </row>
    <row r="854">
      <c r="B854" s="59"/>
      <c r="I854" s="60"/>
      <c r="P854" s="58"/>
    </row>
    <row r="855">
      <c r="B855" s="59"/>
      <c r="I855" s="60"/>
      <c r="P855" s="58"/>
    </row>
    <row r="856">
      <c r="B856" s="59"/>
      <c r="I856" s="60"/>
      <c r="P856" s="58"/>
    </row>
    <row r="857">
      <c r="B857" s="59"/>
      <c r="I857" s="60"/>
      <c r="P857" s="58"/>
    </row>
    <row r="858">
      <c r="B858" s="59"/>
      <c r="I858" s="60"/>
      <c r="P858" s="58"/>
    </row>
    <row r="859">
      <c r="B859" s="59"/>
      <c r="I859" s="60"/>
      <c r="P859" s="58"/>
    </row>
    <row r="860">
      <c r="B860" s="59"/>
      <c r="I860" s="60"/>
      <c r="P860" s="58"/>
    </row>
    <row r="861">
      <c r="B861" s="59"/>
      <c r="I861" s="60"/>
      <c r="P861" s="58"/>
    </row>
    <row r="862">
      <c r="B862" s="59"/>
      <c r="I862" s="60"/>
      <c r="P862" s="58"/>
    </row>
    <row r="863">
      <c r="B863" s="59"/>
      <c r="I863" s="60"/>
      <c r="P863" s="58"/>
    </row>
    <row r="864">
      <c r="B864" s="59"/>
      <c r="I864" s="60"/>
      <c r="P864" s="58"/>
    </row>
    <row r="865">
      <c r="B865" s="59"/>
      <c r="I865" s="60"/>
      <c r="P865" s="58"/>
    </row>
    <row r="866">
      <c r="B866" s="59"/>
      <c r="I866" s="60"/>
      <c r="P866" s="58"/>
    </row>
    <row r="867">
      <c r="B867" s="59"/>
      <c r="I867" s="60"/>
      <c r="P867" s="58"/>
    </row>
    <row r="868">
      <c r="B868" s="59"/>
      <c r="I868" s="60"/>
      <c r="P868" s="58"/>
    </row>
    <row r="869">
      <c r="B869" s="59"/>
      <c r="I869" s="60"/>
      <c r="P869" s="58"/>
    </row>
    <row r="870">
      <c r="B870" s="59"/>
      <c r="I870" s="60"/>
      <c r="P870" s="58"/>
    </row>
    <row r="871">
      <c r="B871" s="59"/>
      <c r="I871" s="60"/>
      <c r="P871" s="58"/>
    </row>
    <row r="872">
      <c r="B872" s="59"/>
      <c r="I872" s="60"/>
      <c r="P872" s="58"/>
    </row>
    <row r="873">
      <c r="B873" s="59"/>
      <c r="I873" s="60"/>
      <c r="P873" s="58"/>
    </row>
    <row r="874">
      <c r="B874" s="59"/>
      <c r="I874" s="60"/>
      <c r="P874" s="58"/>
    </row>
    <row r="875">
      <c r="B875" s="59"/>
      <c r="I875" s="60"/>
      <c r="P875" s="58"/>
    </row>
    <row r="876">
      <c r="B876" s="59"/>
      <c r="I876" s="60"/>
      <c r="P876" s="58"/>
    </row>
    <row r="877">
      <c r="B877" s="59"/>
      <c r="I877" s="60"/>
      <c r="P877" s="58"/>
    </row>
    <row r="878">
      <c r="B878" s="59"/>
      <c r="I878" s="60"/>
      <c r="P878" s="58"/>
    </row>
    <row r="879">
      <c r="B879" s="59"/>
      <c r="I879" s="60"/>
      <c r="P879" s="58"/>
    </row>
    <row r="880">
      <c r="B880" s="59"/>
      <c r="I880" s="60"/>
      <c r="P880" s="58"/>
    </row>
    <row r="881">
      <c r="B881" s="59"/>
      <c r="I881" s="60"/>
      <c r="P881" s="58"/>
    </row>
    <row r="882">
      <c r="B882" s="59"/>
      <c r="I882" s="60"/>
      <c r="P882" s="58"/>
    </row>
    <row r="883">
      <c r="B883" s="59"/>
      <c r="I883" s="60"/>
      <c r="P883" s="58"/>
    </row>
    <row r="884">
      <c r="B884" s="59"/>
      <c r="I884" s="60"/>
      <c r="P884" s="58"/>
    </row>
    <row r="885">
      <c r="B885" s="59"/>
      <c r="I885" s="60"/>
      <c r="P885" s="58"/>
    </row>
    <row r="886">
      <c r="B886" s="59"/>
      <c r="I886" s="60"/>
      <c r="P886" s="58"/>
    </row>
    <row r="887">
      <c r="B887" s="59"/>
      <c r="I887" s="60"/>
      <c r="P887" s="58"/>
    </row>
    <row r="888">
      <c r="B888" s="59"/>
      <c r="I888" s="60"/>
      <c r="P888" s="58"/>
    </row>
    <row r="889">
      <c r="B889" s="59"/>
      <c r="I889" s="60"/>
      <c r="P889" s="58"/>
    </row>
    <row r="890">
      <c r="B890" s="59"/>
      <c r="I890" s="60"/>
      <c r="P890" s="58"/>
    </row>
    <row r="891">
      <c r="B891" s="59"/>
      <c r="I891" s="60"/>
      <c r="P891" s="58"/>
    </row>
    <row r="892">
      <c r="B892" s="59"/>
      <c r="I892" s="60"/>
      <c r="P892" s="58"/>
    </row>
    <row r="893">
      <c r="B893" s="59"/>
      <c r="I893" s="60"/>
      <c r="P893" s="58"/>
    </row>
    <row r="894">
      <c r="B894" s="59"/>
      <c r="I894" s="60"/>
      <c r="P894" s="58"/>
    </row>
    <row r="895">
      <c r="B895" s="59"/>
      <c r="I895" s="60"/>
      <c r="P895" s="58"/>
    </row>
    <row r="896">
      <c r="B896" s="59"/>
      <c r="I896" s="60"/>
      <c r="P896" s="58"/>
    </row>
    <row r="897">
      <c r="B897" s="59"/>
      <c r="I897" s="60"/>
      <c r="P897" s="58"/>
    </row>
    <row r="898">
      <c r="B898" s="59"/>
      <c r="I898" s="60"/>
      <c r="P898" s="58"/>
    </row>
    <row r="899">
      <c r="B899" s="59"/>
      <c r="I899" s="60"/>
      <c r="P899" s="58"/>
    </row>
    <row r="900">
      <c r="B900" s="59"/>
      <c r="I900" s="60"/>
      <c r="P900" s="58"/>
    </row>
    <row r="901">
      <c r="B901" s="59"/>
      <c r="I901" s="60"/>
      <c r="P901" s="58"/>
    </row>
    <row r="902">
      <c r="B902" s="59"/>
      <c r="I902" s="60"/>
      <c r="P902" s="58"/>
    </row>
    <row r="903">
      <c r="B903" s="59"/>
      <c r="I903" s="60"/>
      <c r="P903" s="58"/>
    </row>
    <row r="904">
      <c r="B904" s="59"/>
      <c r="I904" s="60"/>
      <c r="P904" s="58"/>
    </row>
    <row r="905">
      <c r="B905" s="59"/>
      <c r="I905" s="60"/>
      <c r="P905" s="58"/>
    </row>
    <row r="906">
      <c r="B906" s="59"/>
      <c r="I906" s="60"/>
      <c r="P906" s="58"/>
    </row>
    <row r="907">
      <c r="B907" s="59"/>
      <c r="I907" s="60"/>
      <c r="P907" s="58"/>
    </row>
    <row r="908">
      <c r="B908" s="59"/>
      <c r="I908" s="60"/>
      <c r="P908" s="58"/>
    </row>
    <row r="909">
      <c r="B909" s="59"/>
      <c r="I909" s="60"/>
      <c r="P909" s="58"/>
    </row>
    <row r="910">
      <c r="B910" s="59"/>
      <c r="I910" s="60"/>
      <c r="P910" s="58"/>
    </row>
    <row r="911">
      <c r="B911" s="59"/>
      <c r="I911" s="60"/>
      <c r="P911" s="58"/>
    </row>
    <row r="912">
      <c r="B912" s="59"/>
      <c r="I912" s="60"/>
      <c r="P912" s="58"/>
    </row>
    <row r="913">
      <c r="B913" s="59"/>
      <c r="I913" s="60"/>
      <c r="P913" s="58"/>
    </row>
    <row r="914">
      <c r="B914" s="59"/>
      <c r="I914" s="60"/>
      <c r="P914" s="58"/>
    </row>
    <row r="915">
      <c r="B915" s="59"/>
      <c r="I915" s="60"/>
      <c r="P915" s="58"/>
    </row>
    <row r="916">
      <c r="B916" s="59"/>
      <c r="I916" s="60"/>
      <c r="P916" s="58"/>
    </row>
    <row r="917">
      <c r="B917" s="59"/>
      <c r="I917" s="60"/>
      <c r="P917" s="58"/>
    </row>
    <row r="918">
      <c r="B918" s="59"/>
      <c r="I918" s="60"/>
      <c r="P918" s="58"/>
    </row>
    <row r="919">
      <c r="B919" s="59"/>
      <c r="I919" s="60"/>
      <c r="P919" s="58"/>
    </row>
    <row r="920">
      <c r="B920" s="59"/>
      <c r="I920" s="60"/>
      <c r="P920" s="58"/>
    </row>
    <row r="921">
      <c r="B921" s="59"/>
      <c r="I921" s="60"/>
      <c r="P921" s="58"/>
    </row>
    <row r="922">
      <c r="B922" s="59"/>
      <c r="I922" s="60"/>
      <c r="P922" s="58"/>
    </row>
    <row r="923">
      <c r="B923" s="59"/>
      <c r="I923" s="60"/>
      <c r="P923" s="58"/>
    </row>
    <row r="924">
      <c r="B924" s="59"/>
      <c r="I924" s="60"/>
      <c r="P924" s="58"/>
    </row>
    <row r="925">
      <c r="B925" s="59"/>
      <c r="I925" s="60"/>
      <c r="P925" s="58"/>
    </row>
    <row r="926">
      <c r="B926" s="59"/>
      <c r="I926" s="60"/>
      <c r="P926" s="58"/>
    </row>
    <row r="927">
      <c r="B927" s="59"/>
      <c r="I927" s="60"/>
      <c r="P927" s="58"/>
    </row>
    <row r="928">
      <c r="B928" s="59"/>
      <c r="I928" s="60"/>
      <c r="P928" s="58"/>
    </row>
    <row r="929">
      <c r="B929" s="59"/>
      <c r="I929" s="60"/>
      <c r="P929" s="58"/>
    </row>
    <row r="930">
      <c r="B930" s="59"/>
      <c r="I930" s="60"/>
      <c r="P930" s="58"/>
    </row>
    <row r="931">
      <c r="B931" s="59"/>
      <c r="I931" s="60"/>
      <c r="P931" s="58"/>
    </row>
    <row r="932">
      <c r="B932" s="59"/>
      <c r="I932" s="60"/>
      <c r="P932" s="58"/>
    </row>
    <row r="933">
      <c r="B933" s="59"/>
      <c r="I933" s="60"/>
      <c r="P933" s="58"/>
    </row>
    <row r="934">
      <c r="B934" s="59"/>
      <c r="I934" s="60"/>
      <c r="P934" s="58"/>
    </row>
    <row r="935">
      <c r="B935" s="59"/>
      <c r="I935" s="60"/>
      <c r="P935" s="58"/>
    </row>
    <row r="936">
      <c r="B936" s="59"/>
      <c r="I936" s="60"/>
      <c r="P936" s="58"/>
    </row>
    <row r="937">
      <c r="B937" s="59"/>
      <c r="I937" s="60"/>
      <c r="P937" s="58"/>
    </row>
    <row r="938">
      <c r="B938" s="59"/>
      <c r="I938" s="60"/>
      <c r="P938" s="58"/>
    </row>
    <row r="939">
      <c r="B939" s="59"/>
      <c r="I939" s="60"/>
      <c r="P939" s="58"/>
    </row>
    <row r="940">
      <c r="B940" s="59"/>
      <c r="I940" s="60"/>
      <c r="P940" s="58"/>
    </row>
    <row r="941">
      <c r="B941" s="59"/>
      <c r="I941" s="60"/>
      <c r="P941" s="58"/>
    </row>
    <row r="942">
      <c r="B942" s="59"/>
      <c r="I942" s="60"/>
      <c r="P942" s="58"/>
    </row>
    <row r="943">
      <c r="B943" s="59"/>
      <c r="I943" s="60"/>
      <c r="P943" s="58"/>
    </row>
    <row r="944">
      <c r="B944" s="59"/>
      <c r="I944" s="60"/>
      <c r="P944" s="58"/>
    </row>
    <row r="945">
      <c r="B945" s="59"/>
      <c r="I945" s="60"/>
      <c r="P945" s="58"/>
    </row>
    <row r="946">
      <c r="B946" s="59"/>
      <c r="I946" s="60"/>
      <c r="P946" s="58"/>
    </row>
    <row r="947">
      <c r="B947" s="59"/>
      <c r="I947" s="60"/>
      <c r="P947" s="58"/>
    </row>
    <row r="948">
      <c r="B948" s="59"/>
      <c r="I948" s="60"/>
      <c r="P948" s="58"/>
    </row>
    <row r="949">
      <c r="B949" s="59"/>
      <c r="I949" s="60"/>
      <c r="P949" s="58"/>
    </row>
    <row r="950">
      <c r="B950" s="59"/>
      <c r="I950" s="60"/>
      <c r="P950" s="58"/>
    </row>
    <row r="951">
      <c r="B951" s="59"/>
      <c r="I951" s="60"/>
      <c r="P951" s="58"/>
    </row>
    <row r="952">
      <c r="B952" s="59"/>
      <c r="I952" s="60"/>
      <c r="P952" s="58"/>
    </row>
    <row r="953">
      <c r="B953" s="59"/>
      <c r="I953" s="60"/>
      <c r="P953" s="58"/>
    </row>
    <row r="954">
      <c r="B954" s="59"/>
      <c r="I954" s="60"/>
      <c r="P954" s="58"/>
    </row>
    <row r="955">
      <c r="B955" s="59"/>
      <c r="I955" s="60"/>
      <c r="P955" s="58"/>
    </row>
    <row r="956">
      <c r="B956" s="59"/>
      <c r="I956" s="60"/>
      <c r="P956" s="58"/>
    </row>
    <row r="957">
      <c r="B957" s="59"/>
      <c r="I957" s="60"/>
      <c r="P957" s="58"/>
    </row>
    <row r="958">
      <c r="B958" s="59"/>
      <c r="I958" s="60"/>
      <c r="P958" s="58"/>
    </row>
    <row r="959">
      <c r="B959" s="59"/>
      <c r="I959" s="60"/>
      <c r="P959" s="58"/>
    </row>
    <row r="960">
      <c r="B960" s="59"/>
      <c r="I960" s="60"/>
      <c r="P960" s="58"/>
    </row>
    <row r="961">
      <c r="B961" s="59"/>
      <c r="I961" s="60"/>
      <c r="P961" s="58"/>
    </row>
    <row r="962">
      <c r="B962" s="59"/>
      <c r="I962" s="60"/>
      <c r="P962" s="58"/>
    </row>
    <row r="963">
      <c r="B963" s="59"/>
      <c r="I963" s="60"/>
      <c r="P963" s="58"/>
    </row>
    <row r="964">
      <c r="B964" s="59"/>
      <c r="I964" s="60"/>
      <c r="P964" s="58"/>
    </row>
    <row r="965">
      <c r="B965" s="59"/>
      <c r="I965" s="60"/>
      <c r="P965" s="58"/>
    </row>
    <row r="966">
      <c r="B966" s="59"/>
      <c r="I966" s="60"/>
      <c r="P966" s="58"/>
    </row>
    <row r="967">
      <c r="B967" s="59"/>
      <c r="I967" s="60"/>
      <c r="P967" s="58"/>
    </row>
    <row r="968">
      <c r="B968" s="59"/>
      <c r="I968" s="60"/>
      <c r="P968" s="58"/>
    </row>
    <row r="969">
      <c r="B969" s="59"/>
      <c r="I969" s="60"/>
      <c r="P969" s="58"/>
    </row>
    <row r="970">
      <c r="B970" s="59"/>
      <c r="I970" s="60"/>
      <c r="P970" s="58"/>
    </row>
    <row r="971">
      <c r="B971" s="59"/>
      <c r="I971" s="60"/>
      <c r="P971" s="58"/>
    </row>
    <row r="972">
      <c r="B972" s="59"/>
      <c r="I972" s="60"/>
      <c r="P972" s="58"/>
    </row>
    <row r="973">
      <c r="B973" s="59"/>
      <c r="I973" s="60"/>
      <c r="P973" s="58"/>
    </row>
    <row r="974">
      <c r="B974" s="59"/>
      <c r="I974" s="60"/>
      <c r="P974" s="58"/>
    </row>
    <row r="975">
      <c r="B975" s="59"/>
      <c r="I975" s="60"/>
      <c r="P975" s="58"/>
    </row>
    <row r="976">
      <c r="B976" s="59"/>
      <c r="I976" s="60"/>
      <c r="P976" s="58"/>
    </row>
    <row r="977">
      <c r="B977" s="59"/>
      <c r="I977" s="60"/>
      <c r="P977" s="58"/>
    </row>
    <row r="978">
      <c r="B978" s="59"/>
      <c r="I978" s="60"/>
      <c r="P978" s="58"/>
    </row>
    <row r="979">
      <c r="B979" s="59"/>
      <c r="I979" s="60"/>
      <c r="P979" s="58"/>
    </row>
    <row r="980">
      <c r="B980" s="59"/>
      <c r="I980" s="60"/>
      <c r="P980" s="58"/>
    </row>
    <row r="981">
      <c r="B981" s="59"/>
      <c r="I981" s="60"/>
      <c r="P981" s="58"/>
    </row>
    <row r="982">
      <c r="B982" s="59"/>
      <c r="I982" s="60"/>
      <c r="P982" s="58"/>
    </row>
    <row r="983">
      <c r="B983" s="59"/>
      <c r="I983" s="60"/>
      <c r="P983" s="58"/>
    </row>
    <row r="984">
      <c r="B984" s="59"/>
      <c r="I984" s="60"/>
      <c r="P984" s="58"/>
    </row>
    <row r="985">
      <c r="B985" s="59"/>
      <c r="I985" s="60"/>
      <c r="P985" s="58"/>
    </row>
    <row r="986">
      <c r="B986" s="59"/>
      <c r="I986" s="60"/>
      <c r="P986" s="58"/>
    </row>
    <row r="987">
      <c r="B987" s="59"/>
      <c r="I987" s="60"/>
      <c r="P987" s="58"/>
    </row>
    <row r="988">
      <c r="B988" s="59"/>
      <c r="I988" s="60"/>
      <c r="P988" s="58"/>
    </row>
    <row r="989">
      <c r="B989" s="59"/>
      <c r="I989" s="60"/>
      <c r="P989" s="58"/>
    </row>
    <row r="990">
      <c r="B990" s="59"/>
      <c r="I990" s="60"/>
      <c r="P990" s="58"/>
    </row>
    <row r="991">
      <c r="B991" s="59"/>
      <c r="I991" s="60"/>
      <c r="P991" s="58"/>
    </row>
    <row r="992">
      <c r="B992" s="59"/>
      <c r="I992" s="60"/>
      <c r="P992" s="58"/>
    </row>
    <row r="993">
      <c r="B993" s="59"/>
      <c r="I993" s="60"/>
      <c r="P993" s="58"/>
    </row>
    <row r="994">
      <c r="B994" s="59"/>
      <c r="I994" s="60"/>
      <c r="P994" s="58"/>
    </row>
    <row r="995">
      <c r="B995" s="59"/>
      <c r="I995" s="60"/>
      <c r="P995" s="58"/>
    </row>
    <row r="996">
      <c r="B996" s="59"/>
      <c r="I996" s="60"/>
      <c r="P996" s="58"/>
    </row>
    <row r="997">
      <c r="B997" s="59"/>
      <c r="I997" s="60"/>
      <c r="P997" s="58"/>
    </row>
    <row r="998">
      <c r="B998" s="59"/>
      <c r="I998" s="60"/>
      <c r="P998" s="58"/>
    </row>
    <row r="999">
      <c r="B999" s="59"/>
      <c r="I999" s="60"/>
      <c r="P999" s="58"/>
    </row>
    <row r="1000">
      <c r="B1000" s="59"/>
      <c r="I1000" s="60"/>
      <c r="P1000" s="58"/>
    </row>
  </sheetData>
  <autoFilter ref="$A$1:$T$101">
    <filterColumn colId="16">
      <filters/>
    </filterColumn>
  </autoFilter>
  <conditionalFormatting sqref="C1:R1000">
    <cfRule type="cellIs" dxfId="0" priority="1" operator="equal">
      <formula>"SDG 7"</formula>
    </cfRule>
  </conditionalFormatting>
  <conditionalFormatting sqref="C1:R1000">
    <cfRule type="cellIs" dxfId="1" priority="2" operator="equal">
      <formula>"NOT SDG 7"</formula>
    </cfRule>
  </conditionalFormatting>
  <conditionalFormatting sqref="C1:R1000">
    <cfRule type="cellIs" dxfId="2" priority="3" operator="equal">
      <formula>"TO DO"</formula>
    </cfRule>
  </conditionalFormatting>
  <conditionalFormatting sqref="C1:R1000">
    <cfRule type="cellIs" dxfId="3" priority="4" operator="equal">
      <formula>"SKIP"</formula>
    </cfRule>
  </conditionalFormatting>
  <drawing r:id="rId1"/>
</worksheet>
</file>