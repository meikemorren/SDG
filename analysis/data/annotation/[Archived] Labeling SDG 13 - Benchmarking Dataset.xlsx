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7" name="_xlnm._FilterDatabase">'Final Review'!$A$1:$S$101</definedName>
    <definedName hidden="1" localSheetId="8" name="_xlnm._FilterDatabase">Output!$A$1:$G$100</definedName>
  </definedNames>
  <calcPr/>
</workbook>
</file>

<file path=xl/sharedStrings.xml><?xml version="1.0" encoding="utf-8"?>
<sst xmlns="http://schemas.openxmlformats.org/spreadsheetml/2006/main" count="2368" uniqueCount="459">
  <si>
    <t>Hello 👋</t>
  </si>
  <si>
    <t>Welcome to the labeling exercise for SDG 13.</t>
  </si>
  <si>
    <t>The objective of this exercise is to label 100 texts in terms of their relevance to SDG 13.</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</si>
  <si>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</si>
  <si>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</si>
  <si>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</si>
  <si>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</si>
  <si>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</si>
  <si>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</si>
  <si>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</si>
  <si>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</si>
  <si>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</si>
  <si>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13</t>
  </si>
  <si>
    <t>This text is not relevant to SDG 13</t>
  </si>
  <si>
    <t>SKIP</t>
  </si>
  <si>
    <t>You can use this if you are not sure about the label</t>
  </si>
  <si>
    <t>If you want, you can put any comments in column D.</t>
  </si>
  <si>
    <t>Instructions for Labeling</t>
  </si>
  <si>
    <t>The text should be annotated as SDG 13 only if:</t>
  </si>
  <si>
    <r>
      <rPr>
        <rFont val="Arial"/>
        <color theme="1"/>
        <u/>
      </rPr>
      <t xml:space="preserve">1. The text addresses </t>
    </r>
    <r>
      <rPr>
        <rFont val="Arial"/>
        <b/>
        <color theme="1"/>
        <u/>
      </rPr>
      <t>SDG 13 or one of its targets</t>
    </r>
  </si>
  <si>
    <t>See the official definitions of SDG 13 and its targets below ("SDG 13 Description &amp; Targets").</t>
  </si>
  <si>
    <t>AND</t>
  </si>
  <si>
    <r>
      <rPr>
        <rFont val="Arial"/>
        <color theme="1"/>
        <u/>
      </rPr>
      <t xml:space="preserve">2. The text addresses SDG 13 or its targets </t>
    </r>
    <r>
      <rPr>
        <rFont val="Arial"/>
        <b/>
        <color theme="1"/>
        <u/>
      </rPr>
      <t>directly</t>
    </r>
    <r>
      <rPr>
        <rFont val="Arial"/>
        <color theme="1"/>
        <u/>
      </rPr>
      <t>:</t>
    </r>
  </si>
  <si>
    <t>- the text should be directly relevant to SDG 13 or to achieving SDG 13</t>
  </si>
  <si>
    <t>- if a text only has an indirect or implicit relevance, it should not be labeled SDG 13</t>
  </si>
  <si>
    <r>
      <rPr>
        <rFont val="Arial"/>
        <color theme="1"/>
        <u/>
      </rPr>
      <t xml:space="preserve">3. The text addresses SDG 13 or its targets </t>
    </r>
    <r>
      <rPr>
        <rFont val="Arial"/>
        <b/>
        <color theme="1"/>
        <u/>
      </rPr>
      <t>specifically</t>
    </r>
    <r>
      <rPr>
        <rFont val="Arial"/>
        <color theme="1"/>
        <u/>
      </rPr>
      <t>:</t>
    </r>
  </si>
  <si>
    <t>- the text should be specific to SDG 13 and its targets</t>
  </si>
  <si>
    <t>- if fact stating, the text should contain value-laden words (e.g. renewable energy instead of energy, drug abuse instead of drugs, infant mortality instead of premature deaths)</t>
  </si>
  <si>
    <r>
      <rPr>
        <rFont val="Arial"/>
        <color theme="1"/>
        <u/>
      </rPr>
      <t xml:space="preserve">4. Annotate as SDG 13 regardless of </t>
    </r>
    <r>
      <rPr>
        <rFont val="Arial"/>
        <b/>
        <color theme="1"/>
        <u/>
      </rPr>
      <t>valence</t>
    </r>
    <r>
      <rPr>
        <rFont val="Arial"/>
        <color theme="1"/>
        <u/>
      </rPr>
      <t xml:space="preserve"> and </t>
    </r>
    <r>
      <rPr>
        <rFont val="Arial"/>
        <b/>
        <color theme="1"/>
        <u/>
      </rPr>
      <t>other SDGs</t>
    </r>
    <r>
      <rPr>
        <rFont val="Arial"/>
        <color theme="1"/>
        <u/>
      </rPr>
      <t>:</t>
    </r>
  </si>
  <si>
    <t>- annotate as SDG 13 regardless of whether the content is discussed in a positive or negative light. We ignore valence (sentiment) for now.</t>
  </si>
  <si>
    <t>- annotate as SDG 13 even if other SDGs are mentioned and annotate as SDG 13 even if SDG 13 is not the "most important" SDG in the text</t>
  </si>
  <si>
    <t>With all that said, please do trust your judgment! I am sure we will have important discussions about these issues next time — which is exactly what we want 😊</t>
  </si>
  <si>
    <t>SDG 13 Description &amp; Targets</t>
  </si>
  <si>
    <t>SDG 13</t>
  </si>
  <si>
    <t>Take urgent action to combat climate change and its impacts</t>
  </si>
  <si>
    <t>Target 13.1</t>
  </si>
  <si>
    <t>Strengthen resilience and adaptive capacity to climate-related hazards and natural disasters in all countries</t>
  </si>
  <si>
    <t>Target 13.2</t>
  </si>
  <si>
    <t>Integrate climate change measures into national policies, strategies and planning</t>
  </si>
  <si>
    <t>Target 13.3</t>
  </si>
  <si>
    <t>Improve education, awareness-raising and human and institutional capacity on climate change mitigation, adaptation, impact reduction and early warning</t>
  </si>
  <si>
    <t>Target 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</si>
  <si>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</si>
  <si>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Target 13.b</t>
  </si>
  <si>
    <t>Promote mechanisms for raising capacity for effective climate change-related planning and management in least developed countries and small island developing States, including focusing on women, youth and local and marginalized communities</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</si>
  <si>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</si>
  <si>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</si>
  <si>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</si>
  <si>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</si>
  <si>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</si>
  <si>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</si>
  <si>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</si>
  <si>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</si>
  <si>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</si>
  <si>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</si>
  <si>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</si>
  <si>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</si>
  <si>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</si>
  <si>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13. The reason for selecting each text is documented in the "Source" sheet.</t>
  </si>
  <si>
    <t>Automatic Selection (50 texts)</t>
  </si>
  <si>
    <t>50 texts were selected automatically</t>
  </si>
  <si>
    <t>- 25 texts that OSDG community labeled as "SDG 13"</t>
  </si>
  <si>
    <t>- 25 texts that OSDG community labeled as "not SDG 13"</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</si>
  <si>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</si>
  <si>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</si>
  <si>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</si>
  <si>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</si>
  <si>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</si>
  <si>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</si>
  <si>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</si>
  <si>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</si>
  <si>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</si>
  <si>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25 texts that OSDG community labeled as "SDG 13"</t>
  </si>
  <si>
    <t>- 5 texts that relate to the goal as a whole</t>
  </si>
  <si>
    <t>- 20 texts (4 per target) that relate to the SDG targets</t>
  </si>
  <si>
    <t>25 texts that OSDG community labeled as "not SDG 13"</t>
  </si>
  <si>
    <t>- 5 texts that contain words relating to the goal as a whole</t>
  </si>
  <si>
    <t>- 20 texts (4 per target) that contain words relating to the SDG targets</t>
  </si>
  <si>
    <t>Text ID</t>
  </si>
  <si>
    <t>Text</t>
  </si>
  <si>
    <t>SDG 13 Label</t>
  </si>
  <si>
    <t>Comments (optional)</t>
  </si>
  <si>
    <t>c06441e414c0053d15771b0a7ad88b5c</t>
  </si>
  <si>
    <t>Encouraging systematic reporting on climate finance at a disaggregated level (such as activity-level information) could also help improve transparency, as well as accessibility of information. Reporting in the form of a standardised database with common variables and classifications (such as exchange rates) would also help to improve consistency. In this context, the UNFCCC could usefully draw on the experience from existing statistical systems on international flows, such as the OECD DAC.</t>
  </si>
  <si>
    <t>ff2679ddf016ef04e163c6898249b438</t>
  </si>
  <si>
    <t>The Policy Forum brought together policy-makers and experts from 25 OECD countries, from international organisations and from the private sector to discuss progress, common challenges and successes in the development of national adaptation strategies (OECD, 2012b). The original version included additional European countries which are excluded from the updated table, and also did not include four OECD countries (Chile, Israel, Luxembourg and Turkey) which are included in this analysis. Most OECD members are Annex I countries, with the exception of Chile, Israel, Korea, Mexico. Turkey is an Annex I country, but has only published one NC. The assessment of the scope of discussion is based on the level of attention paid to the topic, classified as: i) extensive, ii) limited, or iii) lacking.</t>
  </si>
  <si>
    <t>not clear if climate</t>
  </si>
  <si>
    <t>4cf9ad44865017149316746a9793ad1b</t>
  </si>
  <si>
    <t>However, when such actions provide both private and public benefits, the public sector may play a role in how these are developed. This report aims to establish a framework to help identify specific actions that governments could take in this respect and that could avoid sending signals leading to non-adaptation or maladaptation. This report begins with a review of national adaptation strategies for the agricultural sector in OECD countries and highlights different approaches undertaken by governments.</t>
  </si>
  <si>
    <t>7ec93941c63752701a2ef7870e4c4257</t>
  </si>
  <si>
    <t>Many of the diverse carbon-related investment ideas in the CRGE are practicable and financially sound. While such ideas have not yet reaped rewards in terms of significant climate funding, they have improved the confidence of Ethiopia’s bilateral donors, some of whom have supported the CRGE process, but more of whom are considering ways to help Ethiopia address the evident implementation and capacity challenges. While the current focus of the CRGE is usefully tactical, if the singular focus on achieving MIC status and GHG reduction were to continue beyond an initial carefully-monitored phase, that focus could bias against future options for wellbeing. Sustainable development demands, ultimately, that linked systemic problems are tackled with systemic improvements to institutions and governance, and not just with investment projects. It requires changing the way that routine government expenditure is channelled, and not just with attracting new sources of finance. It demands attention to the range of environmental opportunities, and not just with GHGs.</t>
  </si>
  <si>
    <t>b5591155854d75dc564575f388eacfe7</t>
  </si>
  <si>
    <t>The Agreement lists possible vehicles through which an adaptation communication could be submitted (Article 7.11), while leaving the form and timing of an adaptation communication open. The Paris Agreement also stresses that adaptation reporting should avoid creating any additional burden for developing country Parties. At a national level, identifying and collating information could help a country communicate its priority needs and actions, identify progress towards national goals, highlight the need for international support, and better co-ordinate and communicate actions and funding within the country.</t>
  </si>
  <si>
    <t>44272fd9a3e9cb89d4370b435c53bcc7</t>
  </si>
  <si>
    <t>Examples of capacity elements for each of the three levels are summarised in Table 2.2. A Practical Guide for Planning, implementing, and Assessing Capacity Building of HIV/AIDS Monitoring and Evaluation Systems, Office of the Global AIDS Coordinator, United States Government, Washington, DC. The objective of the assessment was to identify the strengths and weaknesses of the government’s approach to MfDR. The assessment found that there was a significant lack of capacity to monitor and evaluate public policies in all sectors. Further, the majority of sectors lacked the capacity to analyse statistical data and to use monitoring and evaluation findings to inform decision-making processes (Government of Ghana, 2012).</t>
  </si>
  <si>
    <t>496987454c498ea9a52f60b40e4abadb</t>
  </si>
  <si>
    <t>Examples of this are the initiatives undertaken by the Chilean Government following the 2010 earthquake and the Emergency Grant distributed to persons affected by disasters by the Ecuadoran Government. In terms of policy proposals, an interesting case is Trinidad and Tobago, where an economic subsidy for home repair is available to the recipients of non-contributory pensions. It would also be advisable to intensify efforts to expand the population eligible for cash transfers following a disaster, to include families that do not have older members or school-age children. The aim is for those families to be eligible for a cash transfer in adverse situations not of their choice, at least on a temporary basis.</t>
  </si>
  <si>
    <t>target 13.1</t>
  </si>
  <si>
    <t>2ce23ba1ca724800a7753d7728b03791</t>
  </si>
  <si>
    <t>The discussion covers a variety of international and national actors, including development finance institutions, international climate funds, governments and relevant government agencies. Data regarding global finance flows are mostly drawn from the Climate Policy Initiative (CPI) reports as they represent the most comprehensive source of such flows to date. Second, the paper focuses on the regional landscape of climate finance in the Asia-Pacific region, with particular attention given to active climate funds, multilateral development banks, the distribution of climate finance across countries, and national-level initiatives.</t>
  </si>
  <si>
    <t>701b01382264358af6eecebbabe5d716</t>
  </si>
  <si>
    <t>Authorship is usually collective, but principal authors are named. Some programmes have multiple donors, in which case they have been recorded under the agency that supplied the document. Some projects and programmes only have ex ante evaluations, others have ex ante and ex post evaluations as well as a number of intermediate reviews. This is in part due to the timing of the projects.</t>
  </si>
  <si>
    <t>26443f27488420a4af1a208fd73f5bbd</t>
  </si>
  <si>
    <t>In 2015, the geographic scope was expanded to include small island developing States in the Pacific. It contributes to the narrowing of capacity gaps through regional and South-South cooperation, sharing of resources and the development of an integrated regional warning system comprising a network of collaborative centres. Civil society innovations and business sector initiatives.</t>
  </si>
  <si>
    <t>39e8f1930335d2a3b6161db61e538edc</t>
  </si>
  <si>
    <t>There was some causality to this correlation in that opportunity for corruption in those states was bred by the inflow of large sums of relief funding and lucrative postdisaster construction contracts (ibid.). In sectors and localities, corrupt practices can increase disaster risk by corroding a culture of compliance that is key to the effectiveness of codes, standards and similar regulatory mechanisms. The construction industry is one of the sectors most critical to disaster risk management and also one of the most prone to corruption (Transparency International, 2005).</t>
  </si>
  <si>
    <t>df44786a351fe3f62c262366d0e30b62</t>
  </si>
  <si>
    <t>The data used include results from 91 studies with 1 722 estimates of changes in crop yields by Challinor et al., There are wide variations among the studies, in terms of time-frame, crop coverage, crop and climate models, and emission levels. Some studies include the effects of adaptation measures, but others do not.</t>
  </si>
  <si>
    <t>fight climate impacts? weak</t>
  </si>
  <si>
    <t>69dc28d3d07ccb48f87aa145b030b6a4</t>
  </si>
  <si>
    <t>This also helped the analysis to be done in the very short time available - from February 2011 to the Durban Climate Change Conference (COP 17) at the end of the year. Over 50 Ethiopian experts from the selected sectors generated data, which the external consultants calculated BAU emissions projections for sectors that were identified to be higher sources of emissions (Table 2) and came up with possible abatement measures in those sectors and their individual marginal abatement cost. Projections for 2025 demonstrated that the current pathway for economic development will increase GHG emissions by more than 150%.</t>
  </si>
  <si>
    <t>6ffe9bf74c3883ac32ff1d5b3f80cb59</t>
  </si>
  <si>
    <t>It would also be helpful to have some degree of international convergence on the approach to be used for calculating national BAU baselines. Parties could agree the time frame and GWPs or other GHG-equivalence metric to be used for commitments. It is possible that bounded flexibility could also be negotiated for other dimensions of mitigation commitments, depending on the varying national circumstances of countries.</t>
  </si>
  <si>
    <t>59fcd1290730dc297569125d61852dec</t>
  </si>
  <si>
    <t>The IIC mentioned above has identified an unexpected benefit related to their programming and hiring practices, which gives some preference to applicants from local indigenous communities. What IIC has observed is that in addition to individual benefits related directly to their programme involvement, a meaningful number of these former staff and students have subsequently gone on to influential positions in their communities. With such relationships between the centre and nearby community leaders established over time, IIC is in a very good position to support broad and powerful community-based ESD within traditional channels. This programme has drawn participants from school-based eco-clubs which are common in the country, and is part of a tiered approach to ECHO’s work with communities that also includes the establishment of eco-teams involving adults and community leaders to support student and youth activities (Kaieteur News 2010).</t>
  </si>
  <si>
    <t>8c27ff6209202070dbd763c6241ad2bd</t>
  </si>
  <si>
    <t>Likely that different Parties will develop national and sub-national institutions. One option is that the current institutional arrangements shall support Patties in implementing adaptation. Another is that new international institutional arrangements such as a subsidiary body for adaptation or adaptation registry should be developed.</t>
  </si>
  <si>
    <t>not enough context that it is about climate</t>
  </si>
  <si>
    <t>b6ff332fb8f8c8f1c7028fa5938d2382</t>
  </si>
  <si>
    <t>Exercise Report, IOWave 14. Most of the gaps here - such as improving communication among key actors, participation of local communities and performance assessments - relate to good governance. Gender issues as well as the special needs of other vulnerable groups such as pregnant women and older persons also need to be taken into account. International standards proving common alert levels and colour codes in a multi-hazard approach could help facilitate this. But it is important also to build the political will and institutional commitment to ensure the necessary resources and coordination. Integrate the concept of ‘early warning as a public good’ into national planning, policy and decision-making.</t>
  </si>
  <si>
    <t>77e831e56461b254b01dcc2544f226f1</t>
  </si>
  <si>
    <t>A number of factors, however, can complicate sharing lessons both within and between organisations. These include lack of formal co-ordination and advanced planning, uncertainty on how to organise information in a useful format, and difficulties in making context-specific findings relevant to other interventions (e.g. see previous discussion on RCTs). For instance, an independent review of the CIFs highlighted that the incorporation of information sharing and lesson learning in interventions varied significantly by fund (ICF, 2013).</t>
  </si>
  <si>
    <t>34a99e6f5fa914f7a0242511d1a35964</t>
  </si>
  <si>
    <t>Since the late 1990s, the Government of Ethiopia has had clear aspirations for broad-based sustainable development and poverty reduction, as evidenced in a series of strategies such as the Sustainable Development for Poverty Reduction Programme (SDPRP, 2000-2004), the Plan for Accelerated and Sustained Development to End Poverty (PASDEP, 2005 to 2009), and the Growth and Transformation Plan (GTP, 2010-2014). The effects on the economy of the first two strategies were judged to be very significant, with strong economic growth, poverty reduced, employment increased, and some exports flourishing (MoFED, 2002,2005). Its clear link to the GTP, notably its reassertion of the need to achieve middle-income status, means that it builds on previous decisions about where national development is headed.</t>
  </si>
  <si>
    <t>39089c8f728768b345d5366230965a8b</t>
  </si>
  <si>
    <t>Ministers and other senior policy officials can champion the importance of monitoring and evaluation and ensure that findings contribute to a transparent, evidence-based adaptation policy planning and implementation process (Segone, 2008). There is also scope for greater exchange among countries of lessons learned on effective adaptation approaches and on methods used to monitor and evaluate them. Answerability is primarily based on political will to justify decisions and actions based on the monitoring and evaluation of adaptation interventions. Enforceability, on the other hand, refers to the ability of governments to ensure that national policy commitments agreed upon (e.g. in their annual or periodic development plans) are being met and that corrective measures are undertaken when they are not.</t>
  </si>
  <si>
    <t>unclear if climate</t>
  </si>
  <si>
    <t>b3c8363c053550e71a1ce55c73052786</t>
  </si>
  <si>
    <t>The integrated nature of the public policies is based (among other factors) on a correct definition of the beneficiaries in socioeconomic and territorial terms, which depends on the quality of disaggregated data available at the household and territorial levels, to be able to distinguish zones or settlements. The institutional framework needs the capacity to identify households and localities that are highly exposed and vulnerable to disasters, in an efficient and planned way, so that they can be included among the priority objectives of public policies aimed at increasing resilience to such phenomena among people and communities. Development Policy Review, vol.</t>
  </si>
  <si>
    <t>d07386044818372985bffc36a8bf81f3</t>
  </si>
  <si>
    <t>Given the variety of technologies, sectors, and scales of technology-transfer interventions, it would be difficult to have a single meaningful indicator that could be aggregated across multiple projects. For instance, the Global Environment Facility’s (GEF) indicator for technology-transfer interventions is qualitative in nature, focusing on capturing the type and maturity of technologies that are being transferred. Mitigation-focused interventions generally seek to reduce GHG emissions directly (e.g. by improving fuel combustion efficiencies) or indirectly and/or in the longer-term (e.g. by increasing awareness about low-GHG technologies). Projects seeking to increase adaptive capacity and resilience can take a number of forms (e.g. awareness and education programmes, institutional reforms, physical infrastructure projects) and have results that accrue at local, regional, or global scales and over different time horizons.</t>
  </si>
  <si>
    <t>878040846cfddc6b0f3cd28e1cf7d045</t>
  </si>
  <si>
    <t>Equity usually attracts investors that are looking for higher risk. Public investment per capita in 2012 fell in 15 out of 33 OECD countries, compared to 2007 (OECD, 2014a). The low-carbon transition will require the large-scale mobilisation of all sources of private sector investment and finance (Corfee-Morlot et al.,</t>
  </si>
  <si>
    <t>8f649ca15674f420fb2ea6554e6ed03d</t>
  </si>
  <si>
    <t>Nonetheless, all 11 countries are eligible to receive official development assistance (ODA) from OECD DAC member countries. They also have access to some of the funding sources under the Financial Mechanism of the Convention2 (e.g. Global Environment Facility, or the GEF). Exceptions include the Least Developed Countries Fund operated by the GEF since none of the EECCA countries is categorised as a Least Developed Country under the UN. While the data analysed in this chapter is on climate-related development finance committed in 2013 and 2014, the Board of the Green Climate Fund approved two project proposals in the EECCA region at its 13th meeting in June 2016 (one in Armenia and the other in Tajikistan and Uzbekistan).</t>
  </si>
  <si>
    <t>573084d18b440c49006f1ae5691b785f</t>
  </si>
  <si>
    <t>The low-carbon transition will require mobilising of all sources of public and private sector investment and finance, including institutional investors. Governments need to use their scarce resources to trigger large-scale private sector investment in activities otherwise unlikely to attract sufficient private funding. However, some financial systems regulations hinder the allocation of longterm finance to low-carbon infrastructure investments.</t>
  </si>
  <si>
    <t>4d61af08bc277e91c8f6e284f03ee85d</t>
  </si>
  <si>
    <t>Countries pointed out that given the small number of officials working on climate finance in national ministries, just one staff member working on tracking and monitoring would be a large proportion of their human resources. Developed countries have committed to provide financial support to cover the full cost incurred by developing countries in complying with reporting duties towards the UNFCCC16. For example, as part of national Climate Public Expenditure and Institutional Reviews (CPEIRs), a group of international organisations and research institutes are collaborating to assist countries in tracking climate finance across national budgets. It was widely recognised that tracking flows to a certain level of granularity is also a pre-condition for monitoring outcomes and outputs.</t>
  </si>
  <si>
    <t>a3761ca30cb3fc6ab902a6cb4654005e</t>
  </si>
  <si>
    <t>Despite the shift in the economic structure, agriculture remains a major source of economic growth for the country, the principal source of income for the rural majority, and critical for food security for all Ethiopians. If poverty is to be reduced, and wealth created in ways in which the majority of the population can participate, then agriculture clearly has to be at the heart of any inclusive and green development strategy. More than 70% of crop land is devoted to cereal production, that area having expanded by 27% from 7.0 million hectares in 2003/04 to 9.6 million in 2011/12. More than 11 million smallholders engage in cereal production, with cereal production totalling 18 million tonnes in 2011/12.</t>
  </si>
  <si>
    <t>could be non-climate related</t>
  </si>
  <si>
    <t>fb8a400d6dce461b88707fa0f4d02f39</t>
  </si>
  <si>
    <t>The GCF Board has set a target of committing US$2.5 billion in funding in 2016, in June 2015, nine projects with a value of US$257 million in GCF resources and total cost of US$585 million, were approved. The low approval level is indicative of the challenges the GCF is facing as a new institution, the capacity constraints of the direct access entities and at the national level, staffing constraints in the GCF Secretariat, and the rigorous project preparation requirements that did not distinguish between project type and size. At its June 2016 meeting, the GCF Board approved the operational guidelines for its Project Preparation Facility and a simplified procedure for micro-scale and small-scale funding proposals that are assessed as low risk or no risk. These new procedures should accelerate the project approval process.</t>
  </si>
  <si>
    <t>9941b10e52bd2df1557343a693c3cb52</t>
  </si>
  <si>
    <t>For instance, Jordan’s INDC states that their mitigation and adaptation measures should be linked and also aligned with specific Sustainable Development Goals. This approach could help countries streamline their effort for monitoring and reporting given that a number of indicators to monitor progress towards SDGs and their targets might overlap with those needed for adaptation. Some countries use different timescales for different sectors (e.g. Guinea-Bissau’s and Lao People’s Republic), while about 40 countries’ adaptation components of INDCs have no mention of timeframes. Some INDCs have expressed that they will use existing systems to monitor and evaluate the effectiveness of adaptation actions (e.g. Zambia).</t>
  </si>
  <si>
    <t>c5a826c20b377bf1adb012a8fb56b9de</t>
  </si>
  <si>
    <t>Regions and municipalities are also responsible for the implementation of much of Finland’s National Adaptation Strategy, and approximately a third of regions/municipalities had an adaptation strategy by 2012 (Luhtala, 2012). Some climate funds have specific “windows” for funding local adaptation actions. For example, the Bangladesh Climate Change Resilience Fund (BCCRF) includes a USD 10.4 million window for a “Community Climate Change Fund” which is to provide grants for community-based projects (BCCRF, 2012).</t>
  </si>
  <si>
    <t>d3e888a7bb7201bc4d6a1e4f09015bf7</t>
  </si>
  <si>
    <t>Table VIII.l shows the breakdown of types of disaster in the different subregions of Latin America and the Caribbean. Studies by Blaikie and others (1996) and by Cutter, Boruff and Shirley (2003) clearly identify the vulnerability factors that contribute to the occurrence of disasters. These include poverty, urban expansion into areas unsuitable for building, economic dependency on agricultural activities, the scant existence of financial insurance policies covering disasters, and growing environmental degradation. The consequence of this is that developing countries are highly likely to suffer extreme weather events, high temperatures, and the disruption of ecological systems that are bound to generate new risks for life, settlements, public-service infrastructure and production, among other things (Lo Vuolo, 2014, p. 19).</t>
  </si>
  <si>
    <t>74f5f26b90fc869a2a9aae8c43b48da1</t>
  </si>
  <si>
    <t>However, the ability of an intervention to mobilise or leverage financing does not necessarily imply effectiveness in a broader sense. For instance, some analysis has highlighted the possibility that high leverage or mobilisation rates may indicate a strong perception of commercial viability amongst private investors who may have invested without public intervention (Stadelmann et al., In addition to its narrow focus, one of the difficulties in using financial mobilisation as an indicator in assessing effectiveness is that there are wide differences in how mobilisation and leverage are defined and measured between different institutions (see Caruso and Ellis, 2013 for a more detailed discussion). Even in the absence of methodological differences, mobilisation rates will vary significantly across financial instruments, technologies, sectors, and countries (UN AGF, 2010, Smallridge, et al.,</t>
  </si>
  <si>
    <t>f78857097015f3464577232fe7af3987</t>
  </si>
  <si>
    <t>Article 13 also establishes a two-step review and consideration process. The first step is a technical expert review of information on mitigation and support provided. The review will identify areas of improvement for the Party, review consistency with the modalities and guidelines to be developed under Article 13.13, and assist developing country Parties to identify capacity-building needs (for those that need it).</t>
  </si>
  <si>
    <t>991424ae3d1a00619b4d51308b5775d9</t>
  </si>
  <si>
    <t>It also uses the term “recipient” for the country, programme or activity the funds are being channelled to. Such terms may be less relevant for developing countries that provide support, given the different nature, modalities and responsibilities applicable to South-South co-operation. Countries are not viewed as donors and recipients, but providers and partners.22 Not all countries agree with the “boundaries” of ODA and OOF as defined by the OECD or view them as applicable (OECD, 2015b, Walz and Ramachandran, 2011).</t>
  </si>
  <si>
    <t>caa44e92110e395863352c6e68e8aa87</t>
  </si>
  <si>
    <t>Depending on the results of this risk assessment process, they may decide that it is necessary to implement explicit risk management strategies. Each successive level builds on the results of the preceding one. The key question for them is what their risks are now and how these will evolve over time.</t>
  </si>
  <si>
    <t>5e242763926d5068bfc1388cbd6beda2</t>
  </si>
  <si>
    <t>There are now stand-alone goals on inequalities, cities and human settlements, energy, climate change, sustainable consumption and production, and the protection of marine and terrestrial ecosystems. This broad agenda reflects human rights principles and standards and recognizes the interlinkages between different areas of development and the importance of environmental and climate protection for poverty reduction and human well-being. Nevertheless, the agenda is fraught with tensions both between different goals and between its normative aspirations and the suggested means of implementation that largely rely on trade, private finance and public-private partnerships (chapter 7).</t>
  </si>
  <si>
    <t>555d67cba1d1d1935b39ec487291ffe2</t>
  </si>
  <si>
    <t>However it is also vital to restore the communications infrastructure as a whole. The internet, however, operates on the principles of packet-switching in which individual packets of information that make up a message can take any one of multiple routes according to availability. This level of redundancy makes it inherently more flexible and resilient.</t>
  </si>
  <si>
    <t>a3c29985fccdc701de3acc3073d3fafa</t>
  </si>
  <si>
    <t>With per-person GDP of only $380‘, the proportion of the population below the poverty line in 2010/11 was 30.4% in rural areas and 25.7% in urban areas. Poverty has declined substantially according to the national Household Income Consumption Expenditure Survey. Between 2004/05 and 2010/11, income inequality measured by Gini Coefficient was changed little - from 0.3 in 2004/05 to 0.298 in 2010/11.2 While urban inequality declined from 0.44 to 0.37, rural inequality increased from 0.26 to 0.27 (MoFED, 2012a).</t>
  </si>
  <si>
    <t>abdef9b2251fa5f2e0e0852b0d27c604</t>
  </si>
  <si>
    <t>This work stands out because of its emphasis on literature, culture and citizenship, as opposed to the more directly environmental approach to ESD common in much of the Caribbean. Also notable in this regard is an undergraduate course in teaching Caribbean poetry, which was designed in collaboration with Cambridge University, and integrates a sustainability focus through a strand on literature and the environment. In addition to these courses, the university is also exploring ESD possibilities campus-wide.</t>
  </si>
  <si>
    <t>6cba4afe64656c7d244f85f141d4a7b1</t>
  </si>
  <si>
    <t>These include: a strong commitment at both the national and international levels to support and mobilise private investment for green growth, policies and regulations to provide a level playing field for more environment-friendly investments, policies to encourage more environmentally responsible corporate behaviour, an institutional capacity to design, implement and monitor policies to foster green growth objectives, financial mechanisms for green investment, and policies to support private sector involvement in green projects (Corfee-Morlot et al., The targeted use of official development finance is particularly relevant to set the right incentives (e.g. fiscal, economic, legislative, etc.) In particular, since some green sectors operate in highly regulated markets (e.g. energy), development finance could support opening up markets for private actors or help set regulatory environment conducive for private investments in these sectors.</t>
  </si>
  <si>
    <t>9fd2870b7e589b645d6740ac4d498527</t>
  </si>
  <si>
    <t>This indication came at COP16 in Cancun, when a senior member of the Chinese delegation declared that there had been some rethinking on transparency: "Now we think: if we have done something, why not say so?"121 Having formerly refused international monitoring of domestic mitigation efforts, this statement suggests a loosening of a tightly held position. While the implementation schemes have not yet been agreed, this development does signal a change. On the one hand, as the Copenhagen pledge has been incorporated into the twelfth five-year programme, the central leadership feels reassured that China will meet its target and thus not risk being exposed as a weak and unreliable actor in the international regime.</t>
  </si>
  <si>
    <t>awareness raising</t>
  </si>
  <si>
    <t>2b76e51c238ec3325f9888c4de210b3c</t>
  </si>
  <si>
    <t>Internal risks as they apply to individual public institutions or to the institutional system as a whole are not considered in detail here. For example, although risk management is an essential component of public procurement processes, it is out of the scope of this chapter. Similarly, anti corruption, for which riskand vulnerability are key considerations for effective strategies, is not addressed here (see chapter 2 in this report for a treatment of risk i n corruption).</t>
  </si>
  <si>
    <t>553b773cde3b284c8c8e09b84d3bbbbf</t>
  </si>
  <si>
    <t>In coastal areas, the challenge often exists of preventing the destruction of sand dunes owing to the construction of tourism facilities close to the water. The degradation of sand dunes not only alters the coastal ecosystem but, in the long run, also increases those facilities’ exposure to storms and water rise (Magnan, 2014). This situation entails a typical tradeoff between economic development and environmental challenges. Ideally, an integrated approach would attenuate the impact of the trade-off by limiting habitat degradation and consequently the collateral effect on assets in terms of their exposure to climate-related hazards. Such an approach may not completely eliminate the trade-off, but, by taking into account the negative effects, it can put in place compensation mechanisms, such as for protecting marine ecosystems so as to allow them to maintain their natural resilience and adaptive capacities, and then ensuring that their buffering function against waves is maintained (ibid.).</t>
  </si>
  <si>
    <t>99964ce761d15a0adc936922afb552c4</t>
  </si>
  <si>
    <t>However, recognising that developing and implementing a national framework can be time-consuming and resource intensive, countries may choose to initially focus on aspects that can be monitored within existing limits of data availability and monitoring and evaluation capacity. Over time, the coverage and scope may gradually expand (GIZ, 2013). For monitoring and evaluation to contribute to learning, it is beneficial if they are based on demand for the information by those closely linked to policy-making processes.</t>
  </si>
  <si>
    <t>0a6a879c1641eb1e51a334847978239c</t>
  </si>
  <si>
    <t>According to data from the World Bank Enterprise Surveys from 2010-2017 in developing countries, access to finance is the foremost barrier to firm development (World Bank, 2017, Figure 1.1). These financial constraints are exacerbated for green growth and climate action in which the private sector is sometimes reluctant to invest, in part, to a lack of proven and readily available business models or a failure to understand the business case. Development cooperation can address both the demand side and offer side of the access to finance equation. On the one hand, it can stimulate demand for clean technologies, for example, by raising awareness and demonstrating the business case.</t>
  </si>
  <si>
    <t>0d3ace55e7a546da51f0b83614df28ad</t>
  </si>
  <si>
    <t>Bilateral DFIs are usually owned by donor governments, source their core capital from official development funds, and have access to government guarantees. Some examples include Proparco (France), DEG (Germany) and FMO (Netherlands). The multilateral equivalents of DFIs are the private sector arms or departments of multilateral development banks (such as the International Finance Corporation under the World Bank Group, and non-sovereign operations under the regional development banks).</t>
  </si>
  <si>
    <t>150d07b74a3d498d523fa88ea385347b</t>
  </si>
  <si>
    <t>The Paris Agreement requires all Parties to undertake and communicate national mitigation and adaptation measures to respond to the threat of climate change. In addition, developed countries are required to provide and report on financial assistance, technology transfer and capacity-building support to developing-country Parties to the Agreement. For their part, developing countries are expected to provide information on the support needed and received.</t>
  </si>
  <si>
    <t>06fd29e21b58d3feba47d74236d45e53</t>
  </si>
  <si>
    <t>This handbook aims to reduce the impacts of natural disasters on local coastal tourism communities. The handbook's approach builds on UNEP's Awareness and Preparedness for Emergencies at the Local Level (APELL) process, designed to create public awareness of hazards and to ensure that communities and emergency services are adequately trained and prepared to respond.</t>
  </si>
  <si>
    <t>6775da6444c36eea4ffa3fd07bd20d07</t>
  </si>
  <si>
    <t>They focus on actively engaging the communities, providing space for innovation and ensuring that higher level policies and plans are adapted to local settings. The national policy framework can foster local innovation when it provides an enabling environment, for example, through the provision of social protection and regulation of market actors. Achieving the SDGs will depend on identifying the right policy mixes and governance approaches that can combine progressive public policies and environmental regulation with local initiatives and innovations in a way that promotes transformative change toward equity and sustainability. It will also depend on ensuring that the promotion of technological innovation, private sector investment and multistakeholder partnership is in line with considerations for social inclusion, participation and empowerment (chapter 7).</t>
  </si>
  <si>
    <t>0027c15f32637adab79d770bdc8827e9</t>
  </si>
  <si>
    <t>It does not include activities where the support for the private sector is channelled through public sector agencies e.g. credit lines through state owned banks or challenge funds managed by NGOs, which are covered in the second category. This approach has been used in two previous OECD analyses in Miyamoto and Chiofalo (2015) and Miyamoto and Biousse (2014). This approach has been used in a previous OECD analysis in Brown and Wang (2015).</t>
  </si>
  <si>
    <t>ef025365e743a4f8ade779054b7ae28c</t>
  </si>
  <si>
    <t>An evaluation of the project found that, in 2014 alone, the average household saved $472, with even higher savings recorded for households living from fishing, agriculture and livestock23 This global-level innovation thus has the potential for replication elsewhere in Bangladesh and in the Asia-Pacific region as a whole. For each monsoon season there are biannual forums for forecast generators and users of the forecasts. In advance of each monsoon forum, RIMES and WMO work with the NMHS to develop the seasonal forecast and related products, and to train users, such as line ministries, local governments and their partners. At the forums themselves, the users discuss the corresponding preparedness and mitigation measures.</t>
  </si>
  <si>
    <t>bfdd97101db440190e2d5f5062f31c3e</t>
  </si>
  <si>
    <t>Ideally, ESD-related professional development would be undertaken alongside complementary initiatives including those mentioned above, as well as curricular and examination reforms, linking training on ESD with re-certification or promotional pathways, school improvement programmes, ESD training for principals and so on. Additionally, such professional development could come with a requirement that participating teachers pass on their training in their home schools to help expand the reach of ESD training when resources are limited. The structure is flexible and can be formalised to include scheduled topics, chairpersons and presentations.</t>
  </si>
  <si>
    <t>758482b92be0d912a83c6ca5ea157e76</t>
  </si>
  <si>
    <t>Lastly, cash transfers in disaster situations can serve as a basis from which the affected families can start to implement productive ventures, or some other type of project, that will enable them to grow their productive and financial asset base in the long run (Bene and others, 2014). The transfers require the beneficiary families' to fulfill certain conditions (related essentially to health and education), with a view to strengthening future human capital and supplying short-term monetary income. In addition, households in situations of poverty or indigence in which there are no young children (which generally are not CCT-beneficiaries) would be excluded from the special transfers that could be made through such programmes. Consequently, Fernandez, Jadotte and Jahnsen (2011) advocate the need to relax the eligibility criteria in emergency situations, with a view to averting a deterioration in the living conditions of those family units which forces them to sell their productive assets, with a consequent decapitalization and future reduction in autonomous incomes generated through that channel.</t>
  </si>
  <si>
    <t>004cf7b0bbc8f0f761c488a7f15eb866</t>
  </si>
  <si>
    <t>Some of these interlinkages and synergies are fundamental to facets of building climate change resilience and reducing inequalities. The interlinkages between climate change and other dimensions of development are also well reflected in other Goals. If the frequency and intensity of climate hazards increase, it will be harder for countries to end poverty and hunger, achieve food security, improve nutrition, promote sustainable agriculture and ensure healthy lives (Goals 1-3).</t>
  </si>
  <si>
    <t>7d5ec4b7cae0a43bf0aed9ee779a4322</t>
  </si>
  <si>
    <t>This includes, for example, policy reforms such as helping phase out fossil fuel subsidies, which in turn increases the profitability of clean energy investment and the potential for instruments such as feed-in tariffs to promote renewable energy technologies. More broadly, this support also goes towards building much needed institutional and technical capacity in partner country governments and institutions, which enables governments to mobilise and sustain green investment. Emerging approaches by development partners take a 'market systems' approach to promote green growth by encouraging the development of green value chains and markets for green products and services.</t>
  </si>
  <si>
    <t>primarily SGD 7, SDG 12</t>
  </si>
  <si>
    <t>5c64ceedeb69f1fbb2344dcd30e66847</t>
  </si>
  <si>
    <t>Moreover, Huechuan and Guzman (2007) argue that the probability of not having sufficient income and belonging to a poor household increases in old age. In other words, old age entails greater fragility. Nonetheless, as noted in chapter VI, older adults are more vulnerable because they do not form part of the economically active population and would not be able to participate in public employment programmes that require physical strength, such as clearing rubble and constructing public works.</t>
  </si>
  <si>
    <t>a22ff4b2cc37e17e84b79cd618fc2e7b</t>
  </si>
  <si>
    <t>Since river basin flood hazards are frequently transnational, these efforts need to be re-energized and consolidated into a regional warning mechanism. For this purpose there have already been a number of pilots that can be scaled up and replicated. In the Philippines, for example, with support from Deutsche Gesellschaft fur Internationale Zusammenarbeit (GIZ), a landslide early warning system was successfully set up 2012 in the municipality of Saint Bernard in the province of Southern Leyte.</t>
  </si>
  <si>
    <t>early warning target 13.3</t>
  </si>
  <si>
    <t>8a5a6b031aecd8f4312d6beedc709457</t>
  </si>
  <si>
    <t>This is because it may be difficult to ensure the collection of project-level information from the ultimate beneficiary of these funds (Caruso and Ellis, 2013). Such methods seek to test whether theories of change are leading to observable results and can help to overcome some of the challenges outlined with regards to causality, baselines and attribution. The design of RCTs (explained more fully in Duflo et. This allows a given policy or programme to be judged against the performance of randomly selected, similar, and actual cases that have not been subject to the intervention as opposed to assumed baselines of how the intervention’s subjects would have performed in its absence.</t>
  </si>
  <si>
    <t>5004bf9cc7a92e6ec5674f896013aa6d</t>
  </si>
  <si>
    <t>The government announced £1 billion of capital funding for the first full-scale CCS demonstration project in the UK. The government has also committed to a further three demonstration projects on gas- and coal-fired power stations. However, final details of the funding mechanism for these three additional projects are yet to be announced. Released in draft form in March, the Carbon Plan is a government-wide carbon reduction plan, including domestic and international emissions.</t>
  </si>
  <si>
    <t>126c6093216824ea1375d5371df461f5</t>
  </si>
  <si>
    <t>Nevertheless, it should also be noted that biennial reporting on adaptation under Article 13 and adaptation communications under Article 7 are not mandatory. However, the decision also indicates that modalities will be developed in order to “recognise the adaptation efforts of developing country Parties”, which is also one of four adaptation-related aims of the global stocktake listed in Article 7.14. This implies that communicated information on adaptation could inform the global stocktake. In order to assess collective progress towards global goals, some degree of consistency and comparability would be helpful in adaptation communications, taking into account the need to limit the reporting burden of Parties and ensuring that information is country-driven.</t>
  </si>
  <si>
    <t>unclear if about climate or not</t>
  </si>
  <si>
    <t>41f90338d71f14f71e675b9653001597</t>
  </si>
  <si>
    <t>Lastly, an information and awareness campaign has been designed, "Mexican Tourism Facing the Challenge of Climate Change". Potential barriers to implementation are seen in the resistance of the private sector to invest in energy efficiency and to accept the decarbonisation of the economy as an attractive goal. To this end, policy instruments are currently kept under review with regard to their potential to reduce GHG emissions and their impact on business, as well as possibilities for implementation.</t>
  </si>
  <si>
    <t>83d44eeab0ea3767e9a3b7ea5d08c2ab</t>
  </si>
  <si>
    <t>However, emissions levels recorded in 1990 and immediately thereafter, rather than being real reductions in emissions, were actually due to economic decline, which caused GHG emissions to fall sharply. The Strategy was meant to be a general framew'ork for climate change policies and measures during the brief period of 2005-2007, outlining Romania’s policies in meeting the international obligations under the UNFCCC and the Kyoto Protocol, as well as the country’s national priorities such as EU integration and possible participation in EU ETS. It assigns tasks and responsibilities for all stakeholder institutions and identifies the main actors for each specific action and relevant task.</t>
  </si>
  <si>
    <t>efc52dea07b2385c3c947c5398e5fa78</t>
  </si>
  <si>
    <t>Tonga’s Ministry of Education, Women’s Affairs and Culture (MoEWAC) is working to seize this opportunity, getting involved in national and regional media industry-oriented workshops, in order to foster opportunities for co-operation. The ministry has worked with local media to educate them on agendas such as EFA, the MDGs and the UNDESD, and one representative has indicated that the media has become a ‘catalyst and advocate for local co-operation and contributions to sustainable development, especially at the grassroots and community level’. None of these associations are commonly made with mainstream or mass media sources.</t>
  </si>
  <si>
    <t>ddb861597cce222b4844bc939b075d59</t>
  </si>
  <si>
    <t>The annual monitoring will help prioritise adaptation needs and inform the allocation of budgets, the periodic evaluations will assess the efficiency, effectiveness and impact of the Plan. These processes will generate valuable information that government officials can draw upon when deciding whether the national approach on adaptation is the right one, if the circumstances that initially informed the Plan have changed, and if adjustments in the plan or the implementation mechanisms are needed.</t>
  </si>
  <si>
    <t>unclear if linked to climate</t>
  </si>
  <si>
    <t>89c55241e87651dbd5bf53b85a1372df</t>
  </si>
  <si>
    <t>According to recent data, costs from major flood events will likely be counted in the billions of dollars with potential serious impacts on national GDP (World Bank, 2010), as well as on the lives of poorer and marginalized communities, in particular. The international community, multilateral development banks and United Nations funds and programmes are working to support delivery of and direct access to existing and pledged international climate finance. However, international flows alone will not be sufficient to meet the growing demand for climate mitigation and adaptation finance. In the absence of an internationally acknowledged definition of climate finance, in this paper, the United Nations Framework Convention on Climate Change (UNFCCC) definition is used, which is “local, national or transnational financing, which may be drawn from public, private and alternative sources of financing” (UNFCCC, 2014a) and which target low-carbon and climate-resilient development.</t>
  </si>
  <si>
    <t>eee341f5ab622e1de641e010ac2ef5b8</t>
  </si>
  <si>
    <t>Source: National Institutional Strategy for Climate Change. Although most of SAIs do not yet have the capacity and expertise to audit climate finance, it is within their mandate to audit public climate finance. In this respect, GIZ is providing support to SAIs in developing countries to strengthen their mandates.</t>
  </si>
  <si>
    <t>SAI = Supreme Audit Institution</t>
  </si>
  <si>
    <t>d91641dd845973e6ab2690fe402a3b1d</t>
  </si>
  <si>
    <t>In contrast, the dominant market-liberal rationality sees human and natural resources as production factors to achieve economic growth as the main pathway toward welfare. As noted above, such an approach has been associated with adverse social and environmental impacts.25 Does the 2030 Agenda hold the potential for a profound transformation toward a more progressive and rights-based eco-social approach that would shift the normative hierarchy for decision making, as discussed in chapter 7? Many lower and middle income countries object to the 2°C goal, especially low-lying small island states that stress the significant risks and impacts they already face at lower levels of global warming.</t>
  </si>
  <si>
    <t>945ccccd978d0ebc2fddd1f5676a1690</t>
  </si>
  <si>
    <t>Through the Tonga Education Sector Programme (TESP), for example, Tonga’s Ministry of Education, Women’s Affairs and Culture undertook its first ever approach to sector-wide strategic planning, resulting in a number of substantive changes to approaches and policies. These activities all reinforce the view that ESD is not something that one party subjects another to. Rather, it is a process of ongoing learning and iteration whereby all involved should grow and adapt as a result.</t>
  </si>
  <si>
    <t>541d04aef96581fb24db13382528fe6a</t>
  </si>
  <si>
    <t>For initiatives where web and literature searches yielded insufficient results, organizations and experts responsible for the initiative were asked for supplementary information. As mentioned in the introduction to this report, the focus is on developing country regions, notably Sub-Saharan Africa (SSA). Throughout the report, three other regions, South Asia (SA), South East Asia (SEA) and Latin America (LA), are also analysed.</t>
  </si>
  <si>
    <t>e54d664ae53e320d2fc2f76302fb5f81</t>
  </si>
  <si>
    <t>As it stands, there is a risk of adaptation continuing to be perceived as a solely environmental issue and it may prove difficult to secure support for measures outside that domain, leading to uneven implementation. It will be important to build on the positive experience of the stakeholder participation process to raise awareness of adaptation by senior policy makers such as ministers, members of relevant parliamentary commissions and senior officials. Targeted communications activities will be an essential element.</t>
  </si>
  <si>
    <t>unclear link to climate</t>
  </si>
  <si>
    <t>2acf16281c340c5db3bdc9fa2bcd2f2e</t>
  </si>
  <si>
    <t>The Paris Agreement calls for a balance between adaptation and mitigation finance and establishes an Adaptation Goal, raising the profile of adaptation and encouraging developed countries to increase support for adaptation, particularly amongst the most vulnerable developing countries. This emphasis on LDCs and SIDS is a recognition of the needs of countries that are particularly vulnerable to the impacts of climate change. In the case of Small Island Developing States (SIDS), strong growth has been registered in the volume of official climate-related development finance received over the past decade, reaching an all-time high of 15% of total ODA they received in 2013 (OECD, 2015g). The share of climate finance targeting adaptation activities - which support many key development challenges facing SIDS - has progressively increased as well.</t>
  </si>
  <si>
    <t>4172757492f45dd24f73363afe0b2e41</t>
  </si>
  <si>
    <t>Policy optimization models are designed to determine the “best” climate policy as defined by an aggregated welfare function over time, possibly considering user-specified climatic constraints. Their complexity is severely limited by the numerical algorithms used to solve optimization problems. Furthermore, wide-ranging subjective assumptions are necessary to aggregate all consequences of alternative policies in a social welfare function to be maximized.</t>
  </si>
  <si>
    <t>aa2adfe9074fa3446561751b07bbe1fd</t>
  </si>
  <si>
    <t>A number of other Decisions encourage Parties to report on support efforts, including in the context of the framework for capacity building in developing countries (e.g. Decision 2/CP. Table 1 provides an overview of reporting requirements on technology and capacity-building support provided to non-Annex I countries. See also Box 1, which addresses the use of the terms technology transfer and capacity building in the UNFCCC context (see Section 1), and Annex 1, which provides an overview of Annex II country reporting in these areas to date.</t>
  </si>
  <si>
    <t>target 13.b</t>
  </si>
  <si>
    <t>1c30523b2a258cb264a1ea24664c8254</t>
  </si>
  <si>
    <t>Ethiopia's first sectoral resilience strategy, which focuses on agriculture, revealed that 38 of 41 priority climate resilience options are already being carried out to some extent. This indicates that most early resilience efforts will concentrate on scaling-up and enhancing the resilience of existing measures, rather than crafting new ones. As Ethiopia's future climate conditions are highly uncertain, it will be crucial to adopt an iterative and flexible approach to building resilience. At present, Ethiopia primarily relies on disaster response financing from official development assistance.</t>
  </si>
  <si>
    <t>57e51ac5aa7e15eb0d740c970e7716d7</t>
  </si>
  <si>
    <t>On the other hand, poor vetting of private local partners, inadequate enforcement of environmental safeguards and insufficient accountability on the part of development finance end-users can lead to a lack of tangible positive environmental impacts, if not actually produce negative outcomes (Oxfam, 2015). Box 2.7 highlights one type instrument used in financial intermediation i.e. credit lines. Challenge funds’ financial contribution to a project is usually small compared to the overall size of the project, but sufficient to improve its risk profile and financial viability (Irwin and Porteous, 2005). Challenge funds typically require the grantee to match a portion of the funds disbursed, so as to ensure ownership and commitment to success.</t>
  </si>
  <si>
    <t>97667eac56e4d03c36143e91e36f5198</t>
  </si>
  <si>
    <t>Significantly fewer focus only on adaptation (4 initiatives) or mitigation (1 initiative) (see Appendix B). Several of these approaches have been found to contain various benefits in relation to climate change and agriculture, e.g. increased mitigation of emissions or larger adaptive capacity. These benefits are identified in peer-reviewed literature, and based on local experiences, on-the-ground tests, and various evaluations of such agricultural approaches and practices5. Success stories of CSA include water harvesting in the Sahel and Drought-Tolerant Maize for African farmers, the purpose of which is to make crops more climate change resilience and mitigate the GHG emissions related to agricultural production (Neate, 2013, FAO, 2017b).</t>
  </si>
  <si>
    <t>4231ec6e9999f23b6507c570cd74125a</t>
  </si>
  <si>
    <t>All Annex II Parties are also members of the OECD DAC, as are four further Annex I Parties, and as such use Rio markers to “tag” the amount of bilateral ODA used for climate change mitigation and adaptation, and report this information under the CRS. All EU member countries (many of whom are non-Annex II) are beginning to report information on climate finance under EU monitoring regulations (as outlined above), as well as to the OECD DAC. The transparency framework set out in Article 13 of the Paris Agreement also provides for voluntary reporting of information on the provision of support by “other Parties”.</t>
  </si>
  <si>
    <t>e57cc1355ac34fcde9e9705083a310bb</t>
  </si>
  <si>
    <t>Several underscored the importance of bilateral, regional and international cooperation in this area. Some members stressed that initiatives to counter illegal logging should be consistent with WTO disciplines, scientifically based, and not constitute unnecessary barriers to trade. Concerns were raised on the implementation costs of such initiatives and the need for capacity building in developing countries to build awareness and improve enforcement of laws to combat illegal logging.</t>
  </si>
  <si>
    <t>da333693a4fac0fe3cd101f8818c1967</t>
  </si>
  <si>
    <t>Sometimes, this is explicitly referred to as “effectiveness”, e.g. in the context of the Global Environment Facility and the Green Climate Fund. Sometimes, it is not explicitly referred to as effectiveness, e.g. in the context of achieving a balance between climate finance for mitigation and adaptation in the Fast Start Finance period. Within the development community, more than 150 countries (as well as IFIs and other international organisations) agreed the Busan Partnership on Effective Development Co-operation in 2011. This declaration applies to development finance (i.e. broader than the previously-agreed Paris Declaration on Aid Effectiveness, which just covers ODA), The Busan Partnership focuses on increased co-operation between donor and partner countries and their institutions involved in providing, channelling and using climate finance - and aligning interventions with partners’ priorities.</t>
  </si>
  <si>
    <t>3304000bcbe473a0c98686d217438277</t>
  </si>
  <si>
    <t>Country ownership is a principle of the Busan Partnership for Effective Development Cooperation building on the Paris Declaration and the Accra Agenda for Action. While the past 15 years have tended to separate development finance to achieve the MDGs from climate finance to achieve the goals of the UNFCCC, Agenda 2030 and the Paris Agreement place climate action into the context of sustainable development. In addition, the emphasis in all the 2015 outcomes on country ownership provides an opportunity to increase coherence at national level, especially if partner countries are supported to strengthen human and institutional capacity.</t>
  </si>
  <si>
    <t>0cd4cbb613dc281d0552a04b992a719c</t>
  </si>
  <si>
    <t>Further, a pilot project for a new technology may be implemented and run efficiently (and could therefore be judged to be effective at a project level), but does not meet its goal of being replicated at scale (and is therefore less effective when viewed from a national or sectoral level). The inputs to an intervention can be financial, human (e.g. information or labour), or material goods that help to achieve the strategic objectives of the intervention. Decisions on appropriate inputs will depend both on the strategic objectives of the intervention as well as local context and needs.</t>
  </si>
  <si>
    <t>efda660886221e58c1e49fa726c6be33</t>
  </si>
  <si>
    <t>This links the PDNA process with the ‘building back better’ approach. This is used as a basis for developing a comprehensive immediate and long-term recovery framework and for mobilizing assistance from donors and development partners. These can use the PDNA methodological framework, and retain a sound scientific base, but need to be downscaled to meet local needs.</t>
  </si>
  <si>
    <t>b9525ec2b7e75daae22d4676f6a26d19</t>
  </si>
  <si>
    <t>It investigates the extent to which the incorporation of a risk perspective in public administration has changed over time, and how this has affected strategies and plans, policies and institutional arrangements in different areas. It illustrates mechanisms and tools that exist today in public administration at different levels to identify and manage risk in different SDG areas, how countries are using them, and challenges they face in this regard. Lastly, it presents some of the recent trends in terms of institutionalization of risk management in government, including institutional setups that countries have put in place to identify, assess and manage risk in a more holistic way.</t>
  </si>
  <si>
    <t>f06040907eee4b7aa1263f154e417276</t>
  </si>
  <si>
    <t>These indicators are likely to have a micro-coverage in terms of geographical exposure (e.g. few communities) and life spans (few years), and to be specific to the programme in question. The data needed to implement this approach are project data and information (often gathered via project-specific surveys). The research concludes that monitoring and evaluation frameworks should combine qualitative, quantitative and binary indicators.</t>
  </si>
  <si>
    <t>34275ee2e0b5d291a961f9ba256e0048</t>
  </si>
  <si>
    <t>In other words, while specialized and self-contained arrangements for disaster risk governance may be appropriate for emergency and disaster management, other aspects of disaster risk management are heavily dependent on the overall quality of governance to achieve its objectives (UNDP, 2014a, Lavell and Maskrey, 2014). Today’s governance failures may ripple through time and affect future generations, this is the case with the 2008 financial crisis, which resulted from decades of failure to effectively govern increasingly interdependent financial markets and mechanisms (Turnbull and Pirson, 2011). Capacities for disaster risk management cannot be strengthened autonomously without reference to broader governance constraints such as low levels of voice and accountability, underresourced local governments, dysfunctional judicial systems, social conflict and economic crisis.</t>
  </si>
  <si>
    <t>3dfa766f6f36763d498549844dd47646</t>
  </si>
  <si>
    <t>This was agreed to by more than 130 countries and lays out agreed principles for effective development finance that also cover climate-related aid: these principles relate to country ownership, alignment, harmonisation, results and mutual accountability. The subsequent Busan Partnership on Effective Development Co-operation (2011), agreed to by 150 countries, outlines the importance of climate finance as well as extending the scope of these principles beyond aid to cover development finance and development co-operation more broadly. These include both general principles as well as those developed in the context of funds established by the UNFCCC process such as the Green Climate Fund and the Global Environment Facility.</t>
  </si>
  <si>
    <t>d77bc6dc6840b019fea62483a9dd73bb</t>
  </si>
  <si>
    <t>Rio markers could move towards a more exact definition and quantification by moving away from the binary classification approach and towards a percentage allocation for each project. The DAC could follow the lead of the World Bank Group, as they are currently working towards tracking the adaptation and mitigation ‘co-benefits’ of their investments, based on a percentage of each sub-sector in each investment, across their entire portfolio and all core funding sources.60 Australia is also testing such a system. For the definition of the Rio marker for adaptation: www.oecd.org/dataoecd/l/45/45303527.ndf (page 5). These will be based on a series of vetted investment activity typologies.</t>
  </si>
  <si>
    <t>172e88eee0f40b3d13439fdab8e7cfc1</t>
  </si>
  <si>
    <t>This paper focuses on how national and subnational governments can align subnational financial flows to transition towards low-carbon, resilient and inclusive cities. The paper is a contribution from the OECD Champion Mayors for Inclusive Growth initiative and to the OECD Programme on Subnational Finance and Investment. It was drafted by Dorothee Allain - Dupre, Isabelle Chatty, Marissa Plouin, and Sena Segbedzi.</t>
  </si>
  <si>
    <t>ec8cb5e870b86c2468c25b43b3c6098b</t>
  </si>
  <si>
    <t>By 2080, in Africa, an increase from 5 to 8 per cent in arid and semi-arid land is projected under a range of climate scenarios. While identifying particularly vulnerable groups globally and at country level remains challenging, it is particularly important for policymaking directed towards building climate resilience. People living in low-lying coastal areas, drylands, and mountainous and remote areas and population groups whose livelihoods rely on forest products are particularly at risk. Yet, basic information on population size, socioeconomic characteristics and risk factors which could help identify those groups remains in the form of very rough approximations. Some of those groups are difficult to reach owing to their geographical location, but the lack of basic information is also associated with an insufficiency in the resources for producing statistics at the level of disaggregation required to identify specific population groups.</t>
  </si>
  <si>
    <t>c46b6344832025bd55ff227fa40b1ddc</t>
  </si>
  <si>
    <t>This was an attempt to provide a dual response to the emergency: while rubble was removed or precarious urban spaces were brought back into use, steps were taken to improve the satisfaction of basic needs by distributing new incomes (Lamaute-Brisson, 2013, p. 47). Firstly, “cash for work” programmes were implemented, consisting of a daily payment of the minimum wage to workers employed on highly labour-intensive projects to remove rubble and restore roads, footpaths and irrigation and community infrastructure systems. The “16/6” project (which aims to relocate people from six camps in their neighbourhoods of origin) had community participation in defining the works, which resulted in lighting for various public spaces to safeguard the integrity of women and children.</t>
  </si>
  <si>
    <t>c3107a4d61f451bd287a47fafd481738</t>
  </si>
  <si>
    <t>Portfolio website, www.gcpf.lu/portfolio.html (accessed 24 October 2016). Project Portfolio website, www.gcpf.lu/portfolio.html (accessed 24 October 2016). Adaptation for Smallholder Agriculture Programme (ASAP)”, webpage, www.ifad.org/en/topic/asap/tags/climate change/2782790 (accessed 24 October 2016).</t>
  </si>
  <si>
    <t>c6953dcad779f1c53eddcd78016aad44</t>
  </si>
  <si>
    <t>In response, the city embarked on a resilience-building project which integrates climate vulnerability assessments and micro planning and implementation. It was designed, implemented and monitored using a community-led bottom-up approach which began with the identification of climate vulnerabilities. Some key lessons have been derived from that experience.</t>
  </si>
  <si>
    <t>4fd713d0da1d51bf461c0d2d68074a67</t>
  </si>
  <si>
    <t>Johansson de Silva, Kokko and Norberg (2015) describes the ideal ‘win-win-win’ relationship in multi stakeholder partnerships, and the different strengths donors, the private sector and civil society bring to them, based on a review of Sida’s private sector collaboration programmes (Table 2.1). The private sector is not monolithic, hence development co-operation approaches to private sector engagement need to be tailored to specific private sector beneficiaries (e.g. multinational companies, utilities, local SMEs, commercial banks) and contexts, taking into account potential multipliers which can contribute in disseminating information, approaches and state of the art concepts (e.g. business associations, chambers, business developers, industrial zone management). For instance, many development co-operation providers focus on greening SMEs, either directly or through the use of financial intermediaries (e.g. local commercial banks, private equity funds, state-owned banks, national development banks).</t>
  </si>
  <si>
    <t>7233af3cdd64e050af652f765a197230</t>
  </si>
  <si>
    <t>Ministers reaffirmed their commitment to implement the APEC environmental goods list, which lists goods on which APEC members will reduce tariffs by the end of 2015. In 2014, this included briefings by CITES, the Convention on Biological Diversity (CBD) and the United Nations Framework Convention on Climate Change (UNFCCC). New Zealand briefed the CTE on the jointly organized Parties meeting held in Lima in December 2014.</t>
  </si>
  <si>
    <t>dab78d37b9225afdbb7f06fe03105710</t>
  </si>
  <si>
    <t>Improving access to stable and adequate sources of finance for adaptation and contributing to the building of the information systems needed to guide policymaking for climate resilience are two concrete actions where greater international cooperation is needed. Public domestic and international efforts are needed to mobilize sufficient resources and provide incentives to the private sector to invest in adaptation. This is especially important for building the resilience and adaptive capacity of the most marginalized areas and population groups.</t>
  </si>
  <si>
    <t>a2deed2945173b7fb758c45538d672a9</t>
  </si>
  <si>
    <t>Common sources of data include household and living standard surveys, sectoral statistics, labour force reviews and so on. Experience to date, however, has shown that data collection processes often differ and there is a lack of alignment between global monitoring needs and national reporting capacities (Paris21, 2013). The approach used by the UK for the 2012 national assessment of flood risk was to score datasets against a number of criteria to determine their statistical quality and relative strengths and weaknesses (see Box 2.1). However, such scorecard assessments can be difficult to do in practice if there is no central data repository or if there is limited co-ordination between data producers and users.</t>
  </si>
  <si>
    <t>related to target 13.1, but more about measurement</t>
  </si>
  <si>
    <t>24ef40f5732472668b1ecb58b22e8d33</t>
  </si>
  <si>
    <t>Although the timing of national policy evaluations may be more flexible, political pressures would make it difficult to commit resources for adaptation evaluations on the basis that results will potentially only be known 20-30 years in the future. At the same time, the value of an evaluation and the lessons it generates may be lost if the evaluation is postponed too far into the future. One option to overcome this challenge is to focus assessments on the achievement of intermediate outcomes, through ongoing monitoring and real-time evaluation.</t>
  </si>
  <si>
    <t>b182cb41431ee6bc0c3db7410462928b</t>
  </si>
  <si>
    <t>Teachers may learn about ESD and related topics, and may be highly motivated during training activities, but upon returning to their classrooms they struggle to find the time or means to effectively implement what was learned. This is disheartening and inefficient. As attractive as training activities may be to donors as a means of targeting large numbers, and as a means of disseminating ESD knowledge and skills, the surrounding context of such training and the anticipated classroom implementation need to be given serious consideration. In the SEP approach, training is not conceived of as a one-off event expected to change teaching practices on its own, but rather as a component of a broader system of supports and incentives which exerts a positive force on teaching practices over time.</t>
  </si>
  <si>
    <t>3e9fb54c06b1b8ae288ff931c7257cd2</t>
  </si>
  <si>
    <t>Positive synergies can be achieved between agricultural adaptation and the needs of low-income countries, including food security, mitigation and poverty reduction, if these are considered in unison (Tennigkeit etal., Agriculture is a major source of GHGs, and with further increases to GHG emissions being expected due to increasing demands for food and feed (Alexandratos and Bruinsma, 2012, Tilmann et al., Further, food security problems exists in several regions, with 793 million people being undernourished (c.f.</t>
  </si>
  <si>
    <t>d3e9bef8791d582b81f1846de0829f42</t>
  </si>
  <si>
    <t>Estimates of adaptation costs vary greatly, depending on the methodology used, analytical principles applied and assumptions made. As a result, there are no widely agreed methods for calculating costs, and therefore no agreed single estimate of the costs of adaptation. However, a review of the literature on the costs of adaptation in developing countries indicates they are likely to be underestimates.</t>
  </si>
  <si>
    <t>unclear link to climate change</t>
  </si>
  <si>
    <t>Could be true. The passage is unspecific about what the financial mobilization is for.</t>
  </si>
  <si>
    <t>TO DO</t>
  </si>
  <si>
    <t>Could be true. I labelled it false because talking about sustainable development in developing countries does not always touch the climate change topic.</t>
  </si>
  <si>
    <t>Adaptation could be about any topic.</t>
  </si>
  <si>
    <t>Could be true. Education on sustainable development probably involves climate change, but is not specific to it.</t>
  </si>
  <si>
    <t>anti example of resilience and adpative capacity to disaster risk management?</t>
  </si>
  <si>
    <t>cant figure out what this is about</t>
  </si>
  <si>
    <t>adaptation to what??</t>
  </si>
  <si>
    <t>again not clear what adaptation refers to</t>
  </si>
  <si>
    <t>again probably refers to climate adaptation but its not clear</t>
  </si>
  <si>
    <t>not so strongly linked to tackling climate change though</t>
  </si>
  <si>
    <t>again not so clear</t>
  </si>
  <si>
    <t>education for sutainable development not explicitly climate related</t>
  </si>
  <si>
    <t>NC= National Communications within UNFCCC's national reporting submissions platform</t>
  </si>
  <si>
    <t>INDCs = Intended Nationally Determined contributions</t>
  </si>
  <si>
    <t>flood risk but not talking about resilience or adaptive capacities</t>
  </si>
  <si>
    <t>on disaster resilience</t>
  </si>
  <si>
    <t>green climate fund</t>
  </si>
  <si>
    <t>not so directly on tackling cc</t>
  </si>
  <si>
    <t>again not clear with adaptation</t>
  </si>
  <si>
    <t>not direclty climate related though, implicity (green investments)</t>
  </si>
  <si>
    <t>low carbon transition as cc mitigation</t>
  </si>
  <si>
    <t>same with adaptation again</t>
  </si>
  <si>
    <t>mobilising financial resources for what?</t>
  </si>
  <si>
    <t>just references</t>
  </si>
  <si>
    <t>PDNA = Post Disaster Needs Assessment</t>
  </si>
  <si>
    <t>landslide early warning system linked to disaster risk resilience</t>
  </si>
  <si>
    <t>more fact stating</t>
  </si>
  <si>
    <t>doi</t>
  </si>
  <si>
    <t>text_id</t>
  </si>
  <si>
    <t>text</t>
  </si>
  <si>
    <t>sdg</t>
  </si>
  <si>
    <t>labels_negative</t>
  </si>
  <si>
    <t>labels_positive</t>
  </si>
  <si>
    <t>labels_total</t>
  </si>
  <si>
    <t>agreement</t>
  </si>
  <si>
    <t>label</t>
  </si>
  <si>
    <t>difficulty</t>
  </si>
  <si>
    <t>selection reason</t>
  </si>
  <si>
    <t>10.1787/5jlwjg92n48x-en</t>
  </si>
  <si>
    <t>very easy</t>
  </si>
  <si>
    <t>automated selection</t>
  </si>
  <si>
    <t>10.18356/f7cce716-en</t>
  </si>
  <si>
    <t>10.1787/5kg20mj6c2bw-en</t>
  </si>
  <si>
    <t>10.18356/7707d4f1-en</t>
  </si>
  <si>
    <t>10.1787/5k46dbzhrkhl-en</t>
  </si>
  <si>
    <t>10.1787/85b52daf-en</t>
  </si>
  <si>
    <t>10.6027/9789289330688-6-en</t>
  </si>
  <si>
    <t>10.1787/9789264233294-6-en</t>
  </si>
  <si>
    <t>easy</t>
  </si>
  <si>
    <t>10.1787/5jzb44qw9df7-en</t>
  </si>
  <si>
    <t>10.1787/5jzb44nmnbd2-en</t>
  </si>
  <si>
    <t>10.1787/9789264229679-5-en</t>
  </si>
  <si>
    <t>10.18356/0488519d-en</t>
  </si>
  <si>
    <t>10.1787/469d7fec-en</t>
  </si>
  <si>
    <t>10.18356/d85bcb9c-en</t>
  </si>
  <si>
    <t>medium</t>
  </si>
  <si>
    <t>10.30875/5bd1cd2e-en</t>
  </si>
  <si>
    <t>10.18356/477abc4d-en</t>
  </si>
  <si>
    <t>10.14217/9781848591462-6-en</t>
  </si>
  <si>
    <t>10.1787/5kg221jkf1g7-en</t>
  </si>
  <si>
    <t>10.1787/9789264202924-9-en</t>
  </si>
  <si>
    <t>10.1787/5js08hwvfnr4-en</t>
  </si>
  <si>
    <t>10.1787/5jrxg3xb0h20-en</t>
  </si>
  <si>
    <t>hard</t>
  </si>
  <si>
    <t>10.6027/9789289350433-6-en</t>
  </si>
  <si>
    <t>10.18356/becaa395-en</t>
  </si>
  <si>
    <t>10.14217/50cb9877-en</t>
  </si>
  <si>
    <t>10.1787/9789264229679-8-en</t>
  </si>
  <si>
    <t>10.1787/5jlww004n6nq-en</t>
  </si>
  <si>
    <t>10.1787/5kg6qdx6b5q6-en</t>
  </si>
  <si>
    <t>very hard</t>
  </si>
  <si>
    <t>10.1787/f5330a47-en</t>
  </si>
  <si>
    <t>10.1787/5jlww009v1hj-en</t>
  </si>
  <si>
    <t>10.1787/ee3ce00b-en</t>
  </si>
  <si>
    <t>10.18356/5e8977eb-en</t>
  </si>
  <si>
    <t>10.1787/5k483jpfpsq1-en</t>
  </si>
  <si>
    <t>10.18356/6bf07ffd-en</t>
  </si>
  <si>
    <t>10.18356/bee3dd14-en</t>
  </si>
  <si>
    <t>10.1787/18a859bf-en</t>
  </si>
  <si>
    <t>10.6027/9789289350433-5-en</t>
  </si>
  <si>
    <t>10.1787/9789264266339-6-en</t>
  </si>
  <si>
    <t>10.1787/9789264209503-8-en</t>
  </si>
  <si>
    <t>10.18356/215d0d56-en</t>
  </si>
  <si>
    <t>10.18356/18db943d-en</t>
  </si>
  <si>
    <t>10.18356/0b0291cb-en</t>
  </si>
  <si>
    <t>10.18356/b90ce3c6-en</t>
  </si>
  <si>
    <t>target 13.2</t>
  </si>
  <si>
    <t>10.1787/9789264229679-4-en</t>
  </si>
  <si>
    <t>10.1787/9789264119598-6-en</t>
  </si>
  <si>
    <t>target 13.3</t>
  </si>
  <si>
    <t>10.1787/9789264119598-7-en</t>
  </si>
  <si>
    <t>target 13.a</t>
  </si>
  <si>
    <t>10.1787/5k44zcqbbj42-en</t>
  </si>
  <si>
    <t>10.18356/5f92cb4f-en</t>
  </si>
  <si>
    <t>10.18356/eff3a8cf-en</t>
  </si>
  <si>
    <t>Group</t>
  </si>
  <si>
    <t>Alignment</t>
  </si>
  <si>
    <t>Comments</t>
  </si>
  <si>
    <t>Consensus</t>
  </si>
  <si>
    <t>Rationale</t>
  </si>
  <si>
    <t>Notes</t>
  </si>
  <si>
    <t/>
  </si>
  <si>
    <t>UNDECIDED</t>
  </si>
  <si>
    <t>FALSE</t>
  </si>
  <si>
    <t>TRUE</t>
  </si>
  <si>
    <t>- Finn: could be non-climate related</t>
  </si>
  <si>
    <t>green development is not specific to climate change</t>
  </si>
  <si>
    <t>- Finn: target 13.1</t>
  </si>
  <si>
    <t>- Finn: awareness raising
- Steve: not so strongly linked to tackling climate change though</t>
  </si>
  <si>
    <t>- Finn: SAI = Supreme Audit Institution</t>
  </si>
  <si>
    <t>skip?</t>
  </si>
  <si>
    <t>- Finn: related to target 13.1, but more about measurement
- Steve: flood risk but not talking about resilience or adaptive capacities</t>
  </si>
  <si>
    <t>- Finn: primarily SGD 7, SDG 12</t>
  </si>
  <si>
    <t>not enough labelers</t>
  </si>
  <si>
    <t>- Steve: not so directly on tackling cc</t>
  </si>
  <si>
    <t>- Steve: anti example of resilience and adpative capacity to disaster risk management?</t>
  </si>
  <si>
    <t>not specific to natural disasters</t>
  </si>
  <si>
    <t>- Finn: unclear link to climate
- Steve: same with adaptation again</t>
  </si>
  <si>
    <t>- Finn: not enough context that it is about climate</t>
  </si>
  <si>
    <t>- Finn: fight climate impacts? weak
- Steve: more fact stating</t>
  </si>
  <si>
    <t>- Gib: Adaptation could be about any topic.
- Steve: again not clear what adaptation refers to</t>
  </si>
  <si>
    <t>- Finn: unclear link to climate change
- Steve: again probably refers to climate adaptation but its not clear</t>
  </si>
  <si>
    <t>- Finn: unclear if linked to climate
- Steve: again not so clear</t>
  </si>
  <si>
    <t>no explicit reference to climate</t>
  </si>
  <si>
    <t>- Finn: target 13.b</t>
  </si>
  <si>
    <t>- Steve: education for sutainable development not explicitly climate related</t>
  </si>
  <si>
    <t>- Finn: not clear if climate</t>
  </si>
  <si>
    <t>mention of Paris Agreement makes the link to climate</t>
  </si>
  <si>
    <t>- Steve: PDNA = Post Disaster Needs Assessment</t>
  </si>
  <si>
    <t>PDNA is not specific to natural disasters</t>
  </si>
  <si>
    <t>- Steve: low carbon transition as cc mitigation</t>
  </si>
  <si>
    <t>- Finn: not clear if climate
- Steve: NC= National Communications within UNFCCC's national reporting submissions platform</t>
  </si>
  <si>
    <t>NC refers to national communications (climate reporting)</t>
  </si>
  <si>
    <t>- Gib: Could be true. Education on sustainable development probably involves climate change, but is not specific to it.</t>
  </si>
  <si>
    <t>mentions climate change and protection</t>
  </si>
  <si>
    <t>- Steve: INDCs = Intended Nationally Determined contributions</t>
  </si>
  <si>
    <t>- Steve: just references</t>
  </si>
  <si>
    <t>- Steve: on disaster resilience</t>
  </si>
  <si>
    <t>specific to climate-related natural disasters</t>
  </si>
  <si>
    <t>- Gib: Could be true. The passage is unspecific about what the financial mobilization is for.
- Steve: mobilising financial resources for what?</t>
  </si>
  <si>
    <t>- Finn: unclear if climate
- Steve: again not clear with adaptation</t>
  </si>
  <si>
    <t>not specific to climate-related natural disasters</t>
  </si>
  <si>
    <t>- Steve: cant figure out what this is about</t>
  </si>
  <si>
    <t>- Gib: Could be true. I labelled it false because talking about sustainable development in developing countries does not always touch the climate change topic.</t>
  </si>
  <si>
    <t>- Steve: not direclty climate related though, implicity (green investments)</t>
  </si>
  <si>
    <t>green growth is not specific to climate change</t>
  </si>
  <si>
    <t>- Finn: early warning target 13.3
- Steve: landslide early warning system linked to disaster risk resilience</t>
  </si>
  <si>
    <t>- Steve: green climate fund</t>
  </si>
  <si>
    <t>- Finn: unclear if about climate or not
- Steve: adaptation to what??</t>
  </si>
  <si>
    <t>id</t>
  </si>
  <si>
    <t>osdg_text_id</t>
  </si>
  <si>
    <t>comment</t>
  </si>
  <si>
    <t>However, emissions levels recorded in 1990 and immediately thereafter, rather than being real reductions in emissions, were actually due to economic decline, which caused GHG emissions to fall sharply. The Strategy was meant to be a general framework for climate change policies and measures during the brief period of 2005-2007, outlining Romania’s policies in meeting the international obligations under the UNFCCC and the Kyoto Protocol, as well as the country’s national priorities such as EU integration and possible participation in EU ETS. It assigns tasks and responsibilities for all stakeholder institutions and identifies the main actors for each specific action and relevant task.</t>
  </si>
  <si>
    <t>fix typo</t>
  </si>
  <si>
    <t>It also uses the term “recipient” for the country, programme or activity the funds are being channelled to. Such terms may be less relevant for developing countries that provide support, given the different nature, modalities and responsibilities applicable to South-South co-operation. Countries are not viewed as donors and recipients, but providers and partners. Not all countries agree with the “boundaries” of ODA and OOF as defined by the OECD or view them as applicable (OECD, 2015b, Walz and Ramachandran, 2011).</t>
  </si>
  <si>
    <t>remove footnote number</t>
  </si>
  <si>
    <t>Internal risks as they apply to individual public institutions or to the institutional system as a whole are not considered in detail here. For example, although risk management is an essential component of public procurement processes, it is out of the scope of this chapter. Similarly, anti corruption, for which risk and vulnerability are key considerations for effective strategies, is not addressed here (see chapter 2 in this report for a treatment of risk in corruption).</t>
  </si>
  <si>
    <t>fix typos</t>
  </si>
  <si>
    <t>Sometimes, this is explicitly referred to as “effectiveness”, e.g. in the context of the Global Environment Facility and the Green Climate Fund. Sometimes, it is not explicitly referred to as effectiveness, e.g. in the context of achieving a balance between climate finance for mitigation and adaptation in the Fast Start Finance period. Within the development community, more than 150 countries (as well as IFIs and other international organisations) agreed to the Busan Partnership on Effective Development Co-operation in 2011. This declaration applies to development finance (i.e. broader than the previously-agreed Paris Declaration on Aid Effectiveness, which just covers ODA), The Busan Partnership focuses on increased co-operation between donor and partner countries and their institutions involved in providing, channelling and using climate finance - and aligning interventions with partners’ priorities.</t>
  </si>
  <si>
    <t>fix grammar</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</si>
</sst>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b/>
      <color rgb="FFFFFFFF"/>
      <name val="Arial"/>
    </font>
    <font>
      <b/>
      <color theme="1"/>
      <name val="Arial"/>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sz val="11.0"/>
      <color theme="1"/>
      <name val="Arial"/>
    </font>
    <font>
      <b/>
      <sz val="10.0"/>
      <color theme="1"/>
      <name val="Arial"/>
    </font>
    <font>
      <sz val="10.0"/>
      <color theme="1"/>
      <name val="Arial"/>
      <scheme val="minor"/>
    </font>
    <font>
      <sz val="9.0"/>
      <color theme="1"/>
      <name val="Arial"/>
      <scheme val="minor"/>
    </font>
    <font>
      <b/>
      <sz val="9.0"/>
      <color theme="1"/>
      <name val="Arial"/>
      <scheme val="minor"/>
    </font>
  </fonts>
  <fills count="4">
    <fill>
      <patternFill patternType="none"/>
    </fill>
    <fill>
      <patternFill patternType="lightGray"/>
    </fill>
    <fill>
      <patternFill patternType="solid">
        <fgColor rgb="FF3F7E44"/>
        <bgColor rgb="FF3F7E44"/>
      </patternFill>
    </fill>
    <fill>
      <patternFill patternType="solid">
        <fgColor rgb="FF980000"/>
        <bgColor rgb="FF980000"/>
      </patternFill>
    </fill>
  </fills>
  <borders count="5">
    <border/>
    <border>
      <right style="thin">
        <color rgb="FF999999"/>
      </right>
    </border>
    <border>
      <right style="thin">
        <color rgb="FF999999"/>
      </right>
      <top style="thin">
        <color rgb="FF999999"/>
      </top>
      <bottom style="thin">
        <color rgb="FF999999"/>
      </bottom>
    </border>
    <border>
      <right style="thin">
        <color rgb="FF999999"/>
      </right>
      <bottom style="thin">
        <color rgb="FF999999"/>
      </bottom>
    </border>
    <border>
      <left style="thick">
        <color rgb="FF000000"/>
      </lef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1" fillId="0" fontId="9" numFmtId="0" xfId="0" applyAlignment="1" applyBorder="1" applyFont="1">
      <alignment vertical="bottom"/>
    </xf>
    <xf borderId="2" fillId="2" fontId="11" numFmtId="0" xfId="0" applyAlignment="1" applyBorder="1" applyFill="1" applyFont="1">
      <alignment horizontal="center" readingOrder="0" vertical="center"/>
    </xf>
    <xf borderId="2" fillId="0" fontId="12" numFmtId="0" xfId="0" applyAlignment="1" applyBorder="1" applyFont="1">
      <alignment readingOrder="0" vertical="bottom"/>
    </xf>
    <xf borderId="3" fillId="2" fontId="11" numFmtId="0" xfId="0" applyAlignment="1" applyBorder="1" applyFont="1">
      <alignment horizontal="center" readingOrder="0" shrinkToFit="0" vertical="center" wrapText="1"/>
    </xf>
    <xf borderId="3" fillId="0" fontId="9" numFmtId="0" xfId="0" applyAlignment="1" applyBorder="1" applyFont="1">
      <alignment readingOrder="0" shrinkToFit="0" vertical="bottom" wrapText="1"/>
    </xf>
    <xf borderId="0" fillId="0" fontId="13" numFmtId="0" xfId="0" applyAlignment="1" applyFont="1">
      <alignment readingOrder="0"/>
    </xf>
    <xf borderId="0" fillId="0" fontId="14" numFmtId="0" xfId="0" applyAlignment="1" applyFont="1">
      <alignment readingOrder="0"/>
    </xf>
    <xf borderId="0" fillId="0" fontId="5" numFmtId="0" xfId="0" applyFont="1"/>
    <xf borderId="0" fillId="0" fontId="0" numFmtId="0" xfId="0" applyAlignment="1" applyFont="1">
      <alignment horizontal="right"/>
    </xf>
    <xf borderId="0" fillId="0" fontId="15" numFmtId="0" xfId="0" applyAlignment="1" applyFont="1">
      <alignment readingOrder="0"/>
    </xf>
    <xf borderId="0" fillId="0" fontId="16" numFmtId="0" xfId="0" applyAlignment="1" applyFont="1">
      <alignment readingOrder="0"/>
    </xf>
    <xf borderId="0" fillId="0" fontId="9" numFmtId="0" xfId="0" applyAlignment="1" applyFont="1">
      <alignment readingOrder="0" shrinkToFit="0" vertical="bottom" wrapText="0"/>
    </xf>
    <xf borderId="0" fillId="0" fontId="17" numFmtId="0" xfId="0" applyAlignment="1" applyFont="1">
      <alignment readingOrder="0" vertical="bottom"/>
    </xf>
    <xf borderId="0" fillId="0" fontId="17" numFmtId="0" xfId="0" applyAlignment="1" applyFont="1">
      <alignment readingOrder="0" shrinkToFit="0" vertical="bottom" wrapText="1"/>
    </xf>
    <xf borderId="0" fillId="0" fontId="18"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shrinkToFit="0" vertical="bottom" wrapText="1"/>
    </xf>
    <xf borderId="0" fillId="0" fontId="20" numFmtId="0" xfId="0" applyAlignment="1" applyFont="1">
      <alignment horizontal="center" readingOrder="0" vertical="center"/>
    </xf>
    <xf borderId="0" fillId="0" fontId="21" numFmtId="0" xfId="0" applyAlignment="1" applyFont="1">
      <alignment horizontal="center" readingOrder="0"/>
    </xf>
    <xf borderId="0" fillId="0" fontId="21" numFmtId="0" xfId="0" applyAlignment="1" applyFont="1">
      <alignment horizontal="center"/>
    </xf>
    <xf borderId="0" fillId="3" fontId="19" numFmtId="0" xfId="0" applyAlignment="1" applyFill="1" applyFont="1">
      <alignment shrinkToFit="0" vertical="bottom" wrapText="1"/>
    </xf>
    <xf borderId="0" fillId="2" fontId="19" numFmtId="0" xfId="0" applyAlignment="1" applyFont="1">
      <alignment shrinkToFit="0" vertical="bottom" wrapText="1"/>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0" fillId="0" fontId="22" numFmtId="0" xfId="0" applyAlignment="1" applyFont="1">
      <alignment readingOrder="0" vertical="bottom"/>
    </xf>
    <xf borderId="4" fillId="0" fontId="14" numFmtId="0" xfId="0" applyAlignment="1" applyBorder="1" applyFont="1">
      <alignment horizontal="center"/>
    </xf>
    <xf borderId="0" fillId="0" fontId="5" numFmtId="0" xfId="0" applyAlignment="1" applyFont="1">
      <alignment horizontal="center"/>
    </xf>
    <xf borderId="0" fillId="0" fontId="23" numFmtId="10" xfId="0" applyFont="1" applyNumberFormat="1"/>
    <xf borderId="0" fillId="0" fontId="24" numFmtId="10" xfId="0" applyFont="1" applyNumberFormat="1"/>
    <xf borderId="4" fillId="0" fontId="5" numFmtId="0" xfId="0" applyAlignment="1" applyBorder="1" applyFont="1">
      <alignment horizontal="center"/>
    </xf>
    <xf borderId="0" fillId="0" fontId="5" numFmtId="0" xfId="0" applyAlignment="1" applyFont="1">
      <alignment horizontal="center" vertical="center"/>
    </xf>
    <xf borderId="0" fillId="0" fontId="5" numFmtId="0" xfId="0" applyAlignment="1" applyFont="1">
      <alignment horizontal="center" readingOrder="0" vertical="center"/>
    </xf>
    <xf borderId="4" fillId="0" fontId="5" numFmtId="0" xfId="0" applyAlignment="1" applyBorder="1" applyFont="1">
      <alignment horizontal="center" readingOrder="0"/>
    </xf>
    <xf borderId="0" fillId="0" fontId="5" numFmtId="0" xfId="0" applyFont="1"/>
    <xf borderId="0" fillId="0" fontId="14" numFmtId="0" xfId="0" applyFont="1"/>
    <xf borderId="0" fillId="0" fontId="25" numFmtId="0" xfId="0" applyFont="1"/>
    <xf borderId="0" fillId="0" fontId="24" numFmtId="0" xfId="0" applyFont="1"/>
    <xf borderId="0" fillId="0" fontId="24" numFmtId="0" xfId="0" applyFont="1"/>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93.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A49" s="17"/>
      <c r="B49" s="18" t="s">
        <v>33</v>
      </c>
      <c r="C49" s="19" t="s">
        <v>34</v>
      </c>
      <c r="D49" s="12"/>
      <c r="E49" s="12"/>
      <c r="F49" s="12"/>
      <c r="G49" s="12"/>
      <c r="H49" s="12"/>
      <c r="I49" s="12"/>
      <c r="J49" s="12"/>
      <c r="K49" s="12"/>
      <c r="L49" s="12"/>
      <c r="M49" s="12"/>
      <c r="N49" s="12"/>
      <c r="O49" s="12"/>
      <c r="P49" s="12"/>
      <c r="Q49" s="12"/>
      <c r="R49" s="12"/>
      <c r="S49" s="12"/>
      <c r="T49" s="12"/>
      <c r="U49" s="12"/>
      <c r="V49" s="12"/>
      <c r="W49" s="12"/>
      <c r="X49" s="12"/>
      <c r="Y49" s="12"/>
      <c r="Z49" s="12"/>
    </row>
    <row r="50">
      <c r="A50" s="17"/>
      <c r="B50" s="20" t="s">
        <v>35</v>
      </c>
      <c r="C50" s="21" t="s">
        <v>36</v>
      </c>
      <c r="D50" s="12"/>
      <c r="E50" s="12"/>
      <c r="F50" s="12"/>
      <c r="G50" s="12"/>
      <c r="H50" s="12"/>
      <c r="I50" s="12"/>
      <c r="J50" s="12"/>
      <c r="K50" s="12"/>
      <c r="L50" s="12"/>
      <c r="M50" s="12"/>
      <c r="N50" s="12"/>
      <c r="O50" s="12"/>
      <c r="P50" s="12"/>
      <c r="Q50" s="12"/>
      <c r="R50" s="12"/>
      <c r="S50" s="12"/>
      <c r="T50" s="12"/>
      <c r="U50" s="12"/>
      <c r="V50" s="12"/>
      <c r="W50" s="12"/>
      <c r="X50" s="12"/>
      <c r="Y50" s="12"/>
      <c r="Z50" s="12"/>
    </row>
    <row r="51">
      <c r="A51" s="17"/>
      <c r="B51" s="20" t="s">
        <v>37</v>
      </c>
      <c r="C51" s="21" t="s">
        <v>38</v>
      </c>
      <c r="D51" s="12"/>
      <c r="E51" s="12"/>
      <c r="F51" s="12"/>
      <c r="G51" s="12"/>
      <c r="H51" s="12"/>
      <c r="I51" s="12"/>
      <c r="J51" s="12"/>
      <c r="K51" s="12"/>
      <c r="L51" s="12"/>
      <c r="M51" s="12"/>
      <c r="N51" s="12"/>
      <c r="O51" s="12"/>
      <c r="P51" s="12"/>
      <c r="Q51" s="12"/>
      <c r="R51" s="12"/>
      <c r="S51" s="12"/>
      <c r="T51" s="12"/>
      <c r="U51" s="12"/>
      <c r="V51" s="12"/>
      <c r="W51" s="12"/>
      <c r="X51" s="12"/>
      <c r="Y51" s="12"/>
      <c r="Z51" s="12"/>
    </row>
    <row r="52">
      <c r="A52" s="17"/>
      <c r="B52" s="20" t="s">
        <v>39</v>
      </c>
      <c r="C52" s="21" t="s">
        <v>40</v>
      </c>
      <c r="D52" s="12"/>
      <c r="E52" s="12"/>
      <c r="F52" s="12"/>
      <c r="G52" s="12"/>
      <c r="H52" s="12"/>
      <c r="I52" s="12"/>
      <c r="J52" s="12"/>
      <c r="K52" s="12"/>
      <c r="L52" s="12"/>
      <c r="M52" s="12"/>
      <c r="N52" s="12"/>
      <c r="O52" s="12"/>
      <c r="P52" s="12"/>
      <c r="Q52" s="12"/>
      <c r="R52" s="12"/>
      <c r="S52" s="12"/>
      <c r="T52" s="12"/>
      <c r="U52" s="12"/>
      <c r="V52" s="12"/>
      <c r="W52" s="12"/>
      <c r="X52" s="12"/>
      <c r="Y52" s="12"/>
      <c r="Z52" s="12"/>
    </row>
    <row r="53">
      <c r="A53" s="17"/>
      <c r="B53" s="20" t="s">
        <v>41</v>
      </c>
      <c r="C53" s="21" t="s">
        <v>42</v>
      </c>
      <c r="D53" s="12"/>
      <c r="E53" s="12"/>
      <c r="F53" s="12"/>
      <c r="G53" s="12"/>
      <c r="H53" s="12"/>
      <c r="I53" s="12"/>
      <c r="J53" s="12"/>
      <c r="K53" s="12"/>
      <c r="L53" s="12"/>
      <c r="M53" s="12"/>
      <c r="N53" s="12"/>
      <c r="O53" s="12"/>
      <c r="P53" s="12"/>
      <c r="Q53" s="12"/>
      <c r="R53" s="12"/>
      <c r="S53" s="12"/>
      <c r="T53" s="12"/>
      <c r="U53" s="12"/>
      <c r="V53" s="12"/>
      <c r="W53" s="12"/>
      <c r="X53" s="12"/>
      <c r="Y53" s="12"/>
      <c r="Z53" s="12"/>
    </row>
    <row r="54">
      <c r="A54" s="17"/>
      <c r="B54" s="20" t="s">
        <v>43</v>
      </c>
      <c r="C54" s="21" t="s">
        <v>44</v>
      </c>
      <c r="D54" s="12"/>
      <c r="E54" s="12"/>
      <c r="F54" s="12"/>
      <c r="G54" s="12"/>
      <c r="H54" s="12"/>
      <c r="I54" s="12"/>
      <c r="J54" s="12"/>
      <c r="K54" s="12"/>
      <c r="L54" s="12"/>
      <c r="M54" s="12"/>
      <c r="N54" s="12"/>
      <c r="O54" s="12"/>
      <c r="P54" s="12"/>
      <c r="Q54" s="12"/>
      <c r="R54" s="12"/>
      <c r="S54" s="12"/>
      <c r="T54" s="12"/>
      <c r="U54" s="12"/>
      <c r="V54" s="12"/>
      <c r="W54" s="12"/>
      <c r="X54" s="12"/>
      <c r="Y54" s="12"/>
      <c r="Z54" s="12"/>
    </row>
    <row r="55">
      <c r="B55" s="22" t="s">
        <v>45</v>
      </c>
    </row>
    <row r="57">
      <c r="B57" s="6" t="s">
        <v>46</v>
      </c>
    </row>
    <row r="58">
      <c r="B58" s="5" t="s">
        <v>47</v>
      </c>
    </row>
    <row r="59">
      <c r="B59" s="5"/>
    </row>
    <row r="60">
      <c r="B60" s="23" t="s">
        <v>48</v>
      </c>
      <c r="C60" s="23" t="s">
        <v>49</v>
      </c>
    </row>
    <row r="61">
      <c r="B61" s="22" t="s">
        <v>50</v>
      </c>
      <c r="C61" s="24" t="str">
        <f>IFERROR(__xludf.DUMMYFUNCTION("SPARKLINE((100-COUNTIF(INDIRECT(B61&amp;""!C:C""), ""TO DO""))/100+0.01,{""charttype"",""bar"";""max"",1.01;""min"",0; ""color1"", ""#4285f4""})"),"")</f>
        <v/>
      </c>
      <c r="D61" s="25" t="str">
        <f t="shared" ref="D61:D65" si="1">(100-COUNTIF(INDIRECT(B61&amp;"!C:C"), "TO DO")) &amp; " / 100"</f>
        <v>100 / 100</v>
      </c>
    </row>
    <row r="62">
      <c r="B62" s="22" t="s">
        <v>51</v>
      </c>
      <c r="C62" s="24" t="str">
        <f>IFERROR(__xludf.DUMMYFUNCTION("SPARKLINE((100-COUNTIF(INDIRECT(B62&amp;""!C:C""), ""TO DO""))/100+0.01,{""charttype"",""bar"";""max"",1.01;""min"",0; ""color1"", ""#4285f4""})"),"")</f>
        <v/>
      </c>
      <c r="D62" s="25" t="str">
        <f t="shared" si="1"/>
        <v>21 / 100</v>
      </c>
    </row>
    <row r="63">
      <c r="B63" s="22" t="s">
        <v>52</v>
      </c>
      <c r="C63" s="24" t="str">
        <f>IFERROR(__xludf.DUMMYFUNCTION("SPARKLINE((100-COUNTIF(INDIRECT(B63&amp;""!C:C""), ""TO DO""))/100+0.01,{""charttype"",""bar"";""max"",1.01;""min"",0; ""color1"", ""#4285f4""})"),"")</f>
        <v/>
      </c>
      <c r="D63" s="25" t="str">
        <f t="shared" si="1"/>
        <v>0 / 100</v>
      </c>
    </row>
    <row r="64">
      <c r="B64" s="22" t="s">
        <v>53</v>
      </c>
      <c r="C64" s="24" t="str">
        <f>IFERROR(__xludf.DUMMYFUNCTION("SPARKLINE((100-COUNTIF(INDIRECT(B64&amp;""!C:C""), ""TO DO""))/100+0.01,{""charttype"",""bar"";""max"",1.01;""min"",0; ""color1"", ""#4285f4""})"),"")</f>
        <v/>
      </c>
      <c r="D64" s="25" t="str">
        <f t="shared" si="1"/>
        <v>99 / 100</v>
      </c>
    </row>
    <row r="65">
      <c r="B65" s="22" t="s">
        <v>54</v>
      </c>
      <c r="C65" s="24" t="str">
        <f>IFERROR(__xludf.DUMMYFUNCTION("SPARKLINE((100-COUNTIF(INDIRECT(B65&amp;""!C:C""), ""TO DO""))/100+0.01,{""charttype"",""bar"";""max"",1.01;""min"",0; ""color1"", ""#4285f4""})"),"")</f>
        <v/>
      </c>
      <c r="D65" s="25" t="str">
        <f t="shared" si="1"/>
        <v>100 / 100</v>
      </c>
    </row>
    <row r="67">
      <c r="B67" s="26" t="s">
        <v>55</v>
      </c>
    </row>
    <row r="69">
      <c r="B69" s="6" t="s">
        <v>56</v>
      </c>
    </row>
    <row r="70">
      <c r="B70" s="5" t="s">
        <v>57</v>
      </c>
    </row>
    <row r="71">
      <c r="B71" s="5"/>
    </row>
    <row r="72">
      <c r="B72" s="5" t="s">
        <v>58</v>
      </c>
    </row>
    <row r="73">
      <c r="B73" s="5"/>
    </row>
    <row r="74">
      <c r="B74" s="27" t="s">
        <v>59</v>
      </c>
    </row>
    <row r="75">
      <c r="B75" s="5" t="s">
        <v>60</v>
      </c>
    </row>
    <row r="76">
      <c r="B76" s="5" t="s">
        <v>61</v>
      </c>
    </row>
    <row r="77">
      <c r="B77" s="5" t="s">
        <v>62</v>
      </c>
    </row>
    <row r="78">
      <c r="B78" s="5" t="s">
        <v>63</v>
      </c>
    </row>
    <row r="79">
      <c r="B79" s="5" t="s">
        <v>64</v>
      </c>
    </row>
    <row r="80">
      <c r="B80" s="5" t="s">
        <v>65</v>
      </c>
    </row>
    <row r="81">
      <c r="B81" s="5" t="s">
        <v>66</v>
      </c>
    </row>
    <row r="82">
      <c r="B82" s="5" t="s">
        <v>67</v>
      </c>
    </row>
    <row r="83">
      <c r="B83" s="5" t="s">
        <v>68</v>
      </c>
    </row>
    <row r="84">
      <c r="B84" s="5" t="s">
        <v>69</v>
      </c>
    </row>
    <row r="85">
      <c r="B85" s="5" t="s">
        <v>70</v>
      </c>
    </row>
    <row r="87">
      <c r="B87" s="27" t="s">
        <v>71</v>
      </c>
    </row>
    <row r="88">
      <c r="B88" s="28" t="s">
        <v>72</v>
      </c>
    </row>
    <row r="89">
      <c r="B89" s="28" t="s">
        <v>73</v>
      </c>
    </row>
    <row r="90">
      <c r="B90" s="28" t="s">
        <v>74</v>
      </c>
    </row>
    <row r="91">
      <c r="B91" s="28" t="s">
        <v>75</v>
      </c>
    </row>
    <row r="92">
      <c r="B92" s="28" t="s">
        <v>76</v>
      </c>
    </row>
    <row r="93">
      <c r="B93" s="28" t="s">
        <v>77</v>
      </c>
    </row>
    <row r="95">
      <c r="B95" s="13"/>
    </row>
    <row r="96">
      <c r="B96" s="13"/>
    </row>
    <row r="97">
      <c r="B97" s="13"/>
    </row>
    <row r="98">
      <c r="B98" s="13"/>
    </row>
    <row r="99">
      <c r="B99" s="13"/>
    </row>
  </sheetData>
  <dataValidations>
    <dataValidation type="list" allowBlank="1" showErrorMessage="1" sqref="B18:B20">
      <formula1>"TRUE,FALSE,SKIP"</formula1>
    </dataValidation>
  </dataValidations>
  <hyperlinks>
    <hyperlink r:id="rId1" ref="B55"/>
    <hyperlink display="Finn" location="Finn!A1" ref="B61"/>
    <hyperlink display="Gib" location="Gib!A1" ref="B62"/>
    <hyperlink display="Jean-Baptiste" location="'Jean-Baptiste'!A1" ref="B63"/>
    <hyperlink display="Meike" location="Meike!A1" ref="B64"/>
    <hyperlink display="Steve" location="Steve!A1" ref="B6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9" t="s">
        <v>78</v>
      </c>
      <c r="B1" s="30" t="s">
        <v>79</v>
      </c>
      <c r="C1" s="31" t="s">
        <v>80</v>
      </c>
      <c r="D1" s="23" t="s">
        <v>81</v>
      </c>
    </row>
    <row r="2">
      <c r="A2" s="32" t="s">
        <v>82</v>
      </c>
      <c r="B2" s="33" t="s">
        <v>83</v>
      </c>
      <c r="C2" s="34" t="b">
        <v>1</v>
      </c>
    </row>
    <row r="3">
      <c r="A3" s="32" t="s">
        <v>84</v>
      </c>
      <c r="B3" s="33" t="s">
        <v>85</v>
      </c>
      <c r="C3" s="34" t="s">
        <v>14</v>
      </c>
      <c r="D3" s="5" t="s">
        <v>86</v>
      </c>
    </row>
    <row r="4">
      <c r="A4" s="32" t="s">
        <v>87</v>
      </c>
      <c r="B4" s="33" t="s">
        <v>88</v>
      </c>
      <c r="C4" s="34" t="b">
        <v>0</v>
      </c>
    </row>
    <row r="5">
      <c r="A5" s="32" t="s">
        <v>89</v>
      </c>
      <c r="B5" s="33" t="s">
        <v>90</v>
      </c>
      <c r="C5" s="34" t="b">
        <v>1</v>
      </c>
    </row>
    <row r="6">
      <c r="A6" s="32" t="s">
        <v>91</v>
      </c>
      <c r="B6" s="33" t="s">
        <v>92</v>
      </c>
      <c r="C6" s="34" t="s">
        <v>14</v>
      </c>
      <c r="D6" s="5" t="s">
        <v>86</v>
      </c>
    </row>
    <row r="7">
      <c r="A7" s="32" t="s">
        <v>93</v>
      </c>
      <c r="B7" s="33" t="s">
        <v>94</v>
      </c>
      <c r="C7" s="34" t="b">
        <v>0</v>
      </c>
    </row>
    <row r="8">
      <c r="A8" s="32" t="s">
        <v>95</v>
      </c>
      <c r="B8" s="33" t="s">
        <v>96</v>
      </c>
      <c r="C8" s="34" t="b">
        <v>1</v>
      </c>
      <c r="D8" s="5" t="s">
        <v>97</v>
      </c>
    </row>
    <row r="9">
      <c r="A9" s="32" t="s">
        <v>98</v>
      </c>
      <c r="B9" s="33" t="s">
        <v>99</v>
      </c>
      <c r="C9" s="34" t="b">
        <v>1</v>
      </c>
    </row>
    <row r="10">
      <c r="A10" s="32" t="s">
        <v>100</v>
      </c>
      <c r="B10" s="33" t="s">
        <v>101</v>
      </c>
      <c r="C10" s="34" t="b">
        <v>0</v>
      </c>
    </row>
    <row r="11">
      <c r="A11" s="32" t="s">
        <v>102</v>
      </c>
      <c r="B11" s="33" t="s">
        <v>103</v>
      </c>
      <c r="C11" s="34" t="b">
        <v>0</v>
      </c>
    </row>
    <row r="12">
      <c r="A12" s="32" t="s">
        <v>104</v>
      </c>
      <c r="B12" s="33" t="s">
        <v>105</v>
      </c>
      <c r="C12" s="34" t="b">
        <v>0</v>
      </c>
    </row>
    <row r="13">
      <c r="A13" s="32" t="s">
        <v>106</v>
      </c>
      <c r="B13" s="33" t="s">
        <v>107</v>
      </c>
      <c r="C13" s="34" t="b">
        <v>1</v>
      </c>
      <c r="D13" s="5" t="s">
        <v>108</v>
      </c>
    </row>
    <row r="14">
      <c r="A14" s="32" t="s">
        <v>109</v>
      </c>
      <c r="B14" s="33" t="s">
        <v>110</v>
      </c>
      <c r="C14" s="34" t="b">
        <v>1</v>
      </c>
    </row>
    <row r="15">
      <c r="A15" s="32" t="s">
        <v>111</v>
      </c>
      <c r="B15" s="33" t="s">
        <v>112</v>
      </c>
      <c r="C15" s="34" t="b">
        <v>1</v>
      </c>
    </row>
    <row r="16">
      <c r="A16" s="32" t="s">
        <v>113</v>
      </c>
      <c r="B16" s="33" t="s">
        <v>114</v>
      </c>
      <c r="C16" s="34" t="b">
        <v>0</v>
      </c>
    </row>
    <row r="17">
      <c r="A17" s="32" t="s">
        <v>115</v>
      </c>
      <c r="B17" s="33" t="s">
        <v>116</v>
      </c>
      <c r="C17" s="34" t="s">
        <v>14</v>
      </c>
      <c r="D17" s="5" t="s">
        <v>117</v>
      </c>
    </row>
    <row r="18">
      <c r="A18" s="32" t="s">
        <v>118</v>
      </c>
      <c r="B18" s="33" t="s">
        <v>119</v>
      </c>
      <c r="C18" s="34" t="b">
        <v>0</v>
      </c>
    </row>
    <row r="19">
      <c r="A19" s="32" t="s">
        <v>120</v>
      </c>
      <c r="B19" s="33" t="s">
        <v>121</v>
      </c>
      <c r="C19" s="34" t="b">
        <v>0</v>
      </c>
    </row>
    <row r="20">
      <c r="A20" s="32" t="s">
        <v>122</v>
      </c>
      <c r="B20" s="33" t="s">
        <v>123</v>
      </c>
      <c r="C20" s="34" t="b">
        <v>0</v>
      </c>
    </row>
    <row r="21">
      <c r="A21" s="32" t="s">
        <v>124</v>
      </c>
      <c r="B21" s="33" t="s">
        <v>125</v>
      </c>
      <c r="C21" s="34" t="s">
        <v>14</v>
      </c>
      <c r="D21" s="5" t="s">
        <v>126</v>
      </c>
    </row>
    <row r="22">
      <c r="A22" s="32" t="s">
        <v>127</v>
      </c>
      <c r="B22" s="33" t="s">
        <v>128</v>
      </c>
      <c r="C22" s="34" t="b">
        <v>1</v>
      </c>
      <c r="D22" s="5" t="s">
        <v>97</v>
      </c>
    </row>
    <row r="23">
      <c r="A23" s="32" t="s">
        <v>129</v>
      </c>
      <c r="B23" s="33" t="s">
        <v>130</v>
      </c>
      <c r="C23" s="34" t="b">
        <v>1</v>
      </c>
    </row>
    <row r="24">
      <c r="A24" s="32" t="s">
        <v>131</v>
      </c>
      <c r="B24" s="33" t="s">
        <v>132</v>
      </c>
      <c r="C24" s="34" t="b">
        <v>1</v>
      </c>
    </row>
    <row r="25">
      <c r="A25" s="32" t="s">
        <v>133</v>
      </c>
      <c r="B25" s="33" t="s">
        <v>134</v>
      </c>
      <c r="C25" s="34" t="b">
        <v>1</v>
      </c>
    </row>
    <row r="26">
      <c r="A26" s="32" t="s">
        <v>135</v>
      </c>
      <c r="B26" s="33" t="s">
        <v>136</v>
      </c>
      <c r="C26" s="34" t="b">
        <v>1</v>
      </c>
    </row>
    <row r="27">
      <c r="A27" s="32" t="s">
        <v>137</v>
      </c>
      <c r="B27" s="33" t="s">
        <v>138</v>
      </c>
      <c r="C27" s="34" t="b">
        <v>1</v>
      </c>
    </row>
    <row r="28">
      <c r="A28" s="32" t="s">
        <v>139</v>
      </c>
      <c r="B28" s="33" t="s">
        <v>140</v>
      </c>
      <c r="C28" s="34" t="b">
        <v>1</v>
      </c>
      <c r="D28" s="5" t="s">
        <v>141</v>
      </c>
    </row>
    <row r="29">
      <c r="A29" s="32" t="s">
        <v>142</v>
      </c>
      <c r="B29" s="33" t="s">
        <v>143</v>
      </c>
      <c r="C29" s="34" t="b">
        <v>1</v>
      </c>
    </row>
    <row r="30">
      <c r="A30" s="32" t="s">
        <v>144</v>
      </c>
      <c r="B30" s="33" t="s">
        <v>145</v>
      </c>
      <c r="C30" s="34" t="b">
        <v>1</v>
      </c>
    </row>
    <row r="31">
      <c r="A31" s="32" t="s">
        <v>146</v>
      </c>
      <c r="B31" s="33" t="s">
        <v>147</v>
      </c>
      <c r="C31" s="34" t="b">
        <v>1</v>
      </c>
    </row>
    <row r="32">
      <c r="A32" s="32" t="s">
        <v>148</v>
      </c>
      <c r="B32" s="33" t="s">
        <v>149</v>
      </c>
      <c r="C32" s="34" t="b">
        <v>1</v>
      </c>
      <c r="D32" s="5" t="s">
        <v>97</v>
      </c>
    </row>
    <row r="33">
      <c r="A33" s="32" t="s">
        <v>150</v>
      </c>
      <c r="B33" s="33" t="s">
        <v>151</v>
      </c>
      <c r="C33" s="34" t="b">
        <v>0</v>
      </c>
    </row>
    <row r="34">
      <c r="A34" s="32" t="s">
        <v>152</v>
      </c>
      <c r="B34" s="33" t="s">
        <v>153</v>
      </c>
      <c r="C34" s="34" t="s">
        <v>14</v>
      </c>
    </row>
    <row r="35">
      <c r="A35" s="32" t="s">
        <v>154</v>
      </c>
      <c r="B35" s="33" t="s">
        <v>155</v>
      </c>
      <c r="C35" s="34" t="b">
        <v>0</v>
      </c>
    </row>
    <row r="36">
      <c r="A36" s="32" t="s">
        <v>156</v>
      </c>
      <c r="B36" s="33" t="s">
        <v>157</v>
      </c>
      <c r="C36" s="34" t="b">
        <v>0</v>
      </c>
    </row>
    <row r="37">
      <c r="A37" s="32" t="s">
        <v>158</v>
      </c>
      <c r="B37" s="33" t="s">
        <v>159</v>
      </c>
      <c r="C37" s="34" t="b">
        <v>1</v>
      </c>
    </row>
    <row r="38">
      <c r="A38" s="32" t="s">
        <v>160</v>
      </c>
      <c r="B38" s="33" t="s">
        <v>161</v>
      </c>
      <c r="C38" s="34" t="b">
        <v>0</v>
      </c>
    </row>
    <row r="39">
      <c r="A39" s="32" t="s">
        <v>162</v>
      </c>
      <c r="B39" s="33" t="s">
        <v>163</v>
      </c>
      <c r="C39" s="34" t="b">
        <v>0</v>
      </c>
    </row>
    <row r="40">
      <c r="A40" s="32" t="s">
        <v>164</v>
      </c>
      <c r="B40" s="33" t="s">
        <v>165</v>
      </c>
      <c r="C40" s="34" t="b">
        <v>0</v>
      </c>
    </row>
    <row r="41">
      <c r="A41" s="32" t="s">
        <v>166</v>
      </c>
      <c r="B41" s="33" t="s">
        <v>167</v>
      </c>
      <c r="C41" s="34" t="b">
        <v>1</v>
      </c>
    </row>
    <row r="42">
      <c r="A42" s="32" t="s">
        <v>168</v>
      </c>
      <c r="B42" s="33" t="s">
        <v>169</v>
      </c>
      <c r="C42" s="34" t="b">
        <v>1</v>
      </c>
      <c r="D42" s="5" t="s">
        <v>170</v>
      </c>
    </row>
    <row r="43">
      <c r="A43" s="32" t="s">
        <v>171</v>
      </c>
      <c r="B43" s="33" t="s">
        <v>172</v>
      </c>
      <c r="C43" s="34" t="b">
        <v>0</v>
      </c>
    </row>
    <row r="44">
      <c r="A44" s="32" t="s">
        <v>173</v>
      </c>
      <c r="B44" s="33" t="s">
        <v>174</v>
      </c>
      <c r="C44" s="34" t="b">
        <v>1</v>
      </c>
      <c r="D44" s="5" t="s">
        <v>97</v>
      </c>
    </row>
    <row r="45">
      <c r="A45" s="32" t="s">
        <v>175</v>
      </c>
      <c r="B45" s="33" t="s">
        <v>176</v>
      </c>
      <c r="C45" s="34" t="b">
        <v>0</v>
      </c>
    </row>
    <row r="46">
      <c r="A46" s="32" t="s">
        <v>177</v>
      </c>
      <c r="B46" s="33" t="s">
        <v>178</v>
      </c>
      <c r="C46" s="34" t="b">
        <v>1</v>
      </c>
    </row>
    <row r="47">
      <c r="A47" s="32" t="s">
        <v>179</v>
      </c>
      <c r="B47" s="33" t="s">
        <v>180</v>
      </c>
      <c r="C47" s="34" t="b">
        <v>0</v>
      </c>
    </row>
    <row r="48">
      <c r="A48" s="32" t="s">
        <v>181</v>
      </c>
      <c r="B48" s="33" t="s">
        <v>182</v>
      </c>
      <c r="C48" s="34" t="b">
        <v>1</v>
      </c>
    </row>
    <row r="49">
      <c r="A49" s="32" t="s">
        <v>183</v>
      </c>
      <c r="B49" s="33" t="s">
        <v>184</v>
      </c>
      <c r="C49" s="34" t="b">
        <v>1</v>
      </c>
    </row>
    <row r="50">
      <c r="A50" s="32" t="s">
        <v>185</v>
      </c>
      <c r="B50" s="33" t="s">
        <v>186</v>
      </c>
      <c r="C50" s="34" t="b">
        <v>0</v>
      </c>
    </row>
    <row r="51">
      <c r="A51" s="32" t="s">
        <v>187</v>
      </c>
      <c r="B51" s="33" t="s">
        <v>188</v>
      </c>
      <c r="C51" s="34" t="b">
        <v>0</v>
      </c>
    </row>
    <row r="52">
      <c r="A52" s="32" t="s">
        <v>189</v>
      </c>
      <c r="B52" s="33" t="s">
        <v>190</v>
      </c>
      <c r="C52" s="34" t="b">
        <v>0</v>
      </c>
    </row>
    <row r="53">
      <c r="A53" s="32" t="s">
        <v>191</v>
      </c>
      <c r="B53" s="33" t="s">
        <v>192</v>
      </c>
      <c r="C53" s="34" t="b">
        <v>0</v>
      </c>
    </row>
    <row r="54">
      <c r="A54" s="32" t="s">
        <v>193</v>
      </c>
      <c r="B54" s="33" t="s">
        <v>194</v>
      </c>
      <c r="C54" s="34" t="b">
        <v>0</v>
      </c>
    </row>
    <row r="55">
      <c r="A55" s="32" t="s">
        <v>195</v>
      </c>
      <c r="B55" s="33" t="s">
        <v>196</v>
      </c>
      <c r="C55" s="34" t="b">
        <v>1</v>
      </c>
    </row>
    <row r="56">
      <c r="A56" s="32" t="s">
        <v>197</v>
      </c>
      <c r="B56" s="33" t="s">
        <v>198</v>
      </c>
      <c r="C56" s="34" t="b">
        <v>1</v>
      </c>
      <c r="D56" s="5" t="s">
        <v>199</v>
      </c>
    </row>
    <row r="57">
      <c r="A57" s="32" t="s">
        <v>200</v>
      </c>
      <c r="B57" s="33" t="s">
        <v>201</v>
      </c>
      <c r="C57" s="34" t="b">
        <v>0</v>
      </c>
    </row>
    <row r="58">
      <c r="A58" s="32" t="s">
        <v>202</v>
      </c>
      <c r="B58" s="33" t="s">
        <v>203</v>
      </c>
      <c r="C58" s="34" t="b">
        <v>1</v>
      </c>
      <c r="D58" s="5" t="s">
        <v>204</v>
      </c>
    </row>
    <row r="59">
      <c r="A59" s="32" t="s">
        <v>205</v>
      </c>
      <c r="B59" s="33" t="s">
        <v>206</v>
      </c>
      <c r="C59" s="34" t="b">
        <v>0</v>
      </c>
    </row>
    <row r="60">
      <c r="A60" s="32" t="s">
        <v>207</v>
      </c>
      <c r="B60" s="33" t="s">
        <v>208</v>
      </c>
      <c r="C60" s="34" t="b">
        <v>1</v>
      </c>
    </row>
    <row r="61">
      <c r="A61" s="32" t="s">
        <v>209</v>
      </c>
      <c r="B61" s="33" t="s">
        <v>210</v>
      </c>
      <c r="C61" s="34" t="s">
        <v>14</v>
      </c>
      <c r="D61" s="5" t="s">
        <v>211</v>
      </c>
    </row>
    <row r="62">
      <c r="A62" s="32" t="s">
        <v>212</v>
      </c>
      <c r="B62" s="33" t="s">
        <v>213</v>
      </c>
      <c r="C62" s="34" t="b">
        <v>1</v>
      </c>
    </row>
    <row r="63">
      <c r="A63" s="32" t="s">
        <v>214</v>
      </c>
      <c r="B63" s="33" t="s">
        <v>215</v>
      </c>
      <c r="C63" s="34" t="b">
        <v>1</v>
      </c>
    </row>
    <row r="64">
      <c r="A64" s="32" t="s">
        <v>216</v>
      </c>
      <c r="B64" s="33" t="s">
        <v>217</v>
      </c>
      <c r="C64" s="34" t="b">
        <v>0</v>
      </c>
    </row>
    <row r="65">
      <c r="A65" s="32" t="s">
        <v>218</v>
      </c>
      <c r="B65" s="33" t="s">
        <v>219</v>
      </c>
      <c r="C65" s="34" t="s">
        <v>14</v>
      </c>
      <c r="D65" s="5" t="s">
        <v>220</v>
      </c>
    </row>
    <row r="66">
      <c r="A66" s="32" t="s">
        <v>221</v>
      </c>
      <c r="B66" s="33" t="s">
        <v>222</v>
      </c>
      <c r="C66" s="34" t="b">
        <v>1</v>
      </c>
    </row>
    <row r="67">
      <c r="A67" s="32" t="s">
        <v>223</v>
      </c>
      <c r="B67" s="33" t="s">
        <v>224</v>
      </c>
      <c r="C67" s="34" t="b">
        <v>1</v>
      </c>
      <c r="D67" s="5" t="s">
        <v>225</v>
      </c>
    </row>
    <row r="68">
      <c r="A68" s="32" t="s">
        <v>226</v>
      </c>
      <c r="B68" s="33" t="s">
        <v>227</v>
      </c>
      <c r="C68" s="34" t="b">
        <v>1</v>
      </c>
    </row>
    <row r="69">
      <c r="A69" s="32" t="s">
        <v>228</v>
      </c>
      <c r="B69" s="33" t="s">
        <v>229</v>
      </c>
      <c r="C69" s="34" t="b">
        <v>0</v>
      </c>
    </row>
    <row r="70">
      <c r="A70" s="32" t="s">
        <v>230</v>
      </c>
      <c r="B70" s="33" t="s">
        <v>231</v>
      </c>
      <c r="C70" s="34" t="b">
        <v>0</v>
      </c>
    </row>
    <row r="71">
      <c r="A71" s="32" t="s">
        <v>232</v>
      </c>
      <c r="B71" s="33" t="s">
        <v>233</v>
      </c>
      <c r="C71" s="34" t="s">
        <v>14</v>
      </c>
      <c r="D71" s="5" t="s">
        <v>234</v>
      </c>
    </row>
    <row r="72">
      <c r="A72" s="32" t="s">
        <v>235</v>
      </c>
      <c r="B72" s="33" t="s">
        <v>236</v>
      </c>
      <c r="C72" s="34" t="b">
        <v>1</v>
      </c>
    </row>
    <row r="73">
      <c r="A73" s="32" t="s">
        <v>237</v>
      </c>
      <c r="B73" s="33" t="s">
        <v>238</v>
      </c>
      <c r="C73" s="34" t="b">
        <v>1</v>
      </c>
    </row>
    <row r="74">
      <c r="A74" s="32" t="s">
        <v>239</v>
      </c>
      <c r="B74" s="33" t="s">
        <v>240</v>
      </c>
      <c r="C74" s="34" t="b">
        <v>1</v>
      </c>
      <c r="D74" s="5" t="s">
        <v>241</v>
      </c>
    </row>
    <row r="75">
      <c r="A75" s="32" t="s">
        <v>242</v>
      </c>
      <c r="B75" s="33" t="s">
        <v>243</v>
      </c>
      <c r="C75" s="34" t="b">
        <v>1</v>
      </c>
    </row>
    <row r="76">
      <c r="A76" s="32" t="s">
        <v>244</v>
      </c>
      <c r="B76" s="33" t="s">
        <v>245</v>
      </c>
      <c r="C76" s="34" t="b">
        <v>0</v>
      </c>
    </row>
    <row r="77">
      <c r="A77" s="32" t="s">
        <v>246</v>
      </c>
      <c r="B77" s="33" t="s">
        <v>247</v>
      </c>
      <c r="C77" s="34" t="b">
        <v>1</v>
      </c>
    </row>
    <row r="78">
      <c r="A78" s="32" t="s">
        <v>248</v>
      </c>
      <c r="B78" s="33" t="s">
        <v>249</v>
      </c>
      <c r="C78" s="34" t="b">
        <v>1</v>
      </c>
    </row>
    <row r="79">
      <c r="A79" s="32" t="s">
        <v>250</v>
      </c>
      <c r="B79" s="33" t="s">
        <v>251</v>
      </c>
      <c r="C79" s="34" t="b">
        <v>0</v>
      </c>
    </row>
    <row r="80">
      <c r="A80" s="32" t="s">
        <v>252</v>
      </c>
      <c r="B80" s="33" t="s">
        <v>253</v>
      </c>
      <c r="C80" s="34" t="b">
        <v>1</v>
      </c>
    </row>
    <row r="81">
      <c r="A81" s="32" t="s">
        <v>254</v>
      </c>
      <c r="B81" s="33" t="s">
        <v>255</v>
      </c>
      <c r="C81" s="34" t="b">
        <v>1</v>
      </c>
    </row>
    <row r="82">
      <c r="A82" s="32" t="s">
        <v>256</v>
      </c>
      <c r="B82" s="33" t="s">
        <v>257</v>
      </c>
      <c r="C82" s="34" t="b">
        <v>0</v>
      </c>
    </row>
    <row r="83">
      <c r="A83" s="32" t="s">
        <v>258</v>
      </c>
      <c r="B83" s="33" t="s">
        <v>259</v>
      </c>
      <c r="C83" s="34" t="b">
        <v>0</v>
      </c>
    </row>
    <row r="84">
      <c r="A84" s="32" t="s">
        <v>260</v>
      </c>
      <c r="B84" s="33" t="s">
        <v>261</v>
      </c>
      <c r="C84" s="34" t="b">
        <v>0</v>
      </c>
    </row>
    <row r="85">
      <c r="A85" s="32" t="s">
        <v>262</v>
      </c>
      <c r="B85" s="33" t="s">
        <v>263</v>
      </c>
      <c r="C85" s="34" t="b">
        <v>0</v>
      </c>
    </row>
    <row r="86">
      <c r="A86" s="32" t="s">
        <v>264</v>
      </c>
      <c r="B86" s="33" t="s">
        <v>265</v>
      </c>
      <c r="C86" s="34" t="b">
        <v>0</v>
      </c>
    </row>
    <row r="87">
      <c r="A87" s="32" t="s">
        <v>266</v>
      </c>
      <c r="B87" s="33" t="s">
        <v>267</v>
      </c>
      <c r="C87" s="34" t="b">
        <v>1</v>
      </c>
    </row>
    <row r="88">
      <c r="A88" s="32" t="s">
        <v>268</v>
      </c>
      <c r="B88" s="33" t="s">
        <v>269</v>
      </c>
      <c r="C88" s="34" t="b">
        <v>1</v>
      </c>
    </row>
    <row r="89">
      <c r="A89" s="32" t="s">
        <v>270</v>
      </c>
      <c r="B89" s="33" t="s">
        <v>271</v>
      </c>
      <c r="C89" s="34" t="b">
        <v>1</v>
      </c>
    </row>
    <row r="90">
      <c r="A90" s="32" t="s">
        <v>272</v>
      </c>
      <c r="B90" s="33" t="s">
        <v>273</v>
      </c>
      <c r="C90" s="34" t="b">
        <v>1</v>
      </c>
    </row>
    <row r="91">
      <c r="A91" s="32" t="s">
        <v>274</v>
      </c>
      <c r="B91" s="33" t="s">
        <v>275</v>
      </c>
      <c r="C91" s="34" t="b">
        <v>0</v>
      </c>
    </row>
    <row r="92">
      <c r="A92" s="32" t="s">
        <v>276</v>
      </c>
      <c r="B92" s="33" t="s">
        <v>277</v>
      </c>
      <c r="C92" s="34" t="b">
        <v>0</v>
      </c>
    </row>
    <row r="93">
      <c r="A93" s="32" t="s">
        <v>278</v>
      </c>
      <c r="B93" s="33" t="s">
        <v>279</v>
      </c>
      <c r="C93" s="34" t="b">
        <v>1</v>
      </c>
    </row>
    <row r="94">
      <c r="A94" s="32" t="s">
        <v>280</v>
      </c>
      <c r="B94" s="33" t="s">
        <v>281</v>
      </c>
      <c r="C94" s="34" t="b">
        <v>0</v>
      </c>
    </row>
    <row r="95">
      <c r="A95" s="32" t="s">
        <v>282</v>
      </c>
      <c r="B95" s="33" t="s">
        <v>283</v>
      </c>
      <c r="C95" s="34" t="b">
        <v>0</v>
      </c>
    </row>
    <row r="96">
      <c r="A96" s="32" t="s">
        <v>284</v>
      </c>
      <c r="B96" s="33" t="s">
        <v>285</v>
      </c>
      <c r="C96" s="34" t="b">
        <v>1</v>
      </c>
    </row>
    <row r="97">
      <c r="A97" s="32" t="s">
        <v>286</v>
      </c>
      <c r="B97" s="33" t="s">
        <v>287</v>
      </c>
      <c r="C97" s="34" t="s">
        <v>14</v>
      </c>
      <c r="D97" s="5" t="s">
        <v>288</v>
      </c>
    </row>
    <row r="98">
      <c r="A98" s="32" t="s">
        <v>289</v>
      </c>
      <c r="B98" s="33" t="s">
        <v>290</v>
      </c>
      <c r="C98" s="34" t="b">
        <v>0</v>
      </c>
    </row>
    <row r="99">
      <c r="A99" s="32" t="s">
        <v>291</v>
      </c>
      <c r="B99" s="33" t="s">
        <v>292</v>
      </c>
      <c r="C99" s="34" t="b">
        <v>0</v>
      </c>
    </row>
    <row r="100">
      <c r="A100" s="32" t="s">
        <v>293</v>
      </c>
      <c r="B100" s="33" t="s">
        <v>294</v>
      </c>
      <c r="C100" s="34" t="b">
        <v>1</v>
      </c>
    </row>
    <row r="101">
      <c r="A101" s="32" t="s">
        <v>295</v>
      </c>
      <c r="B101" s="33" t="s">
        <v>296</v>
      </c>
      <c r="C101" s="34" t="s">
        <v>14</v>
      </c>
      <c r="D101" s="5" t="s">
        <v>297</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78</v>
      </c>
      <c r="B1" s="30" t="s">
        <v>79</v>
      </c>
      <c r="C1" s="31" t="s">
        <v>80</v>
      </c>
      <c r="D1" s="23" t="s">
        <v>81</v>
      </c>
    </row>
    <row r="2">
      <c r="A2" s="32" t="s">
        <v>268</v>
      </c>
      <c r="B2" s="33" t="s">
        <v>269</v>
      </c>
      <c r="C2" s="35" t="b">
        <v>1</v>
      </c>
    </row>
    <row r="3">
      <c r="A3" s="32" t="s">
        <v>150</v>
      </c>
      <c r="B3" s="33" t="s">
        <v>151</v>
      </c>
      <c r="C3" s="35" t="b">
        <v>0</v>
      </c>
      <c r="D3" s="5" t="s">
        <v>298</v>
      </c>
    </row>
    <row r="4">
      <c r="A4" s="32" t="s">
        <v>258</v>
      </c>
      <c r="B4" s="33" t="s">
        <v>259</v>
      </c>
      <c r="C4" s="35" t="b">
        <v>0</v>
      </c>
    </row>
    <row r="5">
      <c r="A5" s="32" t="s">
        <v>226</v>
      </c>
      <c r="B5" s="33" t="s">
        <v>227</v>
      </c>
      <c r="C5" s="35" t="b">
        <v>1</v>
      </c>
    </row>
    <row r="6">
      <c r="A6" s="32" t="s">
        <v>246</v>
      </c>
      <c r="B6" s="33" t="s">
        <v>247</v>
      </c>
      <c r="C6" s="35" t="b">
        <v>1</v>
      </c>
    </row>
    <row r="7">
      <c r="A7" s="32" t="s">
        <v>129</v>
      </c>
      <c r="B7" s="33" t="s">
        <v>130</v>
      </c>
      <c r="C7" s="35" t="b">
        <v>1</v>
      </c>
    </row>
    <row r="8">
      <c r="A8" s="32" t="s">
        <v>256</v>
      </c>
      <c r="B8" s="33" t="s">
        <v>257</v>
      </c>
      <c r="C8" s="35" t="b">
        <v>0</v>
      </c>
    </row>
    <row r="9">
      <c r="A9" s="32" t="s">
        <v>89</v>
      </c>
      <c r="B9" s="33" t="s">
        <v>90</v>
      </c>
      <c r="C9" s="35" t="b">
        <v>1</v>
      </c>
    </row>
    <row r="10">
      <c r="A10" s="32" t="s">
        <v>95</v>
      </c>
      <c r="B10" s="33" t="s">
        <v>96</v>
      </c>
      <c r="C10" s="35" t="b">
        <v>0</v>
      </c>
    </row>
    <row r="11">
      <c r="A11" s="32" t="s">
        <v>284</v>
      </c>
      <c r="B11" s="33" t="s">
        <v>285</v>
      </c>
      <c r="C11" s="35" t="b">
        <v>1</v>
      </c>
    </row>
    <row r="12">
      <c r="A12" s="32" t="s">
        <v>221</v>
      </c>
      <c r="B12" s="33" t="s">
        <v>222</v>
      </c>
      <c r="C12" s="35" t="b">
        <v>1</v>
      </c>
    </row>
    <row r="13">
      <c r="A13" s="32" t="s">
        <v>162</v>
      </c>
      <c r="B13" s="33" t="s">
        <v>163</v>
      </c>
      <c r="C13" s="35" t="b">
        <v>0</v>
      </c>
    </row>
    <row r="14">
      <c r="A14" s="32" t="s">
        <v>185</v>
      </c>
      <c r="B14" s="33" t="s">
        <v>186</v>
      </c>
      <c r="C14" s="36" t="s">
        <v>299</v>
      </c>
    </row>
    <row r="15">
      <c r="A15" s="32" t="s">
        <v>266</v>
      </c>
      <c r="B15" s="33" t="s">
        <v>267</v>
      </c>
      <c r="C15" s="36" t="s">
        <v>299</v>
      </c>
    </row>
    <row r="16">
      <c r="A16" s="32" t="s">
        <v>181</v>
      </c>
      <c r="B16" s="33" t="s">
        <v>182</v>
      </c>
      <c r="C16" s="36" t="s">
        <v>299</v>
      </c>
    </row>
    <row r="17">
      <c r="A17" s="32" t="s">
        <v>242</v>
      </c>
      <c r="B17" s="33" t="s">
        <v>243</v>
      </c>
      <c r="C17" s="36" t="s">
        <v>299</v>
      </c>
    </row>
    <row r="18">
      <c r="A18" s="32" t="s">
        <v>250</v>
      </c>
      <c r="B18" s="33" t="s">
        <v>251</v>
      </c>
      <c r="C18" s="36" t="s">
        <v>299</v>
      </c>
    </row>
    <row r="19">
      <c r="A19" s="32" t="s">
        <v>205</v>
      </c>
      <c r="B19" s="33" t="s">
        <v>206</v>
      </c>
      <c r="C19" s="36" t="s">
        <v>299</v>
      </c>
    </row>
    <row r="20">
      <c r="A20" s="32" t="s">
        <v>111</v>
      </c>
      <c r="B20" s="33" t="s">
        <v>112</v>
      </c>
      <c r="C20" s="36" t="s">
        <v>299</v>
      </c>
    </row>
    <row r="21">
      <c r="A21" s="32" t="s">
        <v>286</v>
      </c>
      <c r="B21" s="33" t="s">
        <v>287</v>
      </c>
      <c r="C21" s="36" t="s">
        <v>299</v>
      </c>
    </row>
    <row r="22">
      <c r="A22" s="32" t="s">
        <v>183</v>
      </c>
      <c r="B22" s="33" t="s">
        <v>184</v>
      </c>
      <c r="C22" s="36" t="s">
        <v>299</v>
      </c>
    </row>
    <row r="23">
      <c r="A23" s="32" t="s">
        <v>102</v>
      </c>
      <c r="B23" s="33" t="s">
        <v>103</v>
      </c>
      <c r="C23" s="36" t="s">
        <v>299</v>
      </c>
    </row>
    <row r="24">
      <c r="A24" s="32" t="s">
        <v>272</v>
      </c>
      <c r="B24" s="33" t="s">
        <v>273</v>
      </c>
      <c r="C24" s="36" t="s">
        <v>299</v>
      </c>
    </row>
    <row r="25">
      <c r="A25" s="32" t="s">
        <v>133</v>
      </c>
      <c r="B25" s="33" t="s">
        <v>134</v>
      </c>
      <c r="C25" s="36" t="s">
        <v>299</v>
      </c>
    </row>
    <row r="26">
      <c r="A26" s="32" t="s">
        <v>166</v>
      </c>
      <c r="B26" s="33" t="s">
        <v>167</v>
      </c>
      <c r="C26" s="36" t="s">
        <v>299</v>
      </c>
    </row>
    <row r="27">
      <c r="A27" s="32" t="s">
        <v>274</v>
      </c>
      <c r="B27" s="33" t="s">
        <v>275</v>
      </c>
      <c r="C27" s="36" t="s">
        <v>299</v>
      </c>
    </row>
    <row r="28">
      <c r="A28" s="32" t="s">
        <v>131</v>
      </c>
      <c r="B28" s="33" t="s">
        <v>132</v>
      </c>
      <c r="C28" s="36" t="s">
        <v>299</v>
      </c>
    </row>
    <row r="29">
      <c r="A29" s="32" t="s">
        <v>202</v>
      </c>
      <c r="B29" s="33" t="s">
        <v>203</v>
      </c>
      <c r="C29" s="36" t="s">
        <v>299</v>
      </c>
    </row>
    <row r="30">
      <c r="A30" s="32" t="s">
        <v>164</v>
      </c>
      <c r="B30" s="33" t="s">
        <v>165</v>
      </c>
      <c r="C30" s="36" t="s">
        <v>299</v>
      </c>
    </row>
    <row r="31">
      <c r="A31" s="32" t="s">
        <v>156</v>
      </c>
      <c r="B31" s="33" t="s">
        <v>157</v>
      </c>
      <c r="C31" s="36" t="s">
        <v>299</v>
      </c>
    </row>
    <row r="32">
      <c r="A32" s="32" t="s">
        <v>84</v>
      </c>
      <c r="B32" s="33" t="s">
        <v>85</v>
      </c>
      <c r="C32" s="36" t="s">
        <v>299</v>
      </c>
    </row>
    <row r="33">
      <c r="A33" s="32" t="s">
        <v>193</v>
      </c>
      <c r="B33" s="33" t="s">
        <v>194</v>
      </c>
      <c r="C33" s="36" t="s">
        <v>299</v>
      </c>
    </row>
    <row r="34">
      <c r="A34" s="32" t="s">
        <v>152</v>
      </c>
      <c r="B34" s="33" t="s">
        <v>153</v>
      </c>
      <c r="C34" s="36" t="s">
        <v>299</v>
      </c>
    </row>
    <row r="35">
      <c r="A35" s="32" t="s">
        <v>98</v>
      </c>
      <c r="B35" s="33" t="s">
        <v>99</v>
      </c>
      <c r="C35" s="36" t="s">
        <v>299</v>
      </c>
    </row>
    <row r="36">
      <c r="A36" s="32" t="s">
        <v>276</v>
      </c>
      <c r="B36" s="33" t="s">
        <v>277</v>
      </c>
      <c r="C36" s="36" t="s">
        <v>299</v>
      </c>
    </row>
    <row r="37">
      <c r="A37" s="32" t="s">
        <v>120</v>
      </c>
      <c r="B37" s="33" t="s">
        <v>121</v>
      </c>
      <c r="C37" s="36" t="s">
        <v>299</v>
      </c>
    </row>
    <row r="38">
      <c r="A38" s="32" t="s">
        <v>93</v>
      </c>
      <c r="B38" s="33" t="s">
        <v>94</v>
      </c>
      <c r="C38" s="36" t="s">
        <v>299</v>
      </c>
    </row>
    <row r="39">
      <c r="A39" s="32" t="s">
        <v>191</v>
      </c>
      <c r="B39" s="33" t="s">
        <v>192</v>
      </c>
      <c r="C39" s="36" t="s">
        <v>299</v>
      </c>
    </row>
    <row r="40">
      <c r="A40" s="32" t="s">
        <v>106</v>
      </c>
      <c r="B40" s="33" t="s">
        <v>107</v>
      </c>
      <c r="C40" s="36" t="s">
        <v>299</v>
      </c>
    </row>
    <row r="41">
      <c r="A41" s="32" t="s">
        <v>280</v>
      </c>
      <c r="B41" s="33" t="s">
        <v>281</v>
      </c>
      <c r="C41" s="36" t="s">
        <v>299</v>
      </c>
    </row>
    <row r="42">
      <c r="A42" s="32" t="s">
        <v>270</v>
      </c>
      <c r="B42" s="33" t="s">
        <v>271</v>
      </c>
      <c r="C42" s="36" t="s">
        <v>299</v>
      </c>
    </row>
    <row r="43">
      <c r="A43" s="32" t="s">
        <v>293</v>
      </c>
      <c r="B43" s="33" t="s">
        <v>294</v>
      </c>
      <c r="C43" s="36" t="s">
        <v>299</v>
      </c>
    </row>
    <row r="44">
      <c r="A44" s="32" t="s">
        <v>289</v>
      </c>
      <c r="B44" s="33" t="s">
        <v>290</v>
      </c>
      <c r="C44" s="36" t="s">
        <v>299</v>
      </c>
    </row>
    <row r="45">
      <c r="A45" s="32" t="s">
        <v>264</v>
      </c>
      <c r="B45" s="33" t="s">
        <v>265</v>
      </c>
      <c r="C45" s="36" t="s">
        <v>299</v>
      </c>
    </row>
    <row r="46">
      <c r="A46" s="32" t="s">
        <v>82</v>
      </c>
      <c r="B46" s="33" t="s">
        <v>83</v>
      </c>
      <c r="C46" s="36" t="s">
        <v>299</v>
      </c>
    </row>
    <row r="47">
      <c r="A47" s="32" t="s">
        <v>237</v>
      </c>
      <c r="B47" s="33" t="s">
        <v>238</v>
      </c>
      <c r="C47" s="36" t="s">
        <v>299</v>
      </c>
    </row>
    <row r="48">
      <c r="A48" s="32" t="s">
        <v>171</v>
      </c>
      <c r="B48" s="33" t="s">
        <v>172</v>
      </c>
      <c r="C48" s="36" t="s">
        <v>299</v>
      </c>
    </row>
    <row r="49">
      <c r="A49" s="32" t="s">
        <v>232</v>
      </c>
      <c r="B49" s="33" t="s">
        <v>233</v>
      </c>
      <c r="C49" s="36" t="s">
        <v>299</v>
      </c>
    </row>
    <row r="50">
      <c r="A50" s="32" t="s">
        <v>91</v>
      </c>
      <c r="B50" s="33" t="s">
        <v>92</v>
      </c>
      <c r="C50" s="36" t="s">
        <v>299</v>
      </c>
    </row>
    <row r="51">
      <c r="A51" s="32" t="s">
        <v>122</v>
      </c>
      <c r="B51" s="33" t="s">
        <v>123</v>
      </c>
      <c r="C51" s="36" t="s">
        <v>299</v>
      </c>
    </row>
    <row r="52">
      <c r="A52" s="32" t="s">
        <v>260</v>
      </c>
      <c r="B52" s="33" t="s">
        <v>261</v>
      </c>
      <c r="C52" s="36" t="s">
        <v>299</v>
      </c>
    </row>
    <row r="53">
      <c r="A53" s="32" t="s">
        <v>160</v>
      </c>
      <c r="B53" s="33" t="s">
        <v>161</v>
      </c>
      <c r="C53" s="36" t="s">
        <v>299</v>
      </c>
    </row>
    <row r="54">
      <c r="A54" s="32" t="s">
        <v>146</v>
      </c>
      <c r="B54" s="33" t="s">
        <v>147</v>
      </c>
      <c r="C54" s="36" t="s">
        <v>299</v>
      </c>
    </row>
    <row r="55">
      <c r="A55" s="32" t="s">
        <v>187</v>
      </c>
      <c r="B55" s="33" t="s">
        <v>188</v>
      </c>
      <c r="C55" s="36" t="s">
        <v>299</v>
      </c>
    </row>
    <row r="56">
      <c r="A56" s="32" t="s">
        <v>189</v>
      </c>
      <c r="B56" s="33" t="s">
        <v>190</v>
      </c>
      <c r="C56" s="36" t="s">
        <v>299</v>
      </c>
    </row>
    <row r="57">
      <c r="A57" s="32" t="s">
        <v>100</v>
      </c>
      <c r="B57" s="33" t="s">
        <v>101</v>
      </c>
      <c r="C57" s="36" t="s">
        <v>299</v>
      </c>
    </row>
    <row r="58">
      <c r="A58" s="32" t="s">
        <v>142</v>
      </c>
      <c r="B58" s="33" t="s">
        <v>143</v>
      </c>
      <c r="C58" s="36" t="s">
        <v>299</v>
      </c>
    </row>
    <row r="59">
      <c r="A59" s="32" t="s">
        <v>254</v>
      </c>
      <c r="B59" s="33" t="s">
        <v>255</v>
      </c>
      <c r="C59" s="36" t="s">
        <v>299</v>
      </c>
    </row>
    <row r="60">
      <c r="A60" s="32" t="s">
        <v>137</v>
      </c>
      <c r="B60" s="33" t="s">
        <v>138</v>
      </c>
      <c r="C60" s="36" t="s">
        <v>299</v>
      </c>
    </row>
    <row r="61">
      <c r="A61" s="32" t="s">
        <v>148</v>
      </c>
      <c r="B61" s="33" t="s">
        <v>149</v>
      </c>
      <c r="C61" s="36" t="s">
        <v>299</v>
      </c>
    </row>
    <row r="62">
      <c r="A62" s="32" t="s">
        <v>262</v>
      </c>
      <c r="B62" s="33" t="s">
        <v>263</v>
      </c>
      <c r="C62" s="36" t="s">
        <v>299</v>
      </c>
    </row>
    <row r="63">
      <c r="A63" s="32" t="s">
        <v>124</v>
      </c>
      <c r="B63" s="33" t="s">
        <v>125</v>
      </c>
      <c r="C63" s="36" t="s">
        <v>299</v>
      </c>
    </row>
    <row r="64">
      <c r="A64" s="32" t="s">
        <v>209</v>
      </c>
      <c r="B64" s="33" t="s">
        <v>210</v>
      </c>
      <c r="C64" s="36" t="s">
        <v>299</v>
      </c>
    </row>
    <row r="65">
      <c r="A65" s="32" t="s">
        <v>158</v>
      </c>
      <c r="B65" s="33" t="s">
        <v>159</v>
      </c>
      <c r="C65" s="36" t="s">
        <v>299</v>
      </c>
    </row>
    <row r="66">
      <c r="A66" s="32" t="s">
        <v>278</v>
      </c>
      <c r="B66" s="33" t="s">
        <v>279</v>
      </c>
      <c r="C66" s="36" t="s">
        <v>299</v>
      </c>
    </row>
    <row r="67">
      <c r="A67" s="32" t="s">
        <v>139</v>
      </c>
      <c r="B67" s="33" t="s">
        <v>140</v>
      </c>
      <c r="C67" s="36" t="s">
        <v>299</v>
      </c>
    </row>
    <row r="68">
      <c r="A68" s="32" t="s">
        <v>118</v>
      </c>
      <c r="B68" s="33" t="s">
        <v>119</v>
      </c>
      <c r="C68" s="36" t="s">
        <v>299</v>
      </c>
    </row>
    <row r="69">
      <c r="A69" s="32" t="s">
        <v>109</v>
      </c>
      <c r="B69" s="33" t="s">
        <v>110</v>
      </c>
      <c r="C69" s="36" t="s">
        <v>299</v>
      </c>
    </row>
    <row r="70">
      <c r="A70" s="32" t="s">
        <v>214</v>
      </c>
      <c r="B70" s="33" t="s">
        <v>215</v>
      </c>
      <c r="C70" s="36" t="s">
        <v>299</v>
      </c>
    </row>
    <row r="71">
      <c r="A71" s="32" t="s">
        <v>127</v>
      </c>
      <c r="B71" s="33" t="s">
        <v>128</v>
      </c>
      <c r="C71" s="36" t="s">
        <v>299</v>
      </c>
    </row>
    <row r="72">
      <c r="A72" s="32" t="s">
        <v>239</v>
      </c>
      <c r="B72" s="33" t="s">
        <v>240</v>
      </c>
      <c r="C72" s="36" t="s">
        <v>299</v>
      </c>
    </row>
    <row r="73">
      <c r="A73" s="32" t="s">
        <v>195</v>
      </c>
      <c r="B73" s="33" t="s">
        <v>196</v>
      </c>
      <c r="C73" s="36" t="s">
        <v>299</v>
      </c>
    </row>
    <row r="74">
      <c r="A74" s="32" t="s">
        <v>168</v>
      </c>
      <c r="B74" s="33" t="s">
        <v>169</v>
      </c>
      <c r="C74" s="36" t="s">
        <v>299</v>
      </c>
    </row>
    <row r="75">
      <c r="A75" s="32" t="s">
        <v>248</v>
      </c>
      <c r="B75" s="33" t="s">
        <v>249</v>
      </c>
      <c r="C75" s="36" t="s">
        <v>299</v>
      </c>
    </row>
    <row r="76">
      <c r="A76" s="32" t="s">
        <v>235</v>
      </c>
      <c r="B76" s="33" t="s">
        <v>236</v>
      </c>
      <c r="C76" s="36" t="s">
        <v>299</v>
      </c>
    </row>
    <row r="77">
      <c r="A77" s="32" t="s">
        <v>218</v>
      </c>
      <c r="B77" s="33" t="s">
        <v>219</v>
      </c>
      <c r="C77" s="36" t="s">
        <v>299</v>
      </c>
    </row>
    <row r="78">
      <c r="A78" s="32" t="s">
        <v>207</v>
      </c>
      <c r="B78" s="33" t="s">
        <v>208</v>
      </c>
      <c r="C78" s="36" t="s">
        <v>299</v>
      </c>
    </row>
    <row r="79">
      <c r="A79" s="32" t="s">
        <v>135</v>
      </c>
      <c r="B79" s="33" t="s">
        <v>136</v>
      </c>
      <c r="C79" s="36" t="s">
        <v>299</v>
      </c>
    </row>
    <row r="80">
      <c r="A80" s="32" t="s">
        <v>244</v>
      </c>
      <c r="B80" s="33" t="s">
        <v>245</v>
      </c>
      <c r="C80" s="36" t="s">
        <v>299</v>
      </c>
    </row>
    <row r="81">
      <c r="A81" s="32" t="s">
        <v>154</v>
      </c>
      <c r="B81" s="33" t="s">
        <v>155</v>
      </c>
      <c r="C81" s="36" t="s">
        <v>299</v>
      </c>
    </row>
    <row r="82">
      <c r="A82" s="32" t="s">
        <v>115</v>
      </c>
      <c r="B82" s="33" t="s">
        <v>116</v>
      </c>
      <c r="C82" s="36" t="s">
        <v>299</v>
      </c>
    </row>
    <row r="83">
      <c r="A83" s="32" t="s">
        <v>177</v>
      </c>
      <c r="B83" s="33" t="s">
        <v>178</v>
      </c>
      <c r="C83" s="36" t="s">
        <v>299</v>
      </c>
    </row>
    <row r="84">
      <c r="A84" s="32" t="s">
        <v>200</v>
      </c>
      <c r="B84" s="33" t="s">
        <v>201</v>
      </c>
      <c r="C84" s="36" t="s">
        <v>299</v>
      </c>
    </row>
    <row r="85">
      <c r="A85" s="32" t="s">
        <v>223</v>
      </c>
      <c r="B85" s="33" t="s">
        <v>224</v>
      </c>
      <c r="C85" s="36" t="s">
        <v>299</v>
      </c>
    </row>
    <row r="86">
      <c r="A86" s="32" t="s">
        <v>144</v>
      </c>
      <c r="B86" s="33" t="s">
        <v>145</v>
      </c>
      <c r="C86" s="36" t="s">
        <v>299</v>
      </c>
    </row>
    <row r="87">
      <c r="A87" s="32" t="s">
        <v>212</v>
      </c>
      <c r="B87" s="33" t="s">
        <v>213</v>
      </c>
      <c r="C87" s="36" t="s">
        <v>299</v>
      </c>
    </row>
    <row r="88">
      <c r="A88" s="32" t="s">
        <v>104</v>
      </c>
      <c r="B88" s="33" t="s">
        <v>105</v>
      </c>
      <c r="C88" s="36" t="s">
        <v>299</v>
      </c>
    </row>
    <row r="89">
      <c r="A89" s="32" t="s">
        <v>197</v>
      </c>
      <c r="B89" s="33" t="s">
        <v>198</v>
      </c>
      <c r="C89" s="36" t="s">
        <v>299</v>
      </c>
    </row>
    <row r="90">
      <c r="A90" s="32" t="s">
        <v>295</v>
      </c>
      <c r="B90" s="33" t="s">
        <v>296</v>
      </c>
      <c r="C90" s="36" t="s">
        <v>299</v>
      </c>
    </row>
    <row r="91">
      <c r="A91" s="32" t="s">
        <v>252</v>
      </c>
      <c r="B91" s="33" t="s">
        <v>253</v>
      </c>
      <c r="C91" s="36" t="s">
        <v>299</v>
      </c>
    </row>
    <row r="92">
      <c r="A92" s="32" t="s">
        <v>175</v>
      </c>
      <c r="B92" s="33" t="s">
        <v>176</v>
      </c>
      <c r="C92" s="36" t="s">
        <v>299</v>
      </c>
    </row>
    <row r="93">
      <c r="A93" s="32" t="s">
        <v>216</v>
      </c>
      <c r="B93" s="33" t="s">
        <v>217</v>
      </c>
      <c r="C93" s="35" t="b">
        <v>0</v>
      </c>
      <c r="D93" s="5" t="s">
        <v>300</v>
      </c>
    </row>
    <row r="94">
      <c r="A94" s="32" t="s">
        <v>113</v>
      </c>
      <c r="B94" s="33" t="s">
        <v>114</v>
      </c>
      <c r="C94" s="35" t="s">
        <v>14</v>
      </c>
    </row>
    <row r="95">
      <c r="A95" s="32" t="s">
        <v>230</v>
      </c>
      <c r="B95" s="33" t="s">
        <v>231</v>
      </c>
      <c r="C95" s="35" t="b">
        <v>0</v>
      </c>
    </row>
    <row r="96">
      <c r="A96" s="32" t="s">
        <v>173</v>
      </c>
      <c r="B96" s="33" t="s">
        <v>174</v>
      </c>
      <c r="C96" s="35" t="b">
        <v>0</v>
      </c>
    </row>
    <row r="97">
      <c r="A97" s="32" t="s">
        <v>282</v>
      </c>
      <c r="B97" s="33" t="s">
        <v>283</v>
      </c>
      <c r="C97" s="35" t="b">
        <v>0</v>
      </c>
    </row>
    <row r="98">
      <c r="A98" s="32" t="s">
        <v>179</v>
      </c>
      <c r="B98" s="33" t="s">
        <v>180</v>
      </c>
      <c r="C98" s="35" t="b">
        <v>0</v>
      </c>
    </row>
    <row r="99">
      <c r="A99" s="32" t="s">
        <v>87</v>
      </c>
      <c r="B99" s="33" t="s">
        <v>88</v>
      </c>
      <c r="C99" s="35" t="b">
        <v>0</v>
      </c>
      <c r="D99" s="5" t="s">
        <v>301</v>
      </c>
    </row>
    <row r="100">
      <c r="A100" s="32" t="s">
        <v>228</v>
      </c>
      <c r="B100" s="33" t="s">
        <v>229</v>
      </c>
      <c r="C100" s="35" t="b">
        <v>0</v>
      </c>
      <c r="D100" s="5" t="s">
        <v>302</v>
      </c>
    </row>
    <row r="101">
      <c r="A101" s="32" t="s">
        <v>291</v>
      </c>
      <c r="B101" s="33" t="s">
        <v>292</v>
      </c>
      <c r="C101" s="35" t="b">
        <v>0</v>
      </c>
      <c r="D101" s="5" t="s">
        <v>302</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9" t="s">
        <v>78</v>
      </c>
      <c r="B1" s="30" t="s">
        <v>79</v>
      </c>
      <c r="C1" s="31" t="s">
        <v>80</v>
      </c>
      <c r="D1" s="23" t="s">
        <v>81</v>
      </c>
    </row>
    <row r="2">
      <c r="A2" s="32" t="s">
        <v>98</v>
      </c>
      <c r="B2" s="33" t="s">
        <v>99</v>
      </c>
      <c r="C2" s="36" t="s">
        <v>299</v>
      </c>
    </row>
    <row r="3">
      <c r="A3" s="32" t="s">
        <v>100</v>
      </c>
      <c r="B3" s="33" t="s">
        <v>101</v>
      </c>
      <c r="C3" s="36" t="s">
        <v>299</v>
      </c>
    </row>
    <row r="4">
      <c r="A4" s="32" t="s">
        <v>266</v>
      </c>
      <c r="B4" s="33" t="s">
        <v>267</v>
      </c>
      <c r="C4" s="36" t="s">
        <v>299</v>
      </c>
    </row>
    <row r="5">
      <c r="A5" s="32" t="s">
        <v>168</v>
      </c>
      <c r="B5" s="33" t="s">
        <v>169</v>
      </c>
      <c r="C5" s="36" t="s">
        <v>299</v>
      </c>
    </row>
    <row r="6">
      <c r="A6" s="32" t="s">
        <v>254</v>
      </c>
      <c r="B6" s="33" t="s">
        <v>255</v>
      </c>
      <c r="C6" s="36" t="s">
        <v>299</v>
      </c>
    </row>
    <row r="7">
      <c r="A7" s="32" t="s">
        <v>262</v>
      </c>
      <c r="B7" s="33" t="s">
        <v>263</v>
      </c>
      <c r="C7" s="36" t="s">
        <v>299</v>
      </c>
    </row>
    <row r="8">
      <c r="A8" s="32" t="s">
        <v>289</v>
      </c>
      <c r="B8" s="33" t="s">
        <v>290</v>
      </c>
      <c r="C8" s="36" t="s">
        <v>299</v>
      </c>
    </row>
    <row r="9">
      <c r="A9" s="32" t="s">
        <v>89</v>
      </c>
      <c r="B9" s="33" t="s">
        <v>90</v>
      </c>
      <c r="C9" s="36" t="s">
        <v>299</v>
      </c>
    </row>
    <row r="10">
      <c r="A10" s="32" t="s">
        <v>207</v>
      </c>
      <c r="B10" s="33" t="s">
        <v>208</v>
      </c>
      <c r="C10" s="36" t="s">
        <v>299</v>
      </c>
    </row>
    <row r="11">
      <c r="A11" s="32" t="s">
        <v>173</v>
      </c>
      <c r="B11" s="33" t="s">
        <v>174</v>
      </c>
      <c r="C11" s="36" t="s">
        <v>299</v>
      </c>
    </row>
    <row r="12">
      <c r="A12" s="32" t="s">
        <v>246</v>
      </c>
      <c r="B12" s="33" t="s">
        <v>247</v>
      </c>
      <c r="C12" s="36" t="s">
        <v>299</v>
      </c>
    </row>
    <row r="13">
      <c r="A13" s="32" t="s">
        <v>106</v>
      </c>
      <c r="B13" s="33" t="s">
        <v>107</v>
      </c>
      <c r="C13" s="36" t="s">
        <v>299</v>
      </c>
    </row>
    <row r="14">
      <c r="A14" s="32" t="s">
        <v>280</v>
      </c>
      <c r="B14" s="33" t="s">
        <v>281</v>
      </c>
      <c r="C14" s="36" t="s">
        <v>299</v>
      </c>
    </row>
    <row r="15">
      <c r="A15" s="32" t="s">
        <v>181</v>
      </c>
      <c r="B15" s="33" t="s">
        <v>182</v>
      </c>
      <c r="C15" s="36" t="s">
        <v>299</v>
      </c>
    </row>
    <row r="16">
      <c r="A16" s="32" t="s">
        <v>242</v>
      </c>
      <c r="B16" s="33" t="s">
        <v>243</v>
      </c>
      <c r="C16" s="36" t="s">
        <v>299</v>
      </c>
    </row>
    <row r="17">
      <c r="A17" s="32" t="s">
        <v>82</v>
      </c>
      <c r="B17" s="33" t="s">
        <v>83</v>
      </c>
      <c r="C17" s="36" t="s">
        <v>299</v>
      </c>
    </row>
    <row r="18">
      <c r="A18" s="32" t="s">
        <v>122</v>
      </c>
      <c r="B18" s="33" t="s">
        <v>123</v>
      </c>
      <c r="C18" s="36" t="s">
        <v>299</v>
      </c>
    </row>
    <row r="19">
      <c r="A19" s="32" t="s">
        <v>278</v>
      </c>
      <c r="B19" s="33" t="s">
        <v>279</v>
      </c>
      <c r="C19" s="36" t="s">
        <v>299</v>
      </c>
    </row>
    <row r="20">
      <c r="A20" s="32" t="s">
        <v>158</v>
      </c>
      <c r="B20" s="33" t="s">
        <v>159</v>
      </c>
      <c r="C20" s="36" t="s">
        <v>299</v>
      </c>
    </row>
    <row r="21">
      <c r="A21" s="32" t="s">
        <v>156</v>
      </c>
      <c r="B21" s="33" t="s">
        <v>157</v>
      </c>
      <c r="C21" s="36" t="s">
        <v>299</v>
      </c>
    </row>
    <row r="22">
      <c r="A22" s="32" t="s">
        <v>183</v>
      </c>
      <c r="B22" s="33" t="s">
        <v>184</v>
      </c>
      <c r="C22" s="36" t="s">
        <v>299</v>
      </c>
    </row>
    <row r="23">
      <c r="A23" s="32" t="s">
        <v>120</v>
      </c>
      <c r="B23" s="33" t="s">
        <v>121</v>
      </c>
      <c r="C23" s="36" t="s">
        <v>299</v>
      </c>
    </row>
    <row r="24">
      <c r="A24" s="32" t="s">
        <v>230</v>
      </c>
      <c r="B24" s="33" t="s">
        <v>231</v>
      </c>
      <c r="C24" s="36" t="s">
        <v>299</v>
      </c>
    </row>
    <row r="25">
      <c r="A25" s="32" t="s">
        <v>212</v>
      </c>
      <c r="B25" s="33" t="s">
        <v>213</v>
      </c>
      <c r="C25" s="36" t="s">
        <v>299</v>
      </c>
    </row>
    <row r="26">
      <c r="A26" s="32" t="s">
        <v>252</v>
      </c>
      <c r="B26" s="33" t="s">
        <v>253</v>
      </c>
      <c r="C26" s="36" t="s">
        <v>299</v>
      </c>
    </row>
    <row r="27">
      <c r="A27" s="32" t="s">
        <v>237</v>
      </c>
      <c r="B27" s="33" t="s">
        <v>238</v>
      </c>
      <c r="C27" s="36" t="s">
        <v>299</v>
      </c>
    </row>
    <row r="28">
      <c r="A28" s="32" t="s">
        <v>129</v>
      </c>
      <c r="B28" s="33" t="s">
        <v>130</v>
      </c>
      <c r="C28" s="36" t="s">
        <v>299</v>
      </c>
    </row>
    <row r="29">
      <c r="A29" s="32" t="s">
        <v>193</v>
      </c>
      <c r="B29" s="33" t="s">
        <v>194</v>
      </c>
      <c r="C29" s="36" t="s">
        <v>299</v>
      </c>
    </row>
    <row r="30">
      <c r="A30" s="32" t="s">
        <v>295</v>
      </c>
      <c r="B30" s="33" t="s">
        <v>296</v>
      </c>
      <c r="C30" s="36" t="s">
        <v>299</v>
      </c>
    </row>
    <row r="31">
      <c r="A31" s="32" t="s">
        <v>152</v>
      </c>
      <c r="B31" s="33" t="s">
        <v>153</v>
      </c>
      <c r="C31" s="36" t="s">
        <v>299</v>
      </c>
    </row>
    <row r="32">
      <c r="A32" s="32" t="s">
        <v>124</v>
      </c>
      <c r="B32" s="33" t="s">
        <v>125</v>
      </c>
      <c r="C32" s="36" t="s">
        <v>299</v>
      </c>
    </row>
    <row r="33">
      <c r="A33" s="32" t="s">
        <v>171</v>
      </c>
      <c r="B33" s="33" t="s">
        <v>172</v>
      </c>
      <c r="C33" s="36" t="s">
        <v>299</v>
      </c>
    </row>
    <row r="34">
      <c r="A34" s="32" t="s">
        <v>200</v>
      </c>
      <c r="B34" s="33" t="s">
        <v>201</v>
      </c>
      <c r="C34" s="36" t="s">
        <v>299</v>
      </c>
    </row>
    <row r="35">
      <c r="A35" s="32" t="s">
        <v>102</v>
      </c>
      <c r="B35" s="33" t="s">
        <v>103</v>
      </c>
      <c r="C35" s="36" t="s">
        <v>299</v>
      </c>
    </row>
    <row r="36">
      <c r="A36" s="32" t="s">
        <v>164</v>
      </c>
      <c r="B36" s="33" t="s">
        <v>165</v>
      </c>
      <c r="C36" s="36" t="s">
        <v>299</v>
      </c>
    </row>
    <row r="37">
      <c r="A37" s="32" t="s">
        <v>244</v>
      </c>
      <c r="B37" s="33" t="s">
        <v>245</v>
      </c>
      <c r="C37" s="36" t="s">
        <v>299</v>
      </c>
    </row>
    <row r="38">
      <c r="A38" s="32" t="s">
        <v>133</v>
      </c>
      <c r="B38" s="33" t="s">
        <v>134</v>
      </c>
      <c r="C38" s="36" t="s">
        <v>299</v>
      </c>
    </row>
    <row r="39">
      <c r="A39" s="32" t="s">
        <v>187</v>
      </c>
      <c r="B39" s="33" t="s">
        <v>188</v>
      </c>
      <c r="C39" s="36" t="s">
        <v>299</v>
      </c>
    </row>
    <row r="40">
      <c r="A40" s="32" t="s">
        <v>284</v>
      </c>
      <c r="B40" s="33" t="s">
        <v>285</v>
      </c>
      <c r="C40" s="36" t="s">
        <v>299</v>
      </c>
    </row>
    <row r="41">
      <c r="A41" s="32" t="s">
        <v>221</v>
      </c>
      <c r="B41" s="33" t="s">
        <v>222</v>
      </c>
      <c r="C41" s="36" t="s">
        <v>299</v>
      </c>
    </row>
    <row r="42">
      <c r="A42" s="32" t="s">
        <v>166</v>
      </c>
      <c r="B42" s="33" t="s">
        <v>167</v>
      </c>
      <c r="C42" s="36" t="s">
        <v>299</v>
      </c>
    </row>
    <row r="43">
      <c r="A43" s="32" t="s">
        <v>177</v>
      </c>
      <c r="B43" s="33" t="s">
        <v>178</v>
      </c>
      <c r="C43" s="36" t="s">
        <v>299</v>
      </c>
    </row>
    <row r="44">
      <c r="A44" s="32" t="s">
        <v>214</v>
      </c>
      <c r="B44" s="33" t="s">
        <v>215</v>
      </c>
      <c r="C44" s="36" t="s">
        <v>299</v>
      </c>
    </row>
    <row r="45">
      <c r="A45" s="32" t="s">
        <v>148</v>
      </c>
      <c r="B45" s="33" t="s">
        <v>149</v>
      </c>
      <c r="C45" s="36" t="s">
        <v>299</v>
      </c>
    </row>
    <row r="46">
      <c r="A46" s="32" t="s">
        <v>276</v>
      </c>
      <c r="B46" s="33" t="s">
        <v>277</v>
      </c>
      <c r="C46" s="36" t="s">
        <v>299</v>
      </c>
    </row>
    <row r="47">
      <c r="A47" s="32" t="s">
        <v>104</v>
      </c>
      <c r="B47" s="33" t="s">
        <v>105</v>
      </c>
      <c r="C47" s="36" t="s">
        <v>299</v>
      </c>
    </row>
    <row r="48">
      <c r="A48" s="32" t="s">
        <v>258</v>
      </c>
      <c r="B48" s="33" t="s">
        <v>259</v>
      </c>
      <c r="C48" s="36" t="s">
        <v>299</v>
      </c>
    </row>
    <row r="49">
      <c r="A49" s="32" t="s">
        <v>268</v>
      </c>
      <c r="B49" s="33" t="s">
        <v>269</v>
      </c>
      <c r="C49" s="36" t="s">
        <v>299</v>
      </c>
    </row>
    <row r="50">
      <c r="A50" s="32" t="s">
        <v>160</v>
      </c>
      <c r="B50" s="33" t="s">
        <v>161</v>
      </c>
      <c r="C50" s="36" t="s">
        <v>299</v>
      </c>
    </row>
    <row r="51">
      <c r="A51" s="32" t="s">
        <v>139</v>
      </c>
      <c r="B51" s="33" t="s">
        <v>140</v>
      </c>
      <c r="C51" s="36" t="s">
        <v>299</v>
      </c>
    </row>
    <row r="52">
      <c r="A52" s="32" t="s">
        <v>137</v>
      </c>
      <c r="B52" s="33" t="s">
        <v>138</v>
      </c>
      <c r="C52" s="36" t="s">
        <v>299</v>
      </c>
    </row>
    <row r="53">
      <c r="A53" s="32" t="s">
        <v>189</v>
      </c>
      <c r="B53" s="33" t="s">
        <v>190</v>
      </c>
      <c r="C53" s="36" t="s">
        <v>299</v>
      </c>
    </row>
    <row r="54">
      <c r="A54" s="32" t="s">
        <v>127</v>
      </c>
      <c r="B54" s="33" t="s">
        <v>128</v>
      </c>
      <c r="C54" s="36" t="s">
        <v>299</v>
      </c>
    </row>
    <row r="55">
      <c r="A55" s="32" t="s">
        <v>131</v>
      </c>
      <c r="B55" s="33" t="s">
        <v>132</v>
      </c>
      <c r="C55" s="36" t="s">
        <v>299</v>
      </c>
    </row>
    <row r="56">
      <c r="A56" s="32" t="s">
        <v>135</v>
      </c>
      <c r="B56" s="33" t="s">
        <v>136</v>
      </c>
      <c r="C56" s="36" t="s">
        <v>299</v>
      </c>
    </row>
    <row r="57">
      <c r="A57" s="32" t="s">
        <v>142</v>
      </c>
      <c r="B57" s="33" t="s">
        <v>143</v>
      </c>
      <c r="C57" s="36" t="s">
        <v>299</v>
      </c>
    </row>
    <row r="58">
      <c r="A58" s="32" t="s">
        <v>87</v>
      </c>
      <c r="B58" s="33" t="s">
        <v>88</v>
      </c>
      <c r="C58" s="36" t="s">
        <v>299</v>
      </c>
    </row>
    <row r="59">
      <c r="A59" s="32" t="s">
        <v>274</v>
      </c>
      <c r="B59" s="33" t="s">
        <v>275</v>
      </c>
      <c r="C59" s="36" t="s">
        <v>299</v>
      </c>
    </row>
    <row r="60">
      <c r="A60" s="32" t="s">
        <v>185</v>
      </c>
      <c r="B60" s="33" t="s">
        <v>186</v>
      </c>
      <c r="C60" s="36" t="s">
        <v>299</v>
      </c>
    </row>
    <row r="61">
      <c r="A61" s="32" t="s">
        <v>91</v>
      </c>
      <c r="B61" s="33" t="s">
        <v>92</v>
      </c>
      <c r="C61" s="36" t="s">
        <v>299</v>
      </c>
    </row>
    <row r="62">
      <c r="A62" s="32" t="s">
        <v>256</v>
      </c>
      <c r="B62" s="33" t="s">
        <v>257</v>
      </c>
      <c r="C62" s="36" t="s">
        <v>299</v>
      </c>
    </row>
    <row r="63">
      <c r="A63" s="32" t="s">
        <v>109</v>
      </c>
      <c r="B63" s="33" t="s">
        <v>110</v>
      </c>
      <c r="C63" s="36" t="s">
        <v>299</v>
      </c>
    </row>
    <row r="64">
      <c r="A64" s="32" t="s">
        <v>286</v>
      </c>
      <c r="B64" s="33" t="s">
        <v>287</v>
      </c>
      <c r="C64" s="36" t="s">
        <v>299</v>
      </c>
    </row>
    <row r="65">
      <c r="A65" s="32" t="s">
        <v>226</v>
      </c>
      <c r="B65" s="33" t="s">
        <v>227</v>
      </c>
      <c r="C65" s="36" t="s">
        <v>299</v>
      </c>
    </row>
    <row r="66">
      <c r="A66" s="32" t="s">
        <v>115</v>
      </c>
      <c r="B66" s="33" t="s">
        <v>116</v>
      </c>
      <c r="C66" s="36" t="s">
        <v>299</v>
      </c>
    </row>
    <row r="67">
      <c r="A67" s="32" t="s">
        <v>150</v>
      </c>
      <c r="B67" s="33" t="s">
        <v>151</v>
      </c>
      <c r="C67" s="36" t="s">
        <v>299</v>
      </c>
    </row>
    <row r="68">
      <c r="A68" s="32" t="s">
        <v>202</v>
      </c>
      <c r="B68" s="33" t="s">
        <v>203</v>
      </c>
      <c r="C68" s="36" t="s">
        <v>299</v>
      </c>
    </row>
    <row r="69">
      <c r="A69" s="32" t="s">
        <v>248</v>
      </c>
      <c r="B69" s="33" t="s">
        <v>249</v>
      </c>
      <c r="C69" s="36" t="s">
        <v>299</v>
      </c>
    </row>
    <row r="70">
      <c r="A70" s="32" t="s">
        <v>191</v>
      </c>
      <c r="B70" s="33" t="s">
        <v>192</v>
      </c>
      <c r="C70" s="36" t="s">
        <v>299</v>
      </c>
    </row>
    <row r="71">
      <c r="A71" s="32" t="s">
        <v>118</v>
      </c>
      <c r="B71" s="33" t="s">
        <v>119</v>
      </c>
      <c r="C71" s="36" t="s">
        <v>299</v>
      </c>
    </row>
    <row r="72">
      <c r="A72" s="32" t="s">
        <v>195</v>
      </c>
      <c r="B72" s="33" t="s">
        <v>196</v>
      </c>
      <c r="C72" s="36" t="s">
        <v>299</v>
      </c>
    </row>
    <row r="73">
      <c r="A73" s="32" t="s">
        <v>270</v>
      </c>
      <c r="B73" s="33" t="s">
        <v>271</v>
      </c>
      <c r="C73" s="36" t="s">
        <v>299</v>
      </c>
    </row>
    <row r="74">
      <c r="A74" s="32" t="s">
        <v>179</v>
      </c>
      <c r="B74" s="33" t="s">
        <v>180</v>
      </c>
      <c r="C74" s="36" t="s">
        <v>299</v>
      </c>
    </row>
    <row r="75">
      <c r="A75" s="32" t="s">
        <v>95</v>
      </c>
      <c r="B75" s="33" t="s">
        <v>96</v>
      </c>
      <c r="C75" s="36" t="s">
        <v>299</v>
      </c>
    </row>
    <row r="76">
      <c r="A76" s="32" t="s">
        <v>209</v>
      </c>
      <c r="B76" s="33" t="s">
        <v>210</v>
      </c>
      <c r="C76" s="36" t="s">
        <v>299</v>
      </c>
    </row>
    <row r="77">
      <c r="A77" s="32" t="s">
        <v>250</v>
      </c>
      <c r="B77" s="33" t="s">
        <v>251</v>
      </c>
      <c r="C77" s="36" t="s">
        <v>299</v>
      </c>
    </row>
    <row r="78">
      <c r="A78" s="32" t="s">
        <v>154</v>
      </c>
      <c r="B78" s="33" t="s">
        <v>155</v>
      </c>
      <c r="C78" s="36" t="s">
        <v>299</v>
      </c>
    </row>
    <row r="79">
      <c r="A79" s="32" t="s">
        <v>232</v>
      </c>
      <c r="B79" s="33" t="s">
        <v>233</v>
      </c>
      <c r="C79" s="36" t="s">
        <v>299</v>
      </c>
    </row>
    <row r="80">
      <c r="A80" s="32" t="s">
        <v>162</v>
      </c>
      <c r="B80" s="33" t="s">
        <v>163</v>
      </c>
      <c r="C80" s="36" t="s">
        <v>299</v>
      </c>
    </row>
    <row r="81">
      <c r="A81" s="32" t="s">
        <v>223</v>
      </c>
      <c r="B81" s="33" t="s">
        <v>224</v>
      </c>
      <c r="C81" s="36" t="s">
        <v>299</v>
      </c>
    </row>
    <row r="82">
      <c r="A82" s="32" t="s">
        <v>144</v>
      </c>
      <c r="B82" s="33" t="s">
        <v>145</v>
      </c>
      <c r="C82" s="36" t="s">
        <v>299</v>
      </c>
    </row>
    <row r="83">
      <c r="A83" s="32" t="s">
        <v>205</v>
      </c>
      <c r="B83" s="33" t="s">
        <v>206</v>
      </c>
      <c r="C83" s="36" t="s">
        <v>299</v>
      </c>
    </row>
    <row r="84">
      <c r="A84" s="32" t="s">
        <v>264</v>
      </c>
      <c r="B84" s="33" t="s">
        <v>265</v>
      </c>
      <c r="C84" s="36" t="s">
        <v>299</v>
      </c>
    </row>
    <row r="85">
      <c r="A85" s="32" t="s">
        <v>175</v>
      </c>
      <c r="B85" s="33" t="s">
        <v>176</v>
      </c>
      <c r="C85" s="36" t="s">
        <v>299</v>
      </c>
    </row>
    <row r="86">
      <c r="A86" s="32" t="s">
        <v>239</v>
      </c>
      <c r="B86" s="33" t="s">
        <v>240</v>
      </c>
      <c r="C86" s="36" t="s">
        <v>299</v>
      </c>
    </row>
    <row r="87">
      <c r="A87" s="32" t="s">
        <v>282</v>
      </c>
      <c r="B87" s="33" t="s">
        <v>283</v>
      </c>
      <c r="C87" s="36" t="s">
        <v>299</v>
      </c>
    </row>
    <row r="88">
      <c r="A88" s="32" t="s">
        <v>216</v>
      </c>
      <c r="B88" s="33" t="s">
        <v>217</v>
      </c>
      <c r="C88" s="36" t="s">
        <v>299</v>
      </c>
    </row>
    <row r="89">
      <c r="A89" s="32" t="s">
        <v>111</v>
      </c>
      <c r="B89" s="33" t="s">
        <v>112</v>
      </c>
      <c r="C89" s="36" t="s">
        <v>299</v>
      </c>
    </row>
    <row r="90">
      <c r="A90" s="32" t="s">
        <v>228</v>
      </c>
      <c r="B90" s="33" t="s">
        <v>229</v>
      </c>
      <c r="C90" s="36" t="s">
        <v>299</v>
      </c>
    </row>
    <row r="91">
      <c r="A91" s="32" t="s">
        <v>93</v>
      </c>
      <c r="B91" s="33" t="s">
        <v>94</v>
      </c>
      <c r="C91" s="36" t="s">
        <v>299</v>
      </c>
    </row>
    <row r="92">
      <c r="A92" s="32" t="s">
        <v>235</v>
      </c>
      <c r="B92" s="33" t="s">
        <v>236</v>
      </c>
      <c r="C92" s="36" t="s">
        <v>299</v>
      </c>
    </row>
    <row r="93">
      <c r="A93" s="32" t="s">
        <v>84</v>
      </c>
      <c r="B93" s="33" t="s">
        <v>85</v>
      </c>
      <c r="C93" s="36" t="s">
        <v>299</v>
      </c>
    </row>
    <row r="94">
      <c r="A94" s="32" t="s">
        <v>113</v>
      </c>
      <c r="B94" s="33" t="s">
        <v>114</v>
      </c>
      <c r="C94" s="36" t="s">
        <v>299</v>
      </c>
    </row>
    <row r="95">
      <c r="A95" s="32" t="s">
        <v>146</v>
      </c>
      <c r="B95" s="33" t="s">
        <v>147</v>
      </c>
      <c r="C95" s="36" t="s">
        <v>299</v>
      </c>
    </row>
    <row r="96">
      <c r="A96" s="32" t="s">
        <v>272</v>
      </c>
      <c r="B96" s="33" t="s">
        <v>273</v>
      </c>
      <c r="C96" s="36" t="s">
        <v>299</v>
      </c>
    </row>
    <row r="97">
      <c r="A97" s="32" t="s">
        <v>218</v>
      </c>
      <c r="B97" s="33" t="s">
        <v>219</v>
      </c>
      <c r="C97" s="36" t="s">
        <v>299</v>
      </c>
    </row>
    <row r="98">
      <c r="A98" s="32" t="s">
        <v>260</v>
      </c>
      <c r="B98" s="33" t="s">
        <v>261</v>
      </c>
      <c r="C98" s="36" t="s">
        <v>299</v>
      </c>
    </row>
    <row r="99">
      <c r="A99" s="32" t="s">
        <v>293</v>
      </c>
      <c r="B99" s="33" t="s">
        <v>294</v>
      </c>
      <c r="C99" s="36" t="s">
        <v>299</v>
      </c>
    </row>
    <row r="100">
      <c r="A100" s="32" t="s">
        <v>197</v>
      </c>
      <c r="B100" s="33" t="s">
        <v>198</v>
      </c>
      <c r="C100" s="36" t="s">
        <v>299</v>
      </c>
    </row>
    <row r="101">
      <c r="A101" s="32" t="s">
        <v>291</v>
      </c>
      <c r="B101" s="33" t="s">
        <v>292</v>
      </c>
      <c r="C101" s="36" t="s">
        <v>299</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8.13"/>
    <col customWidth="1" min="3" max="4" width="19.75"/>
  </cols>
  <sheetData>
    <row r="1">
      <c r="A1" s="29" t="s">
        <v>78</v>
      </c>
      <c r="B1" s="30" t="s">
        <v>79</v>
      </c>
      <c r="C1" s="31" t="s">
        <v>80</v>
      </c>
      <c r="D1" s="23" t="s">
        <v>81</v>
      </c>
    </row>
    <row r="2">
      <c r="A2" s="32" t="s">
        <v>146</v>
      </c>
      <c r="B2" s="33" t="s">
        <v>147</v>
      </c>
      <c r="C2" s="35" t="b">
        <v>1</v>
      </c>
    </row>
    <row r="3">
      <c r="A3" s="32" t="s">
        <v>127</v>
      </c>
      <c r="B3" s="33" t="s">
        <v>128</v>
      </c>
      <c r="C3" s="35" t="b">
        <v>1</v>
      </c>
    </row>
    <row r="4">
      <c r="A4" s="32" t="s">
        <v>264</v>
      </c>
      <c r="B4" s="33" t="s">
        <v>265</v>
      </c>
      <c r="C4" s="35" t="b">
        <v>1</v>
      </c>
    </row>
    <row r="5">
      <c r="A5" s="32" t="s">
        <v>158</v>
      </c>
      <c r="B5" s="33" t="s">
        <v>159</v>
      </c>
      <c r="C5" s="35" t="b">
        <v>0</v>
      </c>
    </row>
    <row r="6">
      <c r="A6" s="32" t="s">
        <v>162</v>
      </c>
      <c r="B6" s="33" t="s">
        <v>163</v>
      </c>
      <c r="C6" s="35" t="b">
        <v>0</v>
      </c>
    </row>
    <row r="7">
      <c r="A7" s="32" t="s">
        <v>120</v>
      </c>
      <c r="B7" s="33" t="s">
        <v>121</v>
      </c>
      <c r="C7" s="35" t="b">
        <v>0</v>
      </c>
    </row>
    <row r="8">
      <c r="A8" s="32" t="s">
        <v>175</v>
      </c>
      <c r="B8" s="33" t="s">
        <v>176</v>
      </c>
      <c r="C8" s="35" t="b">
        <v>0</v>
      </c>
    </row>
    <row r="9">
      <c r="A9" s="32" t="s">
        <v>191</v>
      </c>
      <c r="B9" s="33" t="s">
        <v>192</v>
      </c>
      <c r="C9" s="35" t="b">
        <v>0</v>
      </c>
    </row>
    <row r="10">
      <c r="A10" s="32" t="s">
        <v>205</v>
      </c>
      <c r="B10" s="33" t="s">
        <v>206</v>
      </c>
      <c r="C10" s="35" t="b">
        <v>0</v>
      </c>
    </row>
    <row r="11">
      <c r="A11" s="32" t="s">
        <v>154</v>
      </c>
      <c r="B11" s="33" t="s">
        <v>155</v>
      </c>
      <c r="C11" s="35" t="b">
        <v>0</v>
      </c>
    </row>
    <row r="12">
      <c r="A12" s="32" t="s">
        <v>293</v>
      </c>
      <c r="B12" s="33" t="s">
        <v>294</v>
      </c>
      <c r="C12" s="35" t="b">
        <v>0</v>
      </c>
    </row>
    <row r="13">
      <c r="A13" s="32" t="s">
        <v>115</v>
      </c>
      <c r="B13" s="33" t="s">
        <v>116</v>
      </c>
      <c r="C13" s="35" t="b">
        <v>1</v>
      </c>
    </row>
    <row r="14">
      <c r="A14" s="32" t="s">
        <v>256</v>
      </c>
      <c r="B14" s="33" t="s">
        <v>257</v>
      </c>
      <c r="C14" s="35" t="b">
        <v>0</v>
      </c>
    </row>
    <row r="15">
      <c r="A15" s="32" t="s">
        <v>195</v>
      </c>
      <c r="B15" s="37" t="s">
        <v>196</v>
      </c>
      <c r="C15" s="35" t="b">
        <v>0</v>
      </c>
    </row>
    <row r="16">
      <c r="A16" s="32" t="s">
        <v>280</v>
      </c>
      <c r="B16" s="33" t="s">
        <v>281</v>
      </c>
      <c r="C16" s="35" t="b">
        <v>0</v>
      </c>
    </row>
    <row r="17">
      <c r="A17" s="32" t="s">
        <v>295</v>
      </c>
      <c r="B17" s="33" t="s">
        <v>296</v>
      </c>
      <c r="C17" s="35" t="b">
        <v>0</v>
      </c>
    </row>
    <row r="18">
      <c r="A18" s="32" t="s">
        <v>102</v>
      </c>
      <c r="B18" s="38" t="s">
        <v>103</v>
      </c>
      <c r="C18" s="35" t="b">
        <v>1</v>
      </c>
    </row>
    <row r="19">
      <c r="A19" s="32" t="s">
        <v>284</v>
      </c>
      <c r="B19" s="33" t="s">
        <v>285</v>
      </c>
      <c r="C19" s="35" t="b">
        <v>1</v>
      </c>
    </row>
    <row r="20">
      <c r="A20" s="32" t="s">
        <v>230</v>
      </c>
      <c r="B20" s="33" t="s">
        <v>231</v>
      </c>
      <c r="C20" s="35" t="b">
        <v>0</v>
      </c>
    </row>
    <row r="21">
      <c r="A21" s="32" t="s">
        <v>82</v>
      </c>
      <c r="B21" s="33" t="s">
        <v>83</v>
      </c>
      <c r="C21" s="35" t="b">
        <v>1</v>
      </c>
    </row>
    <row r="22">
      <c r="A22" s="32" t="s">
        <v>98</v>
      </c>
      <c r="B22" s="33" t="s">
        <v>99</v>
      </c>
      <c r="C22" s="35" t="b">
        <v>1</v>
      </c>
    </row>
    <row r="23">
      <c r="A23" s="32" t="s">
        <v>268</v>
      </c>
      <c r="B23" s="37" t="s">
        <v>269</v>
      </c>
      <c r="C23" s="35" t="b">
        <v>0</v>
      </c>
    </row>
    <row r="24">
      <c r="A24" s="32" t="s">
        <v>164</v>
      </c>
      <c r="B24" s="33" t="s">
        <v>165</v>
      </c>
      <c r="C24" s="35" t="b">
        <v>0</v>
      </c>
    </row>
    <row r="25">
      <c r="A25" s="32" t="s">
        <v>160</v>
      </c>
      <c r="B25" s="33" t="s">
        <v>161</v>
      </c>
      <c r="C25" s="35" t="b">
        <v>0</v>
      </c>
    </row>
    <row r="26">
      <c r="A26" s="32" t="s">
        <v>139</v>
      </c>
      <c r="B26" s="33" t="s">
        <v>140</v>
      </c>
      <c r="C26" s="35" t="b">
        <v>0</v>
      </c>
    </row>
    <row r="27">
      <c r="A27" s="32" t="s">
        <v>84</v>
      </c>
      <c r="B27" s="38" t="s">
        <v>85</v>
      </c>
      <c r="C27" s="35" t="b">
        <v>1</v>
      </c>
    </row>
    <row r="28">
      <c r="A28" s="32" t="s">
        <v>106</v>
      </c>
      <c r="B28" s="33" t="s">
        <v>107</v>
      </c>
      <c r="C28" s="35" t="b">
        <v>0</v>
      </c>
    </row>
    <row r="29">
      <c r="A29" s="32" t="s">
        <v>278</v>
      </c>
      <c r="B29" s="33" t="s">
        <v>279</v>
      </c>
      <c r="C29" s="35" t="b">
        <v>1</v>
      </c>
    </row>
    <row r="30">
      <c r="A30" s="32" t="s">
        <v>237</v>
      </c>
      <c r="B30" s="33" t="s">
        <v>238</v>
      </c>
      <c r="C30" s="35" t="b">
        <v>0</v>
      </c>
    </row>
    <row r="31">
      <c r="A31" s="32" t="s">
        <v>244</v>
      </c>
      <c r="B31" s="33" t="s">
        <v>245</v>
      </c>
      <c r="C31" s="35" t="b">
        <v>0</v>
      </c>
    </row>
    <row r="32">
      <c r="A32" s="32" t="s">
        <v>129</v>
      </c>
      <c r="B32" s="33" t="s">
        <v>130</v>
      </c>
      <c r="C32" s="35" t="b">
        <v>1</v>
      </c>
    </row>
    <row r="33">
      <c r="A33" s="32" t="s">
        <v>212</v>
      </c>
      <c r="B33" s="33" t="s">
        <v>213</v>
      </c>
      <c r="C33" s="35" t="b">
        <v>1</v>
      </c>
    </row>
    <row r="34">
      <c r="A34" s="32" t="s">
        <v>168</v>
      </c>
      <c r="B34" s="33" t="s">
        <v>169</v>
      </c>
      <c r="C34" s="35" t="b">
        <v>0</v>
      </c>
    </row>
    <row r="35">
      <c r="A35" s="32" t="s">
        <v>87</v>
      </c>
      <c r="B35" s="33" t="s">
        <v>88</v>
      </c>
      <c r="C35" s="35" t="b">
        <v>1</v>
      </c>
    </row>
    <row r="36">
      <c r="A36" s="32" t="s">
        <v>166</v>
      </c>
      <c r="B36" s="33" t="s">
        <v>167</v>
      </c>
      <c r="C36" s="35" t="b">
        <v>0</v>
      </c>
    </row>
    <row r="37">
      <c r="A37" s="32" t="s">
        <v>95</v>
      </c>
      <c r="B37" s="33" t="s">
        <v>96</v>
      </c>
      <c r="C37" s="35" t="b">
        <v>1</v>
      </c>
    </row>
    <row r="38">
      <c r="A38" s="32" t="s">
        <v>262</v>
      </c>
      <c r="B38" s="33" t="s">
        <v>263</v>
      </c>
      <c r="C38" s="35" t="b">
        <v>0</v>
      </c>
    </row>
    <row r="39">
      <c r="A39" s="32" t="s">
        <v>291</v>
      </c>
      <c r="B39" s="33" t="s">
        <v>292</v>
      </c>
      <c r="C39" s="35" t="b">
        <v>0</v>
      </c>
    </row>
    <row r="40">
      <c r="A40" s="32" t="s">
        <v>142</v>
      </c>
      <c r="B40" s="33" t="s">
        <v>143</v>
      </c>
      <c r="C40" s="35" t="b">
        <v>0</v>
      </c>
    </row>
    <row r="41">
      <c r="A41" s="32" t="s">
        <v>135</v>
      </c>
      <c r="B41" s="33" t="s">
        <v>136</v>
      </c>
      <c r="C41" s="35" t="b">
        <v>0</v>
      </c>
    </row>
    <row r="42">
      <c r="A42" s="32" t="s">
        <v>221</v>
      </c>
      <c r="B42" s="33" t="s">
        <v>222</v>
      </c>
      <c r="C42" s="35" t="b">
        <v>1</v>
      </c>
    </row>
    <row r="43">
      <c r="A43" s="32" t="s">
        <v>223</v>
      </c>
      <c r="B43" s="33" t="s">
        <v>224</v>
      </c>
      <c r="C43" s="35" t="b">
        <v>1</v>
      </c>
    </row>
    <row r="44">
      <c r="A44" s="32" t="s">
        <v>266</v>
      </c>
      <c r="B44" s="33" t="s">
        <v>267</v>
      </c>
      <c r="C44" s="35" t="b">
        <v>1</v>
      </c>
    </row>
    <row r="45">
      <c r="A45" s="32" t="s">
        <v>282</v>
      </c>
      <c r="B45" s="33" t="s">
        <v>283</v>
      </c>
      <c r="C45" s="35" t="b">
        <v>0</v>
      </c>
    </row>
    <row r="46">
      <c r="A46" s="32" t="s">
        <v>122</v>
      </c>
      <c r="B46" s="33" t="s">
        <v>123</v>
      </c>
      <c r="C46" s="35" t="b">
        <v>0</v>
      </c>
    </row>
    <row r="47">
      <c r="A47" s="32" t="s">
        <v>100</v>
      </c>
      <c r="B47" s="33" t="s">
        <v>101</v>
      </c>
      <c r="C47" s="35" t="b">
        <v>0</v>
      </c>
    </row>
    <row r="48">
      <c r="A48" s="32" t="s">
        <v>197</v>
      </c>
      <c r="B48" s="33" t="s">
        <v>198</v>
      </c>
      <c r="C48" s="36" t="s">
        <v>299</v>
      </c>
    </row>
    <row r="49">
      <c r="A49" s="32" t="s">
        <v>276</v>
      </c>
      <c r="B49" s="37" t="s">
        <v>277</v>
      </c>
      <c r="C49" s="35" t="b">
        <v>0</v>
      </c>
    </row>
    <row r="50">
      <c r="A50" s="32" t="s">
        <v>248</v>
      </c>
      <c r="B50" s="33" t="s">
        <v>249</v>
      </c>
      <c r="C50" s="35" t="b">
        <v>1</v>
      </c>
    </row>
    <row r="51">
      <c r="A51" s="32" t="s">
        <v>131</v>
      </c>
      <c r="B51" s="33" t="s">
        <v>132</v>
      </c>
      <c r="C51" s="35" t="b">
        <v>0</v>
      </c>
    </row>
    <row r="52">
      <c r="A52" s="32" t="s">
        <v>272</v>
      </c>
      <c r="B52" s="33" t="s">
        <v>273</v>
      </c>
      <c r="C52" s="35" t="b">
        <v>1</v>
      </c>
    </row>
    <row r="53">
      <c r="A53" s="32" t="s">
        <v>202</v>
      </c>
      <c r="B53" s="33" t="s">
        <v>203</v>
      </c>
      <c r="C53" s="35" t="b">
        <v>1</v>
      </c>
    </row>
    <row r="54">
      <c r="A54" s="32" t="s">
        <v>216</v>
      </c>
      <c r="B54" s="33" t="s">
        <v>217</v>
      </c>
      <c r="C54" s="35" t="b">
        <v>0</v>
      </c>
    </row>
    <row r="55">
      <c r="A55" s="32" t="s">
        <v>235</v>
      </c>
      <c r="B55" s="33" t="s">
        <v>236</v>
      </c>
      <c r="C55" s="35" t="b">
        <v>1</v>
      </c>
    </row>
    <row r="56">
      <c r="A56" s="32" t="s">
        <v>144</v>
      </c>
      <c r="B56" s="33" t="s">
        <v>145</v>
      </c>
      <c r="C56" s="35" t="b">
        <v>1</v>
      </c>
    </row>
    <row r="57">
      <c r="A57" s="32" t="s">
        <v>150</v>
      </c>
      <c r="B57" s="33" t="s">
        <v>151</v>
      </c>
      <c r="C57" s="35" t="b">
        <v>0</v>
      </c>
    </row>
    <row r="58">
      <c r="A58" s="32" t="s">
        <v>111</v>
      </c>
      <c r="B58" s="33" t="s">
        <v>112</v>
      </c>
      <c r="C58" s="35" t="b">
        <v>1</v>
      </c>
    </row>
    <row r="59">
      <c r="A59" s="32" t="s">
        <v>133</v>
      </c>
      <c r="B59" s="33" t="s">
        <v>134</v>
      </c>
      <c r="C59" s="35" t="b">
        <v>0</v>
      </c>
    </row>
    <row r="60">
      <c r="A60" s="32" t="s">
        <v>193</v>
      </c>
      <c r="B60" s="33" t="s">
        <v>194</v>
      </c>
      <c r="C60" s="35" t="b">
        <v>1</v>
      </c>
    </row>
    <row r="61">
      <c r="A61" s="32" t="s">
        <v>109</v>
      </c>
      <c r="B61" s="33" t="s">
        <v>110</v>
      </c>
      <c r="C61" s="35" t="b">
        <v>0</v>
      </c>
    </row>
    <row r="62">
      <c r="A62" s="32" t="s">
        <v>232</v>
      </c>
      <c r="B62" s="33" t="s">
        <v>233</v>
      </c>
      <c r="C62" s="35" t="b">
        <v>1</v>
      </c>
    </row>
    <row r="63">
      <c r="A63" s="32" t="s">
        <v>242</v>
      </c>
      <c r="B63" s="33" t="s">
        <v>243</v>
      </c>
      <c r="C63" s="35" t="b">
        <v>1</v>
      </c>
    </row>
    <row r="64">
      <c r="A64" s="32" t="s">
        <v>239</v>
      </c>
      <c r="B64" s="33" t="s">
        <v>240</v>
      </c>
      <c r="C64" s="35" t="b">
        <v>0</v>
      </c>
    </row>
    <row r="65">
      <c r="A65" s="32" t="s">
        <v>250</v>
      </c>
      <c r="B65" s="33" t="s">
        <v>251</v>
      </c>
      <c r="C65" s="35" t="b">
        <v>0</v>
      </c>
    </row>
    <row r="66">
      <c r="A66" s="32" t="s">
        <v>187</v>
      </c>
      <c r="B66" s="33" t="s">
        <v>188</v>
      </c>
      <c r="C66" s="35" t="b">
        <v>0</v>
      </c>
    </row>
    <row r="67">
      <c r="A67" s="32" t="s">
        <v>200</v>
      </c>
      <c r="B67" s="33" t="s">
        <v>201</v>
      </c>
      <c r="C67" s="35" t="b">
        <v>0</v>
      </c>
    </row>
    <row r="68">
      <c r="A68" s="32" t="s">
        <v>173</v>
      </c>
      <c r="B68" s="33" t="s">
        <v>174</v>
      </c>
      <c r="C68" s="35" t="b">
        <v>1</v>
      </c>
    </row>
    <row r="69">
      <c r="A69" s="32" t="s">
        <v>252</v>
      </c>
      <c r="B69" s="33" t="s">
        <v>253</v>
      </c>
      <c r="C69" s="35" t="b">
        <v>1</v>
      </c>
    </row>
    <row r="70">
      <c r="A70" s="32" t="s">
        <v>218</v>
      </c>
      <c r="B70" s="33" t="s">
        <v>219</v>
      </c>
      <c r="C70" s="35" t="b">
        <v>1</v>
      </c>
    </row>
    <row r="71">
      <c r="A71" s="32" t="s">
        <v>226</v>
      </c>
      <c r="B71" s="33" t="s">
        <v>227</v>
      </c>
      <c r="C71" s="35" t="b">
        <v>1</v>
      </c>
    </row>
    <row r="72">
      <c r="A72" s="32" t="s">
        <v>104</v>
      </c>
      <c r="B72" s="33" t="s">
        <v>105</v>
      </c>
      <c r="C72" s="35" t="b">
        <v>1</v>
      </c>
    </row>
    <row r="73">
      <c r="A73" s="32" t="s">
        <v>177</v>
      </c>
      <c r="B73" s="33" t="s">
        <v>178</v>
      </c>
      <c r="C73" s="35" t="b">
        <v>1</v>
      </c>
    </row>
    <row r="74">
      <c r="A74" s="32" t="s">
        <v>260</v>
      </c>
      <c r="B74" s="33" t="s">
        <v>261</v>
      </c>
      <c r="C74" s="35" t="b">
        <v>1</v>
      </c>
    </row>
    <row r="75">
      <c r="A75" s="32" t="s">
        <v>179</v>
      </c>
      <c r="B75" s="33" t="s">
        <v>180</v>
      </c>
      <c r="C75" s="35" t="b">
        <v>0</v>
      </c>
    </row>
    <row r="76">
      <c r="A76" s="32" t="s">
        <v>246</v>
      </c>
      <c r="B76" s="33" t="s">
        <v>247</v>
      </c>
      <c r="C76" s="35" t="b">
        <v>1</v>
      </c>
    </row>
    <row r="77">
      <c r="A77" s="32" t="s">
        <v>171</v>
      </c>
      <c r="B77" s="33" t="s">
        <v>172</v>
      </c>
      <c r="C77" s="35" t="b">
        <v>0</v>
      </c>
    </row>
    <row r="78">
      <c r="A78" s="32" t="s">
        <v>152</v>
      </c>
      <c r="B78" s="33" t="s">
        <v>153</v>
      </c>
      <c r="C78" s="35" t="b">
        <v>0</v>
      </c>
    </row>
    <row r="79">
      <c r="A79" s="32" t="s">
        <v>93</v>
      </c>
      <c r="B79" s="33" t="s">
        <v>94</v>
      </c>
      <c r="C79" s="35" t="b">
        <v>0</v>
      </c>
    </row>
    <row r="80">
      <c r="A80" s="32" t="s">
        <v>286</v>
      </c>
      <c r="B80" s="33" t="s">
        <v>287</v>
      </c>
      <c r="C80" s="35" t="b">
        <v>1</v>
      </c>
    </row>
    <row r="81">
      <c r="A81" s="32" t="s">
        <v>183</v>
      </c>
      <c r="B81" s="33" t="s">
        <v>184</v>
      </c>
      <c r="C81" s="35" t="b">
        <v>1</v>
      </c>
    </row>
    <row r="82">
      <c r="A82" s="32" t="s">
        <v>258</v>
      </c>
      <c r="B82" s="38" t="s">
        <v>259</v>
      </c>
      <c r="C82" s="35" t="b">
        <v>1</v>
      </c>
    </row>
    <row r="83">
      <c r="A83" s="32" t="s">
        <v>209</v>
      </c>
      <c r="B83" s="33" t="s">
        <v>210</v>
      </c>
      <c r="C83" s="35" t="b">
        <v>1</v>
      </c>
    </row>
    <row r="84">
      <c r="A84" s="32" t="s">
        <v>207</v>
      </c>
      <c r="B84" s="38" t="s">
        <v>208</v>
      </c>
      <c r="C84" s="35" t="b">
        <v>1</v>
      </c>
    </row>
    <row r="85">
      <c r="A85" s="32" t="s">
        <v>189</v>
      </c>
      <c r="B85" s="33" t="s">
        <v>190</v>
      </c>
      <c r="C85" s="35" t="b">
        <v>1</v>
      </c>
    </row>
    <row r="86">
      <c r="A86" s="32" t="s">
        <v>124</v>
      </c>
      <c r="B86" s="33" t="s">
        <v>125</v>
      </c>
      <c r="C86" s="35" t="b">
        <v>1</v>
      </c>
    </row>
    <row r="87">
      <c r="A87" s="32" t="s">
        <v>148</v>
      </c>
      <c r="B87" s="33" t="s">
        <v>149</v>
      </c>
      <c r="C87" s="35" t="b">
        <v>1</v>
      </c>
    </row>
    <row r="88">
      <c r="A88" s="32" t="s">
        <v>274</v>
      </c>
      <c r="B88" s="33" t="s">
        <v>275</v>
      </c>
      <c r="C88" s="35" t="b">
        <v>0</v>
      </c>
    </row>
    <row r="89">
      <c r="A89" s="32" t="s">
        <v>137</v>
      </c>
      <c r="B89" s="33" t="s">
        <v>138</v>
      </c>
      <c r="C89" s="35" t="b">
        <v>0</v>
      </c>
    </row>
    <row r="90">
      <c r="A90" s="32" t="s">
        <v>89</v>
      </c>
      <c r="B90" s="33" t="s">
        <v>90</v>
      </c>
      <c r="C90" s="35" t="b">
        <v>1</v>
      </c>
    </row>
    <row r="91">
      <c r="A91" s="32" t="s">
        <v>270</v>
      </c>
      <c r="B91" s="33" t="s">
        <v>271</v>
      </c>
      <c r="C91" s="35" t="b">
        <v>1</v>
      </c>
    </row>
    <row r="92">
      <c r="A92" s="32" t="s">
        <v>214</v>
      </c>
      <c r="B92" s="33" t="s">
        <v>215</v>
      </c>
      <c r="C92" s="35" t="b">
        <v>1</v>
      </c>
    </row>
    <row r="93">
      <c r="A93" s="32" t="s">
        <v>118</v>
      </c>
      <c r="B93" s="33" t="s">
        <v>119</v>
      </c>
      <c r="C93" s="35" t="b">
        <v>1</v>
      </c>
    </row>
    <row r="94">
      <c r="A94" s="32" t="s">
        <v>156</v>
      </c>
      <c r="B94" s="33" t="s">
        <v>157</v>
      </c>
      <c r="C94" s="35" t="b">
        <v>1</v>
      </c>
    </row>
    <row r="95">
      <c r="A95" s="32" t="s">
        <v>228</v>
      </c>
      <c r="B95" s="33" t="s">
        <v>229</v>
      </c>
      <c r="C95" s="35" t="b">
        <v>0</v>
      </c>
    </row>
    <row r="96">
      <c r="A96" s="32" t="s">
        <v>113</v>
      </c>
      <c r="B96" s="33" t="s">
        <v>114</v>
      </c>
      <c r="C96" s="35" t="b">
        <v>0</v>
      </c>
    </row>
    <row r="97">
      <c r="A97" s="32" t="s">
        <v>181</v>
      </c>
      <c r="B97" s="33" t="s">
        <v>182</v>
      </c>
      <c r="C97" s="35" t="b">
        <v>1</v>
      </c>
    </row>
    <row r="98">
      <c r="A98" s="32" t="s">
        <v>289</v>
      </c>
      <c r="B98" s="33" t="s">
        <v>290</v>
      </c>
      <c r="C98" s="35" t="b">
        <v>1</v>
      </c>
    </row>
    <row r="99">
      <c r="A99" s="32" t="s">
        <v>185</v>
      </c>
      <c r="B99" s="33" t="s">
        <v>186</v>
      </c>
      <c r="C99" s="35" t="b">
        <v>0</v>
      </c>
    </row>
    <row r="100">
      <c r="A100" s="32" t="s">
        <v>91</v>
      </c>
      <c r="B100" s="33" t="s">
        <v>92</v>
      </c>
      <c r="C100" s="35" t="b">
        <v>1</v>
      </c>
    </row>
    <row r="101">
      <c r="A101" s="32" t="s">
        <v>254</v>
      </c>
      <c r="B101" s="33" t="s">
        <v>255</v>
      </c>
      <c r="C101" s="35" t="b">
        <v>1</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9" t="s">
        <v>78</v>
      </c>
      <c r="B1" s="30" t="s">
        <v>79</v>
      </c>
      <c r="C1" s="31" t="s">
        <v>80</v>
      </c>
      <c r="D1" s="23" t="s">
        <v>81</v>
      </c>
    </row>
    <row r="2">
      <c r="A2" s="32" t="s">
        <v>278</v>
      </c>
      <c r="B2" s="33" t="s">
        <v>279</v>
      </c>
      <c r="C2" s="35" t="b">
        <v>1</v>
      </c>
    </row>
    <row r="3">
      <c r="A3" s="32" t="s">
        <v>154</v>
      </c>
      <c r="B3" s="33" t="s">
        <v>155</v>
      </c>
      <c r="C3" s="35" t="b">
        <v>0</v>
      </c>
    </row>
    <row r="4">
      <c r="A4" s="32" t="s">
        <v>171</v>
      </c>
      <c r="B4" s="33" t="s">
        <v>172</v>
      </c>
      <c r="C4" s="35" t="b">
        <v>0</v>
      </c>
    </row>
    <row r="5">
      <c r="A5" s="32" t="s">
        <v>133</v>
      </c>
      <c r="B5" s="33" t="s">
        <v>134</v>
      </c>
      <c r="C5" s="35" t="b">
        <v>1</v>
      </c>
    </row>
    <row r="6">
      <c r="A6" s="32" t="s">
        <v>104</v>
      </c>
      <c r="B6" s="33" t="s">
        <v>105</v>
      </c>
      <c r="C6" s="35" t="b">
        <v>1</v>
      </c>
      <c r="D6" s="5" t="s">
        <v>303</v>
      </c>
    </row>
    <row r="7">
      <c r="A7" s="32" t="s">
        <v>214</v>
      </c>
      <c r="B7" s="33" t="s">
        <v>215</v>
      </c>
      <c r="C7" s="35" t="b">
        <v>1</v>
      </c>
    </row>
    <row r="8">
      <c r="A8" s="32" t="s">
        <v>205</v>
      </c>
      <c r="B8" s="33" t="s">
        <v>206</v>
      </c>
      <c r="C8" s="35" t="b">
        <v>0</v>
      </c>
    </row>
    <row r="9">
      <c r="A9" s="32" t="s">
        <v>109</v>
      </c>
      <c r="B9" s="33" t="s">
        <v>110</v>
      </c>
      <c r="C9" s="35" t="b">
        <v>1</v>
      </c>
    </row>
    <row r="10">
      <c r="A10" s="32" t="s">
        <v>289</v>
      </c>
      <c r="B10" s="33" t="s">
        <v>290</v>
      </c>
      <c r="C10" s="35" t="b">
        <v>0</v>
      </c>
      <c r="D10" s="5" t="s">
        <v>304</v>
      </c>
    </row>
    <row r="11">
      <c r="A11" s="32" t="s">
        <v>209</v>
      </c>
      <c r="B11" s="33" t="s">
        <v>210</v>
      </c>
      <c r="C11" s="35" t="b">
        <v>0</v>
      </c>
      <c r="D11" s="5" t="s">
        <v>305</v>
      </c>
    </row>
    <row r="12">
      <c r="A12" s="32" t="s">
        <v>226</v>
      </c>
      <c r="B12" s="33" t="s">
        <v>227</v>
      </c>
      <c r="C12" s="35" t="b">
        <v>1</v>
      </c>
    </row>
    <row r="13">
      <c r="A13" s="32" t="s">
        <v>87</v>
      </c>
      <c r="B13" s="33" t="s">
        <v>88</v>
      </c>
      <c r="C13" s="35" t="b">
        <v>0</v>
      </c>
      <c r="D13" s="5" t="s">
        <v>306</v>
      </c>
    </row>
    <row r="14">
      <c r="A14" s="32" t="s">
        <v>246</v>
      </c>
      <c r="B14" s="33" t="s">
        <v>247</v>
      </c>
      <c r="C14" s="35" t="b">
        <v>1</v>
      </c>
    </row>
    <row r="15">
      <c r="A15" s="32" t="s">
        <v>248</v>
      </c>
      <c r="B15" s="33" t="s">
        <v>249</v>
      </c>
      <c r="C15" s="35" t="b">
        <v>1</v>
      </c>
    </row>
    <row r="16">
      <c r="A16" s="32" t="s">
        <v>98</v>
      </c>
      <c r="B16" s="33" t="s">
        <v>99</v>
      </c>
      <c r="C16" s="35" t="b">
        <v>1</v>
      </c>
    </row>
    <row r="17">
      <c r="A17" s="32" t="s">
        <v>120</v>
      </c>
      <c r="B17" s="33" t="s">
        <v>121</v>
      </c>
      <c r="C17" s="35" t="b">
        <v>0</v>
      </c>
    </row>
    <row r="18">
      <c r="A18" s="32" t="s">
        <v>228</v>
      </c>
      <c r="B18" s="33" t="s">
        <v>229</v>
      </c>
      <c r="C18" s="35" t="b">
        <v>0</v>
      </c>
    </row>
    <row r="19">
      <c r="A19" s="32" t="s">
        <v>207</v>
      </c>
      <c r="B19" s="33" t="s">
        <v>208</v>
      </c>
      <c r="C19" s="35" t="b">
        <v>1</v>
      </c>
    </row>
    <row r="20">
      <c r="A20" s="32" t="s">
        <v>185</v>
      </c>
      <c r="B20" s="33" t="s">
        <v>186</v>
      </c>
      <c r="C20" s="35" t="b">
        <v>0</v>
      </c>
    </row>
    <row r="21">
      <c r="A21" s="32" t="s">
        <v>268</v>
      </c>
      <c r="B21" s="33" t="s">
        <v>269</v>
      </c>
      <c r="C21" s="35" t="b">
        <v>0</v>
      </c>
    </row>
    <row r="22">
      <c r="A22" s="32" t="s">
        <v>122</v>
      </c>
      <c r="B22" s="33" t="s">
        <v>123</v>
      </c>
      <c r="C22" s="35" t="b">
        <v>0</v>
      </c>
    </row>
    <row r="23">
      <c r="A23" s="32" t="s">
        <v>91</v>
      </c>
      <c r="B23" s="33" t="s">
        <v>92</v>
      </c>
      <c r="C23" s="35" t="b">
        <v>1</v>
      </c>
    </row>
    <row r="24">
      <c r="A24" s="32" t="s">
        <v>221</v>
      </c>
      <c r="B24" s="33" t="s">
        <v>222</v>
      </c>
      <c r="C24" s="35" t="b">
        <v>1</v>
      </c>
    </row>
    <row r="25">
      <c r="A25" s="32" t="s">
        <v>280</v>
      </c>
      <c r="B25" s="33" t="s">
        <v>281</v>
      </c>
      <c r="C25" s="35" t="b">
        <v>0</v>
      </c>
    </row>
    <row r="26">
      <c r="A26" s="32" t="s">
        <v>295</v>
      </c>
      <c r="B26" s="33" t="s">
        <v>296</v>
      </c>
      <c r="C26" s="35" t="b">
        <v>0</v>
      </c>
      <c r="D26" s="5" t="s">
        <v>307</v>
      </c>
    </row>
    <row r="27">
      <c r="A27" s="32" t="s">
        <v>242</v>
      </c>
      <c r="B27" s="33" t="s">
        <v>243</v>
      </c>
      <c r="C27" s="35" t="b">
        <v>1</v>
      </c>
    </row>
    <row r="28">
      <c r="A28" s="32" t="s">
        <v>216</v>
      </c>
      <c r="B28" s="33" t="s">
        <v>217</v>
      </c>
      <c r="C28" s="35" t="b">
        <v>0</v>
      </c>
    </row>
    <row r="29">
      <c r="A29" s="32" t="s">
        <v>156</v>
      </c>
      <c r="B29" s="33" t="s">
        <v>157</v>
      </c>
      <c r="C29" s="35" t="b">
        <v>0</v>
      </c>
    </row>
    <row r="30">
      <c r="A30" s="32" t="s">
        <v>168</v>
      </c>
      <c r="B30" s="33" t="s">
        <v>169</v>
      </c>
      <c r="C30" s="35" t="b">
        <v>1</v>
      </c>
      <c r="D30" s="5" t="s">
        <v>308</v>
      </c>
    </row>
    <row r="31">
      <c r="A31" s="32" t="s">
        <v>218</v>
      </c>
      <c r="B31" s="33" t="s">
        <v>219</v>
      </c>
      <c r="C31" s="35" t="b">
        <v>0</v>
      </c>
      <c r="D31" s="5" t="s">
        <v>309</v>
      </c>
    </row>
    <row r="32">
      <c r="A32" s="32" t="s">
        <v>160</v>
      </c>
      <c r="B32" s="33" t="s">
        <v>161</v>
      </c>
      <c r="C32" s="35" t="b">
        <v>0</v>
      </c>
    </row>
    <row r="33">
      <c r="A33" s="32" t="s">
        <v>272</v>
      </c>
      <c r="B33" s="33" t="s">
        <v>273</v>
      </c>
      <c r="C33" s="35" t="b">
        <v>1</v>
      </c>
    </row>
    <row r="34">
      <c r="A34" s="32" t="s">
        <v>256</v>
      </c>
      <c r="B34" s="33" t="s">
        <v>257</v>
      </c>
      <c r="C34" s="35" t="b">
        <v>0</v>
      </c>
    </row>
    <row r="35">
      <c r="A35" s="32" t="s">
        <v>164</v>
      </c>
      <c r="B35" s="33" t="s">
        <v>165</v>
      </c>
      <c r="C35" s="35" t="b">
        <v>0</v>
      </c>
      <c r="D35" s="5" t="s">
        <v>310</v>
      </c>
    </row>
    <row r="36">
      <c r="A36" s="32" t="s">
        <v>111</v>
      </c>
      <c r="B36" s="33" t="s">
        <v>112</v>
      </c>
      <c r="C36" s="35" t="b">
        <v>1</v>
      </c>
    </row>
    <row r="37">
      <c r="A37" s="32" t="s">
        <v>113</v>
      </c>
      <c r="B37" s="33" t="s">
        <v>114</v>
      </c>
      <c r="C37" s="35" t="b">
        <v>0</v>
      </c>
    </row>
    <row r="38">
      <c r="A38" s="32" t="s">
        <v>129</v>
      </c>
      <c r="B38" s="33" t="s">
        <v>130</v>
      </c>
      <c r="C38" s="35" t="b">
        <v>1</v>
      </c>
    </row>
    <row r="39">
      <c r="A39" s="32" t="s">
        <v>89</v>
      </c>
      <c r="B39" s="33" t="s">
        <v>90</v>
      </c>
      <c r="C39" s="35" t="b">
        <v>1</v>
      </c>
    </row>
    <row r="40">
      <c r="A40" s="32" t="s">
        <v>239</v>
      </c>
      <c r="B40" s="33" t="s">
        <v>240</v>
      </c>
      <c r="C40" s="35" t="b">
        <v>1</v>
      </c>
    </row>
    <row r="41">
      <c r="A41" s="32" t="s">
        <v>191</v>
      </c>
      <c r="B41" s="33" t="s">
        <v>192</v>
      </c>
      <c r="C41" s="35" t="b">
        <v>0</v>
      </c>
    </row>
    <row r="42">
      <c r="A42" s="32" t="s">
        <v>84</v>
      </c>
      <c r="B42" s="33" t="s">
        <v>85</v>
      </c>
      <c r="C42" s="35" t="b">
        <v>1</v>
      </c>
      <c r="D42" s="5" t="s">
        <v>311</v>
      </c>
    </row>
    <row r="43">
      <c r="A43" s="32" t="s">
        <v>144</v>
      </c>
      <c r="B43" s="33" t="s">
        <v>145</v>
      </c>
      <c r="C43" s="35" t="b">
        <v>1</v>
      </c>
      <c r="D43" s="5" t="s">
        <v>312</v>
      </c>
    </row>
    <row r="44">
      <c r="A44" s="32" t="s">
        <v>286</v>
      </c>
      <c r="B44" s="33" t="s">
        <v>287</v>
      </c>
      <c r="C44" s="35" t="b">
        <v>0</v>
      </c>
      <c r="D44" s="5" t="s">
        <v>313</v>
      </c>
    </row>
    <row r="45">
      <c r="A45" s="32" t="s">
        <v>137</v>
      </c>
      <c r="B45" s="33" t="s">
        <v>138</v>
      </c>
      <c r="C45" s="35" t="b">
        <v>1</v>
      </c>
    </row>
    <row r="46">
      <c r="A46" s="32" t="s">
        <v>148</v>
      </c>
      <c r="B46" s="33" t="s">
        <v>149</v>
      </c>
      <c r="C46" s="35" t="b">
        <v>1</v>
      </c>
    </row>
    <row r="47">
      <c r="A47" s="32" t="s">
        <v>139</v>
      </c>
      <c r="B47" s="33" t="s">
        <v>140</v>
      </c>
      <c r="C47" s="35" t="b">
        <v>0</v>
      </c>
    </row>
    <row r="48">
      <c r="A48" s="32" t="s">
        <v>177</v>
      </c>
      <c r="B48" s="33" t="s">
        <v>178</v>
      </c>
      <c r="C48" s="35" t="b">
        <v>1</v>
      </c>
    </row>
    <row r="49">
      <c r="A49" s="32" t="s">
        <v>193</v>
      </c>
      <c r="B49" s="33" t="s">
        <v>194</v>
      </c>
      <c r="C49" s="35" t="b">
        <v>1</v>
      </c>
      <c r="D49" s="5" t="s">
        <v>314</v>
      </c>
    </row>
    <row r="50">
      <c r="A50" s="32" t="s">
        <v>142</v>
      </c>
      <c r="B50" s="33" t="s">
        <v>143</v>
      </c>
      <c r="C50" s="35" t="b">
        <v>1</v>
      </c>
      <c r="D50" s="5" t="s">
        <v>315</v>
      </c>
    </row>
    <row r="51">
      <c r="A51" s="32" t="s">
        <v>127</v>
      </c>
      <c r="B51" s="33" t="s">
        <v>128</v>
      </c>
      <c r="C51" s="35" t="b">
        <v>1</v>
      </c>
    </row>
    <row r="52">
      <c r="A52" s="32" t="s">
        <v>200</v>
      </c>
      <c r="B52" s="33" t="s">
        <v>201</v>
      </c>
      <c r="C52" s="35" t="b">
        <v>0</v>
      </c>
    </row>
    <row r="53">
      <c r="A53" s="32" t="s">
        <v>93</v>
      </c>
      <c r="B53" s="33" t="s">
        <v>94</v>
      </c>
      <c r="C53" s="35" t="b">
        <v>0</v>
      </c>
    </row>
    <row r="54">
      <c r="A54" s="32" t="s">
        <v>244</v>
      </c>
      <c r="B54" s="33" t="s">
        <v>245</v>
      </c>
      <c r="C54" s="35" t="b">
        <v>0</v>
      </c>
    </row>
    <row r="55">
      <c r="A55" s="32" t="s">
        <v>282</v>
      </c>
      <c r="B55" s="33" t="s">
        <v>283</v>
      </c>
      <c r="C55" s="35" t="b">
        <v>0</v>
      </c>
      <c r="D55" s="5" t="s">
        <v>316</v>
      </c>
    </row>
    <row r="56">
      <c r="A56" s="32" t="s">
        <v>274</v>
      </c>
      <c r="B56" s="33" t="s">
        <v>275</v>
      </c>
      <c r="C56" s="35" t="b">
        <v>0</v>
      </c>
    </row>
    <row r="57">
      <c r="A57" s="32" t="s">
        <v>124</v>
      </c>
      <c r="B57" s="33" t="s">
        <v>125</v>
      </c>
      <c r="C57" s="35" t="b">
        <v>0</v>
      </c>
      <c r="D57" s="5" t="s">
        <v>317</v>
      </c>
    </row>
    <row r="58">
      <c r="A58" s="32" t="s">
        <v>162</v>
      </c>
      <c r="B58" s="33" t="s">
        <v>163</v>
      </c>
      <c r="C58" s="35" t="b">
        <v>0</v>
      </c>
    </row>
    <row r="59">
      <c r="A59" s="32" t="s">
        <v>197</v>
      </c>
      <c r="B59" s="33" t="s">
        <v>198</v>
      </c>
      <c r="C59" s="35" t="b">
        <v>1</v>
      </c>
    </row>
    <row r="60">
      <c r="A60" s="32" t="s">
        <v>291</v>
      </c>
      <c r="B60" s="33" t="s">
        <v>292</v>
      </c>
      <c r="C60" s="35" t="b">
        <v>0</v>
      </c>
    </row>
    <row r="61">
      <c r="A61" s="32" t="s">
        <v>212</v>
      </c>
      <c r="B61" s="33" t="s">
        <v>213</v>
      </c>
      <c r="C61" s="35" t="b">
        <v>1</v>
      </c>
    </row>
    <row r="62">
      <c r="A62" s="32" t="s">
        <v>166</v>
      </c>
      <c r="B62" s="33" t="s">
        <v>167</v>
      </c>
      <c r="C62" s="35" t="b">
        <v>0</v>
      </c>
      <c r="D62" s="5" t="s">
        <v>318</v>
      </c>
    </row>
    <row r="63">
      <c r="A63" s="32" t="s">
        <v>158</v>
      </c>
      <c r="B63" s="33" t="s">
        <v>159</v>
      </c>
      <c r="C63" s="35" t="b">
        <v>0</v>
      </c>
    </row>
    <row r="64">
      <c r="A64" s="32" t="s">
        <v>118</v>
      </c>
      <c r="B64" s="33" t="s">
        <v>119</v>
      </c>
      <c r="C64" s="35" t="b">
        <v>0</v>
      </c>
    </row>
    <row r="65">
      <c r="A65" s="32" t="s">
        <v>189</v>
      </c>
      <c r="B65" s="33" t="s">
        <v>190</v>
      </c>
      <c r="C65" s="35" t="b">
        <v>0</v>
      </c>
    </row>
    <row r="66">
      <c r="A66" s="32" t="s">
        <v>131</v>
      </c>
      <c r="B66" s="33" t="s">
        <v>132</v>
      </c>
      <c r="C66" s="35" t="b">
        <v>1</v>
      </c>
      <c r="D66" s="5" t="s">
        <v>319</v>
      </c>
    </row>
    <row r="67">
      <c r="A67" s="32" t="s">
        <v>146</v>
      </c>
      <c r="B67" s="33" t="s">
        <v>147</v>
      </c>
      <c r="C67" s="35" t="b">
        <v>1</v>
      </c>
    </row>
    <row r="68">
      <c r="A68" s="32" t="s">
        <v>179</v>
      </c>
      <c r="B68" s="33" t="s">
        <v>180</v>
      </c>
      <c r="C68" s="35" t="b">
        <v>0</v>
      </c>
    </row>
    <row r="69">
      <c r="A69" s="32" t="s">
        <v>232</v>
      </c>
      <c r="B69" s="33" t="s">
        <v>233</v>
      </c>
      <c r="C69" s="35" t="b">
        <v>0</v>
      </c>
      <c r="D69" s="5" t="s">
        <v>320</v>
      </c>
    </row>
    <row r="70">
      <c r="A70" s="32" t="s">
        <v>254</v>
      </c>
      <c r="B70" s="33" t="s">
        <v>255</v>
      </c>
      <c r="C70" s="35" t="b">
        <v>1</v>
      </c>
    </row>
    <row r="71">
      <c r="A71" s="32" t="s">
        <v>195</v>
      </c>
      <c r="B71" s="33" t="s">
        <v>196</v>
      </c>
      <c r="C71" s="35" t="b">
        <v>1</v>
      </c>
    </row>
    <row r="72">
      <c r="A72" s="32" t="s">
        <v>150</v>
      </c>
      <c r="B72" s="33" t="s">
        <v>151</v>
      </c>
      <c r="C72" s="35" t="b">
        <v>0</v>
      </c>
      <c r="D72" s="5" t="s">
        <v>321</v>
      </c>
    </row>
    <row r="73">
      <c r="A73" s="32" t="s">
        <v>173</v>
      </c>
      <c r="B73" s="33" t="s">
        <v>174</v>
      </c>
      <c r="C73" s="35" t="b">
        <v>1</v>
      </c>
    </row>
    <row r="74">
      <c r="A74" s="32" t="s">
        <v>230</v>
      </c>
      <c r="B74" s="33" t="s">
        <v>231</v>
      </c>
      <c r="C74" s="35" t="b">
        <v>0</v>
      </c>
    </row>
    <row r="75">
      <c r="A75" s="32" t="s">
        <v>135</v>
      </c>
      <c r="B75" s="33" t="s">
        <v>136</v>
      </c>
      <c r="C75" s="35" t="b">
        <v>1</v>
      </c>
    </row>
    <row r="76">
      <c r="A76" s="32" t="s">
        <v>284</v>
      </c>
      <c r="B76" s="33" t="s">
        <v>285</v>
      </c>
      <c r="C76" s="35" t="b">
        <v>1</v>
      </c>
    </row>
    <row r="77">
      <c r="A77" s="32" t="s">
        <v>276</v>
      </c>
      <c r="B77" s="33" t="s">
        <v>277</v>
      </c>
      <c r="C77" s="35" t="b">
        <v>0</v>
      </c>
      <c r="D77" s="5" t="s">
        <v>322</v>
      </c>
    </row>
    <row r="78">
      <c r="A78" s="32" t="s">
        <v>183</v>
      </c>
      <c r="B78" s="33" t="s">
        <v>184</v>
      </c>
      <c r="C78" s="35" t="b">
        <v>1</v>
      </c>
    </row>
    <row r="79">
      <c r="A79" s="32" t="s">
        <v>95</v>
      </c>
      <c r="B79" s="33" t="s">
        <v>96</v>
      </c>
      <c r="C79" s="35" t="b">
        <v>1</v>
      </c>
    </row>
    <row r="80">
      <c r="A80" s="32" t="s">
        <v>175</v>
      </c>
      <c r="B80" s="33" t="s">
        <v>176</v>
      </c>
      <c r="C80" s="35" t="b">
        <v>0</v>
      </c>
    </row>
    <row r="81">
      <c r="A81" s="32" t="s">
        <v>100</v>
      </c>
      <c r="B81" s="33" t="s">
        <v>101</v>
      </c>
      <c r="C81" s="35" t="b">
        <v>0</v>
      </c>
    </row>
    <row r="82">
      <c r="A82" s="32" t="s">
        <v>115</v>
      </c>
      <c r="B82" s="33" t="s">
        <v>116</v>
      </c>
      <c r="C82" s="35" t="b">
        <v>0</v>
      </c>
    </row>
    <row r="83">
      <c r="A83" s="32" t="s">
        <v>187</v>
      </c>
      <c r="B83" s="33" t="s">
        <v>188</v>
      </c>
      <c r="C83" s="35" t="b">
        <v>0</v>
      </c>
    </row>
    <row r="84">
      <c r="A84" s="32" t="s">
        <v>260</v>
      </c>
      <c r="B84" s="33" t="s">
        <v>261</v>
      </c>
      <c r="C84" s="35" t="b">
        <v>0</v>
      </c>
    </row>
    <row r="85">
      <c r="A85" s="32" t="s">
        <v>223</v>
      </c>
      <c r="B85" s="33" t="s">
        <v>224</v>
      </c>
      <c r="C85" s="35" t="b">
        <v>1</v>
      </c>
    </row>
    <row r="86">
      <c r="A86" s="32" t="s">
        <v>266</v>
      </c>
      <c r="B86" s="33" t="s">
        <v>267</v>
      </c>
      <c r="C86" s="35" t="b">
        <v>1</v>
      </c>
    </row>
    <row r="87">
      <c r="A87" s="32" t="s">
        <v>293</v>
      </c>
      <c r="B87" s="33" t="s">
        <v>294</v>
      </c>
      <c r="C87" s="35" t="b">
        <v>1</v>
      </c>
    </row>
    <row r="88">
      <c r="A88" s="32" t="s">
        <v>181</v>
      </c>
      <c r="B88" s="33" t="s">
        <v>182</v>
      </c>
      <c r="C88" s="35" t="b">
        <v>1</v>
      </c>
    </row>
    <row r="89">
      <c r="A89" s="32" t="s">
        <v>258</v>
      </c>
      <c r="B89" s="33" t="s">
        <v>259</v>
      </c>
      <c r="C89" s="35" t="b">
        <v>1</v>
      </c>
      <c r="D89" s="5" t="s">
        <v>323</v>
      </c>
    </row>
    <row r="90">
      <c r="A90" s="32" t="s">
        <v>102</v>
      </c>
      <c r="B90" s="33" t="s">
        <v>103</v>
      </c>
      <c r="C90" s="35" t="b">
        <v>0</v>
      </c>
    </row>
    <row r="91">
      <c r="A91" s="32" t="s">
        <v>262</v>
      </c>
      <c r="B91" s="33" t="s">
        <v>263</v>
      </c>
      <c r="C91" s="35" t="b">
        <v>0</v>
      </c>
    </row>
    <row r="92">
      <c r="A92" s="32" t="s">
        <v>250</v>
      </c>
      <c r="B92" s="33" t="s">
        <v>251</v>
      </c>
      <c r="C92" s="35" t="b">
        <v>0</v>
      </c>
    </row>
    <row r="93">
      <c r="A93" s="32" t="s">
        <v>235</v>
      </c>
      <c r="B93" s="33" t="s">
        <v>236</v>
      </c>
      <c r="C93" s="35" t="b">
        <v>1</v>
      </c>
    </row>
    <row r="94">
      <c r="A94" s="32" t="s">
        <v>264</v>
      </c>
      <c r="B94" s="33" t="s">
        <v>265</v>
      </c>
      <c r="C94" s="35" t="b">
        <v>1</v>
      </c>
    </row>
    <row r="95">
      <c r="A95" s="32" t="s">
        <v>237</v>
      </c>
      <c r="B95" s="33" t="s">
        <v>238</v>
      </c>
      <c r="C95" s="35" t="b">
        <v>1</v>
      </c>
    </row>
    <row r="96">
      <c r="A96" s="32" t="s">
        <v>202</v>
      </c>
      <c r="B96" s="33" t="s">
        <v>203</v>
      </c>
      <c r="C96" s="35" t="b">
        <v>1</v>
      </c>
      <c r="D96" s="5" t="s">
        <v>324</v>
      </c>
    </row>
    <row r="97">
      <c r="A97" s="32" t="s">
        <v>152</v>
      </c>
      <c r="B97" s="33" t="s">
        <v>153</v>
      </c>
      <c r="C97" s="35" t="b">
        <v>0</v>
      </c>
    </row>
    <row r="98">
      <c r="A98" s="32" t="s">
        <v>252</v>
      </c>
      <c r="B98" s="33" t="s">
        <v>253</v>
      </c>
      <c r="C98" s="35" t="b">
        <v>1</v>
      </c>
    </row>
    <row r="99">
      <c r="A99" s="32" t="s">
        <v>106</v>
      </c>
      <c r="B99" s="33" t="s">
        <v>107</v>
      </c>
      <c r="C99" s="35" t="b">
        <v>0</v>
      </c>
      <c r="D99" s="5" t="s">
        <v>325</v>
      </c>
    </row>
    <row r="100">
      <c r="A100" s="32" t="s">
        <v>82</v>
      </c>
      <c r="B100" s="33" t="s">
        <v>83</v>
      </c>
      <c r="C100" s="35" t="b">
        <v>1</v>
      </c>
    </row>
    <row r="101">
      <c r="A101" s="32" t="s">
        <v>270</v>
      </c>
      <c r="B101" s="33" t="s">
        <v>271</v>
      </c>
      <c r="C101" s="35" t="b">
        <v>1</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9" t="s">
        <v>326</v>
      </c>
      <c r="B1" s="39" t="s">
        <v>327</v>
      </c>
      <c r="C1" s="39" t="s">
        <v>328</v>
      </c>
      <c r="D1" s="39" t="s">
        <v>329</v>
      </c>
      <c r="E1" s="39" t="s">
        <v>330</v>
      </c>
      <c r="F1" s="39" t="s">
        <v>331</v>
      </c>
      <c r="G1" s="39" t="s">
        <v>332</v>
      </c>
      <c r="H1" s="39" t="s">
        <v>333</v>
      </c>
      <c r="I1" s="40" t="s">
        <v>334</v>
      </c>
      <c r="J1" s="39" t="s">
        <v>335</v>
      </c>
      <c r="K1" s="41" t="s">
        <v>336</v>
      </c>
    </row>
    <row r="2">
      <c r="A2" s="42" t="s">
        <v>337</v>
      </c>
      <c r="B2" s="42" t="s">
        <v>137</v>
      </c>
      <c r="C2" s="42" t="s">
        <v>138</v>
      </c>
      <c r="D2" s="43">
        <v>13.0</v>
      </c>
      <c r="E2" s="44">
        <v>0.0</v>
      </c>
      <c r="F2" s="44">
        <v>11.0</v>
      </c>
      <c r="G2" s="44">
        <v>11.0</v>
      </c>
      <c r="H2" s="44">
        <v>1.0</v>
      </c>
      <c r="I2" s="45" t="b">
        <v>1</v>
      </c>
      <c r="J2" s="12" t="s">
        <v>338</v>
      </c>
      <c r="K2" s="13" t="s">
        <v>339</v>
      </c>
    </row>
    <row r="3">
      <c r="A3" s="42" t="s">
        <v>340</v>
      </c>
      <c r="B3" s="42" t="s">
        <v>200</v>
      </c>
      <c r="C3" s="42" t="s">
        <v>201</v>
      </c>
      <c r="D3" s="43">
        <v>13.0</v>
      </c>
      <c r="E3" s="44">
        <v>9.0</v>
      </c>
      <c r="F3" s="44">
        <v>0.0</v>
      </c>
      <c r="G3" s="44">
        <v>9.0</v>
      </c>
      <c r="H3" s="44">
        <v>1.0</v>
      </c>
      <c r="I3" s="45" t="b">
        <v>0</v>
      </c>
      <c r="J3" s="12" t="s">
        <v>338</v>
      </c>
      <c r="K3" s="13" t="s">
        <v>339</v>
      </c>
    </row>
    <row r="4">
      <c r="A4" s="42" t="s">
        <v>341</v>
      </c>
      <c r="B4" s="42" t="s">
        <v>100</v>
      </c>
      <c r="C4" s="42" t="s">
        <v>101</v>
      </c>
      <c r="D4" s="43">
        <v>13.0</v>
      </c>
      <c r="E4" s="44">
        <v>9.0</v>
      </c>
      <c r="F4" s="44">
        <v>0.0</v>
      </c>
      <c r="G4" s="44">
        <v>9.0</v>
      </c>
      <c r="H4" s="44">
        <v>1.0</v>
      </c>
      <c r="I4" s="45" t="b">
        <v>0</v>
      </c>
      <c r="J4" s="12" t="s">
        <v>338</v>
      </c>
      <c r="K4" s="13" t="s">
        <v>339</v>
      </c>
    </row>
    <row r="5">
      <c r="A5" s="42" t="s">
        <v>342</v>
      </c>
      <c r="B5" s="42" t="s">
        <v>214</v>
      </c>
      <c r="C5" s="42" t="s">
        <v>215</v>
      </c>
      <c r="D5" s="43">
        <v>13.0</v>
      </c>
      <c r="E5" s="44">
        <v>0.0</v>
      </c>
      <c r="F5" s="44">
        <v>12.0</v>
      </c>
      <c r="G5" s="44">
        <v>12.0</v>
      </c>
      <c r="H5" s="44">
        <v>1.0</v>
      </c>
      <c r="I5" s="45" t="b">
        <v>1</v>
      </c>
      <c r="J5" s="12" t="s">
        <v>338</v>
      </c>
      <c r="K5" s="13" t="s">
        <v>339</v>
      </c>
    </row>
    <row r="6">
      <c r="A6" s="42" t="s">
        <v>343</v>
      </c>
      <c r="B6" s="42" t="s">
        <v>139</v>
      </c>
      <c r="C6" s="42" t="s">
        <v>140</v>
      </c>
      <c r="D6" s="43">
        <v>13.0</v>
      </c>
      <c r="E6" s="44">
        <v>9.0</v>
      </c>
      <c r="F6" s="44">
        <v>0.0</v>
      </c>
      <c r="G6" s="44">
        <v>9.0</v>
      </c>
      <c r="H6" s="44">
        <v>1.0</v>
      </c>
      <c r="I6" s="45" t="b">
        <v>0</v>
      </c>
      <c r="J6" s="12" t="s">
        <v>338</v>
      </c>
      <c r="K6" s="13" t="s">
        <v>339</v>
      </c>
    </row>
    <row r="7">
      <c r="A7" s="42" t="s">
        <v>343</v>
      </c>
      <c r="B7" s="42" t="s">
        <v>162</v>
      </c>
      <c r="C7" s="42" t="s">
        <v>163</v>
      </c>
      <c r="D7" s="43">
        <v>13.0</v>
      </c>
      <c r="E7" s="44">
        <v>9.0</v>
      </c>
      <c r="F7" s="44">
        <v>0.0</v>
      </c>
      <c r="G7" s="44">
        <v>9.0</v>
      </c>
      <c r="H7" s="44">
        <v>1.0</v>
      </c>
      <c r="I7" s="45" t="b">
        <v>0</v>
      </c>
      <c r="J7" s="12" t="s">
        <v>338</v>
      </c>
      <c r="K7" s="13" t="s">
        <v>339</v>
      </c>
    </row>
    <row r="8">
      <c r="A8" s="42" t="s">
        <v>340</v>
      </c>
      <c r="B8" s="42" t="s">
        <v>274</v>
      </c>
      <c r="C8" s="42" t="s">
        <v>275</v>
      </c>
      <c r="D8" s="43">
        <v>13.0</v>
      </c>
      <c r="E8" s="44">
        <v>9.0</v>
      </c>
      <c r="F8" s="44">
        <v>0.0</v>
      </c>
      <c r="G8" s="44">
        <v>9.0</v>
      </c>
      <c r="H8" s="44">
        <v>1.0</v>
      </c>
      <c r="I8" s="45" t="b">
        <v>0</v>
      </c>
      <c r="J8" s="12" t="s">
        <v>338</v>
      </c>
      <c r="K8" s="13" t="s">
        <v>339</v>
      </c>
    </row>
    <row r="9">
      <c r="A9" s="42" t="s">
        <v>344</v>
      </c>
      <c r="B9" s="42" t="s">
        <v>177</v>
      </c>
      <c r="C9" s="42" t="s">
        <v>178</v>
      </c>
      <c r="D9" s="43">
        <v>13.0</v>
      </c>
      <c r="E9" s="44">
        <v>1.0</v>
      </c>
      <c r="F9" s="44">
        <v>35.0</v>
      </c>
      <c r="G9" s="44">
        <v>36.0</v>
      </c>
      <c r="H9" s="44">
        <v>0.944444444444444</v>
      </c>
      <c r="I9" s="45" t="b">
        <v>1</v>
      </c>
      <c r="J9" s="12" t="s">
        <v>338</v>
      </c>
      <c r="K9" s="13" t="s">
        <v>339</v>
      </c>
    </row>
    <row r="10">
      <c r="A10" s="42" t="s">
        <v>340</v>
      </c>
      <c r="B10" s="42" t="s">
        <v>148</v>
      </c>
      <c r="C10" s="42" t="s">
        <v>149</v>
      </c>
      <c r="D10" s="43">
        <v>13.0</v>
      </c>
      <c r="E10" s="44">
        <v>2.0</v>
      </c>
      <c r="F10" s="44">
        <v>21.0</v>
      </c>
      <c r="G10" s="44">
        <v>23.0</v>
      </c>
      <c r="H10" s="44">
        <v>0.826086956521739</v>
      </c>
      <c r="I10" s="45" t="b">
        <v>1</v>
      </c>
      <c r="J10" s="12" t="s">
        <v>338</v>
      </c>
      <c r="K10" s="13" t="s">
        <v>339</v>
      </c>
    </row>
    <row r="11">
      <c r="A11" s="42" t="s">
        <v>345</v>
      </c>
      <c r="B11" s="42" t="s">
        <v>168</v>
      </c>
      <c r="C11" s="42" t="s">
        <v>169</v>
      </c>
      <c r="D11" s="43">
        <v>13.0</v>
      </c>
      <c r="E11" s="44">
        <v>1.0</v>
      </c>
      <c r="F11" s="44">
        <v>10.0</v>
      </c>
      <c r="G11" s="44">
        <v>11.0</v>
      </c>
      <c r="H11" s="44">
        <v>0.818181818181818</v>
      </c>
      <c r="I11" s="45" t="b">
        <v>1</v>
      </c>
      <c r="J11" s="12" t="s">
        <v>338</v>
      </c>
      <c r="K11" s="13" t="s">
        <v>339</v>
      </c>
    </row>
    <row r="12">
      <c r="A12" s="42" t="s">
        <v>346</v>
      </c>
      <c r="B12" s="42" t="s">
        <v>135</v>
      </c>
      <c r="C12" s="42" t="s">
        <v>136</v>
      </c>
      <c r="D12" s="43">
        <v>13.0</v>
      </c>
      <c r="E12" s="44">
        <v>1.0</v>
      </c>
      <c r="F12" s="44">
        <v>9.0</v>
      </c>
      <c r="G12" s="44">
        <v>10.0</v>
      </c>
      <c r="H12" s="44">
        <v>0.8</v>
      </c>
      <c r="I12" s="45" t="b">
        <v>1</v>
      </c>
      <c r="J12" s="12" t="s">
        <v>347</v>
      </c>
      <c r="K12" s="13" t="s">
        <v>339</v>
      </c>
    </row>
    <row r="13">
      <c r="A13" s="42" t="s">
        <v>344</v>
      </c>
      <c r="B13" s="42" t="s">
        <v>244</v>
      </c>
      <c r="C13" s="42" t="s">
        <v>245</v>
      </c>
      <c r="D13" s="43">
        <v>13.0</v>
      </c>
      <c r="E13" s="44">
        <v>1.0</v>
      </c>
      <c r="F13" s="44">
        <v>9.0</v>
      </c>
      <c r="G13" s="44">
        <v>10.0</v>
      </c>
      <c r="H13" s="44">
        <v>0.8</v>
      </c>
      <c r="I13" s="45" t="b">
        <v>1</v>
      </c>
      <c r="J13" s="12" t="s">
        <v>347</v>
      </c>
      <c r="K13" s="13" t="s">
        <v>339</v>
      </c>
    </row>
    <row r="14">
      <c r="A14" s="42" t="s">
        <v>343</v>
      </c>
      <c r="B14" s="42" t="s">
        <v>109</v>
      </c>
      <c r="C14" s="42" t="s">
        <v>110</v>
      </c>
      <c r="D14" s="43">
        <v>13.0</v>
      </c>
      <c r="E14" s="44">
        <v>1.0</v>
      </c>
      <c r="F14" s="44">
        <v>9.0</v>
      </c>
      <c r="G14" s="44">
        <v>10.0</v>
      </c>
      <c r="H14" s="44">
        <v>0.8</v>
      </c>
      <c r="I14" s="45" t="b">
        <v>1</v>
      </c>
      <c r="J14" s="12" t="s">
        <v>347</v>
      </c>
      <c r="K14" s="13" t="s">
        <v>339</v>
      </c>
    </row>
    <row r="15">
      <c r="A15" s="42" t="s">
        <v>348</v>
      </c>
      <c r="B15" s="42" t="s">
        <v>111</v>
      </c>
      <c r="C15" s="42" t="s">
        <v>112</v>
      </c>
      <c r="D15" s="43">
        <v>13.0</v>
      </c>
      <c r="E15" s="44">
        <v>1.0</v>
      </c>
      <c r="F15" s="44">
        <v>9.0</v>
      </c>
      <c r="G15" s="44">
        <v>10.0</v>
      </c>
      <c r="H15" s="44">
        <v>0.8</v>
      </c>
      <c r="I15" s="45" t="b">
        <v>1</v>
      </c>
      <c r="J15" s="12" t="s">
        <v>347</v>
      </c>
      <c r="K15" s="13" t="s">
        <v>339</v>
      </c>
    </row>
    <row r="16">
      <c r="A16" s="42" t="s">
        <v>337</v>
      </c>
      <c r="B16" s="42" t="s">
        <v>223</v>
      </c>
      <c r="C16" s="42" t="s">
        <v>224</v>
      </c>
      <c r="D16" s="43">
        <v>13.0</v>
      </c>
      <c r="E16" s="44">
        <v>1.0</v>
      </c>
      <c r="F16" s="44">
        <v>9.0</v>
      </c>
      <c r="G16" s="44">
        <v>10.0</v>
      </c>
      <c r="H16" s="44">
        <v>0.8</v>
      </c>
      <c r="I16" s="45" t="b">
        <v>1</v>
      </c>
      <c r="J16" s="12" t="s">
        <v>347</v>
      </c>
      <c r="K16" s="13" t="s">
        <v>339</v>
      </c>
    </row>
    <row r="17">
      <c r="A17" s="42" t="s">
        <v>344</v>
      </c>
      <c r="B17" s="42" t="s">
        <v>187</v>
      </c>
      <c r="C17" s="42" t="s">
        <v>188</v>
      </c>
      <c r="D17" s="43">
        <v>13.0</v>
      </c>
      <c r="E17" s="44">
        <v>8.0</v>
      </c>
      <c r="F17" s="44">
        <v>1.0</v>
      </c>
      <c r="G17" s="44">
        <v>9.0</v>
      </c>
      <c r="H17" s="44">
        <v>0.777777777777777</v>
      </c>
      <c r="I17" s="45" t="b">
        <v>0</v>
      </c>
      <c r="J17" s="12" t="s">
        <v>347</v>
      </c>
      <c r="K17" s="13" t="s">
        <v>339</v>
      </c>
    </row>
    <row r="18">
      <c r="A18" s="42" t="s">
        <v>349</v>
      </c>
      <c r="B18" s="42" t="s">
        <v>120</v>
      </c>
      <c r="C18" s="42" t="s">
        <v>121</v>
      </c>
      <c r="D18" s="43">
        <v>13.0</v>
      </c>
      <c r="E18" s="44">
        <v>8.0</v>
      </c>
      <c r="F18" s="44">
        <v>1.0</v>
      </c>
      <c r="G18" s="44">
        <v>9.0</v>
      </c>
      <c r="H18" s="44">
        <v>0.777777777777777</v>
      </c>
      <c r="I18" s="45" t="b">
        <v>0</v>
      </c>
      <c r="J18" s="12" t="s">
        <v>347</v>
      </c>
      <c r="K18" s="13" t="s">
        <v>339</v>
      </c>
    </row>
    <row r="19">
      <c r="A19" s="42" t="s">
        <v>350</v>
      </c>
      <c r="B19" s="42" t="s">
        <v>286</v>
      </c>
      <c r="C19" s="42" t="s">
        <v>287</v>
      </c>
      <c r="D19" s="43">
        <v>13.0</v>
      </c>
      <c r="E19" s="44">
        <v>8.0</v>
      </c>
      <c r="F19" s="44">
        <v>1.0</v>
      </c>
      <c r="G19" s="44">
        <v>9.0</v>
      </c>
      <c r="H19" s="44">
        <v>0.777777777777777</v>
      </c>
      <c r="I19" s="45" t="b">
        <v>0</v>
      </c>
      <c r="J19" s="12" t="s">
        <v>347</v>
      </c>
      <c r="K19" s="13" t="s">
        <v>339</v>
      </c>
    </row>
    <row r="20">
      <c r="A20" s="42" t="s">
        <v>351</v>
      </c>
      <c r="B20" s="42" t="s">
        <v>160</v>
      </c>
      <c r="C20" s="42" t="s">
        <v>161</v>
      </c>
      <c r="D20" s="43">
        <v>13.0</v>
      </c>
      <c r="E20" s="44">
        <v>9.0</v>
      </c>
      <c r="F20" s="44">
        <v>2.0</v>
      </c>
      <c r="G20" s="44">
        <v>11.0</v>
      </c>
      <c r="H20" s="44">
        <v>0.636363636363636</v>
      </c>
      <c r="I20" s="45" t="b">
        <v>0</v>
      </c>
      <c r="J20" s="12" t="s">
        <v>347</v>
      </c>
      <c r="K20" s="13" t="s">
        <v>339</v>
      </c>
    </row>
    <row r="21">
      <c r="A21" s="42" t="s">
        <v>352</v>
      </c>
      <c r="B21" s="42" t="s">
        <v>154</v>
      </c>
      <c r="C21" s="42" t="s">
        <v>155</v>
      </c>
      <c r="D21" s="43">
        <v>13.0</v>
      </c>
      <c r="E21" s="44">
        <v>9.0</v>
      </c>
      <c r="F21" s="44">
        <v>2.0</v>
      </c>
      <c r="G21" s="44">
        <v>11.0</v>
      </c>
      <c r="H21" s="44">
        <v>0.636363636363636</v>
      </c>
      <c r="I21" s="45" t="b">
        <v>0</v>
      </c>
      <c r="J21" s="12" t="s">
        <v>347</v>
      </c>
      <c r="K21" s="13" t="s">
        <v>339</v>
      </c>
    </row>
    <row r="22">
      <c r="A22" s="42" t="s">
        <v>353</v>
      </c>
      <c r="B22" s="42" t="s">
        <v>171</v>
      </c>
      <c r="C22" s="42" t="s">
        <v>172</v>
      </c>
      <c r="D22" s="43">
        <v>13.0</v>
      </c>
      <c r="E22" s="44">
        <v>8.0</v>
      </c>
      <c r="F22" s="44">
        <v>2.0</v>
      </c>
      <c r="G22" s="44">
        <v>10.0</v>
      </c>
      <c r="H22" s="44">
        <v>0.6</v>
      </c>
      <c r="I22" s="45" t="b">
        <v>0</v>
      </c>
      <c r="J22" s="12" t="s">
        <v>354</v>
      </c>
      <c r="K22" s="13" t="s">
        <v>339</v>
      </c>
    </row>
    <row r="23">
      <c r="A23" s="42" t="s">
        <v>344</v>
      </c>
      <c r="B23" s="42" t="s">
        <v>197</v>
      </c>
      <c r="C23" s="42" t="s">
        <v>198</v>
      </c>
      <c r="D23" s="43">
        <v>13.0</v>
      </c>
      <c r="E23" s="44">
        <v>2.0</v>
      </c>
      <c r="F23" s="44">
        <v>8.0</v>
      </c>
      <c r="G23" s="44">
        <v>10.0</v>
      </c>
      <c r="H23" s="44">
        <v>0.6</v>
      </c>
      <c r="I23" s="45" t="b">
        <v>1</v>
      </c>
      <c r="J23" s="12" t="s">
        <v>354</v>
      </c>
      <c r="K23" s="13" t="s">
        <v>339</v>
      </c>
    </row>
    <row r="24">
      <c r="A24" s="42" t="s">
        <v>355</v>
      </c>
      <c r="B24" s="42" t="s">
        <v>282</v>
      </c>
      <c r="C24" s="42" t="s">
        <v>283</v>
      </c>
      <c r="D24" s="43">
        <v>13.0</v>
      </c>
      <c r="E24" s="44">
        <v>3.0</v>
      </c>
      <c r="F24" s="44">
        <v>11.0</v>
      </c>
      <c r="G24" s="44">
        <v>14.0</v>
      </c>
      <c r="H24" s="44">
        <v>0.571428571428571</v>
      </c>
      <c r="I24" s="45" t="b">
        <v>1</v>
      </c>
      <c r="J24" s="12" t="s">
        <v>354</v>
      </c>
      <c r="K24" s="13" t="s">
        <v>339</v>
      </c>
    </row>
    <row r="25">
      <c r="A25" s="42" t="s">
        <v>356</v>
      </c>
      <c r="B25" s="42" t="s">
        <v>104</v>
      </c>
      <c r="C25" s="42" t="s">
        <v>105</v>
      </c>
      <c r="D25" s="43">
        <v>13.0</v>
      </c>
      <c r="E25" s="44">
        <v>7.0</v>
      </c>
      <c r="F25" s="44">
        <v>2.0</v>
      </c>
      <c r="G25" s="44">
        <v>9.0</v>
      </c>
      <c r="H25" s="44">
        <v>0.555555555555555</v>
      </c>
      <c r="I25" s="45" t="b">
        <v>0</v>
      </c>
      <c r="J25" s="12" t="s">
        <v>354</v>
      </c>
      <c r="K25" s="13" t="s">
        <v>339</v>
      </c>
    </row>
    <row r="26">
      <c r="A26" s="42" t="s">
        <v>357</v>
      </c>
      <c r="B26" s="42" t="s">
        <v>191</v>
      </c>
      <c r="C26" s="42" t="s">
        <v>192</v>
      </c>
      <c r="D26" s="43">
        <v>13.0</v>
      </c>
      <c r="E26" s="44">
        <v>7.0</v>
      </c>
      <c r="F26" s="44">
        <v>2.0</v>
      </c>
      <c r="G26" s="44">
        <v>9.0</v>
      </c>
      <c r="H26" s="44">
        <v>0.555555555555555</v>
      </c>
      <c r="I26" s="45" t="b">
        <v>0</v>
      </c>
      <c r="J26" s="12" t="s">
        <v>354</v>
      </c>
      <c r="K26" s="13" t="s">
        <v>339</v>
      </c>
    </row>
    <row r="27">
      <c r="A27" s="42" t="s">
        <v>358</v>
      </c>
      <c r="B27" s="42" t="s">
        <v>156</v>
      </c>
      <c r="C27" s="42" t="s">
        <v>157</v>
      </c>
      <c r="D27" s="43">
        <v>13.0</v>
      </c>
      <c r="E27" s="44">
        <v>7.0</v>
      </c>
      <c r="F27" s="44">
        <v>2.0</v>
      </c>
      <c r="G27" s="44">
        <v>9.0</v>
      </c>
      <c r="H27" s="44">
        <v>0.555555555555555</v>
      </c>
      <c r="I27" s="45" t="b">
        <v>0</v>
      </c>
      <c r="J27" s="12" t="s">
        <v>354</v>
      </c>
      <c r="K27" s="13" t="s">
        <v>339</v>
      </c>
    </row>
    <row r="28">
      <c r="A28" s="42" t="s">
        <v>343</v>
      </c>
      <c r="B28" s="42" t="s">
        <v>122</v>
      </c>
      <c r="C28" s="42" t="s">
        <v>123</v>
      </c>
      <c r="D28" s="43">
        <v>13.0</v>
      </c>
      <c r="E28" s="44">
        <v>3.0</v>
      </c>
      <c r="F28" s="44">
        <v>9.0</v>
      </c>
      <c r="G28" s="44">
        <v>12.0</v>
      </c>
      <c r="H28" s="44">
        <v>0.5</v>
      </c>
      <c r="I28" s="45" t="b">
        <v>1</v>
      </c>
      <c r="J28" s="12" t="s">
        <v>354</v>
      </c>
      <c r="K28" s="13" t="s">
        <v>339</v>
      </c>
    </row>
    <row r="29">
      <c r="A29" s="42" t="s">
        <v>343</v>
      </c>
      <c r="B29" s="42" t="s">
        <v>89</v>
      </c>
      <c r="C29" s="42" t="s">
        <v>90</v>
      </c>
      <c r="D29" s="43">
        <v>13.0</v>
      </c>
      <c r="E29" s="44">
        <v>3.0</v>
      </c>
      <c r="F29" s="44">
        <v>8.0</v>
      </c>
      <c r="G29" s="44">
        <v>11.0</v>
      </c>
      <c r="H29" s="44">
        <v>0.454545454545454</v>
      </c>
      <c r="I29" s="45" t="b">
        <v>1</v>
      </c>
      <c r="J29" s="12" t="s">
        <v>354</v>
      </c>
      <c r="K29" s="13" t="s">
        <v>339</v>
      </c>
    </row>
    <row r="30">
      <c r="A30" s="42" t="s">
        <v>359</v>
      </c>
      <c r="B30" s="42" t="s">
        <v>232</v>
      </c>
      <c r="C30" s="42" t="s">
        <v>233</v>
      </c>
      <c r="D30" s="43">
        <v>13.0</v>
      </c>
      <c r="E30" s="44">
        <v>3.0</v>
      </c>
      <c r="F30" s="44">
        <v>8.0</v>
      </c>
      <c r="G30" s="44">
        <v>11.0</v>
      </c>
      <c r="H30" s="44">
        <v>0.454545454545454</v>
      </c>
      <c r="I30" s="45" t="b">
        <v>1</v>
      </c>
      <c r="J30" s="12" t="s">
        <v>354</v>
      </c>
      <c r="K30" s="13" t="s">
        <v>339</v>
      </c>
    </row>
    <row r="31">
      <c r="A31" s="42" t="s">
        <v>360</v>
      </c>
      <c r="B31" s="42" t="s">
        <v>262</v>
      </c>
      <c r="C31" s="42" t="s">
        <v>263</v>
      </c>
      <c r="D31" s="43">
        <v>13.0</v>
      </c>
      <c r="E31" s="44">
        <v>8.0</v>
      </c>
      <c r="F31" s="44">
        <v>3.0</v>
      </c>
      <c r="G31" s="44">
        <v>11.0</v>
      </c>
      <c r="H31" s="44">
        <v>0.454545454545454</v>
      </c>
      <c r="I31" s="45" t="b">
        <v>0</v>
      </c>
      <c r="J31" s="12" t="s">
        <v>354</v>
      </c>
      <c r="K31" s="13" t="s">
        <v>339</v>
      </c>
    </row>
    <row r="32">
      <c r="A32" s="42" t="s">
        <v>361</v>
      </c>
      <c r="B32" s="42" t="s">
        <v>115</v>
      </c>
      <c r="C32" s="42" t="s">
        <v>116</v>
      </c>
      <c r="D32" s="43">
        <v>13.0</v>
      </c>
      <c r="E32" s="44">
        <v>3.0</v>
      </c>
      <c r="F32" s="44">
        <v>7.0</v>
      </c>
      <c r="G32" s="44">
        <v>10.0</v>
      </c>
      <c r="H32" s="44">
        <v>0.4</v>
      </c>
      <c r="I32" s="45" t="b">
        <v>1</v>
      </c>
      <c r="J32" s="12" t="s">
        <v>362</v>
      </c>
      <c r="K32" s="13" t="s">
        <v>339</v>
      </c>
    </row>
    <row r="33">
      <c r="A33" s="42" t="s">
        <v>363</v>
      </c>
      <c r="B33" s="42" t="s">
        <v>246</v>
      </c>
      <c r="C33" s="42" t="s">
        <v>247</v>
      </c>
      <c r="D33" s="43">
        <v>13.0</v>
      </c>
      <c r="E33" s="44">
        <v>3.0</v>
      </c>
      <c r="F33" s="44">
        <v>7.0</v>
      </c>
      <c r="G33" s="44">
        <v>10.0</v>
      </c>
      <c r="H33" s="44">
        <v>0.4</v>
      </c>
      <c r="I33" s="45" t="b">
        <v>1</v>
      </c>
      <c r="J33" s="12" t="s">
        <v>362</v>
      </c>
      <c r="K33" s="13" t="s">
        <v>339</v>
      </c>
    </row>
    <row r="34">
      <c r="A34" s="42" t="s">
        <v>352</v>
      </c>
      <c r="B34" s="42" t="s">
        <v>82</v>
      </c>
      <c r="C34" s="42" t="s">
        <v>83</v>
      </c>
      <c r="D34" s="43">
        <v>13.0</v>
      </c>
      <c r="E34" s="44">
        <v>3.0</v>
      </c>
      <c r="F34" s="44">
        <v>7.0</v>
      </c>
      <c r="G34" s="44">
        <v>10.0</v>
      </c>
      <c r="H34" s="44">
        <v>0.4</v>
      </c>
      <c r="I34" s="45" t="b">
        <v>1</v>
      </c>
      <c r="J34" s="12" t="s">
        <v>362</v>
      </c>
      <c r="K34" s="13" t="s">
        <v>339</v>
      </c>
    </row>
    <row r="35">
      <c r="A35" s="42" t="s">
        <v>364</v>
      </c>
      <c r="B35" s="42" t="s">
        <v>106</v>
      </c>
      <c r="C35" s="42" t="s">
        <v>107</v>
      </c>
      <c r="D35" s="43">
        <v>13.0</v>
      </c>
      <c r="E35" s="44">
        <v>3.0</v>
      </c>
      <c r="F35" s="44">
        <v>7.0</v>
      </c>
      <c r="G35" s="44">
        <v>10.0</v>
      </c>
      <c r="H35" s="44">
        <v>0.4</v>
      </c>
      <c r="I35" s="45" t="b">
        <v>1</v>
      </c>
      <c r="J35" s="12" t="s">
        <v>362</v>
      </c>
      <c r="K35" s="13" t="s">
        <v>339</v>
      </c>
    </row>
    <row r="36">
      <c r="A36" s="42" t="s">
        <v>360</v>
      </c>
      <c r="B36" s="42" t="s">
        <v>87</v>
      </c>
      <c r="C36" s="42" t="s">
        <v>88</v>
      </c>
      <c r="D36" s="43">
        <v>13.0</v>
      </c>
      <c r="E36" s="44">
        <v>6.0</v>
      </c>
      <c r="F36" s="44">
        <v>3.0</v>
      </c>
      <c r="G36" s="44">
        <v>9.0</v>
      </c>
      <c r="H36" s="44">
        <v>0.333333333333333</v>
      </c>
      <c r="I36" s="45" t="b">
        <v>0</v>
      </c>
      <c r="J36" s="12" t="s">
        <v>362</v>
      </c>
      <c r="K36" s="13" t="s">
        <v>339</v>
      </c>
    </row>
    <row r="37">
      <c r="A37" s="42" t="s">
        <v>349</v>
      </c>
      <c r="B37" s="42" t="s">
        <v>205</v>
      </c>
      <c r="C37" s="42" t="s">
        <v>206</v>
      </c>
      <c r="D37" s="43">
        <v>13.0</v>
      </c>
      <c r="E37" s="44">
        <v>6.0</v>
      </c>
      <c r="F37" s="44">
        <v>3.0</v>
      </c>
      <c r="G37" s="44">
        <v>9.0</v>
      </c>
      <c r="H37" s="44">
        <v>0.333333333333333</v>
      </c>
      <c r="I37" s="45" t="b">
        <v>0</v>
      </c>
      <c r="J37" s="12" t="s">
        <v>362</v>
      </c>
      <c r="K37" s="13" t="s">
        <v>339</v>
      </c>
    </row>
    <row r="38">
      <c r="A38" s="42" t="s">
        <v>365</v>
      </c>
      <c r="B38" s="42" t="s">
        <v>295</v>
      </c>
      <c r="C38" s="42" t="s">
        <v>296</v>
      </c>
      <c r="D38" s="43">
        <v>13.0</v>
      </c>
      <c r="E38" s="44">
        <v>6.0</v>
      </c>
      <c r="F38" s="44">
        <v>3.0</v>
      </c>
      <c r="G38" s="44">
        <v>9.0</v>
      </c>
      <c r="H38" s="44">
        <v>0.333333333333333</v>
      </c>
      <c r="I38" s="45" t="b">
        <v>0</v>
      </c>
      <c r="J38" s="12" t="s">
        <v>362</v>
      </c>
      <c r="K38" s="13" t="s">
        <v>339</v>
      </c>
    </row>
    <row r="39">
      <c r="A39" s="42" t="s">
        <v>366</v>
      </c>
      <c r="B39" s="42" t="s">
        <v>218</v>
      </c>
      <c r="C39" s="42" t="s">
        <v>219</v>
      </c>
      <c r="D39" s="43">
        <v>13.0</v>
      </c>
      <c r="E39" s="44">
        <v>6.0</v>
      </c>
      <c r="F39" s="44">
        <v>3.0</v>
      </c>
      <c r="G39" s="44">
        <v>9.0</v>
      </c>
      <c r="H39" s="44">
        <v>0.333333333333333</v>
      </c>
      <c r="I39" s="45" t="b">
        <v>0</v>
      </c>
      <c r="J39" s="12" t="s">
        <v>362</v>
      </c>
      <c r="K39" s="13" t="s">
        <v>339</v>
      </c>
    </row>
    <row r="40">
      <c r="A40" s="42" t="s">
        <v>367</v>
      </c>
      <c r="B40" s="42" t="s">
        <v>152</v>
      </c>
      <c r="C40" s="42" t="s">
        <v>153</v>
      </c>
      <c r="D40" s="43">
        <v>13.0</v>
      </c>
      <c r="E40" s="44">
        <v>6.0</v>
      </c>
      <c r="F40" s="44">
        <v>3.0</v>
      </c>
      <c r="G40" s="44">
        <v>9.0</v>
      </c>
      <c r="H40" s="44">
        <v>0.333333333333333</v>
      </c>
      <c r="I40" s="45" t="b">
        <v>0</v>
      </c>
      <c r="J40" s="12" t="s">
        <v>362</v>
      </c>
      <c r="K40" s="13" t="s">
        <v>339</v>
      </c>
    </row>
    <row r="41">
      <c r="A41" s="42" t="s">
        <v>368</v>
      </c>
      <c r="B41" s="42" t="s">
        <v>207</v>
      </c>
      <c r="C41" s="42" t="s">
        <v>208</v>
      </c>
      <c r="D41" s="43">
        <v>13.0</v>
      </c>
      <c r="E41" s="44">
        <v>4.0</v>
      </c>
      <c r="F41" s="44">
        <v>7.0</v>
      </c>
      <c r="G41" s="44">
        <v>11.0</v>
      </c>
      <c r="H41" s="44">
        <v>0.272727272727272</v>
      </c>
      <c r="I41" s="45" t="b">
        <v>1</v>
      </c>
      <c r="J41" s="12" t="s">
        <v>362</v>
      </c>
      <c r="K41" s="13" t="s">
        <v>339</v>
      </c>
    </row>
    <row r="42">
      <c r="A42" s="42" t="s">
        <v>357</v>
      </c>
      <c r="B42" s="42" t="s">
        <v>113</v>
      </c>
      <c r="C42" s="42" t="s">
        <v>114</v>
      </c>
      <c r="D42" s="43">
        <v>13.0</v>
      </c>
      <c r="E42" s="44">
        <v>4.0</v>
      </c>
      <c r="F42" s="44">
        <v>6.0</v>
      </c>
      <c r="G42" s="44">
        <v>10.0</v>
      </c>
      <c r="H42" s="44">
        <v>0.2</v>
      </c>
      <c r="I42" s="45" t="b">
        <v>1</v>
      </c>
      <c r="J42" s="12" t="s">
        <v>369</v>
      </c>
      <c r="K42" s="13" t="s">
        <v>339</v>
      </c>
    </row>
    <row r="43">
      <c r="A43" s="42" t="s">
        <v>370</v>
      </c>
      <c r="B43" s="42" t="s">
        <v>239</v>
      </c>
      <c r="C43" s="42" t="s">
        <v>240</v>
      </c>
      <c r="D43" s="43">
        <v>13.0</v>
      </c>
      <c r="E43" s="44">
        <v>6.0</v>
      </c>
      <c r="F43" s="44">
        <v>4.0</v>
      </c>
      <c r="G43" s="44">
        <v>10.0</v>
      </c>
      <c r="H43" s="44">
        <v>0.2</v>
      </c>
      <c r="I43" s="45" t="b">
        <v>0</v>
      </c>
      <c r="J43" s="12" t="s">
        <v>369</v>
      </c>
      <c r="K43" s="13" t="s">
        <v>339</v>
      </c>
    </row>
    <row r="44">
      <c r="A44" s="42" t="s">
        <v>357</v>
      </c>
      <c r="B44" s="42" t="s">
        <v>164</v>
      </c>
      <c r="C44" s="42" t="s">
        <v>165</v>
      </c>
      <c r="D44" s="43">
        <v>13.0</v>
      </c>
      <c r="E44" s="44">
        <v>6.0</v>
      </c>
      <c r="F44" s="44">
        <v>4.0</v>
      </c>
      <c r="G44" s="44">
        <v>10.0</v>
      </c>
      <c r="H44" s="44">
        <v>0.2</v>
      </c>
      <c r="I44" s="45" t="b">
        <v>0</v>
      </c>
      <c r="J44" s="12" t="s">
        <v>369</v>
      </c>
      <c r="K44" s="13" t="s">
        <v>339</v>
      </c>
    </row>
    <row r="45">
      <c r="A45" s="42" t="s">
        <v>371</v>
      </c>
      <c r="B45" s="42" t="s">
        <v>91</v>
      </c>
      <c r="C45" s="42" t="s">
        <v>92</v>
      </c>
      <c r="D45" s="43">
        <v>13.0</v>
      </c>
      <c r="E45" s="44">
        <v>4.0</v>
      </c>
      <c r="F45" s="44">
        <v>6.0</v>
      </c>
      <c r="G45" s="44">
        <v>10.0</v>
      </c>
      <c r="H45" s="44">
        <v>0.2</v>
      </c>
      <c r="I45" s="45" t="b">
        <v>1</v>
      </c>
      <c r="J45" s="12" t="s">
        <v>369</v>
      </c>
      <c r="K45" s="13" t="s">
        <v>339</v>
      </c>
    </row>
    <row r="46">
      <c r="A46" s="42" t="s">
        <v>353</v>
      </c>
      <c r="B46" s="42" t="s">
        <v>260</v>
      </c>
      <c r="C46" s="42" t="s">
        <v>261</v>
      </c>
      <c r="D46" s="43">
        <v>13.0</v>
      </c>
      <c r="E46" s="44">
        <v>6.0</v>
      </c>
      <c r="F46" s="44">
        <v>4.0</v>
      </c>
      <c r="G46" s="44">
        <v>10.0</v>
      </c>
      <c r="H46" s="44">
        <v>0.2</v>
      </c>
      <c r="I46" s="45" t="b">
        <v>0</v>
      </c>
      <c r="J46" s="12" t="s">
        <v>369</v>
      </c>
      <c r="K46" s="13" t="s">
        <v>339</v>
      </c>
    </row>
    <row r="47">
      <c r="A47" s="42" t="s">
        <v>351</v>
      </c>
      <c r="B47" s="42" t="s">
        <v>258</v>
      </c>
      <c r="C47" s="42" t="s">
        <v>259</v>
      </c>
      <c r="D47" s="43">
        <v>13.0</v>
      </c>
      <c r="E47" s="44">
        <v>6.0</v>
      </c>
      <c r="F47" s="44">
        <v>4.0</v>
      </c>
      <c r="G47" s="44">
        <v>10.0</v>
      </c>
      <c r="H47" s="44">
        <v>0.2</v>
      </c>
      <c r="I47" s="45" t="b">
        <v>0</v>
      </c>
      <c r="J47" s="12" t="s">
        <v>369</v>
      </c>
      <c r="K47" s="13" t="s">
        <v>339</v>
      </c>
    </row>
    <row r="48">
      <c r="A48" s="42" t="s">
        <v>372</v>
      </c>
      <c r="B48" s="42" t="s">
        <v>270</v>
      </c>
      <c r="C48" s="42" t="s">
        <v>271</v>
      </c>
      <c r="D48" s="43">
        <v>13.0</v>
      </c>
      <c r="E48" s="44">
        <v>5.0</v>
      </c>
      <c r="F48" s="44">
        <v>6.0</v>
      </c>
      <c r="G48" s="44">
        <v>11.0</v>
      </c>
      <c r="H48" s="44">
        <v>0.0909090909090909</v>
      </c>
      <c r="I48" s="45" t="b">
        <v>1</v>
      </c>
      <c r="J48" s="12" t="s">
        <v>369</v>
      </c>
      <c r="K48" s="13" t="s">
        <v>339</v>
      </c>
    </row>
    <row r="49">
      <c r="A49" s="42" t="s">
        <v>373</v>
      </c>
      <c r="B49" s="42" t="s">
        <v>237</v>
      </c>
      <c r="C49" s="42" t="s">
        <v>238</v>
      </c>
      <c r="D49" s="43">
        <v>13.0</v>
      </c>
      <c r="E49" s="44">
        <v>5.0</v>
      </c>
      <c r="F49" s="44">
        <v>6.0</v>
      </c>
      <c r="G49" s="44">
        <v>11.0</v>
      </c>
      <c r="H49" s="44">
        <v>0.0909090909090909</v>
      </c>
      <c r="I49" s="45" t="b">
        <v>1</v>
      </c>
      <c r="J49" s="12" t="s">
        <v>369</v>
      </c>
      <c r="K49" s="13" t="s">
        <v>339</v>
      </c>
    </row>
    <row r="50">
      <c r="A50" s="42" t="s">
        <v>346</v>
      </c>
      <c r="B50" s="42" t="s">
        <v>131</v>
      </c>
      <c r="C50" s="42" t="s">
        <v>132</v>
      </c>
      <c r="D50" s="43">
        <v>13.0</v>
      </c>
      <c r="E50" s="44">
        <v>5.0</v>
      </c>
      <c r="F50" s="44">
        <v>6.0</v>
      </c>
      <c r="G50" s="44">
        <v>11.0</v>
      </c>
      <c r="H50" s="44">
        <v>0.0909090909090909</v>
      </c>
      <c r="I50" s="45" t="b">
        <v>1</v>
      </c>
      <c r="J50" s="12" t="s">
        <v>369</v>
      </c>
      <c r="K50" s="13" t="s">
        <v>339</v>
      </c>
    </row>
    <row r="51">
      <c r="A51" s="42" t="s">
        <v>374</v>
      </c>
      <c r="B51" s="42" t="s">
        <v>84</v>
      </c>
      <c r="C51" s="42" t="s">
        <v>85</v>
      </c>
      <c r="D51" s="43">
        <v>13.0</v>
      </c>
      <c r="E51" s="44">
        <v>6.0</v>
      </c>
      <c r="F51" s="44">
        <v>5.0</v>
      </c>
      <c r="G51" s="44">
        <v>11.0</v>
      </c>
      <c r="H51" s="44">
        <v>0.0909090909090909</v>
      </c>
      <c r="I51" s="45" t="b">
        <v>0</v>
      </c>
      <c r="J51" s="12" t="s">
        <v>369</v>
      </c>
      <c r="K51" s="13" t="s">
        <v>339</v>
      </c>
    </row>
    <row r="52">
      <c r="A52" s="42" t="s">
        <v>375</v>
      </c>
      <c r="B52" s="42" t="s">
        <v>195</v>
      </c>
      <c r="C52" s="42" t="s">
        <v>196</v>
      </c>
      <c r="D52" s="43">
        <v>13.0</v>
      </c>
      <c r="E52" s="44">
        <v>0.0</v>
      </c>
      <c r="F52" s="44">
        <v>9.0</v>
      </c>
      <c r="G52" s="44">
        <v>9.0</v>
      </c>
      <c r="H52" s="44">
        <v>1.0</v>
      </c>
      <c r="I52" s="45" t="b">
        <v>1</v>
      </c>
      <c r="J52" s="12" t="s">
        <v>338</v>
      </c>
      <c r="K52" s="12" t="s">
        <v>33</v>
      </c>
    </row>
    <row r="53">
      <c r="A53" s="42" t="s">
        <v>376</v>
      </c>
      <c r="B53" s="42" t="s">
        <v>185</v>
      </c>
      <c r="C53" s="42" t="s">
        <v>186</v>
      </c>
      <c r="D53" s="43">
        <v>13.0</v>
      </c>
      <c r="E53" s="44">
        <v>3.0</v>
      </c>
      <c r="F53" s="44">
        <v>0.0</v>
      </c>
      <c r="G53" s="44">
        <v>3.0</v>
      </c>
      <c r="H53" s="44">
        <v>1.0</v>
      </c>
      <c r="I53" s="45" t="b">
        <v>0</v>
      </c>
      <c r="J53" s="12" t="s">
        <v>338</v>
      </c>
      <c r="K53" s="12" t="s">
        <v>33</v>
      </c>
    </row>
    <row r="54">
      <c r="A54" s="42" t="s">
        <v>377</v>
      </c>
      <c r="B54" s="42" t="s">
        <v>254</v>
      </c>
      <c r="C54" s="42" t="s">
        <v>255</v>
      </c>
      <c r="D54" s="43">
        <v>13.0</v>
      </c>
      <c r="E54" s="44">
        <v>1.0</v>
      </c>
      <c r="F54" s="44">
        <v>8.0</v>
      </c>
      <c r="G54" s="44">
        <v>9.0</v>
      </c>
      <c r="H54" s="44">
        <v>0.777777777777777</v>
      </c>
      <c r="I54" s="45" t="b">
        <v>1</v>
      </c>
      <c r="J54" s="12" t="s">
        <v>347</v>
      </c>
      <c r="K54" s="12" t="s">
        <v>33</v>
      </c>
    </row>
    <row r="55">
      <c r="A55" s="42" t="s">
        <v>357</v>
      </c>
      <c r="B55" s="42" t="s">
        <v>291</v>
      </c>
      <c r="C55" s="42" t="s">
        <v>292</v>
      </c>
      <c r="D55" s="43">
        <v>13.0</v>
      </c>
      <c r="E55" s="44">
        <v>8.0</v>
      </c>
      <c r="F55" s="44">
        <v>1.0</v>
      </c>
      <c r="G55" s="44">
        <v>9.0</v>
      </c>
      <c r="H55" s="44">
        <v>0.777777777777777</v>
      </c>
      <c r="I55" s="45" t="b">
        <v>0</v>
      </c>
      <c r="J55" s="12" t="s">
        <v>347</v>
      </c>
      <c r="K55" s="12" t="s">
        <v>33</v>
      </c>
    </row>
    <row r="56">
      <c r="A56" s="42" t="s">
        <v>376</v>
      </c>
      <c r="B56" s="42" t="s">
        <v>226</v>
      </c>
      <c r="C56" s="42" t="s">
        <v>227</v>
      </c>
      <c r="D56" s="43">
        <v>13.0</v>
      </c>
      <c r="E56" s="44">
        <v>2.0</v>
      </c>
      <c r="F56" s="44">
        <v>8.0</v>
      </c>
      <c r="G56" s="44">
        <v>10.0</v>
      </c>
      <c r="H56" s="44">
        <v>0.6</v>
      </c>
      <c r="I56" s="45" t="b">
        <v>1</v>
      </c>
      <c r="J56" s="12" t="s">
        <v>354</v>
      </c>
      <c r="K56" s="12" t="s">
        <v>33</v>
      </c>
    </row>
    <row r="57">
      <c r="A57" s="42" t="s">
        <v>376</v>
      </c>
      <c r="B57" s="42" t="s">
        <v>158</v>
      </c>
      <c r="C57" s="42" t="s">
        <v>159</v>
      </c>
      <c r="D57" s="43">
        <v>13.0</v>
      </c>
      <c r="E57" s="44">
        <v>3.0</v>
      </c>
      <c r="F57" s="44">
        <v>1.0</v>
      </c>
      <c r="G57" s="44">
        <v>4.0</v>
      </c>
      <c r="H57" s="44">
        <v>0.5</v>
      </c>
      <c r="I57" s="45" t="b">
        <v>0</v>
      </c>
      <c r="J57" s="12" t="s">
        <v>354</v>
      </c>
      <c r="K57" s="12" t="s">
        <v>33</v>
      </c>
    </row>
    <row r="58">
      <c r="A58" s="42" t="s">
        <v>378</v>
      </c>
      <c r="B58" s="42" t="s">
        <v>293</v>
      </c>
      <c r="C58" s="42" t="s">
        <v>294</v>
      </c>
      <c r="D58" s="43">
        <v>13.0</v>
      </c>
      <c r="E58" s="44">
        <v>2.0</v>
      </c>
      <c r="F58" s="44">
        <v>1.0</v>
      </c>
      <c r="G58" s="44">
        <v>3.0</v>
      </c>
      <c r="H58" s="44">
        <v>0.333333333333333</v>
      </c>
      <c r="I58" s="45" t="b">
        <v>0</v>
      </c>
      <c r="J58" s="12" t="s">
        <v>362</v>
      </c>
      <c r="K58" s="12" t="s">
        <v>33</v>
      </c>
    </row>
    <row r="59">
      <c r="A59" s="42" t="s">
        <v>352</v>
      </c>
      <c r="B59" s="42" t="s">
        <v>248</v>
      </c>
      <c r="C59" s="42" t="s">
        <v>249</v>
      </c>
      <c r="D59" s="43">
        <v>13.0</v>
      </c>
      <c r="E59" s="44">
        <v>1.0</v>
      </c>
      <c r="F59" s="44">
        <v>2.0</v>
      </c>
      <c r="G59" s="44">
        <v>3.0</v>
      </c>
      <c r="H59" s="44">
        <v>0.333333333333333</v>
      </c>
      <c r="I59" s="45" t="b">
        <v>1</v>
      </c>
      <c r="J59" s="12" t="s">
        <v>362</v>
      </c>
      <c r="K59" s="12" t="s">
        <v>33</v>
      </c>
    </row>
    <row r="60">
      <c r="A60" s="42" t="s">
        <v>371</v>
      </c>
      <c r="B60" s="42" t="s">
        <v>144</v>
      </c>
      <c r="C60" s="42" t="s">
        <v>145</v>
      </c>
      <c r="D60" s="43">
        <v>13.0</v>
      </c>
      <c r="E60" s="44">
        <v>4.0</v>
      </c>
      <c r="F60" s="44">
        <v>5.0</v>
      </c>
      <c r="G60" s="44">
        <v>9.0</v>
      </c>
      <c r="H60" s="44">
        <v>0.111111111111111</v>
      </c>
      <c r="I60" s="45" t="b">
        <v>1</v>
      </c>
      <c r="J60" s="12" t="s">
        <v>369</v>
      </c>
      <c r="K60" s="12" t="s">
        <v>33</v>
      </c>
    </row>
    <row r="61">
      <c r="A61" s="42" t="s">
        <v>379</v>
      </c>
      <c r="B61" s="42" t="s">
        <v>276</v>
      </c>
      <c r="C61" s="42" t="s">
        <v>277</v>
      </c>
      <c r="D61" s="43">
        <v>13.0</v>
      </c>
      <c r="E61" s="44">
        <v>5.0</v>
      </c>
      <c r="F61" s="44">
        <v>4.0</v>
      </c>
      <c r="G61" s="44">
        <v>9.0</v>
      </c>
      <c r="H61" s="44">
        <v>0.111111111111111</v>
      </c>
      <c r="I61" s="45" t="b">
        <v>0</v>
      </c>
      <c r="J61" s="12" t="s">
        <v>369</v>
      </c>
      <c r="K61" s="12" t="s">
        <v>33</v>
      </c>
    </row>
    <row r="62">
      <c r="A62" s="42" t="s">
        <v>380</v>
      </c>
      <c r="B62" s="42" t="s">
        <v>242</v>
      </c>
      <c r="C62" s="42" t="s">
        <v>243</v>
      </c>
      <c r="D62" s="43">
        <v>13.0</v>
      </c>
      <c r="E62" s="44">
        <v>0.0</v>
      </c>
      <c r="F62" s="44">
        <v>6.0</v>
      </c>
      <c r="G62" s="44">
        <v>6.0</v>
      </c>
      <c r="H62" s="44">
        <v>1.0</v>
      </c>
      <c r="I62" s="45" t="b">
        <v>1</v>
      </c>
      <c r="J62" s="12" t="s">
        <v>338</v>
      </c>
      <c r="K62" s="12" t="s">
        <v>97</v>
      </c>
    </row>
    <row r="63">
      <c r="A63" s="42" t="s">
        <v>340</v>
      </c>
      <c r="B63" s="42" t="s">
        <v>127</v>
      </c>
      <c r="C63" s="42" t="s">
        <v>128</v>
      </c>
      <c r="D63" s="43">
        <v>13.0</v>
      </c>
      <c r="E63" s="44">
        <v>3.0</v>
      </c>
      <c r="F63" s="44">
        <v>0.0</v>
      </c>
      <c r="G63" s="44">
        <v>3.0</v>
      </c>
      <c r="H63" s="44">
        <v>1.0</v>
      </c>
      <c r="I63" s="45" t="b">
        <v>0</v>
      </c>
      <c r="J63" s="12" t="s">
        <v>338</v>
      </c>
      <c r="K63" s="12" t="s">
        <v>97</v>
      </c>
    </row>
    <row r="64">
      <c r="A64" s="42" t="s">
        <v>340</v>
      </c>
      <c r="B64" s="42" t="s">
        <v>193</v>
      </c>
      <c r="C64" s="42" t="s">
        <v>194</v>
      </c>
      <c r="D64" s="43">
        <v>13.0</v>
      </c>
      <c r="E64" s="44">
        <v>8.0</v>
      </c>
      <c r="F64" s="44">
        <v>1.0</v>
      </c>
      <c r="G64" s="44">
        <v>9.0</v>
      </c>
      <c r="H64" s="44">
        <v>0.777777777777777</v>
      </c>
      <c r="I64" s="45" t="b">
        <v>0</v>
      </c>
      <c r="J64" s="12" t="s">
        <v>347</v>
      </c>
      <c r="K64" s="12" t="s">
        <v>97</v>
      </c>
    </row>
    <row r="65">
      <c r="A65" s="42" t="s">
        <v>381</v>
      </c>
      <c r="B65" s="42" t="s">
        <v>173</v>
      </c>
      <c r="C65" s="42" t="s">
        <v>174</v>
      </c>
      <c r="D65" s="43">
        <v>13.0</v>
      </c>
      <c r="E65" s="44">
        <v>1.0</v>
      </c>
      <c r="F65" s="44">
        <v>4.0</v>
      </c>
      <c r="G65" s="44">
        <v>5.0</v>
      </c>
      <c r="H65" s="44">
        <v>0.6</v>
      </c>
      <c r="I65" s="45" t="b">
        <v>1</v>
      </c>
      <c r="J65" s="12" t="s">
        <v>354</v>
      </c>
      <c r="K65" s="12" t="s">
        <v>97</v>
      </c>
    </row>
    <row r="66">
      <c r="A66" s="42" t="s">
        <v>382</v>
      </c>
      <c r="B66" s="42" t="s">
        <v>118</v>
      </c>
      <c r="C66" s="42" t="s">
        <v>119</v>
      </c>
      <c r="D66" s="43">
        <v>13.0</v>
      </c>
      <c r="E66" s="44">
        <v>4.0</v>
      </c>
      <c r="F66" s="44">
        <v>1.0</v>
      </c>
      <c r="G66" s="44">
        <v>5.0</v>
      </c>
      <c r="H66" s="44">
        <v>0.6</v>
      </c>
      <c r="I66" s="45" t="b">
        <v>0</v>
      </c>
      <c r="J66" s="12" t="s">
        <v>354</v>
      </c>
      <c r="K66" s="12" t="s">
        <v>97</v>
      </c>
    </row>
    <row r="67">
      <c r="A67" s="42" t="s">
        <v>375</v>
      </c>
      <c r="B67" s="42" t="s">
        <v>272</v>
      </c>
      <c r="C67" s="42" t="s">
        <v>273</v>
      </c>
      <c r="D67" s="43">
        <v>13.0</v>
      </c>
      <c r="E67" s="44">
        <v>3.0</v>
      </c>
      <c r="F67" s="44">
        <v>6.0</v>
      </c>
      <c r="G67" s="44">
        <v>9.0</v>
      </c>
      <c r="H67" s="44">
        <v>0.333333333333333</v>
      </c>
      <c r="I67" s="45" t="b">
        <v>1</v>
      </c>
      <c r="J67" s="12" t="s">
        <v>362</v>
      </c>
      <c r="K67" s="12" t="s">
        <v>97</v>
      </c>
    </row>
    <row r="68">
      <c r="A68" s="42" t="s">
        <v>356</v>
      </c>
      <c r="B68" s="42" t="s">
        <v>264</v>
      </c>
      <c r="C68" s="42" t="s">
        <v>265</v>
      </c>
      <c r="D68" s="43">
        <v>13.0</v>
      </c>
      <c r="E68" s="44">
        <v>5.0</v>
      </c>
      <c r="F68" s="44">
        <v>4.0</v>
      </c>
      <c r="G68" s="44">
        <v>9.0</v>
      </c>
      <c r="H68" s="44">
        <v>0.111111111111111</v>
      </c>
      <c r="I68" s="45" t="b">
        <v>0</v>
      </c>
      <c r="J68" s="12" t="s">
        <v>369</v>
      </c>
      <c r="K68" s="12" t="s">
        <v>97</v>
      </c>
    </row>
    <row r="69">
      <c r="A69" s="42" t="s">
        <v>383</v>
      </c>
      <c r="B69" s="42" t="s">
        <v>284</v>
      </c>
      <c r="C69" s="42" t="s">
        <v>285</v>
      </c>
      <c r="D69" s="43">
        <v>13.0</v>
      </c>
      <c r="E69" s="44">
        <v>4.0</v>
      </c>
      <c r="F69" s="44">
        <v>5.0</v>
      </c>
      <c r="G69" s="44">
        <v>9.0</v>
      </c>
      <c r="H69" s="44">
        <v>0.111111111111111</v>
      </c>
      <c r="I69" s="45" t="b">
        <v>1</v>
      </c>
      <c r="J69" s="12" t="s">
        <v>369</v>
      </c>
      <c r="K69" s="12" t="s">
        <v>97</v>
      </c>
    </row>
    <row r="70">
      <c r="A70" s="42" t="s">
        <v>384</v>
      </c>
      <c r="B70" s="42" t="s">
        <v>98</v>
      </c>
      <c r="C70" s="42" t="s">
        <v>99</v>
      </c>
      <c r="D70" s="43">
        <v>13.0</v>
      </c>
      <c r="E70" s="44">
        <v>0.0</v>
      </c>
      <c r="F70" s="44">
        <v>10.0</v>
      </c>
      <c r="G70" s="44">
        <v>10.0</v>
      </c>
      <c r="H70" s="44">
        <v>1.0</v>
      </c>
      <c r="I70" s="45" t="b">
        <v>1</v>
      </c>
      <c r="J70" s="12" t="s">
        <v>338</v>
      </c>
      <c r="K70" s="12" t="s">
        <v>385</v>
      </c>
    </row>
    <row r="71">
      <c r="A71" s="42" t="s">
        <v>349</v>
      </c>
      <c r="B71" s="42" t="s">
        <v>150</v>
      </c>
      <c r="C71" s="42" t="s">
        <v>151</v>
      </c>
      <c r="D71" s="43">
        <v>13.0</v>
      </c>
      <c r="E71" s="44">
        <v>4.0</v>
      </c>
      <c r="F71" s="44">
        <v>0.0</v>
      </c>
      <c r="G71" s="44">
        <v>4.0</v>
      </c>
      <c r="H71" s="44">
        <v>1.0</v>
      </c>
      <c r="I71" s="45" t="b">
        <v>0</v>
      </c>
      <c r="J71" s="12" t="s">
        <v>338</v>
      </c>
      <c r="K71" s="12" t="s">
        <v>385</v>
      </c>
    </row>
    <row r="72">
      <c r="A72" s="42" t="s">
        <v>371</v>
      </c>
      <c r="B72" s="42" t="s">
        <v>146</v>
      </c>
      <c r="C72" s="42" t="s">
        <v>147</v>
      </c>
      <c r="D72" s="43">
        <v>13.0</v>
      </c>
      <c r="E72" s="44">
        <v>1.0</v>
      </c>
      <c r="F72" s="44">
        <v>8.0</v>
      </c>
      <c r="G72" s="44">
        <v>9.0</v>
      </c>
      <c r="H72" s="44">
        <v>0.777777777777777</v>
      </c>
      <c r="I72" s="45" t="b">
        <v>1</v>
      </c>
      <c r="J72" s="12" t="s">
        <v>347</v>
      </c>
      <c r="K72" s="12" t="s">
        <v>385</v>
      </c>
    </row>
    <row r="73">
      <c r="A73" s="42" t="s">
        <v>381</v>
      </c>
      <c r="B73" s="42" t="s">
        <v>278</v>
      </c>
      <c r="C73" s="42" t="s">
        <v>279</v>
      </c>
      <c r="D73" s="43">
        <v>13.0</v>
      </c>
      <c r="E73" s="44">
        <v>2.0</v>
      </c>
      <c r="F73" s="44">
        <v>7.0</v>
      </c>
      <c r="G73" s="44">
        <v>9.0</v>
      </c>
      <c r="H73" s="44">
        <v>0.555555555555555</v>
      </c>
      <c r="I73" s="45" t="b">
        <v>1</v>
      </c>
      <c r="J73" s="12" t="s">
        <v>354</v>
      </c>
      <c r="K73" s="12" t="s">
        <v>385</v>
      </c>
    </row>
    <row r="74">
      <c r="A74" s="42" t="s">
        <v>386</v>
      </c>
      <c r="B74" s="42" t="s">
        <v>124</v>
      </c>
      <c r="C74" s="42" t="s">
        <v>125</v>
      </c>
      <c r="D74" s="43">
        <v>13.0</v>
      </c>
      <c r="E74" s="44">
        <v>3.0</v>
      </c>
      <c r="F74" s="44">
        <v>1.0</v>
      </c>
      <c r="G74" s="44">
        <v>4.0</v>
      </c>
      <c r="H74" s="44">
        <v>0.5</v>
      </c>
      <c r="I74" s="45" t="b">
        <v>0</v>
      </c>
      <c r="J74" s="12" t="s">
        <v>354</v>
      </c>
      <c r="K74" s="12" t="s">
        <v>385</v>
      </c>
    </row>
    <row r="75">
      <c r="A75" s="42" t="s">
        <v>340</v>
      </c>
      <c r="B75" s="42" t="s">
        <v>95</v>
      </c>
      <c r="C75" s="42" t="s">
        <v>96</v>
      </c>
      <c r="D75" s="43">
        <v>13.0</v>
      </c>
      <c r="E75" s="44">
        <v>6.0</v>
      </c>
      <c r="F75" s="44">
        <v>3.0</v>
      </c>
      <c r="G75" s="44">
        <v>9.0</v>
      </c>
      <c r="H75" s="44">
        <v>0.333333333333333</v>
      </c>
      <c r="I75" s="45" t="b">
        <v>0</v>
      </c>
      <c r="J75" s="12" t="s">
        <v>362</v>
      </c>
      <c r="K75" s="12" t="s">
        <v>385</v>
      </c>
    </row>
    <row r="76">
      <c r="A76" s="42" t="s">
        <v>386</v>
      </c>
      <c r="B76" s="42" t="s">
        <v>289</v>
      </c>
      <c r="C76" s="42" t="s">
        <v>290</v>
      </c>
      <c r="D76" s="43">
        <v>13.0</v>
      </c>
      <c r="E76" s="44">
        <v>4.0</v>
      </c>
      <c r="F76" s="44">
        <v>5.0</v>
      </c>
      <c r="G76" s="44">
        <v>9.0</v>
      </c>
      <c r="H76" s="44">
        <v>0.111111111111111</v>
      </c>
      <c r="I76" s="45" t="b">
        <v>1</v>
      </c>
      <c r="J76" s="12" t="s">
        <v>369</v>
      </c>
      <c r="K76" s="12" t="s">
        <v>385</v>
      </c>
    </row>
    <row r="77">
      <c r="A77" s="42" t="s">
        <v>382</v>
      </c>
      <c r="B77" s="42" t="s">
        <v>189</v>
      </c>
      <c r="C77" s="42" t="s">
        <v>190</v>
      </c>
      <c r="D77" s="43">
        <v>13.0</v>
      </c>
      <c r="E77" s="44">
        <v>5.0</v>
      </c>
      <c r="F77" s="44">
        <v>4.0</v>
      </c>
      <c r="G77" s="44">
        <v>9.0</v>
      </c>
      <c r="H77" s="44">
        <v>0.111111111111111</v>
      </c>
      <c r="I77" s="45" t="b">
        <v>0</v>
      </c>
      <c r="J77" s="12" t="s">
        <v>369</v>
      </c>
      <c r="K77" s="12" t="s">
        <v>385</v>
      </c>
    </row>
    <row r="78">
      <c r="A78" s="42" t="s">
        <v>387</v>
      </c>
      <c r="B78" s="42" t="s">
        <v>212</v>
      </c>
      <c r="C78" s="42" t="s">
        <v>213</v>
      </c>
      <c r="D78" s="43">
        <v>13.0</v>
      </c>
      <c r="E78" s="44">
        <v>1.0</v>
      </c>
      <c r="F78" s="44">
        <v>8.0</v>
      </c>
      <c r="G78" s="44">
        <v>9.0</v>
      </c>
      <c r="H78" s="44">
        <v>0.777777777777777</v>
      </c>
      <c r="I78" s="45" t="b">
        <v>1</v>
      </c>
      <c r="J78" s="12" t="s">
        <v>347</v>
      </c>
      <c r="K78" s="12" t="s">
        <v>388</v>
      </c>
    </row>
    <row r="79">
      <c r="A79" s="42" t="s">
        <v>357</v>
      </c>
      <c r="B79" s="42" t="s">
        <v>228</v>
      </c>
      <c r="C79" s="42" t="s">
        <v>229</v>
      </c>
      <c r="D79" s="43">
        <v>13.0</v>
      </c>
      <c r="E79" s="44">
        <v>8.0</v>
      </c>
      <c r="F79" s="44">
        <v>1.0</v>
      </c>
      <c r="G79" s="44">
        <v>9.0</v>
      </c>
      <c r="H79" s="44">
        <v>0.777777777777777</v>
      </c>
      <c r="I79" s="45" t="b">
        <v>0</v>
      </c>
      <c r="J79" s="12" t="s">
        <v>347</v>
      </c>
      <c r="K79" s="12" t="s">
        <v>388</v>
      </c>
    </row>
    <row r="80">
      <c r="A80" s="42" t="s">
        <v>349</v>
      </c>
      <c r="B80" s="42" t="s">
        <v>129</v>
      </c>
      <c r="C80" s="42" t="s">
        <v>130</v>
      </c>
      <c r="D80" s="43">
        <v>13.0</v>
      </c>
      <c r="E80" s="44">
        <v>1.0</v>
      </c>
      <c r="F80" s="44">
        <v>8.0</v>
      </c>
      <c r="G80" s="44">
        <v>9.0</v>
      </c>
      <c r="H80" s="44">
        <v>0.777777777777777</v>
      </c>
      <c r="I80" s="45" t="b">
        <v>1</v>
      </c>
      <c r="J80" s="12" t="s">
        <v>347</v>
      </c>
      <c r="K80" s="12" t="s">
        <v>388</v>
      </c>
    </row>
    <row r="81">
      <c r="A81" s="42" t="s">
        <v>357</v>
      </c>
      <c r="B81" s="42" t="s">
        <v>216</v>
      </c>
      <c r="C81" s="42" t="s">
        <v>217</v>
      </c>
      <c r="D81" s="43">
        <v>13.0</v>
      </c>
      <c r="E81" s="44">
        <v>8.0</v>
      </c>
      <c r="F81" s="44">
        <v>1.0</v>
      </c>
      <c r="G81" s="44">
        <v>9.0</v>
      </c>
      <c r="H81" s="44">
        <v>0.777777777777777</v>
      </c>
      <c r="I81" s="45" t="b">
        <v>0</v>
      </c>
      <c r="J81" s="12" t="s">
        <v>347</v>
      </c>
      <c r="K81" s="12" t="s">
        <v>388</v>
      </c>
    </row>
    <row r="82">
      <c r="A82" s="42" t="s">
        <v>389</v>
      </c>
      <c r="B82" s="42" t="s">
        <v>183</v>
      </c>
      <c r="C82" s="42" t="s">
        <v>184</v>
      </c>
      <c r="D82" s="43">
        <v>13.0</v>
      </c>
      <c r="E82" s="44">
        <v>2.0</v>
      </c>
      <c r="F82" s="44">
        <v>1.0</v>
      </c>
      <c r="G82" s="44">
        <v>3.0</v>
      </c>
      <c r="H82" s="44">
        <v>0.333333333333333</v>
      </c>
      <c r="I82" s="45" t="b">
        <v>0</v>
      </c>
      <c r="J82" s="12" t="s">
        <v>362</v>
      </c>
      <c r="K82" s="12" t="s">
        <v>388</v>
      </c>
    </row>
    <row r="83">
      <c r="A83" s="42" t="s">
        <v>344</v>
      </c>
      <c r="B83" s="42" t="s">
        <v>166</v>
      </c>
      <c r="C83" s="42" t="s">
        <v>167</v>
      </c>
      <c r="D83" s="43">
        <v>13.0</v>
      </c>
      <c r="E83" s="44">
        <v>1.0</v>
      </c>
      <c r="F83" s="44">
        <v>2.0</v>
      </c>
      <c r="G83" s="44">
        <v>3.0</v>
      </c>
      <c r="H83" s="44">
        <v>0.333333333333333</v>
      </c>
      <c r="I83" s="45" t="b">
        <v>1</v>
      </c>
      <c r="J83" s="12" t="s">
        <v>362</v>
      </c>
      <c r="K83" s="12" t="s">
        <v>388</v>
      </c>
    </row>
    <row r="84">
      <c r="A84" s="42" t="s">
        <v>382</v>
      </c>
      <c r="B84" s="42" t="s">
        <v>202</v>
      </c>
      <c r="C84" s="42" t="s">
        <v>203</v>
      </c>
      <c r="D84" s="43">
        <v>13.0</v>
      </c>
      <c r="E84" s="44">
        <v>3.0</v>
      </c>
      <c r="F84" s="44">
        <v>6.0</v>
      </c>
      <c r="G84" s="44">
        <v>9.0</v>
      </c>
      <c r="H84" s="44">
        <v>0.333333333333333</v>
      </c>
      <c r="I84" s="45" t="b">
        <v>1</v>
      </c>
      <c r="J84" s="12" t="s">
        <v>362</v>
      </c>
      <c r="K84" s="12" t="s">
        <v>388</v>
      </c>
    </row>
    <row r="85">
      <c r="A85" s="42" t="s">
        <v>355</v>
      </c>
      <c r="B85" s="42" t="s">
        <v>250</v>
      </c>
      <c r="C85" s="42" t="s">
        <v>251</v>
      </c>
      <c r="D85" s="43">
        <v>13.0</v>
      </c>
      <c r="E85" s="44">
        <v>4.0</v>
      </c>
      <c r="F85" s="44">
        <v>2.0</v>
      </c>
      <c r="G85" s="44">
        <v>6.0</v>
      </c>
      <c r="H85" s="44">
        <v>0.333333333333333</v>
      </c>
      <c r="I85" s="45" t="b">
        <v>0</v>
      </c>
      <c r="J85" s="12" t="s">
        <v>362</v>
      </c>
      <c r="K85" s="12" t="s">
        <v>388</v>
      </c>
    </row>
    <row r="86">
      <c r="A86" s="42" t="s">
        <v>349</v>
      </c>
      <c r="B86" s="42" t="s">
        <v>256</v>
      </c>
      <c r="C86" s="42" t="s">
        <v>257</v>
      </c>
      <c r="D86" s="43">
        <v>13.0</v>
      </c>
      <c r="E86" s="44">
        <v>3.0</v>
      </c>
      <c r="F86" s="44">
        <v>0.0</v>
      </c>
      <c r="G86" s="44">
        <v>3.0</v>
      </c>
      <c r="H86" s="44">
        <v>1.0</v>
      </c>
      <c r="I86" s="45" t="b">
        <v>0</v>
      </c>
      <c r="J86" s="12" t="s">
        <v>338</v>
      </c>
      <c r="K86" s="12" t="s">
        <v>390</v>
      </c>
    </row>
    <row r="87">
      <c r="A87" s="42" t="s">
        <v>349</v>
      </c>
      <c r="B87" s="42" t="s">
        <v>266</v>
      </c>
      <c r="C87" s="42" t="s">
        <v>267</v>
      </c>
      <c r="D87" s="43">
        <v>13.0</v>
      </c>
      <c r="E87" s="44">
        <v>0.0</v>
      </c>
      <c r="F87" s="44">
        <v>3.0</v>
      </c>
      <c r="G87" s="44">
        <v>3.0</v>
      </c>
      <c r="H87" s="44">
        <v>1.0</v>
      </c>
      <c r="I87" s="45" t="b">
        <v>1</v>
      </c>
      <c r="J87" s="12" t="s">
        <v>338</v>
      </c>
      <c r="K87" s="12" t="s">
        <v>390</v>
      </c>
    </row>
    <row r="88">
      <c r="A88" s="42" t="s">
        <v>344</v>
      </c>
      <c r="B88" s="42" t="s">
        <v>179</v>
      </c>
      <c r="C88" s="42" t="s">
        <v>180</v>
      </c>
      <c r="D88" s="43">
        <v>13.0</v>
      </c>
      <c r="E88" s="44">
        <v>7.0</v>
      </c>
      <c r="F88" s="44">
        <v>2.0</v>
      </c>
      <c r="G88" s="44">
        <v>9.0</v>
      </c>
      <c r="H88" s="44">
        <v>0.555555555555555</v>
      </c>
      <c r="I88" s="45" t="b">
        <v>0</v>
      </c>
      <c r="J88" s="12" t="s">
        <v>354</v>
      </c>
      <c r="K88" s="12" t="s">
        <v>390</v>
      </c>
    </row>
    <row r="89">
      <c r="A89" s="42" t="s">
        <v>344</v>
      </c>
      <c r="B89" s="42" t="s">
        <v>280</v>
      </c>
      <c r="C89" s="42" t="s">
        <v>281</v>
      </c>
      <c r="D89" s="43">
        <v>13.0</v>
      </c>
      <c r="E89" s="44">
        <v>7.0</v>
      </c>
      <c r="F89" s="44">
        <v>2.0</v>
      </c>
      <c r="G89" s="44">
        <v>9.0</v>
      </c>
      <c r="H89" s="44">
        <v>0.555555555555555</v>
      </c>
      <c r="I89" s="45" t="b">
        <v>0</v>
      </c>
      <c r="J89" s="12" t="s">
        <v>354</v>
      </c>
      <c r="K89" s="12" t="s">
        <v>390</v>
      </c>
    </row>
    <row r="90">
      <c r="A90" s="42" t="s">
        <v>379</v>
      </c>
      <c r="B90" s="42" t="s">
        <v>133</v>
      </c>
      <c r="C90" s="42" t="s">
        <v>134</v>
      </c>
      <c r="D90" s="43">
        <v>13.0</v>
      </c>
      <c r="E90" s="44">
        <v>1.0</v>
      </c>
      <c r="F90" s="44">
        <v>3.0</v>
      </c>
      <c r="G90" s="44">
        <v>4.0</v>
      </c>
      <c r="H90" s="44">
        <v>0.5</v>
      </c>
      <c r="I90" s="45" t="b">
        <v>1</v>
      </c>
      <c r="J90" s="12" t="s">
        <v>354</v>
      </c>
      <c r="K90" s="12" t="s">
        <v>390</v>
      </c>
    </row>
    <row r="91">
      <c r="A91" s="42" t="s">
        <v>349</v>
      </c>
      <c r="B91" s="42" t="s">
        <v>252</v>
      </c>
      <c r="C91" s="42" t="s">
        <v>253</v>
      </c>
      <c r="D91" s="43">
        <v>13.0</v>
      </c>
      <c r="E91" s="44">
        <v>1.0</v>
      </c>
      <c r="F91" s="44">
        <v>3.0</v>
      </c>
      <c r="G91" s="44">
        <v>4.0</v>
      </c>
      <c r="H91" s="44">
        <v>0.5</v>
      </c>
      <c r="I91" s="45" t="b">
        <v>1</v>
      </c>
      <c r="J91" s="12" t="s">
        <v>354</v>
      </c>
      <c r="K91" s="12" t="s">
        <v>390</v>
      </c>
    </row>
    <row r="92">
      <c r="A92" s="42" t="s">
        <v>391</v>
      </c>
      <c r="B92" s="42" t="s">
        <v>268</v>
      </c>
      <c r="C92" s="42" t="s">
        <v>269</v>
      </c>
      <c r="D92" s="43">
        <v>13.0</v>
      </c>
      <c r="E92" s="44">
        <v>4.0</v>
      </c>
      <c r="F92" s="44">
        <v>5.0</v>
      </c>
      <c r="G92" s="44">
        <v>9.0</v>
      </c>
      <c r="H92" s="44">
        <v>0.111111111111111</v>
      </c>
      <c r="I92" s="45" t="b">
        <v>1</v>
      </c>
      <c r="J92" s="12" t="s">
        <v>369</v>
      </c>
      <c r="K92" s="12" t="s">
        <v>390</v>
      </c>
    </row>
    <row r="93">
      <c r="A93" s="42" t="s">
        <v>392</v>
      </c>
      <c r="B93" s="42" t="s">
        <v>142</v>
      </c>
      <c r="C93" s="42" t="s">
        <v>143</v>
      </c>
      <c r="D93" s="43">
        <v>13.0</v>
      </c>
      <c r="E93" s="44">
        <v>5.0</v>
      </c>
      <c r="F93" s="44">
        <v>4.0</v>
      </c>
      <c r="G93" s="44">
        <v>9.0</v>
      </c>
      <c r="H93" s="44">
        <v>0.111111111111111</v>
      </c>
      <c r="I93" s="45" t="b">
        <v>0</v>
      </c>
      <c r="J93" s="12" t="s">
        <v>369</v>
      </c>
      <c r="K93" s="12" t="s">
        <v>390</v>
      </c>
    </row>
    <row r="94">
      <c r="A94" s="42" t="s">
        <v>377</v>
      </c>
      <c r="B94" s="42" t="s">
        <v>235</v>
      </c>
      <c r="C94" s="42" t="s">
        <v>236</v>
      </c>
      <c r="D94" s="43">
        <v>13.0</v>
      </c>
      <c r="E94" s="44">
        <v>0.0</v>
      </c>
      <c r="F94" s="44">
        <v>9.0</v>
      </c>
      <c r="G94" s="44">
        <v>9.0</v>
      </c>
      <c r="H94" s="44">
        <v>1.0</v>
      </c>
      <c r="I94" s="45" t="b">
        <v>1</v>
      </c>
      <c r="J94" s="12" t="s">
        <v>338</v>
      </c>
      <c r="K94" s="12" t="s">
        <v>241</v>
      </c>
    </row>
    <row r="95">
      <c r="A95" s="42" t="s">
        <v>350</v>
      </c>
      <c r="B95" s="42" t="s">
        <v>93</v>
      </c>
      <c r="C95" s="42" t="s">
        <v>94</v>
      </c>
      <c r="D95" s="43">
        <v>13.0</v>
      </c>
      <c r="E95" s="44">
        <v>3.0</v>
      </c>
      <c r="F95" s="44">
        <v>0.0</v>
      </c>
      <c r="G95" s="44">
        <v>3.0</v>
      </c>
      <c r="H95" s="44">
        <v>1.0</v>
      </c>
      <c r="I95" s="45" t="b">
        <v>0</v>
      </c>
      <c r="J95" s="12" t="s">
        <v>338</v>
      </c>
      <c r="K95" s="12" t="s">
        <v>241</v>
      </c>
    </row>
    <row r="96">
      <c r="A96" s="42" t="s">
        <v>393</v>
      </c>
      <c r="B96" s="42" t="s">
        <v>181</v>
      </c>
      <c r="C96" s="42" t="s">
        <v>182</v>
      </c>
      <c r="D96" s="43">
        <v>13.0</v>
      </c>
      <c r="E96" s="44">
        <v>1.0</v>
      </c>
      <c r="F96" s="44">
        <v>8.0</v>
      </c>
      <c r="G96" s="44">
        <v>9.0</v>
      </c>
      <c r="H96" s="44">
        <v>0.777777777777777</v>
      </c>
      <c r="I96" s="45" t="b">
        <v>1</v>
      </c>
      <c r="J96" s="12" t="s">
        <v>347</v>
      </c>
      <c r="K96" s="12" t="s">
        <v>241</v>
      </c>
    </row>
    <row r="97">
      <c r="A97" s="42" t="s">
        <v>386</v>
      </c>
      <c r="B97" s="42" t="s">
        <v>175</v>
      </c>
      <c r="C97" s="42" t="s">
        <v>176</v>
      </c>
      <c r="D97" s="43">
        <v>13.0</v>
      </c>
      <c r="E97" s="44">
        <v>8.0</v>
      </c>
      <c r="F97" s="44">
        <v>1.0</v>
      </c>
      <c r="G97" s="44">
        <v>9.0</v>
      </c>
      <c r="H97" s="44">
        <v>0.777777777777777</v>
      </c>
      <c r="I97" s="45" t="b">
        <v>0</v>
      </c>
      <c r="J97" s="12" t="s">
        <v>347</v>
      </c>
      <c r="K97" s="12" t="s">
        <v>241</v>
      </c>
    </row>
    <row r="98">
      <c r="A98" s="42" t="s">
        <v>363</v>
      </c>
      <c r="B98" s="42" t="s">
        <v>230</v>
      </c>
      <c r="C98" s="42" t="s">
        <v>231</v>
      </c>
      <c r="D98" s="43">
        <v>13.0</v>
      </c>
      <c r="E98" s="44">
        <v>6.0</v>
      </c>
      <c r="F98" s="44">
        <v>3.0</v>
      </c>
      <c r="G98" s="44">
        <v>9.0</v>
      </c>
      <c r="H98" s="44">
        <v>0.333333333333333</v>
      </c>
      <c r="I98" s="45" t="b">
        <v>0</v>
      </c>
      <c r="J98" s="12" t="s">
        <v>362</v>
      </c>
      <c r="K98" s="12" t="s">
        <v>241</v>
      </c>
    </row>
    <row r="99">
      <c r="A99" s="42" t="s">
        <v>384</v>
      </c>
      <c r="B99" s="42" t="s">
        <v>221</v>
      </c>
      <c r="C99" s="42" t="s">
        <v>222</v>
      </c>
      <c r="D99" s="43">
        <v>13.0</v>
      </c>
      <c r="E99" s="44">
        <v>1.0</v>
      </c>
      <c r="F99" s="44">
        <v>2.0</v>
      </c>
      <c r="G99" s="44">
        <v>3.0</v>
      </c>
      <c r="H99" s="44">
        <v>0.333333333333333</v>
      </c>
      <c r="I99" s="45" t="b">
        <v>1</v>
      </c>
      <c r="J99" s="12" t="s">
        <v>362</v>
      </c>
      <c r="K99" s="12" t="s">
        <v>241</v>
      </c>
    </row>
    <row r="100">
      <c r="A100" s="42" t="s">
        <v>371</v>
      </c>
      <c r="B100" s="42" t="s">
        <v>209</v>
      </c>
      <c r="C100" s="42" t="s">
        <v>210</v>
      </c>
      <c r="D100" s="43">
        <v>13.0</v>
      </c>
      <c r="E100" s="44">
        <v>4.0</v>
      </c>
      <c r="F100" s="44">
        <v>5.0</v>
      </c>
      <c r="G100" s="44">
        <v>9.0</v>
      </c>
      <c r="H100" s="44">
        <v>0.111111111111111</v>
      </c>
      <c r="I100" s="45" t="b">
        <v>1</v>
      </c>
      <c r="J100" s="12" t="s">
        <v>369</v>
      </c>
      <c r="K100" s="12" t="s">
        <v>241</v>
      </c>
    </row>
    <row r="101">
      <c r="A101" s="42" t="s">
        <v>382</v>
      </c>
      <c r="B101" s="42" t="s">
        <v>102</v>
      </c>
      <c r="C101" s="42" t="s">
        <v>103</v>
      </c>
      <c r="D101" s="43">
        <v>13.0</v>
      </c>
      <c r="E101" s="44">
        <v>5.0</v>
      </c>
      <c r="F101" s="44">
        <v>4.0</v>
      </c>
      <c r="G101" s="44">
        <v>9.0</v>
      </c>
      <c r="H101" s="44">
        <v>0.111111111111111</v>
      </c>
      <c r="I101" s="45" t="b">
        <v>0</v>
      </c>
      <c r="J101" s="12" t="s">
        <v>369</v>
      </c>
      <c r="K101" s="12" t="s">
        <v>241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39.75"/>
  </cols>
  <sheetData>
    <row r="1">
      <c r="A1" s="29" t="s">
        <v>78</v>
      </c>
      <c r="B1" s="30" t="s">
        <v>79</v>
      </c>
      <c r="C1" s="46" t="s">
        <v>394</v>
      </c>
      <c r="D1" s="47" t="s">
        <v>50</v>
      </c>
      <c r="E1" s="46" t="s">
        <v>51</v>
      </c>
      <c r="F1" s="46" t="s">
        <v>52</v>
      </c>
      <c r="G1" s="46" t="s">
        <v>53</v>
      </c>
      <c r="H1" s="47" t="s">
        <v>54</v>
      </c>
      <c r="I1" s="48" t="s">
        <v>395</v>
      </c>
      <c r="J1" s="47" t="s">
        <v>50</v>
      </c>
      <c r="K1" s="46" t="s">
        <v>51</v>
      </c>
      <c r="L1" s="46" t="s">
        <v>52</v>
      </c>
      <c r="M1" s="46" t="s">
        <v>53</v>
      </c>
      <c r="N1" s="47" t="s">
        <v>54</v>
      </c>
      <c r="O1" s="48" t="s">
        <v>396</v>
      </c>
      <c r="P1" s="48" t="str">
        <f t="array" ref="P1:P101">O:O</f>
        <v>Comments</v>
      </c>
      <c r="Q1" s="49" t="s">
        <v>397</v>
      </c>
      <c r="R1" s="23" t="s">
        <v>398</v>
      </c>
      <c r="S1" s="23" t="s">
        <v>399</v>
      </c>
    </row>
    <row r="2">
      <c r="A2" s="12" t="str">
        <f>IFERROR(__xludf.DUMMYFUNCTION("QUERY(Source!B2:C101,""SELECT B, C"", 1)"),"4d61af08bc277e91c8f6e284f03ee85d")</f>
        <v>4d61af08bc277e91c8f6e284f03ee85d</v>
      </c>
      <c r="B2" s="12" t="str">
        <f>IFERROR(__xludf.DUMMYFUNCTION("""COMPUTED_VALUE"""),"Countries pointed out that given the small number of officials working on climate finance in national ministries, just one staff member working on tracking and monitoring would be a large proportion of their human resources. Developed countries have commi"&amp;"tted to provide financial support to cover the full cost incurred by developing countries in complying with reporting duties towards the UNFCCC16. For example, as part of national Climate Public Expenditure and Institutional Reviews (CPEIRs), a group of i"&amp;"nternational organisations and research institutes are collaborating to assist countries in tracking climate finance across national budgets. It was widely recognised that tracking flows to a certain level of granularity is also a pre-condition for monito"&amp;"ring outcomes and outputs.")</f>
        <v>Countries pointed out that given the small number of officials working on climate finance in national ministries, just one staff member working on tracking and monitoring would be a large proportion of their human resources. Developed countries have committed to provide financial support to cover the full cost incurred by developing countries in complying with reporting duties towards the UNFCCC16. For example, as part of national Climate Public Expenditure and Institutional Reviews (CPEIRs), a group of international organisations and research institutes are collaborating to assist countries in tracking climate finance across national budgets. It was widely recognised that tracking flows to a certain level of granularity is also a pre-condition for monitoring outcomes and outputs.</v>
      </c>
      <c r="C2" s="50"/>
      <c r="D2" s="50" t="b">
        <f t="shared" ref="D2:H2" si="1">VLOOKUP($A2, INDIRECT(D$1&amp;"!A:C"), 3, FALSE)</f>
        <v>1</v>
      </c>
      <c r="E2" s="50" t="str">
        <f t="shared" si="1"/>
        <v>TO DO</v>
      </c>
      <c r="F2" s="50" t="str">
        <f t="shared" si="1"/>
        <v>TO DO</v>
      </c>
      <c r="G2" s="50" t="b">
        <f t="shared" si="1"/>
        <v>0</v>
      </c>
      <c r="H2" s="50" t="b">
        <f t="shared" si="1"/>
        <v>1</v>
      </c>
      <c r="I2" s="51">
        <f t="shared" ref="I2:I101" si="4">IF(COUNTA(D2:H2)=COUNTIF(D2:H2, "TO DO"), 0, ABS((COUNTIF(D2:H2,"TRUE")-COUNTIF(D2:H2, "FALSE")) / (COUNTA(D2:H2)-COUNTIF(D2:H2, "TO DO"))))</f>
        <v>0.3333333333</v>
      </c>
      <c r="J2" s="52" t="str">
        <f t="shared" ref="J2:N2" si="2">VLOOKUP($A2, INDIRECT(J$1&amp;"!A:D"), 4, FALSE)</f>
        <v/>
      </c>
      <c r="K2" s="52" t="str">
        <f t="shared" si="2"/>
        <v/>
      </c>
      <c r="L2" s="52" t="str">
        <f t="shared" si="2"/>
        <v/>
      </c>
      <c r="M2" s="52" t="str">
        <f t="shared" si="2"/>
        <v/>
      </c>
      <c r="N2" s="52" t="str">
        <f t="shared" si="2"/>
        <v/>
      </c>
      <c r="O2" s="51" t="str">
        <f>IFERROR(__xludf.DUMMYFUNCTION("IF(COUNTA(J2:N2)=0, """", ARRAYFORMULA(""- ""&amp;TEXTJOIN(char(10)&amp;""- "", TRUE, FILTER(J$1:N$1&amp;"": ""&amp;J2:N2, NOT(ISBLANK(J2:N2))))))"),"")</f>
        <v/>
      </c>
      <c r="P2" s="51" t="s">
        <v>400</v>
      </c>
      <c r="Q2" s="53" t="s">
        <v>401</v>
      </c>
    </row>
    <row r="3">
      <c r="A3" s="12" t="str">
        <f>IFERROR(__xludf.DUMMYFUNCTION("""COMPUTED_VALUE"""),"5c64ceedeb69f1fbb2344dcd30e66847")</f>
        <v>5c64ceedeb69f1fbb2344dcd30e66847</v>
      </c>
      <c r="B3" s="12" t="str">
        <f>IFERROR(__xludf.DUMMYFUNCTION("""COMPUTED_VALUE"""),"Moreover, Huechuan and Guzman (2007) argue that the probability of not having sufficient income and belonging to a poor household increases in old age. In other words, old age entails greater fragility. Nonetheless, as noted in chapter VI, older adults ar"&amp;"e more vulnerable because they do not form part of the economically active population and would not be able to participate in public employment programmes that require physical strength, such as clearing rubble and constructing public works.")</f>
        <v>Moreover, Huechuan and Guzman (2007) argue that the probability of not having sufficient income and belonging to a poor household increases in old age. In other words, old age entails greater fragility. Nonetheless, as noted in chapter VI, older adults are more vulnerable because they do not form part of the economically active population and would not be able to participate in public employment programmes that require physical strength, such as clearing rubble and constructing public works.</v>
      </c>
      <c r="C3" s="7"/>
      <c r="D3" s="50" t="b">
        <f t="shared" ref="D3:H3" si="3">VLOOKUP($A3, INDIRECT(D$1&amp;"!A:C"), 3, FALSE)</f>
        <v>0</v>
      </c>
      <c r="E3" s="50" t="str">
        <f t="shared" si="3"/>
        <v>TO DO</v>
      </c>
      <c r="F3" s="50" t="str">
        <f t="shared" si="3"/>
        <v>TO DO</v>
      </c>
      <c r="G3" s="50" t="b">
        <f t="shared" si="3"/>
        <v>0</v>
      </c>
      <c r="H3" s="50" t="b">
        <f t="shared" si="3"/>
        <v>0</v>
      </c>
      <c r="I3" s="51">
        <f t="shared" si="4"/>
        <v>1</v>
      </c>
      <c r="J3" s="52" t="str">
        <f t="shared" ref="J3:N3" si="5">VLOOKUP($A3, INDIRECT(J$1&amp;"!A:D"), 4, FALSE)</f>
        <v/>
      </c>
      <c r="K3" s="52" t="str">
        <f t="shared" si="5"/>
        <v/>
      </c>
      <c r="L3" s="52" t="str">
        <f t="shared" si="5"/>
        <v/>
      </c>
      <c r="M3" s="52" t="str">
        <f t="shared" si="5"/>
        <v/>
      </c>
      <c r="N3" s="52" t="str">
        <f t="shared" si="5"/>
        <v/>
      </c>
      <c r="O3" s="51" t="str">
        <f>IFERROR(__xludf.DUMMYFUNCTION("IF(COUNTA(J3:N3)=0, """", ARRAYFORMULA(""- ""&amp;TEXTJOIN(char(10)&amp;""- "", TRUE, FILTER(J$1:N$1&amp;"": ""&amp;J3:N3, NOT(ISBLANK(J3:N3))))))"),"")</f>
        <v/>
      </c>
      <c r="P3" s="51" t="s">
        <v>400</v>
      </c>
      <c r="Q3" s="53" t="s">
        <v>402</v>
      </c>
    </row>
    <row r="4">
      <c r="A4" s="12" t="str">
        <f>IFERROR(__xludf.DUMMYFUNCTION("""COMPUTED_VALUE"""),"701b01382264358af6eecebbabe5d716")</f>
        <v>701b01382264358af6eecebbabe5d716</v>
      </c>
      <c r="B4" s="12" t="str">
        <f>IFERROR(__xludf.DUMMYFUNCTION("""COMPUTED_VALUE"""),"Authorship is usually collective, but principal authors are named. Some programmes have multiple donors, in which case they have been recorded under the agency that supplied the document. Some projects and programmes only have ex ante evaluations, others "&amp;"have ex ante and ex post evaluations as well as a number of intermediate reviews. This is in part due to the timing of the projects.")</f>
        <v>Authorship is usually collective, but principal authors are named. Some programmes have multiple donors, in which case they have been recorded under the agency that supplied the document. Some projects and programmes only have ex ante evaluations, others have ex ante and ex post evaluations as well as a number of intermediate reviews. This is in part due to the timing of the projects.</v>
      </c>
      <c r="C4" s="50"/>
      <c r="D4" s="50" t="b">
        <f t="shared" ref="D4:H4" si="6">VLOOKUP($A4, INDIRECT(D$1&amp;"!A:C"), 3, FALSE)</f>
        <v>0</v>
      </c>
      <c r="E4" s="50" t="str">
        <f t="shared" si="6"/>
        <v>TO DO</v>
      </c>
      <c r="F4" s="50" t="str">
        <f t="shared" si="6"/>
        <v>TO DO</v>
      </c>
      <c r="G4" s="50" t="b">
        <f t="shared" si="6"/>
        <v>0</v>
      </c>
      <c r="H4" s="50" t="b">
        <f t="shared" si="6"/>
        <v>0</v>
      </c>
      <c r="I4" s="51">
        <f t="shared" si="4"/>
        <v>1</v>
      </c>
      <c r="J4" s="52" t="str">
        <f t="shared" ref="J4:N4" si="7">VLOOKUP($A4, INDIRECT(J$1&amp;"!A:D"), 4, FALSE)</f>
        <v/>
      </c>
      <c r="K4" s="52" t="str">
        <f t="shared" si="7"/>
        <v/>
      </c>
      <c r="L4" s="52" t="str">
        <f t="shared" si="7"/>
        <v/>
      </c>
      <c r="M4" s="52" t="str">
        <f t="shared" si="7"/>
        <v/>
      </c>
      <c r="N4" s="52" t="str">
        <f t="shared" si="7"/>
        <v/>
      </c>
      <c r="O4" s="51" t="str">
        <f>IFERROR(__xludf.DUMMYFUNCTION("IF(COUNTA(J4:N4)=0, """", ARRAYFORMULA(""- ""&amp;TEXTJOIN(char(10)&amp;""- "", TRUE, FILTER(J$1:N$1&amp;"": ""&amp;J4:N4, NOT(ISBLANK(J4:N4))))))"),"")</f>
        <v/>
      </c>
      <c r="P4" s="51" t="s">
        <v>400</v>
      </c>
      <c r="Q4" s="53" t="s">
        <v>402</v>
      </c>
    </row>
    <row r="5">
      <c r="A5" s="12" t="str">
        <f>IFERROR(__xludf.DUMMYFUNCTION("""COMPUTED_VALUE"""),"83d44eeab0ea3767e9a3b7ea5d08c2ab")</f>
        <v>83d44eeab0ea3767e9a3b7ea5d08c2ab</v>
      </c>
      <c r="B5" s="12" t="str">
        <f>IFERROR(__xludf.DUMMYFUNCTION("""COMPUTED_VALUE"""),"However, emissions levels recorded in 1990 and immediately thereafter, rather than being real reductions in emissions, were actually due to economic decline, which caused GHG emissions to fall sharply. The Strategy was meant to be a general framew'ork for"&amp;" climate change policies and measures during the brief period of 2005-2007, outlining Romania’s policies in meeting the international obligations under the UNFCCC and the Kyoto Protocol, as well as the country’s national priorities such as EU integration "&amp;"and possible participation in EU ETS. It assigns tasks and responsibilities for all stakeholder institutions and identifies the main actors for each specific action and relevant task.")</f>
        <v>However, emissions levels recorded in 1990 and immediately thereafter, rather than being real reductions in emissions, were actually due to economic decline, which caused GHG emissions to fall sharply. The Strategy was meant to be a general framew'ork for climate change policies and measures during the brief period of 2005-2007, outlining Romania’s policies in meeting the international obligations under the UNFCCC and the Kyoto Protocol, as well as the country’s national priorities such as EU integration and possible participation in EU ETS. It assigns tasks and responsibilities for all stakeholder institutions and identifies the main actors for each specific action and relevant task.</v>
      </c>
      <c r="C5" s="7"/>
      <c r="D5" s="50" t="b">
        <f t="shared" ref="D5:H5" si="8">VLOOKUP($A5, INDIRECT(D$1&amp;"!A:C"), 3, FALSE)</f>
        <v>1</v>
      </c>
      <c r="E5" s="50" t="str">
        <f t="shared" si="8"/>
        <v>TO DO</v>
      </c>
      <c r="F5" s="50" t="str">
        <f t="shared" si="8"/>
        <v>TO DO</v>
      </c>
      <c r="G5" s="50" t="b">
        <f t="shared" si="8"/>
        <v>1</v>
      </c>
      <c r="H5" s="50" t="b">
        <f t="shared" si="8"/>
        <v>1</v>
      </c>
      <c r="I5" s="51">
        <f t="shared" si="4"/>
        <v>1</v>
      </c>
      <c r="J5" s="52" t="str">
        <f t="shared" ref="J5:N5" si="9">VLOOKUP($A5, INDIRECT(J$1&amp;"!A:D"), 4, FALSE)</f>
        <v/>
      </c>
      <c r="K5" s="52" t="str">
        <f t="shared" si="9"/>
        <v/>
      </c>
      <c r="L5" s="52" t="str">
        <f t="shared" si="9"/>
        <v/>
      </c>
      <c r="M5" s="52" t="str">
        <f t="shared" si="9"/>
        <v/>
      </c>
      <c r="N5" s="52" t="str">
        <f t="shared" si="9"/>
        <v/>
      </c>
      <c r="O5" s="51" t="str">
        <f>IFERROR(__xludf.DUMMYFUNCTION("IF(COUNTA(J5:N5)=0, """", ARRAYFORMULA(""- ""&amp;TEXTJOIN(char(10)&amp;""- "", TRUE, FILTER(J$1:N$1&amp;"": ""&amp;J5:N5, NOT(ISBLANK(J5:N5))))))"),"")</f>
        <v/>
      </c>
      <c r="P5" s="51" t="s">
        <v>400</v>
      </c>
      <c r="Q5" s="53" t="s">
        <v>403</v>
      </c>
    </row>
    <row r="6">
      <c r="A6" s="12" t="str">
        <f>IFERROR(__xludf.DUMMYFUNCTION("""COMPUTED_VALUE"""),"a3761ca30cb3fc6ab902a6cb4654005e")</f>
        <v>a3761ca30cb3fc6ab902a6cb4654005e</v>
      </c>
      <c r="B6" s="12" t="str">
        <f>IFERROR(__xludf.DUMMYFUNCTION("""COMPUTED_VALUE"""),"Despite the shift in the economic structure, agriculture remains a major source of economic growth for the country, the principal source of income for the rural majority, and critical for food security for all Ethiopians. If poverty is to be reduced, and "&amp;"wealth created in ways in which the majority of the population can participate, then agriculture clearly has to be at the heart of any inclusive and green development strategy. More than 70% of crop land is devoted to cereal production, that area having e"&amp;"xpanded by 27% from 7.0 million hectares in 2003/04 to 9.6 million in 2011/12. More than 11 million smallholders engage in cereal production, with cereal production totalling 18 million tonnes in 2011/12.")</f>
        <v>Despite the shift in the economic structure, agriculture remains a major source of economic growth for the country, the principal source of income for the rural majority, and critical for food security for all Ethiopians. If poverty is to be reduced, and wealth created in ways in which the majority of the population can participate, then agriculture clearly has to be at the heart of any inclusive and green development strategy. More than 70% of crop land is devoted to cereal production, that area having expanded by 27% from 7.0 million hectares in 2003/04 to 9.6 million in 2011/12. More than 11 million smallholders engage in cereal production, with cereal production totalling 18 million tonnes in 2011/12.</v>
      </c>
      <c r="C6" s="7"/>
      <c r="D6" s="50" t="b">
        <f t="shared" ref="D6:H6" si="10">VLOOKUP($A6, INDIRECT(D$1&amp;"!A:C"), 3, FALSE)</f>
        <v>1</v>
      </c>
      <c r="E6" s="50" t="str">
        <f t="shared" si="10"/>
        <v>TO DO</v>
      </c>
      <c r="F6" s="50" t="str">
        <f t="shared" si="10"/>
        <v>TO DO</v>
      </c>
      <c r="G6" s="50" t="b">
        <f t="shared" si="10"/>
        <v>0</v>
      </c>
      <c r="H6" s="50" t="b">
        <f t="shared" si="10"/>
        <v>0</v>
      </c>
      <c r="I6" s="51">
        <f t="shared" si="4"/>
        <v>0.3333333333</v>
      </c>
      <c r="J6" s="52" t="str">
        <f t="shared" ref="J6:N6" si="11">VLOOKUP($A6, INDIRECT(J$1&amp;"!A:D"), 4, FALSE)</f>
        <v>could be non-climate related</v>
      </c>
      <c r="K6" s="52" t="str">
        <f t="shared" si="11"/>
        <v/>
      </c>
      <c r="L6" s="52" t="str">
        <f t="shared" si="11"/>
        <v/>
      </c>
      <c r="M6" s="52" t="str">
        <f t="shared" si="11"/>
        <v/>
      </c>
      <c r="N6" s="52" t="str">
        <f t="shared" si="11"/>
        <v/>
      </c>
      <c r="O6" s="51" t="str">
        <f>IFERROR(__xludf.DUMMYFUNCTION("IF(COUNTA(J6:N6)=0, """", ARRAYFORMULA(""- ""&amp;TEXTJOIN(char(10)&amp;""- "", TRUE, FILTER(J$1:N$1&amp;"": ""&amp;J6:N6, NOT(ISBLANK(J6:N6))))))"),"- Finn: could be non-climate related")</f>
        <v>- Finn: could be non-climate related</v>
      </c>
      <c r="P6" s="51" t="s">
        <v>404</v>
      </c>
      <c r="Q6" s="53" t="s">
        <v>402</v>
      </c>
      <c r="R6" s="5" t="s">
        <v>405</v>
      </c>
    </row>
    <row r="7">
      <c r="A7" s="12" t="str">
        <f>IFERROR(__xludf.DUMMYFUNCTION("""COMPUTED_VALUE"""),"a3c29985fccdc701de3acc3073d3fafa")</f>
        <v>a3c29985fccdc701de3acc3073d3fafa</v>
      </c>
      <c r="B7" s="12" t="str">
        <f>IFERROR(__xludf.DUMMYFUNCTION("""COMPUTED_VALUE"""),"With per-person GDP of only $380‘, the proportion of the population below the poverty line in 2010/11 was 30.4% in rural areas and 25.7% in urban areas. Poverty has declined substantially according to the national Household Income Consumption Expenditure "&amp;"Survey. Between 2004/05 and 2010/11, income inequality measured by Gini Coefficient was changed little - from 0.3 in 2004/05 to 0.298 in 2010/11.2 While urban inequality declined from 0.44 to 0.37, rural inequality increased from 0.26 to 0.27 (MoFED, 2012"&amp;"a).")</f>
        <v>With per-person GDP of only $380‘, the proportion of the population below the poverty line in 2010/11 was 30.4% in rural areas and 25.7% in urban areas. Poverty has declined substantially according to the national Household Income Consumption Expenditure Survey. Between 2004/05 and 2010/11, income inequality measured by Gini Coefficient was changed little - from 0.3 in 2004/05 to 0.298 in 2010/11.2 While urban inequality declined from 0.44 to 0.37, rural inequality increased from 0.26 to 0.27 (MoFED, 2012a).</v>
      </c>
      <c r="C7" s="7"/>
      <c r="D7" s="50" t="b">
        <f t="shared" ref="D7:H7" si="12">VLOOKUP($A7, INDIRECT(D$1&amp;"!A:C"), 3, FALSE)</f>
        <v>0</v>
      </c>
      <c r="E7" s="50" t="b">
        <f t="shared" si="12"/>
        <v>0</v>
      </c>
      <c r="F7" s="50" t="str">
        <f t="shared" si="12"/>
        <v>TO DO</v>
      </c>
      <c r="G7" s="50" t="b">
        <f t="shared" si="12"/>
        <v>0</v>
      </c>
      <c r="H7" s="50" t="b">
        <f t="shared" si="12"/>
        <v>0</v>
      </c>
      <c r="I7" s="51">
        <f t="shared" si="4"/>
        <v>1</v>
      </c>
      <c r="J7" s="52" t="str">
        <f t="shared" ref="J7:N7" si="13">VLOOKUP($A7, INDIRECT(J$1&amp;"!A:D"), 4, FALSE)</f>
        <v/>
      </c>
      <c r="K7" s="52" t="str">
        <f t="shared" si="13"/>
        <v/>
      </c>
      <c r="L7" s="52" t="str">
        <f t="shared" si="13"/>
        <v/>
      </c>
      <c r="M7" s="52" t="str">
        <f t="shared" si="13"/>
        <v/>
      </c>
      <c r="N7" s="52" t="str">
        <f t="shared" si="13"/>
        <v/>
      </c>
      <c r="O7" s="51" t="str">
        <f>IFERROR(__xludf.DUMMYFUNCTION("IF(COUNTA(J7:N7)=0, """", ARRAYFORMULA(""- ""&amp;TEXTJOIN(char(10)&amp;""- "", TRUE, FILTER(J$1:N$1&amp;"": ""&amp;J7:N7, NOT(ISBLANK(J7:N7))))))"),"")</f>
        <v/>
      </c>
      <c r="P7" s="51" t="s">
        <v>400</v>
      </c>
      <c r="Q7" s="53" t="s">
        <v>402</v>
      </c>
    </row>
    <row r="8">
      <c r="A8" s="12" t="str">
        <f>IFERROR(__xludf.DUMMYFUNCTION("""COMPUTED_VALUE"""),"c46b6344832025bd55ff227fa40b1ddc")</f>
        <v>c46b6344832025bd55ff227fa40b1ddc</v>
      </c>
      <c r="B8" s="12" t="str">
        <f>IFERROR(__xludf.DUMMYFUNCTION("""COMPUTED_VALUE"""),"This was an attempt to provide a dual response to the emergency: while rubble was removed or precarious urban spaces were brought back into use, steps were taken to improve the satisfaction of basic needs by distributing new incomes (Lamaute-Brisson, 2013"&amp;", p. 47). Firstly, “cash for work” programmes were implemented, consisting of a daily payment of the minimum wage to workers employed on highly labour-intensive projects to remove rubble and restore roads, footpaths and irrigation and community infrastruc"&amp;"ture systems. The “16/6” project (which aims to relocate people from six camps in their neighbourhoods of origin) had community participation in defining the works, which resulted in lighting for various public spaces to safeguard the integrity of women a"&amp;"nd children.")</f>
        <v>This was an attempt to provide a dual response to the emergency: while rubble was removed or precarious urban spaces were brought back into use, steps were taken to improve the satisfaction of basic needs by distributing new incomes (Lamaute-Brisson, 2013, p. 47). Firstly, “cash for work” programmes were implemented, consisting of a daily payment of the minimum wage to workers employed on highly labour-intensive projects to remove rubble and restore roads, footpaths and irrigation and community infrastructure systems. The “16/6” project (which aims to relocate people from six camps in their neighbourhoods of origin) had community participation in defining the works, which resulted in lighting for various public spaces to safeguard the integrity of women and children.</v>
      </c>
      <c r="C8" s="7"/>
      <c r="D8" s="50" t="b">
        <f t="shared" ref="D8:H8" si="14">VLOOKUP($A8, INDIRECT(D$1&amp;"!A:C"), 3, FALSE)</f>
        <v>0</v>
      </c>
      <c r="E8" s="50" t="str">
        <f t="shared" si="14"/>
        <v>TO DO</v>
      </c>
      <c r="F8" s="50" t="str">
        <f t="shared" si="14"/>
        <v>TO DO</v>
      </c>
      <c r="G8" s="50" t="b">
        <f t="shared" si="14"/>
        <v>0</v>
      </c>
      <c r="H8" s="50" t="b">
        <f t="shared" si="14"/>
        <v>0</v>
      </c>
      <c r="I8" s="51">
        <f t="shared" si="4"/>
        <v>1</v>
      </c>
      <c r="J8" s="52" t="str">
        <f t="shared" ref="J8:N8" si="15">VLOOKUP($A8, INDIRECT(J$1&amp;"!A:D"), 4, FALSE)</f>
        <v/>
      </c>
      <c r="K8" s="52" t="str">
        <f t="shared" si="15"/>
        <v/>
      </c>
      <c r="L8" s="52" t="str">
        <f t="shared" si="15"/>
        <v/>
      </c>
      <c r="M8" s="52" t="str">
        <f t="shared" si="15"/>
        <v/>
      </c>
      <c r="N8" s="52" t="str">
        <f t="shared" si="15"/>
        <v/>
      </c>
      <c r="O8" s="51" t="str">
        <f>IFERROR(__xludf.DUMMYFUNCTION("IF(COUNTA(J8:N8)=0, """", ARRAYFORMULA(""- ""&amp;TEXTJOIN(char(10)&amp;""- "", TRUE, FILTER(J$1:N$1&amp;"": ""&amp;J8:N8, NOT(ISBLANK(J8:N8))))))"),"")</f>
        <v/>
      </c>
      <c r="P8" s="51" t="s">
        <v>400</v>
      </c>
      <c r="Q8" s="53" t="s">
        <v>402</v>
      </c>
    </row>
    <row r="9">
      <c r="A9" s="12" t="str">
        <f>IFERROR(__xludf.DUMMYFUNCTION("""COMPUTED_VALUE"""),"0a6a879c1641eb1e51a334847978239c")</f>
        <v>0a6a879c1641eb1e51a334847978239c</v>
      </c>
      <c r="B9" s="12" t="str">
        <f>IFERROR(__xludf.DUMMYFUNCTION("""COMPUTED_VALUE"""),"According to data from the World Bank Enterprise Surveys from 2010-2017 in developing countries, access to finance is the foremost barrier to firm development (World Bank, 2017, Figure 1.1). These financial constraints are exacerbated for green growth and"&amp;" climate action in which the private sector is sometimes reluctant to invest, in part, to a lack of proven and readily available business models or a failure to understand the business case. Development cooperation can address both the demand side and off"&amp;"er side of the access to finance equation. On the one hand, it can stimulate demand for clean technologies, for example, by raising awareness and demonstrating the business case.")</f>
        <v>According to data from the World Bank Enterprise Surveys from 2010-2017 in developing countries, access to finance is the foremost barrier to firm development (World Bank, 2017, Figure 1.1). These financial constraints are exacerbated for green growth and climate action in which the private sector is sometimes reluctant to invest, in part, to a lack of proven and readily available business models or a failure to understand the business case. Development cooperation can address both the demand side and offer side of the access to finance equation. On the one hand, it can stimulate demand for clean technologies, for example, by raising awareness and demonstrating the business case.</v>
      </c>
      <c r="C9" s="7"/>
      <c r="D9" s="50" t="b">
        <f t="shared" ref="D9:H9" si="16">VLOOKUP($A9, INDIRECT(D$1&amp;"!A:C"), 3, FALSE)</f>
        <v>1</v>
      </c>
      <c r="E9" s="50" t="str">
        <f t="shared" si="16"/>
        <v>TO DO</v>
      </c>
      <c r="F9" s="50" t="str">
        <f t="shared" si="16"/>
        <v>TO DO</v>
      </c>
      <c r="G9" s="50" t="b">
        <f t="shared" si="16"/>
        <v>1</v>
      </c>
      <c r="H9" s="50" t="b">
        <f t="shared" si="16"/>
        <v>1</v>
      </c>
      <c r="I9" s="51">
        <f t="shared" si="4"/>
        <v>1</v>
      </c>
      <c r="J9" s="52" t="str">
        <f t="shared" ref="J9:N9" si="17">VLOOKUP($A9, INDIRECT(J$1&amp;"!A:D"), 4, FALSE)</f>
        <v/>
      </c>
      <c r="K9" s="52" t="str">
        <f t="shared" si="17"/>
        <v/>
      </c>
      <c r="L9" s="52" t="str">
        <f t="shared" si="17"/>
        <v/>
      </c>
      <c r="M9" s="52" t="str">
        <f t="shared" si="17"/>
        <v/>
      </c>
      <c r="N9" s="52" t="str">
        <f t="shared" si="17"/>
        <v/>
      </c>
      <c r="O9" s="51" t="str">
        <f>IFERROR(__xludf.DUMMYFUNCTION("IF(COUNTA(J9:N9)=0, """", ARRAYFORMULA(""- ""&amp;TEXTJOIN(char(10)&amp;""- "", TRUE, FILTER(J$1:N$1&amp;"": ""&amp;J9:N9, NOT(ISBLANK(J9:N9))))))"),"")</f>
        <v/>
      </c>
      <c r="P9" s="51" t="s">
        <v>400</v>
      </c>
      <c r="Q9" s="53" t="s">
        <v>403</v>
      </c>
    </row>
    <row r="10">
      <c r="A10" s="12" t="str">
        <f>IFERROR(__xludf.DUMMYFUNCTION("""COMPUTED_VALUE"""),"d3e888a7bb7201bc4d6a1e4f09015bf7")</f>
        <v>d3e888a7bb7201bc4d6a1e4f09015bf7</v>
      </c>
      <c r="B10" s="12" t="str">
        <f>IFERROR(__xludf.DUMMYFUNCTION("""COMPUTED_VALUE"""),"Table VIII.l shows the breakdown of types of disaster in the different subregions of Latin America and the Caribbean. Studies by Blaikie and others (1996) and by Cutter, Boruff and Shirley (2003) clearly identify the vulnerability factors that contribute "&amp;"to the occurrence of disasters. These include poverty, urban expansion into areas unsuitable for building, economic dependency on agricultural activities, the scant existence of financial insurance policies covering disasters, and growing environmental de"&amp;"gradation. The consequence of this is that developing countries are highly likely to suffer extreme weather events, high temperatures, and the disruption of ecological systems that are bound to generate new risks for life, settlements, public-service infr"&amp;"astructure and production, among other things (Lo Vuolo, 2014, p. 19).")</f>
        <v>Table VIII.l shows the breakdown of types of disaster in the different subregions of Latin America and the Caribbean. Studies by Blaikie and others (1996) and by Cutter, Boruff and Shirley (2003) clearly identify the vulnerability factors that contribute to the occurrence of disasters. These include poverty, urban expansion into areas unsuitable for building, economic dependency on agricultural activities, the scant existence of financial insurance policies covering disasters, and growing environmental degradation. The consequence of this is that developing countries are highly likely to suffer extreme weather events, high temperatures, and the disruption of ecological systems that are bound to generate new risks for life, settlements, public-service infrastructure and production, among other things (Lo Vuolo, 2014, p. 19).</v>
      </c>
      <c r="C10" s="50"/>
      <c r="D10" s="50" t="b">
        <f t="shared" ref="D10:H10" si="18">VLOOKUP($A10, INDIRECT(D$1&amp;"!A:C"), 3, FALSE)</f>
        <v>1</v>
      </c>
      <c r="E10" s="50" t="str">
        <f t="shared" si="18"/>
        <v>TO DO</v>
      </c>
      <c r="F10" s="50" t="str">
        <f t="shared" si="18"/>
        <v>TO DO</v>
      </c>
      <c r="G10" s="50" t="b">
        <f t="shared" si="18"/>
        <v>1</v>
      </c>
      <c r="H10" s="50" t="b">
        <f t="shared" si="18"/>
        <v>1</v>
      </c>
      <c r="I10" s="51">
        <f t="shared" si="4"/>
        <v>1</v>
      </c>
      <c r="J10" s="52" t="str">
        <f t="shared" ref="J10:N10" si="19">VLOOKUP($A10, INDIRECT(J$1&amp;"!A:D"), 4, FALSE)</f>
        <v>target 13.1</v>
      </c>
      <c r="K10" s="52" t="str">
        <f t="shared" si="19"/>
        <v/>
      </c>
      <c r="L10" s="52" t="str">
        <f t="shared" si="19"/>
        <v/>
      </c>
      <c r="M10" s="52" t="str">
        <f t="shared" si="19"/>
        <v/>
      </c>
      <c r="N10" s="52" t="str">
        <f t="shared" si="19"/>
        <v/>
      </c>
      <c r="O10" s="51" t="str">
        <f>IFERROR(__xludf.DUMMYFUNCTION("IF(COUNTA(J10:N10)=0, """", ARRAYFORMULA(""- ""&amp;TEXTJOIN(char(10)&amp;""- "", TRUE, FILTER(J$1:N$1&amp;"": ""&amp;J10:N10, NOT(ISBLANK(J10:N10))))))"),"- Finn: target 13.1")</f>
        <v>- Finn: target 13.1</v>
      </c>
      <c r="P10" s="51" t="s">
        <v>406</v>
      </c>
      <c r="Q10" s="53" t="s">
        <v>403</v>
      </c>
    </row>
    <row r="11">
      <c r="A11" s="12" t="str">
        <f>IFERROR(__xludf.DUMMYFUNCTION("""COMPUTED_VALUE"""),"9fd2870b7e589b645d6740ac4d498527")</f>
        <v>9fd2870b7e589b645d6740ac4d498527</v>
      </c>
      <c r="B11" s="12" t="str">
        <f>IFERROR(__xludf.DUMMYFUNCTION("""COMPUTED_VALUE"""),"This indication came at COP16 in Cancun, when a senior member of the Chinese delegation declared that there had been some rethinking on transparency: ""Now we think: if we have done something, why not say so?""121 Having formerly refused international mon"&amp;"itoring of domestic mitigation efforts, this statement suggests a loosening of a tightly held position. While the implementation schemes have not yet been agreed, this development does signal a change. On the one hand, as the Copenhagen pledge has been in"&amp;"corporated into the twelfth five-year programme, the central leadership feels reassured that China will meet its target and thus not risk being exposed as a weak and unreliable actor in the international regime.")</f>
        <v>This indication came at COP16 in Cancun, when a senior member of the Chinese delegation declared that there had been some rethinking on transparency: "Now we think: if we have done something, why not say so?"121 Having formerly refused international monitoring of domestic mitigation efforts, this statement suggests a loosening of a tightly held position. While the implementation schemes have not yet been agreed, this development does signal a change. On the one hand, as the Copenhagen pledge has been incorporated into the twelfth five-year programme, the central leadership feels reassured that China will meet its target and thus not risk being exposed as a weak and unreliable actor in the international regime.</v>
      </c>
      <c r="C11" s="54"/>
      <c r="D11" s="50" t="b">
        <f t="shared" ref="D11:H11" si="20">VLOOKUP($A11, INDIRECT(D$1&amp;"!A:C"), 3, FALSE)</f>
        <v>1</v>
      </c>
      <c r="E11" s="50" t="str">
        <f t="shared" si="20"/>
        <v>TO DO</v>
      </c>
      <c r="F11" s="50" t="str">
        <f t="shared" si="20"/>
        <v>TO DO</v>
      </c>
      <c r="G11" s="50" t="b">
        <f t="shared" si="20"/>
        <v>0</v>
      </c>
      <c r="H11" s="50" t="b">
        <f t="shared" si="20"/>
        <v>1</v>
      </c>
      <c r="I11" s="51">
        <f t="shared" si="4"/>
        <v>0.3333333333</v>
      </c>
      <c r="J11" s="52" t="str">
        <f t="shared" ref="J11:N11" si="21">VLOOKUP($A11, INDIRECT(J$1&amp;"!A:D"), 4, FALSE)</f>
        <v>awareness raising</v>
      </c>
      <c r="K11" s="52" t="str">
        <f t="shared" si="21"/>
        <v/>
      </c>
      <c r="L11" s="52" t="str">
        <f t="shared" si="21"/>
        <v/>
      </c>
      <c r="M11" s="52" t="str">
        <f t="shared" si="21"/>
        <v/>
      </c>
      <c r="N11" s="52" t="str">
        <f t="shared" si="21"/>
        <v>not so strongly linked to tackling climate change though</v>
      </c>
      <c r="O11" s="51" t="str">
        <f>IFERROR(__xludf.DUMMYFUNCTION("IF(COUNTA(J11:N11)=0, """", ARRAYFORMULA(""- ""&amp;TEXTJOIN(char(10)&amp;""- "", TRUE, FILTER(J$1:N$1&amp;"": ""&amp;J11:N11, NOT(ISBLANK(J11:N11))))))"),"- Finn: awareness raising
- Steve: not so strongly linked to tackling climate change though")</f>
        <v>- Finn: awareness raising
- Steve: not so strongly linked to tackling climate change though</v>
      </c>
      <c r="P11" s="51" t="s">
        <v>407</v>
      </c>
      <c r="Q11" s="53" t="s">
        <v>401</v>
      </c>
    </row>
    <row r="12">
      <c r="A12" s="12" t="str">
        <f>IFERROR(__xludf.DUMMYFUNCTION("""COMPUTED_VALUE"""),"573084d18b440c49006f1ae5691b785f")</f>
        <v>573084d18b440c49006f1ae5691b785f</v>
      </c>
      <c r="B12" s="12" t="str">
        <f>IFERROR(__xludf.DUMMYFUNCTION("""COMPUTED_VALUE"""),"The low-carbon transition will require mobilising of all sources of public and private sector investment and finance, including institutional investors. Governments need to use their scarce resources to trigger large-scale private sector investment in act"&amp;"ivities otherwise unlikely to attract sufficient private funding. However, some financial systems regulations hinder the allocation of longterm finance to low-carbon infrastructure investments.")</f>
        <v>The low-carbon transition will require mobilising of all sources of public and private sector investment and finance, including institutional investors. Governments need to use their scarce resources to trigger large-scale private sector investment in activities otherwise unlikely to attract sufficient private funding. However, some financial systems regulations hinder the allocation of longterm finance to low-carbon infrastructure investments.</v>
      </c>
      <c r="C12" s="55"/>
      <c r="D12" s="50" t="b">
        <f t="shared" ref="D12:H12" si="22">VLOOKUP($A12, INDIRECT(D$1&amp;"!A:C"), 3, FALSE)</f>
        <v>1</v>
      </c>
      <c r="E12" s="50" t="str">
        <f t="shared" si="22"/>
        <v>TO DO</v>
      </c>
      <c r="F12" s="50" t="str">
        <f t="shared" si="22"/>
        <v>TO DO</v>
      </c>
      <c r="G12" s="50" t="b">
        <f t="shared" si="22"/>
        <v>0</v>
      </c>
      <c r="H12" s="50" t="b">
        <f t="shared" si="22"/>
        <v>1</v>
      </c>
      <c r="I12" s="51">
        <f t="shared" si="4"/>
        <v>0.3333333333</v>
      </c>
      <c r="J12" s="52" t="str">
        <f t="shared" ref="J12:N12" si="23">VLOOKUP($A12, INDIRECT(J$1&amp;"!A:D"), 4, FALSE)</f>
        <v/>
      </c>
      <c r="K12" s="52" t="str">
        <f t="shared" si="23"/>
        <v/>
      </c>
      <c r="L12" s="52" t="str">
        <f t="shared" si="23"/>
        <v/>
      </c>
      <c r="M12" s="52" t="str">
        <f t="shared" si="23"/>
        <v/>
      </c>
      <c r="N12" s="52" t="str">
        <f t="shared" si="23"/>
        <v/>
      </c>
      <c r="O12" s="51" t="str">
        <f>IFERROR(__xludf.DUMMYFUNCTION("IF(COUNTA(J12:N12)=0, """", ARRAYFORMULA(""- ""&amp;TEXTJOIN(char(10)&amp;""- "", TRUE, FILTER(J$1:N$1&amp;"": ""&amp;J12:N12, NOT(ISBLANK(J12:N12))))))"),"")</f>
        <v/>
      </c>
      <c r="P12" s="51" t="s">
        <v>400</v>
      </c>
      <c r="Q12" s="53" t="s">
        <v>401</v>
      </c>
    </row>
    <row r="13">
      <c r="A13" s="12" t="str">
        <f>IFERROR(__xludf.DUMMYFUNCTION("""COMPUTED_VALUE"""),"57e51ac5aa7e15eb0d740c970e7716d7")</f>
        <v>57e51ac5aa7e15eb0d740c970e7716d7</v>
      </c>
      <c r="B13" s="12" t="str">
        <f>IFERROR(__xludf.DUMMYFUNCTION("""COMPUTED_VALUE"""),"On the other hand, poor vetting of private local partners, inadequate enforcement of environmental safeguards and insufficient accountability on the part of development finance end-users can lead to a lack of tangible positive environmental impacts, if no"&amp;"t actually produce negative outcomes (Oxfam, 2015). Box 2.7 highlights one type instrument used in financial intermediation i.e. credit lines. Challenge funds’ financial contribution to a project is usually small compared to the overall size of the projec"&amp;"t, but sufficient to improve its risk profile and financial viability (Irwin and Porteous, 2005). Challenge funds typically require the grantee to match a portion of the funds disbursed, so as to ensure ownership and commitment to success.")</f>
        <v>On the other hand, poor vetting of private local partners, inadequate enforcement of environmental safeguards and insufficient accountability on the part of development finance end-users can lead to a lack of tangible positive environmental impacts, if not actually produce negative outcomes (Oxfam, 2015). Box 2.7 highlights one type instrument used in financial intermediation i.e. credit lines. Challenge funds’ financial contribution to a project is usually small compared to the overall size of the project, but sufficient to improve its risk profile and financial viability (Irwin and Porteous, 2005). Challenge funds typically require the grantee to match a portion of the funds disbursed, so as to ensure ownership and commitment to success.</v>
      </c>
      <c r="C13" s="54"/>
      <c r="D13" s="50" t="b">
        <f t="shared" ref="D13:H13" si="24">VLOOKUP($A13, INDIRECT(D$1&amp;"!A:C"), 3, FALSE)</f>
        <v>0</v>
      </c>
      <c r="E13" s="50" t="str">
        <f t="shared" si="24"/>
        <v>TO DO</v>
      </c>
      <c r="F13" s="50" t="str">
        <f t="shared" si="24"/>
        <v>TO DO</v>
      </c>
      <c r="G13" s="50" t="b">
        <f t="shared" si="24"/>
        <v>0</v>
      </c>
      <c r="H13" s="50" t="b">
        <f t="shared" si="24"/>
        <v>0</v>
      </c>
      <c r="I13" s="51">
        <f t="shared" si="4"/>
        <v>1</v>
      </c>
      <c r="J13" s="52" t="str">
        <f t="shared" ref="J13:N13" si="25">VLOOKUP($A13, INDIRECT(J$1&amp;"!A:D"), 4, FALSE)</f>
        <v/>
      </c>
      <c r="K13" s="52" t="str">
        <f t="shared" si="25"/>
        <v/>
      </c>
      <c r="L13" s="52" t="str">
        <f t="shared" si="25"/>
        <v/>
      </c>
      <c r="M13" s="52" t="str">
        <f t="shared" si="25"/>
        <v/>
      </c>
      <c r="N13" s="52" t="str">
        <f t="shared" si="25"/>
        <v/>
      </c>
      <c r="O13" s="51" t="str">
        <f>IFERROR(__xludf.DUMMYFUNCTION("IF(COUNTA(J13:N13)=0, """", ARRAYFORMULA(""- ""&amp;TEXTJOIN(char(10)&amp;""- "", TRUE, FILTER(J$1:N$1&amp;"": ""&amp;J13:N13, NOT(ISBLANK(J13:N13))))))"),"")</f>
        <v/>
      </c>
      <c r="P13" s="51" t="s">
        <v>400</v>
      </c>
      <c r="Q13" s="53" t="s">
        <v>402</v>
      </c>
    </row>
    <row r="14">
      <c r="A14" s="12" t="str">
        <f>IFERROR(__xludf.DUMMYFUNCTION("""COMPUTED_VALUE"""),"69dc28d3d07ccb48f87aa145b030b6a4")</f>
        <v>69dc28d3d07ccb48f87aa145b030b6a4</v>
      </c>
      <c r="B14" s="12" t="str">
        <f>IFERROR(__xludf.DUMMYFUNCTION("""COMPUTED_VALUE"""),"This also helped the analysis to be done in the very short time available - from February 2011 to the Durban Climate Change Conference (COP 17) at the end of the year. Over 50 Ethiopian experts from the selected sectors generated data, which the external "&amp;"consultants calculated BAU emissions projections for sectors that were identified to be higher sources of emissions (Table 2) and came up with possible abatement measures in those sectors and their individual marginal abatement cost. Projections for 2025 "&amp;"demonstrated that the current pathway for economic development will increase GHG emissions by more than 150%.")</f>
        <v>This also helped the analysis to be done in the very short time available - from February 2011 to the Durban Climate Change Conference (COP 17) at the end of the year. Over 50 Ethiopian experts from the selected sectors generated data, which the external consultants calculated BAU emissions projections for sectors that were identified to be higher sources of emissions (Table 2) and came up with possible abatement measures in those sectors and their individual marginal abatement cost. Projections for 2025 demonstrated that the current pathway for economic development will increase GHG emissions by more than 150%.</v>
      </c>
      <c r="C14" s="54"/>
      <c r="D14" s="50" t="b">
        <f t="shared" ref="D14:H14" si="26">VLOOKUP($A14, INDIRECT(D$1&amp;"!A:C"), 3, FALSE)</f>
        <v>1</v>
      </c>
      <c r="E14" s="50" t="str">
        <f t="shared" si="26"/>
        <v>TO DO</v>
      </c>
      <c r="F14" s="50" t="str">
        <f t="shared" si="26"/>
        <v>TO DO</v>
      </c>
      <c r="G14" s="50" t="b">
        <f t="shared" si="26"/>
        <v>0</v>
      </c>
      <c r="H14" s="50" t="b">
        <f t="shared" si="26"/>
        <v>1</v>
      </c>
      <c r="I14" s="51">
        <f t="shared" si="4"/>
        <v>0.3333333333</v>
      </c>
      <c r="J14" s="52" t="str">
        <f t="shared" ref="J14:N14" si="27">VLOOKUP($A14, INDIRECT(J$1&amp;"!A:D"), 4, FALSE)</f>
        <v/>
      </c>
      <c r="K14" s="52" t="str">
        <f t="shared" si="27"/>
        <v/>
      </c>
      <c r="L14" s="52" t="str">
        <f t="shared" si="27"/>
        <v/>
      </c>
      <c r="M14" s="52" t="str">
        <f t="shared" si="27"/>
        <v/>
      </c>
      <c r="N14" s="52" t="str">
        <f t="shared" si="27"/>
        <v/>
      </c>
      <c r="O14" s="51" t="str">
        <f>IFERROR(__xludf.DUMMYFUNCTION("IF(COUNTA(J14:N14)=0, """", ARRAYFORMULA(""- ""&amp;TEXTJOIN(char(10)&amp;""- "", TRUE, FILTER(J$1:N$1&amp;"": ""&amp;J14:N14, NOT(ISBLANK(J14:N14))))))"),"")</f>
        <v/>
      </c>
      <c r="P14" s="51" t="s">
        <v>400</v>
      </c>
      <c r="Q14" s="53" t="s">
        <v>401</v>
      </c>
    </row>
    <row r="15">
      <c r="A15" s="12" t="str">
        <f>IFERROR(__xludf.DUMMYFUNCTION("""COMPUTED_VALUE"""),"6ffe9bf74c3883ac32ff1d5b3f80cb59")</f>
        <v>6ffe9bf74c3883ac32ff1d5b3f80cb59</v>
      </c>
      <c r="B15" s="12" t="str">
        <f>IFERROR(__xludf.DUMMYFUNCTION("""COMPUTED_VALUE"""),"It would also be helpful to have some degree of international convergence on the approach to be used for calculating national BAU baselines. Parties could agree the time frame and GWPs or other GHG-equivalence metric to be used for commitments. It is poss"&amp;"ible that bounded flexibility could also be negotiated for other dimensions of mitigation commitments, depending on the varying national circumstances of countries.")</f>
        <v>It would also be helpful to have some degree of international convergence on the approach to be used for calculating national BAU baselines. Parties could agree the time frame and GWPs or other GHG-equivalence metric to be used for commitments. It is possible that bounded flexibility could also be negotiated for other dimensions of mitigation commitments, depending on the varying national circumstances of countries.</v>
      </c>
      <c r="C15" s="54"/>
      <c r="D15" s="50" t="b">
        <f t="shared" ref="D15:H15" si="28">VLOOKUP($A15, INDIRECT(D$1&amp;"!A:C"), 3, FALSE)</f>
        <v>1</v>
      </c>
      <c r="E15" s="50" t="str">
        <f t="shared" si="28"/>
        <v>TO DO</v>
      </c>
      <c r="F15" s="50" t="str">
        <f t="shared" si="28"/>
        <v>TO DO</v>
      </c>
      <c r="G15" s="50" t="b">
        <f t="shared" si="28"/>
        <v>1</v>
      </c>
      <c r="H15" s="50" t="b">
        <f t="shared" si="28"/>
        <v>1</v>
      </c>
      <c r="I15" s="51">
        <f t="shared" si="4"/>
        <v>1</v>
      </c>
      <c r="J15" s="52" t="str">
        <f t="shared" ref="J15:N15" si="29">VLOOKUP($A15, INDIRECT(J$1&amp;"!A:D"), 4, FALSE)</f>
        <v/>
      </c>
      <c r="K15" s="52" t="str">
        <f t="shared" si="29"/>
        <v/>
      </c>
      <c r="L15" s="52" t="str">
        <f t="shared" si="29"/>
        <v/>
      </c>
      <c r="M15" s="52" t="str">
        <f t="shared" si="29"/>
        <v/>
      </c>
      <c r="N15" s="52" t="str">
        <f t="shared" si="29"/>
        <v/>
      </c>
      <c r="O15" s="51" t="str">
        <f>IFERROR(__xludf.DUMMYFUNCTION("IF(COUNTA(J15:N15)=0, """", ARRAYFORMULA(""- ""&amp;TEXTJOIN(char(10)&amp;""- "", TRUE, FILTER(J$1:N$1&amp;"": ""&amp;J15:N15, NOT(ISBLANK(J15:N15))))))"),"")</f>
        <v/>
      </c>
      <c r="P15" s="51" t="s">
        <v>400</v>
      </c>
      <c r="Q15" s="53" t="s">
        <v>403</v>
      </c>
    </row>
    <row r="16">
      <c r="A16" s="12" t="str">
        <f>IFERROR(__xludf.DUMMYFUNCTION("""COMPUTED_VALUE"""),"eee341f5ab622e1de641e010ac2ef5b8")</f>
        <v>eee341f5ab622e1de641e010ac2ef5b8</v>
      </c>
      <c r="B16" s="12" t="str">
        <f>IFERROR(__xludf.DUMMYFUNCTION("""COMPUTED_VALUE"""),"Source: National Institutional Strategy for Climate Change. Although most of SAIs do not yet have the capacity and expertise to audit climate finance, it is within their mandate to audit public climate finance. In this respect, GIZ is providing support to"&amp;" SAIs in developing countries to strengthen their mandates.")</f>
        <v>Source: National Institutional Strategy for Climate Change. Although most of SAIs do not yet have the capacity and expertise to audit climate finance, it is within their mandate to audit public climate finance. In this respect, GIZ is providing support to SAIs in developing countries to strengthen their mandates.</v>
      </c>
      <c r="C16" s="54"/>
      <c r="D16" s="50" t="b">
        <f t="shared" ref="D16:H16" si="30">VLOOKUP($A16, INDIRECT(D$1&amp;"!A:C"), 3, FALSE)</f>
        <v>1</v>
      </c>
      <c r="E16" s="50" t="str">
        <f t="shared" si="30"/>
        <v>TO DO</v>
      </c>
      <c r="F16" s="50" t="str">
        <f t="shared" si="30"/>
        <v>TO DO</v>
      </c>
      <c r="G16" s="50" t="b">
        <f t="shared" si="30"/>
        <v>1</v>
      </c>
      <c r="H16" s="50" t="b">
        <f t="shared" si="30"/>
        <v>1</v>
      </c>
      <c r="I16" s="51">
        <f t="shared" si="4"/>
        <v>1</v>
      </c>
      <c r="J16" s="52" t="str">
        <f t="shared" ref="J16:N16" si="31">VLOOKUP($A16, INDIRECT(J$1&amp;"!A:D"), 4, FALSE)</f>
        <v>SAI = Supreme Audit Institution</v>
      </c>
      <c r="K16" s="52" t="str">
        <f t="shared" si="31"/>
        <v/>
      </c>
      <c r="L16" s="52" t="str">
        <f t="shared" si="31"/>
        <v/>
      </c>
      <c r="M16" s="52" t="str">
        <f t="shared" si="31"/>
        <v/>
      </c>
      <c r="N16" s="52" t="str">
        <f t="shared" si="31"/>
        <v/>
      </c>
      <c r="O16" s="51" t="str">
        <f>IFERROR(__xludf.DUMMYFUNCTION("IF(COUNTA(J16:N16)=0, """", ARRAYFORMULA(""- ""&amp;TEXTJOIN(char(10)&amp;""- "", TRUE, FILTER(J$1:N$1&amp;"": ""&amp;J16:N16, NOT(ISBLANK(J16:N16))))))"),"- Finn: SAI = Supreme Audit Institution")</f>
        <v>- Finn: SAI = Supreme Audit Institution</v>
      </c>
      <c r="P16" s="51" t="s">
        <v>408</v>
      </c>
      <c r="Q16" s="53" t="s">
        <v>403</v>
      </c>
    </row>
    <row r="17">
      <c r="A17" s="12" t="str">
        <f>IFERROR(__xludf.DUMMYFUNCTION("""COMPUTED_VALUE"""),"0027c15f32637adab79d770bdc8827e9")</f>
        <v>0027c15f32637adab79d770bdc8827e9</v>
      </c>
      <c r="B17" s="12" t="str">
        <f>IFERROR(__xludf.DUMMYFUNCTION("""COMPUTED_VALUE"""),"It does not include activities where the support for the private sector is channelled through public sector agencies e.g. credit lines through state owned banks or challenge funds managed by NGOs, which are covered in the second category. This approach ha"&amp;"s been used in two previous OECD analyses in Miyamoto and Chiofalo (2015) and Miyamoto and Biousse (2014). This approach has been used in a previous OECD analysis in Brown and Wang (2015).")</f>
        <v>It does not include activities where the support for the private sector is channelled through public sector agencies e.g. credit lines through state owned banks or challenge funds managed by NGOs, which are covered in the second category. This approach has been used in two previous OECD analyses in Miyamoto and Chiofalo (2015) and Miyamoto and Biousse (2014). This approach has been used in a previous OECD analysis in Brown and Wang (2015).</v>
      </c>
      <c r="C17" s="7"/>
      <c r="D17" s="50" t="b">
        <f t="shared" ref="D17:H17" si="32">VLOOKUP($A17, INDIRECT(D$1&amp;"!A:C"), 3, FALSE)</f>
        <v>0</v>
      </c>
      <c r="E17" s="50" t="str">
        <f t="shared" si="32"/>
        <v>TO DO</v>
      </c>
      <c r="F17" s="50" t="str">
        <f t="shared" si="32"/>
        <v>TO DO</v>
      </c>
      <c r="G17" s="50" t="b">
        <f t="shared" si="32"/>
        <v>0</v>
      </c>
      <c r="H17" s="50" t="b">
        <f t="shared" si="32"/>
        <v>0</v>
      </c>
      <c r="I17" s="51">
        <f t="shared" si="4"/>
        <v>1</v>
      </c>
      <c r="J17" s="52" t="str">
        <f t="shared" ref="J17:N17" si="33">VLOOKUP($A17, INDIRECT(J$1&amp;"!A:D"), 4, FALSE)</f>
        <v/>
      </c>
      <c r="K17" s="52" t="str">
        <f t="shared" si="33"/>
        <v/>
      </c>
      <c r="L17" s="52" t="str">
        <f t="shared" si="33"/>
        <v/>
      </c>
      <c r="M17" s="52" t="str">
        <f t="shared" si="33"/>
        <v/>
      </c>
      <c r="N17" s="52" t="str">
        <f t="shared" si="33"/>
        <v/>
      </c>
      <c r="O17" s="51" t="str">
        <f>IFERROR(__xludf.DUMMYFUNCTION("IF(COUNTA(J17:N17)=0, """", ARRAYFORMULA(""- ""&amp;TEXTJOIN(char(10)&amp;""- "", TRUE, FILTER(J$1:N$1&amp;"": ""&amp;J17:N17, NOT(ISBLANK(J17:N17))))))"),"")</f>
        <v/>
      </c>
      <c r="P17" s="51" t="s">
        <v>400</v>
      </c>
      <c r="Q17" s="53" t="s">
        <v>402</v>
      </c>
    </row>
    <row r="18">
      <c r="A18" s="12" t="str">
        <f>IFERROR(__xludf.DUMMYFUNCTION("""COMPUTED_VALUE"""),"77e831e56461b254b01dcc2544f226f1")</f>
        <v>77e831e56461b254b01dcc2544f226f1</v>
      </c>
      <c r="B18" s="12" t="str">
        <f>IFERROR(__xludf.DUMMYFUNCTION("""COMPUTED_VALUE"""),"A number of factors, however, can complicate sharing lessons both within and between organisations. These include lack of formal co-ordination and advanced planning, uncertainty on how to organise information in a useful format, and difficulties in making"&amp;" context-specific findings relevant to other interventions (e.g. see previous discussion on RCTs). For instance, an independent review of the CIFs highlighted that the incorporation of information sharing and lesson learning in interventions varied signif"&amp;"icantly by fund (ICF, 2013).")</f>
        <v>A number of factors, however, can complicate sharing lessons both within and between organisations. These include lack of formal co-ordination and advanced planning, uncertainty on how to organise information in a useful format, and difficulties in making context-specific findings relevant to other interventions (e.g. see previous discussion on RCTs). For instance, an independent review of the CIFs highlighted that the incorporation of information sharing and lesson learning in interventions varied significantly by fund (ICF, 2013).</v>
      </c>
      <c r="C18" s="7"/>
      <c r="D18" s="50" t="b">
        <f t="shared" ref="D18:H18" si="34">VLOOKUP($A18, INDIRECT(D$1&amp;"!A:C"), 3, FALSE)</f>
        <v>0</v>
      </c>
      <c r="E18" s="50" t="str">
        <f t="shared" si="34"/>
        <v>TO DO</v>
      </c>
      <c r="F18" s="50" t="str">
        <f t="shared" si="34"/>
        <v>TO DO</v>
      </c>
      <c r="G18" s="50" t="b">
        <f t="shared" si="34"/>
        <v>0</v>
      </c>
      <c r="H18" s="50" t="b">
        <f t="shared" si="34"/>
        <v>0</v>
      </c>
      <c r="I18" s="51">
        <f t="shared" si="4"/>
        <v>1</v>
      </c>
      <c r="J18" s="52" t="str">
        <f t="shared" ref="J18:N18" si="35">VLOOKUP($A18, INDIRECT(J$1&amp;"!A:D"), 4, FALSE)</f>
        <v/>
      </c>
      <c r="K18" s="52" t="str">
        <f t="shared" si="35"/>
        <v/>
      </c>
      <c r="L18" s="52" t="str">
        <f t="shared" si="35"/>
        <v/>
      </c>
      <c r="M18" s="52" t="str">
        <f t="shared" si="35"/>
        <v/>
      </c>
      <c r="N18" s="52" t="str">
        <f t="shared" si="35"/>
        <v/>
      </c>
      <c r="O18" s="51" t="str">
        <f>IFERROR(__xludf.DUMMYFUNCTION("IF(COUNTA(J18:N18)=0, """", ARRAYFORMULA(""- ""&amp;TEXTJOIN(char(10)&amp;""- "", TRUE, FILTER(J$1:N$1&amp;"": ""&amp;J18:N18, NOT(ISBLANK(J18:N18))))))"),"")</f>
        <v/>
      </c>
      <c r="P18" s="51" t="s">
        <v>400</v>
      </c>
      <c r="Q18" s="53" t="s">
        <v>402</v>
      </c>
    </row>
    <row r="19">
      <c r="A19" s="12" t="str">
        <f>IFERROR(__xludf.DUMMYFUNCTION("""COMPUTED_VALUE"""),"a2deed2945173b7fb758c45538d672a9")</f>
        <v>a2deed2945173b7fb758c45538d672a9</v>
      </c>
      <c r="B19" s="12" t="str">
        <f>IFERROR(__xludf.DUMMYFUNCTION("""COMPUTED_VALUE"""),"Common sources of data include household and living standard surveys, sectoral statistics, labour force reviews and so on. Experience to date, however, has shown that data collection processes often differ and there is a lack of alignment between global m"&amp;"onitoring needs and national reporting capacities (Paris21, 2013). The approach used by the UK for the 2012 national assessment of flood risk was to score datasets against a number of criteria to determine their statistical quality and relative strengths "&amp;"and weaknesses (see Box 2.1). However, such scorecard assessments can be difficult to do in practice if there is no central data repository or if there is limited co-ordination between data producers and users.")</f>
        <v>Common sources of data include household and living standard surveys, sectoral statistics, labour force reviews and so on. Experience to date, however, has shown that data collection processes often differ and there is a lack of alignment between global monitoring needs and national reporting capacities (Paris21, 2013). The approach used by the UK for the 2012 national assessment of flood risk was to score datasets against a number of criteria to determine their statistical quality and relative strengths and weaknesses (see Box 2.1). However, such scorecard assessments can be difficult to do in practice if there is no central data repository or if there is limited co-ordination between data producers and users.</v>
      </c>
      <c r="C19" s="7" t="s">
        <v>409</v>
      </c>
      <c r="D19" s="50" t="str">
        <f t="shared" ref="D19:H19" si="36">VLOOKUP($A19, INDIRECT(D$1&amp;"!A:C"), 3, FALSE)</f>
        <v>SKIP</v>
      </c>
      <c r="E19" s="50" t="str">
        <f t="shared" si="36"/>
        <v>TO DO</v>
      </c>
      <c r="F19" s="50" t="str">
        <f t="shared" si="36"/>
        <v>TO DO</v>
      </c>
      <c r="G19" s="50" t="b">
        <f t="shared" si="36"/>
        <v>1</v>
      </c>
      <c r="H19" s="50" t="b">
        <f t="shared" si="36"/>
        <v>0</v>
      </c>
      <c r="I19" s="51">
        <f t="shared" si="4"/>
        <v>0</v>
      </c>
      <c r="J19" s="52" t="str">
        <f t="shared" ref="J19:N19" si="37">VLOOKUP($A19, INDIRECT(J$1&amp;"!A:D"), 4, FALSE)</f>
        <v>related to target 13.1, but more about measurement</v>
      </c>
      <c r="K19" s="52" t="str">
        <f t="shared" si="37"/>
        <v/>
      </c>
      <c r="L19" s="52" t="str">
        <f t="shared" si="37"/>
        <v/>
      </c>
      <c r="M19" s="52" t="str">
        <f t="shared" si="37"/>
        <v/>
      </c>
      <c r="N19" s="52" t="str">
        <f t="shared" si="37"/>
        <v>flood risk but not talking about resilience or adaptive capacities</v>
      </c>
      <c r="O19" s="51" t="str">
        <f>IFERROR(__xludf.DUMMYFUNCTION("IF(COUNTA(J19:N19)=0, """", ARRAYFORMULA(""- ""&amp;TEXTJOIN(char(10)&amp;""- "", TRUE, FILTER(J$1:N$1&amp;"": ""&amp;J19:N19, NOT(ISBLANK(J19:N19))))))"),"- Finn: related to target 13.1, but more about measurement
- Steve: flood risk but not talking about resilience or adaptive capacities")</f>
        <v>- Finn: related to target 13.1, but more about measurement
- Steve: flood risk but not talking about resilience or adaptive capacities</v>
      </c>
      <c r="P19" s="51" t="s">
        <v>410</v>
      </c>
      <c r="Q19" s="53" t="s">
        <v>401</v>
      </c>
    </row>
    <row r="20">
      <c r="A20" s="12" t="str">
        <f>IFERROR(__xludf.DUMMYFUNCTION("""COMPUTED_VALUE"""),"555d67cba1d1d1935b39ec487291ffe2")</f>
        <v>555d67cba1d1d1935b39ec487291ffe2</v>
      </c>
      <c r="B20" s="12" t="str">
        <f>IFERROR(__xludf.DUMMYFUNCTION("""COMPUTED_VALUE"""),"However it is also vital to restore the communications infrastructure as a whole. The internet, however, operates on the principles of packet-switching in which individual packets of information that make up a message can take any one of multiple routes a"&amp;"ccording to availability. This level of redundancy makes it inherently more flexible and resilient.")</f>
        <v>However it is also vital to restore the communications infrastructure as a whole. The internet, however, operates on the principles of packet-switching in which individual packets of information that make up a message can take any one of multiple routes according to availability. This level of redundancy makes it inherently more flexible and resilient.</v>
      </c>
      <c r="C20" s="7"/>
      <c r="D20" s="50" t="b">
        <f t="shared" ref="D20:H20" si="38">VLOOKUP($A20, INDIRECT(D$1&amp;"!A:C"), 3, FALSE)</f>
        <v>0</v>
      </c>
      <c r="E20" s="50" t="str">
        <f t="shared" si="38"/>
        <v>TO DO</v>
      </c>
      <c r="F20" s="50" t="str">
        <f t="shared" si="38"/>
        <v>TO DO</v>
      </c>
      <c r="G20" s="50" t="b">
        <f t="shared" si="38"/>
        <v>0</v>
      </c>
      <c r="H20" s="50" t="b">
        <f t="shared" si="38"/>
        <v>0</v>
      </c>
      <c r="I20" s="51">
        <f t="shared" si="4"/>
        <v>1</v>
      </c>
      <c r="J20" s="52" t="str">
        <f t="shared" ref="J20:N20" si="39">VLOOKUP($A20, INDIRECT(J$1&amp;"!A:D"), 4, FALSE)</f>
        <v/>
      </c>
      <c r="K20" s="52" t="str">
        <f t="shared" si="39"/>
        <v/>
      </c>
      <c r="L20" s="52" t="str">
        <f t="shared" si="39"/>
        <v/>
      </c>
      <c r="M20" s="52" t="str">
        <f t="shared" si="39"/>
        <v/>
      </c>
      <c r="N20" s="52" t="str">
        <f t="shared" si="39"/>
        <v/>
      </c>
      <c r="O20" s="51" t="str">
        <f>IFERROR(__xludf.DUMMYFUNCTION("IF(COUNTA(J20:N20)=0, """", ARRAYFORMULA(""- ""&amp;TEXTJOIN(char(10)&amp;""- "", TRUE, FILTER(J$1:N$1&amp;"": ""&amp;J20:N20, NOT(ISBLANK(J20:N20))))))"),"")</f>
        <v/>
      </c>
      <c r="P20" s="51" t="s">
        <v>400</v>
      </c>
      <c r="Q20" s="53" t="s">
        <v>402</v>
      </c>
    </row>
    <row r="21">
      <c r="A21" s="12" t="str">
        <f>IFERROR(__xludf.DUMMYFUNCTION("""COMPUTED_VALUE"""),"991424ae3d1a00619b4d51308b5775d9")</f>
        <v>991424ae3d1a00619b4d51308b5775d9</v>
      </c>
      <c r="B21" s="12" t="str">
        <f>IFERROR(__xludf.DUMMYFUNCTION("""COMPUTED_VALUE"""),"It also uses the term “recipient” for the country, programme or activity the funds are being channelled to. Such terms may be less relevant for developing countries that provide support, given the different nature, modalities and responsibilities applicab"&amp;"le to South-South co-operation. Countries are not viewed as donors and recipients, but providers and partners.22 Not all countries agree with the “boundaries” of ODA and OOF as defined by the OECD or view them as applicable (OECD, 2015b, Walz and Ramachan"&amp;"dran, 2011).")</f>
        <v>It also uses the term “recipient” for the country, programme or activity the funds are being channelled to. Such terms may be less relevant for developing countries that provide support, given the different nature, modalities and responsibilities applicable to South-South co-operation. Countries are not viewed as donors and recipients, but providers and partners.22 Not all countries agree with the “boundaries” of ODA and OOF as defined by the OECD or view them as applicable (OECD, 2015b, Walz and Ramachandran, 2011).</v>
      </c>
      <c r="C21" s="7"/>
      <c r="D21" s="50" t="b">
        <f t="shared" ref="D21:H21" si="40">VLOOKUP($A21, INDIRECT(D$1&amp;"!A:C"), 3, FALSE)</f>
        <v>0</v>
      </c>
      <c r="E21" s="50" t="str">
        <f t="shared" si="40"/>
        <v>TO DO</v>
      </c>
      <c r="F21" s="50" t="str">
        <f t="shared" si="40"/>
        <v>TO DO</v>
      </c>
      <c r="G21" s="50" t="b">
        <f t="shared" si="40"/>
        <v>0</v>
      </c>
      <c r="H21" s="50" t="b">
        <f t="shared" si="40"/>
        <v>0</v>
      </c>
      <c r="I21" s="51">
        <f t="shared" si="4"/>
        <v>1</v>
      </c>
      <c r="J21" s="52" t="str">
        <f t="shared" ref="J21:N21" si="41">VLOOKUP($A21, INDIRECT(J$1&amp;"!A:D"), 4, FALSE)</f>
        <v/>
      </c>
      <c r="K21" s="52" t="str">
        <f t="shared" si="41"/>
        <v/>
      </c>
      <c r="L21" s="52" t="str">
        <f t="shared" si="41"/>
        <v/>
      </c>
      <c r="M21" s="52" t="str">
        <f t="shared" si="41"/>
        <v/>
      </c>
      <c r="N21" s="52" t="str">
        <f t="shared" si="41"/>
        <v/>
      </c>
      <c r="O21" s="51" t="str">
        <f>IFERROR(__xludf.DUMMYFUNCTION("IF(COUNTA(J21:N21)=0, """", ARRAYFORMULA(""- ""&amp;TEXTJOIN(char(10)&amp;""- "", TRUE, FILTER(J$1:N$1&amp;"": ""&amp;J21:N21, NOT(ISBLANK(J21:N21))))))"),"")</f>
        <v/>
      </c>
      <c r="P21" s="51" t="s">
        <v>400</v>
      </c>
      <c r="Q21" s="53" t="s">
        <v>402</v>
      </c>
    </row>
    <row r="22">
      <c r="A22" s="12" t="str">
        <f>IFERROR(__xludf.DUMMYFUNCTION("""COMPUTED_VALUE"""),"2b76e51c238ec3325f9888c4de210b3c")</f>
        <v>2b76e51c238ec3325f9888c4de210b3c</v>
      </c>
      <c r="B22" s="12" t="str">
        <f>IFERROR(__xludf.DUMMYFUNCTION("""COMPUTED_VALUE"""),"Internal risks as they apply to individual public institutions or to the institutional system as a whole are not considered in detail here. For example, although risk management is an essential component of public procurement processes, it is out of the s"&amp;"cope of this chapter. Similarly, anti corruption, for which riskand vulnerability are key considerations for effective strategies, is not addressed here (see chapter 2 in this report for a treatment of risk i n corruption).")</f>
        <v>Internal risks as they apply to individual public institutions or to the institutional system as a whole are not considered in detail here. For example, although risk management is an essential component of public procurement processes, it is out of the scope of this chapter. Similarly, anti corruption, for which riskand vulnerability are key considerations for effective strategies, is not addressed here (see chapter 2 in this report for a treatment of risk i n corruption).</v>
      </c>
      <c r="C22" s="55"/>
      <c r="D22" s="50" t="b">
        <f t="shared" ref="D22:H22" si="42">VLOOKUP($A22, INDIRECT(D$1&amp;"!A:C"), 3, FALSE)</f>
        <v>0</v>
      </c>
      <c r="E22" s="50" t="str">
        <f t="shared" si="42"/>
        <v>TO DO</v>
      </c>
      <c r="F22" s="50" t="str">
        <f t="shared" si="42"/>
        <v>TO DO</v>
      </c>
      <c r="G22" s="50" t="b">
        <f t="shared" si="42"/>
        <v>0</v>
      </c>
      <c r="H22" s="50" t="b">
        <f t="shared" si="42"/>
        <v>0</v>
      </c>
      <c r="I22" s="51">
        <f t="shared" si="4"/>
        <v>1</v>
      </c>
      <c r="J22" s="52" t="str">
        <f t="shared" ref="J22:N22" si="43">VLOOKUP($A22, INDIRECT(J$1&amp;"!A:D"), 4, FALSE)</f>
        <v/>
      </c>
      <c r="K22" s="52" t="str">
        <f t="shared" si="43"/>
        <v/>
      </c>
      <c r="L22" s="52" t="str">
        <f t="shared" si="43"/>
        <v/>
      </c>
      <c r="M22" s="52" t="str">
        <f t="shared" si="43"/>
        <v/>
      </c>
      <c r="N22" s="52" t="str">
        <f t="shared" si="43"/>
        <v/>
      </c>
      <c r="O22" s="51" t="str">
        <f>IFERROR(__xludf.DUMMYFUNCTION("IF(COUNTA(J22:N22)=0, """", ARRAYFORMULA(""- ""&amp;TEXTJOIN(char(10)&amp;""- "", TRUE, FILTER(J$1:N$1&amp;"": ""&amp;J22:N22, NOT(ISBLANK(J22:N22))))))"),"")</f>
        <v/>
      </c>
      <c r="P22" s="51" t="s">
        <v>400</v>
      </c>
      <c r="Q22" s="53" t="s">
        <v>402</v>
      </c>
    </row>
    <row r="23">
      <c r="A23" s="12" t="str">
        <f>IFERROR(__xludf.DUMMYFUNCTION("""COMPUTED_VALUE"""),"7d5ec4b7cae0a43bf0aed9ee779a4322")</f>
        <v>7d5ec4b7cae0a43bf0aed9ee779a4322</v>
      </c>
      <c r="B23" s="12" t="str">
        <f>IFERROR(__xludf.DUMMYFUNCTION("""COMPUTED_VALUE"""),"This includes, for example, policy reforms such as helping phase out fossil fuel subsidies, which in turn increases the profitability of clean energy investment and the potential for instruments such as feed-in tariffs to promote renewable energy technolo"&amp;"gies. More broadly, this support also goes towards building much needed institutional and technical capacity in partner country governments and institutions, which enables governments to mobilise and sustain green investment. Emerging approaches by develo"&amp;"pment partners take a 'market systems' approach to promote green growth by encouraging the development of green value chains and markets for green products and services.")</f>
        <v>This includes, for example, policy reforms such as helping phase out fossil fuel subsidies, which in turn increases the profitability of clean energy investment and the potential for instruments such as feed-in tariffs to promote renewable energy technologies. More broadly, this support also goes towards building much needed institutional and technical capacity in partner country governments and institutions, which enables governments to mobilise and sustain green investment. Emerging approaches by development partners take a 'market systems' approach to promote green growth by encouraging the development of green value chains and markets for green products and services.</v>
      </c>
      <c r="C23" s="50"/>
      <c r="D23" s="50" t="b">
        <f t="shared" ref="D23:H23" si="44">VLOOKUP($A23, INDIRECT(D$1&amp;"!A:C"), 3, FALSE)</f>
        <v>1</v>
      </c>
      <c r="E23" s="50" t="str">
        <f t="shared" si="44"/>
        <v>TO DO</v>
      </c>
      <c r="F23" s="50" t="str">
        <f t="shared" si="44"/>
        <v>TO DO</v>
      </c>
      <c r="G23" s="50" t="str">
        <f t="shared" si="44"/>
        <v>TO DO</v>
      </c>
      <c r="H23" s="50" t="b">
        <f t="shared" si="44"/>
        <v>1</v>
      </c>
      <c r="I23" s="51">
        <f t="shared" si="4"/>
        <v>1</v>
      </c>
      <c r="J23" s="52" t="str">
        <f t="shared" ref="J23:N23" si="45">VLOOKUP($A23, INDIRECT(J$1&amp;"!A:D"), 4, FALSE)</f>
        <v>primarily SGD 7, SDG 12</v>
      </c>
      <c r="K23" s="52" t="str">
        <f t="shared" si="45"/>
        <v/>
      </c>
      <c r="L23" s="52" t="str">
        <f t="shared" si="45"/>
        <v/>
      </c>
      <c r="M23" s="52" t="str">
        <f t="shared" si="45"/>
        <v/>
      </c>
      <c r="N23" s="52" t="str">
        <f t="shared" si="45"/>
        <v/>
      </c>
      <c r="O23" s="51" t="str">
        <f>IFERROR(__xludf.DUMMYFUNCTION("IF(COUNTA(J23:N23)=0, """", ARRAYFORMULA(""- ""&amp;TEXTJOIN(char(10)&amp;""- "", TRUE, FILTER(J$1:N$1&amp;"": ""&amp;J23:N23, NOT(ISBLANK(J23:N23))))))"),"- Finn: primarily SGD 7, SDG 12")</f>
        <v>- Finn: primarily SGD 7, SDG 12</v>
      </c>
      <c r="P23" s="51" t="s">
        <v>411</v>
      </c>
      <c r="Q23" s="56" t="s">
        <v>401</v>
      </c>
      <c r="R23" s="5" t="s">
        <v>412</v>
      </c>
    </row>
    <row r="24">
      <c r="A24" s="12" t="str">
        <f>IFERROR(__xludf.DUMMYFUNCTION("""COMPUTED_VALUE"""),"7233af3cdd64e050af652f765a197230")</f>
        <v>7233af3cdd64e050af652f765a197230</v>
      </c>
      <c r="B24" s="12" t="str">
        <f>IFERROR(__xludf.DUMMYFUNCTION("""COMPUTED_VALUE"""),"Ministers reaffirmed their commitment to implement the APEC environmental goods list, which lists goods on which APEC members will reduce tariffs by the end of 2015. In 2014, this included briefings by CITES, the Convention on Biological Diversity (CBD) a"&amp;"nd the United Nations Framework Convention on Climate Change (UNFCCC). New Zealand briefed the CTE on the jointly organized Parties meeting held in Lima in December 2014.")</f>
        <v>Ministers reaffirmed their commitment to implement the APEC environmental goods list, which lists goods on which APEC members will reduce tariffs by the end of 2015. In 2014, this included briefings by CITES, the Convention on Biological Diversity (CBD) and the United Nations Framework Convention on Climate Change (UNFCCC). New Zealand briefed the CTE on the jointly organized Parties meeting held in Lima in December 2014.</v>
      </c>
      <c r="C24" s="50"/>
      <c r="D24" s="50" t="b">
        <f t="shared" ref="D24:H24" si="46">VLOOKUP($A24, INDIRECT(D$1&amp;"!A:C"), 3, FALSE)</f>
        <v>0</v>
      </c>
      <c r="E24" s="50" t="b">
        <f t="shared" si="46"/>
        <v>0</v>
      </c>
      <c r="F24" s="50" t="str">
        <f t="shared" si="46"/>
        <v>TO DO</v>
      </c>
      <c r="G24" s="50" t="b">
        <f t="shared" si="46"/>
        <v>0</v>
      </c>
      <c r="H24" s="50" t="b">
        <f t="shared" si="46"/>
        <v>0</v>
      </c>
      <c r="I24" s="51">
        <f t="shared" si="4"/>
        <v>1</v>
      </c>
      <c r="J24" s="52" t="str">
        <f t="shared" ref="J24:N24" si="47">VLOOKUP($A24, INDIRECT(J$1&amp;"!A:D"), 4, FALSE)</f>
        <v/>
      </c>
      <c r="K24" s="52" t="str">
        <f t="shared" si="47"/>
        <v/>
      </c>
      <c r="L24" s="52" t="str">
        <f t="shared" si="47"/>
        <v/>
      </c>
      <c r="M24" s="52" t="str">
        <f t="shared" si="47"/>
        <v/>
      </c>
      <c r="N24" s="52" t="str">
        <f t="shared" si="47"/>
        <v>not so directly on tackling cc</v>
      </c>
      <c r="O24" s="51" t="str">
        <f>IFERROR(__xludf.DUMMYFUNCTION("IF(COUNTA(J24:N24)=0, """", ARRAYFORMULA(""- ""&amp;TEXTJOIN(char(10)&amp;""- "", TRUE, FILTER(J$1:N$1&amp;"": ""&amp;J24:N24, NOT(ISBLANK(J24:N24))))))"),"- Steve: not so directly on tackling cc")</f>
        <v>- Steve: not so directly on tackling cc</v>
      </c>
      <c r="P24" s="51" t="s">
        <v>413</v>
      </c>
      <c r="Q24" s="53" t="s">
        <v>402</v>
      </c>
    </row>
    <row r="25">
      <c r="A25" s="12" t="str">
        <f>IFERROR(__xludf.DUMMYFUNCTION("""COMPUTED_VALUE"""),"39e8f1930335d2a3b6161db61e538edc")</f>
        <v>39e8f1930335d2a3b6161db61e538edc</v>
      </c>
      <c r="B25" s="12" t="str">
        <f>IFERROR(__xludf.DUMMYFUNCTION("""COMPUTED_VALUE"""),"There was some causality to this correlation in that opportunity for corruption in those states was bred by the inflow of large sums of relief funding and lucrative postdisaster construction contracts (ibid.). In sectors and localities, corrupt practices "&amp;"can increase disaster risk by corroding a culture of compliance that is key to the effectiveness of codes, standards and similar regulatory mechanisms. The construction industry is one of the sectors most critical to disaster risk management and also one "&amp;"of the most prone to corruption (Transparency International, 2005).")</f>
        <v>There was some causality to this correlation in that opportunity for corruption in those states was bred by the inflow of large sums of relief funding and lucrative postdisaster construction contracts (ibid.). In sectors and localities, corrupt practices can increase disaster risk by corroding a culture of compliance that is key to the effectiveness of codes, standards and similar regulatory mechanisms. The construction industry is one of the sectors most critical to disaster risk management and also one of the most prone to corruption (Transparency International, 2005).</v>
      </c>
      <c r="C25" s="54"/>
      <c r="D25" s="50" t="b">
        <f t="shared" ref="D25:H25" si="48">VLOOKUP($A25, INDIRECT(D$1&amp;"!A:C"), 3, FALSE)</f>
        <v>0</v>
      </c>
      <c r="E25" s="50" t="str">
        <f t="shared" si="48"/>
        <v>TO DO</v>
      </c>
      <c r="F25" s="50" t="str">
        <f t="shared" si="48"/>
        <v>TO DO</v>
      </c>
      <c r="G25" s="50" t="b">
        <f t="shared" si="48"/>
        <v>1</v>
      </c>
      <c r="H25" s="50" t="b">
        <f t="shared" si="48"/>
        <v>1</v>
      </c>
      <c r="I25" s="51">
        <f t="shared" si="4"/>
        <v>0.3333333333</v>
      </c>
      <c r="J25" s="52" t="str">
        <f t="shared" ref="J25:N25" si="49">VLOOKUP($A25, INDIRECT(J$1&amp;"!A:D"), 4, FALSE)</f>
        <v/>
      </c>
      <c r="K25" s="52" t="str">
        <f t="shared" si="49"/>
        <v/>
      </c>
      <c r="L25" s="52" t="str">
        <f t="shared" si="49"/>
        <v/>
      </c>
      <c r="M25" s="52" t="str">
        <f t="shared" si="49"/>
        <v/>
      </c>
      <c r="N25" s="52" t="str">
        <f t="shared" si="49"/>
        <v>anti example of resilience and adpative capacity to disaster risk management?</v>
      </c>
      <c r="O25" s="51" t="str">
        <f>IFERROR(__xludf.DUMMYFUNCTION("IF(COUNTA(J25:N25)=0, """", ARRAYFORMULA(""- ""&amp;TEXTJOIN(char(10)&amp;""- "", TRUE, FILTER(J$1:N$1&amp;"": ""&amp;J25:N25, NOT(ISBLANK(J25:N25))))))"),"- Steve: anti example of resilience and adpative capacity to disaster risk management?")</f>
        <v>- Steve: anti example of resilience and adpative capacity to disaster risk management?</v>
      </c>
      <c r="P25" s="51" t="s">
        <v>414</v>
      </c>
      <c r="Q25" s="53" t="s">
        <v>401</v>
      </c>
      <c r="R25" s="5" t="s">
        <v>415</v>
      </c>
    </row>
    <row r="26">
      <c r="A26" s="12" t="str">
        <f>IFERROR(__xludf.DUMMYFUNCTION("""COMPUTED_VALUE"""),"bfdd97101db440190e2d5f5062f31c3e")</f>
        <v>bfdd97101db440190e2d5f5062f31c3e</v>
      </c>
      <c r="B26" s="12" t="str">
        <f>IFERROR(__xludf.DUMMYFUNCTION("""COMPUTED_VALUE"""),"Ideally, ESD-related professional development would be undertaken alongside complementary initiatives including those mentioned above, as well as curricular and examination reforms, linking training on ESD with re-certification or promotional pathways, sc"&amp;"hool improvement programmes, ESD training for principals and so on. Additionally, such professional development could come with a requirement that participating teachers pass on their training in their home schools to help expand the reach of ESD training"&amp;" when resources are limited. The structure is flexible and can be formalised to include scheduled topics, chairpersons and presentations.")</f>
        <v>Ideally, ESD-related professional development would be undertaken alongside complementary initiatives including those mentioned above, as well as curricular and examination reforms, linking training on ESD with re-certification or promotional pathways, school improvement programmes, ESD training for principals and so on. Additionally, such professional development could come with a requirement that participating teachers pass on their training in their home schools to help expand the reach of ESD training when resources are limited. The structure is flexible and can be formalised to include scheduled topics, chairpersons and presentations.</v>
      </c>
      <c r="C26" s="7"/>
      <c r="D26" s="50" t="b">
        <f t="shared" ref="D26:H26" si="50">VLOOKUP($A26, INDIRECT(D$1&amp;"!A:C"), 3, FALSE)</f>
        <v>0</v>
      </c>
      <c r="E26" s="50" t="str">
        <f t="shared" si="50"/>
        <v>TO DO</v>
      </c>
      <c r="F26" s="50" t="str">
        <f t="shared" si="50"/>
        <v>TO DO</v>
      </c>
      <c r="G26" s="50" t="b">
        <f t="shared" si="50"/>
        <v>0</v>
      </c>
      <c r="H26" s="50" t="b">
        <f t="shared" si="50"/>
        <v>0</v>
      </c>
      <c r="I26" s="51">
        <f t="shared" si="4"/>
        <v>1</v>
      </c>
      <c r="J26" s="52" t="str">
        <f t="shared" ref="J26:N26" si="51">VLOOKUP($A26, INDIRECT(J$1&amp;"!A:D"), 4, FALSE)</f>
        <v/>
      </c>
      <c r="K26" s="52" t="str">
        <f t="shared" si="51"/>
        <v/>
      </c>
      <c r="L26" s="52" t="str">
        <f t="shared" si="51"/>
        <v/>
      </c>
      <c r="M26" s="52" t="str">
        <f t="shared" si="51"/>
        <v/>
      </c>
      <c r="N26" s="52" t="str">
        <f t="shared" si="51"/>
        <v/>
      </c>
      <c r="O26" s="51" t="str">
        <f>IFERROR(__xludf.DUMMYFUNCTION("IF(COUNTA(J26:N26)=0, """", ARRAYFORMULA(""- ""&amp;TEXTJOIN(char(10)&amp;""- "", TRUE, FILTER(J$1:N$1&amp;"": ""&amp;J26:N26, NOT(ISBLANK(J26:N26))))))"),"")</f>
        <v/>
      </c>
      <c r="P26" s="51" t="s">
        <v>400</v>
      </c>
      <c r="Q26" s="53" t="s">
        <v>402</v>
      </c>
    </row>
    <row r="27">
      <c r="A27" s="12" t="str">
        <f>IFERROR(__xludf.DUMMYFUNCTION("""COMPUTED_VALUE"""),"caa44e92110e395863352c6e68e8aa87")</f>
        <v>caa44e92110e395863352c6e68e8aa87</v>
      </c>
      <c r="B27" s="12" t="str">
        <f>IFERROR(__xludf.DUMMYFUNCTION("""COMPUTED_VALUE"""),"Depending on the results of this risk assessment process, they may decide that it is necessary to implement explicit risk management strategies. Each successive level builds on the results of the preceding one. The key question for them is what their risk"&amp;"s are now and how these will evolve over time.")</f>
        <v>Depending on the results of this risk assessment process, they may decide that it is necessary to implement explicit risk management strategies. Each successive level builds on the results of the preceding one. The key question for them is what their risks are now and how these will evolve over time.</v>
      </c>
      <c r="C27" s="50"/>
      <c r="D27" s="50" t="b">
        <f t="shared" ref="D27:H27" si="52">VLOOKUP($A27, INDIRECT(D$1&amp;"!A:C"), 3, FALSE)</f>
        <v>0</v>
      </c>
      <c r="E27" s="50" t="str">
        <f t="shared" si="52"/>
        <v>TO DO</v>
      </c>
      <c r="F27" s="50" t="str">
        <f t="shared" si="52"/>
        <v>TO DO</v>
      </c>
      <c r="G27" s="50" t="b">
        <f t="shared" si="52"/>
        <v>1</v>
      </c>
      <c r="H27" s="50" t="b">
        <f t="shared" si="52"/>
        <v>0</v>
      </c>
      <c r="I27" s="51">
        <f t="shared" si="4"/>
        <v>0.3333333333</v>
      </c>
      <c r="J27" s="52" t="str">
        <f t="shared" ref="J27:N27" si="53">VLOOKUP($A27, INDIRECT(J$1&amp;"!A:D"), 4, FALSE)</f>
        <v/>
      </c>
      <c r="K27" s="52" t="str">
        <f t="shared" si="53"/>
        <v/>
      </c>
      <c r="L27" s="52" t="str">
        <f t="shared" si="53"/>
        <v/>
      </c>
      <c r="M27" s="52" t="str">
        <f t="shared" si="53"/>
        <v/>
      </c>
      <c r="N27" s="52" t="str">
        <f t="shared" si="53"/>
        <v/>
      </c>
      <c r="O27" s="51" t="str">
        <f>IFERROR(__xludf.DUMMYFUNCTION("IF(COUNTA(J27:N27)=0, """", ARRAYFORMULA(""- ""&amp;TEXTJOIN(char(10)&amp;""- "", TRUE, FILTER(J$1:N$1&amp;"": ""&amp;J27:N27, NOT(ISBLANK(J27:N27))))))"),"")</f>
        <v/>
      </c>
      <c r="P27" s="51" t="s">
        <v>400</v>
      </c>
      <c r="Q27" s="53" t="s">
        <v>401</v>
      </c>
    </row>
    <row r="28">
      <c r="A28" s="12" t="str">
        <f>IFERROR(__xludf.DUMMYFUNCTION("""COMPUTED_VALUE"""),"34a99e6f5fa914f7a0242511d1a35964")</f>
        <v>34a99e6f5fa914f7a0242511d1a35964</v>
      </c>
      <c r="B28" s="12" t="str">
        <f>IFERROR(__xludf.DUMMYFUNCTION("""COMPUTED_VALUE"""),"Since the late 1990s, the Government of Ethiopia has had clear aspirations for broad-based sustainable development and poverty reduction, as evidenced in a series of strategies such as the Sustainable Development for Poverty Reduction Programme (SDPRP, 20"&amp;"00-2004), the Plan for Accelerated and Sustained Development to End Poverty (PASDEP, 2005 to 2009), and the Growth and Transformation Plan (GTP, 2010-2014). The effects on the economy of the first two strategies were judged to be very significant, with st"&amp;"rong economic growth, poverty reduced, employment increased, and some exports flourishing (MoFED, 2002,2005). Its clear link to the GTP, notably its reassertion of the need to achieve middle-income status, means that it builds on previous decisions about "&amp;"where national development is headed.")</f>
        <v>Since the late 1990s, the Government of Ethiopia has had clear aspirations for broad-based sustainable development and poverty reduction, as evidenced in a series of strategies such as the Sustainable Development for Poverty Reduction Programme (SDPRP, 2000-2004), the Plan for Accelerated and Sustained Development to End Poverty (PASDEP, 2005 to 2009), and the Growth and Transformation Plan (GTP, 2010-2014). The effects on the economy of the first two strategies were judged to be very significant, with strong economic growth, poverty reduced, employment increased, and some exports flourishing (MoFED, 2002,2005). Its clear link to the GTP, notably its reassertion of the need to achieve middle-income status, means that it builds on previous decisions about where national development is headed.</v>
      </c>
      <c r="C28" s="54"/>
      <c r="D28" s="50" t="b">
        <f t="shared" ref="D28:H28" si="54">VLOOKUP($A28, INDIRECT(D$1&amp;"!A:C"), 3, FALSE)</f>
        <v>0</v>
      </c>
      <c r="E28" s="50" t="str">
        <f t="shared" si="54"/>
        <v>TO DO</v>
      </c>
      <c r="F28" s="50" t="str">
        <f t="shared" si="54"/>
        <v>TO DO</v>
      </c>
      <c r="G28" s="50" t="b">
        <f t="shared" si="54"/>
        <v>0</v>
      </c>
      <c r="H28" s="50" t="b">
        <f t="shared" si="54"/>
        <v>0</v>
      </c>
      <c r="I28" s="51">
        <f t="shared" si="4"/>
        <v>1</v>
      </c>
      <c r="J28" s="52" t="str">
        <f t="shared" ref="J28:N28" si="55">VLOOKUP($A28, INDIRECT(J$1&amp;"!A:D"), 4, FALSE)</f>
        <v/>
      </c>
      <c r="K28" s="52" t="str">
        <f t="shared" si="55"/>
        <v/>
      </c>
      <c r="L28" s="52" t="str">
        <f t="shared" si="55"/>
        <v/>
      </c>
      <c r="M28" s="52" t="str">
        <f t="shared" si="55"/>
        <v/>
      </c>
      <c r="N28" s="52" t="str">
        <f t="shared" si="55"/>
        <v/>
      </c>
      <c r="O28" s="51" t="str">
        <f>IFERROR(__xludf.DUMMYFUNCTION("IF(COUNTA(J28:N28)=0, """", ARRAYFORMULA(""- ""&amp;TEXTJOIN(char(10)&amp;""- "", TRUE, FILTER(J$1:N$1&amp;"": ""&amp;J28:N28, NOT(ISBLANK(J28:N28))))))"),"")</f>
        <v/>
      </c>
      <c r="P28" s="51" t="s">
        <v>400</v>
      </c>
      <c r="Q28" s="53" t="s">
        <v>402</v>
      </c>
    </row>
    <row r="29">
      <c r="A29" s="12" t="str">
        <f>IFERROR(__xludf.DUMMYFUNCTION("""COMPUTED_VALUE"""),"7ec93941c63752701a2ef7870e4c4257")</f>
        <v>7ec93941c63752701a2ef7870e4c4257</v>
      </c>
      <c r="B29" s="12" t="str">
        <f>IFERROR(__xludf.DUMMYFUNCTION("""COMPUTED_VALUE"""),"Many of the diverse carbon-related investment ideas in the CRGE are practicable and financially sound. While such ideas have not yet reaped rewards in terms of significant climate funding, they have improved the confidence of Ethiopia’s bilateral donors, "&amp;"some of whom have supported the CRGE process, but more of whom are considering ways to help Ethiopia address the evident implementation and capacity challenges. While the current focus of the CRGE is usefully tactical, if the singular focus on achieving M"&amp;"IC status and GHG reduction were to continue beyond an initial carefully-monitored phase, that focus could bias against future options for wellbeing. Sustainable development demands, ultimately, that linked systemic problems are tackled with systemic impr"&amp;"ovements to institutions and governance, and not just with investment projects. It requires changing the way that routine government expenditure is channelled, and not just with attracting new sources of finance. It demands attention to the range of envir"&amp;"onmental opportunities, and not just with GHGs.")</f>
        <v>Many of the diverse carbon-related investment ideas in the CRGE are practicable and financially sound. While such ideas have not yet reaped rewards in terms of significant climate funding, they have improved the confidence of Ethiopia’s bilateral donors, some of whom have supported the CRGE process, but more of whom are considering ways to help Ethiopia address the evident implementation and capacity challenges. While the current focus of the CRGE is usefully tactical, if the singular focus on achieving MIC status and GHG reduction were to continue beyond an initial carefully-monitored phase, that focus could bias against future options for wellbeing. Sustainable development demands, ultimately, that linked systemic problems are tackled with systemic improvements to institutions and governance, and not just with investment projects. It requires changing the way that routine government expenditure is channelled, and not just with attracting new sources of finance. It demands attention to the range of environmental opportunities, and not just with GHGs.</v>
      </c>
      <c r="C29" s="54"/>
      <c r="D29" s="50" t="b">
        <f t="shared" ref="D29:H29" si="56">VLOOKUP($A29, INDIRECT(D$1&amp;"!A:C"), 3, FALSE)</f>
        <v>1</v>
      </c>
      <c r="E29" s="50" t="b">
        <f t="shared" si="56"/>
        <v>1</v>
      </c>
      <c r="F29" s="50" t="str">
        <f t="shared" si="56"/>
        <v>TO DO</v>
      </c>
      <c r="G29" s="50" t="b">
        <f t="shared" si="56"/>
        <v>1</v>
      </c>
      <c r="H29" s="50" t="b">
        <f t="shared" si="56"/>
        <v>1</v>
      </c>
      <c r="I29" s="51">
        <f t="shared" si="4"/>
        <v>1</v>
      </c>
      <c r="J29" s="52" t="str">
        <f t="shared" ref="J29:N29" si="57">VLOOKUP($A29, INDIRECT(J$1&amp;"!A:D"), 4, FALSE)</f>
        <v/>
      </c>
      <c r="K29" s="52" t="str">
        <f t="shared" si="57"/>
        <v/>
      </c>
      <c r="L29" s="52" t="str">
        <f t="shared" si="57"/>
        <v/>
      </c>
      <c r="M29" s="52" t="str">
        <f t="shared" si="57"/>
        <v/>
      </c>
      <c r="N29" s="52" t="str">
        <f t="shared" si="57"/>
        <v/>
      </c>
      <c r="O29" s="51" t="str">
        <f>IFERROR(__xludf.DUMMYFUNCTION("IF(COUNTA(J29:N29)=0, """", ARRAYFORMULA(""- ""&amp;TEXTJOIN(char(10)&amp;""- "", TRUE, FILTER(J$1:N$1&amp;"": ""&amp;J29:N29, NOT(ISBLANK(J29:N29))))))"),"")</f>
        <v/>
      </c>
      <c r="P29" s="51" t="s">
        <v>400</v>
      </c>
      <c r="Q29" s="53" t="s">
        <v>403</v>
      </c>
    </row>
    <row r="30">
      <c r="A30" s="12" t="str">
        <f>IFERROR(__xludf.DUMMYFUNCTION("""COMPUTED_VALUE"""),"e54d664ae53e320d2fc2f76302fb5f81")</f>
        <v>e54d664ae53e320d2fc2f76302fb5f81</v>
      </c>
      <c r="B30" s="12" t="str">
        <f>IFERROR(__xludf.DUMMYFUNCTION("""COMPUTED_VALUE"""),"As it stands, there is a risk of adaptation continuing to be perceived as a solely environmental issue and it may prove difficult to secure support for measures outside that domain, leading to uneven implementation. It will be important to build on the po"&amp;"sitive experience of the stakeholder participation process to raise awareness of adaptation by senior policy makers such as ministers, members of relevant parliamentary commissions and senior officials. Targeted communications activities will be an essent"&amp;"ial element.")</f>
        <v>As it stands, there is a risk of adaptation continuing to be perceived as a solely environmental issue and it may prove difficult to secure support for measures outside that domain, leading to uneven implementation. It will be important to build on the positive experience of the stakeholder participation process to raise awareness of adaptation by senior policy makers such as ministers, members of relevant parliamentary commissions and senior officials. Targeted communications activities will be an essential element.</v>
      </c>
      <c r="C30" s="7" t="s">
        <v>409</v>
      </c>
      <c r="D30" s="50" t="str">
        <f t="shared" ref="D30:H30" si="58">VLOOKUP($A30, INDIRECT(D$1&amp;"!A:C"), 3, FALSE)</f>
        <v>SKIP</v>
      </c>
      <c r="E30" s="50" t="str">
        <f t="shared" si="58"/>
        <v>TO DO</v>
      </c>
      <c r="F30" s="50" t="str">
        <f t="shared" si="58"/>
        <v>TO DO</v>
      </c>
      <c r="G30" s="50" t="b">
        <f t="shared" si="58"/>
        <v>1</v>
      </c>
      <c r="H30" s="50" t="b">
        <f t="shared" si="58"/>
        <v>0</v>
      </c>
      <c r="I30" s="51">
        <f t="shared" si="4"/>
        <v>0</v>
      </c>
      <c r="J30" s="52" t="str">
        <f t="shared" ref="J30:N30" si="59">VLOOKUP($A30, INDIRECT(J$1&amp;"!A:D"), 4, FALSE)</f>
        <v>unclear link to climate</v>
      </c>
      <c r="K30" s="52" t="str">
        <f t="shared" si="59"/>
        <v/>
      </c>
      <c r="L30" s="52" t="str">
        <f t="shared" si="59"/>
        <v/>
      </c>
      <c r="M30" s="52" t="str">
        <f t="shared" si="59"/>
        <v/>
      </c>
      <c r="N30" s="52" t="str">
        <f t="shared" si="59"/>
        <v>same with adaptation again</v>
      </c>
      <c r="O30" s="51" t="str">
        <f>IFERROR(__xludf.DUMMYFUNCTION("IF(COUNTA(J30:N30)=0, """", ARRAYFORMULA(""- ""&amp;TEXTJOIN(char(10)&amp;""- "", TRUE, FILTER(J$1:N$1&amp;"": ""&amp;J30:N30, NOT(ISBLANK(J30:N30))))))"),"- Finn: unclear link to climate
- Steve: same with adaptation again")</f>
        <v>- Finn: unclear link to climate
- Steve: same with adaptation again</v>
      </c>
      <c r="P30" s="51" t="s">
        <v>416</v>
      </c>
      <c r="Q30" s="53" t="s">
        <v>401</v>
      </c>
    </row>
    <row r="31">
      <c r="A31" s="12" t="str">
        <f>IFERROR(__xludf.DUMMYFUNCTION("""COMPUTED_VALUE"""),"f06040907eee4b7aa1263f154e417276")</f>
        <v>f06040907eee4b7aa1263f154e417276</v>
      </c>
      <c r="B31" s="12" t="str">
        <f>IFERROR(__xludf.DUMMYFUNCTION("""COMPUTED_VALUE"""),"These indicators are likely to have a micro-coverage in terms of geographical exposure (e.g. few communities) and life spans (few years), and to be specific to the programme in question. The data needed to implement this approach are project data and info"&amp;"rmation (often gathered via project-specific surveys). The research concludes that monitoring and evaluation frameworks should combine qualitative, quantitative and binary indicators.")</f>
        <v>These indicators are likely to have a micro-coverage in terms of geographical exposure (e.g. few communities) and life spans (few years), and to be specific to the programme in question. The data needed to implement this approach are project data and information (often gathered via project-specific surveys). The research concludes that monitoring and evaluation frameworks should combine qualitative, quantitative and binary indicators.</v>
      </c>
      <c r="C31" s="50"/>
      <c r="D31" s="50" t="b">
        <f t="shared" ref="D31:H31" si="60">VLOOKUP($A31, INDIRECT(D$1&amp;"!A:C"), 3, FALSE)</f>
        <v>0</v>
      </c>
      <c r="E31" s="50" t="str">
        <f t="shared" si="60"/>
        <v>TO DO</v>
      </c>
      <c r="F31" s="50" t="str">
        <f t="shared" si="60"/>
        <v>TO DO</v>
      </c>
      <c r="G31" s="50" t="b">
        <f t="shared" si="60"/>
        <v>0</v>
      </c>
      <c r="H31" s="50" t="b">
        <f t="shared" si="60"/>
        <v>0</v>
      </c>
      <c r="I31" s="51">
        <f t="shared" si="4"/>
        <v>1</v>
      </c>
      <c r="J31" s="52" t="str">
        <f t="shared" ref="J31:N31" si="61">VLOOKUP($A31, INDIRECT(J$1&amp;"!A:D"), 4, FALSE)</f>
        <v/>
      </c>
      <c r="K31" s="52" t="str">
        <f t="shared" si="61"/>
        <v/>
      </c>
      <c r="L31" s="52" t="str">
        <f t="shared" si="61"/>
        <v/>
      </c>
      <c r="M31" s="52" t="str">
        <f t="shared" si="61"/>
        <v/>
      </c>
      <c r="N31" s="52" t="str">
        <f t="shared" si="61"/>
        <v/>
      </c>
      <c r="O31" s="51" t="str">
        <f>IFERROR(__xludf.DUMMYFUNCTION("IF(COUNTA(J31:N31)=0, """", ARRAYFORMULA(""- ""&amp;TEXTJOIN(char(10)&amp;""- "", TRUE, FILTER(J$1:N$1&amp;"": ""&amp;J31:N31, NOT(ISBLANK(J31:N31))))))"),"")</f>
        <v/>
      </c>
      <c r="P31" s="51" t="s">
        <v>400</v>
      </c>
      <c r="Q31" s="53" t="s">
        <v>402</v>
      </c>
    </row>
    <row r="32">
      <c r="A32" s="12" t="str">
        <f>IFERROR(__xludf.DUMMYFUNCTION("""COMPUTED_VALUE"""),"8c27ff6209202070dbd763c6241ad2bd")</f>
        <v>8c27ff6209202070dbd763c6241ad2bd</v>
      </c>
      <c r="B32" s="12" t="str">
        <f>IFERROR(__xludf.DUMMYFUNCTION("""COMPUTED_VALUE"""),"Likely that different Parties will develop national and sub-national institutions. One option is that the current institutional arrangements shall support Patties in implementing adaptation. Another is that new international institutional arrangements suc"&amp;"h as a subsidiary body for adaptation or adaptation registry should be developed.")</f>
        <v>Likely that different Parties will develop national and sub-national institutions. One option is that the current institutional arrangements shall support Patties in implementing adaptation. Another is that new international institutional arrangements such as a subsidiary body for adaptation or adaptation registry should be developed.</v>
      </c>
      <c r="C32" s="7" t="s">
        <v>409</v>
      </c>
      <c r="D32" s="50" t="str">
        <f t="shared" ref="D32:H32" si="62">VLOOKUP($A32, INDIRECT(D$1&amp;"!A:C"), 3, FALSE)</f>
        <v>SKIP</v>
      </c>
      <c r="E32" s="50" t="str">
        <f t="shared" si="62"/>
        <v>TO DO</v>
      </c>
      <c r="F32" s="50" t="str">
        <f t="shared" si="62"/>
        <v>TO DO</v>
      </c>
      <c r="G32" s="50" t="b">
        <f t="shared" si="62"/>
        <v>1</v>
      </c>
      <c r="H32" s="50" t="b">
        <f t="shared" si="62"/>
        <v>0</v>
      </c>
      <c r="I32" s="51">
        <f t="shared" si="4"/>
        <v>0</v>
      </c>
      <c r="J32" s="52" t="str">
        <f t="shared" ref="J32:N32" si="63">VLOOKUP($A32, INDIRECT(J$1&amp;"!A:D"), 4, FALSE)</f>
        <v>not enough context that it is about climate</v>
      </c>
      <c r="K32" s="52" t="str">
        <f t="shared" si="63"/>
        <v/>
      </c>
      <c r="L32" s="52" t="str">
        <f t="shared" si="63"/>
        <v/>
      </c>
      <c r="M32" s="52" t="str">
        <f t="shared" si="63"/>
        <v/>
      </c>
      <c r="N32" s="52" t="str">
        <f t="shared" si="63"/>
        <v/>
      </c>
      <c r="O32" s="51" t="str">
        <f>IFERROR(__xludf.DUMMYFUNCTION("IF(COUNTA(J32:N32)=0, """", ARRAYFORMULA(""- ""&amp;TEXTJOIN(char(10)&amp;""- "", TRUE, FILTER(J$1:N$1&amp;"": ""&amp;J32:N32, NOT(ISBLANK(J32:N32))))))"),"- Finn: not enough context that it is about climate")</f>
        <v>- Finn: not enough context that it is about climate</v>
      </c>
      <c r="P32" s="51" t="s">
        <v>417</v>
      </c>
      <c r="Q32" s="53" t="s">
        <v>401</v>
      </c>
    </row>
    <row r="33">
      <c r="A33" s="12" t="str">
        <f>IFERROR(__xludf.DUMMYFUNCTION("""COMPUTED_VALUE"""),"97667eac56e4d03c36143e91e36f5198")</f>
        <v>97667eac56e4d03c36143e91e36f5198</v>
      </c>
      <c r="B33" s="12" t="str">
        <f>IFERROR(__xludf.DUMMYFUNCTION("""COMPUTED_VALUE"""),"Significantly fewer focus only on adaptation (4 initiatives) or mitigation (1 initiative) (see Appendix B). Several of these approaches have been found to contain various benefits in relation to climate change and agriculture, e.g. increased mitigation of"&amp;" emissions or larger adaptive capacity. These benefits are identified in peer-reviewed literature, and based on local experiences, on-the-ground tests, and various evaluations of such agricultural approaches and practices5. Success stories of CSA include "&amp;"water harvesting in the Sahel and Drought-Tolerant Maize for African farmers, the purpose of which is to make crops more climate change resilience and mitigate the GHG emissions related to agricultural production (Neate, 2013, FAO, 2017b).")</f>
        <v>Significantly fewer focus only on adaptation (4 initiatives) or mitigation (1 initiative) (see Appendix B). Several of these approaches have been found to contain various benefits in relation to climate change and agriculture, e.g. increased mitigation of emissions or larger adaptive capacity. These benefits are identified in peer-reviewed literature, and based on local experiences, on-the-ground tests, and various evaluations of such agricultural approaches and practices5. Success stories of CSA include water harvesting in the Sahel and Drought-Tolerant Maize for African farmers, the purpose of which is to make crops more climate change resilience and mitigate the GHG emissions related to agricultural production (Neate, 2013, FAO, 2017b).</v>
      </c>
      <c r="C33" s="54"/>
      <c r="D33" s="50" t="b">
        <f t="shared" ref="D33:H33" si="64">VLOOKUP($A33, INDIRECT(D$1&amp;"!A:C"), 3, FALSE)</f>
        <v>1</v>
      </c>
      <c r="E33" s="50" t="b">
        <f t="shared" si="64"/>
        <v>1</v>
      </c>
      <c r="F33" s="50" t="str">
        <f t="shared" si="64"/>
        <v>TO DO</v>
      </c>
      <c r="G33" s="50" t="b">
        <f t="shared" si="64"/>
        <v>1</v>
      </c>
      <c r="H33" s="50" t="b">
        <f t="shared" si="64"/>
        <v>1</v>
      </c>
      <c r="I33" s="51">
        <f t="shared" si="4"/>
        <v>1</v>
      </c>
      <c r="J33" s="52" t="str">
        <f t="shared" ref="J33:N33" si="65">VLOOKUP($A33, INDIRECT(J$1&amp;"!A:D"), 4, FALSE)</f>
        <v/>
      </c>
      <c r="K33" s="52" t="str">
        <f t="shared" si="65"/>
        <v/>
      </c>
      <c r="L33" s="52" t="str">
        <f t="shared" si="65"/>
        <v/>
      </c>
      <c r="M33" s="52" t="str">
        <f t="shared" si="65"/>
        <v/>
      </c>
      <c r="N33" s="52" t="str">
        <f t="shared" si="65"/>
        <v/>
      </c>
      <c r="O33" s="51" t="str">
        <f>IFERROR(__xludf.DUMMYFUNCTION("IF(COUNTA(J33:N33)=0, """", ARRAYFORMULA(""- ""&amp;TEXTJOIN(char(10)&amp;""- "", TRUE, FILTER(J$1:N$1&amp;"": ""&amp;J33:N33, NOT(ISBLANK(J33:N33))))))"),"")</f>
        <v/>
      </c>
      <c r="P33" s="51" t="s">
        <v>400</v>
      </c>
      <c r="Q33" s="53" t="s">
        <v>403</v>
      </c>
    </row>
    <row r="34">
      <c r="A34" s="12" t="str">
        <f>IFERROR(__xludf.DUMMYFUNCTION("""COMPUTED_VALUE"""),"c06441e414c0053d15771b0a7ad88b5c")</f>
        <v>c06441e414c0053d15771b0a7ad88b5c</v>
      </c>
      <c r="B34" s="12" t="str">
        <f>IFERROR(__xludf.DUMMYFUNCTION("""COMPUTED_VALUE"""),"Encouraging systematic reporting on climate finance at a disaggregated level (such as activity-level information) could also help improve transparency, as well as accessibility of information. Reporting in the form of a standardised database with common v"&amp;"ariables and classifications (such as exchange rates) would also help to improve consistency. In this context, the UNFCCC could usefully draw on the experience from existing statistical systems on international flows, such as the OECD DAC.")</f>
        <v>Encouraging systematic reporting on climate finance at a disaggregated level (such as activity-level information) could also help improve transparency, as well as accessibility of information. Reporting in the form of a standardised database with common variables and classifications (such as exchange rates) would also help to improve consistency. In this context, the UNFCCC could usefully draw on the experience from existing statistical systems on international flows, such as the OECD DAC.</v>
      </c>
      <c r="C34" s="54"/>
      <c r="D34" s="50" t="b">
        <f t="shared" ref="D34:H34" si="66">VLOOKUP($A34, INDIRECT(D$1&amp;"!A:C"), 3, FALSE)</f>
        <v>1</v>
      </c>
      <c r="E34" s="50" t="str">
        <f t="shared" si="66"/>
        <v>TO DO</v>
      </c>
      <c r="F34" s="50" t="str">
        <f t="shared" si="66"/>
        <v>TO DO</v>
      </c>
      <c r="G34" s="50" t="b">
        <f t="shared" si="66"/>
        <v>1</v>
      </c>
      <c r="H34" s="50" t="b">
        <f t="shared" si="66"/>
        <v>1</v>
      </c>
      <c r="I34" s="51">
        <f t="shared" si="4"/>
        <v>1</v>
      </c>
      <c r="J34" s="52" t="str">
        <f t="shared" ref="J34:N34" si="67">VLOOKUP($A34, INDIRECT(J$1&amp;"!A:D"), 4, FALSE)</f>
        <v/>
      </c>
      <c r="K34" s="52" t="str">
        <f t="shared" si="67"/>
        <v/>
      </c>
      <c r="L34" s="52" t="str">
        <f t="shared" si="67"/>
        <v/>
      </c>
      <c r="M34" s="52" t="str">
        <f t="shared" si="67"/>
        <v/>
      </c>
      <c r="N34" s="52" t="str">
        <f t="shared" si="67"/>
        <v/>
      </c>
      <c r="O34" s="51" t="str">
        <f>IFERROR(__xludf.DUMMYFUNCTION("IF(COUNTA(J34:N34)=0, """", ARRAYFORMULA(""- ""&amp;TEXTJOIN(char(10)&amp;""- "", TRUE, FILTER(J$1:N$1&amp;"": ""&amp;J34:N34, NOT(ISBLANK(J34:N34))))))"),"")</f>
        <v/>
      </c>
      <c r="P34" s="51" t="s">
        <v>400</v>
      </c>
      <c r="Q34" s="53" t="s">
        <v>403</v>
      </c>
    </row>
    <row r="35">
      <c r="A35" s="12" t="str">
        <f>IFERROR(__xludf.DUMMYFUNCTION("""COMPUTED_VALUE"""),"df44786a351fe3f62c262366d0e30b62")</f>
        <v>df44786a351fe3f62c262366d0e30b62</v>
      </c>
      <c r="B35" s="12" t="str">
        <f>IFERROR(__xludf.DUMMYFUNCTION("""COMPUTED_VALUE"""),"The data used include results from 91 studies with 1 722 estimates of changes in crop yields by Challinor et al., There are wide variations among the studies, in terms of time-frame, crop coverage, crop and climate models, and emission levels. Some studie"&amp;"s include the effects of adaptation measures, but others do not.")</f>
        <v>The data used include results from 91 studies with 1 722 estimates of changes in crop yields by Challinor et al., There are wide variations among the studies, in terms of time-frame, crop coverage, crop and climate models, and emission levels. Some studies include the effects of adaptation measures, but others do not.</v>
      </c>
      <c r="C35" s="55"/>
      <c r="D35" s="50" t="b">
        <f t="shared" ref="D35:H35" si="68">VLOOKUP($A35, INDIRECT(D$1&amp;"!A:C"), 3, FALSE)</f>
        <v>1</v>
      </c>
      <c r="E35" s="50" t="str">
        <f t="shared" si="68"/>
        <v>TO DO</v>
      </c>
      <c r="F35" s="50" t="str">
        <f t="shared" si="68"/>
        <v>TO DO</v>
      </c>
      <c r="G35" s="50" t="b">
        <f t="shared" si="68"/>
        <v>0</v>
      </c>
      <c r="H35" s="50" t="b">
        <f t="shared" si="68"/>
        <v>0</v>
      </c>
      <c r="I35" s="51">
        <f t="shared" si="4"/>
        <v>0.3333333333</v>
      </c>
      <c r="J35" s="52" t="str">
        <f t="shared" ref="J35:N35" si="69">VLOOKUP($A35, INDIRECT(J$1&amp;"!A:D"), 4, FALSE)</f>
        <v>fight climate impacts? weak</v>
      </c>
      <c r="K35" s="52" t="str">
        <f t="shared" si="69"/>
        <v/>
      </c>
      <c r="L35" s="52" t="str">
        <f t="shared" si="69"/>
        <v/>
      </c>
      <c r="M35" s="52" t="str">
        <f t="shared" si="69"/>
        <v/>
      </c>
      <c r="N35" s="52" t="str">
        <f t="shared" si="69"/>
        <v>more fact stating</v>
      </c>
      <c r="O35" s="51" t="str">
        <f>IFERROR(__xludf.DUMMYFUNCTION("IF(COUNTA(J35:N35)=0, """", ARRAYFORMULA(""- ""&amp;TEXTJOIN(char(10)&amp;""- "", TRUE, FILTER(J$1:N$1&amp;"": ""&amp;J35:N35, NOT(ISBLANK(J35:N35))))))"),"- Finn: fight climate impacts? weak
- Steve: more fact stating")</f>
        <v>- Finn: fight climate impacts? weak
- Steve: more fact stating</v>
      </c>
      <c r="P35" s="51" t="s">
        <v>418</v>
      </c>
      <c r="Q35" s="53" t="s">
        <v>401</v>
      </c>
    </row>
    <row r="36">
      <c r="A36" s="12" t="str">
        <f>IFERROR(__xludf.DUMMYFUNCTION("""COMPUTED_VALUE"""),"4cf9ad44865017149316746a9793ad1b")</f>
        <v>4cf9ad44865017149316746a9793ad1b</v>
      </c>
      <c r="B36" s="12" t="str">
        <f>IFERROR(__xludf.DUMMYFUNCTION("""COMPUTED_VALUE"""),"However, when such actions provide both private and public benefits, the public sector may play a role in how these are developed. This report aims to establish a framework to help identify specific actions that governments could take in this respect and "&amp;"that could avoid sending signals leading to non-adaptation or maladaptation. This report begins with a review of national adaptation strategies for the agricultural sector in OECD countries and highlights different approaches undertaken by governments.")</f>
        <v>However, when such actions provide both private and public benefits, the public sector may play a role in how these are developed. This report aims to establish a framework to help identify specific actions that governments could take in this respect and that could avoid sending signals leading to non-adaptation or maladaptation. This report begins with a review of national adaptation strategies for the agricultural sector in OECD countries and highlights different approaches undertaken by governments.</v>
      </c>
      <c r="C36" s="50"/>
      <c r="D36" s="50" t="b">
        <f t="shared" ref="D36:H36" si="70">VLOOKUP($A36, INDIRECT(D$1&amp;"!A:C"), 3, FALSE)</f>
        <v>0</v>
      </c>
      <c r="E36" s="50" t="b">
        <f t="shared" si="70"/>
        <v>0</v>
      </c>
      <c r="F36" s="50" t="str">
        <f t="shared" si="70"/>
        <v>TO DO</v>
      </c>
      <c r="G36" s="50" t="b">
        <f t="shared" si="70"/>
        <v>1</v>
      </c>
      <c r="H36" s="50" t="b">
        <f t="shared" si="70"/>
        <v>0</v>
      </c>
      <c r="I36" s="51">
        <f t="shared" si="4"/>
        <v>0.5</v>
      </c>
      <c r="J36" s="52" t="str">
        <f t="shared" ref="J36:N36" si="71">VLOOKUP($A36, INDIRECT(J$1&amp;"!A:D"), 4, FALSE)</f>
        <v/>
      </c>
      <c r="K36" s="52" t="str">
        <f t="shared" si="71"/>
        <v>Adaptation could be about any topic.</v>
      </c>
      <c r="L36" s="52" t="str">
        <f t="shared" si="71"/>
        <v/>
      </c>
      <c r="M36" s="52" t="str">
        <f t="shared" si="71"/>
        <v/>
      </c>
      <c r="N36" s="52" t="str">
        <f t="shared" si="71"/>
        <v>again not clear what adaptation refers to</v>
      </c>
      <c r="O36" s="51" t="str">
        <f>IFERROR(__xludf.DUMMYFUNCTION("IF(COUNTA(J36:N36)=0, """", ARRAYFORMULA(""- ""&amp;TEXTJOIN(char(10)&amp;""- "", TRUE, FILTER(J$1:N$1&amp;"": ""&amp;J36:N36, NOT(ISBLANK(J36:N36))))))"),"- Gib: Adaptation could be about any topic.
- Steve: again not clear what adaptation refers to")</f>
        <v>- Gib: Adaptation could be about any topic.
- Steve: again not clear what adaptation refers to</v>
      </c>
      <c r="P36" s="51" t="s">
        <v>419</v>
      </c>
      <c r="Q36" s="53" t="s">
        <v>401</v>
      </c>
    </row>
    <row r="37">
      <c r="A37" s="12" t="str">
        <f>IFERROR(__xludf.DUMMYFUNCTION("""COMPUTED_VALUE"""),"8a5a6b031aecd8f4312d6beedc709457")</f>
        <v>8a5a6b031aecd8f4312d6beedc709457</v>
      </c>
      <c r="B37" s="12" t="str">
        <f>IFERROR(__xludf.DUMMYFUNCTION("""COMPUTED_VALUE"""),"This is because it may be difficult to ensure the collection of project-level information from the ultimate beneficiary of these funds (Caruso and Ellis, 2013). Such methods seek to test whether theories of change are leading to observable results and can"&amp;" help to overcome some of the challenges outlined with regards to causality, baselines and attribution. The design of RCTs (explained more fully in Duflo et. This allows a given policy or programme to be judged against the performance of randomly selected"&amp;", similar, and actual cases that have not been subject to the intervention as opposed to assumed baselines of how the intervention’s subjects would have performed in its absence.")</f>
        <v>This is because it may be difficult to ensure the collection of project-level information from the ultimate beneficiary of these funds (Caruso and Ellis, 2013). Such methods seek to test whether theories of change are leading to observable results and can help to overcome some of the challenges outlined with regards to causality, baselines and attribution. The design of RCTs (explained more fully in Duflo et. This allows a given policy or programme to be judged against the performance of randomly selected, similar, and actual cases that have not been subject to the intervention as opposed to assumed baselines of how the intervention’s subjects would have performed in its absence.</v>
      </c>
      <c r="C37" s="50"/>
      <c r="D37" s="50" t="b">
        <f t="shared" ref="D37:H37" si="72">VLOOKUP($A37, INDIRECT(D$1&amp;"!A:C"), 3, FALSE)</f>
        <v>0</v>
      </c>
      <c r="E37" s="50" t="str">
        <f t="shared" si="72"/>
        <v>TO DO</v>
      </c>
      <c r="F37" s="50" t="str">
        <f t="shared" si="72"/>
        <v>TO DO</v>
      </c>
      <c r="G37" s="50" t="b">
        <f t="shared" si="72"/>
        <v>0</v>
      </c>
      <c r="H37" s="50" t="b">
        <f t="shared" si="72"/>
        <v>0</v>
      </c>
      <c r="I37" s="51">
        <f t="shared" si="4"/>
        <v>1</v>
      </c>
      <c r="J37" s="52" t="str">
        <f t="shared" ref="J37:N37" si="73">VLOOKUP($A37, INDIRECT(J$1&amp;"!A:D"), 4, FALSE)</f>
        <v/>
      </c>
      <c r="K37" s="52" t="str">
        <f t="shared" si="73"/>
        <v/>
      </c>
      <c r="L37" s="52" t="str">
        <f t="shared" si="73"/>
        <v/>
      </c>
      <c r="M37" s="52" t="str">
        <f t="shared" si="73"/>
        <v/>
      </c>
      <c r="N37" s="52" t="str">
        <f t="shared" si="73"/>
        <v/>
      </c>
      <c r="O37" s="51" t="str">
        <f>IFERROR(__xludf.DUMMYFUNCTION("IF(COUNTA(J37:N37)=0, """", ARRAYFORMULA(""- ""&amp;TEXTJOIN(char(10)&amp;""- "", TRUE, FILTER(J$1:N$1&amp;"": ""&amp;J37:N37, NOT(ISBLANK(J37:N37))))))"),"")</f>
        <v/>
      </c>
      <c r="P37" s="51" t="s">
        <v>400</v>
      </c>
      <c r="Q37" s="53" t="s">
        <v>402</v>
      </c>
    </row>
    <row r="38">
      <c r="A38" s="12" t="str">
        <f>IFERROR(__xludf.DUMMYFUNCTION("""COMPUTED_VALUE"""),"d3e9bef8791d582b81f1846de0829f42")</f>
        <v>d3e9bef8791d582b81f1846de0829f42</v>
      </c>
      <c r="B38" s="12" t="str">
        <f>IFERROR(__xludf.DUMMYFUNCTION("""COMPUTED_VALUE"""),"Estimates of adaptation costs vary greatly, depending on the methodology used, analytical principles applied and assumptions made. As a result, there are no widely agreed methods for calculating costs, and therefore no agreed single estimate of the costs "&amp;"of adaptation. However, a review of the literature on the costs of adaptation in developing countries indicates they are likely to be underestimates.")</f>
        <v>Estimates of adaptation costs vary greatly, depending on the methodology used, analytical principles applied and assumptions made. As a result, there are no widely agreed methods for calculating costs, and therefore no agreed single estimate of the costs of adaptation. However, a review of the literature on the costs of adaptation in developing countries indicates they are likely to be underestimates.</v>
      </c>
      <c r="C38" s="7" t="s">
        <v>409</v>
      </c>
      <c r="D38" s="50" t="str">
        <f t="shared" ref="D38:H38" si="74">VLOOKUP($A38, INDIRECT(D$1&amp;"!A:C"), 3, FALSE)</f>
        <v>SKIP</v>
      </c>
      <c r="E38" s="50" t="str">
        <f t="shared" si="74"/>
        <v>TO DO</v>
      </c>
      <c r="F38" s="50" t="str">
        <f t="shared" si="74"/>
        <v>TO DO</v>
      </c>
      <c r="G38" s="50" t="b">
        <f t="shared" si="74"/>
        <v>0</v>
      </c>
      <c r="H38" s="50" t="b">
        <f t="shared" si="74"/>
        <v>0</v>
      </c>
      <c r="I38" s="51">
        <f t="shared" si="4"/>
        <v>0.6666666667</v>
      </c>
      <c r="J38" s="52" t="str">
        <f t="shared" ref="J38:N38" si="75">VLOOKUP($A38, INDIRECT(J$1&amp;"!A:D"), 4, FALSE)</f>
        <v>unclear link to climate change</v>
      </c>
      <c r="K38" s="52" t="str">
        <f t="shared" si="75"/>
        <v/>
      </c>
      <c r="L38" s="52" t="str">
        <f t="shared" si="75"/>
        <v/>
      </c>
      <c r="M38" s="52" t="str">
        <f t="shared" si="75"/>
        <v/>
      </c>
      <c r="N38" s="52" t="str">
        <f t="shared" si="75"/>
        <v>again probably refers to climate adaptation but its not clear</v>
      </c>
      <c r="O38" s="51" t="str">
        <f>IFERROR(__xludf.DUMMYFUNCTION("IF(COUNTA(J38:N38)=0, """", ARRAYFORMULA(""- ""&amp;TEXTJOIN(char(10)&amp;""- "", TRUE, FILTER(J$1:N$1&amp;"": ""&amp;J38:N38, NOT(ISBLANK(J38:N38))))))"),"- Finn: unclear link to climate change
- Steve: again probably refers to climate adaptation but its not clear")</f>
        <v>- Finn: unclear link to climate change
- Steve: again probably refers to climate adaptation but its not clear</v>
      </c>
      <c r="P38" s="51" t="s">
        <v>420</v>
      </c>
      <c r="Q38" s="53" t="s">
        <v>401</v>
      </c>
    </row>
    <row r="39">
      <c r="A39" s="12" t="str">
        <f>IFERROR(__xludf.DUMMYFUNCTION("""COMPUTED_VALUE"""),"ddb861597cce222b4844bc939b075d59")</f>
        <v>ddb861597cce222b4844bc939b075d59</v>
      </c>
      <c r="B39" s="12" t="str">
        <f>IFERROR(__xludf.DUMMYFUNCTION("""COMPUTED_VALUE"""),"The annual monitoring will help prioritise adaptation needs and inform the allocation of budgets, the periodic evaluations will assess the efficiency, effectiveness and impact of the Plan. These processes will generate valuable information that government"&amp;" officials can draw upon when deciding whether the national approach on adaptation is the right one, if the circumstances that initially informed the Plan have changed, and if adjustments in the plan or the implementation mechanisms are needed.")</f>
        <v>The annual monitoring will help prioritise adaptation needs and inform the allocation of budgets, the periodic evaluations will assess the efficiency, effectiveness and impact of the Plan. These processes will generate valuable information that government officials can draw upon when deciding whether the national approach on adaptation is the right one, if the circumstances that initially informed the Plan have changed, and if adjustments in the plan or the implementation mechanisms are needed.</v>
      </c>
      <c r="C39" s="7" t="s">
        <v>409</v>
      </c>
      <c r="D39" s="50" t="str">
        <f t="shared" ref="D39:H39" si="76">VLOOKUP($A39, INDIRECT(D$1&amp;"!A:C"), 3, FALSE)</f>
        <v>SKIP</v>
      </c>
      <c r="E39" s="50" t="str">
        <f t="shared" si="76"/>
        <v>TO DO</v>
      </c>
      <c r="F39" s="50" t="str">
        <f t="shared" si="76"/>
        <v>TO DO</v>
      </c>
      <c r="G39" s="50" t="b">
        <f t="shared" si="76"/>
        <v>1</v>
      </c>
      <c r="H39" s="50" t="b">
        <f t="shared" si="76"/>
        <v>0</v>
      </c>
      <c r="I39" s="51">
        <f t="shared" si="4"/>
        <v>0</v>
      </c>
      <c r="J39" s="52" t="str">
        <f t="shared" ref="J39:N39" si="77">VLOOKUP($A39, INDIRECT(J$1&amp;"!A:D"), 4, FALSE)</f>
        <v>unclear if linked to climate</v>
      </c>
      <c r="K39" s="52" t="str">
        <f t="shared" si="77"/>
        <v/>
      </c>
      <c r="L39" s="52" t="str">
        <f t="shared" si="77"/>
        <v/>
      </c>
      <c r="M39" s="52" t="str">
        <f t="shared" si="77"/>
        <v/>
      </c>
      <c r="N39" s="52" t="str">
        <f t="shared" si="77"/>
        <v>again not so clear</v>
      </c>
      <c r="O39" s="51" t="str">
        <f>IFERROR(__xludf.DUMMYFUNCTION("IF(COUNTA(J39:N39)=0, """", ARRAYFORMULA(""- ""&amp;TEXTJOIN(char(10)&amp;""- "", TRUE, FILTER(J$1:N$1&amp;"": ""&amp;J39:N39, NOT(ISBLANK(J39:N39))))))"),"- Finn: unclear if linked to climate
- Steve: again not so clear")</f>
        <v>- Finn: unclear if linked to climate
- Steve: again not so clear</v>
      </c>
      <c r="P39" s="51" t="s">
        <v>421</v>
      </c>
      <c r="Q39" s="53" t="s">
        <v>401</v>
      </c>
    </row>
    <row r="40">
      <c r="A40" s="12" t="str">
        <f>IFERROR(__xludf.DUMMYFUNCTION("""COMPUTED_VALUE"""),"f78857097015f3464577232fe7af3987")</f>
        <v>f78857097015f3464577232fe7af3987</v>
      </c>
      <c r="B40" s="12" t="str">
        <f>IFERROR(__xludf.DUMMYFUNCTION("""COMPUTED_VALUE"""),"Article 13 also establishes a two-step review and consideration process. The first step is a technical expert review of information on mitigation and support provided. The review will identify areas of improvement for the Party, review consistency with th"&amp;"e modalities and guidelines to be developed under Article 13.13, and assist developing country Parties to identify capacity-building needs (for those that need it).")</f>
        <v>Article 13 also establishes a two-step review and consideration process. The first step is a technical expert review of information on mitigation and support provided. The review will identify areas of improvement for the Party, review consistency with the modalities and guidelines to be developed under Article 13.13, and assist developing country Parties to identify capacity-building needs (for those that need it).</v>
      </c>
      <c r="C40" s="7" t="s">
        <v>409</v>
      </c>
      <c r="D40" s="50" t="str">
        <f t="shared" ref="D40:H40" si="78">VLOOKUP($A40, INDIRECT(D$1&amp;"!A:C"), 3, FALSE)</f>
        <v>SKIP</v>
      </c>
      <c r="E40" s="50" t="str">
        <f t="shared" si="78"/>
        <v>TO DO</v>
      </c>
      <c r="F40" s="50" t="str">
        <f t="shared" si="78"/>
        <v>TO DO</v>
      </c>
      <c r="G40" s="50" t="b">
        <f t="shared" si="78"/>
        <v>0</v>
      </c>
      <c r="H40" s="50" t="b">
        <f t="shared" si="78"/>
        <v>0</v>
      </c>
      <c r="I40" s="51">
        <f t="shared" si="4"/>
        <v>0.6666666667</v>
      </c>
      <c r="J40" s="52" t="str">
        <f t="shared" ref="J40:N40" si="79">VLOOKUP($A40, INDIRECT(J$1&amp;"!A:D"), 4, FALSE)</f>
        <v/>
      </c>
      <c r="K40" s="52" t="str">
        <f t="shared" si="79"/>
        <v/>
      </c>
      <c r="L40" s="52" t="str">
        <f t="shared" si="79"/>
        <v/>
      </c>
      <c r="M40" s="52" t="str">
        <f t="shared" si="79"/>
        <v/>
      </c>
      <c r="N40" s="52" t="str">
        <f t="shared" si="79"/>
        <v/>
      </c>
      <c r="O40" s="51" t="str">
        <f>IFERROR(__xludf.DUMMYFUNCTION("IF(COUNTA(J40:N40)=0, """", ARRAYFORMULA(""- ""&amp;TEXTJOIN(char(10)&amp;""- "", TRUE, FILTER(J$1:N$1&amp;"": ""&amp;J40:N40, NOT(ISBLANK(J40:N40))))))"),"")</f>
        <v/>
      </c>
      <c r="P40" s="51" t="s">
        <v>400</v>
      </c>
      <c r="Q40" s="53" t="s">
        <v>401</v>
      </c>
    </row>
    <row r="41">
      <c r="A41" s="12" t="str">
        <f>IFERROR(__xludf.DUMMYFUNCTION("""COMPUTED_VALUE"""),"5004bf9cc7a92e6ec5674f896013aa6d")</f>
        <v>5004bf9cc7a92e6ec5674f896013aa6d</v>
      </c>
      <c r="B41" s="12" t="str">
        <f>IFERROR(__xludf.DUMMYFUNCTION("""COMPUTED_VALUE"""),"The government announced £1 billion of capital funding for the first full-scale CCS demonstration project in the UK. The government has also committed to a further three demonstration projects on gas- and coal-fired power stations. However, final details "&amp;"of the funding mechanism for these three additional projects are yet to be announced. Released in draft form in March, the Carbon Plan is a government-wide carbon reduction plan, including domestic and international emissions.")</f>
        <v>The government announced £1 billion of capital funding for the first full-scale CCS demonstration project in the UK. The government has also committed to a further three demonstration projects on gas- and coal-fired power stations. However, final details of the funding mechanism for these three additional projects are yet to be announced. Released in draft form in March, the Carbon Plan is a government-wide carbon reduction plan, including domestic and international emissions.</v>
      </c>
      <c r="C41" s="7"/>
      <c r="D41" s="50" t="b">
        <f t="shared" ref="D41:H41" si="80">VLOOKUP($A41, INDIRECT(D$1&amp;"!A:C"), 3, FALSE)</f>
        <v>1</v>
      </c>
      <c r="E41" s="50" t="str">
        <f t="shared" si="80"/>
        <v>TO DO</v>
      </c>
      <c r="F41" s="50" t="str">
        <f t="shared" si="80"/>
        <v>TO DO</v>
      </c>
      <c r="G41" s="50" t="b">
        <f t="shared" si="80"/>
        <v>1</v>
      </c>
      <c r="H41" s="50" t="b">
        <f t="shared" si="80"/>
        <v>1</v>
      </c>
      <c r="I41" s="51">
        <f t="shared" si="4"/>
        <v>1</v>
      </c>
      <c r="J41" s="52" t="str">
        <f t="shared" ref="J41:N41" si="81">VLOOKUP($A41, INDIRECT(J$1&amp;"!A:D"), 4, FALSE)</f>
        <v/>
      </c>
      <c r="K41" s="52" t="str">
        <f t="shared" si="81"/>
        <v/>
      </c>
      <c r="L41" s="52" t="str">
        <f t="shared" si="81"/>
        <v/>
      </c>
      <c r="M41" s="52" t="str">
        <f t="shared" si="81"/>
        <v/>
      </c>
      <c r="N41" s="52" t="str">
        <f t="shared" si="81"/>
        <v/>
      </c>
      <c r="O41" s="51" t="str">
        <f>IFERROR(__xludf.DUMMYFUNCTION("IF(COUNTA(J41:N41)=0, """", ARRAYFORMULA(""- ""&amp;TEXTJOIN(char(10)&amp;""- "", TRUE, FILTER(J$1:N$1&amp;"": ""&amp;J41:N41, NOT(ISBLANK(J41:N41))))))"),"")</f>
        <v/>
      </c>
      <c r="P41" s="51" t="s">
        <v>400</v>
      </c>
      <c r="Q41" s="53" t="s">
        <v>403</v>
      </c>
    </row>
    <row r="42">
      <c r="A42" s="12" t="str">
        <f>IFERROR(__xludf.DUMMYFUNCTION("""COMPUTED_VALUE"""),"59fcd1290730dc297569125d61852dec")</f>
        <v>59fcd1290730dc297569125d61852dec</v>
      </c>
      <c r="B42" s="12" t="str">
        <f>IFERROR(__xludf.DUMMYFUNCTION("""COMPUTED_VALUE"""),"The IIC mentioned above has identified an unexpected benefit related to their programming and hiring practices, which gives some preference to applicants from local indigenous communities. What IIC has observed is that in addition to individual benefits r"&amp;"elated directly to their programme involvement, a meaningful number of these former staff and students have subsequently gone on to influential positions in their communities. With such relationships between the centre and nearby community leaders establi"&amp;"shed over time, IIC is in a very good position to support broad and powerful community-based ESD within traditional channels. This programme has drawn participants from school-based eco-clubs which are common in the country, and is part of a tiered approa"&amp;"ch to ECHO’s work with communities that also includes the establishment of eco-teams involving adults and community leaders to support student and youth activities (Kaieteur News 2010).")</f>
        <v>The IIC mentioned above has identified an unexpected benefit related to their programming and hiring practices, which gives some preference to applicants from local indigenous communities. What IIC has observed is that in addition to individual benefits related directly to their programme involvement, a meaningful number of these former staff and students have subsequently gone on to influential positions in their communities. With such relationships between the centre and nearby community leaders established over time, IIC is in a very good position to support broad and powerful community-based ESD within traditional channels. This programme has drawn participants from school-based eco-clubs which are common in the country, and is part of a tiered approach to ECHO’s work with communities that also includes the establishment of eco-teams involving adults and community leaders to support student and youth activities (Kaieteur News 2010).</v>
      </c>
      <c r="C42" s="7" t="s">
        <v>409</v>
      </c>
      <c r="D42" s="50" t="b">
        <f t="shared" ref="D42:H42" si="82">VLOOKUP($A42, INDIRECT(D$1&amp;"!A:C"), 3, FALSE)</f>
        <v>0</v>
      </c>
      <c r="E42" s="50" t="str">
        <f t="shared" si="82"/>
        <v>SKIP</v>
      </c>
      <c r="F42" s="50" t="str">
        <f t="shared" si="82"/>
        <v>TO DO</v>
      </c>
      <c r="G42" s="50" t="b">
        <f t="shared" si="82"/>
        <v>0</v>
      </c>
      <c r="H42" s="50" t="b">
        <f t="shared" si="82"/>
        <v>0</v>
      </c>
      <c r="I42" s="51">
        <f t="shared" si="4"/>
        <v>0.75</v>
      </c>
      <c r="J42" s="52" t="str">
        <f t="shared" ref="J42:N42" si="83">VLOOKUP($A42, INDIRECT(J$1&amp;"!A:D"), 4, FALSE)</f>
        <v/>
      </c>
      <c r="K42" s="52" t="str">
        <f t="shared" si="83"/>
        <v/>
      </c>
      <c r="L42" s="52" t="str">
        <f t="shared" si="83"/>
        <v/>
      </c>
      <c r="M42" s="52" t="str">
        <f t="shared" si="83"/>
        <v/>
      </c>
      <c r="N42" s="52" t="str">
        <f t="shared" si="83"/>
        <v/>
      </c>
      <c r="O42" s="51" t="str">
        <f>IFERROR(__xludf.DUMMYFUNCTION("IF(COUNTA(J42:N42)=0, """", ARRAYFORMULA(""- ""&amp;TEXTJOIN(char(10)&amp;""- "", TRUE, FILTER(J$1:N$1&amp;"": ""&amp;J42:N42, NOT(ISBLANK(J42:N42))))))"),"")</f>
        <v/>
      </c>
      <c r="P42" s="51" t="s">
        <v>400</v>
      </c>
      <c r="Q42" s="53" t="s">
        <v>402</v>
      </c>
      <c r="R42" s="5" t="s">
        <v>422</v>
      </c>
    </row>
    <row r="43">
      <c r="A43" s="12" t="str">
        <f>IFERROR(__xludf.DUMMYFUNCTION("""COMPUTED_VALUE"""),"aa2adfe9074fa3446561751b07bbe1fd")</f>
        <v>aa2adfe9074fa3446561751b07bbe1fd</v>
      </c>
      <c r="B43" s="12" t="str">
        <f>IFERROR(__xludf.DUMMYFUNCTION("""COMPUTED_VALUE"""),"A number of other Decisions encourage Parties to report on support efforts, including in the context of the framework for capacity building in developing countries (e.g. Decision 2/CP. Table 1 provides an overview of reporting requirements on technology a"&amp;"nd capacity-building support provided to non-Annex I countries. See also Box 1, which addresses the use of the terms technology transfer and capacity building in the UNFCCC context (see Section 1), and Annex 1, which provides an overview of Annex II count"&amp;"ry reporting in these areas to date.")</f>
        <v>A number of other Decisions encourage Parties to report on support efforts, including in the context of the framework for capacity building in developing countries (e.g. Decision 2/CP. Table 1 provides an overview of reporting requirements on technology and capacity-building support provided to non-Annex I countries. See also Box 1, which addresses the use of the terms technology transfer and capacity building in the UNFCCC context (see Section 1), and Annex 1, which provides an overview of Annex II country reporting in these areas to date.</v>
      </c>
      <c r="C43" s="54"/>
      <c r="D43" s="50" t="b">
        <f t="shared" ref="D43:H43" si="84">VLOOKUP($A43, INDIRECT(D$1&amp;"!A:C"), 3, FALSE)</f>
        <v>1</v>
      </c>
      <c r="E43" s="50" t="str">
        <f t="shared" si="84"/>
        <v>TO DO</v>
      </c>
      <c r="F43" s="50" t="str">
        <f t="shared" si="84"/>
        <v>TO DO</v>
      </c>
      <c r="G43" s="50" t="b">
        <f t="shared" si="84"/>
        <v>0</v>
      </c>
      <c r="H43" s="50" t="b">
        <f t="shared" si="84"/>
        <v>1</v>
      </c>
      <c r="I43" s="51">
        <f t="shared" si="4"/>
        <v>0.3333333333</v>
      </c>
      <c r="J43" s="52" t="str">
        <f t="shared" ref="J43:N43" si="85">VLOOKUP($A43, INDIRECT(J$1&amp;"!A:D"), 4, FALSE)</f>
        <v>target 13.b</v>
      </c>
      <c r="K43" s="52" t="str">
        <f t="shared" si="85"/>
        <v/>
      </c>
      <c r="L43" s="52" t="str">
        <f t="shared" si="85"/>
        <v/>
      </c>
      <c r="M43" s="52" t="str">
        <f t="shared" si="85"/>
        <v/>
      </c>
      <c r="N43" s="52" t="str">
        <f t="shared" si="85"/>
        <v/>
      </c>
      <c r="O43" s="51" t="str">
        <f>IFERROR(__xludf.DUMMYFUNCTION("IF(COUNTA(J43:N43)=0, """", ARRAYFORMULA(""- ""&amp;TEXTJOIN(char(10)&amp;""- "", TRUE, FILTER(J$1:N$1&amp;"": ""&amp;J43:N43, NOT(ISBLANK(J43:N43))))))"),"- Finn: target 13.b")</f>
        <v>- Finn: target 13.b</v>
      </c>
      <c r="P43" s="51" t="s">
        <v>423</v>
      </c>
      <c r="Q43" s="53" t="s">
        <v>401</v>
      </c>
    </row>
    <row r="44">
      <c r="A44" s="12" t="str">
        <f>IFERROR(__xludf.DUMMYFUNCTION("""COMPUTED_VALUE"""),"abdef9b2251fa5f2e0e0852b0d27c604")</f>
        <v>abdef9b2251fa5f2e0e0852b0d27c604</v>
      </c>
      <c r="B44" s="12" t="str">
        <f>IFERROR(__xludf.DUMMYFUNCTION("""COMPUTED_VALUE"""),"This work stands out because of its emphasis on literature, culture and citizenship, as opposed to the more directly environmental approach to ESD common in much of the Caribbean. Also notable in this regard is an undergraduate course in teaching Caribbea"&amp;"n poetry, which was designed in collaboration with Cambridge University, and integrates a sustainability focus through a strand on literature and the environment. In addition to these courses, the university is also exploring ESD possibilities campus-wide"&amp;".")</f>
        <v>This work stands out because of its emphasis on literature, culture and citizenship, as opposed to the more directly environmental approach to ESD common in much of the Caribbean. Also notable in this regard is an undergraduate course in teaching Caribbean poetry, which was designed in collaboration with Cambridge University, and integrates a sustainability focus through a strand on literature and the environment. In addition to these courses, the university is also exploring ESD possibilities campus-wide.</v>
      </c>
      <c r="C44" s="50"/>
      <c r="D44" s="50" t="b">
        <f t="shared" ref="D44:H44" si="86">VLOOKUP($A44, INDIRECT(D$1&amp;"!A:C"), 3, FALSE)</f>
        <v>0</v>
      </c>
      <c r="E44" s="50" t="str">
        <f t="shared" si="86"/>
        <v>TO DO</v>
      </c>
      <c r="F44" s="50" t="str">
        <f t="shared" si="86"/>
        <v>TO DO</v>
      </c>
      <c r="G44" s="50" t="b">
        <f t="shared" si="86"/>
        <v>0</v>
      </c>
      <c r="H44" s="50" t="b">
        <f t="shared" si="86"/>
        <v>0</v>
      </c>
      <c r="I44" s="51">
        <f t="shared" si="4"/>
        <v>1</v>
      </c>
      <c r="J44" s="52" t="str">
        <f t="shared" ref="J44:N44" si="87">VLOOKUP($A44, INDIRECT(J$1&amp;"!A:D"), 4, FALSE)</f>
        <v/>
      </c>
      <c r="K44" s="52" t="str">
        <f t="shared" si="87"/>
        <v/>
      </c>
      <c r="L44" s="52" t="str">
        <f t="shared" si="87"/>
        <v/>
      </c>
      <c r="M44" s="52" t="str">
        <f t="shared" si="87"/>
        <v/>
      </c>
      <c r="N44" s="52" t="str">
        <f t="shared" si="87"/>
        <v>education for sutainable development not explicitly climate related</v>
      </c>
      <c r="O44" s="51" t="str">
        <f>IFERROR(__xludf.DUMMYFUNCTION("IF(COUNTA(J44:N44)=0, """", ARRAYFORMULA(""- ""&amp;TEXTJOIN(char(10)&amp;""- "", TRUE, FILTER(J$1:N$1&amp;"": ""&amp;J44:N44, NOT(ISBLANK(J44:N44))))))"),"- Steve: education for sutainable development not explicitly climate related")</f>
        <v>- Steve: education for sutainable development not explicitly climate related</v>
      </c>
      <c r="P44" s="51" t="s">
        <v>424</v>
      </c>
      <c r="Q44" s="53" t="s">
        <v>402</v>
      </c>
    </row>
    <row r="45">
      <c r="A45" s="12" t="str">
        <f>IFERROR(__xludf.DUMMYFUNCTION("""COMPUTED_VALUE"""),"b5591155854d75dc564575f388eacfe7")</f>
        <v>b5591155854d75dc564575f388eacfe7</v>
      </c>
      <c r="B45" s="12" t="str">
        <f>IFERROR(__xludf.DUMMYFUNCTION("""COMPUTED_VALUE"""),"The Agreement lists possible vehicles through which an adaptation communication could be submitted (Article 7.11), while leaving the form and timing of an adaptation communication open. The Paris Agreement also stresses that adaptation reporting should av"&amp;"oid creating any additional burden for developing country Parties. At a national level, identifying and collating information could help a country communicate its priority needs and actions, identify progress towards national goals, highlight the need for"&amp;" international support, and better co-ordinate and communicate actions and funding within the country.")</f>
        <v>The Agreement lists possible vehicles through which an adaptation communication could be submitted (Article 7.11), while leaving the form and timing of an adaptation communication open. The Paris Agreement also stresses that adaptation reporting should avoid creating any additional burden for developing country Parties. At a national level, identifying and collating information could help a country communicate its priority needs and actions, identify progress towards national goals, highlight the need for international support, and better co-ordinate and communicate actions and funding within the country.</v>
      </c>
      <c r="C45" s="7" t="s">
        <v>409</v>
      </c>
      <c r="D45" s="50" t="str">
        <f t="shared" ref="D45:H45" si="88">VLOOKUP($A45, INDIRECT(D$1&amp;"!A:C"), 3, FALSE)</f>
        <v>SKIP</v>
      </c>
      <c r="E45" s="50" t="str">
        <f t="shared" si="88"/>
        <v>TO DO</v>
      </c>
      <c r="F45" s="50" t="str">
        <f t="shared" si="88"/>
        <v>TO DO</v>
      </c>
      <c r="G45" s="50" t="b">
        <f t="shared" si="88"/>
        <v>1</v>
      </c>
      <c r="H45" s="50" t="b">
        <f t="shared" si="88"/>
        <v>1</v>
      </c>
      <c r="I45" s="51">
        <f t="shared" si="4"/>
        <v>0.6666666667</v>
      </c>
      <c r="J45" s="52" t="str">
        <f t="shared" ref="J45:N45" si="89">VLOOKUP($A45, INDIRECT(J$1&amp;"!A:D"), 4, FALSE)</f>
        <v>not clear if climate</v>
      </c>
      <c r="K45" s="52" t="str">
        <f t="shared" si="89"/>
        <v/>
      </c>
      <c r="L45" s="52" t="str">
        <f t="shared" si="89"/>
        <v/>
      </c>
      <c r="M45" s="52" t="str">
        <f t="shared" si="89"/>
        <v/>
      </c>
      <c r="N45" s="52" t="str">
        <f t="shared" si="89"/>
        <v/>
      </c>
      <c r="O45" s="51" t="str">
        <f>IFERROR(__xludf.DUMMYFUNCTION("IF(COUNTA(J45:N45)=0, """", ARRAYFORMULA(""- ""&amp;TEXTJOIN(char(10)&amp;""- "", TRUE, FILTER(J$1:N$1&amp;"": ""&amp;J45:N45, NOT(ISBLANK(J45:N45))))))"),"- Finn: not clear if climate")</f>
        <v>- Finn: not clear if climate</v>
      </c>
      <c r="P45" s="51" t="s">
        <v>425</v>
      </c>
      <c r="Q45" s="53" t="s">
        <v>403</v>
      </c>
      <c r="R45" s="5" t="s">
        <v>426</v>
      </c>
    </row>
    <row r="46">
      <c r="A46" s="12" t="str">
        <f>IFERROR(__xludf.DUMMYFUNCTION("""COMPUTED_VALUE"""),"b9525ec2b7e75daae22d4676f6a26d19")</f>
        <v>b9525ec2b7e75daae22d4676f6a26d19</v>
      </c>
      <c r="B46" s="12" t="str">
        <f>IFERROR(__xludf.DUMMYFUNCTION("""COMPUTED_VALUE"""),"It investigates the extent to which the incorporation of a risk perspective in public administration has changed over time, and how this has affected strategies and plans, policies and institutional arrangements in different areas. It illustrates mechanis"&amp;"ms and tools that exist today in public administration at different levels to identify and manage risk in different SDG areas, how countries are using them, and challenges they face in this regard. Lastly, it presents some of the recent trends in terms of"&amp;" institutionalization of risk management in government, including institutional setups that countries have put in place to identify, assess and manage risk in a more holistic way.")</f>
        <v>It investigates the extent to which the incorporation of a risk perspective in public administration has changed over time, and how this has affected strategies and plans, policies and institutional arrangements in different areas. It illustrates mechanisms and tools that exist today in public administration at different levels to identify and manage risk in different SDG areas, how countries are using them, and challenges they face in this regard. Lastly, it presents some of the recent trends in terms of institutionalization of risk management in government, including institutional setups that countries have put in place to identify, assess and manage risk in a more holistic way.</v>
      </c>
      <c r="C46" s="54"/>
      <c r="D46" s="50" t="b">
        <f t="shared" ref="D46:H46" si="90">VLOOKUP($A46, INDIRECT(D$1&amp;"!A:C"), 3, FALSE)</f>
        <v>0</v>
      </c>
      <c r="E46" s="50" t="str">
        <f t="shared" si="90"/>
        <v>TO DO</v>
      </c>
      <c r="F46" s="50" t="str">
        <f t="shared" si="90"/>
        <v>TO DO</v>
      </c>
      <c r="G46" s="50" t="b">
        <f t="shared" si="90"/>
        <v>1</v>
      </c>
      <c r="H46" s="50" t="b">
        <f t="shared" si="90"/>
        <v>0</v>
      </c>
      <c r="I46" s="51">
        <f t="shared" si="4"/>
        <v>0.3333333333</v>
      </c>
      <c r="J46" s="52" t="str">
        <f t="shared" ref="J46:N46" si="91">VLOOKUP($A46, INDIRECT(J$1&amp;"!A:D"), 4, FALSE)</f>
        <v/>
      </c>
      <c r="K46" s="52" t="str">
        <f t="shared" si="91"/>
        <v/>
      </c>
      <c r="L46" s="52" t="str">
        <f t="shared" si="91"/>
        <v/>
      </c>
      <c r="M46" s="52" t="str">
        <f t="shared" si="91"/>
        <v/>
      </c>
      <c r="N46" s="52" t="str">
        <f t="shared" si="91"/>
        <v/>
      </c>
      <c r="O46" s="51" t="str">
        <f>IFERROR(__xludf.DUMMYFUNCTION("IF(COUNTA(J46:N46)=0, """", ARRAYFORMULA(""- ""&amp;TEXTJOIN(char(10)&amp;""- "", TRUE, FILTER(J$1:N$1&amp;"": ""&amp;J46:N46, NOT(ISBLANK(J46:N46))))))"),"")</f>
        <v/>
      </c>
      <c r="P46" s="51" t="s">
        <v>400</v>
      </c>
      <c r="Q46" s="53" t="s">
        <v>401</v>
      </c>
    </row>
    <row r="47">
      <c r="A47" s="12" t="str">
        <f>IFERROR(__xludf.DUMMYFUNCTION("""COMPUTED_VALUE"""),"efda660886221e58c1e49fa726c6be33")</f>
        <v>efda660886221e58c1e49fa726c6be33</v>
      </c>
      <c r="B47" s="12" t="str">
        <f>IFERROR(__xludf.DUMMYFUNCTION("""COMPUTED_VALUE"""),"This links the PDNA process with the ‘building back better’ approach. This is used as a basis for developing a comprehensive immediate and long-term recovery framework and for mobilizing assistance from donors and development partners. These can use the P"&amp;"DNA methodological framework, and retain a sound scientific base, but need to be downscaled to meet local needs.")</f>
        <v>This links the PDNA process with the ‘building back better’ approach. This is used as a basis for developing a comprehensive immediate and long-term recovery framework and for mobilizing assistance from donors and development partners. These can use the PDNA methodological framework, and retain a sound scientific base, but need to be downscaled to meet local needs.</v>
      </c>
      <c r="C47" s="7"/>
      <c r="D47" s="50" t="b">
        <f t="shared" ref="D47:H47" si="92">VLOOKUP($A47, INDIRECT(D$1&amp;"!A:C"), 3, FALSE)</f>
        <v>0</v>
      </c>
      <c r="E47" s="50" t="b">
        <f t="shared" si="92"/>
        <v>0</v>
      </c>
      <c r="F47" s="50" t="str">
        <f t="shared" si="92"/>
        <v>TO DO</v>
      </c>
      <c r="G47" s="50" t="b">
        <f t="shared" si="92"/>
        <v>1</v>
      </c>
      <c r="H47" s="50" t="b">
        <f t="shared" si="92"/>
        <v>1</v>
      </c>
      <c r="I47" s="51">
        <f t="shared" si="4"/>
        <v>0</v>
      </c>
      <c r="J47" s="52" t="str">
        <f t="shared" ref="J47:N47" si="93">VLOOKUP($A47, INDIRECT(J$1&amp;"!A:D"), 4, FALSE)</f>
        <v/>
      </c>
      <c r="K47" s="52" t="str">
        <f t="shared" si="93"/>
        <v/>
      </c>
      <c r="L47" s="52" t="str">
        <f t="shared" si="93"/>
        <v/>
      </c>
      <c r="M47" s="52" t="str">
        <f t="shared" si="93"/>
        <v/>
      </c>
      <c r="N47" s="52" t="str">
        <f t="shared" si="93"/>
        <v>PDNA = Post Disaster Needs Assessment</v>
      </c>
      <c r="O47" s="51" t="str">
        <f>IFERROR(__xludf.DUMMYFUNCTION("IF(COUNTA(J47:N47)=0, """", ARRAYFORMULA(""- ""&amp;TEXTJOIN(char(10)&amp;""- "", TRUE, FILTER(J$1:N$1&amp;"": ""&amp;J47:N47, NOT(ISBLANK(J47:N47))))))"),"- Steve: PDNA = Post Disaster Needs Assessment")</f>
        <v>- Steve: PDNA = Post Disaster Needs Assessment</v>
      </c>
      <c r="P47" s="51" t="s">
        <v>427</v>
      </c>
      <c r="Q47" s="53" t="s">
        <v>401</v>
      </c>
      <c r="R47" s="5" t="s">
        <v>428</v>
      </c>
    </row>
    <row r="48">
      <c r="A48" s="12" t="str">
        <f>IFERROR(__xludf.DUMMYFUNCTION("""COMPUTED_VALUE"""),"172e88eee0f40b3d13439fdab8e7cfc1")</f>
        <v>172e88eee0f40b3d13439fdab8e7cfc1</v>
      </c>
      <c r="B48" s="12" t="str">
        <f>IFERROR(__xludf.DUMMYFUNCTION("""COMPUTED_VALUE"""),"This paper focuses on how national and subnational governments can align subnational financial flows to transition towards low-carbon, resilient and inclusive cities. The paper is a contribution from the OECD Champion Mayors for Inclusive Growth initiativ"&amp;"e and to the OECD Programme on Subnational Finance and Investment. It was drafted by Dorothee Allain - Dupre, Isabelle Chatty, Marissa Plouin, and Sena Segbedzi.")</f>
        <v>This paper focuses on how national and subnational governments can align subnational financial flows to transition towards low-carbon, resilient and inclusive cities. The paper is a contribution from the OECD Champion Mayors for Inclusive Growth initiative and to the OECD Programme on Subnational Finance and Investment. It was drafted by Dorothee Allain - Dupre, Isabelle Chatty, Marissa Plouin, and Sena Segbedzi.</v>
      </c>
      <c r="C48" s="7"/>
      <c r="D48" s="50" t="b">
        <f t="shared" ref="D48:H48" si="94">VLOOKUP($A48, INDIRECT(D$1&amp;"!A:C"), 3, FALSE)</f>
        <v>1</v>
      </c>
      <c r="E48" s="50" t="str">
        <f t="shared" si="94"/>
        <v>TO DO</v>
      </c>
      <c r="F48" s="50" t="str">
        <f t="shared" si="94"/>
        <v>TO DO</v>
      </c>
      <c r="G48" s="50" t="b">
        <f t="shared" si="94"/>
        <v>1</v>
      </c>
      <c r="H48" s="50" t="b">
        <f t="shared" si="94"/>
        <v>1</v>
      </c>
      <c r="I48" s="51">
        <f t="shared" si="4"/>
        <v>1</v>
      </c>
      <c r="J48" s="52" t="str">
        <f t="shared" ref="J48:N48" si="95">VLOOKUP($A48, INDIRECT(J$1&amp;"!A:D"), 4, FALSE)</f>
        <v/>
      </c>
      <c r="K48" s="52" t="str">
        <f t="shared" si="95"/>
        <v/>
      </c>
      <c r="L48" s="52" t="str">
        <f t="shared" si="95"/>
        <v/>
      </c>
      <c r="M48" s="52" t="str">
        <f t="shared" si="95"/>
        <v/>
      </c>
      <c r="N48" s="52" t="str">
        <f t="shared" si="95"/>
        <v/>
      </c>
      <c r="O48" s="51" t="str">
        <f>IFERROR(__xludf.DUMMYFUNCTION("IF(COUNTA(J48:N48)=0, """", ARRAYFORMULA(""- ""&amp;TEXTJOIN(char(10)&amp;""- "", TRUE, FILTER(J$1:N$1&amp;"": ""&amp;J48:N48, NOT(ISBLANK(J48:N48))))))"),"")</f>
        <v/>
      </c>
      <c r="P48" s="51" t="s">
        <v>400</v>
      </c>
      <c r="Q48" s="53" t="s">
        <v>403</v>
      </c>
    </row>
    <row r="49">
      <c r="A49" s="12" t="str">
        <f>IFERROR(__xludf.DUMMYFUNCTION("""COMPUTED_VALUE"""),"4172757492f45dd24f73363afe0b2e41")</f>
        <v>4172757492f45dd24f73363afe0b2e41</v>
      </c>
      <c r="B49" s="12" t="str">
        <f>IFERROR(__xludf.DUMMYFUNCTION("""COMPUTED_VALUE"""),"Policy optimization models are designed to determine the “best” climate policy as defined by an aggregated welfare function over time, possibly considering user-specified climatic constraints. Their complexity is severely limited by the numerical algorith"&amp;"ms used to solve optimization problems. Furthermore, wide-ranging subjective assumptions are necessary to aggregate all consequences of alternative policies in a social welfare function to be maximized.")</f>
        <v>Policy optimization models are designed to determine the “best” climate policy as defined by an aggregated welfare function over time, possibly considering user-specified climatic constraints. Their complexity is severely limited by the numerical algorithms used to solve optimization problems. Furthermore, wide-ranging subjective assumptions are necessary to aggregate all consequences of alternative policies in a social welfare function to be maximized.</v>
      </c>
      <c r="C49" s="7"/>
      <c r="D49" s="50" t="b">
        <f t="shared" ref="D49:H49" si="96">VLOOKUP($A49, INDIRECT(D$1&amp;"!A:C"), 3, FALSE)</f>
        <v>1</v>
      </c>
      <c r="E49" s="50" t="str">
        <f t="shared" si="96"/>
        <v>TO DO</v>
      </c>
      <c r="F49" s="50" t="str">
        <f t="shared" si="96"/>
        <v>TO DO</v>
      </c>
      <c r="G49" s="50" t="b">
        <f t="shared" si="96"/>
        <v>0</v>
      </c>
      <c r="H49" s="50" t="b">
        <f t="shared" si="96"/>
        <v>1</v>
      </c>
      <c r="I49" s="51">
        <f t="shared" si="4"/>
        <v>0.3333333333</v>
      </c>
      <c r="J49" s="52" t="str">
        <f t="shared" ref="J49:N49" si="97">VLOOKUP($A49, INDIRECT(J$1&amp;"!A:D"), 4, FALSE)</f>
        <v/>
      </c>
      <c r="K49" s="52" t="str">
        <f t="shared" si="97"/>
        <v/>
      </c>
      <c r="L49" s="52" t="str">
        <f t="shared" si="97"/>
        <v/>
      </c>
      <c r="M49" s="52" t="str">
        <f t="shared" si="97"/>
        <v/>
      </c>
      <c r="N49" s="52" t="str">
        <f t="shared" si="97"/>
        <v/>
      </c>
      <c r="O49" s="51" t="str">
        <f>IFERROR(__xludf.DUMMYFUNCTION("IF(COUNTA(J49:N49)=0, """", ARRAYFORMULA(""- ""&amp;TEXTJOIN(char(10)&amp;""- "", TRUE, FILTER(J$1:N$1&amp;"": ""&amp;J49:N49, NOT(ISBLANK(J49:N49))))))"),"")</f>
        <v/>
      </c>
      <c r="P49" s="51" t="s">
        <v>400</v>
      </c>
      <c r="Q49" s="53" t="s">
        <v>401</v>
      </c>
    </row>
    <row r="50">
      <c r="A50" s="12" t="str">
        <f>IFERROR(__xludf.DUMMYFUNCTION("""COMPUTED_VALUE"""),"878040846cfddc6b0f3cd28e1cf7d045")</f>
        <v>878040846cfddc6b0f3cd28e1cf7d045</v>
      </c>
      <c r="B50" s="12" t="str">
        <f>IFERROR(__xludf.DUMMYFUNCTION("""COMPUTED_VALUE"""),"Equity usually attracts investors that are looking for higher risk. Public investment per capita in 2012 fell in 15 out of 33 OECD countries, compared to 2007 (OECD, 2014a). The low-carbon transition will require the large-scale mobilisation of all source"&amp;"s of private sector investment and finance (Corfee-Morlot et al.,")</f>
        <v>Equity usually attracts investors that are looking for higher risk. Public investment per capita in 2012 fell in 15 out of 33 OECD countries, compared to 2007 (OECD, 2014a). The low-carbon transition will require the large-scale mobilisation of all sources of private sector investment and finance (Corfee-Morlot et al.,</v>
      </c>
      <c r="C50" s="54"/>
      <c r="D50" s="50" t="b">
        <f t="shared" ref="D50:H50" si="98">VLOOKUP($A50, INDIRECT(D$1&amp;"!A:C"), 3, FALSE)</f>
        <v>1</v>
      </c>
      <c r="E50" s="50" t="str">
        <f t="shared" si="98"/>
        <v>TO DO</v>
      </c>
      <c r="F50" s="50" t="str">
        <f t="shared" si="98"/>
        <v>TO DO</v>
      </c>
      <c r="G50" s="50" t="b">
        <f t="shared" si="98"/>
        <v>0</v>
      </c>
      <c r="H50" s="50" t="b">
        <f t="shared" si="98"/>
        <v>1</v>
      </c>
      <c r="I50" s="51">
        <f t="shared" si="4"/>
        <v>0.3333333333</v>
      </c>
      <c r="J50" s="52" t="str">
        <f t="shared" ref="J50:N50" si="99">VLOOKUP($A50, INDIRECT(J$1&amp;"!A:D"), 4, FALSE)</f>
        <v/>
      </c>
      <c r="K50" s="52" t="str">
        <f t="shared" si="99"/>
        <v/>
      </c>
      <c r="L50" s="52" t="str">
        <f t="shared" si="99"/>
        <v/>
      </c>
      <c r="M50" s="52" t="str">
        <f t="shared" si="99"/>
        <v/>
      </c>
      <c r="N50" s="52" t="str">
        <f t="shared" si="99"/>
        <v>low carbon transition as cc mitigation</v>
      </c>
      <c r="O50" s="51" t="str">
        <f>IFERROR(__xludf.DUMMYFUNCTION("IF(COUNTA(J50:N50)=0, """", ARRAYFORMULA(""- ""&amp;TEXTJOIN(char(10)&amp;""- "", TRUE, FILTER(J$1:N$1&amp;"": ""&amp;J50:N50, NOT(ISBLANK(J50:N50))))))"),"- Steve: low carbon transition as cc mitigation")</f>
        <v>- Steve: low carbon transition as cc mitigation</v>
      </c>
      <c r="P50" s="51" t="s">
        <v>429</v>
      </c>
      <c r="Q50" s="53" t="s">
        <v>401</v>
      </c>
    </row>
    <row r="51">
      <c r="A51" s="12" t="str">
        <f>IFERROR(__xludf.DUMMYFUNCTION("""COMPUTED_VALUE"""),"ff2679ddf016ef04e163c6898249b438")</f>
        <v>ff2679ddf016ef04e163c6898249b438</v>
      </c>
      <c r="B51" s="12" t="str">
        <f>IFERROR(__xludf.DUMMYFUNCTION("""COMPUTED_VALUE"""),"The Policy Forum brought together policy-makers and experts from 25 OECD countries, from international organisations and from the private sector to discuss progress, common challenges and successes in the development of national adaptation strategies (OEC"&amp;"D, 2012b). The original version included additional European countries which are excluded from the updated table, and also did not include four OECD countries (Chile, Israel, Luxembourg and Turkey) which are included in this analysis. Most OECD members ar"&amp;"e Annex I countries, with the exception of Chile, Israel, Korea, Mexico. Turkey is an Annex I country, but has only published one NC. The assessment of the scope of discussion is based on the level of attention paid to the topic, classified as: i) extensi"&amp;"ve, ii) limited, or iii) lacking.")</f>
        <v>The Policy Forum brought together policy-makers and experts from 25 OECD countries, from international organisations and from the private sector to discuss progress, common challenges and successes in the development of national adaptation strategies (OECD, 2012b). The original version included additional European countries which are excluded from the updated table, and also did not include four OECD countries (Chile, Israel, Luxembourg and Turkey) which are included in this analysis. Most OECD members are Annex I countries, with the exception of Chile, Israel, Korea, Mexico. Turkey is an Annex I country, but has only published one NC. The assessment of the scope of discussion is based on the level of attention paid to the topic, classified as: i) extensive, ii) limited, or iii) lacking.</v>
      </c>
      <c r="C51" s="7" t="s">
        <v>409</v>
      </c>
      <c r="D51" s="50" t="str">
        <f t="shared" ref="D51:H51" si="100">VLOOKUP($A51, INDIRECT(D$1&amp;"!A:C"), 3, FALSE)</f>
        <v>SKIP</v>
      </c>
      <c r="E51" s="50" t="str">
        <f t="shared" si="100"/>
        <v>TO DO</v>
      </c>
      <c r="F51" s="50" t="str">
        <f t="shared" si="100"/>
        <v>TO DO</v>
      </c>
      <c r="G51" s="50" t="b">
        <f t="shared" si="100"/>
        <v>1</v>
      </c>
      <c r="H51" s="50" t="b">
        <f t="shared" si="100"/>
        <v>1</v>
      </c>
      <c r="I51" s="51">
        <f t="shared" si="4"/>
        <v>0.6666666667</v>
      </c>
      <c r="J51" s="52" t="str">
        <f t="shared" ref="J51:N51" si="101">VLOOKUP($A51, INDIRECT(J$1&amp;"!A:D"), 4, FALSE)</f>
        <v>not clear if climate</v>
      </c>
      <c r="K51" s="52" t="str">
        <f t="shared" si="101"/>
        <v/>
      </c>
      <c r="L51" s="52" t="str">
        <f t="shared" si="101"/>
        <v/>
      </c>
      <c r="M51" s="52" t="str">
        <f t="shared" si="101"/>
        <v/>
      </c>
      <c r="N51" s="52" t="str">
        <f t="shared" si="101"/>
        <v>NC= National Communications within UNFCCC's national reporting submissions platform</v>
      </c>
      <c r="O51" s="51" t="str">
        <f>IFERROR(__xludf.DUMMYFUNCTION("IF(COUNTA(J51:N51)=0, """", ARRAYFORMULA(""- ""&amp;TEXTJOIN(char(10)&amp;""- "", TRUE, FILTER(J$1:N$1&amp;"": ""&amp;J51:N51, NOT(ISBLANK(J51:N51))))))"),"- Finn: not clear if climate
- Steve: NC= National Communications within UNFCCC's national reporting submissions platform")</f>
        <v>- Finn: not clear if climate
- Steve: NC= National Communications within UNFCCC's national reporting submissions platform</v>
      </c>
      <c r="P51" s="51" t="s">
        <v>430</v>
      </c>
      <c r="Q51" s="53" t="s">
        <v>403</v>
      </c>
      <c r="R51" s="5" t="s">
        <v>431</v>
      </c>
    </row>
    <row r="52">
      <c r="A52" s="12" t="str">
        <f>IFERROR(__xludf.DUMMYFUNCTION("""COMPUTED_VALUE"""),"004cf7b0bbc8f0f761c488a7f15eb866")</f>
        <v>004cf7b0bbc8f0f761c488a7f15eb866</v>
      </c>
      <c r="B52" s="12" t="str">
        <f>IFERROR(__xludf.DUMMYFUNCTION("""COMPUTED_VALUE"""),"Some of these interlinkages and synergies are fundamental to facets of building climate change resilience and reducing inequalities. The interlinkages between climate change and other dimensions of development are also well reflected in other Goals. If th"&amp;"e frequency and intensity of climate hazards increase, it will be harder for countries to end poverty and hunger, achieve food security, improve nutrition, promote sustainable agriculture and ensure healthy lives (Goals 1-3).")</f>
        <v>Some of these interlinkages and synergies are fundamental to facets of building climate change resilience and reducing inequalities. The interlinkages between climate change and other dimensions of development are also well reflected in other Goals. If the frequency and intensity of climate hazards increase, it will be harder for countries to end poverty and hunger, achieve food security, improve nutrition, promote sustainable agriculture and ensure healthy lives (Goals 1-3).</v>
      </c>
      <c r="C52" s="54"/>
      <c r="D52" s="50" t="b">
        <f t="shared" ref="D52:H52" si="102">VLOOKUP($A52, INDIRECT(D$1&amp;"!A:C"), 3, FALSE)</f>
        <v>1</v>
      </c>
      <c r="E52" s="50" t="str">
        <f t="shared" si="102"/>
        <v>TO DO</v>
      </c>
      <c r="F52" s="50" t="str">
        <f t="shared" si="102"/>
        <v>TO DO</v>
      </c>
      <c r="G52" s="50" t="b">
        <f t="shared" si="102"/>
        <v>0</v>
      </c>
      <c r="H52" s="50" t="b">
        <f t="shared" si="102"/>
        <v>1</v>
      </c>
      <c r="I52" s="51">
        <f t="shared" si="4"/>
        <v>0.3333333333</v>
      </c>
      <c r="J52" s="52" t="str">
        <f t="shared" ref="J52:N52" si="103">VLOOKUP($A52, INDIRECT(J$1&amp;"!A:D"), 4, FALSE)</f>
        <v/>
      </c>
      <c r="K52" s="52" t="str">
        <f t="shared" si="103"/>
        <v/>
      </c>
      <c r="L52" s="52" t="str">
        <f t="shared" si="103"/>
        <v/>
      </c>
      <c r="M52" s="52" t="str">
        <f t="shared" si="103"/>
        <v/>
      </c>
      <c r="N52" s="52" t="str">
        <f t="shared" si="103"/>
        <v/>
      </c>
      <c r="O52" s="51" t="str">
        <f>IFERROR(__xludf.DUMMYFUNCTION("IF(COUNTA(J52:N52)=0, """", ARRAYFORMULA(""- ""&amp;TEXTJOIN(char(10)&amp;""- "", TRUE, FILTER(J$1:N$1&amp;"": ""&amp;J52:N52, NOT(ISBLANK(J52:N52))))))"),"")</f>
        <v/>
      </c>
      <c r="P52" s="51" t="s">
        <v>400</v>
      </c>
      <c r="Q52" s="53" t="s">
        <v>401</v>
      </c>
    </row>
    <row r="53">
      <c r="A53" s="12" t="str">
        <f>IFERROR(__xludf.DUMMYFUNCTION("""COMPUTED_VALUE"""),"6775da6444c36eea4ffa3fd07bd20d07")</f>
        <v>6775da6444c36eea4ffa3fd07bd20d07</v>
      </c>
      <c r="B53" s="12" t="str">
        <f>IFERROR(__xludf.DUMMYFUNCTION("""COMPUTED_VALUE"""),"They focus on actively engaging the communities, providing space for innovation and ensuring that higher level policies and plans are adapted to local settings. The national policy framework can foster local innovation when it provides an enabling environ"&amp;"ment, for example, through the provision of social protection and regulation of market actors. Achieving the SDGs will depend on identifying the right policy mixes and governance approaches that can combine progressive public policies and environmental re"&amp;"gulation with local initiatives and innovations in a way that promotes transformative change toward equity and sustainability. It will also depend on ensuring that the promotion of technological innovation, private sector investment and multistakeholder p"&amp;"artnership is in line with considerations for social inclusion, participation and empowerment (chapter 7).")</f>
        <v>They focus on actively engaging the communities, providing space for innovation and ensuring that higher level policies and plans are adapted to local settings. The national policy framework can foster local innovation when it provides an enabling environment, for example, through the provision of social protection and regulation of market actors. Achieving the SDGs will depend on identifying the right policy mixes and governance approaches that can combine progressive public policies and environmental regulation with local initiatives and innovations in a way that promotes transformative change toward equity and sustainability. It will also depend on ensuring that the promotion of technological innovation, private sector investment and multistakeholder partnership is in line with considerations for social inclusion, participation and empowerment (chapter 7).</v>
      </c>
      <c r="C53" s="7"/>
      <c r="D53" s="50" t="b">
        <f t="shared" ref="D53:H53" si="104">VLOOKUP($A53, INDIRECT(D$1&amp;"!A:C"), 3, FALSE)</f>
        <v>0</v>
      </c>
      <c r="E53" s="50" t="str">
        <f t="shared" si="104"/>
        <v>TO DO</v>
      </c>
      <c r="F53" s="50" t="str">
        <f t="shared" si="104"/>
        <v>TO DO</v>
      </c>
      <c r="G53" s="50" t="b">
        <f t="shared" si="104"/>
        <v>0</v>
      </c>
      <c r="H53" s="50" t="b">
        <f t="shared" si="104"/>
        <v>0</v>
      </c>
      <c r="I53" s="51">
        <f t="shared" si="4"/>
        <v>1</v>
      </c>
      <c r="J53" s="52" t="str">
        <f t="shared" ref="J53:N53" si="105">VLOOKUP($A53, INDIRECT(J$1&amp;"!A:D"), 4, FALSE)</f>
        <v/>
      </c>
      <c r="K53" s="52" t="str">
        <f t="shared" si="105"/>
        <v/>
      </c>
      <c r="L53" s="52" t="str">
        <f t="shared" si="105"/>
        <v/>
      </c>
      <c r="M53" s="52" t="str">
        <f t="shared" si="105"/>
        <v/>
      </c>
      <c r="N53" s="52" t="str">
        <f t="shared" si="105"/>
        <v/>
      </c>
      <c r="O53" s="51" t="str">
        <f>IFERROR(__xludf.DUMMYFUNCTION("IF(COUNTA(J53:N53)=0, """", ARRAYFORMULA(""- ""&amp;TEXTJOIN(char(10)&amp;""- "", TRUE, FILTER(J$1:N$1&amp;"": ""&amp;J53:N53, NOT(ISBLANK(J53:N53))))))"),"")</f>
        <v/>
      </c>
      <c r="P53" s="51" t="s">
        <v>400</v>
      </c>
      <c r="Q53" s="53" t="s">
        <v>402</v>
      </c>
    </row>
    <row r="54">
      <c r="A54" s="12" t="str">
        <f>IFERROR(__xludf.DUMMYFUNCTION("""COMPUTED_VALUE"""),"3304000bcbe473a0c98686d217438277")</f>
        <v>3304000bcbe473a0c98686d217438277</v>
      </c>
      <c r="B54" s="12" t="str">
        <f>IFERROR(__xludf.DUMMYFUNCTION("""COMPUTED_VALUE"""),"Country ownership is a principle of the Busan Partnership for Effective Development Cooperation building on the Paris Declaration and the Accra Agenda for Action. While the past 15 years have tended to separate development finance to achieve the MDGs from"&amp;" climate finance to achieve the goals of the UNFCCC, Agenda 2030 and the Paris Agreement place climate action into the context of sustainable development. In addition, the emphasis in all the 2015 outcomes on country ownership provides an opportunity to i"&amp;"ncrease coherence at national level, especially if partner countries are supported to strengthen human and institutional capacity.")</f>
        <v>Country ownership is a principle of the Busan Partnership for Effective Development Cooperation building on the Paris Declaration and the Accra Agenda for Action. While the past 15 years have tended to separate development finance to achieve the MDGs from climate finance to achieve the goals of the UNFCCC, Agenda 2030 and the Paris Agreement place climate action into the context of sustainable development. In addition, the emphasis in all the 2015 outcomes on country ownership provides an opportunity to increase coherence at national level, especially if partner countries are supported to strengthen human and institutional capacity.</v>
      </c>
      <c r="C54" s="54"/>
      <c r="D54" s="50" t="b">
        <f t="shared" ref="D54:H54" si="106">VLOOKUP($A54, INDIRECT(D$1&amp;"!A:C"), 3, FALSE)</f>
        <v>1</v>
      </c>
      <c r="E54" s="50" t="str">
        <f t="shared" si="106"/>
        <v>TO DO</v>
      </c>
      <c r="F54" s="50" t="str">
        <f t="shared" si="106"/>
        <v>TO DO</v>
      </c>
      <c r="G54" s="50" t="b">
        <f t="shared" si="106"/>
        <v>1</v>
      </c>
      <c r="H54" s="50" t="b">
        <f t="shared" si="106"/>
        <v>1</v>
      </c>
      <c r="I54" s="51">
        <f t="shared" si="4"/>
        <v>1</v>
      </c>
      <c r="J54" s="52" t="str">
        <f t="shared" ref="J54:N54" si="107">VLOOKUP($A54, INDIRECT(J$1&amp;"!A:D"), 4, FALSE)</f>
        <v/>
      </c>
      <c r="K54" s="52" t="str">
        <f t="shared" si="107"/>
        <v/>
      </c>
      <c r="L54" s="52" t="str">
        <f t="shared" si="107"/>
        <v/>
      </c>
      <c r="M54" s="52" t="str">
        <f t="shared" si="107"/>
        <v/>
      </c>
      <c r="N54" s="52" t="str">
        <f t="shared" si="107"/>
        <v/>
      </c>
      <c r="O54" s="51" t="str">
        <f>IFERROR(__xludf.DUMMYFUNCTION("IF(COUNTA(J54:N54)=0, """", ARRAYFORMULA(""- ""&amp;TEXTJOIN(char(10)&amp;""- "", TRUE, FILTER(J$1:N$1&amp;"": ""&amp;J54:N54, NOT(ISBLANK(J54:N54))))))"),"")</f>
        <v/>
      </c>
      <c r="P54" s="51" t="s">
        <v>400</v>
      </c>
      <c r="Q54" s="53" t="s">
        <v>403</v>
      </c>
    </row>
    <row r="55">
      <c r="A55" s="12" t="str">
        <f>IFERROR(__xludf.DUMMYFUNCTION("""COMPUTED_VALUE"""),"b182cb41431ee6bc0c3db7410462928b")</f>
        <v>b182cb41431ee6bc0c3db7410462928b</v>
      </c>
      <c r="B55" s="12" t="str">
        <f>IFERROR(__xludf.DUMMYFUNCTION("""COMPUTED_VALUE"""),"Teachers may learn about ESD and related topics, and may be highly motivated during training activities, but upon returning to their classrooms they struggle to find the time or means to effectively implement what was learned. This is disheartening and in"&amp;"efficient. As attractive as training activities may be to donors as a means of targeting large numbers, and as a means of disseminating ESD knowledge and skills, the surrounding context of such training and the anticipated classroom implementation need to"&amp;" be given serious consideration. In the SEP approach, training is not conceived of as a one-off event expected to change teaching practices on its own, but rather as a component of a broader system of supports and incentives which exerts a positive force "&amp;"on teaching practices over time.")</f>
        <v>Teachers may learn about ESD and related topics, and may be highly motivated during training activities, but upon returning to their classrooms they struggle to find the time or means to effectively implement what was learned. This is disheartening and inefficient. As attractive as training activities may be to donors as a means of targeting large numbers, and as a means of disseminating ESD knowledge and skills, the surrounding context of such training and the anticipated classroom implementation need to be given serious consideration. In the SEP approach, training is not conceived of as a one-off event expected to change teaching practices on its own, but rather as a component of a broader system of supports and incentives which exerts a positive force on teaching practices over time.</v>
      </c>
      <c r="C55" s="54"/>
      <c r="D55" s="50" t="b">
        <f t="shared" ref="D55:H55" si="108">VLOOKUP($A55, INDIRECT(D$1&amp;"!A:C"), 3, FALSE)</f>
        <v>0</v>
      </c>
      <c r="E55" s="50" t="b">
        <f t="shared" si="108"/>
        <v>0</v>
      </c>
      <c r="F55" s="50" t="str">
        <f t="shared" si="108"/>
        <v>TO DO</v>
      </c>
      <c r="G55" s="50" t="b">
        <f t="shared" si="108"/>
        <v>0</v>
      </c>
      <c r="H55" s="50" t="b">
        <f t="shared" si="108"/>
        <v>0</v>
      </c>
      <c r="I55" s="51">
        <f t="shared" si="4"/>
        <v>1</v>
      </c>
      <c r="J55" s="52" t="str">
        <f t="shared" ref="J55:N55" si="109">VLOOKUP($A55, INDIRECT(J$1&amp;"!A:D"), 4, FALSE)</f>
        <v/>
      </c>
      <c r="K55" s="52" t="str">
        <f t="shared" si="109"/>
        <v>Could be true. Education on sustainable development probably involves climate change, but is not specific to it.</v>
      </c>
      <c r="L55" s="52" t="str">
        <f t="shared" si="109"/>
        <v/>
      </c>
      <c r="M55" s="52" t="str">
        <f t="shared" si="109"/>
        <v/>
      </c>
      <c r="N55" s="52" t="str">
        <f t="shared" si="109"/>
        <v/>
      </c>
      <c r="O55" s="51" t="str">
        <f>IFERROR(__xludf.DUMMYFUNCTION("IF(COUNTA(J55:N55)=0, """", ARRAYFORMULA(""- ""&amp;TEXTJOIN(char(10)&amp;""- "", TRUE, FILTER(J$1:N$1&amp;"": ""&amp;J55:N55, NOT(ISBLANK(J55:N55))))))"),"- Gib: Could be true. Education on sustainable development probably involves climate change, but is not specific to it.")</f>
        <v>- Gib: Could be true. Education on sustainable development probably involves climate change, but is not specific to it.</v>
      </c>
      <c r="P55" s="51" t="s">
        <v>432</v>
      </c>
      <c r="Q55" s="53" t="s">
        <v>402</v>
      </c>
    </row>
    <row r="56">
      <c r="A56" s="12" t="str">
        <f>IFERROR(__xludf.DUMMYFUNCTION("""COMPUTED_VALUE"""),"d91641dd845973e6ab2690fe402a3b1d")</f>
        <v>d91641dd845973e6ab2690fe402a3b1d</v>
      </c>
      <c r="B56" s="12" t="str">
        <f>IFERROR(__xludf.DUMMYFUNCTION("""COMPUTED_VALUE"""),"In contrast, the dominant market-liberal rationality sees human and natural resources as production factors to achieve economic growth as the main pathway toward welfare. As noted above, such an approach has been associated with adverse social and environ"&amp;"mental impacts.25 Does the 2030 Agenda hold the potential for a profound transformation toward a more progressive and rights-based eco-social approach that would shift the normative hierarchy for decision making, as discussed in chapter 7? Many lower and "&amp;"middle income countries object to the 2°C goal, especially low-lying small island states that stress the significant risks and impacts they already face at lower levels of global warming.")</f>
        <v>In contrast, the dominant market-liberal rationality sees human and natural resources as production factors to achieve economic growth as the main pathway toward welfare. As noted above, such an approach has been associated with adverse social and environmental impacts.25 Does the 2030 Agenda hold the potential for a profound transformation toward a more progressive and rights-based eco-social approach that would shift the normative hierarchy for decision making, as discussed in chapter 7? Many lower and middle income countries object to the 2°C goal, especially low-lying small island states that stress the significant risks and impacts they already face at lower levels of global warming.</v>
      </c>
      <c r="C56" s="50"/>
      <c r="D56" s="50" t="b">
        <f t="shared" ref="D56:H56" si="110">VLOOKUP($A56, INDIRECT(D$1&amp;"!A:C"), 3, FALSE)</f>
        <v>1</v>
      </c>
      <c r="E56" s="50" t="b">
        <f t="shared" si="110"/>
        <v>1</v>
      </c>
      <c r="F56" s="50" t="str">
        <f t="shared" si="110"/>
        <v>TO DO</v>
      </c>
      <c r="G56" s="50" t="b">
        <f t="shared" si="110"/>
        <v>1</v>
      </c>
      <c r="H56" s="50" t="b">
        <f t="shared" si="110"/>
        <v>1</v>
      </c>
      <c r="I56" s="51">
        <f t="shared" si="4"/>
        <v>1</v>
      </c>
      <c r="J56" s="52" t="str">
        <f t="shared" ref="J56:N56" si="111">VLOOKUP($A56, INDIRECT(J$1&amp;"!A:D"), 4, FALSE)</f>
        <v/>
      </c>
      <c r="K56" s="52" t="str">
        <f t="shared" si="111"/>
        <v/>
      </c>
      <c r="L56" s="52" t="str">
        <f t="shared" si="111"/>
        <v/>
      </c>
      <c r="M56" s="52" t="str">
        <f t="shared" si="111"/>
        <v/>
      </c>
      <c r="N56" s="52" t="str">
        <f t="shared" si="111"/>
        <v/>
      </c>
      <c r="O56" s="51" t="str">
        <f>IFERROR(__xludf.DUMMYFUNCTION("IF(COUNTA(J56:N56)=0, """", ARRAYFORMULA(""- ""&amp;TEXTJOIN(char(10)&amp;""- "", TRUE, FILTER(J$1:N$1&amp;"": ""&amp;J56:N56, NOT(ISBLANK(J56:N56))))))"),"")</f>
        <v/>
      </c>
      <c r="P56" s="51" t="s">
        <v>400</v>
      </c>
      <c r="Q56" s="53" t="s">
        <v>403</v>
      </c>
    </row>
    <row r="57">
      <c r="A57" s="12" t="str">
        <f>IFERROR(__xludf.DUMMYFUNCTION("""COMPUTED_VALUE"""),"5e242763926d5068bfc1388cbd6beda2")</f>
        <v>5e242763926d5068bfc1388cbd6beda2</v>
      </c>
      <c r="B57" s="12" t="str">
        <f>IFERROR(__xludf.DUMMYFUNCTION("""COMPUTED_VALUE"""),"There are now stand-alone goals on inequalities, cities and human settlements, energy, climate change, sustainable consumption and production, and the protection of marine and terrestrial ecosystems. This broad agenda reflects human rights principles and "&amp;"standards and recognizes the interlinkages between different areas of development and the importance of environmental and climate protection for poverty reduction and human well-being. Nevertheless, the agenda is fraught with tensions both between differe"&amp;"nt goals and between its normative aspirations and the suggested means of implementation that largely rely on trade, private finance and public-private partnerships (chapter 7).")</f>
        <v>There are now stand-alone goals on inequalities, cities and human settlements, energy, climate change, sustainable consumption and production, and the protection of marine and terrestrial ecosystems. This broad agenda reflects human rights principles and standards and recognizes the interlinkages between different areas of development and the importance of environmental and climate protection for poverty reduction and human well-being. Nevertheless, the agenda is fraught with tensions both between different goals and between its normative aspirations and the suggested means of implementation that largely rely on trade, private finance and public-private partnerships (chapter 7).</v>
      </c>
      <c r="C57" s="50"/>
      <c r="D57" s="50" t="b">
        <f t="shared" ref="D57:H57" si="112">VLOOKUP($A57, INDIRECT(D$1&amp;"!A:C"), 3, FALSE)</f>
        <v>1</v>
      </c>
      <c r="E57" s="50" t="str">
        <f t="shared" si="112"/>
        <v>TO DO</v>
      </c>
      <c r="F57" s="50" t="str">
        <f t="shared" si="112"/>
        <v>TO DO</v>
      </c>
      <c r="G57" s="50" t="b">
        <f t="shared" si="112"/>
        <v>0</v>
      </c>
      <c r="H57" s="50" t="b">
        <f t="shared" si="112"/>
        <v>0</v>
      </c>
      <c r="I57" s="51">
        <f t="shared" si="4"/>
        <v>0.3333333333</v>
      </c>
      <c r="J57" s="52" t="str">
        <f t="shared" ref="J57:N57" si="113">VLOOKUP($A57, INDIRECT(J$1&amp;"!A:D"), 4, FALSE)</f>
        <v/>
      </c>
      <c r="K57" s="52" t="str">
        <f t="shared" si="113"/>
        <v/>
      </c>
      <c r="L57" s="52" t="str">
        <f t="shared" si="113"/>
        <v/>
      </c>
      <c r="M57" s="52" t="str">
        <f t="shared" si="113"/>
        <v/>
      </c>
      <c r="N57" s="52" t="str">
        <f t="shared" si="113"/>
        <v/>
      </c>
      <c r="O57" s="51" t="str">
        <f>IFERROR(__xludf.DUMMYFUNCTION("IF(COUNTA(J57:N57)=0, """", ARRAYFORMULA(""- ""&amp;TEXTJOIN(char(10)&amp;""- "", TRUE, FILTER(J$1:N$1&amp;"": ""&amp;J57:N57, NOT(ISBLANK(J57:N57))))))"),"")</f>
        <v/>
      </c>
      <c r="P57" s="51" t="s">
        <v>400</v>
      </c>
      <c r="Q57" s="53" t="s">
        <v>401</v>
      </c>
      <c r="R57" s="5" t="s">
        <v>433</v>
      </c>
    </row>
    <row r="58">
      <c r="A58" s="12" t="str">
        <f>IFERROR(__xludf.DUMMYFUNCTION("""COMPUTED_VALUE"""),"3e9fb54c06b1b8ae288ff931c7257cd2")</f>
        <v>3e9fb54c06b1b8ae288ff931c7257cd2</v>
      </c>
      <c r="B58" s="12" t="str">
        <f>IFERROR(__xludf.DUMMYFUNCTION("""COMPUTED_VALUE"""),"Positive synergies can be achieved between agricultural adaptation and the needs of low-income countries, including food security, mitigation and poverty reduction, if these are considered in unison (Tennigkeit etal., Agriculture is a major source of GHGs"&amp;", and with further increases to GHG emissions being expected due to increasing demands for food and feed (Alexandratos and Bruinsma, 2012, Tilmann et al., Further, food security problems exists in several regions, with 793 million people being undernouris"&amp;"hed (c.f.")</f>
        <v>Positive synergies can be achieved between agricultural adaptation and the needs of low-income countries, including food security, mitigation and poverty reduction, if these are considered in unison (Tennigkeit etal., Agriculture is a major source of GHGs, and with further increases to GHG emissions being expected due to increasing demands for food and feed (Alexandratos and Bruinsma, 2012, Tilmann et al., Further, food security problems exists in several regions, with 793 million people being undernourished (c.f.</v>
      </c>
      <c r="C58" s="7"/>
      <c r="D58" s="50" t="b">
        <f t="shared" ref="D58:H58" si="114">VLOOKUP($A58, INDIRECT(D$1&amp;"!A:C"), 3, FALSE)</f>
        <v>1</v>
      </c>
      <c r="E58" s="50" t="str">
        <f t="shared" si="114"/>
        <v>TO DO</v>
      </c>
      <c r="F58" s="50" t="str">
        <f t="shared" si="114"/>
        <v>TO DO</v>
      </c>
      <c r="G58" s="50" t="b">
        <f t="shared" si="114"/>
        <v>0</v>
      </c>
      <c r="H58" s="50" t="b">
        <f t="shared" si="114"/>
        <v>1</v>
      </c>
      <c r="I58" s="51">
        <f t="shared" si="4"/>
        <v>0.3333333333</v>
      </c>
      <c r="J58" s="52" t="str">
        <f t="shared" ref="J58:N58" si="115">VLOOKUP($A58, INDIRECT(J$1&amp;"!A:D"), 4, FALSE)</f>
        <v/>
      </c>
      <c r="K58" s="52" t="str">
        <f t="shared" si="115"/>
        <v/>
      </c>
      <c r="L58" s="52" t="str">
        <f t="shared" si="115"/>
        <v/>
      </c>
      <c r="M58" s="52" t="str">
        <f t="shared" si="115"/>
        <v/>
      </c>
      <c r="N58" s="52" t="str">
        <f t="shared" si="115"/>
        <v/>
      </c>
      <c r="O58" s="51" t="str">
        <f>IFERROR(__xludf.DUMMYFUNCTION("IF(COUNTA(J58:N58)=0, """", ARRAYFORMULA(""- ""&amp;TEXTJOIN(char(10)&amp;""- "", TRUE, FILTER(J$1:N$1&amp;"": ""&amp;J58:N58, NOT(ISBLANK(J58:N58))))))"),"")</f>
        <v/>
      </c>
      <c r="P58" s="51" t="s">
        <v>400</v>
      </c>
      <c r="Q58" s="53" t="s">
        <v>401</v>
      </c>
    </row>
    <row r="59">
      <c r="A59" s="12" t="str">
        <f>IFERROR(__xludf.DUMMYFUNCTION("""COMPUTED_VALUE"""),"4231ec6e9999f23b6507c570cd74125a")</f>
        <v>4231ec6e9999f23b6507c570cd74125a</v>
      </c>
      <c r="B59" s="12" t="str">
        <f>IFERROR(__xludf.DUMMYFUNCTION("""COMPUTED_VALUE"""),"All Annex II Parties are also members of the OECD DAC, as are four further Annex I Parties, and as such use Rio markers to “tag” the amount of bilateral ODA used for climate change mitigation and adaptation, and report this information under the CRS. All "&amp;"EU member countries (many of whom are non-Annex II) are beginning to report information on climate finance under EU monitoring regulations (as outlined above), as well as to the OECD DAC. The transparency framework set out in Article 13 of the Paris Agree"&amp;"ment also provides for voluntary reporting of information on the provision of support by “other Parties”.")</f>
        <v>All Annex II Parties are also members of the OECD DAC, as are four further Annex I Parties, and as such use Rio markers to “tag” the amount of bilateral ODA used for climate change mitigation and adaptation, and report this information under the CRS. All EU member countries (many of whom are non-Annex II) are beginning to report information on climate finance under EU monitoring regulations (as outlined above), as well as to the OECD DAC. The transparency framework set out in Article 13 of the Paris Agreement also provides for voluntary reporting of information on the provision of support by “other Parties”.</v>
      </c>
      <c r="C59" s="54"/>
      <c r="D59" s="50" t="b">
        <f t="shared" ref="D59:H59" si="116">VLOOKUP($A59, INDIRECT(D$1&amp;"!A:C"), 3, FALSE)</f>
        <v>1</v>
      </c>
      <c r="E59" s="50" t="str">
        <f t="shared" si="116"/>
        <v>TO DO</v>
      </c>
      <c r="F59" s="50" t="str">
        <f t="shared" si="116"/>
        <v>TO DO</v>
      </c>
      <c r="G59" s="50" t="b">
        <f t="shared" si="116"/>
        <v>1</v>
      </c>
      <c r="H59" s="50" t="b">
        <f t="shared" si="116"/>
        <v>1</v>
      </c>
      <c r="I59" s="51">
        <f t="shared" si="4"/>
        <v>1</v>
      </c>
      <c r="J59" s="52" t="str">
        <f t="shared" ref="J59:N59" si="117">VLOOKUP($A59, INDIRECT(J$1&amp;"!A:D"), 4, FALSE)</f>
        <v/>
      </c>
      <c r="K59" s="52" t="str">
        <f t="shared" si="117"/>
        <v/>
      </c>
      <c r="L59" s="52" t="str">
        <f t="shared" si="117"/>
        <v/>
      </c>
      <c r="M59" s="52" t="str">
        <f t="shared" si="117"/>
        <v/>
      </c>
      <c r="N59" s="52" t="str">
        <f t="shared" si="117"/>
        <v/>
      </c>
      <c r="O59" s="51" t="str">
        <f>IFERROR(__xludf.DUMMYFUNCTION("IF(COUNTA(J59:N59)=0, """", ARRAYFORMULA(""- ""&amp;TEXTJOIN(char(10)&amp;""- "", TRUE, FILTER(J$1:N$1&amp;"": ""&amp;J59:N59, NOT(ISBLANK(J59:N59))))))"),"")</f>
        <v/>
      </c>
      <c r="P59" s="51" t="s">
        <v>400</v>
      </c>
      <c r="Q59" s="53" t="s">
        <v>403</v>
      </c>
    </row>
    <row r="60">
      <c r="A60" s="12" t="str">
        <f>IFERROR(__xludf.DUMMYFUNCTION("""COMPUTED_VALUE"""),"9941b10e52bd2df1557343a693c3cb52")</f>
        <v>9941b10e52bd2df1557343a693c3cb52</v>
      </c>
      <c r="B60" s="12" t="str">
        <f>IFERROR(__xludf.DUMMYFUNCTION("""COMPUTED_VALUE"""),"For instance, Jordan’s INDC states that their mitigation and adaptation measures should be linked and also aligned with specific Sustainable Development Goals. This approach could help countries streamline their effort for monitoring and reporting given t"&amp;"hat a number of indicators to monitor progress towards SDGs and their targets might overlap with those needed for adaptation. Some countries use different timescales for different sectors (e.g. Guinea-Bissau’s and Lao People’s Republic), while about 40 co"&amp;"untries’ adaptation components of INDCs have no mention of timeframes. Some INDCs have expressed that they will use existing systems to monitor and evaluate the effectiveness of adaptation actions (e.g. Zambia).")</f>
        <v>For instance, Jordan’s INDC states that their mitigation and adaptation measures should be linked and also aligned with specific Sustainable Development Goals. This approach could help countries streamline their effort for monitoring and reporting given that a number of indicators to monitor progress towards SDGs and their targets might overlap with those needed for adaptation. Some countries use different timescales for different sectors (e.g. Guinea-Bissau’s and Lao People’s Republic), while about 40 countries’ adaptation components of INDCs have no mention of timeframes. Some INDCs have expressed that they will use existing systems to monitor and evaluate the effectiveness of adaptation actions (e.g. Zambia).</v>
      </c>
      <c r="C60" s="7"/>
      <c r="D60" s="50" t="b">
        <f t="shared" ref="D60:H60" si="118">VLOOKUP($A60, INDIRECT(D$1&amp;"!A:C"), 3, FALSE)</f>
        <v>1</v>
      </c>
      <c r="E60" s="50" t="str">
        <f t="shared" si="118"/>
        <v>TO DO</v>
      </c>
      <c r="F60" s="50" t="str">
        <f t="shared" si="118"/>
        <v>TO DO</v>
      </c>
      <c r="G60" s="50" t="b">
        <f t="shared" si="118"/>
        <v>1</v>
      </c>
      <c r="H60" s="50" t="b">
        <f t="shared" si="118"/>
        <v>1</v>
      </c>
      <c r="I60" s="51">
        <f t="shared" si="4"/>
        <v>1</v>
      </c>
      <c r="J60" s="52" t="str">
        <f t="shared" ref="J60:N60" si="119">VLOOKUP($A60, INDIRECT(J$1&amp;"!A:D"), 4, FALSE)</f>
        <v/>
      </c>
      <c r="K60" s="52" t="str">
        <f t="shared" si="119"/>
        <v/>
      </c>
      <c r="L60" s="52" t="str">
        <f t="shared" si="119"/>
        <v/>
      </c>
      <c r="M60" s="52" t="str">
        <f t="shared" si="119"/>
        <v/>
      </c>
      <c r="N60" s="52" t="str">
        <f t="shared" si="119"/>
        <v>INDCs = Intended Nationally Determined contributions</v>
      </c>
      <c r="O60" s="51" t="str">
        <f>IFERROR(__xludf.DUMMYFUNCTION("IF(COUNTA(J60:N60)=0, """", ARRAYFORMULA(""- ""&amp;TEXTJOIN(char(10)&amp;""- "", TRUE, FILTER(J$1:N$1&amp;"": ""&amp;J60:N60, NOT(ISBLANK(J60:N60))))))"),"- Steve: INDCs = Intended Nationally Determined contributions")</f>
        <v>- Steve: INDCs = Intended Nationally Determined contributions</v>
      </c>
      <c r="P60" s="51" t="s">
        <v>434</v>
      </c>
      <c r="Q60" s="53" t="s">
        <v>403</v>
      </c>
    </row>
    <row r="61">
      <c r="A61" s="12" t="str">
        <f>IFERROR(__xludf.DUMMYFUNCTION("""COMPUTED_VALUE"""),"c3107a4d61f451bd287a47fafd481738")</f>
        <v>c3107a4d61f451bd287a47fafd481738</v>
      </c>
      <c r="B61" s="12" t="str">
        <f>IFERROR(__xludf.DUMMYFUNCTION("""COMPUTED_VALUE"""),"Portfolio website, www.gcpf.lu/portfolio.html (accessed 24 October 2016). Project Portfolio website, www.gcpf.lu/portfolio.html (accessed 24 October 2016). Adaptation for Smallholder Agriculture Programme (ASAP)”, webpage, www.ifad.org/en/topic/asap/tags/"&amp;"climate change/2782790 (accessed 24 October 2016).")</f>
        <v>Portfolio website, www.gcpf.lu/portfolio.html (accessed 24 October 2016). Project Portfolio website, www.gcpf.lu/portfolio.html (accessed 24 October 2016). Adaptation for Smallholder Agriculture Programme (ASAP)”, webpage, www.ifad.org/en/topic/asap/tags/climate change/2782790 (accessed 24 October 2016).</v>
      </c>
      <c r="C61" s="54"/>
      <c r="D61" s="50" t="b">
        <f t="shared" ref="D61:H61" si="120">VLOOKUP($A61, INDIRECT(D$1&amp;"!A:C"), 3, FALSE)</f>
        <v>0</v>
      </c>
      <c r="E61" s="50" t="str">
        <f t="shared" si="120"/>
        <v>TO DO</v>
      </c>
      <c r="F61" s="50" t="str">
        <f t="shared" si="120"/>
        <v>TO DO</v>
      </c>
      <c r="G61" s="50" t="b">
        <f t="shared" si="120"/>
        <v>0</v>
      </c>
      <c r="H61" s="50" t="b">
        <f t="shared" si="120"/>
        <v>0</v>
      </c>
      <c r="I61" s="51">
        <f t="shared" si="4"/>
        <v>1</v>
      </c>
      <c r="J61" s="52" t="str">
        <f t="shared" ref="J61:N61" si="121">VLOOKUP($A61, INDIRECT(J$1&amp;"!A:D"), 4, FALSE)</f>
        <v/>
      </c>
      <c r="K61" s="52" t="str">
        <f t="shared" si="121"/>
        <v/>
      </c>
      <c r="L61" s="52" t="str">
        <f t="shared" si="121"/>
        <v/>
      </c>
      <c r="M61" s="52" t="str">
        <f t="shared" si="121"/>
        <v/>
      </c>
      <c r="N61" s="52" t="str">
        <f t="shared" si="121"/>
        <v>just references</v>
      </c>
      <c r="O61" s="51" t="str">
        <f>IFERROR(__xludf.DUMMYFUNCTION("IF(COUNTA(J61:N61)=0, """", ARRAYFORMULA(""- ""&amp;TEXTJOIN(char(10)&amp;""- "", TRUE, FILTER(J$1:N$1&amp;"": ""&amp;J61:N61, NOT(ISBLANK(J61:N61))))))"),"- Steve: just references")</f>
        <v>- Steve: just references</v>
      </c>
      <c r="P61" s="51" t="s">
        <v>435</v>
      </c>
      <c r="Q61" s="53" t="s">
        <v>402</v>
      </c>
    </row>
    <row r="62">
      <c r="A62" s="12" t="str">
        <f>IFERROR(__xludf.DUMMYFUNCTION("""COMPUTED_VALUE"""),"1c30523b2a258cb264a1ea24664c8254")</f>
        <v>1c30523b2a258cb264a1ea24664c8254</v>
      </c>
      <c r="B62" s="12" t="str">
        <f>IFERROR(__xludf.DUMMYFUNCTION("""COMPUTED_VALUE"""),"Ethiopia's first sectoral resilience strategy, which focuses on agriculture, revealed that 38 of 41 priority climate resilience options are already being carried out to some extent. This indicates that most early resilience efforts will concentrate on sca"&amp;"ling-up and enhancing the resilience of existing measures, rather than crafting new ones. As Ethiopia's future climate conditions are highly uncertain, it will be crucial to adopt an iterative and flexible approach to building resilience. At present, Ethi"&amp;"opia primarily relies on disaster response financing from official development assistance.")</f>
        <v>Ethiopia's first sectoral resilience strategy, which focuses on agriculture, revealed that 38 of 41 priority climate resilience options are already being carried out to some extent. This indicates that most early resilience efforts will concentrate on scaling-up and enhancing the resilience of existing measures, rather than crafting new ones. As Ethiopia's future climate conditions are highly uncertain, it will be crucial to adopt an iterative and flexible approach to building resilience. At present, Ethiopia primarily relies on disaster response financing from official development assistance.</v>
      </c>
      <c r="C62" s="54"/>
      <c r="D62" s="50" t="b">
        <f t="shared" ref="D62:H62" si="122">VLOOKUP($A62, INDIRECT(D$1&amp;"!A:C"), 3, FALSE)</f>
        <v>1</v>
      </c>
      <c r="E62" s="50" t="str">
        <f t="shared" si="122"/>
        <v>TO DO</v>
      </c>
      <c r="F62" s="50" t="str">
        <f t="shared" si="122"/>
        <v>TO DO</v>
      </c>
      <c r="G62" s="50" t="b">
        <f t="shared" si="122"/>
        <v>1</v>
      </c>
      <c r="H62" s="50" t="b">
        <f t="shared" si="122"/>
        <v>1</v>
      </c>
      <c r="I62" s="51">
        <f t="shared" si="4"/>
        <v>1</v>
      </c>
      <c r="J62" s="52" t="str">
        <f t="shared" ref="J62:N62" si="123">VLOOKUP($A62, INDIRECT(J$1&amp;"!A:D"), 4, FALSE)</f>
        <v/>
      </c>
      <c r="K62" s="52" t="str">
        <f t="shared" si="123"/>
        <v/>
      </c>
      <c r="L62" s="52" t="str">
        <f t="shared" si="123"/>
        <v/>
      </c>
      <c r="M62" s="52" t="str">
        <f t="shared" si="123"/>
        <v/>
      </c>
      <c r="N62" s="52" t="str">
        <f t="shared" si="123"/>
        <v/>
      </c>
      <c r="O62" s="51" t="str">
        <f>IFERROR(__xludf.DUMMYFUNCTION("IF(COUNTA(J62:N62)=0, """", ARRAYFORMULA(""- ""&amp;TEXTJOIN(char(10)&amp;""- "", TRUE, FILTER(J$1:N$1&amp;"": ""&amp;J62:N62, NOT(ISBLANK(J62:N62))))))"),"")</f>
        <v/>
      </c>
      <c r="P62" s="51" t="s">
        <v>400</v>
      </c>
      <c r="Q62" s="53" t="s">
        <v>403</v>
      </c>
    </row>
    <row r="63">
      <c r="A63" s="12" t="str">
        <f>IFERROR(__xludf.DUMMYFUNCTION("""COMPUTED_VALUE"""),"b3c8363c053550e71a1ce55c73052786")</f>
        <v>b3c8363c053550e71a1ce55c73052786</v>
      </c>
      <c r="B63" s="12" t="str">
        <f>IFERROR(__xludf.DUMMYFUNCTION("""COMPUTED_VALUE"""),"The integrated nature of the public policies is based (among other factors) on a correct definition of the beneficiaries in socioeconomic and territorial terms, which depends on the quality of disaggregated data available at the household and territorial "&amp;"levels, to be able to distinguish zones or settlements. The institutional framework needs the capacity to identify households and localities that are highly exposed and vulnerable to disasters, in an efficient and planned way, so that they can be included"&amp;" among the priority objectives of public policies aimed at increasing resilience to such phenomena among people and communities. Development Policy Review, vol.")</f>
        <v>The integrated nature of the public policies is based (among other factors) on a correct definition of the beneficiaries in socioeconomic and territorial terms, which depends on the quality of disaggregated data available at the household and territorial levels, to be able to distinguish zones or settlements. The institutional framework needs the capacity to identify households and localities that are highly exposed and vulnerable to disasters, in an efficient and planned way, so that they can be included among the priority objectives of public policies aimed at increasing resilience to such phenomena among people and communities. Development Policy Review, vol.</v>
      </c>
      <c r="C63" s="54"/>
      <c r="D63" s="50" t="b">
        <f t="shared" ref="D63:H63" si="124">VLOOKUP($A63, INDIRECT(D$1&amp;"!A:C"), 3, FALSE)</f>
        <v>1</v>
      </c>
      <c r="E63" s="50" t="str">
        <f t="shared" si="124"/>
        <v>TO DO</v>
      </c>
      <c r="F63" s="50" t="str">
        <f t="shared" si="124"/>
        <v>TO DO</v>
      </c>
      <c r="G63" s="50" t="b">
        <f t="shared" si="124"/>
        <v>1</v>
      </c>
      <c r="H63" s="50" t="b">
        <f t="shared" si="124"/>
        <v>1</v>
      </c>
      <c r="I63" s="51">
        <f t="shared" si="4"/>
        <v>1</v>
      </c>
      <c r="J63" s="52" t="str">
        <f t="shared" ref="J63:N63" si="125">VLOOKUP($A63, INDIRECT(J$1&amp;"!A:D"), 4, FALSE)</f>
        <v>target 13.1</v>
      </c>
      <c r="K63" s="52" t="str">
        <f t="shared" si="125"/>
        <v/>
      </c>
      <c r="L63" s="52" t="str">
        <f t="shared" si="125"/>
        <v/>
      </c>
      <c r="M63" s="52" t="str">
        <f t="shared" si="125"/>
        <v/>
      </c>
      <c r="N63" s="52" t="str">
        <f t="shared" si="125"/>
        <v/>
      </c>
      <c r="O63" s="51" t="str">
        <f>IFERROR(__xludf.DUMMYFUNCTION("IF(COUNTA(J63:N63)=0, """", ARRAYFORMULA(""- ""&amp;TEXTJOIN(char(10)&amp;""- "", TRUE, FILTER(J$1:N$1&amp;"": ""&amp;J63:N63, NOT(ISBLANK(J63:N63))))))"),"- Finn: target 13.1")</f>
        <v>- Finn: target 13.1</v>
      </c>
      <c r="P63" s="51" t="s">
        <v>406</v>
      </c>
      <c r="Q63" s="53" t="s">
        <v>403</v>
      </c>
    </row>
    <row r="64">
      <c r="A64" s="12" t="str">
        <f>IFERROR(__xludf.DUMMYFUNCTION("""COMPUTED_VALUE"""),"758482b92be0d912a83c6ca5ea157e76")</f>
        <v>758482b92be0d912a83c6ca5ea157e76</v>
      </c>
      <c r="B64" s="12" t="str">
        <f>IFERROR(__xludf.DUMMYFUNCTION("""COMPUTED_VALUE"""),"Lastly, cash transfers in disaster situations can serve as a basis from which the affected families can start to implement productive ventures, or some other type of project, that will enable them to grow their productive and financial asset base in the l"&amp;"ong run (Bene and others, 2014). The transfers require the beneficiary families' to fulfill certain conditions (related essentially to health and education), with a view to strengthening future human capital and supplying short-term monetary income. In ad"&amp;"dition, households in situations of poverty or indigence in which there are no young children (which generally are not CCT-beneficiaries) would be excluded from the special transfers that could be made through such programmes. Consequently, Fernandez, Jad"&amp;"otte and Jahnsen (2011) advocate the need to relax the eligibility criteria in emergency situations, with a view to averting a deterioration in the living conditions of those family units which forces them to sell their productive assets, with a consequen"&amp;"t decapitalization and future reduction in autonomous incomes generated through that channel.")</f>
        <v>Lastly, cash transfers in disaster situations can serve as a basis from which the affected families can start to implement productive ventures, or some other type of project, that will enable them to grow their productive and financial asset base in the long run (Bene and others, 2014). The transfers require the beneficiary families' to fulfill certain conditions (related essentially to health and education), with a view to strengthening future human capital and supplying short-term monetary income. In addition, households in situations of poverty or indigence in which there are no young children (which generally are not CCT-beneficiaries) would be excluded from the special transfers that could be made through such programmes. Consequently, Fernandez, Jadotte and Jahnsen (2011) advocate the need to relax the eligibility criteria in emergency situations, with a view to averting a deterioration in the living conditions of those family units which forces them to sell their productive assets, with a consequent decapitalization and future reduction in autonomous incomes generated through that channel.</v>
      </c>
      <c r="C64" s="50"/>
      <c r="D64" s="50" t="b">
        <f t="shared" ref="D64:H64" si="126">VLOOKUP($A64, INDIRECT(D$1&amp;"!A:C"), 3, FALSE)</f>
        <v>0</v>
      </c>
      <c r="E64" s="50" t="str">
        <f t="shared" si="126"/>
        <v>TO DO</v>
      </c>
      <c r="F64" s="50" t="str">
        <f t="shared" si="126"/>
        <v>TO DO</v>
      </c>
      <c r="G64" s="50" t="b">
        <f t="shared" si="126"/>
        <v>1</v>
      </c>
      <c r="H64" s="50" t="b">
        <f t="shared" si="126"/>
        <v>1</v>
      </c>
      <c r="I64" s="51">
        <f t="shared" si="4"/>
        <v>0.3333333333</v>
      </c>
      <c r="J64" s="52" t="str">
        <f t="shared" ref="J64:N64" si="127">VLOOKUP($A64, INDIRECT(J$1&amp;"!A:D"), 4, FALSE)</f>
        <v/>
      </c>
      <c r="K64" s="52" t="str">
        <f t="shared" si="127"/>
        <v/>
      </c>
      <c r="L64" s="52" t="str">
        <f t="shared" si="127"/>
        <v/>
      </c>
      <c r="M64" s="52" t="str">
        <f t="shared" si="127"/>
        <v/>
      </c>
      <c r="N64" s="52" t="str">
        <f t="shared" si="127"/>
        <v>on disaster resilience</v>
      </c>
      <c r="O64" s="51" t="str">
        <f>IFERROR(__xludf.DUMMYFUNCTION("IF(COUNTA(J64:N64)=0, """", ARRAYFORMULA(""- ""&amp;TEXTJOIN(char(10)&amp;""- "", TRUE, FILTER(J$1:N$1&amp;"": ""&amp;J64:N64, NOT(ISBLANK(J64:N64))))))"),"- Steve: on disaster resilience")</f>
        <v>- Steve: on disaster resilience</v>
      </c>
      <c r="P64" s="51" t="s">
        <v>436</v>
      </c>
      <c r="Q64" s="53" t="s">
        <v>401</v>
      </c>
      <c r="R64" s="5" t="s">
        <v>415</v>
      </c>
    </row>
    <row r="65">
      <c r="A65" s="12" t="str">
        <f>IFERROR(__xludf.DUMMYFUNCTION("""COMPUTED_VALUE"""),"553b773cde3b284c8c8e09b84d3bbbbf")</f>
        <v>553b773cde3b284c8c8e09b84d3bbbbf</v>
      </c>
      <c r="B65" s="12" t="str">
        <f>IFERROR(__xludf.DUMMYFUNCTION("""COMPUTED_VALUE"""),"In coastal areas, the challenge often exists of preventing the destruction of sand dunes owing to the construction of tourism facilities close to the water. The degradation of sand dunes not only alters the coastal ecosystem but, in the long run, also inc"&amp;"reases those facilities’ exposure to storms and water rise (Magnan, 2014). This situation entails a typical tradeoff between economic development and environmental challenges. Ideally, an integrated approach would attenuate the impact of the trade-off by "&amp;"limiting habitat degradation and consequently the collateral effect on assets in terms of their exposure to climate-related hazards. Such an approach may not completely eliminate the trade-off, but, by taking into account the negative effects, it can put "&amp;"in place compensation mechanisms, such as for protecting marine ecosystems so as to allow them to maintain their natural resilience and adaptive capacities, and then ensuring that their buffering function against waves is maintained (ibid.).")</f>
        <v>In coastal areas, the challenge often exists of preventing the destruction of sand dunes owing to the construction of tourism facilities close to the water. The degradation of sand dunes not only alters the coastal ecosystem but, in the long run, also increases those facilities’ exposure to storms and water rise (Magnan, 2014). This situation entails a typical tradeoff between economic development and environmental challenges. Ideally, an integrated approach would attenuate the impact of the trade-off by limiting habitat degradation and consequently the collateral effect on assets in terms of their exposure to climate-related hazards. Such an approach may not completely eliminate the trade-off, but, by taking into account the negative effects, it can put in place compensation mechanisms, such as for protecting marine ecosystems so as to allow them to maintain their natural resilience and adaptive capacities, and then ensuring that their buffering function against waves is maintained (ibid.).</v>
      </c>
      <c r="C65" s="7"/>
      <c r="D65" s="50" t="b">
        <f t="shared" ref="D65:H65" si="128">VLOOKUP($A65, INDIRECT(D$1&amp;"!A:C"), 3, FALSE)</f>
        <v>1</v>
      </c>
      <c r="E65" s="50" t="b">
        <f t="shared" si="128"/>
        <v>0</v>
      </c>
      <c r="F65" s="50" t="str">
        <f t="shared" si="128"/>
        <v>TO DO</v>
      </c>
      <c r="G65" s="50" t="b">
        <f t="shared" si="128"/>
        <v>1</v>
      </c>
      <c r="H65" s="50" t="b">
        <f t="shared" si="128"/>
        <v>1</v>
      </c>
      <c r="I65" s="51">
        <f t="shared" si="4"/>
        <v>0.5</v>
      </c>
      <c r="J65" s="52" t="str">
        <f t="shared" ref="J65:N65" si="129">VLOOKUP($A65, INDIRECT(J$1&amp;"!A:D"), 4, FALSE)</f>
        <v>target 13.1</v>
      </c>
      <c r="K65" s="52" t="str">
        <f t="shared" si="129"/>
        <v/>
      </c>
      <c r="L65" s="52" t="str">
        <f t="shared" si="129"/>
        <v/>
      </c>
      <c r="M65" s="52" t="str">
        <f t="shared" si="129"/>
        <v/>
      </c>
      <c r="N65" s="52" t="str">
        <f t="shared" si="129"/>
        <v/>
      </c>
      <c r="O65" s="51" t="str">
        <f>IFERROR(__xludf.DUMMYFUNCTION("IF(COUNTA(J65:N65)=0, """", ARRAYFORMULA(""- ""&amp;TEXTJOIN(char(10)&amp;""- "", TRUE, FILTER(J$1:N$1&amp;"": ""&amp;J65:N65, NOT(ISBLANK(J65:N65))))))"),"- Finn: target 13.1")</f>
        <v>- Finn: target 13.1</v>
      </c>
      <c r="P65" s="51" t="s">
        <v>406</v>
      </c>
      <c r="Q65" s="53" t="s">
        <v>403</v>
      </c>
      <c r="R65" s="5" t="s">
        <v>437</v>
      </c>
    </row>
    <row r="66">
      <c r="A66" s="12" t="str">
        <f>IFERROR(__xludf.DUMMYFUNCTION("""COMPUTED_VALUE"""),"b6ff332fb8f8c8f1c7028fa5938d2382")</f>
        <v>b6ff332fb8f8c8f1c7028fa5938d2382</v>
      </c>
      <c r="B66" s="12" t="str">
        <f>IFERROR(__xludf.DUMMYFUNCTION("""COMPUTED_VALUE"""),"Exercise Report, IOWave 14. Most of the gaps here - such as improving communication among key actors, participation of local communities and performance assessments - relate to good governance. Gender issues as well as the special needs of other vulnerabl"&amp;"e groups such as pregnant women and older persons also need to be taken into account. International standards proving common alert levels and colour codes in a multi-hazard approach could help facilitate this. But it is important also to build the politic"&amp;"al will and institutional commitment to ensure the necessary resources and coordination. Integrate the concept of ‘early warning as a public good’ into national planning, policy and decision-making.")</f>
        <v>Exercise Report, IOWave 14. Most of the gaps here - such as improving communication among key actors, participation of local communities and performance assessments - relate to good governance. Gender issues as well as the special needs of other vulnerable groups such as pregnant women and older persons also need to be taken into account. International standards proving common alert levels and colour codes in a multi-hazard approach could help facilitate this. But it is important also to build the political will and institutional commitment to ensure the necessary resources and coordination. Integrate the concept of ‘early warning as a public good’ into national planning, policy and decision-making.</v>
      </c>
      <c r="C66" s="55"/>
      <c r="D66" s="50" t="b">
        <f t="shared" ref="D66:H66" si="130">VLOOKUP($A66, INDIRECT(D$1&amp;"!A:C"), 3, FALSE)</f>
        <v>0</v>
      </c>
      <c r="E66" s="50" t="str">
        <f t="shared" si="130"/>
        <v>TO DO</v>
      </c>
      <c r="F66" s="50" t="str">
        <f t="shared" si="130"/>
        <v>TO DO</v>
      </c>
      <c r="G66" s="50" t="b">
        <f t="shared" si="130"/>
        <v>1</v>
      </c>
      <c r="H66" s="50" t="b">
        <f t="shared" si="130"/>
        <v>0</v>
      </c>
      <c r="I66" s="51">
        <f t="shared" si="4"/>
        <v>0.3333333333</v>
      </c>
      <c r="J66" s="52" t="str">
        <f t="shared" ref="J66:N66" si="131">VLOOKUP($A66, INDIRECT(J$1&amp;"!A:D"), 4, FALSE)</f>
        <v/>
      </c>
      <c r="K66" s="52" t="str">
        <f t="shared" si="131"/>
        <v/>
      </c>
      <c r="L66" s="52" t="str">
        <f t="shared" si="131"/>
        <v/>
      </c>
      <c r="M66" s="52" t="str">
        <f t="shared" si="131"/>
        <v/>
      </c>
      <c r="N66" s="52" t="str">
        <f t="shared" si="131"/>
        <v/>
      </c>
      <c r="O66" s="51" t="str">
        <f>IFERROR(__xludf.DUMMYFUNCTION("IF(COUNTA(J66:N66)=0, """", ARRAYFORMULA(""- ""&amp;TEXTJOIN(char(10)&amp;""- "", TRUE, FILTER(J$1:N$1&amp;"": ""&amp;J66:N66, NOT(ISBLANK(J66:N66))))))"),"")</f>
        <v/>
      </c>
      <c r="P66" s="51" t="s">
        <v>400</v>
      </c>
      <c r="Q66" s="53" t="s">
        <v>401</v>
      </c>
    </row>
    <row r="67">
      <c r="A67" s="12" t="str">
        <f>IFERROR(__xludf.DUMMYFUNCTION("""COMPUTED_VALUE"""),"ec8cb5e870b86c2468c25b43b3c6098b")</f>
        <v>ec8cb5e870b86c2468c25b43b3c6098b</v>
      </c>
      <c r="B67" s="12" t="str">
        <f>IFERROR(__xludf.DUMMYFUNCTION("""COMPUTED_VALUE"""),"By 2080, in Africa, an increase from 5 to 8 per cent in arid and semi-arid land is projected under a range of climate scenarios. While identifying particularly vulnerable groups globally and at country level remains challenging, it is particularly importa"&amp;"nt for policymaking directed towards building climate resilience. People living in low-lying coastal areas, drylands, and mountainous and remote areas and population groups whose livelihoods rely on forest products are particularly at risk. Yet, basic inf"&amp;"ormation on population size, socioeconomic characteristics and risk factors which could help identify those groups remains in the form of very rough approximations. Some of those groups are difficult to reach owing to their geographical location, but the "&amp;"lack of basic information is also associated with an insufficiency in the resources for producing statistics at the level of disaggregation required to identify specific population groups.")</f>
        <v>By 2080, in Africa, an increase from 5 to 8 per cent in arid and semi-arid land is projected under a range of climate scenarios. While identifying particularly vulnerable groups globally and at country level remains challenging, it is particularly important for policymaking directed towards building climate resilience. People living in low-lying coastal areas, drylands, and mountainous and remote areas and population groups whose livelihoods rely on forest products are particularly at risk. Yet, basic information on population size, socioeconomic characteristics and risk factors which could help identify those groups remains in the form of very rough approximations. Some of those groups are difficult to reach owing to their geographical location, but the lack of basic information is also associated with an insufficiency in the resources for producing statistics at the level of disaggregation required to identify specific population groups.</v>
      </c>
      <c r="C67" s="54"/>
      <c r="D67" s="50" t="b">
        <f t="shared" ref="D67:H67" si="132">VLOOKUP($A67, INDIRECT(D$1&amp;"!A:C"), 3, FALSE)</f>
        <v>1</v>
      </c>
      <c r="E67" s="50" t="str">
        <f t="shared" si="132"/>
        <v>TO DO</v>
      </c>
      <c r="F67" s="50" t="str">
        <f t="shared" si="132"/>
        <v>TO DO</v>
      </c>
      <c r="G67" s="50" t="b">
        <f t="shared" si="132"/>
        <v>1</v>
      </c>
      <c r="H67" s="50" t="b">
        <f t="shared" si="132"/>
        <v>1</v>
      </c>
      <c r="I67" s="51">
        <f t="shared" si="4"/>
        <v>1</v>
      </c>
      <c r="J67" s="52" t="str">
        <f t="shared" ref="J67:N67" si="133">VLOOKUP($A67, INDIRECT(J$1&amp;"!A:D"), 4, FALSE)</f>
        <v/>
      </c>
      <c r="K67" s="52" t="str">
        <f t="shared" si="133"/>
        <v/>
      </c>
      <c r="L67" s="52" t="str">
        <f t="shared" si="133"/>
        <v/>
      </c>
      <c r="M67" s="52" t="str">
        <f t="shared" si="133"/>
        <v/>
      </c>
      <c r="N67" s="52" t="str">
        <f t="shared" si="133"/>
        <v/>
      </c>
      <c r="O67" s="51" t="str">
        <f>IFERROR(__xludf.DUMMYFUNCTION("IF(COUNTA(J67:N67)=0, """", ARRAYFORMULA(""- ""&amp;TEXTJOIN(char(10)&amp;""- "", TRUE, FILTER(J$1:N$1&amp;"": ""&amp;J67:N67, NOT(ISBLANK(J67:N67))))))"),"")</f>
        <v/>
      </c>
      <c r="P67" s="51" t="s">
        <v>400</v>
      </c>
      <c r="Q67" s="53" t="s">
        <v>403</v>
      </c>
    </row>
    <row r="68">
      <c r="A68" s="12" t="str">
        <f>IFERROR(__xludf.DUMMYFUNCTION("""COMPUTED_VALUE"""),"34275ee2e0b5d291a961f9ba256e0048")</f>
        <v>34275ee2e0b5d291a961f9ba256e0048</v>
      </c>
      <c r="B68" s="12" t="str">
        <f>IFERROR(__xludf.DUMMYFUNCTION("""COMPUTED_VALUE"""),"In other words, while specialized and self-contained arrangements for disaster risk governance may be appropriate for emergency and disaster management, other aspects of disaster risk management are heavily dependent on the overall quality of governance t"&amp;"o achieve its objectives (UNDP, 2014a, Lavell and Maskrey, 2014). Today’s governance failures may ripple through time and affect future generations, this is the case with the 2008 financial crisis, which resulted from decades of failure to effectively gov"&amp;"ern increasingly interdependent financial markets and mechanisms (Turnbull and Pirson, 2011). Capacities for disaster risk management cannot be strengthened autonomously without reference to broader governance constraints such as low levels of voice and a"&amp;"ccountability, underresourced local governments, dysfunctional judicial systems, social conflict and economic crisis.")</f>
        <v>In other words, while specialized and self-contained arrangements for disaster risk governance may be appropriate for emergency and disaster management, other aspects of disaster risk management are heavily dependent on the overall quality of governance to achieve its objectives (UNDP, 2014a, Lavell and Maskrey, 2014). Today’s governance failures may ripple through time and affect future generations, this is the case with the 2008 financial crisis, which resulted from decades of failure to effectively govern increasingly interdependent financial markets and mechanisms (Turnbull and Pirson, 2011). Capacities for disaster risk management cannot be strengthened autonomously without reference to broader governance constraints such as low levels of voice and accountability, underresourced local governments, dysfunctional judicial systems, social conflict and economic crisis.</v>
      </c>
      <c r="C68" s="7"/>
      <c r="D68" s="50" t="b">
        <f t="shared" ref="D68:H68" si="134">VLOOKUP($A68, INDIRECT(D$1&amp;"!A:C"), 3, FALSE)</f>
        <v>0</v>
      </c>
      <c r="E68" s="50" t="str">
        <f t="shared" si="134"/>
        <v>TO DO</v>
      </c>
      <c r="F68" s="50" t="str">
        <f t="shared" si="134"/>
        <v>TO DO</v>
      </c>
      <c r="G68" s="50" t="b">
        <f t="shared" si="134"/>
        <v>1</v>
      </c>
      <c r="H68" s="50" t="b">
        <f t="shared" si="134"/>
        <v>1</v>
      </c>
      <c r="I68" s="51">
        <f t="shared" si="4"/>
        <v>0.3333333333</v>
      </c>
      <c r="J68" s="52" t="str">
        <f t="shared" ref="J68:N68" si="135">VLOOKUP($A68, INDIRECT(J$1&amp;"!A:D"), 4, FALSE)</f>
        <v/>
      </c>
      <c r="K68" s="52" t="str">
        <f t="shared" si="135"/>
        <v/>
      </c>
      <c r="L68" s="52" t="str">
        <f t="shared" si="135"/>
        <v/>
      </c>
      <c r="M68" s="52" t="str">
        <f t="shared" si="135"/>
        <v/>
      </c>
      <c r="N68" s="52" t="str">
        <f t="shared" si="135"/>
        <v/>
      </c>
      <c r="O68" s="51" t="str">
        <f>IFERROR(__xludf.DUMMYFUNCTION("IF(COUNTA(J68:N68)=0, """", ARRAYFORMULA(""- ""&amp;TEXTJOIN(char(10)&amp;""- "", TRUE, FILTER(J$1:N$1&amp;"": ""&amp;J68:N68, NOT(ISBLANK(J68:N68))))))"),"")</f>
        <v/>
      </c>
      <c r="P68" s="51" t="s">
        <v>400</v>
      </c>
      <c r="Q68" s="53" t="s">
        <v>401</v>
      </c>
      <c r="R68" s="5" t="s">
        <v>415</v>
      </c>
    </row>
    <row r="69">
      <c r="A69" s="12" t="str">
        <f>IFERROR(__xludf.DUMMYFUNCTION("""COMPUTED_VALUE"""),"dab78d37b9225afdbb7f06fe03105710")</f>
        <v>dab78d37b9225afdbb7f06fe03105710</v>
      </c>
      <c r="B69" s="12" t="str">
        <f>IFERROR(__xludf.DUMMYFUNCTION("""COMPUTED_VALUE"""),"Improving access to stable and adequate sources of finance for adaptation and contributing to the building of the information systems needed to guide policymaking for climate resilience are two concrete actions where greater international cooperation is n"&amp;"eeded. Public domestic and international efforts are needed to mobilize sufficient resources and provide incentives to the private sector to invest in adaptation. This is especially important for building the resilience and adaptive capacity of the most m"&amp;"arginalized areas and population groups.")</f>
        <v>Improving access to stable and adequate sources of finance for adaptation and contributing to the building of the information systems needed to guide policymaking for climate resilience are two concrete actions where greater international cooperation is needed. Public domestic and international efforts are needed to mobilize sufficient resources and provide incentives to the private sector to invest in adaptation. This is especially important for building the resilience and adaptive capacity of the most marginalized areas and population groups.</v>
      </c>
      <c r="C69" s="55"/>
      <c r="D69" s="50" t="b">
        <f t="shared" ref="D69:H69" si="136">VLOOKUP($A69, INDIRECT(D$1&amp;"!A:C"), 3, FALSE)</f>
        <v>1</v>
      </c>
      <c r="E69" s="50" t="b">
        <f t="shared" si="136"/>
        <v>1</v>
      </c>
      <c r="F69" s="50" t="str">
        <f t="shared" si="136"/>
        <v>TO DO</v>
      </c>
      <c r="G69" s="50" t="b">
        <f t="shared" si="136"/>
        <v>1</v>
      </c>
      <c r="H69" s="50" t="b">
        <f t="shared" si="136"/>
        <v>1</v>
      </c>
      <c r="I69" s="51">
        <f t="shared" si="4"/>
        <v>1</v>
      </c>
      <c r="J69" s="52" t="str">
        <f t="shared" ref="J69:N69" si="137">VLOOKUP($A69, INDIRECT(J$1&amp;"!A:D"), 4, FALSE)</f>
        <v/>
      </c>
      <c r="K69" s="52" t="str">
        <f t="shared" si="137"/>
        <v/>
      </c>
      <c r="L69" s="52" t="str">
        <f t="shared" si="137"/>
        <v/>
      </c>
      <c r="M69" s="52" t="str">
        <f t="shared" si="137"/>
        <v/>
      </c>
      <c r="N69" s="52" t="str">
        <f t="shared" si="137"/>
        <v/>
      </c>
      <c r="O69" s="51" t="str">
        <f>IFERROR(__xludf.DUMMYFUNCTION("IF(COUNTA(J69:N69)=0, """", ARRAYFORMULA(""- ""&amp;TEXTJOIN(char(10)&amp;""- "", TRUE, FILTER(J$1:N$1&amp;"": ""&amp;J69:N69, NOT(ISBLANK(J69:N69))))))"),"")</f>
        <v/>
      </c>
      <c r="P69" s="51" t="s">
        <v>400</v>
      </c>
      <c r="Q69" s="53" t="s">
        <v>403</v>
      </c>
    </row>
    <row r="70">
      <c r="A70" s="12" t="str">
        <f>IFERROR(__xludf.DUMMYFUNCTION("""COMPUTED_VALUE"""),"2ce23ba1ca724800a7753d7728b03791")</f>
        <v>2ce23ba1ca724800a7753d7728b03791</v>
      </c>
      <c r="B70" s="12" t="str">
        <f>IFERROR(__xludf.DUMMYFUNCTION("""COMPUTED_VALUE"""),"The discussion covers a variety of international and national actors, including development finance institutions, international climate funds, governments and relevant government agencies. Data regarding global finance flows are mostly drawn from the Clim"&amp;"ate Policy Initiative (CPI) reports as they represent the most comprehensive source of such flows to date. Second, the paper focuses on the regional landscape of climate finance in the Asia-Pacific region, with particular attention given to active climate"&amp;" funds, multilateral development banks, the distribution of climate finance across countries, and national-level initiatives.")</f>
        <v>The discussion covers a variety of international and national actors, including development finance institutions, international climate funds, governments and relevant government agencies. Data regarding global finance flows are mostly drawn from the Climate Policy Initiative (CPI) reports as they represent the most comprehensive source of such flows to date. Second, the paper focuses on the regional landscape of climate finance in the Asia-Pacific region, with particular attention given to active climate funds, multilateral development banks, the distribution of climate finance across countries, and national-level initiatives.</v>
      </c>
      <c r="C70" s="7"/>
      <c r="D70" s="50" t="b">
        <f t="shared" ref="D70:H70" si="138">VLOOKUP($A70, INDIRECT(D$1&amp;"!A:C"), 3, FALSE)</f>
        <v>1</v>
      </c>
      <c r="E70" s="50" t="str">
        <f t="shared" si="138"/>
        <v>TO DO</v>
      </c>
      <c r="F70" s="50" t="str">
        <f t="shared" si="138"/>
        <v>TO DO</v>
      </c>
      <c r="G70" s="50" t="b">
        <f t="shared" si="138"/>
        <v>1</v>
      </c>
      <c r="H70" s="50" t="b">
        <f t="shared" si="138"/>
        <v>1</v>
      </c>
      <c r="I70" s="51">
        <f t="shared" si="4"/>
        <v>1</v>
      </c>
      <c r="J70" s="52" t="str">
        <f t="shared" ref="J70:N70" si="139">VLOOKUP($A70, INDIRECT(J$1&amp;"!A:D"), 4, FALSE)</f>
        <v/>
      </c>
      <c r="K70" s="52" t="str">
        <f t="shared" si="139"/>
        <v/>
      </c>
      <c r="L70" s="52" t="str">
        <f t="shared" si="139"/>
        <v/>
      </c>
      <c r="M70" s="52" t="str">
        <f t="shared" si="139"/>
        <v/>
      </c>
      <c r="N70" s="52" t="str">
        <f t="shared" si="139"/>
        <v/>
      </c>
      <c r="O70" s="51" t="str">
        <f>IFERROR(__xludf.DUMMYFUNCTION("IF(COUNTA(J70:N70)=0, """", ARRAYFORMULA(""- ""&amp;TEXTJOIN(char(10)&amp;""- "", TRUE, FILTER(J$1:N$1&amp;"": ""&amp;J70:N70, NOT(ISBLANK(J70:N70))))))"),"")</f>
        <v/>
      </c>
      <c r="P70" s="51" t="s">
        <v>400</v>
      </c>
      <c r="Q70" s="53" t="s">
        <v>403</v>
      </c>
    </row>
    <row r="71">
      <c r="A71" s="12" t="str">
        <f>IFERROR(__xludf.DUMMYFUNCTION("""COMPUTED_VALUE"""),"74f5f26b90fc869a2a9aae8c43b48da1")</f>
        <v>74f5f26b90fc869a2a9aae8c43b48da1</v>
      </c>
      <c r="B71" s="12" t="str">
        <f>IFERROR(__xludf.DUMMYFUNCTION("""COMPUTED_VALUE"""),"However, the ability of an intervention to mobilise or leverage financing does not necessarily imply effectiveness in a broader sense. For instance, some analysis has highlighted the possibility that high leverage or mobilisation rates may indicate a stro"&amp;"ng perception of commercial viability amongst private investors who may have invested without public intervention (Stadelmann et al., In addition to its narrow focus, one of the difficulties in using financial mobilisation as an indicator in assessing eff"&amp;"ectiveness is that there are wide differences in how mobilisation and leverage are defined and measured between different institutions (see Caruso and Ellis, 2013 for a more detailed discussion). Even in the absence of methodological differences, mobilisa"&amp;"tion rates will vary significantly across financial instruments, technologies, sectors, and countries (UN AGF, 2010, Smallridge, et al.,")</f>
        <v>However, the ability of an intervention to mobilise or leverage financing does not necessarily imply effectiveness in a broader sense. For instance, some analysis has highlighted the possibility that high leverage or mobilisation rates may indicate a strong perception of commercial viability amongst private investors who may have invested without public intervention (Stadelmann et al., In addition to its narrow focus, one of the difficulties in using financial mobilisation as an indicator in assessing effectiveness is that there are wide differences in how mobilisation and leverage are defined and measured between different institutions (see Caruso and Ellis, 2013 for a more detailed discussion). Even in the absence of methodological differences, mobilisation rates will vary significantly across financial instruments, technologies, sectors, and countries (UN AGF, 2010, Smallridge, et al.,</v>
      </c>
      <c r="C71" s="54"/>
      <c r="D71" s="50" t="b">
        <f t="shared" ref="D71:H71" si="140">VLOOKUP($A71, INDIRECT(D$1&amp;"!A:C"), 3, FALSE)</f>
        <v>0</v>
      </c>
      <c r="E71" s="50" t="b">
        <f t="shared" si="140"/>
        <v>0</v>
      </c>
      <c r="F71" s="50" t="str">
        <f t="shared" si="140"/>
        <v>TO DO</v>
      </c>
      <c r="G71" s="50" t="b">
        <f t="shared" si="140"/>
        <v>0</v>
      </c>
      <c r="H71" s="50" t="b">
        <f t="shared" si="140"/>
        <v>0</v>
      </c>
      <c r="I71" s="51">
        <f t="shared" si="4"/>
        <v>1</v>
      </c>
      <c r="J71" s="52" t="str">
        <f t="shared" ref="J71:N71" si="141">VLOOKUP($A71, INDIRECT(J$1&amp;"!A:D"), 4, FALSE)</f>
        <v/>
      </c>
      <c r="K71" s="52" t="str">
        <f t="shared" si="141"/>
        <v>Could be true. The passage is unspecific about what the financial mobilization is for.</v>
      </c>
      <c r="L71" s="52" t="str">
        <f t="shared" si="141"/>
        <v/>
      </c>
      <c r="M71" s="52" t="str">
        <f t="shared" si="141"/>
        <v/>
      </c>
      <c r="N71" s="52" t="str">
        <f t="shared" si="141"/>
        <v>mobilising financial resources for what?</v>
      </c>
      <c r="O71" s="51" t="str">
        <f>IFERROR(__xludf.DUMMYFUNCTION("IF(COUNTA(J71:N71)=0, """", ARRAYFORMULA(""- ""&amp;TEXTJOIN(char(10)&amp;""- "", TRUE, FILTER(J$1:N$1&amp;"": ""&amp;J71:N71, NOT(ISBLANK(J71:N71))))))"),"- Gib: Could be true. The passage is unspecific about what the financial mobilization is for.
- Steve: mobilising financial resources for what?")</f>
        <v>- Gib: Could be true. The passage is unspecific about what the financial mobilization is for.
- Steve: mobilising financial resources for what?</v>
      </c>
      <c r="P71" s="51" t="s">
        <v>438</v>
      </c>
      <c r="Q71" s="53" t="s">
        <v>402</v>
      </c>
    </row>
    <row r="72">
      <c r="A72" s="12" t="str">
        <f>IFERROR(__xludf.DUMMYFUNCTION("""COMPUTED_VALUE"""),"c5a826c20b377bf1adb012a8fb56b9de")</f>
        <v>c5a826c20b377bf1adb012a8fb56b9de</v>
      </c>
      <c r="B72" s="12" t="str">
        <f>IFERROR(__xludf.DUMMYFUNCTION("""COMPUTED_VALUE"""),"Regions and municipalities are also responsible for the implementation of much of Finland’s National Adaptation Strategy, and approximately a third of regions/municipalities had an adaptation strategy by 2012 (Luhtala, 2012). Some climate funds have speci"&amp;"fic “windows” for funding local adaptation actions. For example, the Bangladesh Climate Change Resilience Fund (BCCRF) includes a USD 10.4 million window for a “Community Climate Change Fund” which is to provide grants for community-based projects (BCCRF,"&amp;" 2012).")</f>
        <v>Regions and municipalities are also responsible for the implementation of much of Finland’s National Adaptation Strategy, and approximately a third of regions/municipalities had an adaptation strategy by 2012 (Luhtala, 2012). Some climate funds have specific “windows” for funding local adaptation actions. For example, the Bangladesh Climate Change Resilience Fund (BCCRF) includes a USD 10.4 million window for a “Community Climate Change Fund” which is to provide grants for community-based projects (BCCRF, 2012).</v>
      </c>
      <c r="C72" s="55"/>
      <c r="D72" s="50" t="b">
        <f t="shared" ref="D72:H72" si="142">VLOOKUP($A72, INDIRECT(D$1&amp;"!A:C"), 3, FALSE)</f>
        <v>1</v>
      </c>
      <c r="E72" s="50" t="str">
        <f t="shared" si="142"/>
        <v>TO DO</v>
      </c>
      <c r="F72" s="50" t="str">
        <f t="shared" si="142"/>
        <v>TO DO</v>
      </c>
      <c r="G72" s="50" t="b">
        <f t="shared" si="142"/>
        <v>1</v>
      </c>
      <c r="H72" s="50" t="b">
        <f t="shared" si="142"/>
        <v>1</v>
      </c>
      <c r="I72" s="51">
        <f t="shared" si="4"/>
        <v>1</v>
      </c>
      <c r="J72" s="52" t="str">
        <f t="shared" ref="J72:N72" si="143">VLOOKUP($A72, INDIRECT(J$1&amp;"!A:D"), 4, FALSE)</f>
        <v/>
      </c>
      <c r="K72" s="52" t="str">
        <f t="shared" si="143"/>
        <v/>
      </c>
      <c r="L72" s="52" t="str">
        <f t="shared" si="143"/>
        <v/>
      </c>
      <c r="M72" s="52" t="str">
        <f t="shared" si="143"/>
        <v/>
      </c>
      <c r="N72" s="52" t="str">
        <f t="shared" si="143"/>
        <v/>
      </c>
      <c r="O72" s="51" t="str">
        <f>IFERROR(__xludf.DUMMYFUNCTION("IF(COUNTA(J72:N72)=0, """", ARRAYFORMULA(""- ""&amp;TEXTJOIN(char(10)&amp;""- "", TRUE, FILTER(J$1:N$1&amp;"": ""&amp;J72:N72, NOT(ISBLANK(J72:N72))))))"),"")</f>
        <v/>
      </c>
      <c r="P72" s="51" t="s">
        <v>400</v>
      </c>
      <c r="Q72" s="53" t="s">
        <v>403</v>
      </c>
    </row>
    <row r="73">
      <c r="A73" s="12" t="str">
        <f>IFERROR(__xludf.DUMMYFUNCTION("""COMPUTED_VALUE"""),"c6953dcad779f1c53eddcd78016aad44")</f>
        <v>c6953dcad779f1c53eddcd78016aad44</v>
      </c>
      <c r="B73" s="12" t="str">
        <f>IFERROR(__xludf.DUMMYFUNCTION("""COMPUTED_VALUE"""),"In response, the city embarked on a resilience-building project which integrates climate vulnerability assessments and micro planning and implementation. It was designed, implemented and monitored using a community-led bottom-up approach which began with "&amp;"the identification of climate vulnerabilities. Some key lessons have been derived from that experience.")</f>
        <v>In response, the city embarked on a resilience-building project which integrates climate vulnerability assessments and micro planning and implementation. It was designed, implemented and monitored using a community-led bottom-up approach which began with the identification of climate vulnerabilities. Some key lessons have been derived from that experience.</v>
      </c>
      <c r="C73" s="54"/>
      <c r="D73" s="50" t="b">
        <f t="shared" ref="D73:H73" si="144">VLOOKUP($A73, INDIRECT(D$1&amp;"!A:C"), 3, FALSE)</f>
        <v>1</v>
      </c>
      <c r="E73" s="50" t="str">
        <f t="shared" si="144"/>
        <v>TO DO</v>
      </c>
      <c r="F73" s="50" t="str">
        <f t="shared" si="144"/>
        <v>TO DO</v>
      </c>
      <c r="G73" s="50" t="b">
        <f t="shared" si="144"/>
        <v>1</v>
      </c>
      <c r="H73" s="50" t="b">
        <f t="shared" si="144"/>
        <v>1</v>
      </c>
      <c r="I73" s="51">
        <f t="shared" si="4"/>
        <v>1</v>
      </c>
      <c r="J73" s="52" t="str">
        <f t="shared" ref="J73:N73" si="145">VLOOKUP($A73, INDIRECT(J$1&amp;"!A:D"), 4, FALSE)</f>
        <v/>
      </c>
      <c r="K73" s="52" t="str">
        <f t="shared" si="145"/>
        <v/>
      </c>
      <c r="L73" s="52" t="str">
        <f t="shared" si="145"/>
        <v/>
      </c>
      <c r="M73" s="52" t="str">
        <f t="shared" si="145"/>
        <v/>
      </c>
      <c r="N73" s="52" t="str">
        <f t="shared" si="145"/>
        <v/>
      </c>
      <c r="O73" s="51" t="str">
        <f>IFERROR(__xludf.DUMMYFUNCTION("IF(COUNTA(J73:N73)=0, """", ARRAYFORMULA(""- ""&amp;TEXTJOIN(char(10)&amp;""- "", TRUE, FILTER(J$1:N$1&amp;"": ""&amp;J73:N73, NOT(ISBLANK(J73:N73))))))"),"")</f>
        <v/>
      </c>
      <c r="P73" s="51" t="s">
        <v>400</v>
      </c>
      <c r="Q73" s="53" t="s">
        <v>403</v>
      </c>
    </row>
    <row r="74">
      <c r="A74" s="12" t="str">
        <f>IFERROR(__xludf.DUMMYFUNCTION("""COMPUTED_VALUE"""),"39089c8f728768b345d5366230965a8b")</f>
        <v>39089c8f728768b345d5366230965a8b</v>
      </c>
      <c r="B74" s="12" t="str">
        <f>IFERROR(__xludf.DUMMYFUNCTION("""COMPUTED_VALUE"""),"Ministers and other senior policy officials can champion the importance of monitoring and evaluation and ensure that findings contribute to a transparent, evidence-based adaptation policy planning and implementation process (Segone, 2008). There is also s"&amp;"cope for greater exchange among countries of lessons learned on effective adaptation approaches and on methods used to monitor and evaluate them. Answerability is primarily based on political will to justify decisions and actions based on the monitoring a"&amp;"nd evaluation of adaptation interventions. Enforceability, on the other hand, refers to the ability of governments to ensure that national policy commitments agreed upon (e.g. in their annual or periodic development plans) are being met and that correctiv"&amp;"e measures are undertaken when they are not.")</f>
        <v>Ministers and other senior policy officials can champion the importance of monitoring and evaluation and ensure that findings contribute to a transparent, evidence-based adaptation policy planning and implementation process (Segone, 2008). There is also scope for greater exchange among countries of lessons learned on effective adaptation approaches and on methods used to monitor and evaluate them. Answerability is primarily based on political will to justify decisions and actions based on the monitoring and evaluation of adaptation interventions. Enforceability, on the other hand, refers to the ability of governments to ensure that national policy commitments agreed upon (e.g. in their annual or periodic development plans) are being met and that corrective measures are undertaken when they are not.</v>
      </c>
      <c r="C74" s="7" t="s">
        <v>409</v>
      </c>
      <c r="D74" s="50" t="str">
        <f t="shared" ref="D74:H74" si="146">VLOOKUP($A74, INDIRECT(D$1&amp;"!A:C"), 3, FALSE)</f>
        <v>SKIP</v>
      </c>
      <c r="E74" s="50" t="str">
        <f t="shared" si="146"/>
        <v>TO DO</v>
      </c>
      <c r="F74" s="50" t="str">
        <f t="shared" si="146"/>
        <v>TO DO</v>
      </c>
      <c r="G74" s="50" t="b">
        <f t="shared" si="146"/>
        <v>1</v>
      </c>
      <c r="H74" s="50" t="b">
        <f t="shared" si="146"/>
        <v>0</v>
      </c>
      <c r="I74" s="51">
        <f t="shared" si="4"/>
        <v>0</v>
      </c>
      <c r="J74" s="52" t="str">
        <f t="shared" ref="J74:N74" si="147">VLOOKUP($A74, INDIRECT(J$1&amp;"!A:D"), 4, FALSE)</f>
        <v>unclear if climate</v>
      </c>
      <c r="K74" s="52" t="str">
        <f t="shared" si="147"/>
        <v/>
      </c>
      <c r="L74" s="52" t="str">
        <f t="shared" si="147"/>
        <v/>
      </c>
      <c r="M74" s="52" t="str">
        <f t="shared" si="147"/>
        <v/>
      </c>
      <c r="N74" s="52" t="str">
        <f t="shared" si="147"/>
        <v>again not clear with adaptation</v>
      </c>
      <c r="O74" s="51" t="str">
        <f>IFERROR(__xludf.DUMMYFUNCTION("IF(COUNTA(J74:N74)=0, """", ARRAYFORMULA(""- ""&amp;TEXTJOIN(char(10)&amp;""- "", TRUE, FILTER(J$1:N$1&amp;"": ""&amp;J74:N74, NOT(ISBLANK(J74:N74))))))"),"- Finn: unclear if climate
- Steve: again not clear with adaptation")</f>
        <v>- Finn: unclear if climate
- Steve: again not clear with adaptation</v>
      </c>
      <c r="P74" s="51" t="s">
        <v>439</v>
      </c>
      <c r="Q74" s="53" t="s">
        <v>401</v>
      </c>
    </row>
    <row r="75">
      <c r="A75" s="12" t="str">
        <f>IFERROR(__xludf.DUMMYFUNCTION("""COMPUTED_VALUE"""),"496987454c498ea9a52f60b40e4abadb")</f>
        <v>496987454c498ea9a52f60b40e4abadb</v>
      </c>
      <c r="B75" s="12" t="str">
        <f>IFERROR(__xludf.DUMMYFUNCTION("""COMPUTED_VALUE"""),"Examples of this are the initiatives undertaken by the Chilean Government following the 2010 earthquake and the Emergency Grant distributed to persons affected by disasters by the Ecuadoran Government. In terms of policy proposals, an interesting case is "&amp;"Trinidad and Tobago, where an economic subsidy for home repair is available to the recipients of non-contributory pensions. It would also be advisable to intensify efforts to expand the population eligible for cash transfers following a disaster, to inclu"&amp;"de families that do not have older members or school-age children. The aim is for those families to be eligible for a cash transfer in adverse situations not of their choice, at least on a temporary basis.")</f>
        <v>Examples of this are the initiatives undertaken by the Chilean Government following the 2010 earthquake and the Emergency Grant distributed to persons affected by disasters by the Ecuadoran Government. In terms of policy proposals, an interesting case is Trinidad and Tobago, where an economic subsidy for home repair is available to the recipients of non-contributory pensions. It would also be advisable to intensify efforts to expand the population eligible for cash transfers following a disaster, to include families that do not have older members or school-age children. The aim is for those families to be eligible for a cash transfer in adverse situations not of their choice, at least on a temporary basis.</v>
      </c>
      <c r="C75" s="55"/>
      <c r="D75" s="50" t="b">
        <f t="shared" ref="D75:H75" si="148">VLOOKUP($A75, INDIRECT(D$1&amp;"!A:C"), 3, FALSE)</f>
        <v>1</v>
      </c>
      <c r="E75" s="50" t="b">
        <f t="shared" si="148"/>
        <v>0</v>
      </c>
      <c r="F75" s="50" t="str">
        <f t="shared" si="148"/>
        <v>TO DO</v>
      </c>
      <c r="G75" s="50" t="b">
        <f t="shared" si="148"/>
        <v>1</v>
      </c>
      <c r="H75" s="50" t="b">
        <f t="shared" si="148"/>
        <v>1</v>
      </c>
      <c r="I75" s="51">
        <f t="shared" si="4"/>
        <v>0.5</v>
      </c>
      <c r="J75" s="52" t="str">
        <f t="shared" ref="J75:N75" si="149">VLOOKUP($A75, INDIRECT(J$1&amp;"!A:D"), 4, FALSE)</f>
        <v>target 13.1</v>
      </c>
      <c r="K75" s="52" t="str">
        <f t="shared" si="149"/>
        <v/>
      </c>
      <c r="L75" s="52" t="str">
        <f t="shared" si="149"/>
        <v/>
      </c>
      <c r="M75" s="52" t="str">
        <f t="shared" si="149"/>
        <v/>
      </c>
      <c r="N75" s="52" t="str">
        <f t="shared" si="149"/>
        <v/>
      </c>
      <c r="O75" s="51" t="str">
        <f>IFERROR(__xludf.DUMMYFUNCTION("IF(COUNTA(J75:N75)=0, """", ARRAYFORMULA(""- ""&amp;TEXTJOIN(char(10)&amp;""- "", TRUE, FILTER(J$1:N$1&amp;"": ""&amp;J75:N75, NOT(ISBLANK(J75:N75))))))"),"- Finn: target 13.1")</f>
        <v>- Finn: target 13.1</v>
      </c>
      <c r="P75" s="51" t="s">
        <v>406</v>
      </c>
      <c r="Q75" s="53" t="s">
        <v>401</v>
      </c>
      <c r="R75" s="5" t="s">
        <v>440</v>
      </c>
    </row>
    <row r="76">
      <c r="A76" s="12" t="str">
        <f>IFERROR(__xludf.DUMMYFUNCTION("""COMPUTED_VALUE"""),"24ef40f5732472668b1ecb58b22e8d33")</f>
        <v>24ef40f5732472668b1ecb58b22e8d33</v>
      </c>
      <c r="B76" s="12" t="str">
        <f>IFERROR(__xludf.DUMMYFUNCTION("""COMPUTED_VALUE"""),"Although the timing of national policy evaluations may be more flexible, political pressures would make it difficult to commit resources for adaptation evaluations on the basis that results will potentially only be known 20-30 years in the future. At the "&amp;"same time, the value of an evaluation and the lessons it generates may be lost if the evaluation is postponed too far into the future. One option to overcome this challenge is to focus assessments on the achievement of intermediate outcomes, through ongoi"&amp;"ng monitoring and real-time evaluation.")</f>
        <v>Although the timing of national policy evaluations may be more flexible, political pressures would make it difficult to commit resources for adaptation evaluations on the basis that results will potentially only be known 20-30 years in the future. At the same time, the value of an evaluation and the lessons it generates may be lost if the evaluation is postponed too far into the future. One option to overcome this challenge is to focus assessments on the achievement of intermediate outcomes, through ongoing monitoring and real-time evaluation.</v>
      </c>
      <c r="C76" s="50"/>
      <c r="D76" s="50" t="b">
        <f t="shared" ref="D76:H76" si="150">VLOOKUP($A76, INDIRECT(D$1&amp;"!A:C"), 3, FALSE)</f>
        <v>0</v>
      </c>
      <c r="E76" s="50" t="str">
        <f t="shared" si="150"/>
        <v>TO DO</v>
      </c>
      <c r="F76" s="50" t="str">
        <f t="shared" si="150"/>
        <v>TO DO</v>
      </c>
      <c r="G76" s="50" t="b">
        <f t="shared" si="150"/>
        <v>1</v>
      </c>
      <c r="H76" s="50" t="b">
        <f t="shared" si="150"/>
        <v>0</v>
      </c>
      <c r="I76" s="51">
        <f t="shared" si="4"/>
        <v>0.3333333333</v>
      </c>
      <c r="J76" s="52" t="str">
        <f t="shared" ref="J76:N76" si="151">VLOOKUP($A76, INDIRECT(J$1&amp;"!A:D"), 4, FALSE)</f>
        <v/>
      </c>
      <c r="K76" s="52" t="str">
        <f t="shared" si="151"/>
        <v/>
      </c>
      <c r="L76" s="52" t="str">
        <f t="shared" si="151"/>
        <v/>
      </c>
      <c r="M76" s="52" t="str">
        <f t="shared" si="151"/>
        <v/>
      </c>
      <c r="N76" s="52" t="str">
        <f t="shared" si="151"/>
        <v>cant figure out what this is about</v>
      </c>
      <c r="O76" s="51" t="str">
        <f>IFERROR(__xludf.DUMMYFUNCTION("IF(COUNTA(J76:N76)=0, """", ARRAYFORMULA(""- ""&amp;TEXTJOIN(char(10)&amp;""- "", TRUE, FILTER(J$1:N$1&amp;"": ""&amp;J76:N76, NOT(ISBLANK(J76:N76))))))"),"- Steve: cant figure out what this is about")</f>
        <v>- Steve: cant figure out what this is about</v>
      </c>
      <c r="P76" s="51" t="s">
        <v>441</v>
      </c>
      <c r="Q76" s="53" t="s">
        <v>401</v>
      </c>
    </row>
    <row r="77">
      <c r="A77" s="12" t="str">
        <f>IFERROR(__xludf.DUMMYFUNCTION("""COMPUTED_VALUE"""),"ef025365e743a4f8ade779054b7ae28c")</f>
        <v>ef025365e743a4f8ade779054b7ae28c</v>
      </c>
      <c r="B77" s="12" t="str">
        <f>IFERROR(__xludf.DUMMYFUNCTION("""COMPUTED_VALUE"""),"An evaluation of the project found that, in 2014 alone, the average household saved $472, with even higher savings recorded for households living from fishing, agriculture and livestock23 This global-level innovation thus has the potential for replication"&amp;" elsewhere in Bangladesh and in the Asia-Pacific region as a whole. For each monsoon season there are biannual forums for forecast generators and users of the forecasts. In advance of each monsoon forum, RIMES and WMO work with the NMHS to develop the sea"&amp;"sonal forecast and related products, and to train users, such as line ministries, local governments and their partners. At the forums themselves, the users discuss the corresponding preparedness and mitigation measures.")</f>
        <v>An evaluation of the project found that, in 2014 alone, the average household saved $472, with even higher savings recorded for households living from fishing, agriculture and livestock23 This global-level innovation thus has the potential for replication elsewhere in Bangladesh and in the Asia-Pacific region as a whole. For each monsoon season there are biannual forums for forecast generators and users of the forecasts. In advance of each monsoon forum, RIMES and WMO work with the NMHS to develop the seasonal forecast and related products, and to train users, such as line ministries, local governments and their partners. At the forums themselves, the users discuss the corresponding preparedness and mitigation measures.</v>
      </c>
      <c r="C77" s="55"/>
      <c r="D77" s="50" t="b">
        <f t="shared" ref="D77:H77" si="152">VLOOKUP($A77, INDIRECT(D$1&amp;"!A:C"), 3, FALSE)</f>
        <v>0</v>
      </c>
      <c r="E77" s="50" t="str">
        <f t="shared" si="152"/>
        <v>TO DO</v>
      </c>
      <c r="F77" s="50" t="str">
        <f t="shared" si="152"/>
        <v>TO DO</v>
      </c>
      <c r="G77" s="50" t="b">
        <f t="shared" si="152"/>
        <v>1</v>
      </c>
      <c r="H77" s="50" t="b">
        <f t="shared" si="152"/>
        <v>0</v>
      </c>
      <c r="I77" s="51">
        <f t="shared" si="4"/>
        <v>0.3333333333</v>
      </c>
      <c r="J77" s="52" t="str">
        <f t="shared" ref="J77:N77" si="153">VLOOKUP($A77, INDIRECT(J$1&amp;"!A:D"), 4, FALSE)</f>
        <v/>
      </c>
      <c r="K77" s="52" t="str">
        <f t="shared" si="153"/>
        <v/>
      </c>
      <c r="L77" s="52" t="str">
        <f t="shared" si="153"/>
        <v/>
      </c>
      <c r="M77" s="52" t="str">
        <f t="shared" si="153"/>
        <v/>
      </c>
      <c r="N77" s="52" t="str">
        <f t="shared" si="153"/>
        <v/>
      </c>
      <c r="O77" s="51" t="str">
        <f>IFERROR(__xludf.DUMMYFUNCTION("IF(COUNTA(J77:N77)=0, """", ARRAYFORMULA(""- ""&amp;TEXTJOIN(char(10)&amp;""- "", TRUE, FILTER(J$1:N$1&amp;"": ""&amp;J77:N77, NOT(ISBLANK(J77:N77))))))"),"")</f>
        <v/>
      </c>
      <c r="P77" s="51" t="s">
        <v>400</v>
      </c>
      <c r="Q77" s="53" t="s">
        <v>401</v>
      </c>
    </row>
    <row r="78">
      <c r="A78" s="12" t="str">
        <f>IFERROR(__xludf.DUMMYFUNCTION("""COMPUTED_VALUE"""),"41f90338d71f14f71e675b9653001597")</f>
        <v>41f90338d71f14f71e675b9653001597</v>
      </c>
      <c r="B78" s="12" t="str">
        <f>IFERROR(__xludf.DUMMYFUNCTION("""COMPUTED_VALUE"""),"Lastly, an information and awareness campaign has been designed, ""Mexican Tourism Facing the Challenge of Climate Change"". Potential barriers to implementation are seen in the resistance of the private sector to invest in energy efficiency and to accept"&amp;" the decarbonisation of the economy as an attractive goal. To this end, policy instruments are currently kept under review with regard to their potential to reduce GHG emissions and their impact on business, as well as possibilities for implementation.")</f>
        <v>Lastly, an information and awareness campaign has been designed, "Mexican Tourism Facing the Challenge of Climate Change". Potential barriers to implementation are seen in the resistance of the private sector to invest in energy efficiency and to accept the decarbonisation of the economy as an attractive goal. To this end, policy instruments are currently kept under review with regard to their potential to reduce GHG emissions and their impact on business, as well as possibilities for implementation.</v>
      </c>
      <c r="C78" s="55"/>
      <c r="D78" s="50" t="b">
        <f t="shared" ref="D78:H78" si="154">VLOOKUP($A78, INDIRECT(D$1&amp;"!A:C"), 3, FALSE)</f>
        <v>1</v>
      </c>
      <c r="E78" s="50" t="str">
        <f t="shared" si="154"/>
        <v>TO DO</v>
      </c>
      <c r="F78" s="50" t="str">
        <f t="shared" si="154"/>
        <v>TO DO</v>
      </c>
      <c r="G78" s="50" t="b">
        <f t="shared" si="154"/>
        <v>1</v>
      </c>
      <c r="H78" s="50" t="b">
        <f t="shared" si="154"/>
        <v>1</v>
      </c>
      <c r="I78" s="51">
        <f t="shared" si="4"/>
        <v>1</v>
      </c>
      <c r="J78" s="52" t="str">
        <f t="shared" ref="J78:N78" si="155">VLOOKUP($A78, INDIRECT(J$1&amp;"!A:D"), 4, FALSE)</f>
        <v/>
      </c>
      <c r="K78" s="52" t="str">
        <f t="shared" si="155"/>
        <v/>
      </c>
      <c r="L78" s="52" t="str">
        <f t="shared" si="155"/>
        <v/>
      </c>
      <c r="M78" s="52" t="str">
        <f t="shared" si="155"/>
        <v/>
      </c>
      <c r="N78" s="52" t="str">
        <f t="shared" si="155"/>
        <v/>
      </c>
      <c r="O78" s="51" t="str">
        <f>IFERROR(__xludf.DUMMYFUNCTION("IF(COUNTA(J78:N78)=0, """", ARRAYFORMULA(""- ""&amp;TEXTJOIN(char(10)&amp;""- "", TRUE, FILTER(J$1:N$1&amp;"": ""&amp;J78:N78, NOT(ISBLANK(J78:N78))))))"),"")</f>
        <v/>
      </c>
      <c r="P78" s="51" t="s">
        <v>400</v>
      </c>
      <c r="Q78" s="53" t="s">
        <v>403</v>
      </c>
    </row>
    <row r="79">
      <c r="A79" s="12" t="str">
        <f>IFERROR(__xludf.DUMMYFUNCTION("""COMPUTED_VALUE"""),"945ccccd978d0ebc2fddd1f5676a1690")</f>
        <v>945ccccd978d0ebc2fddd1f5676a1690</v>
      </c>
      <c r="B79" s="12" t="str">
        <f>IFERROR(__xludf.DUMMYFUNCTION("""COMPUTED_VALUE"""),"Through the Tonga Education Sector Programme (TESP), for example, Tonga’s Ministry of Education, Women’s Affairs and Culture undertook its first ever approach to sector-wide strategic planning, resulting in a number of substantive changes to approaches an"&amp;"d policies. These activities all reinforce the view that ESD is not something that one party subjects another to. Rather, it is a process of ongoing learning and iteration whereby all involved should grow and adapt as a result.")</f>
        <v>Through the Tonga Education Sector Programme (TESP), for example, Tonga’s Ministry of Education, Women’s Affairs and Culture undertook its first ever approach to sector-wide strategic planning, resulting in a number of substantive changes to approaches and policies. These activities all reinforce the view that ESD is not something that one party subjects another to. Rather, it is a process of ongoing learning and iteration whereby all involved should grow and adapt as a result.</v>
      </c>
      <c r="C79" s="54"/>
      <c r="D79" s="50" t="b">
        <f t="shared" ref="D79:H79" si="156">VLOOKUP($A79, INDIRECT(D$1&amp;"!A:C"), 3, FALSE)</f>
        <v>0</v>
      </c>
      <c r="E79" s="50" t="b">
        <f t="shared" si="156"/>
        <v>0</v>
      </c>
      <c r="F79" s="50" t="str">
        <f t="shared" si="156"/>
        <v>TO DO</v>
      </c>
      <c r="G79" s="50" t="b">
        <f t="shared" si="156"/>
        <v>0</v>
      </c>
      <c r="H79" s="50" t="b">
        <f t="shared" si="156"/>
        <v>0</v>
      </c>
      <c r="I79" s="51">
        <f t="shared" si="4"/>
        <v>1</v>
      </c>
      <c r="J79" s="52" t="str">
        <f t="shared" ref="J79:N79" si="157">VLOOKUP($A79, INDIRECT(J$1&amp;"!A:D"), 4, FALSE)</f>
        <v/>
      </c>
      <c r="K79" s="52" t="str">
        <f t="shared" si="157"/>
        <v>Could be true. Education on sustainable development probably involves climate change, but is not specific to it.</v>
      </c>
      <c r="L79" s="52" t="str">
        <f t="shared" si="157"/>
        <v/>
      </c>
      <c r="M79" s="52" t="str">
        <f t="shared" si="157"/>
        <v/>
      </c>
      <c r="N79" s="52" t="str">
        <f t="shared" si="157"/>
        <v/>
      </c>
      <c r="O79" s="51" t="str">
        <f>IFERROR(__xludf.DUMMYFUNCTION("IF(COUNTA(J79:N79)=0, """", ARRAYFORMULA(""- ""&amp;TEXTJOIN(char(10)&amp;""- "", TRUE, FILTER(J$1:N$1&amp;"": ""&amp;J79:N79, NOT(ISBLANK(J79:N79))))))"),"- Gib: Could be true. Education on sustainable development probably involves climate change, but is not specific to it.")</f>
        <v>- Gib: Could be true. Education on sustainable development probably involves climate change, but is not specific to it.</v>
      </c>
      <c r="P79" s="51" t="s">
        <v>432</v>
      </c>
      <c r="Q79" s="53" t="s">
        <v>402</v>
      </c>
    </row>
    <row r="80">
      <c r="A80" s="12" t="str">
        <f>IFERROR(__xludf.DUMMYFUNCTION("""COMPUTED_VALUE"""),"d07386044818372985bffc36a8bf81f3")</f>
        <v>d07386044818372985bffc36a8bf81f3</v>
      </c>
      <c r="B80" s="12" t="str">
        <f>IFERROR(__xludf.DUMMYFUNCTION("""COMPUTED_VALUE"""),"Given the variety of technologies, sectors, and scales of technology-transfer interventions, it would be difficult to have a single meaningful indicator that could be aggregated across multiple projects. For instance, the Global Environment Facility’s (GE"&amp;"F) indicator for technology-transfer interventions is qualitative in nature, focusing on capturing the type and maturity of technologies that are being transferred. Mitigation-focused interventions generally seek to reduce GHG emissions directly (e.g. by "&amp;"improving fuel combustion efficiencies) or indirectly and/or in the longer-term (e.g. by increasing awareness about low-GHG technologies). Projects seeking to increase adaptive capacity and resilience can take a number of forms (e.g. awareness and educati"&amp;"on programmes, institutional reforms, physical infrastructure projects) and have results that accrue at local, regional, or global scales and over different time horizons.")</f>
        <v>Given the variety of technologies, sectors, and scales of technology-transfer interventions, it would be difficult to have a single meaningful indicator that could be aggregated across multiple projects. For instance, the Global Environment Facility’s (GEF) indicator for technology-transfer interventions is qualitative in nature, focusing on capturing the type and maturity of technologies that are being transferred. Mitigation-focused interventions generally seek to reduce GHG emissions directly (e.g. by improving fuel combustion efficiencies) or indirectly and/or in the longer-term (e.g. by increasing awareness about low-GHG technologies). Projects seeking to increase adaptive capacity and resilience can take a number of forms (e.g. awareness and education programmes, institutional reforms, physical infrastructure projects) and have results that accrue at local, regional, or global scales and over different time horizons.</v>
      </c>
      <c r="C80" s="54"/>
      <c r="D80" s="50" t="b">
        <f t="shared" ref="D80:H80" si="158">VLOOKUP($A80, INDIRECT(D$1&amp;"!A:C"), 3, FALSE)</f>
        <v>1</v>
      </c>
      <c r="E80" s="50" t="b">
        <f t="shared" si="158"/>
        <v>1</v>
      </c>
      <c r="F80" s="50" t="str">
        <f t="shared" si="158"/>
        <v>TO DO</v>
      </c>
      <c r="G80" s="50" t="b">
        <f t="shared" si="158"/>
        <v>1</v>
      </c>
      <c r="H80" s="50" t="b">
        <f t="shared" si="158"/>
        <v>1</v>
      </c>
      <c r="I80" s="51">
        <f t="shared" si="4"/>
        <v>1</v>
      </c>
      <c r="J80" s="52" t="str">
        <f t="shared" ref="J80:N80" si="159">VLOOKUP($A80, INDIRECT(J$1&amp;"!A:D"), 4, FALSE)</f>
        <v/>
      </c>
      <c r="K80" s="52" t="str">
        <f t="shared" si="159"/>
        <v/>
      </c>
      <c r="L80" s="52" t="str">
        <f t="shared" si="159"/>
        <v/>
      </c>
      <c r="M80" s="52" t="str">
        <f t="shared" si="159"/>
        <v/>
      </c>
      <c r="N80" s="52" t="str">
        <f t="shared" si="159"/>
        <v/>
      </c>
      <c r="O80" s="51" t="str">
        <f>IFERROR(__xludf.DUMMYFUNCTION("IF(COUNTA(J80:N80)=0, """", ARRAYFORMULA(""- ""&amp;TEXTJOIN(char(10)&amp;""- "", TRUE, FILTER(J$1:N$1&amp;"": ""&amp;J80:N80, NOT(ISBLANK(J80:N80))))))"),"")</f>
        <v/>
      </c>
      <c r="P80" s="51" t="s">
        <v>400</v>
      </c>
      <c r="Q80" s="53" t="s">
        <v>403</v>
      </c>
    </row>
    <row r="81">
      <c r="A81" s="12" t="str">
        <f>IFERROR(__xludf.DUMMYFUNCTION("""COMPUTED_VALUE"""),"efc52dea07b2385c3c947c5398e5fa78")</f>
        <v>efc52dea07b2385c3c947c5398e5fa78</v>
      </c>
      <c r="B81" s="12" t="str">
        <f>IFERROR(__xludf.DUMMYFUNCTION("""COMPUTED_VALUE"""),"Tonga’s Ministry of Education, Women’s Affairs and Culture (MoEWAC) is working to seize this opportunity, getting involved in national and regional media industry-oriented workshops, in order to foster opportunities for co-operation. The ministry has work"&amp;"ed with local media to educate them on agendas such as EFA, the MDGs and the UNDESD, and one representative has indicated that the media has become a ‘catalyst and advocate for local co-operation and contributions to sustainable development, especially at"&amp;" the grassroots and community level’. None of these associations are commonly made with mainstream or mass media sources.")</f>
        <v>Tonga’s Ministry of Education, Women’s Affairs and Culture (MoEWAC) is working to seize this opportunity, getting involved in national and regional media industry-oriented workshops, in order to foster opportunities for co-operation. The ministry has worked with local media to educate them on agendas such as EFA, the MDGs and the UNDESD, and one representative has indicated that the media has become a ‘catalyst and advocate for local co-operation and contributions to sustainable development, especially at the grassroots and community level’. None of these associations are commonly made with mainstream or mass media sources.</v>
      </c>
      <c r="C81" s="7"/>
      <c r="D81" s="50" t="b">
        <f t="shared" ref="D81:H81" si="160">VLOOKUP($A81, INDIRECT(D$1&amp;"!A:C"), 3, FALSE)</f>
        <v>0</v>
      </c>
      <c r="E81" s="50" t="b">
        <f t="shared" si="160"/>
        <v>0</v>
      </c>
      <c r="F81" s="50" t="str">
        <f t="shared" si="160"/>
        <v>TO DO</v>
      </c>
      <c r="G81" s="50" t="b">
        <f t="shared" si="160"/>
        <v>0</v>
      </c>
      <c r="H81" s="50" t="b">
        <f t="shared" si="160"/>
        <v>0</v>
      </c>
      <c r="I81" s="51">
        <f t="shared" si="4"/>
        <v>1</v>
      </c>
      <c r="J81" s="52" t="str">
        <f t="shared" ref="J81:N81" si="161">VLOOKUP($A81, INDIRECT(J$1&amp;"!A:D"), 4, FALSE)</f>
        <v/>
      </c>
      <c r="K81" s="52" t="str">
        <f t="shared" si="161"/>
        <v>Could be true. I labelled it false because talking about sustainable development in developing countries does not always touch the climate change topic.</v>
      </c>
      <c r="L81" s="52" t="str">
        <f t="shared" si="161"/>
        <v/>
      </c>
      <c r="M81" s="52" t="str">
        <f t="shared" si="161"/>
        <v/>
      </c>
      <c r="N81" s="52" t="str">
        <f t="shared" si="161"/>
        <v/>
      </c>
      <c r="O81" s="51" t="str">
        <f>IFERROR(__xludf.DUMMYFUNCTION("IF(COUNTA(J81:N81)=0, """", ARRAYFORMULA(""- ""&amp;TEXTJOIN(char(10)&amp;""- "", TRUE, FILTER(J$1:N$1&amp;"": ""&amp;J81:N81, NOT(ISBLANK(J81:N81))))))"),"- Gib: Could be true. I labelled it false because talking about sustainable development in developing countries does not always touch the climate change topic.")</f>
        <v>- Gib: Could be true. I labelled it false because talking about sustainable development in developing countries does not always touch the climate change topic.</v>
      </c>
      <c r="P81" s="51" t="s">
        <v>442</v>
      </c>
      <c r="Q81" s="53" t="s">
        <v>402</v>
      </c>
    </row>
    <row r="82">
      <c r="A82" s="12" t="str">
        <f>IFERROR(__xludf.DUMMYFUNCTION("""COMPUTED_VALUE"""),"06fd29e21b58d3feba47d74236d45e53")</f>
        <v>06fd29e21b58d3feba47d74236d45e53</v>
      </c>
      <c r="B82" s="12" t="str">
        <f>IFERROR(__xludf.DUMMYFUNCTION("""COMPUTED_VALUE"""),"This handbook aims to reduce the impacts of natural disasters on local coastal tourism communities. The handbook's approach builds on UNEP's Awareness and Preparedness for Emergencies at the Local Level (APELL) process, designed to create public awareness"&amp;" of hazards and to ensure that communities and emergency services are adequately trained and prepared to respond.")</f>
        <v>This handbook aims to reduce the impacts of natural disasters on local coastal tourism communities. The handbook's approach builds on UNEP's Awareness and Preparedness for Emergencies at the Local Level (APELL) process, designed to create public awareness of hazards and to ensure that communities and emergency services are adequately trained and prepared to respond.</v>
      </c>
      <c r="C82" s="54"/>
      <c r="D82" s="50" t="b">
        <f t="shared" ref="D82:H82" si="162">VLOOKUP($A82, INDIRECT(D$1&amp;"!A:C"), 3, FALSE)</f>
        <v>1</v>
      </c>
      <c r="E82" s="50" t="str">
        <f t="shared" si="162"/>
        <v>TO DO</v>
      </c>
      <c r="F82" s="50" t="str">
        <f t="shared" si="162"/>
        <v>TO DO</v>
      </c>
      <c r="G82" s="50" t="b">
        <f t="shared" si="162"/>
        <v>1</v>
      </c>
      <c r="H82" s="50" t="b">
        <f t="shared" si="162"/>
        <v>1</v>
      </c>
      <c r="I82" s="51">
        <f t="shared" si="4"/>
        <v>1</v>
      </c>
      <c r="J82" s="52" t="str">
        <f t="shared" ref="J82:N82" si="163">VLOOKUP($A82, INDIRECT(J$1&amp;"!A:D"), 4, FALSE)</f>
        <v/>
      </c>
      <c r="K82" s="52" t="str">
        <f t="shared" si="163"/>
        <v/>
      </c>
      <c r="L82" s="52" t="str">
        <f t="shared" si="163"/>
        <v/>
      </c>
      <c r="M82" s="52" t="str">
        <f t="shared" si="163"/>
        <v/>
      </c>
      <c r="N82" s="52" t="str">
        <f t="shared" si="163"/>
        <v/>
      </c>
      <c r="O82" s="51" t="str">
        <f>IFERROR(__xludf.DUMMYFUNCTION("IF(COUNTA(J82:N82)=0, """", ARRAYFORMULA(""- ""&amp;TEXTJOIN(char(10)&amp;""- "", TRUE, FILTER(J$1:N$1&amp;"": ""&amp;J82:N82, NOT(ISBLANK(J82:N82))))))"),"")</f>
        <v/>
      </c>
      <c r="P82" s="51" t="s">
        <v>400</v>
      </c>
      <c r="Q82" s="53" t="s">
        <v>403</v>
      </c>
    </row>
    <row r="83">
      <c r="A83" s="12" t="str">
        <f>IFERROR(__xludf.DUMMYFUNCTION("""COMPUTED_VALUE"""),"6cba4afe64656c7d244f85f141d4a7b1")</f>
        <v>6cba4afe64656c7d244f85f141d4a7b1</v>
      </c>
      <c r="B83" s="12" t="str">
        <f>IFERROR(__xludf.DUMMYFUNCTION("""COMPUTED_VALUE"""),"These include: a strong commitment at both the national and international levels to support and mobilise private investment for green growth, policies and regulations to provide a level playing field for more environment-friendly investments, policies to "&amp;"encourage more environmentally responsible corporate behaviour, an institutional capacity to design, implement and monitor policies to foster green growth objectives, financial mechanisms for green investment, and policies to support private sector involv"&amp;"ement in green projects (Corfee-Morlot et al., The targeted use of official development finance is particularly relevant to set the right incentives (e.g. fiscal, economic, legislative, etc.) In particular, since some green sectors operate in highly regul"&amp;"ated markets (e.g. energy), development finance could support opening up markets for private actors or help set regulatory environment conducive for private investments in these sectors.")</f>
        <v>These include: a strong commitment at both the national and international levels to support and mobilise private investment for green growth, policies and regulations to provide a level playing field for more environment-friendly investments, policies to encourage more environmentally responsible corporate behaviour, an institutional capacity to design, implement and monitor policies to foster green growth objectives, financial mechanisms for green investment, and policies to support private sector involvement in green projects (Corfee-Morlot et al., The targeted use of official development finance is particularly relevant to set the right incentives (e.g. fiscal, economic, legislative, etc.) In particular, since some green sectors operate in highly regulated markets (e.g. energy), development finance could support opening up markets for private actors or help set regulatory environment conducive for private investments in these sectors.</v>
      </c>
      <c r="C83" s="54"/>
      <c r="D83" s="50" t="b">
        <f t="shared" ref="D83:H83" si="164">VLOOKUP($A83, INDIRECT(D$1&amp;"!A:C"), 3, FALSE)</f>
        <v>1</v>
      </c>
      <c r="E83" s="50" t="str">
        <f t="shared" si="164"/>
        <v>TO DO</v>
      </c>
      <c r="F83" s="50" t="str">
        <f t="shared" si="164"/>
        <v>TO DO</v>
      </c>
      <c r="G83" s="50" t="b">
        <f t="shared" si="164"/>
        <v>0</v>
      </c>
      <c r="H83" s="50" t="b">
        <f t="shared" si="164"/>
        <v>0</v>
      </c>
      <c r="I83" s="51">
        <f t="shared" si="4"/>
        <v>0.3333333333</v>
      </c>
      <c r="J83" s="52" t="str">
        <f t="shared" ref="J83:N83" si="165">VLOOKUP($A83, INDIRECT(J$1&amp;"!A:D"), 4, FALSE)</f>
        <v/>
      </c>
      <c r="K83" s="52" t="str">
        <f t="shared" si="165"/>
        <v/>
      </c>
      <c r="L83" s="52" t="str">
        <f t="shared" si="165"/>
        <v/>
      </c>
      <c r="M83" s="52" t="str">
        <f t="shared" si="165"/>
        <v/>
      </c>
      <c r="N83" s="52" t="str">
        <f t="shared" si="165"/>
        <v>not direclty climate related though, implicity (green investments)</v>
      </c>
      <c r="O83" s="51" t="str">
        <f>IFERROR(__xludf.DUMMYFUNCTION("IF(COUNTA(J83:N83)=0, """", ARRAYFORMULA(""- ""&amp;TEXTJOIN(char(10)&amp;""- "", TRUE, FILTER(J$1:N$1&amp;"": ""&amp;J83:N83, NOT(ISBLANK(J83:N83))))))"),"- Steve: not direclty climate related though, implicity (green investments)")</f>
        <v>- Steve: not direclty climate related though, implicity (green investments)</v>
      </c>
      <c r="P83" s="51" t="s">
        <v>443</v>
      </c>
      <c r="Q83" s="53" t="s">
        <v>402</v>
      </c>
      <c r="R83" s="5" t="s">
        <v>444</v>
      </c>
    </row>
    <row r="84">
      <c r="A84" s="12" t="str">
        <f>IFERROR(__xludf.DUMMYFUNCTION("""COMPUTED_VALUE"""),"a22ff4b2cc37e17e84b79cd618fc2e7b")</f>
        <v>a22ff4b2cc37e17e84b79cd618fc2e7b</v>
      </c>
      <c r="B84" s="12" t="str">
        <f>IFERROR(__xludf.DUMMYFUNCTION("""COMPUTED_VALUE"""),"Since river basin flood hazards are frequently transnational, these efforts need to be re-energized and consolidated into a regional warning mechanism. For this purpose there have already been a number of pilots that can be scaled up and replicated. In th"&amp;"e Philippines, for example, with support from Deutsche Gesellschaft fur Internationale Zusammenarbeit (GIZ), a landslide early warning system was successfully set up 2012 in the municipality of Saint Bernard in the province of Southern Leyte.")</f>
        <v>Since river basin flood hazards are frequently transnational, these efforts need to be re-energized and consolidated into a regional warning mechanism. For this purpose there have already been a number of pilots that can be scaled up and replicated. In the Philippines, for example, with support from Deutsche Gesellschaft fur Internationale Zusammenarbeit (GIZ), a landslide early warning system was successfully set up 2012 in the municipality of Saint Bernard in the province of Southern Leyte.</v>
      </c>
      <c r="C84" s="55"/>
      <c r="D84" s="50" t="b">
        <f t="shared" ref="D84:H84" si="166">VLOOKUP($A84, INDIRECT(D$1&amp;"!A:C"), 3, FALSE)</f>
        <v>1</v>
      </c>
      <c r="E84" s="50" t="str">
        <f t="shared" si="166"/>
        <v>TO DO</v>
      </c>
      <c r="F84" s="50" t="str">
        <f t="shared" si="166"/>
        <v>TO DO</v>
      </c>
      <c r="G84" s="50" t="b">
        <f t="shared" si="166"/>
        <v>1</v>
      </c>
      <c r="H84" s="50" t="b">
        <f t="shared" si="166"/>
        <v>1</v>
      </c>
      <c r="I84" s="51">
        <f t="shared" si="4"/>
        <v>1</v>
      </c>
      <c r="J84" s="52" t="str">
        <f t="shared" ref="J84:N84" si="167">VLOOKUP($A84, INDIRECT(J$1&amp;"!A:D"), 4, FALSE)</f>
        <v>early warning target 13.3</v>
      </c>
      <c r="K84" s="52" t="str">
        <f t="shared" si="167"/>
        <v/>
      </c>
      <c r="L84" s="52" t="str">
        <f t="shared" si="167"/>
        <v/>
      </c>
      <c r="M84" s="52" t="str">
        <f t="shared" si="167"/>
        <v/>
      </c>
      <c r="N84" s="52" t="str">
        <f t="shared" si="167"/>
        <v>landslide early warning system linked to disaster risk resilience</v>
      </c>
      <c r="O84" s="51" t="str">
        <f>IFERROR(__xludf.DUMMYFUNCTION("IF(COUNTA(J84:N84)=0, """", ARRAYFORMULA(""- ""&amp;TEXTJOIN(char(10)&amp;""- "", TRUE, FILTER(J$1:N$1&amp;"": ""&amp;J84:N84, NOT(ISBLANK(J84:N84))))))"),"- Finn: early warning target 13.3
- Steve: landslide early warning system linked to disaster risk resilience")</f>
        <v>- Finn: early warning target 13.3
- Steve: landslide early warning system linked to disaster risk resilience</v>
      </c>
      <c r="P84" s="51" t="s">
        <v>445</v>
      </c>
      <c r="Q84" s="53" t="s">
        <v>403</v>
      </c>
    </row>
    <row r="85">
      <c r="A85" s="12" t="str">
        <f>IFERROR(__xludf.DUMMYFUNCTION("""COMPUTED_VALUE"""),"e57cc1355ac34fcde9e9705083a310bb")</f>
        <v>e57cc1355ac34fcde9e9705083a310bb</v>
      </c>
      <c r="B85" s="12" t="str">
        <f>IFERROR(__xludf.DUMMYFUNCTION("""COMPUTED_VALUE"""),"Several underscored the importance of bilateral, regional and international cooperation in this area. Some members stressed that initiatives to counter illegal logging should be consistent with WTO disciplines, scientifically based, and not constitute unn"&amp;"ecessary barriers to trade. Concerns were raised on the implementation costs of such initiatives and the need for capacity building in developing countries to build awareness and improve enforcement of laws to combat illegal logging.")</f>
        <v>Several underscored the importance of bilateral, regional and international cooperation in this area. Some members stressed that initiatives to counter illegal logging should be consistent with WTO disciplines, scientifically based, and not constitute unnecessary barriers to trade. Concerns were raised on the implementation costs of such initiatives and the need for capacity building in developing countries to build awareness and improve enforcement of laws to combat illegal logging.</v>
      </c>
      <c r="C85" s="55"/>
      <c r="D85" s="50" t="b">
        <f t="shared" ref="D85:H85" si="168">VLOOKUP($A85, INDIRECT(D$1&amp;"!A:C"), 3, FALSE)</f>
        <v>0</v>
      </c>
      <c r="E85" s="50" t="str">
        <f t="shared" si="168"/>
        <v>TO DO</v>
      </c>
      <c r="F85" s="50" t="str">
        <f t="shared" si="168"/>
        <v>TO DO</v>
      </c>
      <c r="G85" s="50" t="b">
        <f t="shared" si="168"/>
        <v>0</v>
      </c>
      <c r="H85" s="50" t="b">
        <f t="shared" si="168"/>
        <v>0</v>
      </c>
      <c r="I85" s="51">
        <f t="shared" si="4"/>
        <v>1</v>
      </c>
      <c r="J85" s="52" t="str">
        <f t="shared" ref="J85:N85" si="169">VLOOKUP($A85, INDIRECT(J$1&amp;"!A:D"), 4, FALSE)</f>
        <v/>
      </c>
      <c r="K85" s="52" t="str">
        <f t="shared" si="169"/>
        <v/>
      </c>
      <c r="L85" s="52" t="str">
        <f t="shared" si="169"/>
        <v/>
      </c>
      <c r="M85" s="52" t="str">
        <f t="shared" si="169"/>
        <v/>
      </c>
      <c r="N85" s="52" t="str">
        <f t="shared" si="169"/>
        <v/>
      </c>
      <c r="O85" s="51" t="str">
        <f>IFERROR(__xludf.DUMMYFUNCTION("IF(COUNTA(J85:N85)=0, """", ARRAYFORMULA(""- ""&amp;TEXTJOIN(char(10)&amp;""- "", TRUE, FILTER(J$1:N$1&amp;"": ""&amp;J85:N85, NOT(ISBLANK(J85:N85))))))"),"")</f>
        <v/>
      </c>
      <c r="P85" s="51" t="s">
        <v>400</v>
      </c>
      <c r="Q85" s="53" t="s">
        <v>402</v>
      </c>
    </row>
    <row r="86">
      <c r="A86" s="12" t="str">
        <f>IFERROR(__xludf.DUMMYFUNCTION("""COMPUTED_VALUE"""),"0cd4cbb613dc281d0552a04b992a719c")</f>
        <v>0cd4cbb613dc281d0552a04b992a719c</v>
      </c>
      <c r="B86" s="12" t="str">
        <f>IFERROR(__xludf.DUMMYFUNCTION("""COMPUTED_VALUE"""),"Further, a pilot project for a new technology may be implemented and run efficiently (and could therefore be judged to be effective at a project level), but does not meet its goal of being replicated at scale (and is therefore less effective when viewed f"&amp;"rom a national or sectoral level). The inputs to an intervention can be financial, human (e.g. information or labour), or material goods that help to achieve the strategic objectives of the intervention. Decisions on appropriate inputs will depend both on"&amp;" the strategic objectives of the intervention as well as local context and needs.")</f>
        <v>Further, a pilot project for a new technology may be implemented and run efficiently (and could therefore be judged to be effective at a project level), but does not meet its goal of being replicated at scale (and is therefore less effective when viewed from a national or sectoral level). The inputs to an intervention can be financial, human (e.g. information or labour), or material goods that help to achieve the strategic objectives of the intervention. Decisions on appropriate inputs will depend both on the strategic objectives of the intervention as well as local context and needs.</v>
      </c>
      <c r="C86" s="7"/>
      <c r="D86" s="50" t="b">
        <f t="shared" ref="D86:H86" si="170">VLOOKUP($A86, INDIRECT(D$1&amp;"!A:C"), 3, FALSE)</f>
        <v>0</v>
      </c>
      <c r="E86" s="50" t="b">
        <f t="shared" si="170"/>
        <v>0</v>
      </c>
      <c r="F86" s="50" t="str">
        <f t="shared" si="170"/>
        <v>TO DO</v>
      </c>
      <c r="G86" s="50" t="b">
        <f t="shared" si="170"/>
        <v>0</v>
      </c>
      <c r="H86" s="50" t="b">
        <f t="shared" si="170"/>
        <v>0</v>
      </c>
      <c r="I86" s="51">
        <f t="shared" si="4"/>
        <v>1</v>
      </c>
      <c r="J86" s="52" t="str">
        <f t="shared" ref="J86:N86" si="171">VLOOKUP($A86, INDIRECT(J$1&amp;"!A:D"), 4, FALSE)</f>
        <v/>
      </c>
      <c r="K86" s="52" t="str">
        <f t="shared" si="171"/>
        <v/>
      </c>
      <c r="L86" s="52" t="str">
        <f t="shared" si="171"/>
        <v/>
      </c>
      <c r="M86" s="52" t="str">
        <f t="shared" si="171"/>
        <v/>
      </c>
      <c r="N86" s="52" t="str">
        <f t="shared" si="171"/>
        <v/>
      </c>
      <c r="O86" s="51" t="str">
        <f>IFERROR(__xludf.DUMMYFUNCTION("IF(COUNTA(J86:N86)=0, """", ARRAYFORMULA(""- ""&amp;TEXTJOIN(char(10)&amp;""- "", TRUE, FILTER(J$1:N$1&amp;"": ""&amp;J86:N86, NOT(ISBLANK(J86:N86))))))"),"")</f>
        <v/>
      </c>
      <c r="P86" s="51" t="s">
        <v>400</v>
      </c>
      <c r="Q86" s="53" t="s">
        <v>402</v>
      </c>
    </row>
    <row r="87">
      <c r="A87" s="12" t="str">
        <f>IFERROR(__xludf.DUMMYFUNCTION("""COMPUTED_VALUE"""),"3dfa766f6f36763d498549844dd47646")</f>
        <v>3dfa766f6f36763d498549844dd47646</v>
      </c>
      <c r="B87" s="12" t="str">
        <f>IFERROR(__xludf.DUMMYFUNCTION("""COMPUTED_VALUE"""),"This was agreed to by more than 130 countries and lays out agreed principles for effective development finance that also cover climate-related aid: these principles relate to country ownership, alignment, harmonisation, results and mutual accountability. "&amp;"The subsequent Busan Partnership on Effective Development Co-operation (2011), agreed to by 150 countries, outlines the importance of climate finance as well as extending the scope of these principles beyond aid to cover development finance and developmen"&amp;"t co-operation more broadly. These include both general principles as well as those developed in the context of funds established by the UNFCCC process such as the Green Climate Fund and the Global Environment Facility.")</f>
        <v>This was agreed to by more than 130 countries and lays out agreed principles for effective development finance that also cover climate-related aid: these principles relate to country ownership, alignment, harmonisation, results and mutual accountability. The subsequent Busan Partnership on Effective Development Co-operation (2011), agreed to by 150 countries, outlines the importance of climate finance as well as extending the scope of these principles beyond aid to cover development finance and development co-operation more broadly. These include both general principles as well as those developed in the context of funds established by the UNFCCC process such as the Green Climate Fund and the Global Environment Facility.</v>
      </c>
      <c r="C87" s="7"/>
      <c r="D87" s="50" t="b">
        <f t="shared" ref="D87:H87" si="172">VLOOKUP($A87, INDIRECT(D$1&amp;"!A:C"), 3, FALSE)</f>
        <v>1</v>
      </c>
      <c r="E87" s="50" t="str">
        <f t="shared" si="172"/>
        <v>TO DO</v>
      </c>
      <c r="F87" s="50" t="str">
        <f t="shared" si="172"/>
        <v>TO DO</v>
      </c>
      <c r="G87" s="50" t="b">
        <f t="shared" si="172"/>
        <v>1</v>
      </c>
      <c r="H87" s="50" t="b">
        <f t="shared" si="172"/>
        <v>1</v>
      </c>
      <c r="I87" s="51">
        <f t="shared" si="4"/>
        <v>1</v>
      </c>
      <c r="J87" s="52" t="str">
        <f t="shared" ref="J87:N87" si="173">VLOOKUP($A87, INDIRECT(J$1&amp;"!A:D"), 4, FALSE)</f>
        <v/>
      </c>
      <c r="K87" s="52" t="str">
        <f t="shared" si="173"/>
        <v/>
      </c>
      <c r="L87" s="52" t="str">
        <f t="shared" si="173"/>
        <v/>
      </c>
      <c r="M87" s="52" t="str">
        <f t="shared" si="173"/>
        <v/>
      </c>
      <c r="N87" s="52" t="str">
        <f t="shared" si="173"/>
        <v/>
      </c>
      <c r="O87" s="51" t="str">
        <f>IFERROR(__xludf.DUMMYFUNCTION("IF(COUNTA(J87:N87)=0, """", ARRAYFORMULA(""- ""&amp;TEXTJOIN(char(10)&amp;""- "", TRUE, FILTER(J$1:N$1&amp;"": ""&amp;J87:N87, NOT(ISBLANK(J87:N87))))))"),"")</f>
        <v/>
      </c>
      <c r="P87" s="51" t="s">
        <v>400</v>
      </c>
      <c r="Q87" s="53" t="s">
        <v>403</v>
      </c>
    </row>
    <row r="88">
      <c r="A88" s="12" t="str">
        <f>IFERROR(__xludf.DUMMYFUNCTION("""COMPUTED_VALUE"""),"0d3ace55e7a546da51f0b83614df28ad")</f>
        <v>0d3ace55e7a546da51f0b83614df28ad</v>
      </c>
      <c r="B88" s="12" t="str">
        <f>IFERROR(__xludf.DUMMYFUNCTION("""COMPUTED_VALUE"""),"Bilateral DFIs are usually owned by donor governments, source their core capital from official development funds, and have access to government guarantees. Some examples include Proparco (France), DEG (Germany) and FMO (Netherlands). The multilateral equi"&amp;"valents of DFIs are the private sector arms or departments of multilateral development banks (such as the International Finance Corporation under the World Bank Group, and non-sovereign operations under the regional development banks).")</f>
        <v>Bilateral DFIs are usually owned by donor governments, source their core capital from official development funds, and have access to government guarantees. Some examples include Proparco (France), DEG (Germany) and FMO (Netherlands). The multilateral equivalents of DFIs are the private sector arms or departments of multilateral development banks (such as the International Finance Corporation under the World Bank Group, and non-sovereign operations under the regional development banks).</v>
      </c>
      <c r="C88" s="54"/>
      <c r="D88" s="50" t="b">
        <f t="shared" ref="D88:H88" si="174">VLOOKUP($A88, INDIRECT(D$1&amp;"!A:C"), 3, FALSE)</f>
        <v>0</v>
      </c>
      <c r="E88" s="50" t="b">
        <f t="shared" si="174"/>
        <v>0</v>
      </c>
      <c r="F88" s="50" t="str">
        <f t="shared" si="174"/>
        <v>TO DO</v>
      </c>
      <c r="G88" s="50" t="b">
        <f t="shared" si="174"/>
        <v>0</v>
      </c>
      <c r="H88" s="50" t="b">
        <f t="shared" si="174"/>
        <v>0</v>
      </c>
      <c r="I88" s="51">
        <f t="shared" si="4"/>
        <v>1</v>
      </c>
      <c r="J88" s="52" t="str">
        <f t="shared" ref="J88:N88" si="175">VLOOKUP($A88, INDIRECT(J$1&amp;"!A:D"), 4, FALSE)</f>
        <v/>
      </c>
      <c r="K88" s="52" t="str">
        <f t="shared" si="175"/>
        <v/>
      </c>
      <c r="L88" s="52" t="str">
        <f t="shared" si="175"/>
        <v/>
      </c>
      <c r="M88" s="52" t="str">
        <f t="shared" si="175"/>
        <v/>
      </c>
      <c r="N88" s="52" t="str">
        <f t="shared" si="175"/>
        <v/>
      </c>
      <c r="O88" s="51" t="str">
        <f>IFERROR(__xludf.DUMMYFUNCTION("IF(COUNTA(J88:N88)=0, """", ARRAYFORMULA(""- ""&amp;TEXTJOIN(char(10)&amp;""- "", TRUE, FILTER(J$1:N$1&amp;"": ""&amp;J88:N88, NOT(ISBLANK(J88:N88))))))"),"")</f>
        <v/>
      </c>
      <c r="P88" s="51" t="s">
        <v>400</v>
      </c>
      <c r="Q88" s="53" t="s">
        <v>402</v>
      </c>
    </row>
    <row r="89">
      <c r="A89" s="12" t="str">
        <f>IFERROR(__xludf.DUMMYFUNCTION("""COMPUTED_VALUE"""),"4fd713d0da1d51bf461c0d2d68074a67")</f>
        <v>4fd713d0da1d51bf461c0d2d68074a67</v>
      </c>
      <c r="B89" s="12" t="str">
        <f>IFERROR(__xludf.DUMMYFUNCTION("""COMPUTED_VALUE"""),"Johansson de Silva, Kokko and Norberg (2015) describes the ideal ‘win-win-win’ relationship in multi stakeholder partnerships, and the different strengths donors, the private sector and civil society bring to them, based on a review of Sida’s private sect"&amp;"or collaboration programmes (Table 2.1). The private sector is not monolithic, hence development co-operation approaches to private sector engagement need to be tailored to specific private sector beneficiaries (e.g. multinational companies, utilities, lo"&amp;"cal SMEs, commercial banks) and contexts, taking into account potential multipliers which can contribute in disseminating information, approaches and state of the art concepts (e.g. business associations, chambers, business developers, industrial zone man"&amp;"agement). For instance, many development co-operation providers focus on greening SMEs, either directly or through the use of financial intermediaries (e.g. local commercial banks, private equity funds, state-owned banks, national development banks).")</f>
        <v>Johansson de Silva, Kokko and Norberg (2015) describes the ideal ‘win-win-win’ relationship in multi stakeholder partnerships, and the different strengths donors, the private sector and civil society bring to them, based on a review of Sida’s private sector collaboration programmes (Table 2.1). The private sector is not monolithic, hence development co-operation approaches to private sector engagement need to be tailored to specific private sector beneficiaries (e.g. multinational companies, utilities, local SMEs, commercial banks) and contexts, taking into account potential multipliers which can contribute in disseminating information, approaches and state of the art concepts (e.g. business associations, chambers, business developers, industrial zone management). For instance, many development co-operation providers focus on greening SMEs, either directly or through the use of financial intermediaries (e.g. local commercial banks, private equity funds, state-owned banks, national development banks).</v>
      </c>
      <c r="C89" s="54"/>
      <c r="D89" s="50" t="b">
        <f t="shared" ref="D89:H89" si="176">VLOOKUP($A89, INDIRECT(D$1&amp;"!A:C"), 3, FALSE)</f>
        <v>0</v>
      </c>
      <c r="E89" s="50" t="str">
        <f t="shared" si="176"/>
        <v>TO DO</v>
      </c>
      <c r="F89" s="50" t="str">
        <f t="shared" si="176"/>
        <v>TO DO</v>
      </c>
      <c r="G89" s="50" t="b">
        <f t="shared" si="176"/>
        <v>0</v>
      </c>
      <c r="H89" s="50" t="b">
        <f t="shared" si="176"/>
        <v>0</v>
      </c>
      <c r="I89" s="51">
        <f t="shared" si="4"/>
        <v>1</v>
      </c>
      <c r="J89" s="52" t="str">
        <f t="shared" ref="J89:N89" si="177">VLOOKUP($A89, INDIRECT(J$1&amp;"!A:D"), 4, FALSE)</f>
        <v/>
      </c>
      <c r="K89" s="52" t="str">
        <f t="shared" si="177"/>
        <v/>
      </c>
      <c r="L89" s="52" t="str">
        <f t="shared" si="177"/>
        <v/>
      </c>
      <c r="M89" s="52" t="str">
        <f t="shared" si="177"/>
        <v/>
      </c>
      <c r="N89" s="52" t="str">
        <f t="shared" si="177"/>
        <v/>
      </c>
      <c r="O89" s="51" t="str">
        <f>IFERROR(__xludf.DUMMYFUNCTION("IF(COUNTA(J89:N89)=0, """", ARRAYFORMULA(""- ""&amp;TEXTJOIN(char(10)&amp;""- "", TRUE, FILTER(J$1:N$1&amp;"": ""&amp;J89:N89, NOT(ISBLANK(J89:N89))))))"),"")</f>
        <v/>
      </c>
      <c r="P89" s="51" t="s">
        <v>400</v>
      </c>
      <c r="Q89" s="53" t="s">
        <v>402</v>
      </c>
    </row>
    <row r="90">
      <c r="A90" s="12" t="str">
        <f>IFERROR(__xludf.DUMMYFUNCTION("""COMPUTED_VALUE"""),"8f649ca15674f420fb2ea6554e6ed03d")</f>
        <v>8f649ca15674f420fb2ea6554e6ed03d</v>
      </c>
      <c r="B90" s="12" t="str">
        <f>IFERROR(__xludf.DUMMYFUNCTION("""COMPUTED_VALUE"""),"Nonetheless, all 11 countries are eligible to receive official development assistance (ODA) from OECD DAC member countries. They also have access to some of the funding sources under the Financial Mechanism of the Convention2 (e.g. Global Environment Faci"&amp;"lity, or the GEF). Exceptions include the Least Developed Countries Fund operated by the GEF since none of the EECCA countries is categorised as a Least Developed Country under the UN. While the data analysed in this chapter is on climate-related developm"&amp;"ent finance committed in 2013 and 2014, the Board of the Green Climate Fund approved two project proposals in the EECCA region at its 13th meeting in June 2016 (one in Armenia and the other in Tajikistan and Uzbekistan).")</f>
        <v>Nonetheless, all 11 countries are eligible to receive official development assistance (ODA) from OECD DAC member countries. They also have access to some of the funding sources under the Financial Mechanism of the Convention2 (e.g. Global Environment Facility, or the GEF). Exceptions include the Least Developed Countries Fund operated by the GEF since none of the EECCA countries is categorised as a Least Developed Country under the UN. While the data analysed in this chapter is on climate-related development finance committed in 2013 and 2014, the Board of the Green Climate Fund approved two project proposals in the EECCA region at its 13th meeting in June 2016 (one in Armenia and the other in Tajikistan and Uzbekistan).</v>
      </c>
      <c r="C90" s="55"/>
      <c r="D90" s="50" t="b">
        <f t="shared" ref="D90:H90" si="178">VLOOKUP($A90, INDIRECT(D$1&amp;"!A:C"), 3, FALSE)</f>
        <v>1</v>
      </c>
      <c r="E90" s="50" t="str">
        <f t="shared" si="178"/>
        <v>TO DO</v>
      </c>
      <c r="F90" s="50" t="str">
        <f t="shared" si="178"/>
        <v>TO DO</v>
      </c>
      <c r="G90" s="50" t="b">
        <f t="shared" si="178"/>
        <v>0</v>
      </c>
      <c r="H90" s="50" t="b">
        <f t="shared" si="178"/>
        <v>1</v>
      </c>
      <c r="I90" s="51">
        <f t="shared" si="4"/>
        <v>0.3333333333</v>
      </c>
      <c r="J90" s="52" t="str">
        <f t="shared" ref="J90:N90" si="179">VLOOKUP($A90, INDIRECT(J$1&amp;"!A:D"), 4, FALSE)</f>
        <v/>
      </c>
      <c r="K90" s="52" t="str">
        <f t="shared" si="179"/>
        <v/>
      </c>
      <c r="L90" s="52" t="str">
        <f t="shared" si="179"/>
        <v/>
      </c>
      <c r="M90" s="52" t="str">
        <f t="shared" si="179"/>
        <v/>
      </c>
      <c r="N90" s="52" t="str">
        <f t="shared" si="179"/>
        <v/>
      </c>
      <c r="O90" s="51" t="str">
        <f>IFERROR(__xludf.DUMMYFUNCTION("IF(COUNTA(J90:N90)=0, """", ARRAYFORMULA(""- ""&amp;TEXTJOIN(char(10)&amp;""- "", TRUE, FILTER(J$1:N$1&amp;"": ""&amp;J90:N90, NOT(ISBLANK(J90:N90))))))"),"")</f>
        <v/>
      </c>
      <c r="P90" s="51" t="s">
        <v>400</v>
      </c>
      <c r="Q90" s="53" t="s">
        <v>401</v>
      </c>
    </row>
    <row r="91">
      <c r="A91" s="12" t="str">
        <f>IFERROR(__xludf.DUMMYFUNCTION("""COMPUTED_VALUE"""),"da333693a4fac0fe3cd101f8818c1967")</f>
        <v>da333693a4fac0fe3cd101f8818c1967</v>
      </c>
      <c r="B91" s="12" t="str">
        <f>IFERROR(__xludf.DUMMYFUNCTION("""COMPUTED_VALUE"""),"Sometimes, this is explicitly referred to as “effectiveness”, e.g. in the context of the Global Environment Facility and the Green Climate Fund. Sometimes, it is not explicitly referred to as effectiveness, e.g. in the context of achieving a balance betwe"&amp;"en climate finance for mitigation and adaptation in the Fast Start Finance period. Within the development community, more than 150 countries (as well as IFIs and other international organisations) agreed the Busan Partnership on Effective Development Co-o"&amp;"peration in 2011. This declaration applies to development finance (i.e. broader than the previously-agreed Paris Declaration on Aid Effectiveness, which just covers ODA), The Busan Partnership focuses on increased co-operation between donor and partner co"&amp;"untries and their institutions involved in providing, channelling and using climate finance - and aligning interventions with partners’ priorities.")</f>
        <v>Sometimes, this is explicitly referred to as “effectiveness”, e.g. in the context of the Global Environment Facility and the Green Climate Fund. Sometimes, it is not explicitly referred to as effectiveness, e.g. in the context of achieving a balance between climate finance for mitigation and adaptation in the Fast Start Finance period. Within the development community, more than 150 countries (as well as IFIs and other international organisations) agreed the Busan Partnership on Effective Development Co-operation in 2011. This declaration applies to development finance (i.e. broader than the previously-agreed Paris Declaration on Aid Effectiveness, which just covers ODA), The Busan Partnership focuses on increased co-operation between donor and partner countries and their institutions involved in providing, channelling and using climate finance - and aligning interventions with partners’ priorities.</v>
      </c>
      <c r="C91" s="55"/>
      <c r="D91" s="50" t="b">
        <f t="shared" ref="D91:H91" si="180">VLOOKUP($A91, INDIRECT(D$1&amp;"!A:C"), 3, FALSE)</f>
        <v>1</v>
      </c>
      <c r="E91" s="50" t="str">
        <f t="shared" si="180"/>
        <v>TO DO</v>
      </c>
      <c r="F91" s="50" t="str">
        <f t="shared" si="180"/>
        <v>TO DO</v>
      </c>
      <c r="G91" s="50" t="b">
        <f t="shared" si="180"/>
        <v>1</v>
      </c>
      <c r="H91" s="50" t="b">
        <f t="shared" si="180"/>
        <v>1</v>
      </c>
      <c r="I91" s="51">
        <f t="shared" si="4"/>
        <v>1</v>
      </c>
      <c r="J91" s="52" t="str">
        <f t="shared" ref="J91:N91" si="181">VLOOKUP($A91, INDIRECT(J$1&amp;"!A:D"), 4, FALSE)</f>
        <v/>
      </c>
      <c r="K91" s="52" t="str">
        <f t="shared" si="181"/>
        <v/>
      </c>
      <c r="L91" s="52" t="str">
        <f t="shared" si="181"/>
        <v/>
      </c>
      <c r="M91" s="52" t="str">
        <f t="shared" si="181"/>
        <v/>
      </c>
      <c r="N91" s="52" t="str">
        <f t="shared" si="181"/>
        <v/>
      </c>
      <c r="O91" s="51" t="str">
        <f>IFERROR(__xludf.DUMMYFUNCTION("IF(COUNTA(J91:N91)=0, """", ARRAYFORMULA(""- ""&amp;TEXTJOIN(char(10)&amp;""- "", TRUE, FILTER(J$1:N$1&amp;"": ""&amp;J91:N91, NOT(ISBLANK(J91:N91))))))"),"")</f>
        <v/>
      </c>
      <c r="P91" s="51" t="s">
        <v>400</v>
      </c>
      <c r="Q91" s="53" t="s">
        <v>403</v>
      </c>
    </row>
    <row r="92">
      <c r="A92" s="12" t="str">
        <f>IFERROR(__xludf.DUMMYFUNCTION("""COMPUTED_VALUE"""),"d77bc6dc6840b019fea62483a9dd73bb")</f>
        <v>d77bc6dc6840b019fea62483a9dd73bb</v>
      </c>
      <c r="B92" s="12" t="str">
        <f>IFERROR(__xludf.DUMMYFUNCTION("""COMPUTED_VALUE"""),"Rio markers could move towards a more exact definition and quantification by moving away from the binary classification approach and towards a percentage allocation for each project. The DAC could follow the lead of the World Bank Group, as they are curre"&amp;"ntly working towards tracking the adaptation and mitigation ‘co-benefits’ of their investments, based on a percentage of each sub-sector in each investment, across their entire portfolio and all core funding sources.60 Australia is also testing such a sys"&amp;"tem. For the definition of the Rio marker for adaptation: www.oecd.org/dataoecd/l/45/45303527.ndf (page 5). These will be based on a series of vetted investment activity typologies.")</f>
        <v>Rio markers could move towards a more exact definition and quantification by moving away from the binary classification approach and towards a percentage allocation for each project. The DAC could follow the lead of the World Bank Group, as they are currently working towards tracking the adaptation and mitigation ‘co-benefits’ of their investments, based on a percentage of each sub-sector in each investment, across their entire portfolio and all core funding sources.60 Australia is also testing such a system. For the definition of the Rio marker for adaptation: www.oecd.org/dataoecd/l/45/45303527.ndf (page 5). These will be based on a series of vetted investment activity typologies.</v>
      </c>
      <c r="C92" s="50"/>
      <c r="D92" s="50" t="b">
        <f t="shared" ref="D92:H92" si="182">VLOOKUP($A92, INDIRECT(D$1&amp;"!A:C"), 3, FALSE)</f>
        <v>1</v>
      </c>
      <c r="E92" s="50" t="b">
        <f t="shared" si="182"/>
        <v>1</v>
      </c>
      <c r="F92" s="50" t="str">
        <f t="shared" si="182"/>
        <v>TO DO</v>
      </c>
      <c r="G92" s="50" t="b">
        <f t="shared" si="182"/>
        <v>0</v>
      </c>
      <c r="H92" s="50" t="b">
        <f t="shared" si="182"/>
        <v>0</v>
      </c>
      <c r="I92" s="51">
        <f t="shared" si="4"/>
        <v>0</v>
      </c>
      <c r="J92" s="52" t="str">
        <f t="shared" ref="J92:N92" si="183">VLOOKUP($A92, INDIRECT(J$1&amp;"!A:D"), 4, FALSE)</f>
        <v/>
      </c>
      <c r="K92" s="52" t="str">
        <f t="shared" si="183"/>
        <v/>
      </c>
      <c r="L92" s="52" t="str">
        <f t="shared" si="183"/>
        <v/>
      </c>
      <c r="M92" s="52" t="str">
        <f t="shared" si="183"/>
        <v/>
      </c>
      <c r="N92" s="52" t="str">
        <f t="shared" si="183"/>
        <v/>
      </c>
      <c r="O92" s="51" t="str">
        <f>IFERROR(__xludf.DUMMYFUNCTION("IF(COUNTA(J92:N92)=0, """", ARRAYFORMULA(""- ""&amp;TEXTJOIN(char(10)&amp;""- "", TRUE, FILTER(J$1:N$1&amp;"": ""&amp;J92:N92, NOT(ISBLANK(J92:N92))))))"),"")</f>
        <v/>
      </c>
      <c r="P92" s="51" t="s">
        <v>400</v>
      </c>
      <c r="Q92" s="53" t="s">
        <v>401</v>
      </c>
    </row>
    <row r="93">
      <c r="A93" s="12" t="str">
        <f>IFERROR(__xludf.DUMMYFUNCTION("""COMPUTED_VALUE"""),"fb8a400d6dce461b88707fa0f4d02f39")</f>
        <v>fb8a400d6dce461b88707fa0f4d02f39</v>
      </c>
      <c r="B93" s="12" t="str">
        <f>IFERROR(__xludf.DUMMYFUNCTION("""COMPUTED_VALUE"""),"The GCF Board has set a target of committing US$2.5 billion in funding in 2016, in June 2015, nine projects with a value of US$257 million in GCF resources and total cost of US$585 million, were approved. The low approval level is indicative of the challe"&amp;"nges the GCF is facing as a new institution, the capacity constraints of the direct access entities and at the national level, staffing constraints in the GCF Secretariat, and the rigorous project preparation requirements that did not distinguish between "&amp;"project type and size. At its June 2016 meeting, the GCF Board approved the operational guidelines for its Project Preparation Facility and a simplified procedure for micro-scale and small-scale funding proposals that are assessed as low risk or no risk. "&amp;"These new procedures should accelerate the project approval process.")</f>
        <v>The GCF Board has set a target of committing US$2.5 billion in funding in 2016, in June 2015, nine projects with a value of US$257 million in GCF resources and total cost of US$585 million, were approved. The low approval level is indicative of the challenges the GCF is facing as a new institution, the capacity constraints of the direct access entities and at the national level, staffing constraints in the GCF Secretariat, and the rigorous project preparation requirements that did not distinguish between project type and size. At its June 2016 meeting, the GCF Board approved the operational guidelines for its Project Preparation Facility and a simplified procedure for micro-scale and small-scale funding proposals that are assessed as low risk or no risk. These new procedures should accelerate the project approval process.</v>
      </c>
      <c r="C93" s="7"/>
      <c r="D93" s="50" t="b">
        <f t="shared" ref="D93:H93" si="184">VLOOKUP($A93, INDIRECT(D$1&amp;"!A:C"), 3, FALSE)</f>
        <v>1</v>
      </c>
      <c r="E93" s="50" t="str">
        <f t="shared" si="184"/>
        <v>TO DO</v>
      </c>
      <c r="F93" s="50" t="str">
        <f t="shared" si="184"/>
        <v>TO DO</v>
      </c>
      <c r="G93" s="50" t="b">
        <f t="shared" si="184"/>
        <v>0</v>
      </c>
      <c r="H93" s="50" t="b">
        <f t="shared" si="184"/>
        <v>1</v>
      </c>
      <c r="I93" s="51">
        <f t="shared" si="4"/>
        <v>0.3333333333</v>
      </c>
      <c r="J93" s="52" t="str">
        <f t="shared" ref="J93:N93" si="185">VLOOKUP($A93, INDIRECT(J$1&amp;"!A:D"), 4, FALSE)</f>
        <v/>
      </c>
      <c r="K93" s="52" t="str">
        <f t="shared" si="185"/>
        <v/>
      </c>
      <c r="L93" s="52" t="str">
        <f t="shared" si="185"/>
        <v/>
      </c>
      <c r="M93" s="52" t="str">
        <f t="shared" si="185"/>
        <v/>
      </c>
      <c r="N93" s="52" t="str">
        <f t="shared" si="185"/>
        <v>green climate fund</v>
      </c>
      <c r="O93" s="51" t="str">
        <f>IFERROR(__xludf.DUMMYFUNCTION("IF(COUNTA(J93:N93)=0, """", ARRAYFORMULA(""- ""&amp;TEXTJOIN(char(10)&amp;""- "", TRUE, FILTER(J$1:N$1&amp;"": ""&amp;J93:N93, NOT(ISBLANK(J93:N93))))))"),"- Steve: green climate fund")</f>
        <v>- Steve: green climate fund</v>
      </c>
      <c r="P93" s="51" t="s">
        <v>446</v>
      </c>
      <c r="Q93" s="53" t="s">
        <v>401</v>
      </c>
    </row>
    <row r="94">
      <c r="A94" s="12" t="str">
        <f>IFERROR(__xludf.DUMMYFUNCTION("""COMPUTED_VALUE"""),"2acf16281c340c5db3bdc9fa2bcd2f2e")</f>
        <v>2acf16281c340c5db3bdc9fa2bcd2f2e</v>
      </c>
      <c r="B94" s="12" t="str">
        <f>IFERROR(__xludf.DUMMYFUNCTION("""COMPUTED_VALUE"""),"The Paris Agreement calls for a balance between adaptation and mitigation finance and establishes an Adaptation Goal, raising the profile of adaptation and encouraging developed countries to increase support for adaptation, particularly amongst the most v"&amp;"ulnerable developing countries. This emphasis on LDCs and SIDS is a recognition of the needs of countries that are particularly vulnerable to the impacts of climate change. In the case of Small Island Developing States (SIDS), strong growth has been regis"&amp;"tered in the volume of official climate-related development finance received over the past decade, reaching an all-time high of 15% of total ODA they received in 2013 (OECD, 2015g). The share of climate finance targeting adaptation activities - which supp"&amp;"ort many key development challenges facing SIDS - has progressively increased as well.")</f>
        <v>The Paris Agreement calls for a balance between adaptation and mitigation finance and establishes an Adaptation Goal, raising the profile of adaptation and encouraging developed countries to increase support for adaptation, particularly amongst the most vulnerable developing countries. This emphasis on LDCs and SIDS is a recognition of the needs of countries that are particularly vulnerable to the impacts of climate change. In the case of Small Island Developing States (SIDS), strong growth has been registered in the volume of official climate-related development finance received over the past decade, reaching an all-time high of 15% of total ODA they received in 2013 (OECD, 2015g). The share of climate finance targeting adaptation activities - which support many key development challenges facing SIDS - has progressively increased as well.</v>
      </c>
      <c r="C94" s="50"/>
      <c r="D94" s="50" t="b">
        <f t="shared" ref="D94:H94" si="186">VLOOKUP($A94, INDIRECT(D$1&amp;"!A:C"), 3, FALSE)</f>
        <v>1</v>
      </c>
      <c r="E94" s="50" t="str">
        <f t="shared" si="186"/>
        <v>TO DO</v>
      </c>
      <c r="F94" s="50" t="str">
        <f t="shared" si="186"/>
        <v>TO DO</v>
      </c>
      <c r="G94" s="50" t="b">
        <f t="shared" si="186"/>
        <v>1</v>
      </c>
      <c r="H94" s="50" t="b">
        <f t="shared" si="186"/>
        <v>1</v>
      </c>
      <c r="I94" s="51">
        <f t="shared" si="4"/>
        <v>1</v>
      </c>
      <c r="J94" s="52" t="str">
        <f t="shared" ref="J94:N94" si="187">VLOOKUP($A94, INDIRECT(J$1&amp;"!A:D"), 4, FALSE)</f>
        <v/>
      </c>
      <c r="K94" s="52" t="str">
        <f t="shared" si="187"/>
        <v/>
      </c>
      <c r="L94" s="52" t="str">
        <f t="shared" si="187"/>
        <v/>
      </c>
      <c r="M94" s="52" t="str">
        <f t="shared" si="187"/>
        <v/>
      </c>
      <c r="N94" s="52" t="str">
        <f t="shared" si="187"/>
        <v/>
      </c>
      <c r="O94" s="51" t="str">
        <f>IFERROR(__xludf.DUMMYFUNCTION("IF(COUNTA(J94:N94)=0, """", ARRAYFORMULA(""- ""&amp;TEXTJOIN(char(10)&amp;""- "", TRUE, FILTER(J$1:N$1&amp;"": ""&amp;J94:N94, NOT(ISBLANK(J94:N94))))))"),"")</f>
        <v/>
      </c>
      <c r="P94" s="51" t="s">
        <v>400</v>
      </c>
      <c r="Q94" s="53" t="s">
        <v>403</v>
      </c>
    </row>
    <row r="95">
      <c r="A95" s="12" t="str">
        <f>IFERROR(__xludf.DUMMYFUNCTION("""COMPUTED_VALUE"""),"44272fd9a3e9cb89d4370b435c53bcc7")</f>
        <v>44272fd9a3e9cb89d4370b435c53bcc7</v>
      </c>
      <c r="B95" s="12" t="str">
        <f>IFERROR(__xludf.DUMMYFUNCTION("""COMPUTED_VALUE"""),"Examples of capacity elements for each of the three levels are summarised in Table 2.2. A Practical Guide for Planning, implementing, and Assessing Capacity Building of HIV/AIDS Monitoring and Evaluation Systems, Office of the Global AIDS Coordinator, Uni"&amp;"ted States Government, Washington, DC. The objective of the assessment was to identify the strengths and weaknesses of the government’s approach to MfDR. The assessment found that there was a significant lack of capacity to monitor and evaluate public pol"&amp;"icies in all sectors. Further, the majority of sectors lacked the capacity to analyse statistical data and to use monitoring and evaluation findings to inform decision-making processes (Government of Ghana, 2012).")</f>
        <v>Examples of capacity elements for each of the three levels are summarised in Table 2.2. A Practical Guide for Planning, implementing, and Assessing Capacity Building of HIV/AIDS Monitoring and Evaluation Systems, Office of the Global AIDS Coordinator, United States Government, Washington, DC. The objective of the assessment was to identify the strengths and weaknesses of the government’s approach to MfDR. The assessment found that there was a significant lack of capacity to monitor and evaluate public policies in all sectors. Further, the majority of sectors lacked the capacity to analyse statistical data and to use monitoring and evaluation findings to inform decision-making processes (Government of Ghana, 2012).</v>
      </c>
      <c r="C95" s="7"/>
      <c r="D95" s="50" t="b">
        <f t="shared" ref="D95:H95" si="188">VLOOKUP($A95, INDIRECT(D$1&amp;"!A:C"), 3, FALSE)</f>
        <v>0</v>
      </c>
      <c r="E95" s="50" t="str">
        <f t="shared" si="188"/>
        <v>TO DO</v>
      </c>
      <c r="F95" s="50" t="str">
        <f t="shared" si="188"/>
        <v>TO DO</v>
      </c>
      <c r="G95" s="50" t="b">
        <f t="shared" si="188"/>
        <v>0</v>
      </c>
      <c r="H95" s="50" t="b">
        <f t="shared" si="188"/>
        <v>0</v>
      </c>
      <c r="I95" s="51">
        <f t="shared" si="4"/>
        <v>1</v>
      </c>
      <c r="J95" s="52" t="str">
        <f t="shared" ref="J95:N95" si="189">VLOOKUP($A95, INDIRECT(J$1&amp;"!A:D"), 4, FALSE)</f>
        <v/>
      </c>
      <c r="K95" s="52" t="str">
        <f t="shared" si="189"/>
        <v/>
      </c>
      <c r="L95" s="52" t="str">
        <f t="shared" si="189"/>
        <v/>
      </c>
      <c r="M95" s="52" t="str">
        <f t="shared" si="189"/>
        <v/>
      </c>
      <c r="N95" s="52" t="str">
        <f t="shared" si="189"/>
        <v/>
      </c>
      <c r="O95" s="51" t="str">
        <f>IFERROR(__xludf.DUMMYFUNCTION("IF(COUNTA(J95:N95)=0, """", ARRAYFORMULA(""- ""&amp;TEXTJOIN(char(10)&amp;""- "", TRUE, FILTER(J$1:N$1&amp;"": ""&amp;J95:N95, NOT(ISBLANK(J95:N95))))))"),"")</f>
        <v/>
      </c>
      <c r="P95" s="51" t="s">
        <v>400</v>
      </c>
      <c r="Q95" s="53" t="s">
        <v>402</v>
      </c>
    </row>
    <row r="96">
      <c r="A96" s="12" t="str">
        <f>IFERROR(__xludf.DUMMYFUNCTION("""COMPUTED_VALUE"""),"150d07b74a3d498d523fa88ea385347b")</f>
        <v>150d07b74a3d498d523fa88ea385347b</v>
      </c>
      <c r="B96" s="12" t="str">
        <f>IFERROR(__xludf.DUMMYFUNCTION("""COMPUTED_VALUE"""),"The Paris Agreement requires all Parties to undertake and communicate national mitigation and adaptation measures to respond to the threat of climate change. In addition, developed countries are required to provide and report on financial assistance, tech"&amp;"nology transfer and capacity-building support to developing-country Parties to the Agreement. For their part, developing countries are expected to provide information on the support needed and received.")</f>
        <v>The Paris Agreement requires all Parties to undertake and communicate national mitigation and adaptation measures to respond to the threat of climate change. In addition, developed countries are required to provide and report on financial assistance, technology transfer and capacity-building support to developing-country Parties to the Agreement. For their part, developing countries are expected to provide information on the support needed and received.</v>
      </c>
      <c r="C96" s="55"/>
      <c r="D96" s="50" t="b">
        <f t="shared" ref="D96:H96" si="190">VLOOKUP($A96, INDIRECT(D$1&amp;"!A:C"), 3, FALSE)</f>
        <v>1</v>
      </c>
      <c r="E96" s="50" t="str">
        <f t="shared" si="190"/>
        <v>TO DO</v>
      </c>
      <c r="F96" s="50" t="str">
        <f t="shared" si="190"/>
        <v>TO DO</v>
      </c>
      <c r="G96" s="50" t="b">
        <f t="shared" si="190"/>
        <v>1</v>
      </c>
      <c r="H96" s="50" t="b">
        <f t="shared" si="190"/>
        <v>1</v>
      </c>
      <c r="I96" s="51">
        <f t="shared" si="4"/>
        <v>1</v>
      </c>
      <c r="J96" s="52" t="str">
        <f t="shared" ref="J96:N96" si="191">VLOOKUP($A96, INDIRECT(J$1&amp;"!A:D"), 4, FALSE)</f>
        <v/>
      </c>
      <c r="K96" s="52" t="str">
        <f t="shared" si="191"/>
        <v/>
      </c>
      <c r="L96" s="52" t="str">
        <f t="shared" si="191"/>
        <v/>
      </c>
      <c r="M96" s="52" t="str">
        <f t="shared" si="191"/>
        <v/>
      </c>
      <c r="N96" s="52" t="str">
        <f t="shared" si="191"/>
        <v/>
      </c>
      <c r="O96" s="51" t="str">
        <f>IFERROR(__xludf.DUMMYFUNCTION("IF(COUNTA(J96:N96)=0, """", ARRAYFORMULA(""- ""&amp;TEXTJOIN(char(10)&amp;""- "", TRUE, FILTER(J$1:N$1&amp;"": ""&amp;J96:N96, NOT(ISBLANK(J96:N96))))))"),"")</f>
        <v/>
      </c>
      <c r="P96" s="51" t="s">
        <v>400</v>
      </c>
      <c r="Q96" s="53" t="s">
        <v>403</v>
      </c>
    </row>
    <row r="97">
      <c r="A97" s="12" t="str">
        <f>IFERROR(__xludf.DUMMYFUNCTION("""COMPUTED_VALUE"""),"99964ce761d15a0adc936922afb552c4")</f>
        <v>99964ce761d15a0adc936922afb552c4</v>
      </c>
      <c r="B97" s="12" t="str">
        <f>IFERROR(__xludf.DUMMYFUNCTION("""COMPUTED_VALUE"""),"However, recognising that developing and implementing a national framework can be time-consuming and resource intensive, countries may choose to initially focus on aspects that can be monitored within existing limits of data availability and monitoring an"&amp;"d evaluation capacity. Over time, the coverage and scope may gradually expand (GIZ, 2013). For monitoring and evaluation to contribute to learning, it is beneficial if they are based on demand for the information by those closely linked to policy-making p"&amp;"rocesses.")</f>
        <v>However, recognising that developing and implementing a national framework can be time-consuming and resource intensive, countries may choose to initially focus on aspects that can be monitored within existing limits of data availability and monitoring and evaluation capacity. Over time, the coverage and scope may gradually expand (GIZ, 2013). For monitoring and evaluation to contribute to learning, it is beneficial if they are based on demand for the information by those closely linked to policy-making processes.</v>
      </c>
      <c r="C97" s="54"/>
      <c r="D97" s="50" t="b">
        <f t="shared" ref="D97:H97" si="192">VLOOKUP($A97, INDIRECT(D$1&amp;"!A:C"), 3, FALSE)</f>
        <v>0</v>
      </c>
      <c r="E97" s="50" t="str">
        <f t="shared" si="192"/>
        <v>TO DO</v>
      </c>
      <c r="F97" s="50" t="str">
        <f t="shared" si="192"/>
        <v>TO DO</v>
      </c>
      <c r="G97" s="50" t="b">
        <f t="shared" si="192"/>
        <v>0</v>
      </c>
      <c r="H97" s="50" t="b">
        <f t="shared" si="192"/>
        <v>0</v>
      </c>
      <c r="I97" s="51">
        <f t="shared" si="4"/>
        <v>1</v>
      </c>
      <c r="J97" s="52" t="str">
        <f t="shared" ref="J97:N97" si="193">VLOOKUP($A97, INDIRECT(J$1&amp;"!A:D"), 4, FALSE)</f>
        <v/>
      </c>
      <c r="K97" s="52" t="str">
        <f t="shared" si="193"/>
        <v/>
      </c>
      <c r="L97" s="52" t="str">
        <f t="shared" si="193"/>
        <v/>
      </c>
      <c r="M97" s="52" t="str">
        <f t="shared" si="193"/>
        <v/>
      </c>
      <c r="N97" s="52" t="str">
        <f t="shared" si="193"/>
        <v/>
      </c>
      <c r="O97" s="51" t="str">
        <f>IFERROR(__xludf.DUMMYFUNCTION("IF(COUNTA(J97:N97)=0, """", ARRAYFORMULA(""- ""&amp;TEXTJOIN(char(10)&amp;""- "", TRUE, FILTER(J$1:N$1&amp;"": ""&amp;J97:N97, NOT(ISBLANK(J97:N97))))))"),"")</f>
        <v/>
      </c>
      <c r="P97" s="51" t="s">
        <v>400</v>
      </c>
      <c r="Q97" s="53" t="s">
        <v>402</v>
      </c>
    </row>
    <row r="98">
      <c r="A98" s="12" t="str">
        <f>IFERROR(__xludf.DUMMYFUNCTION("""COMPUTED_VALUE"""),"541d04aef96581fb24db13382528fe6a")</f>
        <v>541d04aef96581fb24db13382528fe6a</v>
      </c>
      <c r="B98" s="12" t="str">
        <f>IFERROR(__xludf.DUMMYFUNCTION("""COMPUTED_VALUE"""),"For initiatives where web and literature searches yielded insufficient results, organizations and experts responsible for the initiative were asked for supplementary information. As mentioned in the introduction to this report, the focus is on developing "&amp;"country regions, notably Sub-Saharan Africa (SSA). Throughout the report, three other regions, South Asia (SA), South East Asia (SEA) and Latin America (LA), are also analysed.")</f>
        <v>For initiatives where web and literature searches yielded insufficient results, organizations and experts responsible for the initiative were asked for supplementary information. As mentioned in the introduction to this report, the focus is on developing country regions, notably Sub-Saharan Africa (SSA). Throughout the report, three other regions, South Asia (SA), South East Asia (SEA) and Latin America (LA), are also analysed.</v>
      </c>
      <c r="C98" s="55"/>
      <c r="D98" s="50" t="b">
        <f t="shared" ref="D98:H98" si="194">VLOOKUP($A98, INDIRECT(D$1&amp;"!A:C"), 3, FALSE)</f>
        <v>0</v>
      </c>
      <c r="E98" s="50" t="b">
        <f t="shared" si="194"/>
        <v>0</v>
      </c>
      <c r="F98" s="50" t="str">
        <f t="shared" si="194"/>
        <v>TO DO</v>
      </c>
      <c r="G98" s="50" t="b">
        <f t="shared" si="194"/>
        <v>0</v>
      </c>
      <c r="H98" s="50" t="b">
        <f t="shared" si="194"/>
        <v>0</v>
      </c>
      <c r="I98" s="51">
        <f t="shared" si="4"/>
        <v>1</v>
      </c>
      <c r="J98" s="52" t="str">
        <f t="shared" ref="J98:N98" si="195">VLOOKUP($A98, INDIRECT(J$1&amp;"!A:D"), 4, FALSE)</f>
        <v/>
      </c>
      <c r="K98" s="52" t="str">
        <f t="shared" si="195"/>
        <v/>
      </c>
      <c r="L98" s="52" t="str">
        <f t="shared" si="195"/>
        <v/>
      </c>
      <c r="M98" s="52" t="str">
        <f t="shared" si="195"/>
        <v/>
      </c>
      <c r="N98" s="52" t="str">
        <f t="shared" si="195"/>
        <v/>
      </c>
      <c r="O98" s="51" t="str">
        <f>IFERROR(__xludf.DUMMYFUNCTION("IF(COUNTA(J98:N98)=0, """", ARRAYFORMULA(""- ""&amp;TEXTJOIN(char(10)&amp;""- "", TRUE, FILTER(J$1:N$1&amp;"": ""&amp;J98:N98, NOT(ISBLANK(J98:N98))))))"),"")</f>
        <v/>
      </c>
      <c r="P98" s="51" t="s">
        <v>400</v>
      </c>
      <c r="Q98" s="53" t="s">
        <v>402</v>
      </c>
    </row>
    <row r="99">
      <c r="A99" s="12" t="str">
        <f>IFERROR(__xludf.DUMMYFUNCTION("""COMPUTED_VALUE"""),"89c55241e87651dbd5bf53b85a1372df")</f>
        <v>89c55241e87651dbd5bf53b85a1372df</v>
      </c>
      <c r="B99" s="12" t="str">
        <f>IFERROR(__xludf.DUMMYFUNCTION("""COMPUTED_VALUE"""),"According to recent data, costs from major flood events will likely be counted in the billions of dollars with potential serious impacts on national GDP (World Bank, 2010), as well as on the lives of poorer and marginalized communities, in particular. The"&amp;" international community, multilateral development banks and United Nations funds and programmes are working to support delivery of and direct access to existing and pledged international climate finance. However, international flows alone will not be suf"&amp;"ficient to meet the growing demand for climate mitigation and adaptation finance. In the absence of an internationally acknowledged definition of climate finance, in this paper, the United Nations Framework Convention on Climate Change (UNFCCC) definition"&amp;" is used, which is “local, national or transnational financing, which may be drawn from public, private and alternative sources of financing” (UNFCCC, 2014a) and which target low-carbon and climate-resilient development.")</f>
        <v>According to recent data, costs from major flood events will likely be counted in the billions of dollars with potential serious impacts on national GDP (World Bank, 2010), as well as on the lives of poorer and marginalized communities, in particular. The international community, multilateral development banks and United Nations funds and programmes are working to support delivery of and direct access to existing and pledged international climate finance. However, international flows alone will not be sufficient to meet the growing demand for climate mitigation and adaptation finance. In the absence of an internationally acknowledged definition of climate finance, in this paper, the United Nations Framework Convention on Climate Change (UNFCCC) definition is used, which is “local, national or transnational financing, which may be drawn from public, private and alternative sources of financing” (UNFCCC, 2014a) and which target low-carbon and climate-resilient development.</v>
      </c>
      <c r="C99" s="54"/>
      <c r="D99" s="50" t="b">
        <f t="shared" ref="D99:H99" si="196">VLOOKUP($A99, INDIRECT(D$1&amp;"!A:C"), 3, FALSE)</f>
        <v>1</v>
      </c>
      <c r="E99" s="50" t="b">
        <f t="shared" si="196"/>
        <v>1</v>
      </c>
      <c r="F99" s="50" t="str">
        <f t="shared" si="196"/>
        <v>TO DO</v>
      </c>
      <c r="G99" s="50" t="b">
        <f t="shared" si="196"/>
        <v>1</v>
      </c>
      <c r="H99" s="50" t="b">
        <f t="shared" si="196"/>
        <v>1</v>
      </c>
      <c r="I99" s="51">
        <f t="shared" si="4"/>
        <v>1</v>
      </c>
      <c r="J99" s="52" t="str">
        <f t="shared" ref="J99:N99" si="197">VLOOKUP($A99, INDIRECT(J$1&amp;"!A:D"), 4, FALSE)</f>
        <v/>
      </c>
      <c r="K99" s="52" t="str">
        <f t="shared" si="197"/>
        <v/>
      </c>
      <c r="L99" s="52" t="str">
        <f t="shared" si="197"/>
        <v/>
      </c>
      <c r="M99" s="52" t="str">
        <f t="shared" si="197"/>
        <v/>
      </c>
      <c r="N99" s="52" t="str">
        <f t="shared" si="197"/>
        <v/>
      </c>
      <c r="O99" s="51" t="str">
        <f>IFERROR(__xludf.DUMMYFUNCTION("IF(COUNTA(J99:N99)=0, """", ARRAYFORMULA(""- ""&amp;TEXTJOIN(char(10)&amp;""- "", TRUE, FILTER(J$1:N$1&amp;"": ""&amp;J99:N99, NOT(ISBLANK(J99:N99))))))"),"")</f>
        <v/>
      </c>
      <c r="P99" s="51" t="s">
        <v>400</v>
      </c>
      <c r="Q99" s="53" t="s">
        <v>403</v>
      </c>
    </row>
    <row r="100">
      <c r="A100" s="12" t="str">
        <f>IFERROR(__xludf.DUMMYFUNCTION("""COMPUTED_VALUE"""),"126c6093216824ea1375d5371df461f5")</f>
        <v>126c6093216824ea1375d5371df461f5</v>
      </c>
      <c r="B100" s="12" t="str">
        <f>IFERROR(__xludf.DUMMYFUNCTION("""COMPUTED_VALUE"""),"Nevertheless, it should also be noted that biennial reporting on adaptation under Article 13 and adaptation communications under Article 7 are not mandatory. However, the decision also indicates that modalities will be developed in order to “recognise the"&amp;" adaptation efforts of developing country Parties”, which is also one of four adaptation-related aims of the global stocktake listed in Article 7.14. This implies that communicated information on adaptation could inform the global stocktake. In order to a"&amp;"ssess collective progress towards global goals, some degree of consistency and comparability would be helpful in adaptation communications, taking into account the need to limit the reporting burden of Parties and ensuring that information is country-driv"&amp;"en.")</f>
        <v>Nevertheless, it should also be noted that biennial reporting on adaptation under Article 13 and adaptation communications under Article 7 are not mandatory. However, the decision also indicates that modalities will be developed in order to “recognise the adaptation efforts of developing country Parties”, which is also one of four adaptation-related aims of the global stocktake listed in Article 7.14. This implies that communicated information on adaptation could inform the global stocktake. In order to assess collective progress towards global goals, some degree of consistency and comparability would be helpful in adaptation communications, taking into account the need to limit the reporting burden of Parties and ensuring that information is country-driven.</v>
      </c>
      <c r="C100" s="7" t="s">
        <v>409</v>
      </c>
      <c r="D100" s="50" t="str">
        <f t="shared" ref="D100:H100" si="198">VLOOKUP($A100, INDIRECT(D$1&amp;"!A:C"), 3, FALSE)</f>
        <v>SKIP</v>
      </c>
      <c r="E100" s="50" t="str">
        <f t="shared" si="198"/>
        <v>TO DO</v>
      </c>
      <c r="F100" s="50" t="str">
        <f t="shared" si="198"/>
        <v>TO DO</v>
      </c>
      <c r="G100" s="50" t="b">
        <f t="shared" si="198"/>
        <v>1</v>
      </c>
      <c r="H100" s="50" t="b">
        <f t="shared" si="198"/>
        <v>0</v>
      </c>
      <c r="I100" s="51">
        <f t="shared" si="4"/>
        <v>0</v>
      </c>
      <c r="J100" s="52" t="str">
        <f t="shared" ref="J100:N100" si="199">VLOOKUP($A100, INDIRECT(J$1&amp;"!A:D"), 4, FALSE)</f>
        <v>unclear if about climate or not</v>
      </c>
      <c r="K100" s="52" t="str">
        <f t="shared" si="199"/>
        <v/>
      </c>
      <c r="L100" s="52" t="str">
        <f t="shared" si="199"/>
        <v/>
      </c>
      <c r="M100" s="52" t="str">
        <f t="shared" si="199"/>
        <v/>
      </c>
      <c r="N100" s="52" t="str">
        <f t="shared" si="199"/>
        <v>adaptation to what??</v>
      </c>
      <c r="O100" s="51" t="str">
        <f>IFERROR(__xludf.DUMMYFUNCTION("IF(COUNTA(J100:N100)=0, """", ARRAYFORMULA(""- ""&amp;TEXTJOIN(char(10)&amp;""- "", TRUE, FILTER(J$1:N$1&amp;"": ""&amp;J100:N100, NOT(ISBLANK(J100:N100))))))"),"- Finn: unclear if about climate or not
- Steve: adaptation to what??")</f>
        <v>- Finn: unclear if about climate or not
- Steve: adaptation to what??</v>
      </c>
      <c r="P100" s="51" t="s">
        <v>447</v>
      </c>
      <c r="Q100" s="53" t="s">
        <v>401</v>
      </c>
    </row>
    <row r="101">
      <c r="A101" s="12" t="str">
        <f>IFERROR(__xludf.DUMMYFUNCTION("""COMPUTED_VALUE"""),"26443f27488420a4af1a208fd73f5bbd")</f>
        <v>26443f27488420a4af1a208fd73f5bbd</v>
      </c>
      <c r="B101" s="12" t="str">
        <f>IFERROR(__xludf.DUMMYFUNCTION("""COMPUTED_VALUE"""),"In 2015, the geographic scope was expanded to include small island developing States in the Pacific. It contributes to the narrowing of capacity gaps through regional and South-South cooperation, sharing of resources and the development of an integrated r"&amp;"egional warning system comprising a network of collaborative centres. Civil society innovations and business sector initiatives.")</f>
        <v>In 2015, the geographic scope was expanded to include small island developing States in the Pacific. It contributes to the narrowing of capacity gaps through regional and South-South cooperation, sharing of resources and the development of an integrated regional warning system comprising a network of collaborative centres. Civil society innovations and business sector initiatives.</v>
      </c>
      <c r="C101" s="55"/>
      <c r="D101" s="50" t="b">
        <f t="shared" ref="D101:H101" si="200">VLOOKUP($A101, INDIRECT(D$1&amp;"!A:C"), 3, FALSE)</f>
        <v>0</v>
      </c>
      <c r="E101" s="50" t="str">
        <f t="shared" si="200"/>
        <v>TO DO</v>
      </c>
      <c r="F101" s="50" t="str">
        <f t="shared" si="200"/>
        <v>TO DO</v>
      </c>
      <c r="G101" s="50" t="b">
        <f t="shared" si="200"/>
        <v>1</v>
      </c>
      <c r="H101" s="50" t="b">
        <f t="shared" si="200"/>
        <v>0</v>
      </c>
      <c r="I101" s="51">
        <f t="shared" si="4"/>
        <v>0.3333333333</v>
      </c>
      <c r="J101" s="52" t="str">
        <f t="shared" ref="J101:N101" si="201">VLOOKUP($A101, INDIRECT(J$1&amp;"!A:D"), 4, FALSE)</f>
        <v/>
      </c>
      <c r="K101" s="52" t="str">
        <f t="shared" si="201"/>
        <v/>
      </c>
      <c r="L101" s="52" t="str">
        <f t="shared" si="201"/>
        <v/>
      </c>
      <c r="M101" s="52" t="str">
        <f t="shared" si="201"/>
        <v/>
      </c>
      <c r="N101" s="52" t="str">
        <f t="shared" si="201"/>
        <v/>
      </c>
      <c r="O101" s="51" t="str">
        <f>IFERROR(__xludf.DUMMYFUNCTION("IF(COUNTA(J101:N101)=0, """", ARRAYFORMULA(""- ""&amp;TEXTJOIN(char(10)&amp;""- "", TRUE, FILTER(J$1:N$1&amp;"": ""&amp;J101:N101, NOT(ISBLANK(J101:N101))))))"),"")</f>
        <v/>
      </c>
      <c r="P101" s="51" t="s">
        <v>400</v>
      </c>
      <c r="Q101" s="53" t="s">
        <v>401</v>
      </c>
    </row>
  </sheetData>
  <autoFilter ref="$A$1:$S$101"/>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23" t="s">
        <v>448</v>
      </c>
      <c r="B1" s="57" t="s">
        <v>328</v>
      </c>
      <c r="C1" s="58" t="s">
        <v>329</v>
      </c>
      <c r="D1" s="58" t="s">
        <v>334</v>
      </c>
      <c r="E1" s="59" t="s">
        <v>449</v>
      </c>
      <c r="F1" s="58" t="s">
        <v>326</v>
      </c>
      <c r="G1" s="58" t="s">
        <v>450</v>
      </c>
    </row>
    <row r="2">
      <c r="A2" s="24" t="str">
        <f t="shared" ref="A2:A100" si="1">IF(NOT(ISBLANK(B2)), LEFT(MD5(B2), 7), "")</f>
        <v>#NAME?</v>
      </c>
      <c r="B2" s="60" t="s">
        <v>201</v>
      </c>
      <c r="C2" s="57">
        <v>13.0</v>
      </c>
      <c r="D2" s="60" t="s">
        <v>402</v>
      </c>
      <c r="E2" s="61" t="s">
        <v>200</v>
      </c>
      <c r="F2" s="24" t="s">
        <v>340</v>
      </c>
    </row>
    <row r="3">
      <c r="A3" s="24" t="str">
        <f t="shared" si="1"/>
        <v>#NAME?</v>
      </c>
      <c r="B3" s="12" t="s">
        <v>101</v>
      </c>
      <c r="C3" s="57">
        <v>13.0</v>
      </c>
      <c r="D3" s="24" t="s">
        <v>402</v>
      </c>
      <c r="E3" s="12" t="s">
        <v>100</v>
      </c>
      <c r="F3" s="24" t="s">
        <v>341</v>
      </c>
    </row>
    <row r="4">
      <c r="A4" s="24" t="str">
        <f t="shared" si="1"/>
        <v>#NAME?</v>
      </c>
      <c r="B4" s="62" t="s">
        <v>451</v>
      </c>
      <c r="C4" s="57">
        <v>13.0</v>
      </c>
      <c r="D4" s="24" t="s">
        <v>403</v>
      </c>
      <c r="E4" s="12" t="s">
        <v>214</v>
      </c>
      <c r="F4" s="24" t="s">
        <v>342</v>
      </c>
      <c r="G4" s="5" t="s">
        <v>452</v>
      </c>
    </row>
    <row r="5">
      <c r="A5" s="24" t="str">
        <f t="shared" si="1"/>
        <v>#NAME?</v>
      </c>
      <c r="B5" s="12" t="s">
        <v>140</v>
      </c>
      <c r="C5" s="57">
        <v>13.0</v>
      </c>
      <c r="D5" s="24" t="s">
        <v>402</v>
      </c>
      <c r="E5" s="12" t="s">
        <v>139</v>
      </c>
      <c r="F5" s="24" t="s">
        <v>343</v>
      </c>
      <c r="G5" s="24" t="s">
        <v>405</v>
      </c>
    </row>
    <row r="6">
      <c r="A6" s="24" t="str">
        <f t="shared" si="1"/>
        <v>#NAME?</v>
      </c>
      <c r="B6" s="12" t="s">
        <v>163</v>
      </c>
      <c r="C6" s="57">
        <v>13.0</v>
      </c>
      <c r="D6" s="24" t="s">
        <v>402</v>
      </c>
      <c r="E6" s="12" t="s">
        <v>162</v>
      </c>
      <c r="F6" s="24" t="s">
        <v>343</v>
      </c>
    </row>
    <row r="7">
      <c r="A7" s="24" t="str">
        <f t="shared" si="1"/>
        <v>#NAME?</v>
      </c>
      <c r="B7" s="12" t="s">
        <v>275</v>
      </c>
      <c r="C7" s="57">
        <v>13.0</v>
      </c>
      <c r="D7" s="24" t="s">
        <v>402</v>
      </c>
      <c r="E7" s="12" t="s">
        <v>274</v>
      </c>
      <c r="F7" s="24" t="s">
        <v>340</v>
      </c>
    </row>
    <row r="8">
      <c r="A8" s="24" t="str">
        <f t="shared" si="1"/>
        <v>#NAME?</v>
      </c>
      <c r="B8" s="12" t="s">
        <v>178</v>
      </c>
      <c r="C8" s="57">
        <v>13.0</v>
      </c>
      <c r="D8" s="24" t="s">
        <v>403</v>
      </c>
      <c r="E8" s="12" t="s">
        <v>177</v>
      </c>
      <c r="F8" s="24" t="s">
        <v>344</v>
      </c>
    </row>
    <row r="9">
      <c r="A9" s="24" t="str">
        <f t="shared" si="1"/>
        <v>#NAME?</v>
      </c>
      <c r="B9" s="42" t="s">
        <v>149</v>
      </c>
      <c r="C9" s="57">
        <v>13.0</v>
      </c>
      <c r="D9" s="24" t="s">
        <v>403</v>
      </c>
      <c r="E9" s="12" t="s">
        <v>148</v>
      </c>
      <c r="F9" s="24" t="s">
        <v>340</v>
      </c>
    </row>
    <row r="10">
      <c r="A10" s="24" t="str">
        <f t="shared" si="1"/>
        <v>#NAME?</v>
      </c>
      <c r="B10" s="12" t="s">
        <v>245</v>
      </c>
      <c r="C10" s="57">
        <v>13.0</v>
      </c>
      <c r="D10" s="24" t="s">
        <v>402</v>
      </c>
      <c r="E10" s="12" t="s">
        <v>244</v>
      </c>
      <c r="F10" s="24" t="s">
        <v>344</v>
      </c>
    </row>
    <row r="11">
      <c r="A11" s="24" t="str">
        <f t="shared" si="1"/>
        <v>#NAME?</v>
      </c>
      <c r="B11" s="12" t="s">
        <v>112</v>
      </c>
      <c r="C11" s="57">
        <v>13.0</v>
      </c>
      <c r="D11" s="24" t="s">
        <v>403</v>
      </c>
      <c r="E11" s="12" t="s">
        <v>111</v>
      </c>
      <c r="F11" s="24" t="s">
        <v>348</v>
      </c>
    </row>
    <row r="12">
      <c r="A12" s="24" t="str">
        <f t="shared" si="1"/>
        <v>#NAME?</v>
      </c>
      <c r="B12" s="12" t="s">
        <v>224</v>
      </c>
      <c r="C12" s="57">
        <v>13.0</v>
      </c>
      <c r="D12" s="24" t="s">
        <v>403</v>
      </c>
      <c r="E12" s="12" t="s">
        <v>223</v>
      </c>
      <c r="F12" s="24" t="s">
        <v>337</v>
      </c>
    </row>
    <row r="13">
      <c r="A13" s="24" t="str">
        <f t="shared" si="1"/>
        <v>#NAME?</v>
      </c>
      <c r="B13" s="12" t="s">
        <v>188</v>
      </c>
      <c r="C13" s="57">
        <v>13.0</v>
      </c>
      <c r="D13" s="24" t="s">
        <v>402</v>
      </c>
      <c r="E13" s="12" t="s">
        <v>187</v>
      </c>
      <c r="F13" s="24" t="s">
        <v>344</v>
      </c>
    </row>
    <row r="14">
      <c r="A14" s="24" t="str">
        <f t="shared" si="1"/>
        <v>#NAME?</v>
      </c>
      <c r="B14" s="12" t="s">
        <v>121</v>
      </c>
      <c r="C14" s="57">
        <v>13.0</v>
      </c>
      <c r="D14" s="24" t="s">
        <v>402</v>
      </c>
      <c r="E14" s="12" t="s">
        <v>120</v>
      </c>
      <c r="F14" s="24" t="s">
        <v>349</v>
      </c>
    </row>
    <row r="15">
      <c r="A15" s="24" t="str">
        <f t="shared" si="1"/>
        <v>#NAME?</v>
      </c>
      <c r="B15" s="12" t="s">
        <v>161</v>
      </c>
      <c r="C15" s="57">
        <v>13.0</v>
      </c>
      <c r="D15" s="24" t="s">
        <v>402</v>
      </c>
      <c r="E15" s="12" t="s">
        <v>160</v>
      </c>
      <c r="F15" s="24" t="s">
        <v>351</v>
      </c>
    </row>
    <row r="16">
      <c r="A16" s="24" t="str">
        <f t="shared" si="1"/>
        <v>#NAME?</v>
      </c>
      <c r="B16" s="62" t="s">
        <v>453</v>
      </c>
      <c r="C16" s="57">
        <v>13.0</v>
      </c>
      <c r="D16" s="24" t="s">
        <v>402</v>
      </c>
      <c r="E16" s="12" t="s">
        <v>154</v>
      </c>
      <c r="F16" s="24" t="s">
        <v>352</v>
      </c>
      <c r="G16" s="5" t="s">
        <v>454</v>
      </c>
    </row>
    <row r="17">
      <c r="A17" s="24" t="str">
        <f t="shared" si="1"/>
        <v>#NAME?</v>
      </c>
      <c r="B17" s="62" t="s">
        <v>455</v>
      </c>
      <c r="C17" s="57">
        <v>13.0</v>
      </c>
      <c r="D17" s="24" t="s">
        <v>402</v>
      </c>
      <c r="E17" s="12" t="s">
        <v>171</v>
      </c>
      <c r="F17" s="24" t="s">
        <v>353</v>
      </c>
      <c r="G17" s="5" t="s">
        <v>456</v>
      </c>
    </row>
    <row r="18">
      <c r="A18" s="24" t="str">
        <f t="shared" si="1"/>
        <v>#NAME?</v>
      </c>
      <c r="B18" s="12" t="s">
        <v>283</v>
      </c>
      <c r="C18" s="57">
        <v>13.0</v>
      </c>
      <c r="D18" s="24" t="s">
        <v>402</v>
      </c>
      <c r="E18" s="12" t="s">
        <v>282</v>
      </c>
      <c r="F18" s="24" t="s">
        <v>355</v>
      </c>
    </row>
    <row r="19">
      <c r="A19" s="24" t="str">
        <f t="shared" si="1"/>
        <v>#NAME?</v>
      </c>
      <c r="B19" s="42" t="s">
        <v>192</v>
      </c>
      <c r="C19" s="57">
        <v>13.0</v>
      </c>
      <c r="D19" s="24" t="s">
        <v>402</v>
      </c>
      <c r="E19" s="12" t="s">
        <v>191</v>
      </c>
      <c r="F19" s="24" t="s">
        <v>357</v>
      </c>
    </row>
    <row r="20">
      <c r="A20" s="24" t="str">
        <f t="shared" si="1"/>
        <v>#NAME?</v>
      </c>
      <c r="B20" s="12" t="s">
        <v>123</v>
      </c>
      <c r="C20" s="57">
        <v>13.0</v>
      </c>
      <c r="D20" s="24" t="s">
        <v>402</v>
      </c>
      <c r="E20" s="12" t="s">
        <v>122</v>
      </c>
      <c r="F20" s="24" t="s">
        <v>343</v>
      </c>
    </row>
    <row r="21">
      <c r="A21" s="24" t="str">
        <f t="shared" si="1"/>
        <v>#NAME?</v>
      </c>
      <c r="B21" s="12" t="s">
        <v>90</v>
      </c>
      <c r="C21" s="57">
        <v>13.0</v>
      </c>
      <c r="D21" s="24" t="s">
        <v>403</v>
      </c>
      <c r="E21" s="12" t="s">
        <v>89</v>
      </c>
      <c r="F21" s="24" t="s">
        <v>343</v>
      </c>
    </row>
    <row r="22">
      <c r="A22" s="24" t="str">
        <f t="shared" si="1"/>
        <v>#NAME?</v>
      </c>
      <c r="B22" s="42" t="s">
        <v>263</v>
      </c>
      <c r="C22" s="57">
        <v>13.0</v>
      </c>
      <c r="D22" s="24" t="s">
        <v>402</v>
      </c>
      <c r="E22" s="12" t="s">
        <v>262</v>
      </c>
      <c r="F22" s="24" t="s">
        <v>360</v>
      </c>
    </row>
    <row r="23">
      <c r="A23" s="24" t="str">
        <f t="shared" si="1"/>
        <v>#NAME?</v>
      </c>
      <c r="B23" s="12" t="s">
        <v>247</v>
      </c>
      <c r="C23" s="57">
        <v>13.0</v>
      </c>
      <c r="D23" s="24" t="s">
        <v>403</v>
      </c>
      <c r="E23" s="12" t="s">
        <v>246</v>
      </c>
      <c r="F23" s="24" t="s">
        <v>363</v>
      </c>
    </row>
    <row r="24">
      <c r="A24" s="24" t="str">
        <f t="shared" si="1"/>
        <v>#NAME?</v>
      </c>
      <c r="B24" s="12" t="s">
        <v>83</v>
      </c>
      <c r="C24" s="57">
        <v>13.0</v>
      </c>
      <c r="D24" s="24" t="s">
        <v>403</v>
      </c>
      <c r="E24" s="12" t="s">
        <v>82</v>
      </c>
      <c r="F24" s="24" t="s">
        <v>352</v>
      </c>
    </row>
    <row r="25">
      <c r="A25" s="24" t="str">
        <f t="shared" si="1"/>
        <v>#NAME?</v>
      </c>
      <c r="B25" s="12" t="s">
        <v>206</v>
      </c>
      <c r="C25" s="57">
        <v>13.0</v>
      </c>
      <c r="D25" s="24" t="s">
        <v>402</v>
      </c>
      <c r="E25" s="12" t="s">
        <v>205</v>
      </c>
      <c r="F25" s="24" t="s">
        <v>349</v>
      </c>
    </row>
    <row r="26">
      <c r="A26" s="24" t="str">
        <f t="shared" si="1"/>
        <v>#NAME?</v>
      </c>
      <c r="B26" s="12" t="s">
        <v>208</v>
      </c>
      <c r="C26" s="57">
        <v>13.0</v>
      </c>
      <c r="D26" s="24" t="s">
        <v>403</v>
      </c>
      <c r="E26" s="12" t="s">
        <v>207</v>
      </c>
      <c r="F26" s="24" t="s">
        <v>368</v>
      </c>
    </row>
    <row r="27">
      <c r="A27" s="24" t="str">
        <f t="shared" si="1"/>
        <v>#NAME?</v>
      </c>
      <c r="B27" s="12" t="s">
        <v>114</v>
      </c>
      <c r="C27" s="57">
        <v>13.0</v>
      </c>
      <c r="D27" s="24" t="s">
        <v>402</v>
      </c>
      <c r="E27" s="12" t="s">
        <v>113</v>
      </c>
      <c r="F27" s="24" t="s">
        <v>357</v>
      </c>
      <c r="G27" s="24" t="s">
        <v>422</v>
      </c>
    </row>
    <row r="28">
      <c r="A28" s="24" t="str">
        <f t="shared" si="1"/>
        <v>#NAME?</v>
      </c>
      <c r="B28" s="12" t="s">
        <v>165</v>
      </c>
      <c r="C28" s="57">
        <v>13.0</v>
      </c>
      <c r="D28" s="24" t="s">
        <v>402</v>
      </c>
      <c r="E28" s="12" t="s">
        <v>164</v>
      </c>
      <c r="F28" s="24" t="s">
        <v>357</v>
      </c>
    </row>
    <row r="29">
      <c r="A29" s="24" t="str">
        <f t="shared" si="1"/>
        <v>#NAME?</v>
      </c>
      <c r="B29" s="12" t="s">
        <v>92</v>
      </c>
      <c r="C29" s="57">
        <v>13.0</v>
      </c>
      <c r="D29" s="24" t="s">
        <v>403</v>
      </c>
      <c r="E29" s="12" t="s">
        <v>91</v>
      </c>
      <c r="F29" s="24" t="s">
        <v>371</v>
      </c>
      <c r="G29" s="24" t="s">
        <v>426</v>
      </c>
    </row>
    <row r="30">
      <c r="A30" s="24" t="str">
        <f t="shared" si="1"/>
        <v>#NAME?</v>
      </c>
      <c r="B30" s="42" t="s">
        <v>271</v>
      </c>
      <c r="C30" s="57">
        <v>13.0</v>
      </c>
      <c r="D30" s="24" t="s">
        <v>403</v>
      </c>
      <c r="E30" s="12" t="s">
        <v>270</v>
      </c>
      <c r="F30" s="24" t="s">
        <v>372</v>
      </c>
    </row>
    <row r="31">
      <c r="A31" s="24" t="str">
        <f t="shared" si="1"/>
        <v>#NAME?</v>
      </c>
      <c r="B31" s="12" t="s">
        <v>85</v>
      </c>
      <c r="C31" s="57">
        <v>13.0</v>
      </c>
      <c r="D31" s="24" t="s">
        <v>403</v>
      </c>
      <c r="E31" s="12" t="s">
        <v>84</v>
      </c>
      <c r="F31" s="24" t="s">
        <v>374</v>
      </c>
      <c r="G31" s="24" t="s">
        <v>431</v>
      </c>
    </row>
    <row r="32">
      <c r="A32" s="24" t="str">
        <f t="shared" si="1"/>
        <v>#NAME?</v>
      </c>
      <c r="B32" s="42" t="s">
        <v>186</v>
      </c>
      <c r="C32" s="57">
        <v>13.0</v>
      </c>
      <c r="D32" s="24" t="s">
        <v>402</v>
      </c>
      <c r="E32" s="12" t="s">
        <v>185</v>
      </c>
      <c r="F32" s="24" t="s">
        <v>376</v>
      </c>
    </row>
    <row r="33">
      <c r="A33" s="24" t="str">
        <f t="shared" si="1"/>
        <v>#NAME?</v>
      </c>
      <c r="B33" s="12" t="s">
        <v>255</v>
      </c>
      <c r="C33" s="57">
        <v>13.0</v>
      </c>
      <c r="D33" s="24" t="s">
        <v>403</v>
      </c>
      <c r="E33" s="12" t="s">
        <v>254</v>
      </c>
      <c r="F33" s="24" t="s">
        <v>377</v>
      </c>
    </row>
    <row r="34">
      <c r="A34" s="24" t="str">
        <f t="shared" si="1"/>
        <v>#NAME?</v>
      </c>
      <c r="B34" s="12" t="s">
        <v>292</v>
      </c>
      <c r="C34" s="57">
        <v>13.0</v>
      </c>
      <c r="D34" s="24" t="s">
        <v>402</v>
      </c>
      <c r="E34" s="12" t="s">
        <v>291</v>
      </c>
      <c r="F34" s="24" t="s">
        <v>357</v>
      </c>
    </row>
    <row r="35">
      <c r="A35" s="24" t="str">
        <f t="shared" si="1"/>
        <v>#NAME?</v>
      </c>
      <c r="B35" s="12" t="s">
        <v>227</v>
      </c>
      <c r="C35" s="57">
        <v>13.0</v>
      </c>
      <c r="D35" s="24" t="s">
        <v>403</v>
      </c>
      <c r="E35" s="12" t="s">
        <v>226</v>
      </c>
      <c r="F35" s="24" t="s">
        <v>376</v>
      </c>
    </row>
    <row r="36">
      <c r="A36" s="24" t="str">
        <f t="shared" si="1"/>
        <v>#NAME?</v>
      </c>
      <c r="B36" s="42" t="s">
        <v>249</v>
      </c>
      <c r="C36" s="57">
        <v>13.0</v>
      </c>
      <c r="D36" s="24" t="s">
        <v>403</v>
      </c>
      <c r="E36" s="12" t="s">
        <v>248</v>
      </c>
      <c r="F36" s="24" t="s">
        <v>352</v>
      </c>
    </row>
    <row r="37">
      <c r="A37" s="24" t="str">
        <f t="shared" si="1"/>
        <v>#NAME?</v>
      </c>
      <c r="B37" s="12" t="s">
        <v>145</v>
      </c>
      <c r="C37" s="57">
        <v>13.0</v>
      </c>
      <c r="D37" s="24" t="s">
        <v>403</v>
      </c>
      <c r="E37" s="12" t="s">
        <v>144</v>
      </c>
      <c r="F37" s="24" t="s">
        <v>371</v>
      </c>
    </row>
    <row r="38">
      <c r="A38" s="24" t="str">
        <f t="shared" si="1"/>
        <v>#NAME?</v>
      </c>
      <c r="B38" s="12" t="s">
        <v>277</v>
      </c>
      <c r="C38" s="57">
        <v>13.0</v>
      </c>
      <c r="D38" s="24" t="s">
        <v>402</v>
      </c>
      <c r="E38" s="12" t="s">
        <v>276</v>
      </c>
      <c r="F38" s="24" t="s">
        <v>379</v>
      </c>
    </row>
    <row r="39">
      <c r="A39" s="24" t="str">
        <f t="shared" si="1"/>
        <v>#NAME?</v>
      </c>
      <c r="B39" s="12" t="s">
        <v>243</v>
      </c>
      <c r="C39" s="57">
        <v>13.0</v>
      </c>
      <c r="D39" s="24" t="s">
        <v>403</v>
      </c>
      <c r="E39" s="12" t="s">
        <v>242</v>
      </c>
      <c r="F39" s="24" t="s">
        <v>380</v>
      </c>
    </row>
    <row r="40">
      <c r="A40" s="24" t="str">
        <f t="shared" si="1"/>
        <v>#NAME?</v>
      </c>
      <c r="B40" s="12" t="s">
        <v>128</v>
      </c>
      <c r="C40" s="57">
        <v>13.0</v>
      </c>
      <c r="D40" s="24" t="s">
        <v>403</v>
      </c>
      <c r="E40" s="12" t="s">
        <v>127</v>
      </c>
      <c r="F40" s="24" t="s">
        <v>340</v>
      </c>
    </row>
    <row r="41">
      <c r="A41" s="24" t="str">
        <f t="shared" si="1"/>
        <v>#NAME?</v>
      </c>
      <c r="B41" s="12" t="s">
        <v>174</v>
      </c>
      <c r="C41" s="57">
        <v>13.0</v>
      </c>
      <c r="D41" s="24" t="s">
        <v>403</v>
      </c>
      <c r="E41" s="12" t="s">
        <v>173</v>
      </c>
      <c r="F41" s="24" t="s">
        <v>381</v>
      </c>
      <c r="G41" s="24" t="s">
        <v>437</v>
      </c>
    </row>
    <row r="42">
      <c r="A42" s="24" t="str">
        <f t="shared" si="1"/>
        <v>#NAME?</v>
      </c>
      <c r="B42" s="12" t="s">
        <v>273</v>
      </c>
      <c r="C42" s="57">
        <v>13.0</v>
      </c>
      <c r="D42" s="24" t="s">
        <v>403</v>
      </c>
      <c r="E42" s="12" t="s">
        <v>272</v>
      </c>
      <c r="F42" s="24" t="s">
        <v>375</v>
      </c>
    </row>
    <row r="43">
      <c r="A43" s="24" t="str">
        <f t="shared" si="1"/>
        <v>#NAME?</v>
      </c>
      <c r="B43" s="42" t="s">
        <v>285</v>
      </c>
      <c r="C43" s="57">
        <v>13.0</v>
      </c>
      <c r="D43" s="24" t="s">
        <v>403</v>
      </c>
      <c r="E43" s="12" t="s">
        <v>284</v>
      </c>
      <c r="F43" s="24" t="s">
        <v>383</v>
      </c>
    </row>
    <row r="44">
      <c r="A44" s="24" t="str">
        <f t="shared" si="1"/>
        <v>#NAME?</v>
      </c>
      <c r="B44" s="12" t="s">
        <v>99</v>
      </c>
      <c r="C44" s="57">
        <v>13.0</v>
      </c>
      <c r="D44" s="24" t="s">
        <v>403</v>
      </c>
      <c r="E44" s="12" t="s">
        <v>98</v>
      </c>
      <c r="F44" s="24" t="s">
        <v>384</v>
      </c>
    </row>
    <row r="45">
      <c r="A45" s="24" t="str">
        <f t="shared" si="1"/>
        <v>#NAME?</v>
      </c>
      <c r="B45" s="12" t="s">
        <v>151</v>
      </c>
      <c r="C45" s="57">
        <v>13.0</v>
      </c>
      <c r="D45" s="24" t="s">
        <v>402</v>
      </c>
      <c r="E45" s="12" t="s">
        <v>150</v>
      </c>
      <c r="F45" s="24" t="s">
        <v>349</v>
      </c>
    </row>
    <row r="46">
      <c r="A46" s="24" t="str">
        <f t="shared" si="1"/>
        <v>#NAME?</v>
      </c>
      <c r="B46" s="12" t="s">
        <v>147</v>
      </c>
      <c r="C46" s="57">
        <v>13.0</v>
      </c>
      <c r="D46" s="24" t="s">
        <v>403</v>
      </c>
      <c r="E46" s="12" t="s">
        <v>146</v>
      </c>
      <c r="F46" s="24" t="s">
        <v>371</v>
      </c>
    </row>
    <row r="47">
      <c r="A47" s="24" t="str">
        <f t="shared" si="1"/>
        <v>#NAME?</v>
      </c>
      <c r="B47" s="12" t="s">
        <v>279</v>
      </c>
      <c r="C47" s="57">
        <v>13.0</v>
      </c>
      <c r="D47" s="24" t="s">
        <v>403</v>
      </c>
      <c r="E47" s="12" t="s">
        <v>278</v>
      </c>
      <c r="F47" s="24" t="s">
        <v>381</v>
      </c>
    </row>
    <row r="48">
      <c r="A48" s="24" t="str">
        <f t="shared" si="1"/>
        <v>#NAME?</v>
      </c>
      <c r="B48" s="12" t="s">
        <v>213</v>
      </c>
      <c r="C48" s="57">
        <v>13.0</v>
      </c>
      <c r="D48" s="24" t="s">
        <v>403</v>
      </c>
      <c r="E48" s="12" t="s">
        <v>212</v>
      </c>
      <c r="F48" s="24" t="s">
        <v>387</v>
      </c>
    </row>
    <row r="49">
      <c r="A49" s="24" t="str">
        <f t="shared" si="1"/>
        <v>#NAME?</v>
      </c>
      <c r="B49" s="42" t="s">
        <v>229</v>
      </c>
      <c r="C49" s="57">
        <v>13.0</v>
      </c>
      <c r="D49" s="24" t="s">
        <v>402</v>
      </c>
      <c r="E49" s="12" t="s">
        <v>228</v>
      </c>
      <c r="F49" s="24" t="s">
        <v>357</v>
      </c>
    </row>
    <row r="50">
      <c r="A50" s="24" t="str">
        <f t="shared" si="1"/>
        <v>#NAME?</v>
      </c>
      <c r="B50" s="12" t="s">
        <v>130</v>
      </c>
      <c r="C50" s="57">
        <v>13.0</v>
      </c>
      <c r="D50" s="24" t="s">
        <v>403</v>
      </c>
      <c r="E50" s="12" t="s">
        <v>129</v>
      </c>
      <c r="F50" s="24" t="s">
        <v>349</v>
      </c>
    </row>
    <row r="51">
      <c r="A51" s="24" t="str">
        <f t="shared" si="1"/>
        <v>#NAME?</v>
      </c>
      <c r="B51" s="12" t="s">
        <v>217</v>
      </c>
      <c r="C51" s="57">
        <v>13.0</v>
      </c>
      <c r="D51" s="24" t="s">
        <v>402</v>
      </c>
      <c r="E51" s="12" t="s">
        <v>216</v>
      </c>
      <c r="F51" s="24" t="s">
        <v>357</v>
      </c>
    </row>
    <row r="52">
      <c r="A52" s="24" t="str">
        <f t="shared" si="1"/>
        <v>#NAME?</v>
      </c>
      <c r="B52" s="12" t="s">
        <v>184</v>
      </c>
      <c r="C52" s="57">
        <v>13.0</v>
      </c>
      <c r="D52" s="24" t="s">
        <v>403</v>
      </c>
      <c r="E52" s="12" t="s">
        <v>183</v>
      </c>
      <c r="F52" s="24" t="s">
        <v>389</v>
      </c>
    </row>
    <row r="53">
      <c r="A53" s="24" t="str">
        <f t="shared" si="1"/>
        <v>#NAME?</v>
      </c>
      <c r="B53" s="12" t="s">
        <v>167</v>
      </c>
      <c r="C53" s="57">
        <v>13.0</v>
      </c>
      <c r="D53" s="24" t="s">
        <v>402</v>
      </c>
      <c r="E53" s="12" t="s">
        <v>166</v>
      </c>
      <c r="F53" s="24" t="s">
        <v>344</v>
      </c>
      <c r="G53" s="24" t="s">
        <v>444</v>
      </c>
    </row>
    <row r="54">
      <c r="A54" s="24" t="str">
        <f t="shared" si="1"/>
        <v>#NAME?</v>
      </c>
      <c r="B54" s="42" t="s">
        <v>203</v>
      </c>
      <c r="C54" s="57">
        <v>13.0</v>
      </c>
      <c r="D54" s="24" t="s">
        <v>403</v>
      </c>
      <c r="E54" s="12" t="s">
        <v>202</v>
      </c>
      <c r="F54" s="24" t="s">
        <v>382</v>
      </c>
    </row>
    <row r="55">
      <c r="A55" s="24" t="str">
        <f t="shared" si="1"/>
        <v>#NAME?</v>
      </c>
      <c r="B55" s="12" t="s">
        <v>251</v>
      </c>
      <c r="C55" s="57">
        <v>13.0</v>
      </c>
      <c r="D55" s="24" t="s">
        <v>402</v>
      </c>
      <c r="E55" s="12" t="s">
        <v>250</v>
      </c>
      <c r="F55" s="24" t="s">
        <v>355</v>
      </c>
    </row>
    <row r="56">
      <c r="A56" s="24" t="str">
        <f t="shared" si="1"/>
        <v>#NAME?</v>
      </c>
      <c r="B56" s="12" t="s">
        <v>257</v>
      </c>
      <c r="C56" s="57">
        <v>13.0</v>
      </c>
      <c r="D56" s="24" t="s">
        <v>402</v>
      </c>
      <c r="E56" s="12" t="s">
        <v>256</v>
      </c>
      <c r="F56" s="24" t="s">
        <v>349</v>
      </c>
    </row>
    <row r="57">
      <c r="A57" s="24" t="str">
        <f t="shared" si="1"/>
        <v>#NAME?</v>
      </c>
      <c r="B57" s="42" t="s">
        <v>267</v>
      </c>
      <c r="C57" s="57">
        <v>13.0</v>
      </c>
      <c r="D57" s="24" t="s">
        <v>403</v>
      </c>
      <c r="E57" s="12" t="s">
        <v>266</v>
      </c>
      <c r="F57" s="24" t="s">
        <v>349</v>
      </c>
    </row>
    <row r="58">
      <c r="A58" s="24" t="str">
        <f t="shared" si="1"/>
        <v>#NAME?</v>
      </c>
      <c r="B58" s="12" t="s">
        <v>180</v>
      </c>
      <c r="C58" s="57">
        <v>13.0</v>
      </c>
      <c r="D58" s="24" t="s">
        <v>402</v>
      </c>
      <c r="E58" s="12" t="s">
        <v>179</v>
      </c>
      <c r="F58" s="24" t="s">
        <v>344</v>
      </c>
    </row>
    <row r="59">
      <c r="A59" s="24" t="str">
        <f t="shared" si="1"/>
        <v>#NAME?</v>
      </c>
      <c r="B59" s="12" t="s">
        <v>281</v>
      </c>
      <c r="C59" s="57">
        <v>13.0</v>
      </c>
      <c r="D59" s="24" t="s">
        <v>402</v>
      </c>
      <c r="E59" s="12" t="s">
        <v>280</v>
      </c>
      <c r="F59" s="24" t="s">
        <v>344</v>
      </c>
    </row>
    <row r="60">
      <c r="A60" s="24" t="str">
        <f t="shared" si="1"/>
        <v>#NAME?</v>
      </c>
      <c r="B60" s="62" t="s">
        <v>457</v>
      </c>
      <c r="C60" s="57">
        <v>13.0</v>
      </c>
      <c r="D60" s="24" t="s">
        <v>403</v>
      </c>
      <c r="E60" s="12" t="s">
        <v>252</v>
      </c>
      <c r="F60" s="24" t="s">
        <v>349</v>
      </c>
      <c r="G60" s="5" t="s">
        <v>458</v>
      </c>
    </row>
    <row r="61">
      <c r="A61" s="24" t="str">
        <f t="shared" si="1"/>
        <v>#NAME?</v>
      </c>
      <c r="B61" s="12" t="s">
        <v>236</v>
      </c>
      <c r="C61" s="57">
        <v>13.0</v>
      </c>
      <c r="D61" s="24" t="s">
        <v>403</v>
      </c>
      <c r="E61" s="12" t="s">
        <v>235</v>
      </c>
      <c r="F61" s="24" t="s">
        <v>377</v>
      </c>
    </row>
    <row r="62">
      <c r="A62" s="24" t="str">
        <f t="shared" si="1"/>
        <v>#NAME?</v>
      </c>
      <c r="B62" s="12" t="s">
        <v>94</v>
      </c>
      <c r="C62" s="57">
        <v>13.0</v>
      </c>
      <c r="D62" s="24" t="s">
        <v>402</v>
      </c>
      <c r="E62" s="12" t="s">
        <v>93</v>
      </c>
      <c r="F62" s="24" t="s">
        <v>350</v>
      </c>
    </row>
    <row r="63">
      <c r="A63" s="24" t="str">
        <f t="shared" si="1"/>
        <v>#NAME?</v>
      </c>
      <c r="B63" s="12" t="s">
        <v>182</v>
      </c>
      <c r="C63" s="57">
        <v>13.0</v>
      </c>
      <c r="D63" s="24" t="s">
        <v>403</v>
      </c>
      <c r="E63" s="12" t="s">
        <v>181</v>
      </c>
      <c r="F63" s="24" t="s">
        <v>393</v>
      </c>
    </row>
    <row r="64">
      <c r="A64" s="24" t="str">
        <f t="shared" si="1"/>
        <v>#NAME?</v>
      </c>
      <c r="B64" s="12" t="s">
        <v>176</v>
      </c>
      <c r="C64" s="57">
        <v>13.0</v>
      </c>
      <c r="D64" s="24" t="s">
        <v>402</v>
      </c>
      <c r="E64" s="12" t="s">
        <v>175</v>
      </c>
      <c r="F64" s="24" t="s">
        <v>386</v>
      </c>
    </row>
    <row r="65">
      <c r="A65" s="24" t="str">
        <f t="shared" si="1"/>
        <v>#NAME?</v>
      </c>
      <c r="B65" s="42" t="s">
        <v>231</v>
      </c>
      <c r="C65" s="57">
        <v>13.0</v>
      </c>
      <c r="D65" s="24" t="s">
        <v>402</v>
      </c>
      <c r="E65" s="12" t="s">
        <v>230</v>
      </c>
      <c r="F65" s="24" t="s">
        <v>363</v>
      </c>
    </row>
    <row r="66">
      <c r="A66" s="24" t="str">
        <f t="shared" si="1"/>
        <v>#NAME?</v>
      </c>
      <c r="B66" s="12" t="s">
        <v>222</v>
      </c>
      <c r="C66" s="57">
        <v>13.0</v>
      </c>
      <c r="D66" s="24" t="s">
        <v>403</v>
      </c>
      <c r="E66" s="12" t="s">
        <v>221</v>
      </c>
      <c r="F66" s="24" t="s">
        <v>384</v>
      </c>
    </row>
    <row r="67">
      <c r="A67" s="24" t="str">
        <f t="shared" si="1"/>
        <v/>
      </c>
      <c r="B67" s="12"/>
      <c r="C67" s="5" t="str">
        <f>IF(NOT(ISBLANK(E67)), VLOOKUP(E67,Source!B:D,3,FALSE), "")</f>
        <v/>
      </c>
      <c r="E67" s="12"/>
      <c r="F67" s="24" t="str">
        <f t="array" ref="F67">IF(NOT(ISBLANK(E67)), VLOOKUP(E67,{Source!B:B,Source!A:A},2,FALSE), "")</f>
        <v/>
      </c>
    </row>
    <row r="68">
      <c r="A68" s="24" t="str">
        <f t="shared" si="1"/>
        <v/>
      </c>
      <c r="B68" s="12"/>
      <c r="C68" s="5" t="str">
        <f>IF(NOT(ISBLANK(E68)), VLOOKUP(E68,Source!B:D,3,FALSE), "")</f>
        <v/>
      </c>
      <c r="E68" s="12"/>
      <c r="F68" s="24" t="str">
        <f t="array" ref="F68">IF(NOT(ISBLANK(E68)), VLOOKUP(E68,{Source!B:B,Source!A:A},2,FALSE), "")</f>
        <v/>
      </c>
    </row>
    <row r="69">
      <c r="A69" s="24" t="str">
        <f t="shared" si="1"/>
        <v/>
      </c>
      <c r="B69" s="12"/>
      <c r="C69" s="5" t="str">
        <f>IF(NOT(ISBLANK(E69)), VLOOKUP(E69,Source!B:D,3,FALSE), "")</f>
        <v/>
      </c>
      <c r="E69" s="12"/>
      <c r="F69" s="24" t="str">
        <f t="array" ref="F69">IF(NOT(ISBLANK(E69)), VLOOKUP(E69,{Source!B:B,Source!A:A},2,FALSE), "")</f>
        <v/>
      </c>
    </row>
    <row r="70">
      <c r="A70" s="24" t="str">
        <f t="shared" si="1"/>
        <v/>
      </c>
      <c r="B70" s="62"/>
      <c r="C70" s="5" t="str">
        <f>IF(NOT(ISBLANK(E70)), VLOOKUP(E70,Source!B:D,3,FALSE), "")</f>
        <v/>
      </c>
      <c r="E70" s="12"/>
      <c r="F70" s="24" t="str">
        <f t="array" ref="F70">IF(NOT(ISBLANK(E70)), VLOOKUP(E70,{Source!B:B,Source!A:A},2,FALSE), "")</f>
        <v/>
      </c>
    </row>
    <row r="71">
      <c r="A71" s="24" t="str">
        <f t="shared" si="1"/>
        <v/>
      </c>
      <c r="B71" s="12"/>
      <c r="C71" s="5" t="str">
        <f>IF(NOT(ISBLANK(E71)), VLOOKUP(E71,Source!B:D,3,FALSE), "")</f>
        <v/>
      </c>
      <c r="E71" s="12"/>
      <c r="F71" s="24" t="str">
        <f t="array" ref="F71">IF(NOT(ISBLANK(E71)), VLOOKUP(E71,{Source!B:B,Source!A:A},2,FALSE), "")</f>
        <v/>
      </c>
    </row>
    <row r="72">
      <c r="A72" s="24" t="str">
        <f t="shared" si="1"/>
        <v/>
      </c>
      <c r="B72" s="12"/>
      <c r="C72" s="5" t="str">
        <f>IF(NOT(ISBLANK(E72)), VLOOKUP(E72,Source!B:D,3,FALSE), "")</f>
        <v/>
      </c>
      <c r="E72" s="12"/>
      <c r="F72" s="24" t="str">
        <f t="array" ref="F72">IF(NOT(ISBLANK(E72)), VLOOKUP(E72,{Source!B:B,Source!A:A},2,FALSE), "")</f>
        <v/>
      </c>
    </row>
    <row r="73">
      <c r="A73" s="24" t="str">
        <f t="shared" si="1"/>
        <v/>
      </c>
      <c r="B73" s="12"/>
      <c r="C73" s="5" t="str">
        <f>IF(NOT(ISBLANK(E73)), VLOOKUP(E73,Source!B:D,3,FALSE), "")</f>
        <v/>
      </c>
      <c r="E73" s="12"/>
      <c r="F73" s="24" t="str">
        <f t="array" ref="F73">IF(NOT(ISBLANK(E73)), VLOOKUP(E73,{Source!B:B,Source!A:A},2,FALSE), "")</f>
        <v/>
      </c>
    </row>
    <row r="74">
      <c r="A74" s="24" t="str">
        <f t="shared" si="1"/>
        <v/>
      </c>
      <c r="B74" s="62"/>
      <c r="C74" s="5" t="str">
        <f>IF(NOT(ISBLANK(E74)), VLOOKUP(E74,Source!B:D,3,FALSE), "")</f>
        <v/>
      </c>
      <c r="E74" s="12"/>
      <c r="F74" s="24" t="str">
        <f t="array" ref="F74">IF(NOT(ISBLANK(E74)), VLOOKUP(E74,{Source!B:B,Source!A:A},2,FALSE), "")</f>
        <v/>
      </c>
    </row>
    <row r="75">
      <c r="A75" s="24" t="str">
        <f t="shared" si="1"/>
        <v/>
      </c>
      <c r="B75" s="12"/>
      <c r="C75" s="5" t="str">
        <f>IF(NOT(ISBLANK(E75)), VLOOKUP(E75,Source!B:D,3,FALSE), "")</f>
        <v/>
      </c>
      <c r="E75" s="12"/>
      <c r="F75" s="24" t="str">
        <f t="array" ref="F75">IF(NOT(ISBLANK(E75)), VLOOKUP(E75,{Source!B:B,Source!A:A},2,FALSE), "")</f>
        <v/>
      </c>
    </row>
    <row r="76">
      <c r="A76" s="24" t="str">
        <f t="shared" si="1"/>
        <v/>
      </c>
      <c r="B76" s="12"/>
      <c r="C76" s="5" t="str">
        <f>IF(NOT(ISBLANK(E76)), VLOOKUP(E76,Source!B:D,3,FALSE), "")</f>
        <v/>
      </c>
      <c r="E76" s="12"/>
      <c r="F76" s="24" t="str">
        <f t="array" ref="F76">IF(NOT(ISBLANK(E76)), VLOOKUP(E76,{Source!B:B,Source!A:A},2,FALSE), "")</f>
        <v/>
      </c>
    </row>
    <row r="77">
      <c r="A77" s="24" t="str">
        <f t="shared" si="1"/>
        <v/>
      </c>
      <c r="B77" s="62"/>
      <c r="C77" s="5" t="str">
        <f>IF(NOT(ISBLANK(E77)), VLOOKUP(E77,Source!B:D,3,FALSE), "")</f>
        <v/>
      </c>
      <c r="E77" s="12"/>
      <c r="F77" s="24" t="str">
        <f t="array" ref="F77">IF(NOT(ISBLANK(E77)), VLOOKUP(E77,{Source!B:B,Source!A:A},2,FALSE), "")</f>
        <v/>
      </c>
    </row>
    <row r="78">
      <c r="A78" s="24" t="str">
        <f t="shared" si="1"/>
        <v/>
      </c>
      <c r="B78" s="12"/>
      <c r="C78" s="5" t="str">
        <f>IF(NOT(ISBLANK(E78)), VLOOKUP(E78,Source!B:D,3,FALSE), "")</f>
        <v/>
      </c>
      <c r="E78" s="12"/>
      <c r="F78" s="24" t="str">
        <f t="array" ref="F78">IF(NOT(ISBLANK(E78)), VLOOKUP(E78,{Source!B:B,Source!A:A},2,FALSE), "")</f>
        <v/>
      </c>
    </row>
    <row r="79">
      <c r="A79" s="24" t="str">
        <f t="shared" si="1"/>
        <v/>
      </c>
      <c r="B79" s="12"/>
      <c r="C79" s="5" t="str">
        <f>IF(NOT(ISBLANK(E79)), VLOOKUP(E79,Source!B:D,3,FALSE), "")</f>
        <v/>
      </c>
      <c r="E79" s="12"/>
      <c r="F79" s="24" t="str">
        <f t="array" ref="F79">IF(NOT(ISBLANK(E79)), VLOOKUP(E79,{Source!B:B,Source!A:A},2,FALSE), "")</f>
        <v/>
      </c>
    </row>
    <row r="80">
      <c r="A80" s="24" t="str">
        <f t="shared" si="1"/>
        <v/>
      </c>
      <c r="B80" s="12"/>
      <c r="C80" s="5" t="str">
        <f>IF(NOT(ISBLANK(E80)), VLOOKUP(E80,Source!B:D,3,FALSE), "")</f>
        <v/>
      </c>
      <c r="E80" s="12"/>
      <c r="F80" s="24" t="str">
        <f t="array" ref="F80">IF(NOT(ISBLANK(E80)), VLOOKUP(E80,{Source!B:B,Source!A:A},2,FALSE), "")</f>
        <v/>
      </c>
    </row>
    <row r="81">
      <c r="A81" s="24" t="str">
        <f t="shared" si="1"/>
        <v/>
      </c>
      <c r="B81" s="12"/>
      <c r="C81" s="5" t="str">
        <f>IF(NOT(ISBLANK(E81)), VLOOKUP(E81,Source!B:D,3,FALSE), "")</f>
        <v/>
      </c>
      <c r="E81" s="12"/>
      <c r="F81" s="24" t="str">
        <f t="array" ref="F81">IF(NOT(ISBLANK(E81)), VLOOKUP(E81,{Source!B:B,Source!A:A},2,FALSE), "")</f>
        <v/>
      </c>
    </row>
    <row r="82">
      <c r="A82" s="24" t="str">
        <f t="shared" si="1"/>
        <v/>
      </c>
      <c r="B82" s="62"/>
      <c r="C82" s="5" t="str">
        <f>IF(NOT(ISBLANK(E82)), VLOOKUP(E82,Source!B:D,3,FALSE), "")</f>
        <v/>
      </c>
      <c r="E82" s="12"/>
      <c r="F82" s="24" t="str">
        <f t="array" ref="F82">IF(NOT(ISBLANK(E82)), VLOOKUP(E82,{Source!B:B,Source!A:A},2,FALSE), "")</f>
        <v/>
      </c>
    </row>
    <row r="83">
      <c r="A83" s="24" t="str">
        <f t="shared" si="1"/>
        <v/>
      </c>
      <c r="B83" s="12"/>
      <c r="C83" s="5" t="str">
        <f>IF(NOT(ISBLANK(E83)), VLOOKUP(E83,Source!B:D,3,FALSE), "")</f>
        <v/>
      </c>
      <c r="E83" s="12"/>
      <c r="F83" s="24" t="str">
        <f t="array" ref="F83">IF(NOT(ISBLANK(E83)), VLOOKUP(E83,{Source!B:B,Source!A:A},2,FALSE), "")</f>
        <v/>
      </c>
    </row>
    <row r="84">
      <c r="A84" s="24" t="str">
        <f t="shared" si="1"/>
        <v/>
      </c>
      <c r="B84" s="12"/>
      <c r="C84" s="5" t="str">
        <f>IF(NOT(ISBLANK(E84)), VLOOKUP(E84,Source!B:D,3,FALSE), "")</f>
        <v/>
      </c>
      <c r="E84" s="12"/>
      <c r="F84" s="24" t="str">
        <f t="array" ref="F84">IF(NOT(ISBLANK(E84)), VLOOKUP(E84,{Source!B:B,Source!A:A},2,FALSE), "")</f>
        <v/>
      </c>
    </row>
    <row r="85">
      <c r="A85" s="24" t="str">
        <f t="shared" si="1"/>
        <v/>
      </c>
      <c r="B85" s="62"/>
      <c r="C85" s="5" t="str">
        <f>IF(NOT(ISBLANK(E85)), VLOOKUP(E85,Source!B:D,3,FALSE), "")</f>
        <v/>
      </c>
      <c r="E85" s="12"/>
      <c r="F85" s="24" t="str">
        <f t="array" ref="F85">IF(NOT(ISBLANK(E85)), VLOOKUP(E85,{Source!B:B,Source!A:A},2,FALSE), "")</f>
        <v/>
      </c>
    </row>
    <row r="86">
      <c r="A86" s="24" t="str">
        <f t="shared" si="1"/>
        <v/>
      </c>
      <c r="C86" s="5" t="str">
        <f>IF(NOT(ISBLANK(E86)), VLOOKUP(E86,Source!B:D,3,FALSE), "")</f>
        <v/>
      </c>
      <c r="F86" s="24" t="str">
        <f t="array" ref="F86">IF(NOT(ISBLANK(E86)), VLOOKUP(E86,{Source!B:B,Source!A:A},2,FALSE), "")</f>
        <v/>
      </c>
    </row>
    <row r="87">
      <c r="A87" s="24" t="str">
        <f t="shared" si="1"/>
        <v/>
      </c>
      <c r="C87" s="5" t="str">
        <f>IF(NOT(ISBLANK(E87)), VLOOKUP(E87,Source!B:D,3,FALSE), "")</f>
        <v/>
      </c>
      <c r="F87" s="24" t="str">
        <f t="array" ref="F87">IF(NOT(ISBLANK(E87)), VLOOKUP(E87,{Source!B:B,Source!A:A},2,FALSE), "")</f>
        <v/>
      </c>
    </row>
    <row r="88">
      <c r="A88" s="24" t="str">
        <f t="shared" si="1"/>
        <v/>
      </c>
      <c r="C88" s="5" t="str">
        <f>IF(NOT(ISBLANK(E88)), VLOOKUP(E88,Source!B:D,3,FALSE), "")</f>
        <v/>
      </c>
      <c r="F88" s="24" t="str">
        <f t="array" ref="F88">IF(NOT(ISBLANK(E88)), VLOOKUP(E88,{Source!B:B,Source!A:A},2,FALSE), "")</f>
        <v/>
      </c>
    </row>
    <row r="89">
      <c r="A89" s="24" t="str">
        <f t="shared" si="1"/>
        <v/>
      </c>
      <c r="C89" s="5" t="str">
        <f>IF(NOT(ISBLANK(E89)), VLOOKUP(E89,Source!B:D,3,FALSE), "")</f>
        <v/>
      </c>
      <c r="F89" s="24" t="str">
        <f t="array" ref="F89">IF(NOT(ISBLANK(E89)), VLOOKUP(E89,{Source!B:B,Source!A:A},2,FALSE), "")</f>
        <v/>
      </c>
    </row>
    <row r="90">
      <c r="A90" s="24" t="str">
        <f t="shared" si="1"/>
        <v/>
      </c>
      <c r="C90" s="5" t="str">
        <f>IF(NOT(ISBLANK(E90)), VLOOKUP(E90,Source!B:D,3,FALSE), "")</f>
        <v/>
      </c>
      <c r="F90" s="24" t="str">
        <f t="array" ref="F90">IF(NOT(ISBLANK(E90)), VLOOKUP(E90,{Source!B:B,Source!A:A},2,FALSE), "")</f>
        <v/>
      </c>
    </row>
    <row r="91">
      <c r="A91" s="24" t="str">
        <f t="shared" si="1"/>
        <v/>
      </c>
      <c r="C91" s="5" t="str">
        <f>IF(NOT(ISBLANK(E91)), VLOOKUP(E91,Source!B:D,3,FALSE), "")</f>
        <v/>
      </c>
      <c r="F91" s="24" t="str">
        <f t="array" ref="F91">IF(NOT(ISBLANK(E91)), VLOOKUP(E91,{Source!B:B,Source!A:A},2,FALSE), "")</f>
        <v/>
      </c>
    </row>
    <row r="92">
      <c r="A92" s="24" t="str">
        <f t="shared" si="1"/>
        <v/>
      </c>
      <c r="C92" s="5" t="str">
        <f>IF(NOT(ISBLANK(E92)), VLOOKUP(E92,Source!B:D,3,FALSE), "")</f>
        <v/>
      </c>
      <c r="F92" s="24" t="str">
        <f t="array" ref="F92">IF(NOT(ISBLANK(E92)), VLOOKUP(E92,{Source!B:B,Source!A:A},2,FALSE), "")</f>
        <v/>
      </c>
    </row>
    <row r="93">
      <c r="A93" s="24" t="str">
        <f t="shared" si="1"/>
        <v/>
      </c>
      <c r="C93" s="5" t="str">
        <f>IF(NOT(ISBLANK(E93)), VLOOKUP(E93,Source!B:D,3,FALSE), "")</f>
        <v/>
      </c>
      <c r="F93" s="24" t="str">
        <f t="array" ref="F93">IF(NOT(ISBLANK(E93)), VLOOKUP(E93,{Source!B:B,Source!A:A},2,FALSE), "")</f>
        <v/>
      </c>
    </row>
    <row r="94">
      <c r="A94" s="24" t="str">
        <f t="shared" si="1"/>
        <v/>
      </c>
      <c r="C94" s="5" t="str">
        <f>IF(NOT(ISBLANK(E94)), VLOOKUP(E94,Source!B:D,3,FALSE), "")</f>
        <v/>
      </c>
      <c r="F94" s="24" t="str">
        <f t="array" ref="F94">IF(NOT(ISBLANK(E94)), VLOOKUP(E94,{Source!B:B,Source!A:A},2,FALSE), "")</f>
        <v/>
      </c>
    </row>
    <row r="95">
      <c r="A95" s="24" t="str">
        <f t="shared" si="1"/>
        <v/>
      </c>
      <c r="C95" s="5" t="str">
        <f>IF(NOT(ISBLANK(E95)), VLOOKUP(E95,Source!B:D,3,FALSE), "")</f>
        <v/>
      </c>
      <c r="F95" s="24" t="str">
        <f t="array" ref="F95">IF(NOT(ISBLANK(E95)), VLOOKUP(E95,{Source!B:B,Source!A:A},2,FALSE), "")</f>
        <v/>
      </c>
    </row>
    <row r="96">
      <c r="A96" s="24" t="str">
        <f t="shared" si="1"/>
        <v/>
      </c>
      <c r="C96" s="5" t="str">
        <f>IF(NOT(ISBLANK(E96)), VLOOKUP(E96,Source!B:D,3,FALSE), "")</f>
        <v/>
      </c>
      <c r="F96" s="24" t="str">
        <f t="array" ref="F96">IF(NOT(ISBLANK(E96)), VLOOKUP(E96,{Source!B:B,Source!A:A},2,FALSE), "")</f>
        <v/>
      </c>
    </row>
    <row r="97">
      <c r="A97" s="24" t="str">
        <f t="shared" si="1"/>
        <v/>
      </c>
      <c r="C97" s="5" t="str">
        <f>IF(NOT(ISBLANK(E97)), VLOOKUP(E97,Source!B:D,3,FALSE), "")</f>
        <v/>
      </c>
      <c r="F97" s="24" t="str">
        <f t="array" ref="F97">IF(NOT(ISBLANK(E97)), VLOOKUP(E97,{Source!B:B,Source!A:A},2,FALSE), "")</f>
        <v/>
      </c>
    </row>
    <row r="98">
      <c r="A98" s="24" t="str">
        <f t="shared" si="1"/>
        <v/>
      </c>
      <c r="C98" s="5" t="str">
        <f>IF(NOT(ISBLANK(E98)), VLOOKUP(E98,Source!B:D,3,FALSE), "")</f>
        <v/>
      </c>
      <c r="F98" s="24" t="str">
        <f t="array" ref="F98">IF(NOT(ISBLANK(E98)), VLOOKUP(E98,{Source!B:B,Source!A:A},2,FALSE), "")</f>
        <v/>
      </c>
    </row>
    <row r="99">
      <c r="A99" s="24" t="str">
        <f t="shared" si="1"/>
        <v/>
      </c>
      <c r="C99" s="5" t="str">
        <f>IF(NOT(ISBLANK(E99)), VLOOKUP(E99,Source!B:D,3,FALSE), "")</f>
        <v/>
      </c>
      <c r="F99" s="24" t="str">
        <f t="array" ref="F99">IF(NOT(ISBLANK(E99)), VLOOKUP(E99,{Source!B:B,Source!A:A},2,FALSE), "")</f>
        <v/>
      </c>
    </row>
    <row r="100">
      <c r="A100" s="24" t="str">
        <f t="shared" si="1"/>
        <v/>
      </c>
      <c r="C100" s="5" t="str">
        <f>IF(NOT(ISBLANK(E100)), VLOOKUP(E100,Source!B:D,3,FALSE), "")</f>
        <v/>
      </c>
      <c r="F100" s="24" t="str">
        <f t="array" ref="F100">IF(NOT(ISBLANK(E100)), VLOOKUP(E100,{Source!B:B,Source!A:A},2,FALSE), "")</f>
        <v/>
      </c>
    </row>
  </sheetData>
  <autoFilter ref="$A$1:$G$100"/>
  <drawing r:id="rId1"/>
</worksheet>
</file>