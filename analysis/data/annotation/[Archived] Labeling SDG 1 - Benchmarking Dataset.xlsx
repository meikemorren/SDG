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Finn" sheetId="2" r:id="rId5"/>
    <sheet state="visible" name="Gib" sheetId="3" r:id="rId6"/>
    <sheet state="visible" name="Jean-Baptiste" sheetId="4" r:id="rId7"/>
    <sheet state="visible" name="Meike" sheetId="5" r:id="rId8"/>
    <sheet state="visible" name="Steve" sheetId="6" r:id="rId9"/>
    <sheet state="visible" name="Source" sheetId="7" r:id="rId10"/>
    <sheet state="visible" name="Final Review" sheetId="8" r:id="rId11"/>
    <sheet state="visible" name="Output" sheetId="9" r:id="rId12"/>
  </sheets>
  <definedNames>
    <definedName hidden="1" localSheetId="1" name="_xlnm._FilterDatabase">Finn!$A$1:$D$101</definedName>
    <definedName hidden="1" localSheetId="7" name="_xlnm._FilterDatabase">'Final Review'!$A$1:$S$101</definedName>
    <definedName hidden="1" localSheetId="8" name="_xlnm._FilterDatabase">Output!$A$1:$G$961</definedName>
  </definedNames>
  <calcPr/>
</workbook>
</file>

<file path=xl/sharedStrings.xml><?xml version="1.0" encoding="utf-8"?>
<sst xmlns="http://schemas.openxmlformats.org/spreadsheetml/2006/main" count="2716" uniqueCount="443">
  <si>
    <t>Hello 👋</t>
  </si>
  <si>
    <t>Welcome to the labeling exercise for SDG 1.</t>
  </si>
  <si>
    <t>The objective of this exercise is to label 100 texts in terms of their relevance to SDG 1.</t>
  </si>
  <si>
    <t>Your Labeling Sheet</t>
  </si>
  <si>
    <t>You have your own personal sheet for assigning the labels. You will find it by clicking on your name in the list at the bottom of this page.</t>
  </si>
  <si>
    <t>Each sheet has the same 100 texts, but the order in which they appear has been randomized.</t>
  </si>
  <si>
    <t>Later on, we will put everyone's labels side-by-side. This will help us identify texts with high and low alignment.</t>
  </si>
  <si>
    <t>At our next meeting, we will discuss the texts where we have disagreements and see if we can reach a consensus for the "true" label for every text.</t>
  </si>
  <si>
    <t>Please resist the temptation to look at other people's labels until you are done labeling. 🙂</t>
  </si>
  <si>
    <t>Explanation of Labels</t>
  </si>
  <si>
    <t>On your personal sheet, you will find the text in column B.</t>
  </si>
  <si>
    <t>Column C contains a drop-down for picking the appropriate label. The options are:</t>
  </si>
  <si>
    <t>This text is relevant to SDG 1</t>
  </si>
  <si>
    <t>This text is not relevant to SDG 1</t>
  </si>
  <si>
    <t>SKIP</t>
  </si>
  <si>
    <t>You can use this if you are not sure about the label</t>
  </si>
  <si>
    <t>If you want, you can put any comments in column D.</t>
  </si>
  <si>
    <t>Instructions for Labeling</t>
  </si>
  <si>
    <t>The text should be annotated as SDG 1 only if:</t>
  </si>
  <si>
    <r>
      <rPr>
        <rFont val="Arial"/>
        <color theme="1"/>
        <u/>
      </rPr>
      <t xml:space="preserve">1. The text addresses </t>
    </r>
    <r>
      <rPr>
        <rFont val="Arial"/>
        <b/>
        <color theme="1"/>
        <u/>
      </rPr>
      <t>SDG 1 or one of its targets</t>
    </r>
  </si>
  <si>
    <t>See the official definitions of SDG 1 and its targets below ("SDG 1 Description &amp; Targets").</t>
  </si>
  <si>
    <t>AND</t>
  </si>
  <si>
    <r>
      <rPr>
        <rFont val="Arial"/>
        <color theme="1"/>
        <u/>
      </rPr>
      <t xml:space="preserve">2. The text addresses SDG 1 or its targets </t>
    </r>
    <r>
      <rPr>
        <rFont val="Arial"/>
        <b/>
        <color theme="1"/>
        <u/>
      </rPr>
      <t>directly</t>
    </r>
    <r>
      <rPr>
        <rFont val="Arial"/>
        <color theme="1"/>
        <u/>
      </rPr>
      <t>:</t>
    </r>
  </si>
  <si>
    <t>- the text should be directly relevant to SDG 1 or to achieving SDG 1</t>
  </si>
  <si>
    <t>- if a text only has an indirect or implicit relevance, it should not be labeled SDG 1</t>
  </si>
  <si>
    <r>
      <rPr>
        <rFont val="Arial"/>
        <color theme="1"/>
        <u/>
      </rPr>
      <t xml:space="preserve">3. The text addresses SDG 1 or its targets </t>
    </r>
    <r>
      <rPr>
        <rFont val="Arial"/>
        <b/>
        <color theme="1"/>
        <u/>
      </rPr>
      <t>specifically</t>
    </r>
    <r>
      <rPr>
        <rFont val="Arial"/>
        <color theme="1"/>
        <u/>
      </rPr>
      <t>:</t>
    </r>
  </si>
  <si>
    <t>- the text should be specific to SDG 1 and its targets</t>
  </si>
  <si>
    <t>- if fact stating, the text should contain value-laden words (e.g. renewable energy instead of energy, drug abuse instead of drugs, infant mortality instead of premature deaths)</t>
  </si>
  <si>
    <r>
      <rPr>
        <rFont val="Arial"/>
        <color theme="1"/>
        <u/>
      </rPr>
      <t xml:space="preserve">4. Annotate as SDG 1 regardless of </t>
    </r>
    <r>
      <rPr>
        <rFont val="Arial"/>
        <b/>
        <color theme="1"/>
        <u/>
      </rPr>
      <t>valence</t>
    </r>
    <r>
      <rPr>
        <rFont val="Arial"/>
        <color theme="1"/>
        <u/>
      </rPr>
      <t xml:space="preserve"> and </t>
    </r>
    <r>
      <rPr>
        <rFont val="Arial"/>
        <b/>
        <color theme="1"/>
        <u/>
      </rPr>
      <t>other SDGs</t>
    </r>
    <r>
      <rPr>
        <rFont val="Arial"/>
        <color theme="1"/>
        <u/>
      </rPr>
      <t>:</t>
    </r>
  </si>
  <si>
    <t>- annotate as SDG 1 regardless of whether the content is discussed in a positive or negative light. We ignore valence (sentiment) for now.</t>
  </si>
  <si>
    <t>- annotate as SDG 1 even if other SDGs are mentioned and annotate as SDG 1 even if SDG 1 is not the "most important" SDG in the text</t>
  </si>
  <si>
    <t>With all that said, please do trust your judgment! I am sure we will have important discussions about these issues next time — which is exactly what we want 😊</t>
  </si>
  <si>
    <t>SDG 1 Description &amp; Targets</t>
  </si>
  <si>
    <t>The official text for SDG 1 is: "End poverty in all its forms everywhere". Below you can see the targets for SDG 1.</t>
  </si>
  <si>
    <t>Click here to see all other SDGs and targets.</t>
  </si>
  <si>
    <t>Labeling Sheets</t>
  </si>
  <si>
    <t>Please click on your name to access your personal labeling sheet. Names are listed in alphabetical order.</t>
  </si>
  <si>
    <t>Name</t>
  </si>
  <si>
    <r>
      <rPr>
        <rFont val="Arial"/>
        <b/>
        <color theme="1"/>
      </rPr>
      <t>Progress</t>
    </r>
    <r>
      <rPr>
        <rFont val="Arial"/>
        <b val="0"/>
        <color theme="1"/>
      </rPr>
      <t xml:space="preserve"> (will update automatically)</t>
    </r>
  </si>
  <si>
    <t>Finn</t>
  </si>
  <si>
    <t>Gib</t>
  </si>
  <si>
    <t>Jean-Baptiste</t>
  </si>
  <si>
    <t>Meike</t>
  </si>
  <si>
    <t>Steve</t>
  </si>
  <si>
    <t>Thank you for being part of this exercise and thanks to OSDG for the dataset! ❤️</t>
  </si>
  <si>
    <t>Text Selection</t>
  </si>
  <si>
    <t>In total, 100 texts were selected from the OSDG dataset for SDG 1. The reason for selecting each text is documented in the "Source" sheet.</t>
  </si>
  <si>
    <t>Automatic Selection (50 texts)</t>
  </si>
  <si>
    <t>50 texts were selected automatically</t>
  </si>
  <si>
    <t>- 25 texts that OSDG community labeled as "SDG 1"</t>
  </si>
  <si>
    <t>- 25 texts that OSDG community labeled as "not SDG 1"</t>
  </si>
  <si>
    <t>In the OSDG dataset, each text has an agreement score between 0 (equal positive and negative labels) to 1 (full consensus).</t>
  </si>
  <si>
    <t>Each set of the 25 texts above consist of:</t>
  </si>
  <si>
    <t>- 5 texts with agreement score &gt; 0.8</t>
  </si>
  <si>
    <t>- 5 texts with agreement score &gt; 0.6 and &lt;= 0.8</t>
  </si>
  <si>
    <t>- 5 texts with agreement score &gt; 0.4 and &lt;= 0.6</t>
  </si>
  <si>
    <t>- 5 texts with agreement score &gt; 0.2 and &lt;= 0.4</t>
  </si>
  <si>
    <t>- 5 texts with agrement score &gt; 0 and &lt;= 0.2</t>
  </si>
  <si>
    <t>For each permutation (label + agreement level), the five texts with the largest number of annotators were selected.</t>
  </si>
  <si>
    <t>Manual Selection (50 texts)</t>
  </si>
  <si>
    <t>24 texts were selected manually to try to cover the 7 targets of SDG 1.</t>
  </si>
  <si>
    <t>24 texts were selected manually to try to cover words used in the 7 targets of SDG 1 (but are not about SDG 1 according to the OSDG community "vote")</t>
  </si>
  <si>
    <t>For each target, 3 positive and 3 negative texts were selected.</t>
  </si>
  <si>
    <t>In total, 24 texts with label "SDG 1" and 24 texts with label "not SDG 1" were selected.</t>
  </si>
  <si>
    <t>Another two texts with agreement score=0 were selected.</t>
  </si>
  <si>
    <t>Text ID</t>
  </si>
  <si>
    <t>Text</t>
  </si>
  <si>
    <t>SDG 1 Label</t>
  </si>
  <si>
    <t>Comments (optional)</t>
  </si>
  <si>
    <t>1954bbff98c784ec56925f7e6e2bca10</t>
  </si>
  <si>
    <t>Rafael Di Telia, Sebastian Edwards and Emesto Schargrodsky), University of Chicago Press. M. Bergsmo, C. Rodriguez-Garavito, P. Kalmanovitz and M.P. Saffon), Torkel Opsahl Academic EPublisher, Oslo. Income Redistribution via Taxes and Transfers across Countries”, OECD Economics Department Working Paper, No.</t>
  </si>
  <si>
    <t>5cdc0ee52c091af398aa06b882e562e1</t>
  </si>
  <si>
    <t>This Chapter examines the potential for building community resilience. It reviews the capacities and strategies that allow communities to recover, showing the importance of equitable and sustainable economic development, of ensuring strong social capital, and of empowering communities. It also considers further ways of enhancing resilience to disasters and economic shocks. Without the safety net of savings, property and other buffers - they have less capacity to cope and often experience multiple and repeated shocks that further erode their capacity to cope.1 Already disadvantaged by social and economic imbalances, the poor can thus be further marginalized into vicious cycles of chronic hardship, sometimes for generations. In 2012 it was ranked the Asia-Pacific country 'most at risk'. Between 2002 and 2012, it experienced three cyclones, affecting 2.6 million people, three floods, affecting 500,000 people, and two major earthquakes, affecting 20,000 people.</t>
  </si>
  <si>
    <t>target 1.5</t>
  </si>
  <si>
    <t>00e8055990de08329be9094779c9a647</t>
  </si>
  <si>
    <t>Investments in education help to reduce the intergenerational transmission of poverty. Although the share of the people who are educated varies greatly among the Asia Pacific LDCs, for both women and men, the poorest are less likely to be educated. The gender gap is also considerable. The differences in educational attainment between the ultra poor and the subjacent poor are large, with the poorest the least educated.</t>
  </si>
  <si>
    <t>024fbfe797ad47453c67dbfab2211c19</t>
  </si>
  <si>
    <t>However, these child poverty data are available for fewer countries and for a shorter period of time than those based on the conventional floating poverty line (for most countries the 2005 “anchored” poverty rates are available from year 2005 onwards). For most countries, these data on trends in the anchored poverty rate have been available since 2005 or a year later, but some countries (Canada, France and the United Kingdom) have longer data series. Variations in anchored poverty rates are more heterogeneous across countries and for many countries larger than for the relative poverty rate (Figure 5).</t>
  </si>
  <si>
    <t>4bc13d7d4ec8f0f38d482a5ac06fe757</t>
  </si>
  <si>
    <t>However, once total social spending and working-age unemployment were accounted for, the effects of the minimum income protection indicator were no longer statistically significant. Social spending was associated with lower risks of child poverty at the start of the crisis only, when many European countries implemented fiscal stimulus packages, while unemployment had large effects on both poverty and deprivation throughout the entire period 2008-2012. This suggests that social safety nets and social spending did not shield children from the effects of labour market turbulence during the Great Recession.</t>
  </si>
  <si>
    <t>7d0a12b8920ed5907cc360342a8e083c</t>
  </si>
  <si>
    <t>In 2011, countries in South Asia, South-East Asia and the Pacific received almost half the world’s remittances and the volume continued to increase in 2012.29 Indeed remittances are now on such a scale that they exceed government social expenditure or official development assistance. In the year ending June 2012 Bangladeshis sent home $13 billion, more than all the Government’s social protection programmes put together.30 Remittances have the advantage that they are often countercyclical, rising during economic downturns and natural disasters as migrants send more cash to meet their families’ emergency needs. This process is illustrated schematically in a model in Figure III-l.</t>
  </si>
  <si>
    <t>179f5e93823260060cb8ea73d49bb18f</t>
  </si>
  <si>
    <t>For example, in the United States, Burtless (2009) reports that changes in the population’s age structure, living arrangements and ethnic mix contributed only a small share of the rise in inequality between 1979 and 2004: only around 15% of the overall rise in inequality was explained by demographic change with the rise in single-adult households (rather than the ageing population) being the more important contributor. In the United Kingdom, Jenkins (1995) too finds household structures had little influence on the growth in household inequality in the 1980s. Across countries, differences in family structure also do little to explain cross-country differences in poverty rates or inequality (Jantti, 1997, Pasqua, 2008, Harkness, 2010).</t>
  </si>
  <si>
    <t>last sentence</t>
  </si>
  <si>
    <t>2d129daebd4a9c2d302351e88fc478fa</t>
  </si>
  <si>
    <t>Yet, even if backward linkages are initially absent, concerted efforts can help in developing such linkages over time, as the East Asian newly industrializing economies demonstrate (see Wade, 1990). In fact, emphasis on backward linkages is often necessary even for the very survival of the current lines of production. For example, the experience since the elimination of the international quota regime on textiles and clothing suggests that poverty reduction through labour-intensive exports is not sustainable without the development of backward linkages.</t>
  </si>
  <si>
    <t>ca5354239685a06ecd25c783fac3ae38</t>
  </si>
  <si>
    <t>One reason why researchers have not fitted higher-order Markov models more frequently may be that researchers may not be aware that it is possible to fit such models using readily-available software. Second, higher-order models require long runs of panel data and these data may not always be available. One might argue that first-order DREP models are sufficient to capture the key distinction between heterogeneity and state dependence as determinants of SA receipt histories - note e.g. the relative unimportance of second- and third-order lags cited earlier - but the veracity of this case has not been rigorously scrutinised. An additional complication arises from the fact that approaches for dealing with the initial conditions problem need to be adjusted when higher-order lags are added to the DREP model.</t>
  </si>
  <si>
    <t>d9ed7046273240de0e8ab07479bcbf2d</t>
  </si>
  <si>
    <t>Within this context, the quality of government institutions decreased. Non-formal primary education has been introduced with the aim of providing primary educational services for children outside formal institutions in rural areas of the country. There are no large differences to the formal school curriculum while classes are composed of about 30 pupils (almost half respect to formal schools). At the beginning, 22 experimental non-formal primary education centres were established.</t>
  </si>
  <si>
    <t>2564e3dc2373f7725c7f0cdd113937a2</t>
  </si>
  <si>
    <t>Post-2015, there will be a need for substantial increases in the concessional resource flows to low-income and lower-middle income countries, on a stable and predictable basis, to support productive investment and the provision of public goods. The 2005 Paris Declaration and the subsequent Accra Agenda for Action in 2008, along with the Busan Partnership for Effective Development Cooperation in 2011, are the clearest results of those efforts. Although not yet fully implemented, these agreements imply a certain rebalancing of the relationships between partners and donors.</t>
  </si>
  <si>
    <t>bf822b21b3f459fbb364d4a2a2c68448</t>
  </si>
  <si>
    <t>For the purposes of the SHI scheme, “formal sector” refers to enterprises that employ more than ten individuals, a definition which excludes a large proportion of the population. Total expenditure increased steadily from ETB 0.1 million in 2012/13 to ETB 47.9 million in 2015/16. Management and administration initially accounted for the majority of expenditure but the system development’s share of spending increased after 2014/15 and accounted for over 57% of total SHI expenditure in 2015/16.</t>
  </si>
  <si>
    <t>207af37d322e7332acdda072b3fe07b8</t>
  </si>
  <si>
    <t>The financial crisis in the United States is affecting —and will continue to affect— the growth of exports and the remittance flows the region has benefited from in recent years. Some current features of the Latin American economies, such as their lesser external vulnerability, greater fiscal solvency and high levels of reserve, should make it possible to implement countercyclical policies to mitigate the effect of external developments on the region’s performance. Nonetheless, although it is better prepared to cope with this international situation than in the past, one should not assume that Latin America and the Caribbean is immune to the changes that are taking place, and trends in the second half of 2008 and in 2009 will reflect developments in the current setting.</t>
  </si>
  <si>
    <t>a1e8f9eb8017ddae178f0e5fe3daecce</t>
  </si>
  <si>
    <t>Other complementary factors—most importantly a recipient s entrepreneurial skills—are crucial for making credit more productive. Most poor people do not have the basic education or experience to understand and conduct even low-level business activities. The corresponding shares in Pakistan and Sri Lanka are about 70 and 40 per cent. There is no one single solution to global poverty. The solution must include a broad array of empowering interventions and microfinance, when targeted to the very poor and effectively run, is one powerful tool (Daley-Harris, Pollin and Montgomery, 2007, p. 1).</t>
  </si>
  <si>
    <t>309a7ed8fb433468841c9af6a5153981</t>
  </si>
  <si>
    <t>This included two main waves of trade liberalization, one in the 1990s and a second in the 2000s (Coello at al., The first wave lasted From the initial opening of the country until approximately 2001 and foresaw the total abolition of trade licences and the removal of most quantitative restrictions (Thanh and Duong, 2009). The second wave—still ongoing—includes the full involvement of the country in the global network of reciprocal trade agreements (both multilateral, WTO accession in January 2007, and bilateral, such as agreements signed with the United States in 2001 as well as FTA negotiations with the EU concluded in 2016). Empirical analyses consistently highlight the increased importance of international trade in the Vietnamese economy as well as the positive correlation between trade liberalization, growth and poverty reduction.</t>
  </si>
  <si>
    <t>688dcc088da92d5652dfaadc1a79527e</t>
  </si>
  <si>
    <t>The state-led welfare and social protection system is limited in PICs, where there has been a heavy reliance on traditional, informal and non-state social protection systems which are provided through extended family, kinship, and community. The aim of the paper is to examine the nature of traditional, informal and semi-formal social security and protection mechanisms within PICs, to explore the role of non-governmental organizations (NGOs) and civil society organizations (CSOs) in providing social security and safety nets and to aid in enhancing social development in PICs. Social protection is a fundamental issue in promoting social and human development and reducing risks and vulnerabilities. It is an agenda primarily designed for reducing vulnerability and managing risks of individuals, households and communities.</t>
  </si>
  <si>
    <t>PICs=Pacific Island Countries
target 1.3</t>
  </si>
  <si>
    <t>fc621d24f9f0168b025ababc25236a68</t>
  </si>
  <si>
    <t>Up to December 2006, the same factor was applied to both lines. Since 2007, however, the indigence line has been adjusted to reflect changes in the food CPI, whereas the part of the poverty line that corresponds to non-food spending is adjusted by the relevant CPI. Since 2007, therefore, the differential between the indigence and poverty lines has ceased to be constant. In line with usual ECLAC practice, the data have been corrected to account for non-response to some income-related questions by wage earners, the self-employed and retirees, and to mitigate probable underreporting biases.</t>
  </si>
  <si>
    <t>5d2bf7f48bfa6d8d2976577447eefbd5</t>
  </si>
  <si>
    <t>The reform proposal, however, envisages introducing a flat tax rate of 10% on inheritances to dissuade individuals from evading this tax. The contributory pension system accounts for the bulk of total transfers to households and absorbs a large share of central government spending (more than 18% of central government spending in 2011). Yet, its coverage is low and the absence of a first tier minimum pension leaves many elderly in poverty.</t>
  </si>
  <si>
    <t>d69606bfe08167db581fd5ed1bfc9f08</t>
  </si>
  <si>
    <t>It is calculated using the number of deprivations that the multidimensionally deprived children encounter, divided by the maximum number of dimensions considered, showing the average number of deprivations the deprived children experience. The child population per country is calculated multiplying the total population size in 2012 (retrieved from the World Bank Databank, Oct 2014) with the percentage of children as a share of the total population of each country (derived by authors' calculations based on DHS/MICS data, see Annexes 1 and 2). In 2012 these countries represented 78% of the total population of sub-Saharan Africa (and 10% of the world's population).</t>
  </si>
  <si>
    <t>target 1.2</t>
  </si>
  <si>
    <t>25bc4d804102df415af172e156812572</t>
  </si>
  <si>
    <t>This is particularly the case in countries where the level of social spending is comparatively low (as for instance in Greece and Mexico) and/or where support already targets poor families (as, for instance, in Belgium and Slovenia). To reduce poverty effectively, a redistribution of benefits also involves correcting the "losses" of income that can be induced by interactions between different benefits and/or with tax rules (Bradshaw et al., In addition, while a redistribution of child benefit and/or housing benefit may provide a greater income to the poorest children, it should be accompanied by a reinforcement of measures enabling parents to take up a job and reconcile work and family life in the more or less short term so that such a redistribution is not a factor discouraging work.</t>
  </si>
  <si>
    <t>792f6e4130fd024141d8d5469ab22515</t>
  </si>
  <si>
    <t>Andrew Barker from the OECD Canadian desk is also deeply thanked for his valuable comments. First, trends in child poverty and living standards since 2007, i.e. one year before the onset of the Great Recession, are described. An overview of children's material deprivation and of key indicators of child w'ell-being is also provided. The paper discusses the observed poverty trends in relation to policies implemented to combat it by federal authorities.</t>
  </si>
  <si>
    <t>daad8a68fc5357535a9aaefc0dc1856b</t>
  </si>
  <si>
    <t>More details on the specific noncontributory benefits per country can be found in Annex 1. In 2010, Kyrgyzstan allocated USD 85.7 million to non-contributory cash transfers, representing 1.65 per cent of GDP (Gassmann, 2010b). The total social protection budget including social insurance is 5.2 per cent of GDP in 2009.</t>
  </si>
  <si>
    <t>target 1.3</t>
  </si>
  <si>
    <t>cef83cbff4c0698da1cf48ca72ffd852</t>
  </si>
  <si>
    <t>They make significant contributions to non-state social protection systems, and participate informally in all social protection programmes such as labour markets, social insurance, social assistance, micro and area-schemes, and child protection. There is a substantial umbrella of national NGOs. These include the Fiji Council of Social Services (FCOSS), the Fiji Women’s Crisis Centre (FWCC), Kiribati Association of NGOs (KANGO), Samoa Umbrella for NGOs (SUNGO), the Solomon Island Development Trust (SIDT), Tonga Community Development Trust (TCDT), Tuvalu Association of NGOs (TANGO) and the Vanuatu Association of NGOs (VANGO).</t>
  </si>
  <si>
    <t>220bacc253a71239fd23c3e38b1536d5</t>
  </si>
  <si>
    <t>Particular thanks are due to Remy Pigois, Yves Dublin and Vincenzo Vinci from UNICEF and to Sarah Coll-Black and Colin Andrews (World Bank), as well as to the National Social Protection Platform of Ethiopia. Pamela Dale and Gaby Guerrero Serdan, also from UNICEF, also provided valuable guidance. These workshops were attended by representatives of the Government of Ethiopia, development partners and members of civil society.</t>
  </si>
  <si>
    <t>59cda4203d9918fe592951702141ee2a</t>
  </si>
  <si>
    <t>They also underline that a costed approach to social protection spending will be easier to achieve than maintaining social protection spending at a certain level of GDP. There are existing projected figures until 2019/20 for programmes such as the rural and urban productive safety net programmes. These figures are adopted from the official documents after adjusting the figures for inflation but extrapolations are used to project for the years between 2020/21 to 2025/26.</t>
  </si>
  <si>
    <t>3bf6c98fffe7ede5afe0dd7f9cdb3b68</t>
  </si>
  <si>
    <t>They have undertaken advocacy and awareness-raising activities among working people on issues related to gender equality. Some CSOs have also engaged in research and awareness-raising activities to enhance women's knowledge of their rights. In the Democratic People's Republic of Korea, the General Federation of Trade Unions of Korea undertakes advocacy and awareness-raising activities among workers on issues related to gender equality, and ensures that women's rights are guaranteed.</t>
  </si>
  <si>
    <t>76ccb0eaf9be41638dc1a61eac66821b</t>
  </si>
  <si>
    <t>In this case, the evidence shows that the proposed index is extremely robust to changes in these parameters. When all k values between 10% and 70% were considered, 93% of all possible comparisons between pairs of observations were robust.3 When k values were restricted to a range of between 20% and 40%, the percentage of robust comparisons rose to 98%. The Kendall coefficient for k values between 10% and 70% varies between 0.89 and 0.99, while the Spearman coefficient ranges between 0.98 and 0.99.</t>
  </si>
  <si>
    <t>c976294d27622ff747fe36b28fb95cb9</t>
  </si>
  <si>
    <t>The main addition to the UNICEF approach is active labour market interventions, such as skills-building and job matching. However, ILO considers both social protection and social security as largely interchangeable concepts (ILO 2017:194-5). Social security is a human right and it aims to reduce and prevent poverty, vulnerability and social exclusion throughout the life cycle. Social protection floors constitute the most innovative contribution of the ILO approach. They are nationally defined sets of basic social security guarantees - in terms of both essential health care and basic income security for children, adults and older persons - that ensure, as a minimum, that, over the life cycle, all in need have access to goods and services defined as necessary at the national level (ILO 2012). The framework also outlines urban-specific vulnerabilities to be considered and identifies some key issues in urban areas such as targeting and transfer size.</t>
  </si>
  <si>
    <t>fae8d854009d8fa36c8f5d087c7dfc67</t>
  </si>
  <si>
    <t>Others see it narrowly in terms of its potential efficiency effects. Although participation is meant to operate on democratic principles and to involve and benefit all sections of the community, institutions which seem participatory and inclusive in formal terms can effectively exclude significant sections, especially the poor and women. These “participatory exclusions”61 can, in turn, unfavourably affect both equity and institutional efficiency.</t>
  </si>
  <si>
    <t>target 1.4</t>
  </si>
  <si>
    <t>db65d07cab9c3543543f1dad81b818c1</t>
  </si>
  <si>
    <t>Taking Stock of In-work Benefits and Related Measures across the OECD”, OECD Social, Employment and Migration Working Paper, No. Comparing the Wage Penalty for Fixed-term Contracts in Germany and Spain using Quantile Regression”, Labour, Vol. Income Distribution and Poverty in OECD Countries, OECD Publishing, Paris, http://dx.doi.org/10.1787/9789264044197-cn. Org/l 0.1787/eco studies-v2000-2-en. A Quantile Treatment Effect Analysis for Europe”, mimeo. A Multi-State Model of Low Pay Dynamics”, IZA Discussion Paper, No.</t>
  </si>
  <si>
    <t>84e25735d6f86d9a7793aa66604b4811</t>
  </si>
  <si>
    <t>While developing countries remain weakly integrated into international capital markets compared to emerging economies, the crisis could compromise the momentum achieved by a number of growing African countries in terms of mobilizing foreign capital (Griffith-Jones and Ocampo 2009). Countries that rely heavily on FDI may therefore be more at risk than others (Willem te Velde 2008). However, a World Bank review of studies on previous economic crises points out that capital transfers and investments -particularly FDI - are less stable than exchange in goods and services or remittances (World Bank 2008).</t>
  </si>
  <si>
    <t>a8db59d57a2008bba8da65220d6a7195</t>
  </si>
  <si>
    <t>Indeed, there is no guarantee that results on the capacity of a social programme to reduce poverty by a given amount will translate to another country if the poverty line is set in a different way. We propose that this line be set at a multiple of median income, which makes the poverty line sensitive to the distribution of welfare in the country, rather than being solely determined by the mean of the welfare metric used. This relative poverty line can fruitfully be used alongside an absolute poverty line, which we set at the level of the international dollar-a-day poverty line. Considering that the international 1.25 dollar-a-day poverty line sets a minimum income for fulfilling survival needs, the 1.25 dollar-a-day line may appear more relevant when the relative poverty line falls below this level.</t>
  </si>
  <si>
    <t>fe3884f249f1c1bcae94fedba2570026</t>
  </si>
  <si>
    <t>It also had a positive impact on classroom performance for children already in school. In Cambodia, an initiative providing scholarships to at-risk pupils from low-income households increased the average time they remained in school by more than half a grade.270 In Colombia, Ghana and Pakistan, cash transfers programmes have helped improve rates of transition to higher levels of education. For example, cash transfer programmes led to improved test scores for children in Burkina Faso and modest improvements in Morocco.27' Meanwhile, school feeding programmes have been linked to increased learning and cognitive development. In fact, the goals include a specific target on implementing nationally appropriate social protection systems and measures to achieve substantial coverage of the poor and vulnerable by 2030. However, countries can realize social protection by taking incremental approaches that work within their resource and capacity constraints - as well as their social and economic policy frameworks - towards the ultimate goal of universal coverage.</t>
  </si>
  <si>
    <t>192e45956d3844237e0d96051a17baf9</t>
  </si>
  <si>
    <t>In contrast, the assumption of import price recovery in 2010 exacerbates the impact of the global economic crisis in Ghana, which has the highest import penetration rate. The recovery in import and export prices in 2010 is beneficial to economic growth in Cameroon because of its initial trade surplus. Hence factor prices follow their non-crisis trends as early as 2010 in this country, although at lower levels.</t>
  </si>
  <si>
    <t>1d2be08d15053dc526c7e7f81c1814b1</t>
  </si>
  <si>
    <t>Moreover, the subordinate status of women in the household has been argued with reference to time use and violence against women.18 Women work longer hours than men and they may have fewer chances in the formal labour market because the domestic tasks are not equally distributed in the household (see Chapter 4 — Work), and significant proportions of women are victims of domestic violence (see Chapter 6 — Violence against women). Women experience more disadvantages when they live in poor households. For example, in countries such as Pakistan and Yemen, girls and boys from the wealthiest quintile have relatively similar net school attendance rates in primary education, but in the poorest quintile the net school attendance of girls is lower than that of boys by 17 and 25 percentage points respectively.19 In households with poor access to clean water and energy, women bear most of the resulting work burden and harmful health effects (see Chapter 7 — Environment).</t>
  </si>
  <si>
    <t>inequality rather than poverty</t>
  </si>
  <si>
    <t>cb3a204ccf4966a35a7bde900d0825f0</t>
  </si>
  <si>
    <t>The costs of not taking the opportunity will undoubtedly be even higher. Children need to be supported and protected from avoidable ‘falling behind’ at all stages of their development, but the point of greatest leverage is the point at which the process begins. In this sense the metric used -the degree of bottom-end inequality in child well-being — is a measure of the progress being made towards a fairer society.</t>
  </si>
  <si>
    <t>84e07706805f80cfc90d5d1693711c70</t>
  </si>
  <si>
    <t>In other words, a broad reduction in child poverty is to be expected here, not so much from an increase in the employment rate, but from an improvement in the quality of the jobs occupied by parents and/or better compensation by the redistributive system for the penalty weighing on the poverty rate. A sharp decrease in poverty rates can also be expected from a reduction in the child penalty bom by single-parents in many countries (Austria, Belgium, Chili, the Czech Republic, Estonia, France, Iceland, Italy, Japan, Lithuania, Luxembourg, Mexico, Portugal, Sweden, Tukey and the United States) where the lowest poverty rates among single parents occur when the poverty rate for single parents is the same for childless singles (Table 5). In fact, for France and Japan the lowest overall family poverty rate occurs when the poverty rate for single parents and childless singles are the same (Table 4 Column 6).</t>
  </si>
  <si>
    <t>a6da75c3b8b93a0147c1c08cb04a25d0</t>
  </si>
  <si>
    <t>Rather, what is needed is a set of marketing policies and institutions that connect farmers to markets by reducing their marketing costs and risks (IFPRI, 2007). Similarly, this analysis strongly confirms the importance of better market integration and investment in rural infrastructure to help reduce transport and energy costs thereby better transmitting the opportunities created by market opening to those regions. Today, food and other agricultural products are sourced globally as much as manufactured products and the expanding markets for agro-food products are opening up new opportunities for developing countries (see Box 4). Participation in regional or global agro-food value chains allows developing country producers to overcome the limits imposed by their small domestic markets. It provides them access to more vibrant markets, allowing them to upgrade their production processes and improve the quality and value-added of their products. Although the strong growth performance of recent years has been mainly attributed to Zambia’s booming mining sector (copper is the country’s single largest foreign exchange earner), agriculture is the most dynamic component of Zambia’s export economy and is the main driver of export diversification.</t>
  </si>
  <si>
    <t>019c48034c68914bcff8b50339a91ced</t>
  </si>
  <si>
    <t>Clearly, in such a framework, each component must be coordinated with the others in order to achieve social policy objectives (see diagram IV.l). It is also responsible for ensuring that the entire population has access to social services and making sure that the services are adequate in terms of coverage and quality. However, social protection is not responsible for service delivery, which requires specialist management.</t>
  </si>
  <si>
    <t>e7f902455f9ea422343ad12277ec0b15</t>
  </si>
  <si>
    <t>The Innocenti Research Centre (formally known as the International Child Development Centre) generates knowledge and analysis to support policy formulation and advocacy in favour of children, acts as a convener and catalyst for knowledge exchange and strategic reflections on children’s concerns, and supports programme development and capacity-building. The Centre’s publications represent contributions to a global debate on child rights issues, and include a range of opinions. For that reason, the Centre may produce publications that do not necessarily reflect UNICEF policies or approaches on some topics.</t>
  </si>
  <si>
    <t>7539360173498115cc0ea3491cb842a7</t>
  </si>
  <si>
    <t>Moreover, progress between 1990 and 2005 was worse for LDCs than for developing countries as a whole, with 6 out of 10 importers seeing their Pll for LDCs decline during this period. Among the ten importers the share of their total Pll accounted for by LDCs was less than one-twentieth, at only 3.7 cents of every dollar to the poor via trade going towards those within LDCs. Australia was the lowest at 0.7% (0.7 cents per dollar to the poor via trade) and the European Union the highest at 7.1% (7.1 cents). The first is a measure of the share of national income going towards those within these poverty groups below the $1.25 and $2.00 per day level, which are denoted as SIP1 and SIP2 (share of income to the poor). These are calculated based on the surveys and income distribution data used previously. The second dataset provides the share of import-value these 89 countries account for in 10 developed economies (with the EU as a single block), using the IMF’s Direction of Trade database.</t>
  </si>
  <si>
    <t>0e0417524874276c333f6c90f4bbd09c</t>
  </si>
  <si>
    <t>Usually for monetary poverty, household income or consumption is assessed. But in this case sex disaggregation, for example, cannot be meaningfully performed. In multidimensional measures, the unit of identification is normally the individual or the household. When the unit of identification is the individual, it is possible to meaningfully decompose by gender, age, occupation, and other characteristics.</t>
  </si>
  <si>
    <t>d29a9065dd309a3811c7bbe2886ddbe6</t>
  </si>
  <si>
    <t>Conversely, authors such as Barro (2000) and Lopez (2004) do not find any relationship whatsoever between inequality and economic growth and maintain that investment levels do not significantly depend on inequality. Some income inequality data for Brazil between 1995 and 2009 are shown in table 2. These data are the Gini index, the ratio between the income of the richest 10% and the poorest 40%, the ratio between the income of the richest 20% and the poorest 20%, the ratio between the income of the richest 10% and the poorest 10%, the average per capita household income and the percentage of people below the poverty line. The ratios of the incomes of the richest 10% relative to the poorest 10% and of the richest 20% relative to the poorest 20% also declined significantly during the period, especially the former, which moved down from 67.0 to 43.8. Meanwhile, per capita family income grew by approximately 22.5%. The last column shows that the proportion of people below the poverty line stabilized at around 19%.</t>
  </si>
  <si>
    <t>fce08dddf33371436927c7eb6933e675</t>
  </si>
  <si>
    <t>Less than 11% of pupils attending public schools are entitled to a full teaching day, compared with 46% for those attending private schools (Barrera et al., Since private schools cover predominantly pupils from well-off families (and more so in Colombia than in many other countries, OECD, 2012c), many pupils face a double liability of coming from a disadvantaged background and attending a lower-quality school. Second, the poor selection and training of teachers affect education quality.</t>
  </si>
  <si>
    <t>e6612305f831504cd8297e270b584815</t>
  </si>
  <si>
    <t>Indeed, the most common health problems in China today relate to tobacco use, blood pressure and obesity, which are not typical of poor populations. In 2000, the average life expectancy of rural residents was 69.6 years, 8 per cent lower than the average for urban residents of 75.2 years. Maternal mortality in rural areas in 2006 was nearly double that in urban China, at 45-5 per 100,000 live births compared to 24.8.</t>
  </si>
  <si>
    <t>fbc9bb185d0b392b50b339c26d1798af</t>
  </si>
  <si>
    <t>However, in relative terms, the proportion of people living in extreme poverty has been declining since 1990 in both the heavily indebted poor countries (HIPC) and in the least developed countries. However, the numbers of people living in extreme poverty have been on the decline since the early 1990s. Small island developing States will also have to redouble their efforts, given the slackened pace of poverty reduction they experienced between 1999 and 2005, which was considerably slower than that experienced between 1990 and 1999.</t>
  </si>
  <si>
    <t>d90aa94da60f11492c6e6b995a5f4f0e</t>
  </si>
  <si>
    <t>Indeed, it captures whether the global economic recession brought a trend reversal in the performance of child indicators with respect to the previous pattern in the countries under review. Then, country indices were averaged out by exposure group for each year.14 We have indexed the graphs to 2008 in order to focus on changes before and after the base year, so the figures show (relative/proportional) changes rather than levels. For negative indicators, such as child poverty, the higher the index, the worse the setback. In Annex 5 we report the trend lines disaggregated by 4 country group categories.</t>
  </si>
  <si>
    <t>270570d69b9a3dc096819d641b83a7ab</t>
  </si>
  <si>
    <t>The vast majority of households do not have the capacity to pay for such services. For households that do report care spending, the actual market demand expressed in monetaiy terms depends on total household income and on the range of needs they need, want and are able to meet. Spending on health care inside and outside the household was grouped together, showing that most of this spending goes on older persons in the household, the sick and persons with disabilities.</t>
  </si>
  <si>
    <t>b383a9976f7643e96b05ff7f207c1ff0</t>
  </si>
  <si>
    <t>From 1990 to 2015, more than 1 billion people were lifted out of extreme poverty. Achieving SDG 1, however, will nonetheless not be easy. Over 700 million people continue to battle extreme poverty, living on less than $1.90 per day. The world population continues to grow. Poverty eradication efforts will demand we reach communities alienated within current development pathways because they lack productive capacities, live in remote areas without access to services or face discrimination. Many people who escape income poverty may remain relatively poor in their local context or face deprivations in health, education and shelter.</t>
  </si>
  <si>
    <t>c35131b76312220e215b226ca6162e0b</t>
  </si>
  <si>
    <t>The stigma attached to transgender people, men who have sex with men, and sex workers has resulted in their social exclusion (Winter, 2012). In South and South-West Asia, transgender people in particular lack recognition. Being held in low esteem, they find it difficult to pursue education, enter a profession or set up a business.</t>
  </si>
  <si>
    <t>68d66bb4f84b270558b25c49f19b41eb</t>
  </si>
  <si>
    <t>The lines for all five countries are essentially flat, which implies that there is very little systematic variation in rates of benefit receipt between calendar months. Any month-to-month fluctuations in benefit receipt observed in the monthly rates of benefit receipt for Sweden and Norway in the bottom-left panel represent ‘noise’, i.e. random variations, rather than seasonal effects. Figure 6 shows that 2-4% of working-age individuals in Latvia and Norway receive HB while the corresponding share is 3-6% in Germany and 8-10% in the Netherlands and the United Kingdom.</t>
  </si>
  <si>
    <t>0ab3309ee632d1a05cf70cfdb2650c23</t>
  </si>
  <si>
    <t>Many people feel insecure in their homes and communities. One billion girls and boys ages 2-17 worldwide experienced physical, sexual or psychological violence in the prior year, according to one study.94 Some 25 percent of children suffer physical abuse, and nearly 20 percent of girls are sexually abused at least once in their life.95 Elder abuse remains a hidden problem:96 10 percent of older adults were abused in the prior month.97 Homicide is also a major social concern. Physical security and freedom from the threat of violence were particular concerns among female respondents (box 2.7). For women, real or perceived physical and emotional violence is a major barrier to meeting their full human potential and feeling free to move about.</t>
  </si>
  <si>
    <t>2aca66bc4e9ec5786ad601adcda48ba7</t>
  </si>
  <si>
    <t>In general, these numbers are a little larger than those generated by the global Linkage model, but they are still generally much lower than would be the case had dynamic models been used. One should not necessarily expect the unweighted averages of the poverty results for each region to be similar to those generated by Hertel and Keeney (2010), but for comparative purposes the latter’s unweighted averages of national poverty effects for each of the key developing country regions are reported in parentheses in the last four rows of annex table 7(c), in order to make it easy to compare with the unweighted regional averages for the national case studies. When all merchandise trade is liberalized, the extent of reduction ranges from close to zero to about 3.5 percentage points, except for Pakistan where it is more than 6 percentage points.</t>
  </si>
  <si>
    <t>9229adede2dfdb21479661ccefc045a6</t>
  </si>
  <si>
    <t>Social movements, activists and experts have called attention to the adverse effects of such projects. The former Special Rapporteur on the right to adequate housing as a component of the right to an adequate standard of living presented in a 2007 report basic principles and guidelines on development-based evictions and displacement, condemning disruptive development initiatives and recommending the adoption of policies that provide for popular participation, adequate compensation and proper resettlement schemes (A/HRC/4/18, annex I). Likewise, the current Rapporteur, in her 2009 report, referred to major international sports events such as the Olympic Games and the football World Cup, addressing the State's role in implementing pro-poor development (A/HRC/13/20, paras.</t>
  </si>
  <si>
    <t>da7fab1e23cb3e0f0f98af5d57e44edb</t>
  </si>
  <si>
    <t>But practically, we know that we will need to consider a number of possible trade-offs when selecting the best indicator among a set of possible indicators. The best measures may not be collected frequently to allow yearly comparisons. Our desire for longer time series rather than single measurements may be compromised if the measure changes substantially from one year to the next.</t>
  </si>
  <si>
    <t>14e2073abb63d25f8cd763dbe670c3a8</t>
  </si>
  <si>
    <t>Poverty will rise among households depending on remittances7 and those employed in sectors such as construction (World Bank 2010b). These direct effects are followed by second order effects when families may be forced to reduce their investments in health and education as a response to lower purchasing power. An economic shock may also lead to social unrest, disrupt community and inter-ethnic relations or even bring down fragile governments (World Bank 2010b, Slay 2011).</t>
  </si>
  <si>
    <t>1789f6d06cb5e29a8f5941abde1bc6cc</t>
  </si>
  <si>
    <t>Usually the deprivation cut-off is completion of primary education, but people in Latin America now require a level of education far beyond primary school to have a good chance of escaping income poverty (Villatoro, 2007). The cut-off used here for persons aged between 20 and 59 years is completion of lower-secondary education, while that for those of 60 years or over remains completion of primary school. However, household surveys in the region do not currently include indicators of cognitive skills for either children of school age or adults. Naturally, any comprehensive measurement of poverty requires data on other aspects.</t>
  </si>
  <si>
    <t>8e8b888fb1d18dc3b3e895c4e0f35bb8</t>
  </si>
  <si>
    <t>The selected deprivation indicators and countries are the percentage of children under 18 experiencing housing deprivation in Costa Rica and the percentage of children under 18 experiencing drinking-water-related deprivation in the Bolivarian Republic ofVenezuela. At the same time, when only national data are available, it is very difficult to target policies for reducing existing social inequities because social programmes struggle to generate a positive impact on extremely poor children in localized areas. The measurement of housing deprivation is presented for Costa Rica, based on a threshold of overcrowding (three or more people per room, excluding the bathroom and kitchen), mud flooring or unsafe construction materials, such as ceilings or exterior walls made from mud, waste materials or similar.</t>
  </si>
  <si>
    <t>a332c0610efeb53ca0332b114988ebf5</t>
  </si>
  <si>
    <t>Increases in house prices slowed down around the period of the financial crisis, but then price inflation went back to its pre-crisis level. Overall, house prices in household income increased sharply, and after falling around 2008, the house price to rent ratio returned to rising sharply. Recently, house prices declined in energy-producing regions, continued to rise strongly in Vancouver and Toronto, and have risen modestly elsewhere. In this context, the purchase of real estate often becomes unaffordable for low-income families who, as it will be seen in the next section, are increasingly likely to rent their homes. The standardised price-rent and price-income ratios show the current price-rent and price-income ratios relative to their respective long-term averages.</t>
  </si>
  <si>
    <t>target 1.4 (ownership of property)</t>
  </si>
  <si>
    <t>a62aeaec857f6aae35cd482f65472f90</t>
  </si>
  <si>
    <t>However, the stimulus that these policies provide are very small at the macroeconomic level, and are far from fully counteracting the crisis’ negative effects on real GDP growth (figure 13). The policy of cash transfers appears to be the least effective in this sense, although its results are not enormously different from those produced by the VAT reduction policy or elimination of customs tariffs on food products. These results are consistent with expectations at the macroeconomic level, indeed, if the simulated policies can provide a rapid response to the socioeconomic harm of the crisis, their effects are only transitory and, as a consequence, are not sustained enough to address alone concerns about economic recovery. To effectively boost growth, specific policies would have to be implemented to encourage accumulation and efficient use of production factors, along with improved productivity. However, measures which flow from such policies are not generally applied immediately and cannot be seen as rapid responses in cases of exogenous shocks.</t>
  </si>
  <si>
    <t>79d99b9eb657a42ace64a2dc3f7b12a7</t>
  </si>
  <si>
    <t>They differ from the usual ones employed by trade modellers of developing country policies in that they are based on direct domestic-to-border price comparisons rather than (as with the GTAP dataset) on applied rates of import tariffs and other key border measures. A first attempt to exploit that new database was recently undertaken to assess the relative impacts on national, regional and global poverty as well as inequality of agricultural and non-agricultural trade policies at home and abroad. This chapter summarizes some of the working papers that have emerged from that research project (see www.worldbank.org/ agdistortions).</t>
  </si>
  <si>
    <t>ccc75c81fa27bb7f1b3e268a617a89a8</t>
  </si>
  <si>
    <t>The analysis summarises and extends recent country studies on the dynamics of SA receipt for Norway (Bhuller &amp; Konigs, 2011, Bhuller, Brinch &amp; Konigs, 2014), Luxembourg (Konigs, 2012), and the Netherlands (Konigs, 2013). In addition, it presents previously unpublished results for Sweden. The results for Latvia are taken from findings of a World Bank study (World Bank, 2013) in which two of the authors were involved.</t>
  </si>
  <si>
    <t>6c001d3a1272c3ba6e38e95e53040bcf</t>
  </si>
  <si>
    <t>Where changes in the anchored poverty rate across the EU or the OECD are reported, it is usually only done for the overall population (Caritas Europa 2014, OECD 2014, Social Protection Committee 2014). The severe material deprivation indicator uses the threshold of four items out of nine. The only exceptions are Slovakia and Hungary, where severe deprivation increased to a greater extent than would have been (linearly) predicted based on their standard deprivation rates, and Ireland and Poland, where the reverse pattern was observed. However, as the child deprivation module is currently only available for one wave, it cannot be used to analyse the changes during the Great Recession. The absolute difference in the poverty change between children and the overall population is then used as an indicator of how much poorer children have become over the course of the Great Recession compared to the population as a whole.</t>
  </si>
  <si>
    <t>cbcf7f0bf6893461e8dc6b145f3d55d4</t>
  </si>
  <si>
    <t>The Trade-Related Aspects of Intellectual Property Rights (TRIPS) agreement established stronger and more universal standards of intellectual property protection, but many developing countries lack the ability to make effective use of intellectual property rules as a tool of development, or to mitigate its disadvantages. Space should be given for developing countries to adopt the system of intellectual property protection that best suits their development needs. A major challenge for developing countries, especially the smaller and poorer ones, is the diversity and complexity of the international intellectual property right (IPR) architecture and the multiplicity of negotiating forums.</t>
  </si>
  <si>
    <t>9d67ccf668e51d50571e9fbaa0371671</t>
  </si>
  <si>
    <t>The highest figures correspond to the northern, north-eastern and central-western regions of the country. The settlement of these areas, especially the zones along the southern and eastern borders of the Amazon jungle, is quite recent, and the production of agricultural commodities for export in these areas is steadily increasing, but the cities in these zones are still not fully developed. The variables associated with the greatest deprivation have to do with urban services (running water, sewerage systems and systems for the disposal of household waste, etc.).</t>
  </si>
  <si>
    <t>d923815467dc27aa0eb94c179eece181</t>
  </si>
  <si>
    <t>The technical work to select suitable indicators for the new targets was done by the Inter-Agency and Expert Group on Millennium Development Goal Indicators. The framework will be used to report annually to the General Assembly and is expected to serve to monitor the MDGs in all official matters. It contains 21 targets and 60 indicators that have been renumbered sequentially according to the respective goals and targets.b In addition, several targets and indicators were eliminated and others reformulated.</t>
  </si>
  <si>
    <t>c1d98ececc9f11e751a368481e013ff5</t>
  </si>
  <si>
    <t>Low Carbon Green Growth Roadmap for Asia and the Pacific: Turning Resource Constraints and the Climate Crisis into Economic Growth Opportunities. Available from www.unescap.org/esd/publications/ environment/lcgg-roadmap/Roadmap_FINAL_l 5_6_12.pdf. Available from www.un.org/millennium goals/reports.shtml.</t>
  </si>
  <si>
    <t>0ad121123a1a4d3051e4c61ffaf28fca</t>
  </si>
  <si>
    <t>A challenge therefore appears to be not so much to quickly move recipients off benefits, but rather to ensure that they remain self-sufficient after having left. A series of articles based on fortnightly administrative data from the Australian Longitudinal Data Set (LDS) illustrate again the high frequency of repeated spells and emphasize the importance of considering transfers across different income-support programmes. For the 1995 inflow sample of recipients of means-tested single parent benefits, Gregory &amp; Klug (2003) show that spell lengths tend to be short with 45% of all spells lasting shorter than one year.</t>
  </si>
  <si>
    <t>973a6415bb75521a0add392f441a4cc1</t>
  </si>
  <si>
    <t>To do this, in the calculations and analysis carried out in this document (unless otherwise specified) the Centre region should be understood as “the Centre region excluding Yaounde” and the Littoral region as the “Littoral region excluding Douala.” In the ECAM survey, urban areas include cities with at least 50 000 inhabitants, all other localities are considered as rural. According to this logic, 36.24% of Cameroonians were urban in 2007 across the entire population, while this figure was 30.7% for children aged 0 to 14. In the general census, however, any town with over 5000 inhabitants and all towns which were the administrative centre for a county were considered as a city.</t>
  </si>
  <si>
    <t>b91ff29bf9d09fd26d5d7848be67f6b9</t>
  </si>
  <si>
    <t>In terms of the hungriest, 16.1 per cent are found to be ultra hungry in Bangladesh, with 15.9 per cent in rural areas and 17.1 per cent in urban areas. In Lao PDR, the share is 16.1 per cent, with 10.7 per cent in rural areas and 31.4 per cent in urban areas. In Timor-Leste, the figure is 25.0 per cent, with 25.0 per cent in rural areas and 25.2 per cent in urban areas.</t>
  </si>
  <si>
    <t>665813c141348f6ac11bb0650b0538bb</t>
  </si>
  <si>
    <t>Excluding pensions from the calculation of eligible family income, on the other hand, would increase the number of eligible beneficiaries by 46 per cent (Delarue and Nikaj, 2009). Eligible families are identified through a mix of community-based targeting and means testing. A commission chaired by the deputy-chairman of each district (hukumat) is responsible for the final selection of beneficiaries.</t>
  </si>
  <si>
    <t>d32379724cbda07318cf80a2963c712a</t>
  </si>
  <si>
    <t>Almost no country has been completely spared by the crisis, however, some economically advanced countries have been hit more severely, while others have been more resilient. Indeed, the growth performance of rich countries during the Great Recession has been heterogeneous. Similarly to other countries, they experienced a sustained increase of demand in the years before the crisis, which pushed up asset prices and private debt. Yet the lack of stringent supervision and easy access to credit fueled a speculative bubble that led to bank failures, large fiscal deficits and increasing fiscal vulnerability. Since they were not able to face the negative consequences of the crisis, they asked for external support from IMF/EU/ECB and quickly accepted a process of fiscal adjustment.</t>
  </si>
  <si>
    <t>16974ee71ed334f02a1fd8d3b76613a5</t>
  </si>
  <si>
    <t>They arc also subject to an ecological relationship and affected by the interplay among the immediate environment, the community and society. Individuals may not automatically bounce back from what appears to be a transitory shock (hysteresis). For instance, a setback in early childhood can have serious ramifications throughout the rest of a person’s life, including the chances of holding onto a job, the uncertainties associated with growing older and the transmission of vulnerabilities to the next generation.</t>
  </si>
  <si>
    <t>3cc237808571be77d22403ae313de522</t>
  </si>
  <si>
    <t>In the case of poor families, this type of integration has been promoted fairly successfully through a number of co-responsibility transfer programmes (CTPs). This gives prominence to the pathways by which families and individuals reinforce their rights and their ability to access areas of contributory social protection or, where this is not possible, non-contributory social protection mechanisms to cover these needs with differentiated actions tailored to their profile. By being guaranteed for all citizens, these minimum levels are universal and establish a framework in which citizens not only demand and consume services, they are also holders and subjects of rights, with the capacity to demand that these rights be realized.</t>
  </si>
  <si>
    <t>3d473f024326ad8ea7d724717e942917</t>
  </si>
  <si>
    <t>Ill (LC/G.2488-P), Santiago, Economic Commission for Latin America and the Caribbean (ECLAC). Evidence from El Salvador's Comunidades Solidarias Rurales", 1FPRI Discussion Paper, No. Version final" [online] http://www.oportunidades.gob.mx/ EVALUACION/es/ docs/ docs2005.php. New York, Routledge/ United Nations Research Institute for Social Development (UNRISD).</t>
  </si>
  <si>
    <t>71c0af98b8216ec275a8393e4a854e7f</t>
  </si>
  <si>
    <t>On the other hand, inequality-poverty elasticity may be higher or lower than zero.' This means that poverty changes may result both from economic growth (typified by the increase of average income) and from a decline in income inequality. However, the poverty reduction effect is much stronger when both factors combine. The arithmetic average of this variable is then established and average income values thus obtained for the states in the sample.</t>
  </si>
  <si>
    <t>f06121701afe5ec59c88be55e86f17c1</t>
  </si>
  <si>
    <t>In most countries, household income also includes an imputed rental value for owner-occupied dwellings. For Brazil, this study has used the indigence lines estimated by the Brazilian Geographical and Statistical Institute (IBGEI. For Colombia, the thresholds proposed by the Colombian Mission for the Linkage of Employment.</t>
  </si>
  <si>
    <t>a0dfefb2ac583d2cc6811959e6c7cbcc</t>
  </si>
  <si>
    <t>The extension of income data at sub-national level is part of the OECD work on advancing the measurement agenda of wellbeing to regions and cities (see http://www.oecd.org/regional/how-is-life-in-your-region.htm). Income-based measures of poverty at regional level are a first step towards more encompassing metrics of deprivation that include non-monetary measures. High disparities between regions can undermine national economic grow'th, leading to inequality of opportunities and creating social tensions that in turn may sustain regional imbalances over time (OECD, 2011b).</t>
  </si>
  <si>
    <t>aa37d9eb7eee77657e8bcefb63fde2fc</t>
  </si>
  <si>
    <t>The gains are realised when the owner sells the asset and cashes in the gains. Smeeding and Moon (1980) have compared alternative methods for the evaluation of a set of services, finding negligible differences between the cost of production and more subjective metrics such as the utility value. See OECD website, “Going social: the great tax-benefit balancing act” on wages and benefits indicators, wwuj.oecd.org/els/bene/itsandujagesoecdmdicators.htm.</t>
  </si>
  <si>
    <t>f73cae40216ae8cdad1333d4b79a05b4</t>
  </si>
  <si>
    <t>It was found that 85% of all possible comparisons between pairs of observations were robust to these 98 variants. When the alternatives were restricted to a narrower range of three k values, 20%, 30% and 40%, the proportion of robust pairs of combinations rose to 91 %. » It was found that 84% of all possible comparisons between pairs of observations were robust to these 196 variants. When the alternatives were restricted to a narrower range of three k values, 20%, 30% and 40%, the proportion of robust pairs of combinations rose to 90%. It was found that 81 % of all possible pairs of comparisons were robust. When the alternatives were restricted to a narrower range of three k values, 20%, 30% and 40%, the proportion of robust pairs of combinations rose to 88%.</t>
  </si>
  <si>
    <t>72a452d93bcd12adcbbceb08437c08dc</t>
  </si>
  <si>
    <t>The provisions for partnership in Goal 8 of the MDGs need to be strengthened and include quantitative, time-bound targets, besides those established for ODA flows. The crises of the last decade have shown that instability in global markets (e.g., finance, food, fuel) is a key issue demanding priority attention. In addition, rising natural disasters, partly caused by climate change, as well as political violence and poor health conditions continue to contribute to human insecurity.</t>
  </si>
  <si>
    <t>337abea2e804fb00586d212f2f400539</t>
  </si>
  <si>
    <t>Such workers send about half their monthly wages to families back home, typically supporting four or five family members. Remittances are used to pay for food, healthcare and education, significantly reducing the incidence of extreme poverty (Neak and Yem, 2006). This industry can easily be relocated to other countries, and there are limited job opportunities in other areas of the formal sector for the unskilled.</t>
  </si>
  <si>
    <t>1c0f21887df0116ca1b67aa3d8f51f24</t>
  </si>
  <si>
    <t>One trend dominates in particular: the relative gain in income (+13%) for children whose parents ow'n the home compared to poor families who rent their homes but who otherwise share the same characteristics (Annex B). Declines in home ownership tend to push the standard of living down. The proportion of poor children in a two-parent family renting a dwelling increased sharply, from 36% in 2007 to 50% in 2014.</t>
  </si>
  <si>
    <t>fd92b8b335369babaa227a6be09b0e8d</t>
  </si>
  <si>
    <t>This calls for including care in the economic analysis (care as the "shadow of work”), understanding its relationship to gender oppression and recognizing its value as a meaningful activity and a responsibility of citizenship. El cuidado como eje de politicas y de actores en America Latina", Seminarios y Conferencias series. Just for the sake of setting a cut-off age, there is no question that beyond the age of 80 the fragility- rate is high, independence is inconsistent and there is a risk of functional loss.</t>
  </si>
  <si>
    <t>da473f1e458a71cb15edd7ddd3b00b99</t>
  </si>
  <si>
    <t>Societies will have to adjust to increasing proportions of older persons in their population. In this regard, in developed countries, concerns about rising costs of health care (partially related to ageing) and viability of pension systems are already at the centre of policy debates. In many developing countries, population ageing is occurring in an accelerated fashion and life expectancy has risen considerably.</t>
  </si>
  <si>
    <t>672f43efbcf0e458ebd84df6b0f493b5</t>
  </si>
  <si>
    <t>Strictly speaking, weighting is relevant only for the definition of the basket of goods and services used to set the poverty line. The aggregation of the minimum basket of goods is done by accumulating the monetary value of each of the items within the selected basket of goods. The aggregation of a household's resources is done either by accumulating the household members' income from all (or most) sources, or by accumulating the monetary value (price) of each of the items/services bought or consumed by the household.</t>
  </si>
  <si>
    <t>1a28a23025f08d6a19019c83c4f328c5</t>
  </si>
  <si>
    <t>For example, in 2011 the WHO-based report on ‘Women’s Lives and Family Relationships’8 reported that 60 per cent of women had been subjected to physical and/or sexual violence by husbands/partners in their lifetime, and for 90 per cent of these women the violence was severe. More than 1 in 4 women over the age of 15 years experienced physical violence by non-partners, 1 in 3 women experienced sexual abuse when they were under the age of 15 years and 2 in 5 women were forced into first sex. The study showed that acts of sexual violence caused injuries for many women (including loss of consciousness for 50%). One in 5 of those injured suffered permanent disability.</t>
  </si>
  <si>
    <t>cda785142bb65de2846a728c87e18d80</t>
  </si>
  <si>
    <t>Moreover, the rents needed to fund technical change can equally come from the effective protection of intellectual property rights. A recent OECD publication, “Economic Policy Reforms: Going for Growth 2007” (OECD, 2007e), finds that stronger competition has particularly powerful effects on productivity in countries far away from the technological frontier, reflecting stronger incentives to adopt new technologies. Finally, Bigsten et al. ( Particularly where trade is accompanied by foreign direct investment, it is likely to promote the transfer of skills and of innovation. Beyond this direct transfer of technology embodied in trade, or as spillovers from trade (Nordas et al., As the experiences of newly industrialised economies in Asia has demonstrated from the 1960s through to the 1990s, latecomers can - with the right preconditions and determinants - take advantage of the newest technological development and simply buy technology for their own industrial development at a relatively lower cost and less risk4 (Lin, 2007, UNIDO, 2007).</t>
  </si>
  <si>
    <t>aea1ca9db48210eaaac7f4766abc83ea</t>
  </si>
  <si>
    <t>Section 5 concludes discussing the statistical agenda to extend this work. The indicators rely on the most suitable data source available in each country, with the selection of sources generally decided in consultation with national authorities. Data and indicators are collected through a network of national consultants who provide standard tabulations based on comparable definitions and methodological approaches.</t>
  </si>
  <si>
    <t>ab205eab935330ab0765d3488f4401f5</t>
  </si>
  <si>
    <t>El Salvador, Paraguay and Uruguay, several of which showed the largest gains in this source, reported increases both in average income per recipient and in coverage. In the other countries, the outcome resulted from a rise in one factor combined with a fall in the other (see figure 11.8). Within this framework, it is possible to analyse different combinations of inequality reduction and average income growth that could produce a particular poverty rate, and then assess whether those conditions are in line with the trends observed in recent years. Goal 1 is to end poverty in all its forms everywhere and sets targets for achieving that. Target 1.1 is to eradicate extreme poverty for all people everywhere by 2030.</t>
  </si>
  <si>
    <t>4e3476ab20dba2595e704e18de85f420</t>
  </si>
  <si>
    <t>But the long list of problems cited above also translates into significant costs for society as a whole. In addition, there is a significant cost to business and to economies as a whole in the lower skill levels and reduced productivity that are the inevitable result of a large number of children failing to develop to their potential. Finally, there is a cost that must be paid by all in the threat that bottom-end inequality poses to social cohesion and the quality of life in advanced industrial economies. “ Wide inequality,” says the 2010 report of the United Kingdom’s National Equity Panel “is eroding the bonds of common citizenship and recognition of human dignity across economic divides.</t>
  </si>
  <si>
    <t>37f2174ec89f9c073a0b42bda64b2ace</t>
  </si>
  <si>
    <t>For the first time, clear targets have been set to end these evils, and the relationship between them and sustainable growth has been recognized. Put simply, ending child labour, slavery, trafficking and violence against children is directly tied to achieving most of the other development goals. However, what matters most is the will in the words, not the words in the will.</t>
  </si>
  <si>
    <t>19c1909ddb97d947a21b358a4ea354e9</t>
  </si>
  <si>
    <t>The average supply of calories for food consumption of each country or region is normalized by the average dietary energy requirement estimated for its population in order to provide an index of adequacy of the food supply in terms of calories. Analysed together with the prevalence of undernourishment, it allows the determination of whether undernourishment is mainly due to the insufficiency of the food supply or to particularly poor distribution. Aggregate calculations: FAO Statistics Division (ESS).</t>
  </si>
  <si>
    <t>c39ae8c69efcaa79b4c6d0930c34098d</t>
  </si>
  <si>
    <t>The impact analysis found that members of the health insurance system were more likely to seek treatment in health facilities rather than to self-treat (Jowett, 2001). And the Early Intervention Programme of Belarus is one of the best practices for children with special needs in the CEE/CIS region. Due to this programme, access for children with special needs to quality early intervention health services has increased. Between 2003 and 2008 the programme produced a 20 per cent increase in the number of children under 8 years benefiting from appropriate care and feeding practices for their survival, growth and development, including early identification of children with special needs (UNICEF, 2011b).</t>
  </si>
  <si>
    <t>23ff71bd86cc0ff115e9b1be5a39a5e8</t>
  </si>
  <si>
    <t>This is a revised and updated version of the Working Paper published in January 2014 (April 20114). Requests to utilize larger portions or the full publication should be addressed to the Communication Unit at florence@unicef.org. Multiple Overlapping Deprivation Analysis for the European Union (EU-MODA): Technical Note, Innocenti Working Paper No.2014-01, UNICEF Office of Research, Florence. The prime objectives of the Office of Research are to improve international understanding of issues relating to children's rights and to help facilitate full implementation of the Convention on the Rights of the Child in developing, middle-income and industrialized countries. Through strengthening research partnerships with leading academic institutions and development networks in both the North and South, the Office seeks to leverage additional resources and influence in support of efforts towards policy reform in favour of children. For that reason, some publications may not necessarily reflect UNICEF policies or approaches on some topics.</t>
  </si>
  <si>
    <t>a99f527978e3e5f5ba200375b6bc299e</t>
  </si>
  <si>
    <t>In the Netherlands and Luxembourg, by contrast, median spell durations tend to be very long (9 and 15 months, respectively) but benefit leavers are unlikely to return to benefits. In Norway and Sweden, a very small minority (2% and 4%) of recipients stay on benefits for extended periods of time of more than 24 months. In Luxembourg, the majority of spells also last shorter than 2 years, but longer spell durations beyond 2 years are much more common here (38%).</t>
  </si>
  <si>
    <t>2405c6c315705a26b7d575132e5bfe57</t>
  </si>
  <si>
    <t>In addition to this recommended minimum disaggregation, further disaggregation would in many areas be of policy relevance. For example, the child population could be disaggregated into smaller age groups as there are often significant differences in poverty rates between these age groups. Different rationale can be applied to this, for example related to policy objectives (for example pre-school, school age, secondary school), or age groups (0-4, 5-9, 10-14, and 15-17).</t>
  </si>
  <si>
    <t>0e6beb562967b9cb5464eed927a0ced7</t>
  </si>
  <si>
    <t>The prevailing assumption in the public choice model that has served to underw rite so much of the policy in the past three decades is that the State is autonomous and free from corruptive private interests. From a historical perspective, it is clear that the State has never been a neutral instrument for good only, but has been the subject of power struggles. It is only out of such struggles that it has eventually emerged in the shape that we now use as the model of good governance. The destiny of the State has been determined by local stakeholders with an interest in improving governance.</t>
  </si>
  <si>
    <t>6a5af006f75170a2b7819be58a208e63</t>
  </si>
  <si>
    <t>Spending on humanitarian relief alone exceeded 2% of GDP in 2015/16, underlining the impact of including emergency assistance within calculations for total social protection expenditure. It is notable that the GoE and regional administrations are bearing a significant portion of the cost of this expenditure. However, it achieved the strongest growth in real spending across the five focus areas over this period, averaging 33% per year. Technical support to on- and off-farm livelihoods activities.</t>
  </si>
  <si>
    <t>focused on humanitarian relief rather than social protection</t>
  </si>
  <si>
    <t>aba8aab1cd6cd34900c2baf7dd453a9c</t>
  </si>
  <si>
    <t>They should also reflect the elements of civil and political rights that are an important part of democratic governance. This includes democracy and specific attention to respecting the rights of minorities and migrants, as well as the elimination of discrimination against women. This extends beyond aid to trade and investment to encompass assistance to poverty eradication initiatives as well as cooperation in setting up an enabling economic environment for development worldwide. In order to achieve inclusive global development, fundamental changes in the global partnership are called for to address current and emerging challenges in such areas as food security, low-carbon development, energy, migration, employment, gender empowerment and climate change adaption.</t>
  </si>
  <si>
    <t>TO DO</t>
  </si>
  <si>
    <t>especially last sentence is the target 1b</t>
  </si>
  <si>
    <t>not about how to reduce poverty, only about how export relates to poverty</t>
  </si>
  <si>
    <t>questionable, just fact stating not about how to end poverty but does use deprived which is value-laden</t>
  </si>
  <si>
    <t>this one is also fact stating but no value laden words</t>
  </si>
  <si>
    <t>more about inequality, only last sentence about cross-country poverty</t>
  </si>
  <si>
    <t>fact stating, about hunger, not poverty</t>
  </si>
  <si>
    <t>overall theme</t>
  </si>
  <si>
    <t>not about how to end povery, mainly about modeling</t>
  </si>
  <si>
    <t>about poverty line needed for 1b</t>
  </si>
  <si>
    <t>only last word is about poverty</t>
  </si>
  <si>
    <t>about poverty line but not how to end poverty</t>
  </si>
  <si>
    <t>remittances reduce poverty globally</t>
  </si>
  <si>
    <r>
      <rPr>
        <rFont val="Calibri"/>
        <color theme="1"/>
      </rPr>
      <t xml:space="preserve">Andrew Barker from the OECD Canadian desk is also deeply thanked for his valuable comments. First, trends in child poverty and living standards since 2007, i.e. one year before the onset of the Great Recession, are described. An overview of children's material deprivation and of key indicators of child </t>
    </r>
    <r>
      <rPr>
        <rFont val="Calibri"/>
        <b/>
        <color theme="1"/>
      </rPr>
      <t>w'ell-being</t>
    </r>
    <r>
      <rPr>
        <rFont val="Calibri"/>
        <color theme="1"/>
      </rPr>
      <t xml:space="preserve"> is also provided. The paper discusses the observed poverty trends in relation to policies implemented to combat it by federal authorities.</t>
    </r>
  </si>
  <si>
    <t>it seems that they imply protection from poverty</t>
  </si>
  <si>
    <t>links to social protection systems but only vaguely</t>
  </si>
  <si>
    <t>SDG 8</t>
  </si>
  <si>
    <t>not clear enough of a link to 1.4</t>
  </si>
  <si>
    <t>not really linked to SDG 1 objectives</t>
  </si>
  <si>
    <t>more on SDG 4</t>
  </si>
  <si>
    <t>though it is more fact-stating without clear call to action or value</t>
  </si>
  <si>
    <t>SHI = Social Health Insurance?</t>
  </si>
  <si>
    <t>though again more fact-stating</t>
  </si>
  <si>
    <t>Not directly an expression of poverty is it?</t>
  </si>
  <si>
    <t>more on health systems and malnourishment than social protection and poverty eradication</t>
  </si>
  <si>
    <t>though on income support it doesn't make a link to actual poverty, it could just be support for low-income groups that are still considered above poverty line</t>
  </si>
  <si>
    <t>again no direct mentioning of poverty</t>
  </si>
  <si>
    <t>doi</t>
  </si>
  <si>
    <t>text_id</t>
  </si>
  <si>
    <t>text</t>
  </si>
  <si>
    <t>sdg</t>
  </si>
  <si>
    <t>labels_negative</t>
  </si>
  <si>
    <t>labels_positive</t>
  </si>
  <si>
    <t>labels_total</t>
  </si>
  <si>
    <t>agreement</t>
  </si>
  <si>
    <t>label</t>
  </si>
  <si>
    <t>difficulty</t>
  </si>
  <si>
    <t>selection</t>
  </si>
  <si>
    <t>10.18356/cc6ff508-en</t>
  </si>
  <si>
    <t>easy</t>
  </si>
  <si>
    <t>automated selection</t>
  </si>
  <si>
    <t>10.1787/5jxrcmgpc6mn-en</t>
  </si>
  <si>
    <t>hard</t>
  </si>
  <si>
    <t>10.18356/208cb99e-en</t>
  </si>
  <si>
    <t>very hard</t>
  </si>
  <si>
    <t>10.18356/ff76cb89-en</t>
  </si>
  <si>
    <t>very easy</t>
  </si>
  <si>
    <t>10.18356/152d606d-en</t>
  </si>
  <si>
    <t>10.1787/eco/surveys-col-2013-4-en</t>
  </si>
  <si>
    <t>medium</t>
  </si>
  <si>
    <t>10.18356/24485d89-en</t>
  </si>
  <si>
    <t>10.14217/9781848591516-7-en</t>
  </si>
  <si>
    <t>10.18356/488a38e7-en</t>
  </si>
  <si>
    <t>10.1787/9ce809d8-en</t>
  </si>
  <si>
    <t>10.18356/355832ee-en</t>
  </si>
  <si>
    <t>10.18356/3e6fd74f-en</t>
  </si>
  <si>
    <t>10.18356/d100c303-en</t>
  </si>
  <si>
    <t>10.18356/0a7c7f99-en</t>
  </si>
  <si>
    <t>10.18356/b276eed7-en</t>
  </si>
  <si>
    <t>10.18356/8464a369-en</t>
  </si>
  <si>
    <t>10.18356/3e0be7f8-en</t>
  </si>
  <si>
    <t>10.18356/5d345c92-en</t>
  </si>
  <si>
    <t>10.18356/47c7f9c4-en</t>
  </si>
  <si>
    <t>10.18356/899c7c48-en</t>
  </si>
  <si>
    <t>10.18356/3400179e-en</t>
  </si>
  <si>
    <t>10.18356/88ed44cf-en</t>
  </si>
  <si>
    <t>10.1787/c69de229-en</t>
  </si>
  <si>
    <t>10.18356/97ed059a-en</t>
  </si>
  <si>
    <t>10.18356/a2eaa89c-en</t>
  </si>
  <si>
    <t>10.1787/5jxzf5khtg9t-en</t>
  </si>
  <si>
    <t>10.1787/dd4dcfa6-en</t>
  </si>
  <si>
    <t>10.1787/5k92n2x6pts3-en</t>
  </si>
  <si>
    <t>10.1787/pension/glance-2013-5-en</t>
  </si>
  <si>
    <t>11.1002/pub/80f4cf5d-7b2c7042-en</t>
  </si>
  <si>
    <t>10.18356/5022b3a0-en</t>
  </si>
  <si>
    <t>10.18356/e569c117-en</t>
  </si>
  <si>
    <t>10.18356/f61073ef-en</t>
  </si>
  <si>
    <t>10.18356/36b318e6-en</t>
  </si>
  <si>
    <t>10.18356/01772a94-en</t>
  </si>
  <si>
    <t>10.6027/9789289331777-4-en</t>
  </si>
  <si>
    <t>10.18356/dd581311-en</t>
  </si>
  <si>
    <t>10.18356/3f10390a-en</t>
  </si>
  <si>
    <t>10.18356/fb79328d-en</t>
  </si>
  <si>
    <t>SDG 1</t>
  </si>
  <si>
    <t>10.18356/b9c917b5-en</t>
  </si>
  <si>
    <t>10.1787/9789264168367-4-en</t>
  </si>
  <si>
    <t>10.1787/9789264235120-7-en</t>
  </si>
  <si>
    <t>10.30875/717fbf8e-en</t>
  </si>
  <si>
    <t>UNDECIDED</t>
  </si>
  <si>
    <t>10.18356/39291afb-en</t>
  </si>
  <si>
    <t>target 1.1</t>
  </si>
  <si>
    <t>10.18356/797ccf27-en</t>
  </si>
  <si>
    <t>10.18356/ff1be167-en</t>
  </si>
  <si>
    <t>10.18356/b656887e-en</t>
  </si>
  <si>
    <t>10.1787/9789264098978-6-en</t>
  </si>
  <si>
    <t>10.18356/8d6bdedf-en</t>
  </si>
  <si>
    <t>10.18356/76c9b151-en</t>
  </si>
  <si>
    <t>10.18356/d19a5f58-en</t>
  </si>
  <si>
    <t>10.18356/7ed1f44a-en</t>
  </si>
  <si>
    <t>10.1787/journal/dev-v10-art16-en</t>
  </si>
  <si>
    <t>10.18356/81e6e689-en</t>
  </si>
  <si>
    <t>10.18356/150942f1-en</t>
  </si>
  <si>
    <t>10.18356/6950d0fe-en</t>
  </si>
  <si>
    <t>10.18356/fd80a3d2-en</t>
  </si>
  <si>
    <t>target 1.a</t>
  </si>
  <si>
    <t>10.18356/55fea2f6-en</t>
  </si>
  <si>
    <t>target 1.b</t>
  </si>
  <si>
    <t>10.18356/afa296fe-en</t>
  </si>
  <si>
    <t>Group</t>
  </si>
  <si>
    <t>Alignment</t>
  </si>
  <si>
    <t>Comments</t>
  </si>
  <si>
    <t>Consensus</t>
  </si>
  <si>
    <t>Rationale</t>
  </si>
  <si>
    <t>Notes</t>
  </si>
  <si>
    <t/>
  </si>
  <si>
    <t>- Steve: though on income support it doesn't make a link to actual poverty, it could just be support for low-income groups that are still considered above poverty line</t>
  </si>
  <si>
    <t>- Steve: not really linked to SDG 1 objectives</t>
  </si>
  <si>
    <t>- Finn: inequality rather than poverty</t>
  </si>
  <si>
    <t>- Steve: not clear enough of a link to 1.4</t>
  </si>
  <si>
    <t>Crises</t>
  </si>
  <si>
    <t>- Finn: target 1.5</t>
  </si>
  <si>
    <t>Ownership/Rights</t>
  </si>
  <si>
    <t>- Finn: target 1.4 (ownership of property)</t>
  </si>
  <si>
    <t>target 1.4 focuses on equal rights, not on equal opportunity</t>
  </si>
  <si>
    <t>- Meike: about poverty line needed for 1b</t>
  </si>
  <si>
    <t>- Meike: fact stating, about hunger, not poverty</t>
  </si>
  <si>
    <t>- Steve: more on health systems and malnourishment than social protection and poverty eradication</t>
  </si>
  <si>
    <t>Social Protection</t>
  </si>
  <si>
    <t>- Steve: 1.3</t>
  </si>
  <si>
    <t>link to SDG 1 is indirect</t>
  </si>
  <si>
    <t>Fact Stating</t>
  </si>
  <si>
    <t>- Finn: last sentence
- Meike: this one is also fact stating but no value laden words</t>
  </si>
  <si>
    <t>- Finn: target 1.2
- Meike: questionable, just fact stating not about how to end poverty but does use deprived which is value-laden
- Steve: though again more fact-stating</t>
  </si>
  <si>
    <t>- Finn: target 1.3
- Steve: though it is more fact-stating without clear call to action or value</t>
  </si>
  <si>
    <t>- Meike: about poverty line but not how to end poverty</t>
  </si>
  <si>
    <t>- Meike: not about how to reduce poverty, only about how export relates to poverty</t>
  </si>
  <si>
    <t>- Finn: last sentence
- Meike: more about inequality, only last sentence about cross-country poverty</t>
  </si>
  <si>
    <t>- Finn: last sentence
- Meike: only last word is about poverty</t>
  </si>
  <si>
    <t>- Meike: overall theme</t>
  </si>
  <si>
    <t>- Steve: more on SDG 4</t>
  </si>
  <si>
    <t>- Finn: target 1.4</t>
  </si>
  <si>
    <t>- Finn: PICs=Pacific Island Countries
target 1.3
- Meike: it seems that they imply protection from poverty</t>
  </si>
  <si>
    <t>- Finn: target 1.3</t>
  </si>
  <si>
    <t>- Finn: focused on humanitarian relief rather than social protection</t>
  </si>
  <si>
    <t>- Finn: target 1.4
- Steve: Not directly an expression of poverty is it?</t>
  </si>
  <si>
    <t>focused on poor family and children</t>
  </si>
  <si>
    <t>- Steve: SDG 8</t>
  </si>
  <si>
    <t>- Meike: remittances reduce poverty globally</t>
  </si>
  <si>
    <t>- Meike: not about how to end povery, mainly about modeling</t>
  </si>
  <si>
    <t>- Steve: again no direct mentioning of poverty</t>
  </si>
  <si>
    <t>- Steve: SHI = Social Health Insurance?</t>
  </si>
  <si>
    <t>- Steve: links to social protection systems but only vaguely</t>
  </si>
  <si>
    <t>- Meike: especially last sentence is the target 1b</t>
  </si>
  <si>
    <t>id</t>
  </si>
  <si>
    <t>osdg_text_id</t>
  </si>
  <si>
    <t>comment</t>
  </si>
  <si>
    <t>The prevailing assumption in the public choice model that has served to underwrite so much of the policy in the past three decades is that the State is autonomous and free from corruptive private interests. From a historical perspective, it is clear that the State has never been a neutral instrument for good only, but has been the subject of power struggles. It is only out of such struggles that it has eventually emerged in the shape that we now use as the model of good governance. The destiny of the State has been determined by local stakeholders with an interest in improving governance.</t>
  </si>
  <si>
    <t>fixed typo</t>
  </si>
  <si>
    <t>They are also subject to an ecological relationship and affected by the interplay among the immediate environment, the community and society. Individuals may not automatically bounce back from what appears to be a transitory shock (hysteresis). For instance, a setback in early childhood can have serious ramifications throughout the rest of a person’s life, including the chances of holding onto a job, the uncertainties associated with growing older and the transmission of vulnerabilities to the next generation.</t>
  </si>
  <si>
    <t>The vast majority of households do not have the capacity to pay for such services. For households that do report care spending, the actual market demand expressed in monetary terms depends on total household income and on the range of needs they need, want and are able to meet. Spending on health care inside and outside the household was grouped together, showing that most of this spending goes on older persons in the household, the sick and persons with disabilities.</t>
  </si>
  <si>
    <t>The extension of income data at sub-national level is part of the OECD work on advancing the measurement agenda of wellbeing to regions and cities (see http://www.oecd.org/regional/how-is-life-in-your-region.htm). Income-based measures of poverty at regional level are a first step towards more encompassing metrics of deprivation that include non-monetary measures. High disparities between regions can undermine national economic growth, leading to inequality of opportunities and creating social tensions that in turn may sustain regional imbalances over time (OECD, 2011b).</t>
  </si>
  <si>
    <t>Andrew Barker from the OECD Canadian desk is also deeply thanked for his valuable comments. First, trends in child poverty and living standards since 2007, i.e. one year before the onset of the Great Recession, are described. An overview of children's material deprivation and of key indicators of child well-being is also provided. The paper discusses the observed poverty trends in relation to policies implemented to combat it by federal authorities.</t>
  </si>
  <si>
    <t>Other complementary factors—most importantly a recipient's entrepreneurial skills—are crucial for making credit more productive. Most poor people do not have the basic education or experience to understand and conduct even low-level business activities. The corresponding shares in Pakistan and Sri Lanka are about 70 and 40 per cent. There is no one single solution to global poverty. The solution must include a broad array of empowering interventions and microfinance, when targeted to the very poor and effectively run, is one powerful tool (Daley-Harris, Pollin and Montgomery, 2007, p. 1).</t>
  </si>
  <si>
    <t>One trend dominates in particular: the relative gain in income (+13%) for children whose parents own the home compared to poor families who rent their homes but who otherwise share the same characteristics (Annex B). Declines in home ownership tend to push the standard of living down. The proportion of poor children in a two-parent family renting a dwelling increased sharply, from 36% in 2007 to 50% in 2014.</t>
  </si>
  <si>
    <t>focused on poor family and children; fixed typo</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</si>
</sst>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sz val="17.0"/>
      <color rgb="FF000000"/>
      <name val="&quot;Arial&quot;"/>
    </font>
    <font>
      <sz val="14.0"/>
      <color theme="1"/>
      <name val="Arial"/>
      <scheme val="minor"/>
    </font>
    <font>
      <color rgb="FF000000"/>
      <name val="&quot;Arial&quot;"/>
    </font>
    <font>
      <color rgb="FF000000"/>
      <name val="Arial"/>
      <scheme val="minor"/>
    </font>
    <font>
      <color theme="1"/>
      <name val="Arial"/>
      <scheme val="minor"/>
    </font>
    <font>
      <b/>
      <u/>
      <sz val="14.0"/>
      <color rgb="FF000000"/>
      <name val="Oswald"/>
    </font>
    <font>
      <u/>
      <color theme="1"/>
      <name val="Arial"/>
      <scheme val="minor"/>
    </font>
    <font>
      <i/>
      <color theme="1"/>
      <name val="Arial"/>
      <scheme val="minor"/>
    </font>
    <font>
      <color theme="1"/>
      <name val="Arial"/>
    </font>
    <font>
      <b/>
      <color rgb="FF000000"/>
      <name val="&quot;Arial&quot;"/>
    </font>
    <font>
      <u/>
      <color rgb="FF0000FF"/>
    </font>
    <font>
      <b/>
      <color theme="1"/>
      <name val="Arial"/>
      <scheme val="minor"/>
    </font>
    <font>
      <sz val="13.0"/>
      <color theme="1"/>
      <name val="Arial"/>
      <scheme val="minor"/>
    </font>
    <font>
      <b/>
      <u/>
      <color theme="1"/>
      <name val="Arial"/>
      <scheme val="minor"/>
    </font>
    <font>
      <b/>
      <color theme="1"/>
      <name val="Calibri"/>
    </font>
    <font>
      <b/>
      <sz val="10.0"/>
      <color theme="1"/>
      <name val="Arial"/>
      <scheme val="minor"/>
    </font>
    <font>
      <color theme="1"/>
      <name val="Calibri"/>
    </font>
    <font>
      <sz val="11.0"/>
      <color theme="1"/>
      <name val="Arial"/>
      <scheme val="minor"/>
    </font>
    <font>
      <b/>
      <color theme="1"/>
      <name val="Arial"/>
    </font>
    <font>
      <b/>
      <sz val="10.0"/>
      <color theme="1"/>
      <name val="Arial"/>
    </font>
    <font>
      <sz val="10.0"/>
      <color theme="1"/>
      <name val="Arial"/>
      <scheme val="minor"/>
    </font>
    <font>
      <sz val="9.0"/>
      <color theme="1"/>
      <name val="Arial"/>
      <scheme val="minor"/>
    </font>
  </fonts>
  <fills count="6">
    <fill>
      <patternFill patternType="none"/>
    </fill>
    <fill>
      <patternFill patternType="lightGray"/>
    </fill>
    <fill>
      <patternFill patternType="solid">
        <fgColor rgb="FFB6D7A8"/>
        <bgColor rgb="FFB6D7A8"/>
      </patternFill>
    </fill>
    <fill>
      <patternFill patternType="solid">
        <fgColor theme="0"/>
        <bgColor theme="0"/>
      </patternFill>
    </fill>
    <fill>
      <patternFill patternType="solid">
        <fgColor rgb="FFF4CCCC"/>
        <bgColor rgb="FFF4CCCC"/>
      </patternFill>
    </fill>
    <fill>
      <patternFill patternType="solid">
        <fgColor rgb="FFD9EAD3"/>
        <bgColor rgb="FFD9EAD3"/>
      </patternFill>
    </fill>
  </fills>
  <borders count="2">
    <border/>
    <border>
      <left style="thick">
        <color rgb="FF000000"/>
      </left>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5" numFmtId="0" xfId="0" applyAlignment="1" applyFont="1">
      <alignment horizontal="center" readingOrder="0"/>
    </xf>
    <xf borderId="0" fillId="0" fontId="5" numFmtId="0" xfId="0" applyAlignment="1" applyFont="1">
      <alignment readingOrder="0" shrinkToFit="0" vertical="center" wrapText="1"/>
    </xf>
    <xf borderId="0" fillId="0" fontId="7" numFmtId="0" xfId="0" applyAlignment="1" applyFont="1">
      <alignment readingOrder="0"/>
    </xf>
    <xf borderId="0" fillId="0" fontId="5" numFmtId="0" xfId="0" applyAlignment="1" applyFont="1">
      <alignment readingOrder="0"/>
    </xf>
    <xf borderId="0" fillId="0" fontId="8" numFmtId="0" xfId="0" applyAlignment="1" applyFont="1">
      <alignment readingOrder="0"/>
    </xf>
    <xf borderId="0" fillId="0" fontId="9" numFmtId="0" xfId="0" applyAlignment="1" applyFont="1">
      <alignment vertical="bottom"/>
    </xf>
    <xf borderId="0" fillId="0" fontId="9" numFmtId="0" xfId="0" applyAlignment="1" applyFont="1">
      <alignment shrinkToFit="0" vertical="bottom" wrapText="0"/>
    </xf>
    <xf borderId="0" fillId="0" fontId="9" numFmtId="0" xfId="0" applyFont="1"/>
    <xf borderId="0" fillId="0" fontId="5" numFmtId="0" xfId="0" applyAlignment="1" applyFont="1">
      <alignment readingOrder="0" shrinkToFit="0" wrapText="1"/>
    </xf>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0" fontId="5" numFmtId="0" xfId="0" applyFont="1"/>
    <xf borderId="0" fillId="0" fontId="0" numFmtId="0" xfId="0" applyAlignment="1" applyFont="1">
      <alignment horizontal="right"/>
    </xf>
    <xf borderId="0" fillId="0" fontId="13" numFmtId="0" xfId="0" applyAlignment="1" applyFont="1">
      <alignment readingOrder="0"/>
    </xf>
    <xf borderId="0" fillId="0" fontId="14" numFmtId="0" xfId="0" applyAlignment="1" applyFont="1">
      <alignment readingOrder="0"/>
    </xf>
    <xf borderId="0" fillId="0" fontId="15" numFmtId="0" xfId="0" applyAlignment="1" applyFont="1">
      <alignment readingOrder="0" vertical="bottom"/>
    </xf>
    <xf borderId="0" fillId="0" fontId="15" numFmtId="0" xfId="0" applyAlignment="1" applyFont="1">
      <alignment readingOrder="0" shrinkToFit="0" vertical="bottom" wrapText="1"/>
    </xf>
    <xf borderId="0" fillId="0" fontId="16" numFmtId="0" xfId="0" applyAlignment="1" applyFont="1">
      <alignment horizontal="center" readingOrder="0" vertical="bottom"/>
    </xf>
    <xf borderId="0" fillId="0" fontId="17" numFmtId="0" xfId="0" applyAlignment="1" applyFont="1">
      <alignment vertical="bottom"/>
    </xf>
    <xf borderId="0" fillId="0" fontId="17" numFmtId="0" xfId="0" applyAlignment="1" applyFont="1">
      <alignment shrinkToFit="0" vertical="bottom" wrapText="1"/>
    </xf>
    <xf borderId="0" fillId="0" fontId="18" numFmtId="0" xfId="0" applyAlignment="1" applyFont="1">
      <alignment horizontal="center" readingOrder="0" vertical="center"/>
    </xf>
    <xf borderId="0" fillId="2" fontId="17" numFmtId="0" xfId="0" applyAlignment="1" applyFill="1" applyFont="1">
      <alignment shrinkToFit="0" vertical="bottom" wrapText="1"/>
    </xf>
    <xf borderId="0" fillId="3" fontId="17" numFmtId="0" xfId="0" applyAlignment="1" applyFill="1" applyFont="1">
      <alignment shrinkToFit="0" vertical="bottom" wrapText="1"/>
    </xf>
    <xf borderId="0" fillId="4" fontId="17" numFmtId="0" xfId="0" applyAlignment="1" applyFill="1" applyFont="1">
      <alignment shrinkToFit="0" vertical="bottom" wrapText="1"/>
    </xf>
    <xf borderId="0" fillId="5" fontId="17" numFmtId="0" xfId="0" applyAlignment="1" applyFill="1" applyFont="1">
      <alignment shrinkToFit="0" vertical="bottom" wrapText="1"/>
    </xf>
    <xf borderId="0" fillId="0" fontId="17" numFmtId="0" xfId="0" applyAlignment="1" applyFont="1">
      <alignment readingOrder="0" shrinkToFit="0" vertical="bottom" wrapText="1"/>
    </xf>
    <xf borderId="0" fillId="0" fontId="19" numFmtId="0" xfId="0" applyAlignment="1" applyFont="1">
      <alignment vertical="bottom"/>
    </xf>
    <xf borderId="0" fillId="0" fontId="19" numFmtId="0" xfId="0" applyAlignment="1" applyFont="1">
      <alignment vertical="bottom"/>
    </xf>
    <xf borderId="0" fillId="0" fontId="9" numFmtId="0" xfId="0" applyAlignment="1" applyFont="1">
      <alignment vertical="bottom"/>
    </xf>
    <xf borderId="0" fillId="0" fontId="9" numFmtId="0" xfId="0" applyAlignment="1" applyFont="1">
      <alignment horizontal="right" vertical="bottom"/>
    </xf>
    <xf borderId="0" fillId="0" fontId="9" numFmtId="0" xfId="0" applyAlignment="1" applyFont="1">
      <alignment horizontal="right" vertical="bottom"/>
    </xf>
    <xf borderId="0" fillId="0" fontId="9" numFmtId="0" xfId="0" applyAlignment="1" applyFont="1">
      <alignment horizontal="center" vertical="bottom"/>
    </xf>
    <xf borderId="0" fillId="0" fontId="19" numFmtId="0" xfId="0" applyAlignment="1" applyFont="1">
      <alignment horizontal="center" readingOrder="0" vertical="bottom"/>
    </xf>
    <xf borderId="0" fillId="0" fontId="19" numFmtId="0" xfId="0" applyAlignment="1" applyFont="1">
      <alignment horizontal="center" vertical="bottom"/>
    </xf>
    <xf borderId="0" fillId="0" fontId="20" numFmtId="0" xfId="0" applyAlignment="1" applyFont="1">
      <alignment readingOrder="0" vertical="bottom"/>
    </xf>
    <xf borderId="1" fillId="0" fontId="12" numFmtId="0" xfId="0" applyAlignment="1" applyBorder="1" applyFont="1">
      <alignment horizontal="center" readingOrder="0"/>
    </xf>
    <xf borderId="0" fillId="0" fontId="5" numFmtId="0" xfId="0" applyAlignment="1" applyFont="1">
      <alignment horizontal="center"/>
    </xf>
    <xf borderId="0" fillId="0" fontId="21" numFmtId="10" xfId="0" applyFont="1" applyNumberFormat="1"/>
    <xf borderId="0" fillId="0" fontId="22" numFmtId="10" xfId="0" applyFont="1" applyNumberFormat="1"/>
    <xf borderId="1" fillId="0" fontId="5" numFmtId="0" xfId="0" applyAlignment="1" applyBorder="1" applyFont="1">
      <alignment horizontal="center" readingOrder="0"/>
    </xf>
    <xf borderId="0" fillId="0" fontId="5" numFmtId="0" xfId="0" applyAlignment="1" applyFont="1">
      <alignment horizontal="center" vertical="center"/>
    </xf>
    <xf borderId="0" fillId="0" fontId="5" numFmtId="0" xfId="0" applyAlignment="1" applyFont="1">
      <alignment horizontal="center" readingOrder="0" vertical="center"/>
    </xf>
    <xf borderId="0" fillId="0" fontId="9" numFmtId="0" xfId="0" applyAlignment="1" applyFont="1">
      <alignment readingOrder="0" vertical="bottom"/>
    </xf>
  </cellXfs>
  <cellStyles count="1">
    <cellStyle xfId="0" name="Normal" builtinId="0"/>
  </cellStyles>
  <dxfs count="4">
    <dxf>
      <font/>
      <fill>
        <patternFill patternType="solid">
          <fgColor rgb="FFB7E1CD"/>
          <bgColor rgb="FFB7E1CD"/>
        </patternFill>
      </fill>
      <border/>
    </dxf>
    <dxf>
      <font/>
      <fill>
        <patternFill patternType="solid">
          <fgColor rgb="FFF4C7C3"/>
          <bgColor rgb="FFF4C7C3"/>
        </patternFill>
      </fill>
      <border/>
    </dxf>
    <dxf>
      <font>
        <color rgb="FFB7B7B7"/>
      </font>
      <fill>
        <patternFill patternType="none"/>
      </fill>
      <border/>
    </dxf>
    <dxf>
      <font/>
      <fill>
        <patternFill patternType="solid">
          <fgColor rgb="FF6D9EEB"/>
          <bgColor rgb="FF6D9EE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49</xdr:row>
      <xdr:rowOff>9525</xdr:rowOff>
    </xdr:from>
    <xdr:ext cx="8277225" cy="47529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KCI6yswUKtks84SBjK2OGY4P-cIgkcF/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9.25"/>
    <col customWidth="1" min="3" max="3" width="127.5"/>
  </cols>
  <sheetData>
    <row r="1">
      <c r="A1" s="1"/>
    </row>
    <row r="2">
      <c r="B2" s="2" t="s">
        <v>0</v>
      </c>
    </row>
    <row r="3">
      <c r="B3" s="3"/>
    </row>
    <row r="4">
      <c r="B4" s="4" t="s">
        <v>1</v>
      </c>
    </row>
    <row r="5">
      <c r="B5" s="5" t="s">
        <v>2</v>
      </c>
    </row>
    <row r="6">
      <c r="B6" s="5"/>
    </row>
    <row r="7">
      <c r="B7" s="6" t="s">
        <v>3</v>
      </c>
    </row>
    <row r="8">
      <c r="B8" s="5" t="s">
        <v>4</v>
      </c>
    </row>
    <row r="9">
      <c r="B9" s="5" t="s">
        <v>5</v>
      </c>
    </row>
    <row r="10">
      <c r="B10" s="5" t="s">
        <v>6</v>
      </c>
    </row>
    <row r="11">
      <c r="B11" s="5" t="s">
        <v>7</v>
      </c>
    </row>
    <row r="12">
      <c r="B12" s="5" t="s">
        <v>8</v>
      </c>
    </row>
    <row r="13">
      <c r="B13" s="5"/>
    </row>
    <row r="14">
      <c r="B14" s="6" t="s">
        <v>9</v>
      </c>
    </row>
    <row r="15">
      <c r="B15" s="5" t="s">
        <v>10</v>
      </c>
    </row>
    <row r="16">
      <c r="B16" s="5" t="s">
        <v>11</v>
      </c>
    </row>
    <row r="17">
      <c r="B17" s="5"/>
      <c r="C17" s="5"/>
    </row>
    <row r="18">
      <c r="B18" s="7" t="b">
        <v>1</v>
      </c>
      <c r="C18" s="5" t="s">
        <v>12</v>
      </c>
    </row>
    <row r="19">
      <c r="B19" s="7" t="b">
        <v>0</v>
      </c>
      <c r="C19" s="5" t="s">
        <v>13</v>
      </c>
    </row>
    <row r="20">
      <c r="B20" s="7" t="s">
        <v>14</v>
      </c>
      <c r="C20" s="5" t="s">
        <v>15</v>
      </c>
    </row>
    <row r="22">
      <c r="B22" s="5" t="s">
        <v>16</v>
      </c>
    </row>
    <row r="24">
      <c r="B24" s="6" t="s">
        <v>17</v>
      </c>
    </row>
    <row r="25">
      <c r="B25" s="5" t="s">
        <v>18</v>
      </c>
      <c r="C25" s="8"/>
    </row>
    <row r="26">
      <c r="B26" s="9"/>
      <c r="C26" s="8"/>
    </row>
    <row r="27">
      <c r="B27" s="9" t="s">
        <v>19</v>
      </c>
      <c r="C27" s="8"/>
    </row>
    <row r="28">
      <c r="B28" s="10" t="s">
        <v>20</v>
      </c>
      <c r="C28" s="8"/>
    </row>
    <row r="29">
      <c r="B29" s="5"/>
      <c r="C29" s="8"/>
    </row>
    <row r="30">
      <c r="B30" s="11" t="s">
        <v>21</v>
      </c>
      <c r="C30" s="8"/>
    </row>
    <row r="31">
      <c r="B31" s="5"/>
      <c r="C31" s="8"/>
    </row>
    <row r="32">
      <c r="B32" s="9" t="s">
        <v>22</v>
      </c>
      <c r="C32" s="8"/>
    </row>
    <row r="33">
      <c r="B33" s="5" t="s">
        <v>23</v>
      </c>
      <c r="C33" s="8"/>
    </row>
    <row r="34">
      <c r="B34" s="5" t="s">
        <v>24</v>
      </c>
      <c r="C34" s="8"/>
    </row>
    <row r="35">
      <c r="C35" s="8"/>
    </row>
    <row r="36">
      <c r="B36" s="11" t="s">
        <v>21</v>
      </c>
      <c r="C36" s="8"/>
    </row>
    <row r="37">
      <c r="C37" s="8"/>
    </row>
    <row r="38">
      <c r="B38" s="9" t="s">
        <v>25</v>
      </c>
      <c r="C38" s="8"/>
    </row>
    <row r="39">
      <c r="B39" s="5" t="s">
        <v>26</v>
      </c>
      <c r="C39" s="8"/>
    </row>
    <row r="40">
      <c r="A40" s="12"/>
      <c r="B40" s="13" t="s">
        <v>27</v>
      </c>
      <c r="C40" s="14"/>
      <c r="D40" s="12"/>
      <c r="E40" s="12"/>
      <c r="F40" s="12"/>
      <c r="G40" s="12"/>
      <c r="H40" s="12"/>
      <c r="I40" s="12"/>
      <c r="J40" s="12"/>
      <c r="K40" s="12"/>
      <c r="L40" s="12"/>
      <c r="M40" s="12"/>
      <c r="N40" s="12"/>
      <c r="O40" s="12"/>
      <c r="P40" s="12"/>
      <c r="Q40" s="12"/>
      <c r="R40" s="12"/>
      <c r="S40" s="12"/>
      <c r="T40" s="12"/>
      <c r="U40" s="12"/>
      <c r="V40" s="12"/>
      <c r="W40" s="12"/>
      <c r="X40" s="12"/>
      <c r="Y40" s="12"/>
      <c r="Z40" s="12"/>
    </row>
    <row r="41">
      <c r="C41" s="8"/>
    </row>
    <row r="42">
      <c r="B42" s="9" t="s">
        <v>28</v>
      </c>
      <c r="C42" s="15"/>
    </row>
    <row r="43">
      <c r="B43" s="5" t="s">
        <v>29</v>
      </c>
    </row>
    <row r="44">
      <c r="B44" s="5" t="s">
        <v>30</v>
      </c>
    </row>
    <row r="45">
      <c r="B45" s="16"/>
    </row>
    <row r="46">
      <c r="B46" s="3" t="s">
        <v>31</v>
      </c>
    </row>
    <row r="48">
      <c r="B48" s="6" t="s">
        <v>32</v>
      </c>
    </row>
    <row r="49">
      <c r="B49" s="5" t="s">
        <v>33</v>
      </c>
    </row>
    <row r="74">
      <c r="B74" s="17" t="s">
        <v>34</v>
      </c>
    </row>
    <row r="76">
      <c r="B76" s="6" t="s">
        <v>35</v>
      </c>
    </row>
    <row r="77">
      <c r="B77" s="5" t="s">
        <v>36</v>
      </c>
    </row>
    <row r="78">
      <c r="B78" s="5"/>
    </row>
    <row r="79">
      <c r="B79" s="18" t="s">
        <v>37</v>
      </c>
      <c r="C79" s="18" t="s">
        <v>38</v>
      </c>
    </row>
    <row r="80">
      <c r="B80" s="17" t="s">
        <v>39</v>
      </c>
      <c r="C80" s="19" t="str">
        <f>IFERROR(__xludf.DUMMYFUNCTION("SPARKLINE((100-COUNTIF(INDIRECT(B80&amp;""!C:C""), ""TO DO""))/100+0.01,{""charttype"",""bar"";""max"",1.01;""min"",0; ""color1"", ""#4285f4""})"),"")</f>
        <v/>
      </c>
      <c r="D80" s="20" t="str">
        <f t="shared" ref="D80:D84" si="1">(100-COUNTIF(INDIRECT(B80&amp;"!C:C"), "TO DO")) &amp; " / 100"</f>
        <v>100 / 100</v>
      </c>
    </row>
    <row r="81">
      <c r="B81" s="17" t="s">
        <v>40</v>
      </c>
      <c r="C81" s="19" t="str">
        <f>IFERROR(__xludf.DUMMYFUNCTION("SPARKLINE((100-COUNTIF(INDIRECT(B81&amp;""!C:C""), ""TO DO""))/100+0.01,{""charttype"",""bar"";""max"",1.01;""min"",0; ""color1"", ""#4285f4""})"),"")</f>
        <v/>
      </c>
      <c r="D81" s="20" t="str">
        <f t="shared" si="1"/>
        <v>0 / 100</v>
      </c>
    </row>
    <row r="82">
      <c r="B82" s="17" t="s">
        <v>41</v>
      </c>
      <c r="C82" s="19" t="str">
        <f>IFERROR(__xludf.DUMMYFUNCTION("SPARKLINE((100-COUNTIF(INDIRECT(B82&amp;""!C:C""), ""TO DO""))/100+0.01,{""charttype"",""bar"";""max"",1.01;""min"",0; ""color1"", ""#4285f4""})"),"")</f>
        <v/>
      </c>
      <c r="D82" s="20" t="str">
        <f t="shared" si="1"/>
        <v>0 / 100</v>
      </c>
    </row>
    <row r="83">
      <c r="B83" s="17" t="s">
        <v>42</v>
      </c>
      <c r="C83" s="19" t="str">
        <f>IFERROR(__xludf.DUMMYFUNCTION("SPARKLINE((100-COUNTIF(INDIRECT(B83&amp;""!C:C""), ""TO DO""))/100+0.01,{""charttype"",""bar"";""max"",1.01;""min"",0; ""color1"", ""#4285f4""})"),"")</f>
        <v/>
      </c>
      <c r="D83" s="20" t="str">
        <f t="shared" si="1"/>
        <v>100 / 100</v>
      </c>
    </row>
    <row r="84">
      <c r="B84" s="17" t="s">
        <v>43</v>
      </c>
      <c r="C84" s="19" t="str">
        <f>IFERROR(__xludf.DUMMYFUNCTION("SPARKLINE((100-COUNTIF(INDIRECT(B84&amp;""!C:C""), ""TO DO""))/100+0.01,{""charttype"",""bar"";""max"",1.01;""min"",0; ""color1"", ""#4285f4""})"),"")</f>
        <v/>
      </c>
      <c r="D84" s="20" t="str">
        <f t="shared" si="1"/>
        <v>100 / 100</v>
      </c>
    </row>
    <row r="86">
      <c r="B86" s="21" t="s">
        <v>44</v>
      </c>
    </row>
    <row r="88">
      <c r="B88" s="6" t="s">
        <v>45</v>
      </c>
    </row>
    <row r="89">
      <c r="B89" s="5"/>
    </row>
    <row r="90">
      <c r="B90" s="5"/>
    </row>
    <row r="91">
      <c r="B91" s="5" t="s">
        <v>46</v>
      </c>
    </row>
    <row r="92">
      <c r="B92" s="5"/>
    </row>
    <row r="93">
      <c r="B93" s="22" t="s">
        <v>47</v>
      </c>
    </row>
    <row r="94">
      <c r="B94" s="5" t="s">
        <v>48</v>
      </c>
    </row>
    <row r="95">
      <c r="B95" s="5" t="s">
        <v>49</v>
      </c>
    </row>
    <row r="96">
      <c r="B96" s="5" t="s">
        <v>50</v>
      </c>
    </row>
    <row r="97">
      <c r="B97" s="5" t="s">
        <v>51</v>
      </c>
    </row>
    <row r="98">
      <c r="B98" s="5" t="s">
        <v>52</v>
      </c>
    </row>
    <row r="99">
      <c r="B99" s="5" t="s">
        <v>53</v>
      </c>
    </row>
    <row r="100">
      <c r="B100" s="5" t="s">
        <v>54</v>
      </c>
    </row>
    <row r="101">
      <c r="B101" s="5" t="s">
        <v>55</v>
      </c>
    </row>
    <row r="102">
      <c r="B102" s="5" t="s">
        <v>56</v>
      </c>
    </row>
    <row r="103">
      <c r="B103" s="5" t="s">
        <v>57</v>
      </c>
    </row>
    <row r="104">
      <c r="B104" s="5" t="s">
        <v>58</v>
      </c>
    </row>
    <row r="106">
      <c r="B106" s="22" t="s">
        <v>59</v>
      </c>
    </row>
    <row r="107">
      <c r="B107" s="5" t="s">
        <v>60</v>
      </c>
    </row>
    <row r="108">
      <c r="B108" s="5" t="s">
        <v>61</v>
      </c>
    </row>
    <row r="109">
      <c r="B109" s="5" t="s">
        <v>62</v>
      </c>
    </row>
    <row r="110">
      <c r="B110" s="5" t="s">
        <v>63</v>
      </c>
    </row>
    <row r="111">
      <c r="B111" s="5" t="s">
        <v>64</v>
      </c>
    </row>
    <row r="114">
      <c r="B114" s="13"/>
    </row>
    <row r="115">
      <c r="B115" s="13"/>
    </row>
    <row r="116">
      <c r="B116" s="13"/>
    </row>
    <row r="117">
      <c r="B117" s="13"/>
    </row>
    <row r="118">
      <c r="B118" s="13"/>
    </row>
  </sheetData>
  <dataValidations>
    <dataValidation type="list" allowBlank="1" showErrorMessage="1" sqref="B18:B20">
      <formula1>"TRUE,FALSE,SKIP"</formula1>
    </dataValidation>
  </dataValidations>
  <hyperlinks>
    <hyperlink r:id="rId1" ref="B74"/>
    <hyperlink display="Finn" location="Finn!A1" ref="B80"/>
    <hyperlink display="Gib" location="Gib!A1" ref="B81"/>
    <hyperlink display="Jean-Baptiste" location="'Jean-Baptiste'!A1" ref="B82"/>
    <hyperlink display="Meike" location="Meike!A1" ref="B83"/>
    <hyperlink display="Steve" location="Steve!A1" ref="B8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34.63"/>
  </cols>
  <sheetData>
    <row r="1">
      <c r="A1" s="23" t="s">
        <v>65</v>
      </c>
      <c r="B1" s="24" t="s">
        <v>66</v>
      </c>
      <c r="C1" s="25" t="s">
        <v>67</v>
      </c>
      <c r="D1" s="18" t="s">
        <v>68</v>
      </c>
    </row>
    <row r="2">
      <c r="A2" s="26" t="s">
        <v>69</v>
      </c>
      <c r="B2" s="27" t="s">
        <v>70</v>
      </c>
      <c r="C2" s="28" t="b">
        <v>0</v>
      </c>
    </row>
    <row r="3">
      <c r="A3" s="26" t="s">
        <v>71</v>
      </c>
      <c r="B3" s="27" t="s">
        <v>72</v>
      </c>
      <c r="C3" s="28" t="b">
        <v>1</v>
      </c>
      <c r="D3" s="5" t="s">
        <v>73</v>
      </c>
    </row>
    <row r="4">
      <c r="A4" s="26" t="s">
        <v>74</v>
      </c>
      <c r="B4" s="27" t="s">
        <v>75</v>
      </c>
      <c r="C4" s="28" t="b">
        <v>1</v>
      </c>
    </row>
    <row r="5">
      <c r="A5" s="26" t="s">
        <v>76</v>
      </c>
      <c r="B5" s="27" t="s">
        <v>77</v>
      </c>
      <c r="C5" s="28" t="b">
        <v>1</v>
      </c>
    </row>
    <row r="6">
      <c r="A6" s="26" t="s">
        <v>78</v>
      </c>
      <c r="B6" s="27" t="s">
        <v>79</v>
      </c>
      <c r="C6" s="28" t="b">
        <v>1</v>
      </c>
    </row>
    <row r="7">
      <c r="A7" s="26" t="s">
        <v>80</v>
      </c>
      <c r="B7" s="27" t="s">
        <v>81</v>
      </c>
      <c r="C7" s="28" t="b">
        <v>0</v>
      </c>
    </row>
    <row r="8">
      <c r="A8" s="26" t="s">
        <v>82</v>
      </c>
      <c r="B8" s="27" t="s">
        <v>83</v>
      </c>
      <c r="C8" s="28" t="b">
        <v>1</v>
      </c>
      <c r="D8" s="5" t="s">
        <v>84</v>
      </c>
    </row>
    <row r="9">
      <c r="A9" s="26" t="s">
        <v>85</v>
      </c>
      <c r="B9" s="27" t="s">
        <v>86</v>
      </c>
      <c r="C9" s="28" t="b">
        <v>1</v>
      </c>
    </row>
    <row r="10">
      <c r="A10" s="26" t="s">
        <v>87</v>
      </c>
      <c r="B10" s="27" t="s">
        <v>88</v>
      </c>
      <c r="C10" s="28" t="b">
        <v>0</v>
      </c>
    </row>
    <row r="11">
      <c r="A11" s="26" t="s">
        <v>89</v>
      </c>
      <c r="B11" s="27" t="s">
        <v>90</v>
      </c>
      <c r="C11" s="28" t="b">
        <v>0</v>
      </c>
    </row>
    <row r="12">
      <c r="A12" s="26" t="s">
        <v>91</v>
      </c>
      <c r="B12" s="27" t="s">
        <v>92</v>
      </c>
      <c r="C12" s="28" t="b">
        <v>0</v>
      </c>
    </row>
    <row r="13">
      <c r="A13" s="26" t="s">
        <v>93</v>
      </c>
      <c r="B13" s="27" t="s">
        <v>94</v>
      </c>
      <c r="C13" s="28" t="b">
        <v>0</v>
      </c>
    </row>
    <row r="14">
      <c r="A14" s="26" t="s">
        <v>95</v>
      </c>
      <c r="B14" s="27" t="s">
        <v>96</v>
      </c>
      <c r="C14" s="28" t="b">
        <v>0</v>
      </c>
    </row>
    <row r="15">
      <c r="A15" s="26" t="s">
        <v>97</v>
      </c>
      <c r="B15" s="27" t="s">
        <v>98</v>
      </c>
      <c r="C15" s="28" t="b">
        <v>1</v>
      </c>
    </row>
    <row r="16">
      <c r="A16" s="26" t="s">
        <v>99</v>
      </c>
      <c r="B16" s="27" t="s">
        <v>100</v>
      </c>
      <c r="C16" s="28" t="b">
        <v>1</v>
      </c>
      <c r="D16" s="5" t="s">
        <v>84</v>
      </c>
    </row>
    <row r="17">
      <c r="A17" s="26" t="s">
        <v>101</v>
      </c>
      <c r="B17" s="27" t="s">
        <v>102</v>
      </c>
      <c r="C17" s="28" t="b">
        <v>1</v>
      </c>
      <c r="D17" s="5" t="s">
        <v>103</v>
      </c>
    </row>
    <row r="18">
      <c r="A18" s="26" t="s">
        <v>104</v>
      </c>
      <c r="B18" s="27" t="s">
        <v>105</v>
      </c>
      <c r="C18" s="28" t="b">
        <v>1</v>
      </c>
    </row>
    <row r="19">
      <c r="A19" s="26" t="s">
        <v>106</v>
      </c>
      <c r="B19" s="27" t="s">
        <v>107</v>
      </c>
      <c r="C19" s="28" t="b">
        <v>1</v>
      </c>
    </row>
    <row r="20">
      <c r="A20" s="26" t="s">
        <v>108</v>
      </c>
      <c r="B20" s="27" t="s">
        <v>109</v>
      </c>
      <c r="C20" s="28" t="b">
        <v>1</v>
      </c>
      <c r="D20" s="5" t="s">
        <v>110</v>
      </c>
    </row>
    <row r="21">
      <c r="A21" s="26" t="s">
        <v>111</v>
      </c>
      <c r="B21" s="27" t="s">
        <v>112</v>
      </c>
      <c r="C21" s="28" t="b">
        <v>1</v>
      </c>
    </row>
    <row r="22">
      <c r="A22" s="26" t="s">
        <v>113</v>
      </c>
      <c r="B22" s="27" t="s">
        <v>114</v>
      </c>
      <c r="C22" s="28" t="b">
        <v>1</v>
      </c>
    </row>
    <row r="23">
      <c r="A23" s="26" t="s">
        <v>115</v>
      </c>
      <c r="B23" s="27" t="s">
        <v>116</v>
      </c>
      <c r="C23" s="28" t="b">
        <v>1</v>
      </c>
      <c r="D23" s="5" t="s">
        <v>117</v>
      </c>
    </row>
    <row r="24">
      <c r="A24" s="26" t="s">
        <v>118</v>
      </c>
      <c r="B24" s="27" t="s">
        <v>119</v>
      </c>
      <c r="C24" s="28" t="b">
        <v>1</v>
      </c>
      <c r="D24" s="5" t="s">
        <v>117</v>
      </c>
    </row>
    <row r="25">
      <c r="A25" s="26" t="s">
        <v>120</v>
      </c>
      <c r="B25" s="27" t="s">
        <v>121</v>
      </c>
      <c r="C25" s="28" t="b">
        <v>0</v>
      </c>
      <c r="D25" s="5"/>
    </row>
    <row r="26">
      <c r="A26" s="26" t="s">
        <v>122</v>
      </c>
      <c r="B26" s="27" t="s">
        <v>123</v>
      </c>
      <c r="C26" s="28" t="b">
        <v>1</v>
      </c>
      <c r="D26" s="5" t="s">
        <v>117</v>
      </c>
    </row>
    <row r="27">
      <c r="A27" s="26" t="s">
        <v>124</v>
      </c>
      <c r="B27" s="27" t="s">
        <v>125</v>
      </c>
      <c r="C27" s="28" t="b">
        <v>0</v>
      </c>
    </row>
    <row r="28">
      <c r="A28" s="26" t="s">
        <v>126</v>
      </c>
      <c r="B28" s="27" t="s">
        <v>127</v>
      </c>
      <c r="C28" s="28" t="b">
        <v>0</v>
      </c>
    </row>
    <row r="29">
      <c r="A29" s="26" t="s">
        <v>128</v>
      </c>
      <c r="B29" s="27" t="s">
        <v>129</v>
      </c>
      <c r="C29" s="28" t="b">
        <v>1</v>
      </c>
      <c r="D29" s="5" t="s">
        <v>117</v>
      </c>
    </row>
    <row r="30">
      <c r="A30" s="26" t="s">
        <v>130</v>
      </c>
      <c r="B30" s="27" t="s">
        <v>131</v>
      </c>
      <c r="C30" s="28" t="b">
        <v>1</v>
      </c>
      <c r="D30" s="5" t="s">
        <v>132</v>
      </c>
    </row>
    <row r="31">
      <c r="A31" s="26" t="s">
        <v>133</v>
      </c>
      <c r="B31" s="27" t="s">
        <v>134</v>
      </c>
      <c r="C31" s="28" t="b">
        <v>0</v>
      </c>
    </row>
    <row r="32">
      <c r="A32" s="26" t="s">
        <v>135</v>
      </c>
      <c r="B32" s="27" t="s">
        <v>136</v>
      </c>
      <c r="C32" s="28" t="b">
        <v>0</v>
      </c>
    </row>
    <row r="33">
      <c r="A33" s="26" t="s">
        <v>137</v>
      </c>
      <c r="B33" s="27" t="s">
        <v>138</v>
      </c>
      <c r="C33" s="28" t="b">
        <v>1</v>
      </c>
    </row>
    <row r="34">
      <c r="A34" s="26" t="s">
        <v>139</v>
      </c>
      <c r="B34" s="27" t="s">
        <v>140</v>
      </c>
      <c r="C34" s="28" t="b">
        <v>1</v>
      </c>
      <c r="D34" s="5" t="s">
        <v>117</v>
      </c>
    </row>
    <row r="35">
      <c r="A35" s="26" t="s">
        <v>141</v>
      </c>
      <c r="B35" s="27" t="s">
        <v>142</v>
      </c>
      <c r="C35" s="28" t="b">
        <v>0</v>
      </c>
    </row>
    <row r="36">
      <c r="A36" s="26" t="s">
        <v>143</v>
      </c>
      <c r="B36" s="27" t="s">
        <v>144</v>
      </c>
      <c r="C36" s="28" t="b">
        <v>0</v>
      </c>
      <c r="D36" s="5" t="s">
        <v>145</v>
      </c>
    </row>
    <row r="37">
      <c r="A37" s="26" t="s">
        <v>146</v>
      </c>
      <c r="B37" s="27" t="s">
        <v>147</v>
      </c>
      <c r="C37" s="28" t="b">
        <v>0</v>
      </c>
    </row>
    <row r="38">
      <c r="A38" s="26" t="s">
        <v>148</v>
      </c>
      <c r="B38" s="27" t="s">
        <v>149</v>
      </c>
      <c r="C38" s="28" t="b">
        <v>1</v>
      </c>
    </row>
    <row r="39">
      <c r="A39" s="26" t="s">
        <v>150</v>
      </c>
      <c r="B39" s="27" t="s">
        <v>151</v>
      </c>
      <c r="C39" s="28" t="b">
        <v>0</v>
      </c>
    </row>
    <row r="40">
      <c r="A40" s="26" t="s">
        <v>152</v>
      </c>
      <c r="B40" s="27" t="s">
        <v>153</v>
      </c>
      <c r="C40" s="28" t="b">
        <v>1</v>
      </c>
      <c r="D40" s="5" t="s">
        <v>117</v>
      </c>
    </row>
    <row r="41">
      <c r="A41" s="26" t="s">
        <v>154</v>
      </c>
      <c r="B41" s="27" t="s">
        <v>155</v>
      </c>
      <c r="C41" s="28" t="b">
        <v>0</v>
      </c>
    </row>
    <row r="42">
      <c r="A42" s="26" t="s">
        <v>156</v>
      </c>
      <c r="B42" s="27" t="s">
        <v>157</v>
      </c>
      <c r="C42" s="28" t="b">
        <v>1</v>
      </c>
    </row>
    <row r="43">
      <c r="A43" s="26" t="s">
        <v>158</v>
      </c>
      <c r="B43" s="27" t="s">
        <v>159</v>
      </c>
      <c r="C43" s="28" t="b">
        <v>1</v>
      </c>
    </row>
    <row r="44">
      <c r="A44" s="26" t="s">
        <v>160</v>
      </c>
      <c r="B44" s="27" t="s">
        <v>161</v>
      </c>
      <c r="C44" s="28" t="b">
        <v>1</v>
      </c>
      <c r="D44" s="5" t="s">
        <v>84</v>
      </c>
    </row>
    <row r="45">
      <c r="A45" s="26" t="s">
        <v>162</v>
      </c>
      <c r="B45" s="27" t="s">
        <v>163</v>
      </c>
      <c r="C45" s="28" t="b">
        <v>0</v>
      </c>
    </row>
    <row r="46">
      <c r="A46" s="26" t="s">
        <v>164</v>
      </c>
      <c r="B46" s="27" t="s">
        <v>165</v>
      </c>
      <c r="C46" s="28" t="b">
        <v>0</v>
      </c>
    </row>
    <row r="47">
      <c r="A47" s="26" t="s">
        <v>166</v>
      </c>
      <c r="B47" s="27" t="s">
        <v>167</v>
      </c>
      <c r="C47" s="28" t="b">
        <v>1</v>
      </c>
    </row>
    <row r="48">
      <c r="A48" s="26" t="s">
        <v>168</v>
      </c>
      <c r="B48" s="27" t="s">
        <v>169</v>
      </c>
      <c r="C48" s="28" t="b">
        <v>1</v>
      </c>
    </row>
    <row r="49">
      <c r="A49" s="26" t="s">
        <v>170</v>
      </c>
      <c r="B49" s="27" t="s">
        <v>171</v>
      </c>
      <c r="C49" s="28" t="b">
        <v>0</v>
      </c>
    </row>
    <row r="50">
      <c r="A50" s="26" t="s">
        <v>172</v>
      </c>
      <c r="B50" s="27" t="s">
        <v>173</v>
      </c>
      <c r="C50" s="28" t="b">
        <v>1</v>
      </c>
    </row>
    <row r="51">
      <c r="A51" s="26" t="s">
        <v>174</v>
      </c>
      <c r="B51" s="27" t="s">
        <v>175</v>
      </c>
      <c r="C51" s="28" t="b">
        <v>0</v>
      </c>
    </row>
    <row r="52">
      <c r="A52" s="26" t="s">
        <v>176</v>
      </c>
      <c r="B52" s="27" t="s">
        <v>177</v>
      </c>
      <c r="C52" s="28" t="b">
        <v>0</v>
      </c>
    </row>
    <row r="53">
      <c r="A53" s="26" t="s">
        <v>178</v>
      </c>
      <c r="B53" s="27" t="s">
        <v>179</v>
      </c>
      <c r="C53" s="28" t="b">
        <v>0</v>
      </c>
    </row>
    <row r="54">
      <c r="A54" s="26" t="s">
        <v>180</v>
      </c>
      <c r="B54" s="27" t="s">
        <v>181</v>
      </c>
      <c r="C54" s="28" t="b">
        <v>1</v>
      </c>
    </row>
    <row r="55">
      <c r="A55" s="26" t="s">
        <v>182</v>
      </c>
      <c r="B55" s="27" t="s">
        <v>183</v>
      </c>
      <c r="C55" s="28" t="b">
        <v>0</v>
      </c>
    </row>
    <row r="56">
      <c r="A56" s="26" t="s">
        <v>184</v>
      </c>
      <c r="B56" s="27" t="s">
        <v>185</v>
      </c>
      <c r="C56" s="28" t="b">
        <v>0</v>
      </c>
    </row>
    <row r="57">
      <c r="A57" s="26" t="s">
        <v>186</v>
      </c>
      <c r="B57" s="27" t="s">
        <v>187</v>
      </c>
      <c r="C57" s="28" t="b">
        <v>1</v>
      </c>
    </row>
    <row r="58">
      <c r="A58" s="26" t="s">
        <v>188</v>
      </c>
      <c r="B58" s="27" t="s">
        <v>189</v>
      </c>
      <c r="C58" s="28" t="b">
        <v>1</v>
      </c>
    </row>
    <row r="59">
      <c r="A59" s="26" t="s">
        <v>190</v>
      </c>
      <c r="B59" s="27" t="s">
        <v>191</v>
      </c>
      <c r="C59" s="28" t="b">
        <v>1</v>
      </c>
    </row>
    <row r="60">
      <c r="A60" s="26" t="s">
        <v>192</v>
      </c>
      <c r="B60" s="27" t="s">
        <v>193</v>
      </c>
      <c r="C60" s="28" t="b">
        <v>1</v>
      </c>
      <c r="D60" s="5" t="s">
        <v>194</v>
      </c>
    </row>
    <row r="61">
      <c r="A61" s="26" t="s">
        <v>195</v>
      </c>
      <c r="B61" s="27" t="s">
        <v>196</v>
      </c>
      <c r="C61" s="28" t="b">
        <v>0</v>
      </c>
    </row>
    <row r="62">
      <c r="A62" s="26" t="s">
        <v>197</v>
      </c>
      <c r="B62" s="27" t="s">
        <v>198</v>
      </c>
      <c r="C62" s="28" t="b">
        <v>0</v>
      </c>
    </row>
    <row r="63">
      <c r="A63" s="26" t="s">
        <v>199</v>
      </c>
      <c r="B63" s="27" t="s">
        <v>200</v>
      </c>
      <c r="C63" s="28" t="b">
        <v>0</v>
      </c>
    </row>
    <row r="64">
      <c r="A64" s="26" t="s">
        <v>201</v>
      </c>
      <c r="B64" s="27" t="s">
        <v>202</v>
      </c>
      <c r="C64" s="28" t="b">
        <v>1</v>
      </c>
    </row>
    <row r="65">
      <c r="A65" s="26" t="s">
        <v>203</v>
      </c>
      <c r="B65" s="27" t="s">
        <v>204</v>
      </c>
      <c r="C65" s="28" t="b">
        <v>0</v>
      </c>
    </row>
    <row r="66">
      <c r="A66" s="26" t="s">
        <v>205</v>
      </c>
      <c r="B66" s="27" t="s">
        <v>206</v>
      </c>
      <c r="C66" s="28" t="b">
        <v>0</v>
      </c>
    </row>
    <row r="67">
      <c r="A67" s="26" t="s">
        <v>207</v>
      </c>
      <c r="B67" s="27" t="s">
        <v>208</v>
      </c>
      <c r="C67" s="28" t="b">
        <v>0</v>
      </c>
    </row>
    <row r="68">
      <c r="A68" s="26" t="s">
        <v>209</v>
      </c>
      <c r="B68" s="27" t="s">
        <v>210</v>
      </c>
      <c r="C68" s="28" t="b">
        <v>0</v>
      </c>
    </row>
    <row r="69">
      <c r="A69" s="26" t="s">
        <v>211</v>
      </c>
      <c r="B69" s="27" t="s">
        <v>212</v>
      </c>
      <c r="C69" s="28" t="b">
        <v>0</v>
      </c>
    </row>
    <row r="70">
      <c r="A70" s="26" t="s">
        <v>213</v>
      </c>
      <c r="B70" s="27" t="s">
        <v>214</v>
      </c>
      <c r="C70" s="28" t="b">
        <v>0</v>
      </c>
    </row>
    <row r="71">
      <c r="A71" s="26" t="s">
        <v>215</v>
      </c>
      <c r="B71" s="27" t="s">
        <v>216</v>
      </c>
      <c r="C71" s="28" t="b">
        <v>0</v>
      </c>
    </row>
    <row r="72">
      <c r="A72" s="26" t="s">
        <v>217</v>
      </c>
      <c r="B72" s="27" t="s">
        <v>218</v>
      </c>
      <c r="C72" s="28" t="b">
        <v>0</v>
      </c>
    </row>
    <row r="73">
      <c r="A73" s="26" t="s">
        <v>219</v>
      </c>
      <c r="B73" s="27" t="s">
        <v>220</v>
      </c>
      <c r="C73" s="28" t="b">
        <v>0</v>
      </c>
    </row>
    <row r="74">
      <c r="A74" s="26" t="s">
        <v>221</v>
      </c>
      <c r="B74" s="27" t="s">
        <v>222</v>
      </c>
      <c r="C74" s="28" t="b">
        <v>0</v>
      </c>
    </row>
    <row r="75">
      <c r="A75" s="26" t="s">
        <v>223</v>
      </c>
      <c r="B75" s="27" t="s">
        <v>224</v>
      </c>
      <c r="C75" s="28" t="b">
        <v>1</v>
      </c>
    </row>
    <row r="76">
      <c r="A76" s="26" t="s">
        <v>225</v>
      </c>
      <c r="B76" s="27" t="s">
        <v>226</v>
      </c>
      <c r="C76" s="28" t="b">
        <v>0</v>
      </c>
    </row>
    <row r="77">
      <c r="A77" s="26" t="s">
        <v>227</v>
      </c>
      <c r="B77" s="27" t="s">
        <v>228</v>
      </c>
      <c r="C77" s="28" t="b">
        <v>1</v>
      </c>
    </row>
    <row r="78">
      <c r="A78" s="26" t="s">
        <v>229</v>
      </c>
      <c r="B78" s="27" t="s">
        <v>230</v>
      </c>
      <c r="C78" s="28" t="b">
        <v>0</v>
      </c>
    </row>
    <row r="79">
      <c r="A79" s="26" t="s">
        <v>231</v>
      </c>
      <c r="B79" s="27" t="s">
        <v>232</v>
      </c>
      <c r="C79" s="28" t="b">
        <v>1</v>
      </c>
    </row>
    <row r="80">
      <c r="A80" s="26" t="s">
        <v>233</v>
      </c>
      <c r="B80" s="27" t="s">
        <v>234</v>
      </c>
      <c r="C80" s="28" t="b">
        <v>0</v>
      </c>
    </row>
    <row r="81">
      <c r="A81" s="26" t="s">
        <v>235</v>
      </c>
      <c r="B81" s="27" t="s">
        <v>236</v>
      </c>
      <c r="C81" s="28" t="b">
        <v>0</v>
      </c>
    </row>
    <row r="82">
      <c r="A82" s="26" t="s">
        <v>237</v>
      </c>
      <c r="B82" s="27" t="s">
        <v>238</v>
      </c>
      <c r="C82" s="28" t="b">
        <v>1</v>
      </c>
      <c r="D82" s="5" t="s">
        <v>73</v>
      </c>
    </row>
    <row r="83">
      <c r="A83" s="26" t="s">
        <v>239</v>
      </c>
      <c r="B83" s="27" t="s">
        <v>240</v>
      </c>
      <c r="C83" s="28" t="b">
        <v>1</v>
      </c>
    </row>
    <row r="84">
      <c r="A84" s="26" t="s">
        <v>241</v>
      </c>
      <c r="B84" s="27" t="s">
        <v>242</v>
      </c>
      <c r="C84" s="28" t="b">
        <v>1</v>
      </c>
      <c r="D84" s="5" t="s">
        <v>132</v>
      </c>
    </row>
    <row r="85">
      <c r="A85" s="26" t="s">
        <v>243</v>
      </c>
      <c r="B85" s="27" t="s">
        <v>244</v>
      </c>
      <c r="C85" s="28" t="b">
        <v>0</v>
      </c>
    </row>
    <row r="86">
      <c r="A86" s="26" t="s">
        <v>245</v>
      </c>
      <c r="B86" s="27" t="s">
        <v>246</v>
      </c>
      <c r="C86" s="28" t="b">
        <v>0</v>
      </c>
    </row>
    <row r="87">
      <c r="A87" s="26" t="s">
        <v>247</v>
      </c>
      <c r="B87" s="27" t="s">
        <v>248</v>
      </c>
      <c r="C87" s="28" t="b">
        <v>1</v>
      </c>
    </row>
    <row r="88">
      <c r="A88" s="26" t="s">
        <v>249</v>
      </c>
      <c r="B88" s="27" t="s">
        <v>250</v>
      </c>
      <c r="C88" s="28" t="b">
        <v>0</v>
      </c>
    </row>
    <row r="89">
      <c r="A89" s="26" t="s">
        <v>251</v>
      </c>
      <c r="B89" s="27" t="s">
        <v>252</v>
      </c>
      <c r="C89" s="28" t="b">
        <v>0</v>
      </c>
    </row>
    <row r="90">
      <c r="A90" s="26" t="s">
        <v>253</v>
      </c>
      <c r="B90" s="27" t="s">
        <v>254</v>
      </c>
      <c r="C90" s="28" t="b">
        <v>0</v>
      </c>
    </row>
    <row r="91">
      <c r="A91" s="26" t="s">
        <v>255</v>
      </c>
      <c r="B91" s="27" t="s">
        <v>256</v>
      </c>
      <c r="C91" s="28" t="b">
        <v>1</v>
      </c>
    </row>
    <row r="92">
      <c r="A92" s="26" t="s">
        <v>257</v>
      </c>
      <c r="B92" s="27" t="s">
        <v>258</v>
      </c>
      <c r="C92" s="28" t="b">
        <v>0</v>
      </c>
    </row>
    <row r="93">
      <c r="A93" s="26" t="s">
        <v>259</v>
      </c>
      <c r="B93" s="27" t="s">
        <v>260</v>
      </c>
      <c r="C93" s="28" t="b">
        <v>0</v>
      </c>
    </row>
    <row r="94">
      <c r="A94" s="26" t="s">
        <v>261</v>
      </c>
      <c r="B94" s="27" t="s">
        <v>262</v>
      </c>
      <c r="C94" s="28" t="b">
        <v>0</v>
      </c>
    </row>
    <row r="95">
      <c r="A95" s="26" t="s">
        <v>263</v>
      </c>
      <c r="B95" s="27" t="s">
        <v>264</v>
      </c>
      <c r="C95" s="28" t="b">
        <v>0</v>
      </c>
    </row>
    <row r="96">
      <c r="A96" s="26" t="s">
        <v>265</v>
      </c>
      <c r="B96" s="27" t="s">
        <v>266</v>
      </c>
      <c r="C96" s="28" t="b">
        <v>0</v>
      </c>
    </row>
    <row r="97">
      <c r="A97" s="26" t="s">
        <v>267</v>
      </c>
      <c r="B97" s="27" t="s">
        <v>268</v>
      </c>
      <c r="C97" s="28" t="b">
        <v>0</v>
      </c>
    </row>
    <row r="98">
      <c r="A98" s="26" t="s">
        <v>269</v>
      </c>
      <c r="B98" s="27" t="s">
        <v>270</v>
      </c>
      <c r="C98" s="28" t="b">
        <v>0</v>
      </c>
    </row>
    <row r="99">
      <c r="A99" s="26" t="s">
        <v>271</v>
      </c>
      <c r="B99" s="27" t="s">
        <v>272</v>
      </c>
      <c r="C99" s="28" t="b">
        <v>0</v>
      </c>
    </row>
    <row r="100">
      <c r="A100" s="26" t="s">
        <v>273</v>
      </c>
      <c r="B100" s="27" t="s">
        <v>274</v>
      </c>
      <c r="C100" s="28" t="b">
        <v>0</v>
      </c>
      <c r="D100" s="5" t="s">
        <v>275</v>
      </c>
    </row>
    <row r="101">
      <c r="A101" s="26" t="s">
        <v>276</v>
      </c>
      <c r="B101" s="27" t="s">
        <v>277</v>
      </c>
      <c r="C101" s="28" t="b">
        <v>1</v>
      </c>
    </row>
  </sheetData>
  <autoFilter ref="$A$1:$D$101"/>
  <dataValidations>
    <dataValidation type="list" allowBlank="1" showErrorMessage="1" sqref="C2:C101">
      <formula1>"TO DO,TRUE,FALSE,SKIP"</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23" t="s">
        <v>65</v>
      </c>
      <c r="B1" s="24" t="s">
        <v>66</v>
      </c>
      <c r="C1" s="25" t="s">
        <v>67</v>
      </c>
      <c r="D1" s="18" t="s">
        <v>68</v>
      </c>
    </row>
    <row r="2">
      <c r="A2" s="26" t="s">
        <v>146</v>
      </c>
      <c r="B2" s="27" t="s">
        <v>147</v>
      </c>
      <c r="C2" s="28" t="s">
        <v>278</v>
      </c>
    </row>
    <row r="3">
      <c r="A3" s="26" t="s">
        <v>223</v>
      </c>
      <c r="B3" s="27" t="s">
        <v>224</v>
      </c>
      <c r="C3" s="28" t="s">
        <v>278</v>
      </c>
    </row>
    <row r="4">
      <c r="A4" s="26" t="s">
        <v>219</v>
      </c>
      <c r="B4" s="27" t="s">
        <v>220</v>
      </c>
      <c r="C4" s="28" t="s">
        <v>278</v>
      </c>
    </row>
    <row r="5">
      <c r="A5" s="26" t="s">
        <v>245</v>
      </c>
      <c r="B5" s="27" t="s">
        <v>246</v>
      </c>
      <c r="C5" s="28" t="s">
        <v>278</v>
      </c>
    </row>
    <row r="6">
      <c r="A6" s="26" t="s">
        <v>176</v>
      </c>
      <c r="B6" s="27" t="s">
        <v>177</v>
      </c>
      <c r="C6" s="28" t="s">
        <v>278</v>
      </c>
    </row>
    <row r="7">
      <c r="A7" s="26" t="s">
        <v>152</v>
      </c>
      <c r="B7" s="27" t="s">
        <v>153</v>
      </c>
      <c r="C7" s="28" t="s">
        <v>278</v>
      </c>
    </row>
    <row r="8">
      <c r="A8" s="26" t="s">
        <v>154</v>
      </c>
      <c r="B8" s="27" t="s">
        <v>155</v>
      </c>
      <c r="C8" s="28" t="s">
        <v>278</v>
      </c>
    </row>
    <row r="9">
      <c r="A9" s="26" t="s">
        <v>229</v>
      </c>
      <c r="B9" s="27" t="s">
        <v>230</v>
      </c>
      <c r="C9" s="28" t="s">
        <v>278</v>
      </c>
    </row>
    <row r="10">
      <c r="A10" s="26" t="s">
        <v>135</v>
      </c>
      <c r="B10" s="27" t="s">
        <v>136</v>
      </c>
      <c r="C10" s="28" t="s">
        <v>278</v>
      </c>
    </row>
    <row r="11">
      <c r="A11" s="26" t="s">
        <v>225</v>
      </c>
      <c r="B11" s="27" t="s">
        <v>226</v>
      </c>
      <c r="C11" s="28" t="s">
        <v>278</v>
      </c>
    </row>
    <row r="12">
      <c r="A12" s="26" t="s">
        <v>251</v>
      </c>
      <c r="B12" s="27" t="s">
        <v>252</v>
      </c>
      <c r="C12" s="28" t="s">
        <v>278</v>
      </c>
    </row>
    <row r="13">
      <c r="A13" s="26" t="s">
        <v>199</v>
      </c>
      <c r="B13" s="27" t="s">
        <v>200</v>
      </c>
      <c r="C13" s="28" t="s">
        <v>278</v>
      </c>
    </row>
    <row r="14">
      <c r="A14" s="26" t="s">
        <v>168</v>
      </c>
      <c r="B14" s="27" t="s">
        <v>169</v>
      </c>
      <c r="C14" s="28" t="s">
        <v>278</v>
      </c>
    </row>
    <row r="15">
      <c r="A15" s="26" t="s">
        <v>186</v>
      </c>
      <c r="B15" s="27" t="s">
        <v>187</v>
      </c>
      <c r="C15" s="28" t="s">
        <v>278</v>
      </c>
    </row>
    <row r="16">
      <c r="A16" s="26" t="s">
        <v>201</v>
      </c>
      <c r="B16" s="27" t="s">
        <v>202</v>
      </c>
      <c r="C16" s="28" t="s">
        <v>278</v>
      </c>
    </row>
    <row r="17">
      <c r="A17" s="26" t="s">
        <v>247</v>
      </c>
      <c r="B17" s="27" t="s">
        <v>248</v>
      </c>
      <c r="C17" s="28" t="s">
        <v>278</v>
      </c>
    </row>
    <row r="18">
      <c r="A18" s="26" t="s">
        <v>128</v>
      </c>
      <c r="B18" s="27" t="s">
        <v>129</v>
      </c>
      <c r="C18" s="28" t="s">
        <v>278</v>
      </c>
    </row>
    <row r="19">
      <c r="A19" s="26" t="s">
        <v>174</v>
      </c>
      <c r="B19" s="27" t="s">
        <v>175</v>
      </c>
      <c r="C19" s="28" t="s">
        <v>278</v>
      </c>
    </row>
    <row r="20">
      <c r="A20" s="26" t="s">
        <v>143</v>
      </c>
      <c r="B20" s="27" t="s">
        <v>144</v>
      </c>
      <c r="C20" s="28" t="s">
        <v>278</v>
      </c>
    </row>
    <row r="21">
      <c r="A21" s="26" t="s">
        <v>180</v>
      </c>
      <c r="B21" s="27" t="s">
        <v>181</v>
      </c>
      <c r="C21" s="28" t="s">
        <v>278</v>
      </c>
    </row>
    <row r="22">
      <c r="A22" s="26" t="s">
        <v>178</v>
      </c>
      <c r="B22" s="27" t="s">
        <v>179</v>
      </c>
      <c r="C22" s="28" t="s">
        <v>278</v>
      </c>
    </row>
    <row r="23">
      <c r="A23" s="26" t="s">
        <v>249</v>
      </c>
      <c r="B23" s="27" t="s">
        <v>250</v>
      </c>
      <c r="C23" s="28" t="s">
        <v>278</v>
      </c>
    </row>
    <row r="24">
      <c r="A24" s="26" t="s">
        <v>255</v>
      </c>
      <c r="B24" s="27" t="s">
        <v>256</v>
      </c>
      <c r="C24" s="28" t="s">
        <v>278</v>
      </c>
    </row>
    <row r="25">
      <c r="A25" s="26" t="s">
        <v>211</v>
      </c>
      <c r="B25" s="27" t="s">
        <v>212</v>
      </c>
      <c r="C25" s="28" t="s">
        <v>278</v>
      </c>
    </row>
    <row r="26">
      <c r="A26" s="26" t="s">
        <v>221</v>
      </c>
      <c r="B26" s="27" t="s">
        <v>222</v>
      </c>
      <c r="C26" s="28" t="s">
        <v>278</v>
      </c>
    </row>
    <row r="27">
      <c r="A27" s="26" t="s">
        <v>69</v>
      </c>
      <c r="B27" s="27" t="s">
        <v>70</v>
      </c>
      <c r="C27" s="28" t="s">
        <v>278</v>
      </c>
    </row>
    <row r="28">
      <c r="A28" s="26" t="s">
        <v>106</v>
      </c>
      <c r="B28" s="27" t="s">
        <v>107</v>
      </c>
      <c r="C28" s="28" t="s">
        <v>278</v>
      </c>
    </row>
    <row r="29">
      <c r="A29" s="26" t="s">
        <v>108</v>
      </c>
      <c r="B29" s="27" t="s">
        <v>109</v>
      </c>
      <c r="C29" s="28" t="s">
        <v>278</v>
      </c>
    </row>
    <row r="30">
      <c r="A30" s="26" t="s">
        <v>265</v>
      </c>
      <c r="B30" s="27" t="s">
        <v>266</v>
      </c>
      <c r="C30" s="28" t="s">
        <v>278</v>
      </c>
    </row>
    <row r="31">
      <c r="A31" s="26" t="s">
        <v>78</v>
      </c>
      <c r="B31" s="27" t="s">
        <v>79</v>
      </c>
      <c r="C31" s="28" t="s">
        <v>278</v>
      </c>
    </row>
    <row r="32">
      <c r="A32" s="26" t="s">
        <v>188</v>
      </c>
      <c r="B32" s="27" t="s">
        <v>189</v>
      </c>
      <c r="C32" s="28" t="s">
        <v>278</v>
      </c>
    </row>
    <row r="33">
      <c r="A33" s="26" t="s">
        <v>150</v>
      </c>
      <c r="B33" s="27" t="s">
        <v>151</v>
      </c>
      <c r="C33" s="28" t="s">
        <v>278</v>
      </c>
    </row>
    <row r="34">
      <c r="A34" s="26" t="s">
        <v>91</v>
      </c>
      <c r="B34" s="27" t="s">
        <v>92</v>
      </c>
      <c r="C34" s="28" t="s">
        <v>278</v>
      </c>
    </row>
    <row r="35">
      <c r="A35" s="26" t="s">
        <v>269</v>
      </c>
      <c r="B35" s="27" t="s">
        <v>270</v>
      </c>
      <c r="C35" s="28" t="s">
        <v>278</v>
      </c>
    </row>
    <row r="36">
      <c r="A36" s="26" t="s">
        <v>122</v>
      </c>
      <c r="B36" s="27" t="s">
        <v>123</v>
      </c>
      <c r="C36" s="28" t="s">
        <v>278</v>
      </c>
    </row>
    <row r="37">
      <c r="A37" s="26" t="s">
        <v>227</v>
      </c>
      <c r="B37" s="27" t="s">
        <v>228</v>
      </c>
      <c r="C37" s="28" t="s">
        <v>278</v>
      </c>
    </row>
    <row r="38">
      <c r="A38" s="26" t="s">
        <v>120</v>
      </c>
      <c r="B38" s="27" t="s">
        <v>121</v>
      </c>
      <c r="C38" s="28" t="s">
        <v>278</v>
      </c>
    </row>
    <row r="39">
      <c r="A39" s="26" t="s">
        <v>213</v>
      </c>
      <c r="B39" s="27" t="s">
        <v>214</v>
      </c>
      <c r="C39" s="28" t="s">
        <v>278</v>
      </c>
    </row>
    <row r="40">
      <c r="A40" s="26" t="s">
        <v>85</v>
      </c>
      <c r="B40" s="27" t="s">
        <v>86</v>
      </c>
      <c r="C40" s="28" t="s">
        <v>278</v>
      </c>
    </row>
    <row r="41">
      <c r="A41" s="26" t="s">
        <v>162</v>
      </c>
      <c r="B41" s="27" t="s">
        <v>163</v>
      </c>
      <c r="C41" s="28" t="s">
        <v>278</v>
      </c>
    </row>
    <row r="42">
      <c r="A42" s="26" t="s">
        <v>205</v>
      </c>
      <c r="B42" s="27" t="s">
        <v>206</v>
      </c>
      <c r="C42" s="28" t="s">
        <v>278</v>
      </c>
    </row>
    <row r="43">
      <c r="A43" s="26" t="s">
        <v>190</v>
      </c>
      <c r="B43" s="27" t="s">
        <v>191</v>
      </c>
      <c r="C43" s="28" t="s">
        <v>278</v>
      </c>
    </row>
    <row r="44">
      <c r="A44" s="26" t="s">
        <v>124</v>
      </c>
      <c r="B44" s="27" t="s">
        <v>125</v>
      </c>
      <c r="C44" s="28" t="s">
        <v>278</v>
      </c>
    </row>
    <row r="45">
      <c r="A45" s="26" t="s">
        <v>101</v>
      </c>
      <c r="B45" s="27" t="s">
        <v>102</v>
      </c>
      <c r="C45" s="28" t="s">
        <v>278</v>
      </c>
    </row>
    <row r="46">
      <c r="A46" s="26" t="s">
        <v>137</v>
      </c>
      <c r="B46" s="27" t="s">
        <v>138</v>
      </c>
      <c r="C46" s="28" t="s">
        <v>278</v>
      </c>
    </row>
    <row r="47">
      <c r="A47" s="26" t="s">
        <v>126</v>
      </c>
      <c r="B47" s="27" t="s">
        <v>127</v>
      </c>
      <c r="C47" s="28" t="s">
        <v>278</v>
      </c>
    </row>
    <row r="48">
      <c r="A48" s="26" t="s">
        <v>74</v>
      </c>
      <c r="B48" s="27" t="s">
        <v>75</v>
      </c>
      <c r="C48" s="28" t="s">
        <v>278</v>
      </c>
    </row>
    <row r="49">
      <c r="A49" s="26" t="s">
        <v>156</v>
      </c>
      <c r="B49" s="27" t="s">
        <v>157</v>
      </c>
      <c r="C49" s="28" t="s">
        <v>278</v>
      </c>
    </row>
    <row r="50">
      <c r="A50" s="26" t="s">
        <v>182</v>
      </c>
      <c r="B50" s="27" t="s">
        <v>183</v>
      </c>
      <c r="C50" s="28" t="s">
        <v>278</v>
      </c>
    </row>
    <row r="51">
      <c r="A51" s="26" t="s">
        <v>207</v>
      </c>
      <c r="B51" s="27" t="s">
        <v>208</v>
      </c>
      <c r="C51" s="28" t="s">
        <v>278</v>
      </c>
    </row>
    <row r="52">
      <c r="A52" s="26" t="s">
        <v>166</v>
      </c>
      <c r="B52" s="27" t="s">
        <v>167</v>
      </c>
      <c r="C52" s="28" t="s">
        <v>278</v>
      </c>
    </row>
    <row r="53">
      <c r="A53" s="26" t="s">
        <v>259</v>
      </c>
      <c r="B53" s="27" t="s">
        <v>260</v>
      </c>
      <c r="C53" s="28" t="s">
        <v>278</v>
      </c>
    </row>
    <row r="54">
      <c r="A54" s="26" t="s">
        <v>80</v>
      </c>
      <c r="B54" s="27" t="s">
        <v>81</v>
      </c>
      <c r="C54" s="28" t="s">
        <v>278</v>
      </c>
    </row>
    <row r="55">
      <c r="A55" s="26" t="s">
        <v>93</v>
      </c>
      <c r="B55" s="27" t="s">
        <v>94</v>
      </c>
      <c r="C55" s="28" t="s">
        <v>278</v>
      </c>
    </row>
    <row r="56">
      <c r="A56" s="26" t="s">
        <v>237</v>
      </c>
      <c r="B56" s="27" t="s">
        <v>238</v>
      </c>
      <c r="C56" s="28" t="s">
        <v>278</v>
      </c>
    </row>
    <row r="57">
      <c r="A57" s="26" t="s">
        <v>209</v>
      </c>
      <c r="B57" s="27" t="s">
        <v>210</v>
      </c>
      <c r="C57" s="28" t="s">
        <v>278</v>
      </c>
    </row>
    <row r="58">
      <c r="A58" s="26" t="s">
        <v>233</v>
      </c>
      <c r="B58" s="27" t="s">
        <v>234</v>
      </c>
      <c r="C58" s="28" t="s">
        <v>278</v>
      </c>
    </row>
    <row r="59">
      <c r="A59" s="26" t="s">
        <v>257</v>
      </c>
      <c r="B59" s="27" t="s">
        <v>258</v>
      </c>
      <c r="C59" s="28" t="s">
        <v>278</v>
      </c>
    </row>
    <row r="60">
      <c r="A60" s="26" t="s">
        <v>243</v>
      </c>
      <c r="B60" s="27" t="s">
        <v>244</v>
      </c>
      <c r="C60" s="28" t="s">
        <v>278</v>
      </c>
    </row>
    <row r="61">
      <c r="A61" s="26" t="s">
        <v>195</v>
      </c>
      <c r="B61" s="27" t="s">
        <v>196</v>
      </c>
      <c r="C61" s="28" t="s">
        <v>278</v>
      </c>
    </row>
    <row r="62">
      <c r="A62" s="26" t="s">
        <v>241</v>
      </c>
      <c r="B62" s="27" t="s">
        <v>242</v>
      </c>
      <c r="C62" s="28" t="s">
        <v>278</v>
      </c>
    </row>
    <row r="63">
      <c r="A63" s="26" t="s">
        <v>231</v>
      </c>
      <c r="B63" s="27" t="s">
        <v>232</v>
      </c>
      <c r="C63" s="28" t="s">
        <v>278</v>
      </c>
    </row>
    <row r="64">
      <c r="A64" s="26" t="s">
        <v>111</v>
      </c>
      <c r="B64" s="27" t="s">
        <v>112</v>
      </c>
      <c r="C64" s="28" t="s">
        <v>278</v>
      </c>
    </row>
    <row r="65">
      <c r="A65" s="26" t="s">
        <v>158</v>
      </c>
      <c r="B65" s="27" t="s">
        <v>159</v>
      </c>
      <c r="C65" s="28" t="s">
        <v>278</v>
      </c>
    </row>
    <row r="66">
      <c r="A66" s="26" t="s">
        <v>71</v>
      </c>
      <c r="B66" s="27" t="s">
        <v>72</v>
      </c>
      <c r="C66" s="28" t="s">
        <v>278</v>
      </c>
    </row>
    <row r="67">
      <c r="A67" s="26" t="s">
        <v>253</v>
      </c>
      <c r="B67" s="27" t="s">
        <v>254</v>
      </c>
      <c r="C67" s="28" t="s">
        <v>278</v>
      </c>
    </row>
    <row r="68">
      <c r="A68" s="26" t="s">
        <v>130</v>
      </c>
      <c r="B68" s="27" t="s">
        <v>131</v>
      </c>
      <c r="C68" s="28" t="s">
        <v>278</v>
      </c>
    </row>
    <row r="69">
      <c r="A69" s="26" t="s">
        <v>148</v>
      </c>
      <c r="B69" s="27" t="s">
        <v>149</v>
      </c>
      <c r="C69" s="28" t="s">
        <v>278</v>
      </c>
    </row>
    <row r="70">
      <c r="A70" s="26" t="s">
        <v>133</v>
      </c>
      <c r="B70" s="27" t="s">
        <v>134</v>
      </c>
      <c r="C70" s="28" t="s">
        <v>278</v>
      </c>
    </row>
    <row r="71">
      <c r="A71" s="26" t="s">
        <v>197</v>
      </c>
      <c r="B71" s="27" t="s">
        <v>198</v>
      </c>
      <c r="C71" s="28" t="s">
        <v>278</v>
      </c>
    </row>
    <row r="72">
      <c r="A72" s="26" t="s">
        <v>217</v>
      </c>
      <c r="B72" s="27" t="s">
        <v>218</v>
      </c>
      <c r="C72" s="28" t="s">
        <v>278</v>
      </c>
    </row>
    <row r="73">
      <c r="A73" s="26" t="s">
        <v>76</v>
      </c>
      <c r="B73" s="27" t="s">
        <v>77</v>
      </c>
      <c r="C73" s="28" t="s">
        <v>278</v>
      </c>
    </row>
    <row r="74">
      <c r="A74" s="26" t="s">
        <v>239</v>
      </c>
      <c r="B74" s="27" t="s">
        <v>240</v>
      </c>
      <c r="C74" s="28" t="s">
        <v>278</v>
      </c>
    </row>
    <row r="75">
      <c r="A75" s="26" t="s">
        <v>215</v>
      </c>
      <c r="B75" s="27" t="s">
        <v>216</v>
      </c>
      <c r="C75" s="28" t="s">
        <v>278</v>
      </c>
    </row>
    <row r="76">
      <c r="A76" s="26" t="s">
        <v>184</v>
      </c>
      <c r="B76" s="27" t="s">
        <v>185</v>
      </c>
      <c r="C76" s="28" t="s">
        <v>278</v>
      </c>
    </row>
    <row r="77">
      <c r="A77" s="26" t="s">
        <v>271</v>
      </c>
      <c r="B77" s="27" t="s">
        <v>272</v>
      </c>
      <c r="C77" s="28" t="s">
        <v>278</v>
      </c>
    </row>
    <row r="78">
      <c r="A78" s="26" t="s">
        <v>276</v>
      </c>
      <c r="B78" s="27" t="s">
        <v>277</v>
      </c>
      <c r="C78" s="28" t="s">
        <v>278</v>
      </c>
    </row>
    <row r="79">
      <c r="A79" s="26" t="s">
        <v>113</v>
      </c>
      <c r="B79" s="27" t="s">
        <v>114</v>
      </c>
      <c r="C79" s="28" t="s">
        <v>278</v>
      </c>
    </row>
    <row r="80">
      <c r="A80" s="26" t="s">
        <v>141</v>
      </c>
      <c r="B80" s="27" t="s">
        <v>142</v>
      </c>
      <c r="C80" s="28" t="s">
        <v>278</v>
      </c>
    </row>
    <row r="81">
      <c r="A81" s="26" t="s">
        <v>235</v>
      </c>
      <c r="B81" s="27" t="s">
        <v>236</v>
      </c>
      <c r="C81" s="28" t="s">
        <v>278</v>
      </c>
    </row>
    <row r="82">
      <c r="A82" s="26" t="s">
        <v>273</v>
      </c>
      <c r="B82" s="27" t="s">
        <v>274</v>
      </c>
      <c r="C82" s="28" t="s">
        <v>278</v>
      </c>
    </row>
    <row r="83">
      <c r="A83" s="26" t="s">
        <v>170</v>
      </c>
      <c r="B83" s="27" t="s">
        <v>171</v>
      </c>
      <c r="C83" s="28" t="s">
        <v>278</v>
      </c>
    </row>
    <row r="84">
      <c r="A84" s="26" t="s">
        <v>118</v>
      </c>
      <c r="B84" s="27" t="s">
        <v>119</v>
      </c>
      <c r="C84" s="28" t="s">
        <v>278</v>
      </c>
    </row>
    <row r="85">
      <c r="A85" s="26" t="s">
        <v>82</v>
      </c>
      <c r="B85" s="27" t="s">
        <v>83</v>
      </c>
      <c r="C85" s="28" t="s">
        <v>278</v>
      </c>
    </row>
    <row r="86">
      <c r="A86" s="26" t="s">
        <v>203</v>
      </c>
      <c r="B86" s="27" t="s">
        <v>204</v>
      </c>
      <c r="C86" s="28" t="s">
        <v>278</v>
      </c>
    </row>
    <row r="87">
      <c r="A87" s="26" t="s">
        <v>160</v>
      </c>
      <c r="B87" s="27" t="s">
        <v>161</v>
      </c>
      <c r="C87" s="28" t="s">
        <v>278</v>
      </c>
    </row>
    <row r="88">
      <c r="A88" s="26" t="s">
        <v>99</v>
      </c>
      <c r="B88" s="27" t="s">
        <v>100</v>
      </c>
      <c r="C88" s="28" t="s">
        <v>278</v>
      </c>
    </row>
    <row r="89">
      <c r="A89" s="26" t="s">
        <v>87</v>
      </c>
      <c r="B89" s="27" t="s">
        <v>88</v>
      </c>
      <c r="C89" s="28" t="s">
        <v>278</v>
      </c>
    </row>
    <row r="90">
      <c r="A90" s="26" t="s">
        <v>139</v>
      </c>
      <c r="B90" s="27" t="s">
        <v>140</v>
      </c>
      <c r="C90" s="28" t="s">
        <v>278</v>
      </c>
    </row>
    <row r="91">
      <c r="A91" s="26" t="s">
        <v>104</v>
      </c>
      <c r="B91" s="27" t="s">
        <v>105</v>
      </c>
      <c r="C91" s="28" t="s">
        <v>278</v>
      </c>
    </row>
    <row r="92">
      <c r="A92" s="26" t="s">
        <v>95</v>
      </c>
      <c r="B92" s="27" t="s">
        <v>96</v>
      </c>
      <c r="C92" s="28" t="s">
        <v>278</v>
      </c>
    </row>
    <row r="93">
      <c r="A93" s="26" t="s">
        <v>164</v>
      </c>
      <c r="B93" s="27" t="s">
        <v>165</v>
      </c>
      <c r="C93" s="28" t="s">
        <v>278</v>
      </c>
    </row>
    <row r="94">
      <c r="A94" s="26" t="s">
        <v>267</v>
      </c>
      <c r="B94" s="27" t="s">
        <v>268</v>
      </c>
      <c r="C94" s="28" t="s">
        <v>278</v>
      </c>
    </row>
    <row r="95">
      <c r="A95" s="26" t="s">
        <v>261</v>
      </c>
      <c r="B95" s="27" t="s">
        <v>262</v>
      </c>
      <c r="C95" s="28" t="s">
        <v>278</v>
      </c>
    </row>
    <row r="96">
      <c r="A96" s="26" t="s">
        <v>172</v>
      </c>
      <c r="B96" s="27" t="s">
        <v>173</v>
      </c>
      <c r="C96" s="28" t="s">
        <v>278</v>
      </c>
    </row>
    <row r="97">
      <c r="A97" s="26" t="s">
        <v>97</v>
      </c>
      <c r="B97" s="27" t="s">
        <v>98</v>
      </c>
      <c r="C97" s="28" t="s">
        <v>278</v>
      </c>
    </row>
    <row r="98">
      <c r="A98" s="26" t="s">
        <v>115</v>
      </c>
      <c r="B98" s="27" t="s">
        <v>116</v>
      </c>
      <c r="C98" s="28" t="s">
        <v>278</v>
      </c>
    </row>
    <row r="99">
      <c r="A99" s="26" t="s">
        <v>263</v>
      </c>
      <c r="B99" s="27" t="s">
        <v>264</v>
      </c>
      <c r="C99" s="28" t="s">
        <v>278</v>
      </c>
    </row>
    <row r="100">
      <c r="A100" s="26" t="s">
        <v>89</v>
      </c>
      <c r="B100" s="27" t="s">
        <v>90</v>
      </c>
      <c r="C100" s="28" t="s">
        <v>278</v>
      </c>
    </row>
    <row r="101">
      <c r="A101" s="26" t="s">
        <v>192</v>
      </c>
      <c r="B101" s="27" t="s">
        <v>193</v>
      </c>
      <c r="C101" s="28" t="s">
        <v>278</v>
      </c>
    </row>
  </sheetData>
  <dataValidations>
    <dataValidation type="list" allowBlank="1" showErrorMessage="1" sqref="C2:C101">
      <formula1>"TO DO,TRUE,FALSE,SKIP"</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23" t="s">
        <v>65</v>
      </c>
      <c r="B1" s="24" t="s">
        <v>66</v>
      </c>
      <c r="C1" s="25" t="s">
        <v>67</v>
      </c>
      <c r="D1" s="18" t="s">
        <v>68</v>
      </c>
    </row>
    <row r="2">
      <c r="A2" s="26" t="s">
        <v>128</v>
      </c>
      <c r="B2" s="27" t="s">
        <v>129</v>
      </c>
      <c r="C2" s="28" t="s">
        <v>278</v>
      </c>
    </row>
    <row r="3">
      <c r="A3" s="26" t="s">
        <v>71</v>
      </c>
      <c r="B3" s="27" t="s">
        <v>72</v>
      </c>
      <c r="C3" s="28" t="s">
        <v>278</v>
      </c>
    </row>
    <row r="4">
      <c r="A4" s="26" t="s">
        <v>243</v>
      </c>
      <c r="B4" s="27" t="s">
        <v>244</v>
      </c>
      <c r="C4" s="28" t="s">
        <v>278</v>
      </c>
    </row>
    <row r="5">
      <c r="A5" s="26" t="s">
        <v>87</v>
      </c>
      <c r="B5" s="27" t="s">
        <v>88</v>
      </c>
      <c r="C5" s="28" t="s">
        <v>278</v>
      </c>
    </row>
    <row r="6">
      <c r="A6" s="26" t="s">
        <v>113</v>
      </c>
      <c r="B6" s="27" t="s">
        <v>114</v>
      </c>
      <c r="C6" s="28" t="s">
        <v>278</v>
      </c>
    </row>
    <row r="7">
      <c r="A7" s="26" t="s">
        <v>150</v>
      </c>
      <c r="B7" s="27" t="s">
        <v>151</v>
      </c>
      <c r="C7" s="28" t="s">
        <v>278</v>
      </c>
    </row>
    <row r="8">
      <c r="A8" s="26" t="s">
        <v>257</v>
      </c>
      <c r="B8" s="27" t="s">
        <v>258</v>
      </c>
      <c r="C8" s="28" t="s">
        <v>278</v>
      </c>
    </row>
    <row r="9">
      <c r="A9" s="26" t="s">
        <v>108</v>
      </c>
      <c r="B9" s="27" t="s">
        <v>109</v>
      </c>
      <c r="C9" s="28" t="s">
        <v>278</v>
      </c>
    </row>
    <row r="10">
      <c r="A10" s="26" t="s">
        <v>207</v>
      </c>
      <c r="B10" s="27" t="s">
        <v>208</v>
      </c>
      <c r="C10" s="28" t="s">
        <v>278</v>
      </c>
    </row>
    <row r="11">
      <c r="A11" s="26" t="s">
        <v>139</v>
      </c>
      <c r="B11" s="27" t="s">
        <v>140</v>
      </c>
      <c r="C11" s="28" t="s">
        <v>278</v>
      </c>
    </row>
    <row r="12">
      <c r="A12" s="26" t="s">
        <v>227</v>
      </c>
      <c r="B12" s="27" t="s">
        <v>228</v>
      </c>
      <c r="C12" s="28" t="s">
        <v>278</v>
      </c>
    </row>
    <row r="13">
      <c r="A13" s="26" t="s">
        <v>176</v>
      </c>
      <c r="B13" s="27" t="s">
        <v>177</v>
      </c>
      <c r="C13" s="28" t="s">
        <v>278</v>
      </c>
    </row>
    <row r="14">
      <c r="A14" s="26" t="s">
        <v>164</v>
      </c>
      <c r="B14" s="27" t="s">
        <v>165</v>
      </c>
      <c r="C14" s="28" t="s">
        <v>278</v>
      </c>
    </row>
    <row r="15">
      <c r="A15" s="26" t="s">
        <v>259</v>
      </c>
      <c r="B15" s="27" t="s">
        <v>260</v>
      </c>
      <c r="C15" s="28" t="s">
        <v>278</v>
      </c>
    </row>
    <row r="16">
      <c r="A16" s="26" t="s">
        <v>78</v>
      </c>
      <c r="B16" s="27" t="s">
        <v>79</v>
      </c>
      <c r="C16" s="28" t="s">
        <v>278</v>
      </c>
    </row>
    <row r="17">
      <c r="A17" s="26" t="s">
        <v>203</v>
      </c>
      <c r="B17" s="27" t="s">
        <v>204</v>
      </c>
      <c r="C17" s="28" t="s">
        <v>278</v>
      </c>
    </row>
    <row r="18">
      <c r="A18" s="26" t="s">
        <v>233</v>
      </c>
      <c r="B18" s="27" t="s">
        <v>234</v>
      </c>
      <c r="C18" s="28" t="s">
        <v>278</v>
      </c>
    </row>
    <row r="19">
      <c r="A19" s="26" t="s">
        <v>276</v>
      </c>
      <c r="B19" s="27" t="s">
        <v>277</v>
      </c>
      <c r="C19" s="28" t="s">
        <v>278</v>
      </c>
    </row>
    <row r="20">
      <c r="A20" s="26" t="s">
        <v>111</v>
      </c>
      <c r="B20" s="27" t="s">
        <v>112</v>
      </c>
      <c r="C20" s="28" t="s">
        <v>278</v>
      </c>
    </row>
    <row r="21">
      <c r="A21" s="26" t="s">
        <v>146</v>
      </c>
      <c r="B21" s="27" t="s">
        <v>147</v>
      </c>
      <c r="C21" s="28" t="s">
        <v>278</v>
      </c>
    </row>
    <row r="22">
      <c r="A22" s="26" t="s">
        <v>76</v>
      </c>
      <c r="B22" s="27" t="s">
        <v>77</v>
      </c>
      <c r="C22" s="28" t="s">
        <v>278</v>
      </c>
    </row>
    <row r="23">
      <c r="A23" s="26" t="s">
        <v>221</v>
      </c>
      <c r="B23" s="27" t="s">
        <v>222</v>
      </c>
      <c r="C23" s="28" t="s">
        <v>278</v>
      </c>
    </row>
    <row r="24">
      <c r="A24" s="26" t="s">
        <v>271</v>
      </c>
      <c r="B24" s="27" t="s">
        <v>272</v>
      </c>
      <c r="C24" s="28" t="s">
        <v>278</v>
      </c>
    </row>
    <row r="25">
      <c r="A25" s="26" t="s">
        <v>85</v>
      </c>
      <c r="B25" s="27" t="s">
        <v>86</v>
      </c>
      <c r="C25" s="28" t="s">
        <v>278</v>
      </c>
    </row>
    <row r="26">
      <c r="A26" s="26" t="s">
        <v>126</v>
      </c>
      <c r="B26" s="27" t="s">
        <v>127</v>
      </c>
      <c r="C26" s="28" t="s">
        <v>278</v>
      </c>
    </row>
    <row r="27">
      <c r="A27" s="26" t="s">
        <v>141</v>
      </c>
      <c r="B27" s="27" t="s">
        <v>142</v>
      </c>
      <c r="C27" s="28" t="s">
        <v>278</v>
      </c>
    </row>
    <row r="28">
      <c r="A28" s="26" t="s">
        <v>197</v>
      </c>
      <c r="B28" s="27" t="s">
        <v>198</v>
      </c>
      <c r="C28" s="28" t="s">
        <v>278</v>
      </c>
    </row>
    <row r="29">
      <c r="A29" s="26" t="s">
        <v>247</v>
      </c>
      <c r="B29" s="27" t="s">
        <v>248</v>
      </c>
      <c r="C29" s="28" t="s">
        <v>278</v>
      </c>
    </row>
    <row r="30">
      <c r="A30" s="26" t="s">
        <v>239</v>
      </c>
      <c r="B30" s="27" t="s">
        <v>240</v>
      </c>
      <c r="C30" s="28" t="s">
        <v>278</v>
      </c>
    </row>
    <row r="31">
      <c r="A31" s="26" t="s">
        <v>156</v>
      </c>
      <c r="B31" s="27" t="s">
        <v>157</v>
      </c>
      <c r="C31" s="28" t="s">
        <v>278</v>
      </c>
    </row>
    <row r="32">
      <c r="A32" s="26" t="s">
        <v>82</v>
      </c>
      <c r="B32" s="27" t="s">
        <v>83</v>
      </c>
      <c r="C32" s="28" t="s">
        <v>278</v>
      </c>
    </row>
    <row r="33">
      <c r="A33" s="26" t="s">
        <v>195</v>
      </c>
      <c r="B33" s="27" t="s">
        <v>196</v>
      </c>
      <c r="C33" s="28" t="s">
        <v>278</v>
      </c>
    </row>
    <row r="34">
      <c r="A34" s="26" t="s">
        <v>180</v>
      </c>
      <c r="B34" s="27" t="s">
        <v>181</v>
      </c>
      <c r="C34" s="28" t="s">
        <v>278</v>
      </c>
    </row>
    <row r="35">
      <c r="A35" s="26" t="s">
        <v>223</v>
      </c>
      <c r="B35" s="27" t="s">
        <v>224</v>
      </c>
      <c r="C35" s="28" t="s">
        <v>278</v>
      </c>
    </row>
    <row r="36">
      <c r="A36" s="26" t="s">
        <v>225</v>
      </c>
      <c r="B36" s="27" t="s">
        <v>226</v>
      </c>
      <c r="C36" s="28" t="s">
        <v>278</v>
      </c>
    </row>
    <row r="37">
      <c r="A37" s="26" t="s">
        <v>255</v>
      </c>
      <c r="B37" s="27" t="s">
        <v>256</v>
      </c>
      <c r="C37" s="28" t="s">
        <v>278</v>
      </c>
    </row>
    <row r="38">
      <c r="A38" s="26" t="s">
        <v>170</v>
      </c>
      <c r="B38" s="27" t="s">
        <v>171</v>
      </c>
      <c r="C38" s="28" t="s">
        <v>278</v>
      </c>
    </row>
    <row r="39">
      <c r="A39" s="26" t="s">
        <v>137</v>
      </c>
      <c r="B39" s="27" t="s">
        <v>138</v>
      </c>
      <c r="C39" s="28" t="s">
        <v>278</v>
      </c>
    </row>
    <row r="40">
      <c r="A40" s="26" t="s">
        <v>273</v>
      </c>
      <c r="B40" s="27" t="s">
        <v>274</v>
      </c>
      <c r="C40" s="28" t="s">
        <v>278</v>
      </c>
    </row>
    <row r="41">
      <c r="A41" s="26" t="s">
        <v>219</v>
      </c>
      <c r="B41" s="27" t="s">
        <v>220</v>
      </c>
      <c r="C41" s="28" t="s">
        <v>278</v>
      </c>
    </row>
    <row r="42">
      <c r="A42" s="26" t="s">
        <v>89</v>
      </c>
      <c r="B42" s="27" t="s">
        <v>90</v>
      </c>
      <c r="C42" s="28" t="s">
        <v>278</v>
      </c>
    </row>
    <row r="43">
      <c r="A43" s="26" t="s">
        <v>148</v>
      </c>
      <c r="B43" s="27" t="s">
        <v>149</v>
      </c>
      <c r="C43" s="28" t="s">
        <v>278</v>
      </c>
    </row>
    <row r="44">
      <c r="A44" s="26" t="s">
        <v>74</v>
      </c>
      <c r="B44" s="27" t="s">
        <v>75</v>
      </c>
      <c r="C44" s="28" t="s">
        <v>278</v>
      </c>
    </row>
    <row r="45">
      <c r="A45" s="26" t="s">
        <v>115</v>
      </c>
      <c r="B45" s="27" t="s">
        <v>116</v>
      </c>
      <c r="C45" s="28" t="s">
        <v>278</v>
      </c>
    </row>
    <row r="46">
      <c r="A46" s="26" t="s">
        <v>235</v>
      </c>
      <c r="B46" s="27" t="s">
        <v>236</v>
      </c>
      <c r="C46" s="28" t="s">
        <v>278</v>
      </c>
    </row>
    <row r="47">
      <c r="A47" s="26" t="s">
        <v>229</v>
      </c>
      <c r="B47" s="27" t="s">
        <v>230</v>
      </c>
      <c r="C47" s="28" t="s">
        <v>278</v>
      </c>
    </row>
    <row r="48">
      <c r="A48" s="26" t="s">
        <v>101</v>
      </c>
      <c r="B48" s="27" t="s">
        <v>102</v>
      </c>
      <c r="C48" s="28" t="s">
        <v>278</v>
      </c>
    </row>
    <row r="49">
      <c r="A49" s="26" t="s">
        <v>217</v>
      </c>
      <c r="B49" s="27" t="s">
        <v>218</v>
      </c>
      <c r="C49" s="28" t="s">
        <v>278</v>
      </c>
    </row>
    <row r="50">
      <c r="A50" s="26" t="s">
        <v>91</v>
      </c>
      <c r="B50" s="27" t="s">
        <v>92</v>
      </c>
      <c r="C50" s="28" t="s">
        <v>278</v>
      </c>
    </row>
    <row r="51">
      <c r="A51" s="26" t="s">
        <v>205</v>
      </c>
      <c r="B51" s="27" t="s">
        <v>206</v>
      </c>
      <c r="C51" s="28" t="s">
        <v>278</v>
      </c>
    </row>
    <row r="52">
      <c r="A52" s="26" t="s">
        <v>184</v>
      </c>
      <c r="B52" s="27" t="s">
        <v>185</v>
      </c>
      <c r="C52" s="28" t="s">
        <v>278</v>
      </c>
    </row>
    <row r="53">
      <c r="A53" s="26" t="s">
        <v>172</v>
      </c>
      <c r="B53" s="27" t="s">
        <v>173</v>
      </c>
      <c r="C53" s="28" t="s">
        <v>278</v>
      </c>
    </row>
    <row r="54">
      <c r="A54" s="26" t="s">
        <v>237</v>
      </c>
      <c r="B54" s="27" t="s">
        <v>238</v>
      </c>
      <c r="C54" s="28" t="s">
        <v>278</v>
      </c>
    </row>
    <row r="55">
      <c r="A55" s="26" t="s">
        <v>253</v>
      </c>
      <c r="B55" s="27" t="s">
        <v>254</v>
      </c>
      <c r="C55" s="28" t="s">
        <v>278</v>
      </c>
    </row>
    <row r="56">
      <c r="A56" s="26" t="s">
        <v>143</v>
      </c>
      <c r="B56" s="27" t="s">
        <v>144</v>
      </c>
      <c r="C56" s="28" t="s">
        <v>278</v>
      </c>
    </row>
    <row r="57">
      <c r="A57" s="26" t="s">
        <v>213</v>
      </c>
      <c r="B57" s="27" t="s">
        <v>214</v>
      </c>
      <c r="C57" s="28" t="s">
        <v>278</v>
      </c>
    </row>
    <row r="58">
      <c r="A58" s="26" t="s">
        <v>174</v>
      </c>
      <c r="B58" s="27" t="s">
        <v>175</v>
      </c>
      <c r="C58" s="28" t="s">
        <v>278</v>
      </c>
    </row>
    <row r="59">
      <c r="A59" s="26" t="s">
        <v>265</v>
      </c>
      <c r="B59" s="27" t="s">
        <v>266</v>
      </c>
      <c r="C59" s="28" t="s">
        <v>278</v>
      </c>
    </row>
    <row r="60">
      <c r="A60" s="26" t="s">
        <v>133</v>
      </c>
      <c r="B60" s="27" t="s">
        <v>134</v>
      </c>
      <c r="C60" s="28" t="s">
        <v>278</v>
      </c>
    </row>
    <row r="61">
      <c r="A61" s="26" t="s">
        <v>130</v>
      </c>
      <c r="B61" s="27" t="s">
        <v>131</v>
      </c>
      <c r="C61" s="28" t="s">
        <v>278</v>
      </c>
    </row>
    <row r="62">
      <c r="A62" s="26" t="s">
        <v>190</v>
      </c>
      <c r="B62" s="27" t="s">
        <v>191</v>
      </c>
      <c r="C62" s="28" t="s">
        <v>278</v>
      </c>
    </row>
    <row r="63">
      <c r="A63" s="26" t="s">
        <v>249</v>
      </c>
      <c r="B63" s="27" t="s">
        <v>250</v>
      </c>
      <c r="C63" s="28" t="s">
        <v>278</v>
      </c>
    </row>
    <row r="64">
      <c r="A64" s="26" t="s">
        <v>186</v>
      </c>
      <c r="B64" s="27" t="s">
        <v>187</v>
      </c>
      <c r="C64" s="28" t="s">
        <v>278</v>
      </c>
    </row>
    <row r="65">
      <c r="A65" s="26" t="s">
        <v>158</v>
      </c>
      <c r="B65" s="27" t="s">
        <v>159</v>
      </c>
      <c r="C65" s="28" t="s">
        <v>278</v>
      </c>
    </row>
    <row r="66">
      <c r="A66" s="26" t="s">
        <v>245</v>
      </c>
      <c r="B66" s="27" t="s">
        <v>246</v>
      </c>
      <c r="C66" s="28" t="s">
        <v>278</v>
      </c>
    </row>
    <row r="67">
      <c r="A67" s="26" t="s">
        <v>192</v>
      </c>
      <c r="B67" s="27" t="s">
        <v>193</v>
      </c>
      <c r="C67" s="28" t="s">
        <v>278</v>
      </c>
    </row>
    <row r="68">
      <c r="A68" s="26" t="s">
        <v>80</v>
      </c>
      <c r="B68" s="27" t="s">
        <v>81</v>
      </c>
      <c r="C68" s="28" t="s">
        <v>278</v>
      </c>
    </row>
    <row r="69">
      <c r="A69" s="26" t="s">
        <v>124</v>
      </c>
      <c r="B69" s="27" t="s">
        <v>125</v>
      </c>
      <c r="C69" s="28" t="s">
        <v>278</v>
      </c>
    </row>
    <row r="70">
      <c r="A70" s="26" t="s">
        <v>104</v>
      </c>
      <c r="B70" s="27" t="s">
        <v>105</v>
      </c>
      <c r="C70" s="28" t="s">
        <v>278</v>
      </c>
    </row>
    <row r="71">
      <c r="A71" s="26" t="s">
        <v>166</v>
      </c>
      <c r="B71" s="27" t="s">
        <v>167</v>
      </c>
      <c r="C71" s="28" t="s">
        <v>278</v>
      </c>
    </row>
    <row r="72">
      <c r="A72" s="26" t="s">
        <v>106</v>
      </c>
      <c r="B72" s="27" t="s">
        <v>107</v>
      </c>
      <c r="C72" s="28" t="s">
        <v>278</v>
      </c>
    </row>
    <row r="73">
      <c r="A73" s="26" t="s">
        <v>162</v>
      </c>
      <c r="B73" s="27" t="s">
        <v>163</v>
      </c>
      <c r="C73" s="28" t="s">
        <v>278</v>
      </c>
    </row>
    <row r="74">
      <c r="A74" s="26" t="s">
        <v>69</v>
      </c>
      <c r="B74" s="27" t="s">
        <v>70</v>
      </c>
      <c r="C74" s="28" t="s">
        <v>278</v>
      </c>
    </row>
    <row r="75">
      <c r="A75" s="26" t="s">
        <v>95</v>
      </c>
      <c r="B75" s="27" t="s">
        <v>96</v>
      </c>
      <c r="C75" s="28" t="s">
        <v>278</v>
      </c>
    </row>
    <row r="76">
      <c r="A76" s="26" t="s">
        <v>120</v>
      </c>
      <c r="B76" s="27" t="s">
        <v>121</v>
      </c>
      <c r="C76" s="28" t="s">
        <v>278</v>
      </c>
    </row>
    <row r="77">
      <c r="A77" s="26" t="s">
        <v>152</v>
      </c>
      <c r="B77" s="27" t="s">
        <v>153</v>
      </c>
      <c r="C77" s="28" t="s">
        <v>278</v>
      </c>
    </row>
    <row r="78">
      <c r="A78" s="26" t="s">
        <v>269</v>
      </c>
      <c r="B78" s="27" t="s">
        <v>270</v>
      </c>
      <c r="C78" s="28" t="s">
        <v>278</v>
      </c>
    </row>
    <row r="79">
      <c r="A79" s="26" t="s">
        <v>168</v>
      </c>
      <c r="B79" s="27" t="s">
        <v>169</v>
      </c>
      <c r="C79" s="28" t="s">
        <v>278</v>
      </c>
    </row>
    <row r="80">
      <c r="A80" s="26" t="s">
        <v>215</v>
      </c>
      <c r="B80" s="27" t="s">
        <v>216</v>
      </c>
      <c r="C80" s="28" t="s">
        <v>278</v>
      </c>
    </row>
    <row r="81">
      <c r="A81" s="26" t="s">
        <v>251</v>
      </c>
      <c r="B81" s="27" t="s">
        <v>252</v>
      </c>
      <c r="C81" s="28" t="s">
        <v>278</v>
      </c>
    </row>
    <row r="82">
      <c r="A82" s="26" t="s">
        <v>201</v>
      </c>
      <c r="B82" s="27" t="s">
        <v>202</v>
      </c>
      <c r="C82" s="28" t="s">
        <v>278</v>
      </c>
    </row>
    <row r="83">
      <c r="A83" s="26" t="s">
        <v>188</v>
      </c>
      <c r="B83" s="27" t="s">
        <v>189</v>
      </c>
      <c r="C83" s="28" t="s">
        <v>278</v>
      </c>
    </row>
    <row r="84">
      <c r="A84" s="26" t="s">
        <v>267</v>
      </c>
      <c r="B84" s="27" t="s">
        <v>268</v>
      </c>
      <c r="C84" s="28" t="s">
        <v>278</v>
      </c>
    </row>
    <row r="85">
      <c r="A85" s="26" t="s">
        <v>211</v>
      </c>
      <c r="B85" s="27" t="s">
        <v>212</v>
      </c>
      <c r="C85" s="28" t="s">
        <v>278</v>
      </c>
    </row>
    <row r="86">
      <c r="A86" s="26" t="s">
        <v>178</v>
      </c>
      <c r="B86" s="27" t="s">
        <v>179</v>
      </c>
      <c r="C86" s="28" t="s">
        <v>278</v>
      </c>
    </row>
    <row r="87">
      <c r="A87" s="26" t="s">
        <v>231</v>
      </c>
      <c r="B87" s="27" t="s">
        <v>232</v>
      </c>
      <c r="C87" s="28" t="s">
        <v>278</v>
      </c>
    </row>
    <row r="88">
      <c r="A88" s="26" t="s">
        <v>209</v>
      </c>
      <c r="B88" s="27" t="s">
        <v>210</v>
      </c>
      <c r="C88" s="28" t="s">
        <v>278</v>
      </c>
    </row>
    <row r="89">
      <c r="A89" s="26" t="s">
        <v>99</v>
      </c>
      <c r="B89" s="27" t="s">
        <v>100</v>
      </c>
      <c r="C89" s="28" t="s">
        <v>278</v>
      </c>
    </row>
    <row r="90">
      <c r="A90" s="26" t="s">
        <v>199</v>
      </c>
      <c r="B90" s="27" t="s">
        <v>200</v>
      </c>
      <c r="C90" s="28" t="s">
        <v>278</v>
      </c>
    </row>
    <row r="91">
      <c r="A91" s="26" t="s">
        <v>182</v>
      </c>
      <c r="B91" s="27" t="s">
        <v>183</v>
      </c>
      <c r="C91" s="28" t="s">
        <v>278</v>
      </c>
    </row>
    <row r="92">
      <c r="A92" s="26" t="s">
        <v>118</v>
      </c>
      <c r="B92" s="27" t="s">
        <v>119</v>
      </c>
      <c r="C92" s="28" t="s">
        <v>278</v>
      </c>
    </row>
    <row r="93">
      <c r="A93" s="26" t="s">
        <v>93</v>
      </c>
      <c r="B93" s="27" t="s">
        <v>94</v>
      </c>
      <c r="C93" s="28" t="s">
        <v>278</v>
      </c>
    </row>
    <row r="94">
      <c r="A94" s="26" t="s">
        <v>261</v>
      </c>
      <c r="B94" s="27" t="s">
        <v>262</v>
      </c>
      <c r="C94" s="28" t="s">
        <v>278</v>
      </c>
    </row>
    <row r="95">
      <c r="A95" s="26" t="s">
        <v>241</v>
      </c>
      <c r="B95" s="27" t="s">
        <v>242</v>
      </c>
      <c r="C95" s="28" t="s">
        <v>278</v>
      </c>
    </row>
    <row r="96">
      <c r="A96" s="26" t="s">
        <v>97</v>
      </c>
      <c r="B96" s="27" t="s">
        <v>98</v>
      </c>
      <c r="C96" s="28" t="s">
        <v>278</v>
      </c>
    </row>
    <row r="97">
      <c r="A97" s="26" t="s">
        <v>135</v>
      </c>
      <c r="B97" s="27" t="s">
        <v>136</v>
      </c>
      <c r="C97" s="28" t="s">
        <v>278</v>
      </c>
    </row>
    <row r="98">
      <c r="A98" s="26" t="s">
        <v>263</v>
      </c>
      <c r="B98" s="27" t="s">
        <v>264</v>
      </c>
      <c r="C98" s="28" t="s">
        <v>278</v>
      </c>
    </row>
    <row r="99">
      <c r="A99" s="26" t="s">
        <v>154</v>
      </c>
      <c r="B99" s="27" t="s">
        <v>155</v>
      </c>
      <c r="C99" s="28" t="s">
        <v>278</v>
      </c>
    </row>
    <row r="100">
      <c r="A100" s="26" t="s">
        <v>122</v>
      </c>
      <c r="B100" s="27" t="s">
        <v>123</v>
      </c>
      <c r="C100" s="28" t="s">
        <v>278</v>
      </c>
    </row>
    <row r="101">
      <c r="A101" s="26" t="s">
        <v>160</v>
      </c>
      <c r="B101" s="27" t="s">
        <v>161</v>
      </c>
      <c r="C101" s="28" t="s">
        <v>278</v>
      </c>
    </row>
  </sheetData>
  <dataValidations>
    <dataValidation type="list" allowBlank="1" showErrorMessage="1" sqref="C2:C101">
      <formula1>"TO DO,TRUE,FALSE,SKIP"</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88"/>
    <col customWidth="1" min="2" max="2" width="91.0"/>
    <col customWidth="1" min="3" max="4" width="19.75"/>
  </cols>
  <sheetData>
    <row r="1">
      <c r="A1" s="23" t="s">
        <v>65</v>
      </c>
      <c r="B1" s="24" t="s">
        <v>66</v>
      </c>
      <c r="C1" s="25" t="s">
        <v>67</v>
      </c>
      <c r="D1" s="18" t="s">
        <v>68</v>
      </c>
    </row>
    <row r="2">
      <c r="A2" s="26" t="s">
        <v>217</v>
      </c>
      <c r="B2" s="27" t="s">
        <v>218</v>
      </c>
      <c r="C2" s="28" t="b">
        <v>0</v>
      </c>
    </row>
    <row r="3">
      <c r="A3" s="26" t="s">
        <v>71</v>
      </c>
      <c r="B3" s="27" t="s">
        <v>72</v>
      </c>
      <c r="C3" s="28" t="b">
        <v>0</v>
      </c>
    </row>
    <row r="4">
      <c r="A4" s="26" t="s">
        <v>203</v>
      </c>
      <c r="B4" s="27" t="s">
        <v>204</v>
      </c>
      <c r="C4" s="28" t="b">
        <v>0</v>
      </c>
    </row>
    <row r="5">
      <c r="A5" s="26" t="s">
        <v>223</v>
      </c>
      <c r="B5" s="27" t="s">
        <v>224</v>
      </c>
      <c r="C5" s="28" t="b">
        <v>1</v>
      </c>
    </row>
    <row r="6">
      <c r="A6" s="26" t="s">
        <v>76</v>
      </c>
      <c r="B6" s="27" t="s">
        <v>77</v>
      </c>
      <c r="C6" s="28" t="b">
        <v>1</v>
      </c>
    </row>
    <row r="7">
      <c r="A7" s="26" t="s">
        <v>182</v>
      </c>
      <c r="B7" s="29" t="s">
        <v>183</v>
      </c>
      <c r="C7" s="28" t="b">
        <v>1</v>
      </c>
      <c r="D7" s="5" t="s">
        <v>279</v>
      </c>
    </row>
    <row r="8">
      <c r="A8" s="26" t="s">
        <v>174</v>
      </c>
      <c r="B8" s="27" t="s">
        <v>175</v>
      </c>
      <c r="C8" s="28" t="b">
        <v>0</v>
      </c>
    </row>
    <row r="9">
      <c r="A9" s="26" t="s">
        <v>78</v>
      </c>
      <c r="B9" s="30" t="s">
        <v>79</v>
      </c>
      <c r="C9" s="28" t="b">
        <v>1</v>
      </c>
    </row>
    <row r="10">
      <c r="A10" s="26" t="s">
        <v>130</v>
      </c>
      <c r="B10" s="27" t="s">
        <v>131</v>
      </c>
      <c r="C10" s="28" t="b">
        <v>0</v>
      </c>
    </row>
    <row r="11">
      <c r="A11" s="26" t="s">
        <v>166</v>
      </c>
      <c r="B11" s="27" t="s">
        <v>167</v>
      </c>
      <c r="C11" s="28" t="b">
        <v>1</v>
      </c>
    </row>
    <row r="12">
      <c r="A12" s="26" t="s">
        <v>156</v>
      </c>
      <c r="B12" s="27" t="s">
        <v>157</v>
      </c>
      <c r="C12" s="28" t="b">
        <v>1</v>
      </c>
    </row>
    <row r="13">
      <c r="A13" s="26" t="s">
        <v>172</v>
      </c>
      <c r="B13" s="27" t="s">
        <v>173</v>
      </c>
      <c r="C13" s="28" t="b">
        <v>1</v>
      </c>
    </row>
    <row r="14">
      <c r="A14" s="26" t="s">
        <v>211</v>
      </c>
      <c r="B14" s="27" t="s">
        <v>212</v>
      </c>
      <c r="C14" s="28" t="b">
        <v>1</v>
      </c>
    </row>
    <row r="15">
      <c r="A15" s="26" t="s">
        <v>154</v>
      </c>
      <c r="B15" s="27" t="s">
        <v>155</v>
      </c>
      <c r="C15" s="28" t="b">
        <v>0</v>
      </c>
    </row>
    <row r="16">
      <c r="A16" s="26" t="s">
        <v>87</v>
      </c>
      <c r="B16" s="27" t="s">
        <v>88</v>
      </c>
      <c r="C16" s="28" t="b">
        <v>0</v>
      </c>
    </row>
    <row r="17">
      <c r="A17" s="26" t="s">
        <v>164</v>
      </c>
      <c r="B17" s="27" t="s">
        <v>165</v>
      </c>
      <c r="C17" s="28" t="b">
        <v>0</v>
      </c>
    </row>
    <row r="18">
      <c r="A18" s="26" t="s">
        <v>85</v>
      </c>
      <c r="B18" s="31" t="s">
        <v>86</v>
      </c>
      <c r="C18" s="28" t="b">
        <v>0</v>
      </c>
      <c r="D18" s="5" t="s">
        <v>280</v>
      </c>
    </row>
    <row r="19">
      <c r="A19" s="26" t="s">
        <v>108</v>
      </c>
      <c r="B19" s="29" t="s">
        <v>109</v>
      </c>
      <c r="C19" s="28" t="b">
        <v>1</v>
      </c>
      <c r="D19" s="5" t="s">
        <v>281</v>
      </c>
    </row>
    <row r="20">
      <c r="A20" s="26" t="s">
        <v>160</v>
      </c>
      <c r="B20" s="31" t="s">
        <v>161</v>
      </c>
      <c r="C20" s="28" t="b">
        <v>0</v>
      </c>
      <c r="D20" s="5" t="s">
        <v>282</v>
      </c>
    </row>
    <row r="21">
      <c r="A21" s="26" t="s">
        <v>239</v>
      </c>
      <c r="B21" s="27" t="s">
        <v>240</v>
      </c>
      <c r="C21" s="28" t="b">
        <v>1</v>
      </c>
    </row>
    <row r="22">
      <c r="A22" s="26" t="s">
        <v>207</v>
      </c>
      <c r="B22" s="27" t="s">
        <v>208</v>
      </c>
      <c r="C22" s="28" t="b">
        <v>0</v>
      </c>
    </row>
    <row r="23">
      <c r="A23" s="26" t="s">
        <v>225</v>
      </c>
      <c r="B23" s="27" t="s">
        <v>226</v>
      </c>
      <c r="C23" s="28" t="b">
        <v>0</v>
      </c>
    </row>
    <row r="24">
      <c r="A24" s="26" t="s">
        <v>111</v>
      </c>
      <c r="B24" s="27" t="s">
        <v>112</v>
      </c>
      <c r="C24" s="28" t="b">
        <v>1</v>
      </c>
    </row>
    <row r="25">
      <c r="A25" s="26" t="s">
        <v>152</v>
      </c>
      <c r="B25" s="27" t="s">
        <v>153</v>
      </c>
      <c r="C25" s="28" t="b">
        <v>0</v>
      </c>
    </row>
    <row r="26">
      <c r="A26" s="26" t="s">
        <v>126</v>
      </c>
      <c r="B26" s="27" t="s">
        <v>127</v>
      </c>
      <c r="C26" s="28" t="b">
        <v>0</v>
      </c>
    </row>
    <row r="27">
      <c r="A27" s="26" t="s">
        <v>247</v>
      </c>
      <c r="B27" s="27" t="s">
        <v>248</v>
      </c>
      <c r="C27" s="28" t="b">
        <v>1</v>
      </c>
    </row>
    <row r="28">
      <c r="A28" s="26" t="s">
        <v>257</v>
      </c>
      <c r="B28" s="27" t="s">
        <v>258</v>
      </c>
      <c r="C28" s="28" t="b">
        <v>1</v>
      </c>
    </row>
    <row r="29">
      <c r="A29" s="26" t="s">
        <v>91</v>
      </c>
      <c r="B29" s="27" t="s">
        <v>92</v>
      </c>
      <c r="C29" s="28" t="b">
        <v>0</v>
      </c>
    </row>
    <row r="30">
      <c r="A30" s="26" t="s">
        <v>148</v>
      </c>
      <c r="B30" s="27" t="s">
        <v>149</v>
      </c>
      <c r="C30" s="28" t="b">
        <v>1</v>
      </c>
    </row>
    <row r="31">
      <c r="A31" s="26" t="s">
        <v>141</v>
      </c>
      <c r="B31" s="27" t="s">
        <v>142</v>
      </c>
      <c r="C31" s="28" t="b">
        <v>0</v>
      </c>
    </row>
    <row r="32">
      <c r="A32" s="26" t="s">
        <v>176</v>
      </c>
      <c r="B32" s="27" t="s">
        <v>177</v>
      </c>
      <c r="C32" s="28" t="b">
        <v>0</v>
      </c>
    </row>
    <row r="33">
      <c r="A33" s="26" t="s">
        <v>115</v>
      </c>
      <c r="B33" s="27" t="s">
        <v>116</v>
      </c>
      <c r="C33" s="28" t="b">
        <v>0</v>
      </c>
    </row>
    <row r="34">
      <c r="A34" s="26" t="s">
        <v>184</v>
      </c>
      <c r="B34" s="27" t="s">
        <v>185</v>
      </c>
      <c r="C34" s="28" t="b">
        <v>0</v>
      </c>
    </row>
    <row r="35">
      <c r="A35" s="26" t="s">
        <v>128</v>
      </c>
      <c r="B35" s="27" t="s">
        <v>129</v>
      </c>
      <c r="C35" s="28" t="b">
        <v>1</v>
      </c>
    </row>
    <row r="36">
      <c r="A36" s="26" t="s">
        <v>82</v>
      </c>
      <c r="B36" s="32" t="s">
        <v>83</v>
      </c>
      <c r="C36" s="28" t="b">
        <v>1</v>
      </c>
      <c r="D36" s="5" t="s">
        <v>283</v>
      </c>
    </row>
    <row r="37">
      <c r="A37" s="26" t="s">
        <v>150</v>
      </c>
      <c r="B37" s="27" t="s">
        <v>151</v>
      </c>
      <c r="C37" s="28" t="b">
        <v>0</v>
      </c>
    </row>
    <row r="38">
      <c r="A38" s="26" t="s">
        <v>215</v>
      </c>
      <c r="B38" s="27" t="s">
        <v>216</v>
      </c>
      <c r="C38" s="28" t="b">
        <v>0</v>
      </c>
      <c r="D38" s="5" t="s">
        <v>284</v>
      </c>
    </row>
    <row r="39">
      <c r="A39" s="26" t="s">
        <v>249</v>
      </c>
      <c r="B39" s="27" t="s">
        <v>250</v>
      </c>
      <c r="C39" s="28" t="b">
        <v>0</v>
      </c>
    </row>
    <row r="40">
      <c r="A40" s="26" t="s">
        <v>233</v>
      </c>
      <c r="B40" s="27" t="s">
        <v>234</v>
      </c>
      <c r="C40" s="28" t="b">
        <v>0</v>
      </c>
    </row>
    <row r="41">
      <c r="A41" s="26" t="s">
        <v>192</v>
      </c>
      <c r="B41" s="27" t="s">
        <v>193</v>
      </c>
      <c r="C41" s="28" t="b">
        <v>0</v>
      </c>
    </row>
    <row r="42">
      <c r="A42" s="26" t="s">
        <v>209</v>
      </c>
      <c r="B42" s="27" t="s">
        <v>210</v>
      </c>
      <c r="C42" s="28" t="b">
        <v>0</v>
      </c>
    </row>
    <row r="43">
      <c r="A43" s="26" t="s">
        <v>269</v>
      </c>
      <c r="B43" s="27" t="s">
        <v>270</v>
      </c>
      <c r="C43" s="28" t="b">
        <v>1</v>
      </c>
    </row>
    <row r="44">
      <c r="A44" s="26" t="s">
        <v>227</v>
      </c>
      <c r="B44" s="27" t="s">
        <v>228</v>
      </c>
      <c r="C44" s="28" t="b">
        <v>1</v>
      </c>
    </row>
    <row r="45">
      <c r="A45" s="26" t="s">
        <v>197</v>
      </c>
      <c r="B45" s="27" t="s">
        <v>198</v>
      </c>
      <c r="C45" s="28" t="b">
        <v>0</v>
      </c>
    </row>
    <row r="46">
      <c r="A46" s="26" t="s">
        <v>229</v>
      </c>
      <c r="B46" s="27" t="s">
        <v>230</v>
      </c>
      <c r="C46" s="28" t="b">
        <v>0</v>
      </c>
    </row>
    <row r="47">
      <c r="A47" s="26" t="s">
        <v>255</v>
      </c>
      <c r="B47" s="32" t="s">
        <v>256</v>
      </c>
      <c r="C47" s="28" t="b">
        <v>1</v>
      </c>
      <c r="D47" s="5" t="s">
        <v>285</v>
      </c>
    </row>
    <row r="48">
      <c r="A48" s="26" t="s">
        <v>271</v>
      </c>
      <c r="B48" s="27" t="s">
        <v>272</v>
      </c>
      <c r="C48" s="28" t="b">
        <v>0</v>
      </c>
    </row>
    <row r="49">
      <c r="A49" s="26" t="s">
        <v>180</v>
      </c>
      <c r="B49" s="27" t="s">
        <v>181</v>
      </c>
      <c r="C49" s="28" t="b">
        <v>0</v>
      </c>
      <c r="D49" s="5" t="s">
        <v>286</v>
      </c>
    </row>
    <row r="50">
      <c r="A50" s="26" t="s">
        <v>241</v>
      </c>
      <c r="B50" s="27" t="s">
        <v>242</v>
      </c>
      <c r="C50" s="28" t="b">
        <v>1</v>
      </c>
    </row>
    <row r="51">
      <c r="A51" s="26" t="s">
        <v>201</v>
      </c>
      <c r="B51" s="27" t="s">
        <v>202</v>
      </c>
      <c r="C51" s="28" t="b">
        <v>1</v>
      </c>
    </row>
    <row r="52">
      <c r="A52" s="26" t="s">
        <v>190</v>
      </c>
      <c r="B52" s="27" t="s">
        <v>191</v>
      </c>
      <c r="C52" s="28" t="b">
        <v>1</v>
      </c>
    </row>
    <row r="53">
      <c r="A53" s="26" t="s">
        <v>178</v>
      </c>
      <c r="B53" s="27" t="s">
        <v>179</v>
      </c>
      <c r="C53" s="28" t="b">
        <v>0</v>
      </c>
    </row>
    <row r="54">
      <c r="A54" s="26" t="s">
        <v>124</v>
      </c>
      <c r="B54" s="27" t="s">
        <v>125</v>
      </c>
      <c r="C54" s="28" t="b">
        <v>0</v>
      </c>
    </row>
    <row r="55">
      <c r="A55" s="26" t="s">
        <v>137</v>
      </c>
      <c r="B55" s="32" t="s">
        <v>138</v>
      </c>
      <c r="C55" s="28" t="b">
        <v>1</v>
      </c>
      <c r="D55" s="5" t="s">
        <v>287</v>
      </c>
    </row>
    <row r="56">
      <c r="A56" s="26" t="s">
        <v>188</v>
      </c>
      <c r="B56" s="27" t="s">
        <v>189</v>
      </c>
      <c r="C56" s="28" t="b">
        <v>1</v>
      </c>
    </row>
    <row r="57">
      <c r="A57" s="26" t="s">
        <v>69</v>
      </c>
      <c r="B57" s="27" t="s">
        <v>70</v>
      </c>
      <c r="C57" s="28" t="b">
        <v>0</v>
      </c>
    </row>
    <row r="58">
      <c r="A58" s="26" t="s">
        <v>99</v>
      </c>
      <c r="B58" s="31" t="s">
        <v>100</v>
      </c>
      <c r="C58" s="28" t="b">
        <v>0</v>
      </c>
      <c r="D58" s="5" t="s">
        <v>288</v>
      </c>
    </row>
    <row r="59">
      <c r="A59" s="26" t="s">
        <v>235</v>
      </c>
      <c r="B59" s="27" t="s">
        <v>236</v>
      </c>
      <c r="C59" s="28" t="b">
        <v>0</v>
      </c>
    </row>
    <row r="60">
      <c r="A60" s="26" t="s">
        <v>158</v>
      </c>
      <c r="B60" s="27" t="s">
        <v>159</v>
      </c>
      <c r="C60" s="28" t="b">
        <v>0</v>
      </c>
    </row>
    <row r="61">
      <c r="A61" s="26" t="s">
        <v>267</v>
      </c>
      <c r="B61" s="27" t="s">
        <v>268</v>
      </c>
      <c r="C61" s="28" t="b">
        <v>0</v>
      </c>
    </row>
    <row r="62">
      <c r="A62" s="26" t="s">
        <v>93</v>
      </c>
      <c r="B62" s="27" t="s">
        <v>94</v>
      </c>
      <c r="C62" s="28" t="b">
        <v>0</v>
      </c>
    </row>
    <row r="63">
      <c r="A63" s="26" t="s">
        <v>120</v>
      </c>
      <c r="B63" s="27" t="s">
        <v>121</v>
      </c>
      <c r="C63" s="28" t="b">
        <v>0</v>
      </c>
    </row>
    <row r="64">
      <c r="A64" s="26" t="s">
        <v>97</v>
      </c>
      <c r="B64" s="27" t="s">
        <v>98</v>
      </c>
      <c r="C64" s="28" t="b">
        <v>1</v>
      </c>
    </row>
    <row r="65">
      <c r="A65" s="26" t="s">
        <v>186</v>
      </c>
      <c r="B65" s="27" t="s">
        <v>187</v>
      </c>
      <c r="C65" s="28" t="b">
        <v>1</v>
      </c>
    </row>
    <row r="66">
      <c r="A66" s="26" t="s">
        <v>243</v>
      </c>
      <c r="B66" s="27" t="s">
        <v>244</v>
      </c>
      <c r="C66" s="28" t="b">
        <v>0</v>
      </c>
    </row>
    <row r="67">
      <c r="A67" s="26" t="s">
        <v>168</v>
      </c>
      <c r="B67" s="27" t="s">
        <v>169</v>
      </c>
      <c r="C67" s="28" t="b">
        <v>0</v>
      </c>
    </row>
    <row r="68">
      <c r="A68" s="26" t="s">
        <v>133</v>
      </c>
      <c r="B68" s="27" t="s">
        <v>134</v>
      </c>
      <c r="C68" s="28" t="b">
        <v>1</v>
      </c>
    </row>
    <row r="69">
      <c r="A69" s="26" t="s">
        <v>263</v>
      </c>
      <c r="B69" s="27" t="s">
        <v>264</v>
      </c>
      <c r="C69" s="28" t="b">
        <v>0</v>
      </c>
    </row>
    <row r="70">
      <c r="A70" s="26" t="s">
        <v>170</v>
      </c>
      <c r="B70" s="27" t="s">
        <v>171</v>
      </c>
      <c r="C70" s="28" t="b">
        <v>0</v>
      </c>
    </row>
    <row r="71">
      <c r="A71" s="26" t="s">
        <v>205</v>
      </c>
      <c r="B71" s="27" t="s">
        <v>206</v>
      </c>
      <c r="C71" s="28" t="b">
        <v>0</v>
      </c>
    </row>
    <row r="72">
      <c r="A72" s="26" t="s">
        <v>213</v>
      </c>
      <c r="B72" s="27" t="s">
        <v>214</v>
      </c>
      <c r="C72" s="28" t="b">
        <v>0</v>
      </c>
    </row>
    <row r="73">
      <c r="A73" s="26" t="s">
        <v>104</v>
      </c>
      <c r="B73" s="32" t="s">
        <v>105</v>
      </c>
      <c r="C73" s="28" t="b">
        <v>1</v>
      </c>
      <c r="D73" s="5" t="s">
        <v>289</v>
      </c>
    </row>
    <row r="74">
      <c r="A74" s="26" t="s">
        <v>146</v>
      </c>
      <c r="B74" s="27" t="s">
        <v>147</v>
      </c>
      <c r="C74" s="28" t="b">
        <v>0</v>
      </c>
    </row>
    <row r="75">
      <c r="A75" s="26" t="s">
        <v>80</v>
      </c>
      <c r="B75" s="27" t="s">
        <v>81</v>
      </c>
      <c r="C75" s="28" t="b">
        <v>1</v>
      </c>
      <c r="D75" s="5" t="s">
        <v>290</v>
      </c>
    </row>
    <row r="76">
      <c r="A76" s="26" t="s">
        <v>265</v>
      </c>
      <c r="B76" s="27" t="s">
        <v>266</v>
      </c>
      <c r="C76" s="28" t="b">
        <v>0</v>
      </c>
    </row>
    <row r="77">
      <c r="A77" s="26" t="s">
        <v>122</v>
      </c>
      <c r="B77" s="27" t="s">
        <v>123</v>
      </c>
      <c r="C77" s="28" t="b">
        <v>0</v>
      </c>
    </row>
    <row r="78">
      <c r="A78" s="26" t="s">
        <v>113</v>
      </c>
      <c r="B78" s="33" t="s">
        <v>291</v>
      </c>
      <c r="C78" s="28" t="b">
        <v>1</v>
      </c>
    </row>
    <row r="79">
      <c r="A79" s="26" t="s">
        <v>118</v>
      </c>
      <c r="B79" s="27" t="s">
        <v>119</v>
      </c>
      <c r="C79" s="28" t="b">
        <v>0</v>
      </c>
    </row>
    <row r="80">
      <c r="A80" s="26" t="s">
        <v>135</v>
      </c>
      <c r="B80" s="27" t="s">
        <v>136</v>
      </c>
      <c r="C80" s="28" t="b">
        <v>0</v>
      </c>
    </row>
    <row r="81">
      <c r="A81" s="26" t="s">
        <v>251</v>
      </c>
      <c r="B81" s="27" t="s">
        <v>252</v>
      </c>
      <c r="C81" s="28" t="b">
        <v>0</v>
      </c>
    </row>
    <row r="82">
      <c r="A82" s="26" t="s">
        <v>221</v>
      </c>
      <c r="B82" s="27" t="s">
        <v>222</v>
      </c>
      <c r="C82" s="28" t="b">
        <v>0</v>
      </c>
    </row>
    <row r="83">
      <c r="A83" s="26" t="s">
        <v>237</v>
      </c>
      <c r="B83" s="27" t="s">
        <v>238</v>
      </c>
      <c r="C83" s="28" t="b">
        <v>0</v>
      </c>
    </row>
    <row r="84">
      <c r="A84" s="26" t="s">
        <v>273</v>
      </c>
      <c r="B84" s="27" t="s">
        <v>274</v>
      </c>
      <c r="C84" s="28" t="b">
        <v>0</v>
      </c>
    </row>
    <row r="85">
      <c r="A85" s="26" t="s">
        <v>106</v>
      </c>
      <c r="B85" s="27" t="s">
        <v>107</v>
      </c>
      <c r="C85" s="28" t="b">
        <v>0</v>
      </c>
    </row>
    <row r="86">
      <c r="A86" s="26" t="s">
        <v>95</v>
      </c>
      <c r="B86" s="27" t="s">
        <v>96</v>
      </c>
      <c r="C86" s="28" t="b">
        <v>0</v>
      </c>
    </row>
    <row r="87">
      <c r="A87" s="26" t="s">
        <v>101</v>
      </c>
      <c r="B87" s="32" t="s">
        <v>102</v>
      </c>
      <c r="C87" s="28" t="b">
        <v>1</v>
      </c>
      <c r="D87" s="5" t="s">
        <v>292</v>
      </c>
    </row>
    <row r="88">
      <c r="A88" s="26" t="s">
        <v>199</v>
      </c>
      <c r="B88" s="27" t="s">
        <v>200</v>
      </c>
      <c r="C88" s="28" t="b">
        <v>0</v>
      </c>
    </row>
    <row r="89">
      <c r="A89" s="26" t="s">
        <v>245</v>
      </c>
      <c r="B89" s="27" t="s">
        <v>246</v>
      </c>
      <c r="C89" s="28" t="b">
        <v>0</v>
      </c>
    </row>
    <row r="90">
      <c r="A90" s="26" t="s">
        <v>139</v>
      </c>
      <c r="B90" s="27" t="s">
        <v>140</v>
      </c>
      <c r="C90" s="28" t="b">
        <v>0</v>
      </c>
    </row>
    <row r="91">
      <c r="A91" s="26" t="s">
        <v>259</v>
      </c>
      <c r="B91" s="27" t="s">
        <v>260</v>
      </c>
      <c r="C91" s="28" t="b">
        <v>0</v>
      </c>
    </row>
    <row r="92">
      <c r="A92" s="26" t="s">
        <v>195</v>
      </c>
      <c r="B92" s="27" t="s">
        <v>196</v>
      </c>
      <c r="C92" s="28" t="b">
        <v>0</v>
      </c>
    </row>
    <row r="93">
      <c r="A93" s="26" t="s">
        <v>89</v>
      </c>
      <c r="B93" s="27" t="s">
        <v>90</v>
      </c>
      <c r="C93" s="28" t="b">
        <v>0</v>
      </c>
    </row>
    <row r="94">
      <c r="A94" s="26" t="s">
        <v>162</v>
      </c>
      <c r="B94" s="27" t="s">
        <v>163</v>
      </c>
      <c r="C94" s="28" t="b">
        <v>0</v>
      </c>
    </row>
    <row r="95">
      <c r="A95" s="26" t="s">
        <v>74</v>
      </c>
      <c r="B95" s="27" t="s">
        <v>75</v>
      </c>
      <c r="C95" s="28" t="b">
        <v>1</v>
      </c>
    </row>
    <row r="96">
      <c r="A96" s="26" t="s">
        <v>261</v>
      </c>
      <c r="B96" s="27" t="s">
        <v>262</v>
      </c>
      <c r="C96" s="28" t="b">
        <v>0</v>
      </c>
    </row>
    <row r="97">
      <c r="A97" s="26" t="s">
        <v>276</v>
      </c>
      <c r="B97" s="27" t="s">
        <v>277</v>
      </c>
      <c r="C97" s="28" t="b">
        <v>0</v>
      </c>
    </row>
    <row r="98">
      <c r="A98" s="26" t="s">
        <v>219</v>
      </c>
      <c r="B98" s="27" t="s">
        <v>220</v>
      </c>
      <c r="C98" s="28" t="b">
        <v>0</v>
      </c>
    </row>
    <row r="99">
      <c r="A99" s="26" t="s">
        <v>143</v>
      </c>
      <c r="B99" s="27" t="s">
        <v>144</v>
      </c>
      <c r="C99" s="28" t="b">
        <v>0</v>
      </c>
    </row>
    <row r="100">
      <c r="A100" s="26" t="s">
        <v>231</v>
      </c>
      <c r="B100" s="27" t="s">
        <v>232</v>
      </c>
      <c r="C100" s="28" t="b">
        <v>1</v>
      </c>
    </row>
    <row r="101">
      <c r="A101" s="26" t="s">
        <v>253</v>
      </c>
      <c r="B101" s="27" t="s">
        <v>254</v>
      </c>
      <c r="C101" s="28" t="b">
        <v>0</v>
      </c>
    </row>
  </sheetData>
  <dataValidations>
    <dataValidation type="list" allowBlank="1" showErrorMessage="1" sqref="C2:C101">
      <formula1>"TO DO,TRUE,FALSE,SKIP"</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2.63"/>
    <col customWidth="1" min="3" max="3" width="19.75"/>
    <col customWidth="1" min="4" max="4" width="60.63"/>
  </cols>
  <sheetData>
    <row r="1">
      <c r="A1" s="23" t="s">
        <v>65</v>
      </c>
      <c r="B1" s="24" t="s">
        <v>66</v>
      </c>
      <c r="C1" s="25" t="s">
        <v>67</v>
      </c>
      <c r="D1" s="18" t="s">
        <v>68</v>
      </c>
    </row>
    <row r="2">
      <c r="A2" s="26" t="s">
        <v>186</v>
      </c>
      <c r="B2" s="27" t="s">
        <v>187</v>
      </c>
      <c r="C2" s="28" t="b">
        <v>1</v>
      </c>
    </row>
    <row r="3">
      <c r="A3" s="26" t="s">
        <v>245</v>
      </c>
      <c r="B3" s="27" t="s">
        <v>246</v>
      </c>
      <c r="C3" s="28" t="b">
        <v>0</v>
      </c>
      <c r="D3" s="5" t="s">
        <v>293</v>
      </c>
    </row>
    <row r="4">
      <c r="A4" s="26" t="s">
        <v>120</v>
      </c>
      <c r="B4" s="27" t="s">
        <v>121</v>
      </c>
      <c r="C4" s="28" t="b">
        <v>0</v>
      </c>
    </row>
    <row r="5">
      <c r="A5" s="26" t="s">
        <v>168</v>
      </c>
      <c r="B5" s="27" t="s">
        <v>169</v>
      </c>
      <c r="C5" s="28" t="b">
        <v>1</v>
      </c>
    </row>
    <row r="6">
      <c r="A6" s="26" t="s">
        <v>213</v>
      </c>
      <c r="B6" s="27" t="s">
        <v>214</v>
      </c>
      <c r="C6" s="28" t="b">
        <v>0</v>
      </c>
    </row>
    <row r="7">
      <c r="A7" s="26" t="s">
        <v>141</v>
      </c>
      <c r="B7" s="27" t="s">
        <v>142</v>
      </c>
      <c r="C7" s="28" t="b">
        <v>0</v>
      </c>
      <c r="D7" s="5" t="s">
        <v>294</v>
      </c>
    </row>
    <row r="8">
      <c r="A8" s="26" t="s">
        <v>95</v>
      </c>
      <c r="B8" s="27" t="s">
        <v>96</v>
      </c>
      <c r="C8" s="28" t="b">
        <v>0</v>
      </c>
    </row>
    <row r="9">
      <c r="A9" s="26" t="s">
        <v>267</v>
      </c>
      <c r="B9" s="27" t="s">
        <v>268</v>
      </c>
      <c r="C9" s="28" t="b">
        <v>0</v>
      </c>
    </row>
    <row r="10">
      <c r="A10" s="26" t="s">
        <v>235</v>
      </c>
      <c r="B10" s="27" t="s">
        <v>236</v>
      </c>
      <c r="C10" s="28" t="b">
        <v>0</v>
      </c>
    </row>
    <row r="11">
      <c r="A11" s="26" t="s">
        <v>261</v>
      </c>
      <c r="B11" s="27" t="s">
        <v>262</v>
      </c>
      <c r="C11" s="28" t="b">
        <v>0</v>
      </c>
    </row>
    <row r="12">
      <c r="A12" s="26" t="s">
        <v>82</v>
      </c>
      <c r="B12" s="27" t="s">
        <v>83</v>
      </c>
      <c r="C12" s="28" t="b">
        <v>1</v>
      </c>
    </row>
    <row r="13">
      <c r="A13" s="26" t="s">
        <v>249</v>
      </c>
      <c r="B13" s="27" t="s">
        <v>250</v>
      </c>
      <c r="C13" s="28" t="b">
        <v>0</v>
      </c>
    </row>
    <row r="14">
      <c r="A14" s="26" t="s">
        <v>170</v>
      </c>
      <c r="B14" s="27" t="s">
        <v>171</v>
      </c>
      <c r="C14" s="28" t="b">
        <v>0</v>
      </c>
      <c r="D14" s="5" t="s">
        <v>295</v>
      </c>
    </row>
    <row r="15">
      <c r="A15" s="26" t="s">
        <v>158</v>
      </c>
      <c r="B15" s="27" t="s">
        <v>159</v>
      </c>
      <c r="C15" s="28" t="b">
        <v>0</v>
      </c>
      <c r="D15" s="5" t="s">
        <v>296</v>
      </c>
    </row>
    <row r="16">
      <c r="A16" s="26" t="s">
        <v>104</v>
      </c>
      <c r="B16" s="27" t="s">
        <v>105</v>
      </c>
      <c r="C16" s="28" t="b">
        <v>1</v>
      </c>
    </row>
    <row r="17">
      <c r="A17" s="26" t="s">
        <v>101</v>
      </c>
      <c r="B17" s="27" t="s">
        <v>102</v>
      </c>
      <c r="C17" s="28" t="b">
        <v>1</v>
      </c>
    </row>
    <row r="18">
      <c r="A18" s="26" t="s">
        <v>199</v>
      </c>
      <c r="B18" s="27" t="s">
        <v>200</v>
      </c>
      <c r="C18" s="28" t="b">
        <v>0</v>
      </c>
    </row>
    <row r="19">
      <c r="A19" s="26" t="s">
        <v>166</v>
      </c>
      <c r="B19" s="27" t="s">
        <v>167</v>
      </c>
      <c r="C19" s="28" t="b">
        <v>1</v>
      </c>
    </row>
    <row r="20">
      <c r="A20" s="26" t="s">
        <v>146</v>
      </c>
      <c r="B20" s="27" t="s">
        <v>147</v>
      </c>
      <c r="C20" s="28" t="b">
        <v>1</v>
      </c>
      <c r="D20" s="5">
        <v>1.3</v>
      </c>
    </row>
    <row r="21">
      <c r="A21" s="26" t="s">
        <v>137</v>
      </c>
      <c r="B21" s="27" t="s">
        <v>138</v>
      </c>
      <c r="C21" s="28" t="b">
        <v>1</v>
      </c>
    </row>
    <row r="22">
      <c r="A22" s="26" t="s">
        <v>162</v>
      </c>
      <c r="B22" s="27" t="s">
        <v>163</v>
      </c>
      <c r="C22" s="28" t="b">
        <v>0</v>
      </c>
      <c r="D22" s="5" t="s">
        <v>297</v>
      </c>
    </row>
    <row r="23">
      <c r="A23" s="26" t="s">
        <v>115</v>
      </c>
      <c r="B23" s="27" t="s">
        <v>116</v>
      </c>
      <c r="C23" s="28" t="b">
        <v>1</v>
      </c>
      <c r="D23" s="5" t="s">
        <v>298</v>
      </c>
    </row>
    <row r="24">
      <c r="A24" s="26" t="s">
        <v>148</v>
      </c>
      <c r="B24" s="27" t="s">
        <v>149</v>
      </c>
      <c r="C24" s="28" t="b">
        <v>1</v>
      </c>
    </row>
    <row r="25">
      <c r="A25" s="26" t="s">
        <v>174</v>
      </c>
      <c r="B25" s="27" t="s">
        <v>175</v>
      </c>
      <c r="C25" s="28" t="b">
        <v>0</v>
      </c>
    </row>
    <row r="26">
      <c r="A26" s="26" t="s">
        <v>227</v>
      </c>
      <c r="B26" s="27" t="s">
        <v>228</v>
      </c>
      <c r="C26" s="28" t="b">
        <v>1</v>
      </c>
    </row>
    <row r="27">
      <c r="A27" s="26" t="s">
        <v>152</v>
      </c>
      <c r="B27" s="27" t="s">
        <v>153</v>
      </c>
      <c r="C27" s="28" t="b">
        <v>1</v>
      </c>
    </row>
    <row r="28">
      <c r="A28" s="26" t="s">
        <v>78</v>
      </c>
      <c r="B28" s="27" t="s">
        <v>79</v>
      </c>
      <c r="C28" s="28" t="b">
        <v>1</v>
      </c>
    </row>
    <row r="29">
      <c r="A29" s="26" t="s">
        <v>139</v>
      </c>
      <c r="B29" s="27" t="s">
        <v>140</v>
      </c>
      <c r="C29" s="28" t="b">
        <v>1</v>
      </c>
    </row>
    <row r="30">
      <c r="A30" s="26" t="s">
        <v>269</v>
      </c>
      <c r="B30" s="27" t="s">
        <v>270</v>
      </c>
      <c r="C30" s="28" t="b">
        <v>1</v>
      </c>
    </row>
    <row r="31">
      <c r="A31" s="26" t="s">
        <v>239</v>
      </c>
      <c r="B31" s="27" t="s">
        <v>240</v>
      </c>
      <c r="C31" s="28" t="b">
        <v>1</v>
      </c>
    </row>
    <row r="32">
      <c r="A32" s="26" t="s">
        <v>93</v>
      </c>
      <c r="B32" s="27" t="s">
        <v>94</v>
      </c>
      <c r="C32" s="28" t="b">
        <v>0</v>
      </c>
      <c r="D32" s="5" t="s">
        <v>299</v>
      </c>
    </row>
    <row r="33">
      <c r="A33" s="26" t="s">
        <v>259</v>
      </c>
      <c r="B33" s="27" t="s">
        <v>260</v>
      </c>
      <c r="C33" s="28" t="b">
        <v>0</v>
      </c>
    </row>
    <row r="34">
      <c r="A34" s="26" t="s">
        <v>108</v>
      </c>
      <c r="B34" s="27" t="s">
        <v>109</v>
      </c>
      <c r="C34" s="28" t="b">
        <v>1</v>
      </c>
      <c r="D34" s="5" t="s">
        <v>300</v>
      </c>
    </row>
    <row r="35">
      <c r="A35" s="26" t="s">
        <v>247</v>
      </c>
      <c r="B35" s="27" t="s">
        <v>248</v>
      </c>
      <c r="C35" s="28" t="b">
        <v>1</v>
      </c>
    </row>
    <row r="36">
      <c r="A36" s="26" t="s">
        <v>209</v>
      </c>
      <c r="B36" s="27" t="s">
        <v>210</v>
      </c>
      <c r="C36" s="28" t="b">
        <v>0</v>
      </c>
    </row>
    <row r="37">
      <c r="A37" s="26" t="s">
        <v>223</v>
      </c>
      <c r="B37" s="27" t="s">
        <v>224</v>
      </c>
      <c r="C37" s="28" t="b">
        <v>1</v>
      </c>
    </row>
    <row r="38">
      <c r="A38" s="26" t="s">
        <v>197</v>
      </c>
      <c r="B38" s="27" t="s">
        <v>198</v>
      </c>
      <c r="C38" s="28" t="b">
        <v>0</v>
      </c>
    </row>
    <row r="39">
      <c r="A39" s="26" t="s">
        <v>180</v>
      </c>
      <c r="B39" s="27" t="s">
        <v>181</v>
      </c>
      <c r="C39" s="28" t="b">
        <v>1</v>
      </c>
    </row>
    <row r="40">
      <c r="A40" s="26" t="s">
        <v>156</v>
      </c>
      <c r="B40" s="27" t="s">
        <v>157</v>
      </c>
      <c r="C40" s="28" t="b">
        <v>1</v>
      </c>
    </row>
    <row r="41">
      <c r="A41" s="26" t="s">
        <v>203</v>
      </c>
      <c r="B41" s="27" t="s">
        <v>204</v>
      </c>
      <c r="C41" s="28" t="b">
        <v>0</v>
      </c>
    </row>
    <row r="42">
      <c r="A42" s="26" t="s">
        <v>87</v>
      </c>
      <c r="B42" s="27" t="s">
        <v>88</v>
      </c>
      <c r="C42" s="28" t="b">
        <v>0</v>
      </c>
    </row>
    <row r="43">
      <c r="A43" s="26" t="s">
        <v>201</v>
      </c>
      <c r="B43" s="27" t="s">
        <v>202</v>
      </c>
      <c r="C43" s="28" t="b">
        <v>1</v>
      </c>
    </row>
    <row r="44">
      <c r="A44" s="26" t="s">
        <v>215</v>
      </c>
      <c r="B44" s="27" t="s">
        <v>216</v>
      </c>
      <c r="C44" s="28" t="b">
        <v>0</v>
      </c>
    </row>
    <row r="45">
      <c r="A45" s="26" t="s">
        <v>229</v>
      </c>
      <c r="B45" s="27" t="s">
        <v>230</v>
      </c>
      <c r="C45" s="28" t="b">
        <v>0</v>
      </c>
    </row>
    <row r="46">
      <c r="A46" s="26" t="s">
        <v>192</v>
      </c>
      <c r="B46" s="27" t="s">
        <v>193</v>
      </c>
      <c r="C46" s="28" t="b">
        <v>0</v>
      </c>
    </row>
    <row r="47">
      <c r="A47" s="26" t="s">
        <v>241</v>
      </c>
      <c r="B47" s="27" t="s">
        <v>242</v>
      </c>
      <c r="C47" s="28" t="b">
        <v>0</v>
      </c>
      <c r="D47" s="5" t="s">
        <v>301</v>
      </c>
    </row>
    <row r="48">
      <c r="A48" s="26" t="s">
        <v>188</v>
      </c>
      <c r="B48" s="27" t="s">
        <v>189</v>
      </c>
      <c r="C48" s="28" t="b">
        <v>1</v>
      </c>
    </row>
    <row r="49">
      <c r="A49" s="26" t="s">
        <v>85</v>
      </c>
      <c r="B49" s="27" t="s">
        <v>86</v>
      </c>
      <c r="C49" s="28" t="b">
        <v>1</v>
      </c>
    </row>
    <row r="50">
      <c r="A50" s="26" t="s">
        <v>97</v>
      </c>
      <c r="B50" s="27" t="s">
        <v>98</v>
      </c>
      <c r="C50" s="28" t="b">
        <v>1</v>
      </c>
    </row>
    <row r="51">
      <c r="A51" s="26" t="s">
        <v>130</v>
      </c>
      <c r="B51" s="27" t="s">
        <v>131</v>
      </c>
      <c r="C51" s="28" t="b">
        <v>0</v>
      </c>
    </row>
    <row r="52">
      <c r="A52" s="26" t="s">
        <v>190</v>
      </c>
      <c r="B52" s="27" t="s">
        <v>191</v>
      </c>
      <c r="C52" s="28" t="b">
        <v>1</v>
      </c>
    </row>
    <row r="53">
      <c r="A53" s="26" t="s">
        <v>126</v>
      </c>
      <c r="B53" s="27" t="s">
        <v>127</v>
      </c>
      <c r="C53" s="28" t="b">
        <v>0</v>
      </c>
    </row>
    <row r="54">
      <c r="A54" s="26" t="s">
        <v>172</v>
      </c>
      <c r="B54" s="27" t="s">
        <v>173</v>
      </c>
      <c r="C54" s="28" t="b">
        <v>1</v>
      </c>
    </row>
    <row r="55">
      <c r="A55" s="26" t="s">
        <v>124</v>
      </c>
      <c r="B55" s="27" t="s">
        <v>125</v>
      </c>
      <c r="C55" s="28" t="b">
        <v>0</v>
      </c>
    </row>
    <row r="56">
      <c r="A56" s="26" t="s">
        <v>207</v>
      </c>
      <c r="B56" s="27" t="s">
        <v>208</v>
      </c>
      <c r="C56" s="28" t="b">
        <v>0</v>
      </c>
    </row>
    <row r="57">
      <c r="A57" s="26" t="s">
        <v>237</v>
      </c>
      <c r="B57" s="27" t="s">
        <v>238</v>
      </c>
      <c r="C57" s="28" t="b">
        <v>0</v>
      </c>
    </row>
    <row r="58">
      <c r="A58" s="26" t="s">
        <v>276</v>
      </c>
      <c r="B58" s="27" t="s">
        <v>277</v>
      </c>
      <c r="C58" s="28" t="b">
        <v>1</v>
      </c>
    </row>
    <row r="59">
      <c r="A59" s="26" t="s">
        <v>263</v>
      </c>
      <c r="B59" s="27" t="s">
        <v>264</v>
      </c>
      <c r="C59" s="28" t="b">
        <v>0</v>
      </c>
      <c r="D59" s="5" t="s">
        <v>302</v>
      </c>
    </row>
    <row r="60">
      <c r="A60" s="26" t="s">
        <v>133</v>
      </c>
      <c r="B60" s="27" t="s">
        <v>134</v>
      </c>
      <c r="C60" s="28" t="b">
        <v>0</v>
      </c>
    </row>
    <row r="61">
      <c r="A61" s="26" t="s">
        <v>128</v>
      </c>
      <c r="B61" s="27" t="s">
        <v>129</v>
      </c>
      <c r="C61" s="28" t="b">
        <v>1</v>
      </c>
    </row>
    <row r="62">
      <c r="A62" s="26" t="s">
        <v>118</v>
      </c>
      <c r="B62" s="27" t="s">
        <v>119</v>
      </c>
      <c r="C62" s="28" t="b">
        <v>1</v>
      </c>
    </row>
    <row r="63">
      <c r="A63" s="26" t="s">
        <v>184</v>
      </c>
      <c r="B63" s="27" t="s">
        <v>185</v>
      </c>
      <c r="C63" s="28" t="b">
        <v>0</v>
      </c>
    </row>
    <row r="64">
      <c r="A64" s="26" t="s">
        <v>71</v>
      </c>
      <c r="B64" s="27" t="s">
        <v>72</v>
      </c>
      <c r="C64" s="28" t="b">
        <v>1</v>
      </c>
    </row>
    <row r="65">
      <c r="A65" s="26" t="s">
        <v>164</v>
      </c>
      <c r="B65" s="27" t="s">
        <v>165</v>
      </c>
      <c r="C65" s="28" t="b">
        <v>0</v>
      </c>
    </row>
    <row r="66">
      <c r="A66" s="26" t="s">
        <v>211</v>
      </c>
      <c r="B66" s="27" t="s">
        <v>212</v>
      </c>
      <c r="C66" s="28" t="b">
        <v>0</v>
      </c>
      <c r="D66" s="5" t="s">
        <v>303</v>
      </c>
    </row>
    <row r="67">
      <c r="A67" s="26" t="s">
        <v>76</v>
      </c>
      <c r="B67" s="27" t="s">
        <v>77</v>
      </c>
      <c r="C67" s="28" t="b">
        <v>1</v>
      </c>
    </row>
    <row r="68">
      <c r="A68" s="26" t="s">
        <v>106</v>
      </c>
      <c r="B68" s="27" t="s">
        <v>107</v>
      </c>
      <c r="C68" s="28" t="b">
        <v>1</v>
      </c>
    </row>
    <row r="69">
      <c r="A69" s="26" t="s">
        <v>217</v>
      </c>
      <c r="B69" s="27" t="s">
        <v>218</v>
      </c>
      <c r="C69" s="28" t="b">
        <v>0</v>
      </c>
    </row>
    <row r="70">
      <c r="A70" s="26" t="s">
        <v>257</v>
      </c>
      <c r="B70" s="27" t="s">
        <v>258</v>
      </c>
      <c r="C70" s="28" t="b">
        <v>0</v>
      </c>
    </row>
    <row r="71">
      <c r="A71" s="26" t="s">
        <v>178</v>
      </c>
      <c r="B71" s="27" t="s">
        <v>179</v>
      </c>
      <c r="C71" s="28" t="b">
        <v>0</v>
      </c>
    </row>
    <row r="72">
      <c r="A72" s="26" t="s">
        <v>221</v>
      </c>
      <c r="B72" s="27" t="s">
        <v>222</v>
      </c>
      <c r="C72" s="28" t="b">
        <v>0</v>
      </c>
    </row>
    <row r="73">
      <c r="A73" s="26" t="s">
        <v>231</v>
      </c>
      <c r="B73" s="27" t="s">
        <v>232</v>
      </c>
      <c r="C73" s="28" t="b">
        <v>1</v>
      </c>
    </row>
    <row r="74">
      <c r="A74" s="26" t="s">
        <v>89</v>
      </c>
      <c r="B74" s="27" t="s">
        <v>90</v>
      </c>
      <c r="C74" s="28" t="b">
        <v>0</v>
      </c>
    </row>
    <row r="75">
      <c r="A75" s="26" t="s">
        <v>135</v>
      </c>
      <c r="B75" s="27" t="s">
        <v>136</v>
      </c>
      <c r="C75" s="28" t="b">
        <v>0</v>
      </c>
    </row>
    <row r="76">
      <c r="A76" s="26" t="s">
        <v>225</v>
      </c>
      <c r="B76" s="27" t="s">
        <v>226</v>
      </c>
      <c r="C76" s="28" t="b">
        <v>0</v>
      </c>
    </row>
    <row r="77">
      <c r="A77" s="26" t="s">
        <v>91</v>
      </c>
      <c r="B77" s="27" t="s">
        <v>92</v>
      </c>
      <c r="C77" s="28" t="b">
        <v>0</v>
      </c>
      <c r="D77" s="5" t="s">
        <v>304</v>
      </c>
    </row>
    <row r="78">
      <c r="A78" s="26" t="s">
        <v>154</v>
      </c>
      <c r="B78" s="27" t="s">
        <v>155</v>
      </c>
      <c r="C78" s="28" t="b">
        <v>0</v>
      </c>
    </row>
    <row r="79">
      <c r="A79" s="26" t="s">
        <v>271</v>
      </c>
      <c r="B79" s="27" t="s">
        <v>272</v>
      </c>
      <c r="C79" s="28" t="b">
        <v>0</v>
      </c>
    </row>
    <row r="80">
      <c r="A80" s="26" t="s">
        <v>80</v>
      </c>
      <c r="B80" s="27" t="s">
        <v>81</v>
      </c>
      <c r="C80" s="28" t="b">
        <v>1</v>
      </c>
    </row>
    <row r="81">
      <c r="A81" s="26" t="s">
        <v>111</v>
      </c>
      <c r="B81" s="27" t="s">
        <v>112</v>
      </c>
      <c r="C81" s="28" t="b">
        <v>1</v>
      </c>
    </row>
    <row r="82">
      <c r="A82" s="26" t="s">
        <v>176</v>
      </c>
      <c r="B82" s="27" t="s">
        <v>177</v>
      </c>
      <c r="C82" s="28" t="b">
        <v>0</v>
      </c>
    </row>
    <row r="83">
      <c r="A83" s="26" t="s">
        <v>113</v>
      </c>
      <c r="B83" s="27" t="s">
        <v>114</v>
      </c>
      <c r="C83" s="28" t="b">
        <v>1</v>
      </c>
    </row>
    <row r="84">
      <c r="A84" s="26" t="s">
        <v>233</v>
      </c>
      <c r="B84" s="27" t="s">
        <v>234</v>
      </c>
      <c r="C84" s="28" t="b">
        <v>0</v>
      </c>
    </row>
    <row r="85">
      <c r="A85" s="26" t="s">
        <v>195</v>
      </c>
      <c r="B85" s="27" t="s">
        <v>196</v>
      </c>
      <c r="C85" s="28" t="b">
        <v>0</v>
      </c>
    </row>
    <row r="86">
      <c r="A86" s="26" t="s">
        <v>243</v>
      </c>
      <c r="B86" s="27" t="s">
        <v>244</v>
      </c>
      <c r="C86" s="28" t="b">
        <v>0</v>
      </c>
    </row>
    <row r="87">
      <c r="A87" s="26" t="s">
        <v>160</v>
      </c>
      <c r="B87" s="27" t="s">
        <v>161</v>
      </c>
      <c r="C87" s="28" t="b">
        <v>1</v>
      </c>
    </row>
    <row r="88">
      <c r="A88" s="26" t="s">
        <v>99</v>
      </c>
      <c r="B88" s="27" t="s">
        <v>100</v>
      </c>
      <c r="C88" s="28" t="b">
        <v>1</v>
      </c>
    </row>
    <row r="89">
      <c r="A89" s="26" t="s">
        <v>69</v>
      </c>
      <c r="B89" s="27" t="s">
        <v>70</v>
      </c>
      <c r="C89" s="28" t="b">
        <v>0</v>
      </c>
    </row>
    <row r="90">
      <c r="A90" s="26" t="s">
        <v>255</v>
      </c>
      <c r="B90" s="27" t="s">
        <v>256</v>
      </c>
      <c r="C90" s="28" t="b">
        <v>1</v>
      </c>
    </row>
    <row r="91">
      <c r="A91" s="26" t="s">
        <v>150</v>
      </c>
      <c r="B91" s="27" t="s">
        <v>151</v>
      </c>
      <c r="C91" s="28" t="b">
        <v>0</v>
      </c>
    </row>
    <row r="92">
      <c r="A92" s="26" t="s">
        <v>273</v>
      </c>
      <c r="B92" s="27" t="s">
        <v>274</v>
      </c>
      <c r="C92" s="28" t="b">
        <v>1</v>
      </c>
    </row>
    <row r="93">
      <c r="A93" s="26" t="s">
        <v>253</v>
      </c>
      <c r="B93" s="27" t="s">
        <v>254</v>
      </c>
      <c r="C93" s="28" t="b">
        <v>0</v>
      </c>
    </row>
    <row r="94">
      <c r="A94" s="26" t="s">
        <v>74</v>
      </c>
      <c r="B94" s="27" t="s">
        <v>75</v>
      </c>
      <c r="C94" s="28" t="b">
        <v>1</v>
      </c>
    </row>
    <row r="95">
      <c r="A95" s="26" t="s">
        <v>205</v>
      </c>
      <c r="B95" s="27" t="s">
        <v>206</v>
      </c>
      <c r="C95" s="28" t="b">
        <v>0</v>
      </c>
    </row>
    <row r="96">
      <c r="A96" s="26" t="s">
        <v>143</v>
      </c>
      <c r="B96" s="27" t="s">
        <v>144</v>
      </c>
      <c r="C96" s="28" t="b">
        <v>1</v>
      </c>
    </row>
    <row r="97">
      <c r="A97" s="26" t="s">
        <v>122</v>
      </c>
      <c r="B97" s="27" t="s">
        <v>123</v>
      </c>
      <c r="C97" s="28" t="b">
        <v>1</v>
      </c>
    </row>
    <row r="98">
      <c r="A98" s="26" t="s">
        <v>219</v>
      </c>
      <c r="B98" s="27" t="s">
        <v>220</v>
      </c>
      <c r="C98" s="28" t="b">
        <v>0</v>
      </c>
    </row>
    <row r="99">
      <c r="A99" s="26" t="s">
        <v>251</v>
      </c>
      <c r="B99" s="27" t="s">
        <v>252</v>
      </c>
      <c r="C99" s="28" t="b">
        <v>0</v>
      </c>
    </row>
    <row r="100">
      <c r="A100" s="26" t="s">
        <v>265</v>
      </c>
      <c r="B100" s="27" t="s">
        <v>266</v>
      </c>
      <c r="C100" s="28" t="b">
        <v>0</v>
      </c>
    </row>
    <row r="101">
      <c r="A101" s="26" t="s">
        <v>182</v>
      </c>
      <c r="B101" s="27" t="s">
        <v>183</v>
      </c>
      <c r="C101" s="28" t="b">
        <v>0</v>
      </c>
    </row>
  </sheetData>
  <dataValidations>
    <dataValidation type="list" allowBlank="1" showErrorMessage="1" sqref="C2:C101">
      <formula1>"TO DO,TRUE,FALSE,SKIP"</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0.25"/>
    <col customWidth="1" min="11" max="11" width="17.13"/>
  </cols>
  <sheetData>
    <row r="1">
      <c r="A1" s="34" t="s">
        <v>305</v>
      </c>
      <c r="B1" s="34" t="s">
        <v>306</v>
      </c>
      <c r="C1" s="34" t="s">
        <v>307</v>
      </c>
      <c r="D1" s="34" t="s">
        <v>308</v>
      </c>
      <c r="E1" s="34" t="s">
        <v>309</v>
      </c>
      <c r="F1" s="34" t="s">
        <v>310</v>
      </c>
      <c r="G1" s="34" t="s">
        <v>311</v>
      </c>
      <c r="H1" s="34" t="s">
        <v>312</v>
      </c>
      <c r="I1" s="35" t="s">
        <v>313</v>
      </c>
      <c r="J1" s="34" t="s">
        <v>314</v>
      </c>
      <c r="K1" s="35" t="s">
        <v>315</v>
      </c>
    </row>
    <row r="2">
      <c r="A2" s="36" t="s">
        <v>316</v>
      </c>
      <c r="B2" s="36" t="s">
        <v>178</v>
      </c>
      <c r="C2" s="36" t="s">
        <v>179</v>
      </c>
      <c r="D2" s="37">
        <v>1.0</v>
      </c>
      <c r="E2" s="38">
        <v>8.0</v>
      </c>
      <c r="F2" s="38">
        <v>1.0</v>
      </c>
      <c r="G2" s="38">
        <v>9.0</v>
      </c>
      <c r="H2" s="38">
        <v>0.777777777777777</v>
      </c>
      <c r="I2" s="39" t="b">
        <v>0</v>
      </c>
      <c r="J2" s="12" t="s">
        <v>317</v>
      </c>
      <c r="K2" s="13" t="s">
        <v>318</v>
      </c>
    </row>
    <row r="3">
      <c r="A3" s="36" t="s">
        <v>319</v>
      </c>
      <c r="B3" s="36" t="s">
        <v>211</v>
      </c>
      <c r="C3" s="36" t="s">
        <v>212</v>
      </c>
      <c r="D3" s="37">
        <v>1.0</v>
      </c>
      <c r="E3" s="38">
        <v>3.0</v>
      </c>
      <c r="F3" s="38">
        <v>7.0</v>
      </c>
      <c r="G3" s="38">
        <v>10.0</v>
      </c>
      <c r="H3" s="38">
        <v>0.4</v>
      </c>
      <c r="I3" s="39" t="b">
        <v>1</v>
      </c>
      <c r="J3" s="12" t="s">
        <v>320</v>
      </c>
      <c r="K3" s="13" t="s">
        <v>318</v>
      </c>
    </row>
    <row r="4">
      <c r="A4" s="36" t="s">
        <v>321</v>
      </c>
      <c r="B4" s="36" t="s">
        <v>158</v>
      </c>
      <c r="C4" s="36" t="s">
        <v>159</v>
      </c>
      <c r="D4" s="37">
        <v>1.0</v>
      </c>
      <c r="E4" s="38">
        <v>4.0</v>
      </c>
      <c r="F4" s="38">
        <v>6.0</v>
      </c>
      <c r="G4" s="38">
        <v>10.0</v>
      </c>
      <c r="H4" s="38">
        <v>0.2</v>
      </c>
      <c r="I4" s="39" t="b">
        <v>1</v>
      </c>
      <c r="J4" s="12" t="s">
        <v>322</v>
      </c>
      <c r="K4" s="13" t="s">
        <v>318</v>
      </c>
    </row>
    <row r="5">
      <c r="A5" s="36" t="s">
        <v>323</v>
      </c>
      <c r="B5" s="36" t="s">
        <v>271</v>
      </c>
      <c r="C5" s="36" t="s">
        <v>272</v>
      </c>
      <c r="D5" s="37">
        <v>1.0</v>
      </c>
      <c r="E5" s="38">
        <v>9.0</v>
      </c>
      <c r="F5" s="38">
        <v>0.0</v>
      </c>
      <c r="G5" s="38">
        <v>9.0</v>
      </c>
      <c r="H5" s="38">
        <v>1.0</v>
      </c>
      <c r="I5" s="39" t="b">
        <v>0</v>
      </c>
      <c r="J5" s="12" t="s">
        <v>324</v>
      </c>
      <c r="K5" s="13" t="s">
        <v>318</v>
      </c>
    </row>
    <row r="6">
      <c r="A6" s="36" t="s">
        <v>325</v>
      </c>
      <c r="B6" s="36" t="s">
        <v>221</v>
      </c>
      <c r="C6" s="36" t="s">
        <v>222</v>
      </c>
      <c r="D6" s="37">
        <v>1.0</v>
      </c>
      <c r="E6" s="38">
        <v>6.0</v>
      </c>
      <c r="F6" s="38">
        <v>4.0</v>
      </c>
      <c r="G6" s="38">
        <v>10.0</v>
      </c>
      <c r="H6" s="38">
        <v>0.2</v>
      </c>
      <c r="I6" s="39" t="b">
        <v>0</v>
      </c>
      <c r="J6" s="12" t="s">
        <v>322</v>
      </c>
      <c r="K6" s="13" t="s">
        <v>318</v>
      </c>
    </row>
    <row r="7">
      <c r="A7" s="36" t="s">
        <v>326</v>
      </c>
      <c r="B7" s="36" t="s">
        <v>69</v>
      </c>
      <c r="C7" s="36" t="s">
        <v>70</v>
      </c>
      <c r="D7" s="37">
        <v>1.0</v>
      </c>
      <c r="E7" s="38">
        <v>7.0</v>
      </c>
      <c r="F7" s="38">
        <v>2.0</v>
      </c>
      <c r="G7" s="38">
        <v>9.0</v>
      </c>
      <c r="H7" s="38">
        <v>0.555555555555555</v>
      </c>
      <c r="I7" s="39" t="b">
        <v>0</v>
      </c>
      <c r="J7" s="12" t="s">
        <v>327</v>
      </c>
      <c r="K7" s="13" t="s">
        <v>318</v>
      </c>
    </row>
    <row r="8">
      <c r="A8" s="36" t="s">
        <v>328</v>
      </c>
      <c r="B8" s="36" t="s">
        <v>261</v>
      </c>
      <c r="C8" s="36" t="s">
        <v>262</v>
      </c>
      <c r="D8" s="37">
        <v>1.0</v>
      </c>
      <c r="E8" s="38">
        <v>3.0</v>
      </c>
      <c r="F8" s="38">
        <v>7.0</v>
      </c>
      <c r="G8" s="38">
        <v>10.0</v>
      </c>
      <c r="H8" s="38">
        <v>0.4</v>
      </c>
      <c r="I8" s="39" t="b">
        <v>1</v>
      </c>
      <c r="J8" s="12" t="s">
        <v>320</v>
      </c>
      <c r="K8" s="13" t="s">
        <v>318</v>
      </c>
    </row>
    <row r="9">
      <c r="A9" s="36" t="s">
        <v>329</v>
      </c>
      <c r="B9" s="36" t="s">
        <v>249</v>
      </c>
      <c r="C9" s="36" t="s">
        <v>250</v>
      </c>
      <c r="D9" s="37">
        <v>1.0</v>
      </c>
      <c r="E9" s="38">
        <v>9.0</v>
      </c>
      <c r="F9" s="38">
        <v>0.0</v>
      </c>
      <c r="G9" s="38">
        <v>9.0</v>
      </c>
      <c r="H9" s="38">
        <v>1.0</v>
      </c>
      <c r="I9" s="39" t="b">
        <v>0</v>
      </c>
      <c r="J9" s="12" t="s">
        <v>324</v>
      </c>
      <c r="K9" s="13" t="s">
        <v>318</v>
      </c>
    </row>
    <row r="10">
      <c r="A10" s="36" t="s">
        <v>330</v>
      </c>
      <c r="B10" s="36" t="s">
        <v>143</v>
      </c>
      <c r="C10" s="36" t="s">
        <v>144</v>
      </c>
      <c r="D10" s="37">
        <v>1.0</v>
      </c>
      <c r="E10" s="38">
        <v>6.0</v>
      </c>
      <c r="F10" s="38">
        <v>3.0</v>
      </c>
      <c r="G10" s="38">
        <v>9.0</v>
      </c>
      <c r="H10" s="38">
        <v>0.333333333333333</v>
      </c>
      <c r="I10" s="39" t="b">
        <v>0</v>
      </c>
      <c r="J10" s="12" t="s">
        <v>320</v>
      </c>
      <c r="K10" s="13" t="s">
        <v>318</v>
      </c>
    </row>
    <row r="11">
      <c r="A11" s="36" t="s">
        <v>331</v>
      </c>
      <c r="B11" s="36" t="s">
        <v>120</v>
      </c>
      <c r="C11" s="36" t="s">
        <v>121</v>
      </c>
      <c r="D11" s="37">
        <v>1.0</v>
      </c>
      <c r="E11" s="38">
        <v>9.0</v>
      </c>
      <c r="F11" s="38">
        <v>0.0</v>
      </c>
      <c r="G11" s="38">
        <v>9.0</v>
      </c>
      <c r="H11" s="38">
        <v>1.0</v>
      </c>
      <c r="I11" s="39" t="b">
        <v>0</v>
      </c>
      <c r="J11" s="12" t="s">
        <v>324</v>
      </c>
      <c r="K11" s="13" t="s">
        <v>318</v>
      </c>
    </row>
    <row r="12">
      <c r="A12" s="36" t="s">
        <v>332</v>
      </c>
      <c r="B12" s="36" t="s">
        <v>265</v>
      </c>
      <c r="C12" s="36" t="s">
        <v>266</v>
      </c>
      <c r="D12" s="37">
        <v>1.0</v>
      </c>
      <c r="E12" s="38">
        <v>6.0</v>
      </c>
      <c r="F12" s="38">
        <v>3.0</v>
      </c>
      <c r="G12" s="38">
        <v>9.0</v>
      </c>
      <c r="H12" s="38">
        <v>0.333333333333333</v>
      </c>
      <c r="I12" s="39" t="b">
        <v>0</v>
      </c>
      <c r="J12" s="12" t="s">
        <v>320</v>
      </c>
      <c r="K12" s="13" t="s">
        <v>318</v>
      </c>
    </row>
    <row r="13">
      <c r="A13" s="36" t="s">
        <v>333</v>
      </c>
      <c r="B13" s="36" t="s">
        <v>170</v>
      </c>
      <c r="C13" s="36" t="s">
        <v>171</v>
      </c>
      <c r="D13" s="37">
        <v>1.0</v>
      </c>
      <c r="E13" s="38">
        <v>6.0</v>
      </c>
      <c r="F13" s="38">
        <v>4.0</v>
      </c>
      <c r="G13" s="38">
        <v>10.0</v>
      </c>
      <c r="H13" s="38">
        <v>0.2</v>
      </c>
      <c r="I13" s="39" t="b">
        <v>0</v>
      </c>
      <c r="J13" s="12" t="s">
        <v>322</v>
      </c>
      <c r="K13" s="13" t="s">
        <v>318</v>
      </c>
    </row>
    <row r="14">
      <c r="A14" s="36" t="s">
        <v>334</v>
      </c>
      <c r="B14" s="36" t="s">
        <v>259</v>
      </c>
      <c r="C14" s="36" t="s">
        <v>260</v>
      </c>
      <c r="D14" s="37">
        <v>1.0</v>
      </c>
      <c r="E14" s="38">
        <v>4.0</v>
      </c>
      <c r="F14" s="38">
        <v>6.0</v>
      </c>
      <c r="G14" s="38">
        <v>10.0</v>
      </c>
      <c r="H14" s="38">
        <v>0.2</v>
      </c>
      <c r="I14" s="39" t="b">
        <v>1</v>
      </c>
      <c r="J14" s="12" t="s">
        <v>322</v>
      </c>
      <c r="K14" s="13" t="s">
        <v>318</v>
      </c>
    </row>
    <row r="15">
      <c r="A15" s="36" t="s">
        <v>335</v>
      </c>
      <c r="B15" s="36" t="s">
        <v>124</v>
      </c>
      <c r="C15" s="36" t="s">
        <v>125</v>
      </c>
      <c r="D15" s="37">
        <v>1.0</v>
      </c>
      <c r="E15" s="38">
        <v>9.0</v>
      </c>
      <c r="F15" s="38">
        <v>0.0</v>
      </c>
      <c r="G15" s="38">
        <v>9.0</v>
      </c>
      <c r="H15" s="38">
        <v>1.0</v>
      </c>
      <c r="I15" s="39" t="b">
        <v>0</v>
      </c>
      <c r="J15" s="12" t="s">
        <v>324</v>
      </c>
      <c r="K15" s="13" t="s">
        <v>318</v>
      </c>
    </row>
    <row r="16">
      <c r="A16" s="36" t="s">
        <v>336</v>
      </c>
      <c r="B16" s="36" t="s">
        <v>223</v>
      </c>
      <c r="C16" s="36" t="s">
        <v>224</v>
      </c>
      <c r="D16" s="37">
        <v>1.0</v>
      </c>
      <c r="E16" s="38">
        <v>2.0</v>
      </c>
      <c r="F16" s="38">
        <v>9.0</v>
      </c>
      <c r="G16" s="38">
        <v>11.0</v>
      </c>
      <c r="H16" s="38">
        <v>0.636363636363636</v>
      </c>
      <c r="I16" s="39" t="b">
        <v>1</v>
      </c>
      <c r="J16" s="12" t="s">
        <v>317</v>
      </c>
      <c r="K16" s="13" t="s">
        <v>318</v>
      </c>
    </row>
    <row r="17">
      <c r="A17" s="36" t="s">
        <v>337</v>
      </c>
      <c r="B17" s="36" t="s">
        <v>225</v>
      </c>
      <c r="C17" s="36" t="s">
        <v>226</v>
      </c>
      <c r="D17" s="37">
        <v>1.0</v>
      </c>
      <c r="E17" s="38">
        <v>8.0</v>
      </c>
      <c r="F17" s="38">
        <v>1.0</v>
      </c>
      <c r="G17" s="38">
        <v>9.0</v>
      </c>
      <c r="H17" s="38">
        <v>0.777777777777777</v>
      </c>
      <c r="I17" s="39" t="b">
        <v>0</v>
      </c>
      <c r="J17" s="12" t="s">
        <v>317</v>
      </c>
      <c r="K17" s="13" t="s">
        <v>318</v>
      </c>
    </row>
    <row r="18">
      <c r="A18" s="36" t="s">
        <v>338</v>
      </c>
      <c r="B18" s="36" t="s">
        <v>257</v>
      </c>
      <c r="C18" s="36" t="s">
        <v>258</v>
      </c>
      <c r="D18" s="37">
        <v>1.0</v>
      </c>
      <c r="E18" s="38">
        <v>3.0</v>
      </c>
      <c r="F18" s="38">
        <v>7.0</v>
      </c>
      <c r="G18" s="38">
        <v>10.0</v>
      </c>
      <c r="H18" s="38">
        <v>0.4</v>
      </c>
      <c r="I18" s="39" t="b">
        <v>1</v>
      </c>
      <c r="J18" s="12" t="s">
        <v>320</v>
      </c>
      <c r="K18" s="13" t="s">
        <v>318</v>
      </c>
    </row>
    <row r="19">
      <c r="A19" s="36" t="s">
        <v>339</v>
      </c>
      <c r="B19" s="36" t="s">
        <v>71</v>
      </c>
      <c r="C19" s="36" t="s">
        <v>72</v>
      </c>
      <c r="D19" s="37">
        <v>1.0</v>
      </c>
      <c r="E19" s="38">
        <v>2.0</v>
      </c>
      <c r="F19" s="38">
        <v>9.0</v>
      </c>
      <c r="G19" s="38">
        <v>11.0</v>
      </c>
      <c r="H19" s="38">
        <v>0.636363636363636</v>
      </c>
      <c r="I19" s="39" t="b">
        <v>1</v>
      </c>
      <c r="J19" s="12" t="s">
        <v>317</v>
      </c>
      <c r="K19" s="13" t="s">
        <v>318</v>
      </c>
    </row>
    <row r="20">
      <c r="A20" s="36" t="s">
        <v>340</v>
      </c>
      <c r="B20" s="36" t="s">
        <v>217</v>
      </c>
      <c r="C20" s="36" t="s">
        <v>218</v>
      </c>
      <c r="D20" s="37">
        <v>1.0</v>
      </c>
      <c r="E20" s="38">
        <v>2.0</v>
      </c>
      <c r="F20" s="38">
        <v>8.0</v>
      </c>
      <c r="G20" s="38">
        <v>10.0</v>
      </c>
      <c r="H20" s="38">
        <v>0.6</v>
      </c>
      <c r="I20" s="39" t="b">
        <v>1</v>
      </c>
      <c r="J20" s="12" t="s">
        <v>327</v>
      </c>
      <c r="K20" s="13" t="s">
        <v>318</v>
      </c>
    </row>
    <row r="21">
      <c r="A21" s="36" t="s">
        <v>319</v>
      </c>
      <c r="B21" s="36" t="s">
        <v>176</v>
      </c>
      <c r="C21" s="36" t="s">
        <v>177</v>
      </c>
      <c r="D21" s="37">
        <v>1.0</v>
      </c>
      <c r="E21" s="38">
        <v>3.0</v>
      </c>
      <c r="F21" s="38">
        <v>8.0</v>
      </c>
      <c r="G21" s="38">
        <v>11.0</v>
      </c>
      <c r="H21" s="38">
        <v>0.454545454545454</v>
      </c>
      <c r="I21" s="39" t="b">
        <v>1</v>
      </c>
      <c r="J21" s="12" t="s">
        <v>327</v>
      </c>
      <c r="K21" s="13" t="s">
        <v>318</v>
      </c>
    </row>
    <row r="22">
      <c r="A22" s="36" t="s">
        <v>341</v>
      </c>
      <c r="B22" s="36" t="s">
        <v>201</v>
      </c>
      <c r="C22" s="36" t="s">
        <v>202</v>
      </c>
      <c r="D22" s="37">
        <v>1.0</v>
      </c>
      <c r="E22" s="38">
        <v>1.0</v>
      </c>
      <c r="F22" s="38">
        <v>15.0</v>
      </c>
      <c r="G22" s="38">
        <v>16.0</v>
      </c>
      <c r="H22" s="38">
        <v>0.875</v>
      </c>
      <c r="I22" s="39" t="b">
        <v>1</v>
      </c>
      <c r="J22" s="12" t="s">
        <v>324</v>
      </c>
      <c r="K22" s="13" t="s">
        <v>318</v>
      </c>
    </row>
    <row r="23">
      <c r="A23" s="36" t="s">
        <v>342</v>
      </c>
      <c r="B23" s="36" t="s">
        <v>237</v>
      </c>
      <c r="C23" s="36" t="s">
        <v>238</v>
      </c>
      <c r="D23" s="37">
        <v>1.0</v>
      </c>
      <c r="E23" s="38">
        <v>5.0</v>
      </c>
      <c r="F23" s="38">
        <v>4.0</v>
      </c>
      <c r="G23" s="38">
        <v>9.0</v>
      </c>
      <c r="H23" s="38">
        <v>0.111111111111111</v>
      </c>
      <c r="I23" s="39" t="b">
        <v>0</v>
      </c>
      <c r="J23" s="12" t="s">
        <v>322</v>
      </c>
      <c r="K23" s="13" t="s">
        <v>318</v>
      </c>
    </row>
    <row r="24">
      <c r="A24" s="36" t="s">
        <v>343</v>
      </c>
      <c r="B24" s="36" t="s">
        <v>126</v>
      </c>
      <c r="C24" s="36" t="s">
        <v>127</v>
      </c>
      <c r="D24" s="37">
        <v>1.0</v>
      </c>
      <c r="E24" s="38">
        <v>12.0</v>
      </c>
      <c r="F24" s="38">
        <v>2.0</v>
      </c>
      <c r="G24" s="38">
        <v>14.0</v>
      </c>
      <c r="H24" s="38">
        <v>0.714285714285714</v>
      </c>
      <c r="I24" s="39" t="b">
        <v>0</v>
      </c>
      <c r="J24" s="12" t="s">
        <v>317</v>
      </c>
      <c r="K24" s="13" t="s">
        <v>318</v>
      </c>
    </row>
    <row r="25">
      <c r="A25" s="36" t="s">
        <v>344</v>
      </c>
      <c r="B25" s="36" t="s">
        <v>148</v>
      </c>
      <c r="C25" s="36" t="s">
        <v>149</v>
      </c>
      <c r="D25" s="37">
        <v>1.0</v>
      </c>
      <c r="E25" s="38">
        <v>0.0</v>
      </c>
      <c r="F25" s="38">
        <v>12.0</v>
      </c>
      <c r="G25" s="38">
        <v>12.0</v>
      </c>
      <c r="H25" s="38">
        <v>1.0</v>
      </c>
      <c r="I25" s="39" t="b">
        <v>1</v>
      </c>
      <c r="J25" s="12" t="s">
        <v>324</v>
      </c>
      <c r="K25" s="13" t="s">
        <v>318</v>
      </c>
    </row>
    <row r="26">
      <c r="A26" s="36" t="s">
        <v>345</v>
      </c>
      <c r="B26" s="36" t="s">
        <v>213</v>
      </c>
      <c r="C26" s="36" t="s">
        <v>214</v>
      </c>
      <c r="D26" s="37">
        <v>1.0</v>
      </c>
      <c r="E26" s="38">
        <v>8.0</v>
      </c>
      <c r="F26" s="38">
        <v>2.0</v>
      </c>
      <c r="G26" s="38">
        <v>10.0</v>
      </c>
      <c r="H26" s="38">
        <v>0.6</v>
      </c>
      <c r="I26" s="39" t="b">
        <v>0</v>
      </c>
      <c r="J26" s="12" t="s">
        <v>327</v>
      </c>
      <c r="K26" s="13" t="s">
        <v>318</v>
      </c>
    </row>
    <row r="27">
      <c r="A27" s="36" t="s">
        <v>346</v>
      </c>
      <c r="B27" s="36" t="s">
        <v>205</v>
      </c>
      <c r="C27" s="36" t="s">
        <v>206</v>
      </c>
      <c r="D27" s="37">
        <v>1.0</v>
      </c>
      <c r="E27" s="38">
        <v>2.0</v>
      </c>
      <c r="F27" s="38">
        <v>8.0</v>
      </c>
      <c r="G27" s="38">
        <v>10.0</v>
      </c>
      <c r="H27" s="38">
        <v>0.6</v>
      </c>
      <c r="I27" s="39" t="b">
        <v>1</v>
      </c>
      <c r="J27" s="12" t="s">
        <v>327</v>
      </c>
      <c r="K27" s="13" t="s">
        <v>318</v>
      </c>
    </row>
    <row r="28">
      <c r="A28" s="36" t="s">
        <v>347</v>
      </c>
      <c r="B28" s="36" t="s">
        <v>231</v>
      </c>
      <c r="C28" s="36" t="s">
        <v>232</v>
      </c>
      <c r="D28" s="37">
        <v>1.0</v>
      </c>
      <c r="E28" s="38">
        <v>0.0</v>
      </c>
      <c r="F28" s="38">
        <v>12.0</v>
      </c>
      <c r="G28" s="38">
        <v>12.0</v>
      </c>
      <c r="H28" s="38">
        <v>1.0</v>
      </c>
      <c r="I28" s="39" t="b">
        <v>1</v>
      </c>
      <c r="J28" s="12" t="s">
        <v>324</v>
      </c>
      <c r="K28" s="13" t="s">
        <v>318</v>
      </c>
    </row>
    <row r="29">
      <c r="A29" s="36" t="s">
        <v>348</v>
      </c>
      <c r="B29" s="36" t="s">
        <v>192</v>
      </c>
      <c r="C29" s="36" t="s">
        <v>193</v>
      </c>
      <c r="D29" s="37">
        <v>1.0</v>
      </c>
      <c r="E29" s="38">
        <v>3.0</v>
      </c>
      <c r="F29" s="38">
        <v>7.0</v>
      </c>
      <c r="G29" s="38">
        <v>10.0</v>
      </c>
      <c r="H29" s="38">
        <v>0.4</v>
      </c>
      <c r="I29" s="39" t="b">
        <v>1</v>
      </c>
      <c r="J29" s="12" t="s">
        <v>320</v>
      </c>
      <c r="K29" s="13" t="s">
        <v>318</v>
      </c>
    </row>
    <row r="30">
      <c r="A30" s="36" t="s">
        <v>345</v>
      </c>
      <c r="B30" s="36" t="s">
        <v>195</v>
      </c>
      <c r="C30" s="36" t="s">
        <v>196</v>
      </c>
      <c r="D30" s="37">
        <v>1.0</v>
      </c>
      <c r="E30" s="38">
        <v>6.0</v>
      </c>
      <c r="F30" s="38">
        <v>4.0</v>
      </c>
      <c r="G30" s="38">
        <v>10.0</v>
      </c>
      <c r="H30" s="38">
        <v>0.2</v>
      </c>
      <c r="I30" s="39" t="b">
        <v>0</v>
      </c>
      <c r="J30" s="12" t="s">
        <v>322</v>
      </c>
      <c r="K30" s="13" t="s">
        <v>318</v>
      </c>
    </row>
    <row r="31">
      <c r="A31" s="36" t="s">
        <v>349</v>
      </c>
      <c r="B31" s="36" t="s">
        <v>137</v>
      </c>
      <c r="C31" s="36" t="s">
        <v>138</v>
      </c>
      <c r="D31" s="37">
        <v>1.0</v>
      </c>
      <c r="E31" s="38">
        <v>0.0</v>
      </c>
      <c r="F31" s="38">
        <v>14.0</v>
      </c>
      <c r="G31" s="38">
        <v>14.0</v>
      </c>
      <c r="H31" s="38">
        <v>1.0</v>
      </c>
      <c r="I31" s="39" t="b">
        <v>1</v>
      </c>
      <c r="J31" s="12" t="s">
        <v>324</v>
      </c>
      <c r="K31" s="13" t="s">
        <v>318</v>
      </c>
    </row>
    <row r="32">
      <c r="A32" s="36" t="s">
        <v>319</v>
      </c>
      <c r="B32" s="36" t="s">
        <v>267</v>
      </c>
      <c r="C32" s="36" t="s">
        <v>268</v>
      </c>
      <c r="D32" s="37">
        <v>1.0</v>
      </c>
      <c r="E32" s="38">
        <v>6.0</v>
      </c>
      <c r="F32" s="38">
        <v>3.0</v>
      </c>
      <c r="G32" s="38">
        <v>9.0</v>
      </c>
      <c r="H32" s="38">
        <v>0.333333333333333</v>
      </c>
      <c r="I32" s="39" t="b">
        <v>0</v>
      </c>
      <c r="J32" s="12" t="s">
        <v>320</v>
      </c>
      <c r="K32" s="13" t="s">
        <v>318</v>
      </c>
    </row>
    <row r="33">
      <c r="A33" s="36" t="s">
        <v>350</v>
      </c>
      <c r="B33" s="36" t="s">
        <v>233</v>
      </c>
      <c r="C33" s="36" t="s">
        <v>234</v>
      </c>
      <c r="D33" s="37">
        <v>1.0</v>
      </c>
      <c r="E33" s="38">
        <v>7.0</v>
      </c>
      <c r="F33" s="38">
        <v>2.0</v>
      </c>
      <c r="G33" s="38">
        <v>9.0</v>
      </c>
      <c r="H33" s="38">
        <v>0.555555555555555</v>
      </c>
      <c r="I33" s="39" t="b">
        <v>0</v>
      </c>
      <c r="J33" s="12" t="s">
        <v>327</v>
      </c>
      <c r="K33" s="13" t="s">
        <v>318</v>
      </c>
    </row>
    <row r="34">
      <c r="A34" s="36" t="s">
        <v>347</v>
      </c>
      <c r="B34" s="36" t="s">
        <v>253</v>
      </c>
      <c r="C34" s="36" t="s">
        <v>254</v>
      </c>
      <c r="D34" s="37">
        <v>1.0</v>
      </c>
      <c r="E34" s="38">
        <v>8.0</v>
      </c>
      <c r="F34" s="38">
        <v>4.0</v>
      </c>
      <c r="G34" s="38">
        <v>12.0</v>
      </c>
      <c r="H34" s="38">
        <v>0.333333333333333</v>
      </c>
      <c r="I34" s="39" t="b">
        <v>0</v>
      </c>
      <c r="J34" s="12" t="s">
        <v>320</v>
      </c>
      <c r="K34" s="13" t="s">
        <v>318</v>
      </c>
    </row>
    <row r="35">
      <c r="A35" s="36" t="s">
        <v>351</v>
      </c>
      <c r="B35" s="36" t="s">
        <v>172</v>
      </c>
      <c r="C35" s="36" t="s">
        <v>173</v>
      </c>
      <c r="D35" s="37">
        <v>1.0</v>
      </c>
      <c r="E35" s="38">
        <v>0.0</v>
      </c>
      <c r="F35" s="38">
        <v>13.0</v>
      </c>
      <c r="G35" s="38">
        <v>13.0</v>
      </c>
      <c r="H35" s="38">
        <v>1.0</v>
      </c>
      <c r="I35" s="39" t="b">
        <v>1</v>
      </c>
      <c r="J35" s="12" t="s">
        <v>324</v>
      </c>
      <c r="K35" s="13" t="s">
        <v>318</v>
      </c>
    </row>
    <row r="36">
      <c r="A36" s="36" t="s">
        <v>352</v>
      </c>
      <c r="B36" s="36" t="s">
        <v>215</v>
      </c>
      <c r="C36" s="36" t="s">
        <v>216</v>
      </c>
      <c r="D36" s="37">
        <v>1.0</v>
      </c>
      <c r="E36" s="38">
        <v>2.0</v>
      </c>
      <c r="F36" s="38">
        <v>10.0</v>
      </c>
      <c r="G36" s="38">
        <v>12.0</v>
      </c>
      <c r="H36" s="38">
        <v>0.666666666666666</v>
      </c>
      <c r="I36" s="39" t="b">
        <v>1</v>
      </c>
      <c r="J36" s="12" t="s">
        <v>317</v>
      </c>
      <c r="K36" s="13" t="s">
        <v>318</v>
      </c>
    </row>
    <row r="37">
      <c r="A37" s="36" t="s">
        <v>353</v>
      </c>
      <c r="B37" s="36" t="s">
        <v>263</v>
      </c>
      <c r="C37" s="36" t="s">
        <v>264</v>
      </c>
      <c r="D37" s="37">
        <v>1.0</v>
      </c>
      <c r="E37" s="38">
        <v>4.0</v>
      </c>
      <c r="F37" s="38">
        <v>6.0</v>
      </c>
      <c r="G37" s="38">
        <v>10.0</v>
      </c>
      <c r="H37" s="38">
        <v>0.2</v>
      </c>
      <c r="I37" s="39" t="b">
        <v>1</v>
      </c>
      <c r="J37" s="12" t="s">
        <v>322</v>
      </c>
      <c r="K37" s="13" t="s">
        <v>318</v>
      </c>
    </row>
    <row r="38">
      <c r="A38" s="36" t="s">
        <v>319</v>
      </c>
      <c r="B38" s="36" t="s">
        <v>87</v>
      </c>
      <c r="C38" s="36" t="s">
        <v>88</v>
      </c>
      <c r="D38" s="37">
        <v>1.0</v>
      </c>
      <c r="E38" s="38">
        <v>8.0</v>
      </c>
      <c r="F38" s="38">
        <v>1.0</v>
      </c>
      <c r="G38" s="38">
        <v>9.0</v>
      </c>
      <c r="H38" s="38">
        <v>0.777777777777777</v>
      </c>
      <c r="I38" s="39" t="b">
        <v>0</v>
      </c>
      <c r="J38" s="12" t="s">
        <v>317</v>
      </c>
      <c r="K38" s="13" t="s">
        <v>318</v>
      </c>
    </row>
    <row r="39">
      <c r="A39" s="36" t="s">
        <v>338</v>
      </c>
      <c r="B39" s="36" t="s">
        <v>146</v>
      </c>
      <c r="C39" s="36" t="s">
        <v>147</v>
      </c>
      <c r="D39" s="37">
        <v>1.0</v>
      </c>
      <c r="E39" s="38">
        <v>3.0</v>
      </c>
      <c r="F39" s="38">
        <v>7.0</v>
      </c>
      <c r="G39" s="38">
        <v>10.0</v>
      </c>
      <c r="H39" s="38">
        <v>0.4</v>
      </c>
      <c r="I39" s="39" t="b">
        <v>1</v>
      </c>
      <c r="J39" s="12" t="s">
        <v>320</v>
      </c>
      <c r="K39" s="13" t="s">
        <v>318</v>
      </c>
    </row>
    <row r="40">
      <c r="A40" s="36" t="s">
        <v>319</v>
      </c>
      <c r="B40" s="36" t="s">
        <v>199</v>
      </c>
      <c r="C40" s="36" t="s">
        <v>200</v>
      </c>
      <c r="D40" s="37">
        <v>1.0</v>
      </c>
      <c r="E40" s="38">
        <v>8.0</v>
      </c>
      <c r="F40" s="38">
        <v>2.0</v>
      </c>
      <c r="G40" s="38">
        <v>10.0</v>
      </c>
      <c r="H40" s="38">
        <v>0.6</v>
      </c>
      <c r="I40" s="39" t="b">
        <v>0</v>
      </c>
      <c r="J40" s="12" t="s">
        <v>327</v>
      </c>
      <c r="K40" s="13" t="s">
        <v>318</v>
      </c>
    </row>
    <row r="41">
      <c r="A41" s="36" t="s">
        <v>354</v>
      </c>
      <c r="B41" s="36" t="s">
        <v>160</v>
      </c>
      <c r="C41" s="36" t="s">
        <v>161</v>
      </c>
      <c r="D41" s="37">
        <v>1.0</v>
      </c>
      <c r="E41" s="38">
        <v>4.0</v>
      </c>
      <c r="F41" s="38">
        <v>6.0</v>
      </c>
      <c r="G41" s="38">
        <v>10.0</v>
      </c>
      <c r="H41" s="38">
        <v>0.2</v>
      </c>
      <c r="I41" s="39" t="b">
        <v>1</v>
      </c>
      <c r="J41" s="12" t="s">
        <v>322</v>
      </c>
      <c r="K41" s="13" t="s">
        <v>318</v>
      </c>
    </row>
    <row r="42">
      <c r="A42" s="36" t="s">
        <v>355</v>
      </c>
      <c r="B42" s="36" t="s">
        <v>219</v>
      </c>
      <c r="C42" s="36" t="s">
        <v>220</v>
      </c>
      <c r="D42" s="37">
        <v>1.0</v>
      </c>
      <c r="E42" s="38">
        <v>4.0</v>
      </c>
      <c r="F42" s="38">
        <v>6.0</v>
      </c>
      <c r="G42" s="38">
        <v>10.0</v>
      </c>
      <c r="H42" s="38">
        <v>0.2</v>
      </c>
      <c r="I42" s="39" t="b">
        <v>1</v>
      </c>
      <c r="J42" s="12" t="s">
        <v>322</v>
      </c>
      <c r="K42" s="13" t="s">
        <v>318</v>
      </c>
    </row>
    <row r="43">
      <c r="A43" s="36" t="s">
        <v>356</v>
      </c>
      <c r="B43" s="36" t="s">
        <v>108</v>
      </c>
      <c r="C43" s="36" t="s">
        <v>109</v>
      </c>
      <c r="D43" s="37">
        <v>1.0</v>
      </c>
      <c r="E43" s="38">
        <v>2.0</v>
      </c>
      <c r="F43" s="38">
        <v>9.0</v>
      </c>
      <c r="G43" s="38">
        <v>11.0</v>
      </c>
      <c r="H43" s="38">
        <v>0.636363636363636</v>
      </c>
      <c r="I43" s="39" t="b">
        <v>1</v>
      </c>
      <c r="J43" s="12" t="s">
        <v>317</v>
      </c>
      <c r="K43" s="13" t="s">
        <v>318</v>
      </c>
    </row>
    <row r="44">
      <c r="A44" s="36" t="s">
        <v>355</v>
      </c>
      <c r="B44" s="36" t="s">
        <v>168</v>
      </c>
      <c r="C44" s="36" t="s">
        <v>169</v>
      </c>
      <c r="D44" s="37">
        <v>1.0</v>
      </c>
      <c r="E44" s="38">
        <v>3.0</v>
      </c>
      <c r="F44" s="38">
        <v>8.0</v>
      </c>
      <c r="G44" s="38">
        <v>11.0</v>
      </c>
      <c r="H44" s="38">
        <v>0.454545454545454</v>
      </c>
      <c r="I44" s="39" t="b">
        <v>1</v>
      </c>
      <c r="J44" s="12" t="s">
        <v>327</v>
      </c>
      <c r="K44" s="13" t="s">
        <v>318</v>
      </c>
    </row>
    <row r="45">
      <c r="A45" s="36" t="s">
        <v>353</v>
      </c>
      <c r="B45" s="36" t="s">
        <v>89</v>
      </c>
      <c r="C45" s="36" t="s">
        <v>90</v>
      </c>
      <c r="D45" s="37">
        <v>1.0</v>
      </c>
      <c r="E45" s="38">
        <v>7.0</v>
      </c>
      <c r="F45" s="38">
        <v>2.0</v>
      </c>
      <c r="G45" s="38">
        <v>9.0</v>
      </c>
      <c r="H45" s="38">
        <v>0.555555555555555</v>
      </c>
      <c r="I45" s="39" t="b">
        <v>0</v>
      </c>
      <c r="J45" s="12" t="s">
        <v>327</v>
      </c>
      <c r="K45" s="13" t="s">
        <v>318</v>
      </c>
    </row>
    <row r="46">
      <c r="A46" s="36" t="s">
        <v>357</v>
      </c>
      <c r="B46" s="36" t="s">
        <v>184</v>
      </c>
      <c r="C46" s="36" t="s">
        <v>185</v>
      </c>
      <c r="D46" s="37">
        <v>1.0</v>
      </c>
      <c r="E46" s="38">
        <v>6.0</v>
      </c>
      <c r="F46" s="38">
        <v>4.0</v>
      </c>
      <c r="G46" s="38">
        <v>10.0</v>
      </c>
      <c r="H46" s="38">
        <v>0.2</v>
      </c>
      <c r="I46" s="39" t="b">
        <v>0</v>
      </c>
      <c r="J46" s="12" t="s">
        <v>322</v>
      </c>
      <c r="K46" s="13" t="s">
        <v>318</v>
      </c>
    </row>
    <row r="47">
      <c r="A47" s="36" t="s">
        <v>340</v>
      </c>
      <c r="B47" s="36" t="s">
        <v>115</v>
      </c>
      <c r="C47" s="36" t="s">
        <v>116</v>
      </c>
      <c r="D47" s="37">
        <v>1.0</v>
      </c>
      <c r="E47" s="38">
        <v>2.0</v>
      </c>
      <c r="F47" s="38">
        <v>10.0</v>
      </c>
      <c r="G47" s="38">
        <v>12.0</v>
      </c>
      <c r="H47" s="38">
        <v>0.666666666666666</v>
      </c>
      <c r="I47" s="39" t="b">
        <v>1</v>
      </c>
      <c r="J47" s="12" t="s">
        <v>317</v>
      </c>
      <c r="K47" s="13" t="s">
        <v>318</v>
      </c>
    </row>
    <row r="48">
      <c r="A48" s="36" t="s">
        <v>358</v>
      </c>
      <c r="B48" s="36" t="s">
        <v>229</v>
      </c>
      <c r="C48" s="36" t="s">
        <v>230</v>
      </c>
      <c r="D48" s="37">
        <v>1.0</v>
      </c>
      <c r="E48" s="38">
        <v>7.0</v>
      </c>
      <c r="F48" s="38">
        <v>3.0</v>
      </c>
      <c r="G48" s="38">
        <v>10.0</v>
      </c>
      <c r="H48" s="38">
        <v>0.4</v>
      </c>
      <c r="I48" s="39" t="b">
        <v>0</v>
      </c>
      <c r="J48" s="12" t="s">
        <v>320</v>
      </c>
      <c r="K48" s="13" t="s">
        <v>318</v>
      </c>
    </row>
    <row r="49">
      <c r="A49" s="36" t="s">
        <v>343</v>
      </c>
      <c r="B49" s="36" t="s">
        <v>235</v>
      </c>
      <c r="C49" s="36" t="s">
        <v>236</v>
      </c>
      <c r="D49" s="37">
        <v>1.0</v>
      </c>
      <c r="E49" s="38">
        <v>8.0</v>
      </c>
      <c r="F49" s="38">
        <v>1.0</v>
      </c>
      <c r="G49" s="38">
        <v>9.0</v>
      </c>
      <c r="H49" s="38">
        <v>0.777777777777777</v>
      </c>
      <c r="I49" s="39" t="b">
        <v>0</v>
      </c>
      <c r="J49" s="12" t="s">
        <v>317</v>
      </c>
      <c r="K49" s="13" t="s">
        <v>318</v>
      </c>
    </row>
    <row r="50">
      <c r="A50" s="36" t="s">
        <v>359</v>
      </c>
      <c r="B50" s="36" t="s">
        <v>104</v>
      </c>
      <c r="C50" s="36" t="s">
        <v>105</v>
      </c>
      <c r="D50" s="37">
        <v>1.0</v>
      </c>
      <c r="E50" s="38">
        <v>2.0</v>
      </c>
      <c r="F50" s="38">
        <v>8.0</v>
      </c>
      <c r="G50" s="38">
        <v>10.0</v>
      </c>
      <c r="H50" s="38">
        <v>0.6</v>
      </c>
      <c r="I50" s="39" t="b">
        <v>1</v>
      </c>
      <c r="J50" s="12" t="s">
        <v>327</v>
      </c>
      <c r="K50" s="13" t="s">
        <v>318</v>
      </c>
    </row>
    <row r="51">
      <c r="A51" s="36" t="s">
        <v>333</v>
      </c>
      <c r="B51" s="36" t="s">
        <v>243</v>
      </c>
      <c r="C51" s="36" t="s">
        <v>244</v>
      </c>
      <c r="D51" s="37">
        <v>1.0</v>
      </c>
      <c r="E51" s="38">
        <v>9.0</v>
      </c>
      <c r="F51" s="38">
        <v>0.0</v>
      </c>
      <c r="G51" s="38">
        <v>9.0</v>
      </c>
      <c r="H51" s="38">
        <v>1.0</v>
      </c>
      <c r="I51" s="39" t="b">
        <v>0</v>
      </c>
      <c r="J51" s="12" t="s">
        <v>324</v>
      </c>
      <c r="K51" s="13" t="s">
        <v>318</v>
      </c>
    </row>
    <row r="52">
      <c r="A52" s="36" t="s">
        <v>360</v>
      </c>
      <c r="B52" s="36" t="s">
        <v>85</v>
      </c>
      <c r="C52" s="36" t="s">
        <v>86</v>
      </c>
      <c r="D52" s="37">
        <v>1.0</v>
      </c>
      <c r="E52" s="38">
        <v>3.0</v>
      </c>
      <c r="F52" s="38">
        <v>0.0</v>
      </c>
      <c r="G52" s="38">
        <v>3.0</v>
      </c>
      <c r="H52" s="38">
        <v>1.0</v>
      </c>
      <c r="I52" s="39" t="b">
        <v>0</v>
      </c>
      <c r="J52" s="12" t="s">
        <v>324</v>
      </c>
      <c r="K52" s="12" t="s">
        <v>361</v>
      </c>
    </row>
    <row r="53">
      <c r="A53" s="36" t="s">
        <v>354</v>
      </c>
      <c r="B53" s="36" t="s">
        <v>227</v>
      </c>
      <c r="C53" s="36" t="s">
        <v>228</v>
      </c>
      <c r="D53" s="37">
        <v>1.0</v>
      </c>
      <c r="E53" s="38">
        <v>1.0</v>
      </c>
      <c r="F53" s="38">
        <v>8.0</v>
      </c>
      <c r="G53" s="38">
        <v>9.0</v>
      </c>
      <c r="H53" s="38">
        <v>0.777777777777777</v>
      </c>
      <c r="I53" s="39" t="b">
        <v>1</v>
      </c>
      <c r="J53" s="12" t="s">
        <v>317</v>
      </c>
      <c r="K53" s="12" t="s">
        <v>361</v>
      </c>
    </row>
    <row r="54">
      <c r="A54" s="36" t="s">
        <v>362</v>
      </c>
      <c r="B54" s="36" t="s">
        <v>164</v>
      </c>
      <c r="C54" s="36" t="s">
        <v>165</v>
      </c>
      <c r="D54" s="37">
        <v>1.0</v>
      </c>
      <c r="E54" s="38">
        <v>8.0</v>
      </c>
      <c r="F54" s="38">
        <v>1.0</v>
      </c>
      <c r="G54" s="38">
        <v>9.0</v>
      </c>
      <c r="H54" s="38">
        <v>0.777777777777777</v>
      </c>
      <c r="I54" s="39" t="b">
        <v>0</v>
      </c>
      <c r="J54" s="12" t="s">
        <v>317</v>
      </c>
      <c r="K54" s="12" t="s">
        <v>361</v>
      </c>
    </row>
    <row r="55">
      <c r="A55" s="36" t="s">
        <v>348</v>
      </c>
      <c r="B55" s="36" t="s">
        <v>113</v>
      </c>
      <c r="C55" s="36" t="s">
        <v>114</v>
      </c>
      <c r="D55" s="37">
        <v>1.0</v>
      </c>
      <c r="E55" s="38">
        <v>1.0</v>
      </c>
      <c r="F55" s="38">
        <v>3.0</v>
      </c>
      <c r="G55" s="38">
        <v>4.0</v>
      </c>
      <c r="H55" s="38">
        <v>0.5</v>
      </c>
      <c r="I55" s="39" t="b">
        <v>1</v>
      </c>
      <c r="J55" s="12" t="s">
        <v>327</v>
      </c>
      <c r="K55" s="12" t="s">
        <v>361</v>
      </c>
    </row>
    <row r="56">
      <c r="A56" s="36" t="s">
        <v>363</v>
      </c>
      <c r="B56" s="36" t="s">
        <v>82</v>
      </c>
      <c r="C56" s="36" t="s">
        <v>83</v>
      </c>
      <c r="D56" s="37">
        <v>1.0</v>
      </c>
      <c r="E56" s="38">
        <v>2.0</v>
      </c>
      <c r="F56" s="38">
        <v>1.0</v>
      </c>
      <c r="G56" s="38">
        <v>3.0</v>
      </c>
      <c r="H56" s="38">
        <v>0.333333333333333</v>
      </c>
      <c r="I56" s="39" t="b">
        <v>0</v>
      </c>
      <c r="J56" s="12" t="s">
        <v>320</v>
      </c>
      <c r="K56" s="12" t="s">
        <v>361</v>
      </c>
    </row>
    <row r="57">
      <c r="A57" s="36" t="s">
        <v>364</v>
      </c>
      <c r="B57" s="36" t="s">
        <v>133</v>
      </c>
      <c r="C57" s="36" t="s">
        <v>134</v>
      </c>
      <c r="D57" s="37">
        <v>1.0</v>
      </c>
      <c r="E57" s="38">
        <v>4.0</v>
      </c>
      <c r="F57" s="38">
        <v>5.0</v>
      </c>
      <c r="G57" s="38">
        <v>9.0</v>
      </c>
      <c r="H57" s="38">
        <v>0.111111111111111</v>
      </c>
      <c r="I57" s="39" t="b">
        <v>1</v>
      </c>
      <c r="J57" s="12" t="s">
        <v>322</v>
      </c>
      <c r="K57" s="12" t="s">
        <v>361</v>
      </c>
    </row>
    <row r="58">
      <c r="A58" s="36" t="s">
        <v>365</v>
      </c>
      <c r="B58" s="36" t="s">
        <v>99</v>
      </c>
      <c r="C58" s="36" t="s">
        <v>100</v>
      </c>
      <c r="D58" s="37">
        <v>1.0</v>
      </c>
      <c r="E58" s="38">
        <v>4.0</v>
      </c>
      <c r="F58" s="38">
        <v>4.0</v>
      </c>
      <c r="G58" s="38">
        <v>8.0</v>
      </c>
      <c r="H58" s="38">
        <v>0.0</v>
      </c>
      <c r="I58" s="39" t="s">
        <v>366</v>
      </c>
      <c r="J58" s="12" t="s">
        <v>322</v>
      </c>
      <c r="K58" s="12" t="s">
        <v>361</v>
      </c>
    </row>
    <row r="59">
      <c r="A59" s="36" t="s">
        <v>367</v>
      </c>
      <c r="B59" s="36" t="s">
        <v>255</v>
      </c>
      <c r="C59" s="36" t="s">
        <v>256</v>
      </c>
      <c r="D59" s="37">
        <v>1.0</v>
      </c>
      <c r="E59" s="38">
        <v>0.0</v>
      </c>
      <c r="F59" s="38">
        <v>4.0</v>
      </c>
      <c r="G59" s="38">
        <v>4.0</v>
      </c>
      <c r="H59" s="38">
        <v>1.0</v>
      </c>
      <c r="I59" s="39" t="b">
        <v>1</v>
      </c>
      <c r="J59" s="12" t="s">
        <v>324</v>
      </c>
      <c r="K59" s="12" t="s">
        <v>368</v>
      </c>
    </row>
    <row r="60">
      <c r="A60" s="36" t="s">
        <v>369</v>
      </c>
      <c r="B60" s="36" t="s">
        <v>207</v>
      </c>
      <c r="C60" s="36" t="s">
        <v>208</v>
      </c>
      <c r="D60" s="37">
        <v>1.0</v>
      </c>
      <c r="E60" s="38">
        <v>3.0</v>
      </c>
      <c r="F60" s="38">
        <v>0.0</v>
      </c>
      <c r="G60" s="38">
        <v>3.0</v>
      </c>
      <c r="H60" s="38">
        <v>1.0</v>
      </c>
      <c r="I60" s="39" t="b">
        <v>0</v>
      </c>
      <c r="J60" s="12" t="s">
        <v>324</v>
      </c>
      <c r="K60" s="12" t="s">
        <v>368</v>
      </c>
    </row>
    <row r="61">
      <c r="A61" s="36" t="s">
        <v>370</v>
      </c>
      <c r="B61" s="36" t="s">
        <v>190</v>
      </c>
      <c r="C61" s="36" t="s">
        <v>191</v>
      </c>
      <c r="D61" s="37">
        <v>1.0</v>
      </c>
      <c r="E61" s="38">
        <v>2.0</v>
      </c>
      <c r="F61" s="38">
        <v>7.0</v>
      </c>
      <c r="G61" s="38">
        <v>9.0</v>
      </c>
      <c r="H61" s="38">
        <v>0.555555555555555</v>
      </c>
      <c r="I61" s="39" t="b">
        <v>1</v>
      </c>
      <c r="J61" s="12" t="s">
        <v>327</v>
      </c>
      <c r="K61" s="12" t="s">
        <v>368</v>
      </c>
    </row>
    <row r="62">
      <c r="A62" s="36" t="s">
        <v>371</v>
      </c>
      <c r="B62" s="36" t="s">
        <v>269</v>
      </c>
      <c r="C62" s="36" t="s">
        <v>270</v>
      </c>
      <c r="D62" s="37">
        <v>1.0</v>
      </c>
      <c r="E62" s="38">
        <v>3.0</v>
      </c>
      <c r="F62" s="38">
        <v>1.0</v>
      </c>
      <c r="G62" s="38">
        <v>4.0</v>
      </c>
      <c r="H62" s="38">
        <v>0.5</v>
      </c>
      <c r="I62" s="39" t="b">
        <v>0</v>
      </c>
      <c r="J62" s="12" t="s">
        <v>327</v>
      </c>
      <c r="K62" s="12" t="s">
        <v>368</v>
      </c>
    </row>
    <row r="63">
      <c r="A63" s="36" t="s">
        <v>372</v>
      </c>
      <c r="B63" s="36" t="s">
        <v>239</v>
      </c>
      <c r="C63" s="36" t="s">
        <v>240</v>
      </c>
      <c r="D63" s="37">
        <v>1.0</v>
      </c>
      <c r="E63" s="38">
        <v>2.0</v>
      </c>
      <c r="F63" s="38">
        <v>1.0</v>
      </c>
      <c r="G63" s="38">
        <v>3.0</v>
      </c>
      <c r="H63" s="38">
        <v>0.333333333333333</v>
      </c>
      <c r="I63" s="39" t="b">
        <v>0</v>
      </c>
      <c r="J63" s="12" t="s">
        <v>320</v>
      </c>
      <c r="K63" s="12" t="s">
        <v>368</v>
      </c>
    </row>
    <row r="64">
      <c r="A64" s="36" t="s">
        <v>373</v>
      </c>
      <c r="B64" s="36" t="s">
        <v>166</v>
      </c>
      <c r="C64" s="36" t="s">
        <v>167</v>
      </c>
      <c r="D64" s="37">
        <v>1.0</v>
      </c>
      <c r="E64" s="38">
        <v>1.0</v>
      </c>
      <c r="F64" s="38">
        <v>2.0</v>
      </c>
      <c r="G64" s="38">
        <v>3.0</v>
      </c>
      <c r="H64" s="38">
        <v>0.333333333333333</v>
      </c>
      <c r="I64" s="39" t="b">
        <v>1</v>
      </c>
      <c r="J64" s="12" t="s">
        <v>320</v>
      </c>
      <c r="K64" s="12" t="s">
        <v>368</v>
      </c>
    </row>
    <row r="65">
      <c r="A65" s="36" t="s">
        <v>344</v>
      </c>
      <c r="B65" s="36" t="s">
        <v>76</v>
      </c>
      <c r="C65" s="36" t="s">
        <v>77</v>
      </c>
      <c r="D65" s="37">
        <v>1.0</v>
      </c>
      <c r="E65" s="38">
        <v>0.0</v>
      </c>
      <c r="F65" s="38">
        <v>9.0</v>
      </c>
      <c r="G65" s="38">
        <v>9.0</v>
      </c>
      <c r="H65" s="38">
        <v>1.0</v>
      </c>
      <c r="I65" s="39" t="b">
        <v>1</v>
      </c>
      <c r="J65" s="12" t="s">
        <v>324</v>
      </c>
      <c r="K65" s="12" t="s">
        <v>110</v>
      </c>
    </row>
    <row r="66">
      <c r="A66" s="36" t="s">
        <v>344</v>
      </c>
      <c r="B66" s="36" t="s">
        <v>111</v>
      </c>
      <c r="C66" s="36" t="s">
        <v>112</v>
      </c>
      <c r="D66" s="37">
        <v>1.0</v>
      </c>
      <c r="E66" s="38">
        <v>1.0</v>
      </c>
      <c r="F66" s="38">
        <v>8.0</v>
      </c>
      <c r="G66" s="38">
        <v>9.0</v>
      </c>
      <c r="H66" s="38">
        <v>0.777777777777777</v>
      </c>
      <c r="I66" s="39" t="b">
        <v>1</v>
      </c>
      <c r="J66" s="12" t="s">
        <v>317</v>
      </c>
      <c r="K66" s="12" t="s">
        <v>110</v>
      </c>
    </row>
    <row r="67">
      <c r="A67" s="36" t="s">
        <v>374</v>
      </c>
      <c r="B67" s="36" t="s">
        <v>156</v>
      </c>
      <c r="C67" s="36" t="s">
        <v>157</v>
      </c>
      <c r="D67" s="37">
        <v>1.0</v>
      </c>
      <c r="E67" s="38">
        <v>1.0</v>
      </c>
      <c r="F67" s="38">
        <v>8.0</v>
      </c>
      <c r="G67" s="38">
        <v>9.0</v>
      </c>
      <c r="H67" s="38">
        <v>0.777777777777777</v>
      </c>
      <c r="I67" s="39" t="b">
        <v>1</v>
      </c>
      <c r="J67" s="12" t="s">
        <v>317</v>
      </c>
      <c r="K67" s="12" t="s">
        <v>110</v>
      </c>
    </row>
    <row r="68">
      <c r="A68" s="36" t="s">
        <v>326</v>
      </c>
      <c r="B68" s="36" t="s">
        <v>162</v>
      </c>
      <c r="C68" s="36" t="s">
        <v>163</v>
      </c>
      <c r="D68" s="37">
        <v>1.0</v>
      </c>
      <c r="E68" s="38">
        <v>7.0</v>
      </c>
      <c r="F68" s="38">
        <v>2.0</v>
      </c>
      <c r="G68" s="38">
        <v>9.0</v>
      </c>
      <c r="H68" s="38">
        <v>0.555555555555555</v>
      </c>
      <c r="I68" s="39" t="b">
        <v>0</v>
      </c>
      <c r="J68" s="12" t="s">
        <v>327</v>
      </c>
      <c r="K68" s="12" t="s">
        <v>110</v>
      </c>
    </row>
    <row r="69">
      <c r="A69" s="36" t="s">
        <v>342</v>
      </c>
      <c r="B69" s="36" t="s">
        <v>130</v>
      </c>
      <c r="C69" s="36" t="s">
        <v>131</v>
      </c>
      <c r="D69" s="37">
        <v>1.0</v>
      </c>
      <c r="E69" s="38">
        <v>3.0</v>
      </c>
      <c r="F69" s="38">
        <v>1.0</v>
      </c>
      <c r="G69" s="38">
        <v>4.0</v>
      </c>
      <c r="H69" s="38">
        <v>0.5</v>
      </c>
      <c r="I69" s="39" t="b">
        <v>0</v>
      </c>
      <c r="J69" s="12" t="s">
        <v>327</v>
      </c>
      <c r="K69" s="12" t="s">
        <v>110</v>
      </c>
    </row>
    <row r="70">
      <c r="A70" s="36" t="s">
        <v>343</v>
      </c>
      <c r="B70" s="36" t="s">
        <v>188</v>
      </c>
      <c r="C70" s="36" t="s">
        <v>189</v>
      </c>
      <c r="D70" s="37">
        <v>1.0</v>
      </c>
      <c r="E70" s="38">
        <v>6.0</v>
      </c>
      <c r="F70" s="38">
        <v>3.0</v>
      </c>
      <c r="G70" s="38">
        <v>9.0</v>
      </c>
      <c r="H70" s="38">
        <v>0.333333333333333</v>
      </c>
      <c r="I70" s="39" t="b">
        <v>0</v>
      </c>
      <c r="J70" s="12" t="s">
        <v>320</v>
      </c>
      <c r="K70" s="12" t="s">
        <v>110</v>
      </c>
    </row>
    <row r="71">
      <c r="A71" s="36" t="s">
        <v>375</v>
      </c>
      <c r="B71" s="36" t="s">
        <v>247</v>
      </c>
      <c r="C71" s="36" t="s">
        <v>248</v>
      </c>
      <c r="D71" s="37">
        <v>1.0</v>
      </c>
      <c r="E71" s="38">
        <v>2.0</v>
      </c>
      <c r="F71" s="38">
        <v>2.0</v>
      </c>
      <c r="G71" s="38">
        <v>4.0</v>
      </c>
      <c r="H71" s="38">
        <v>0.0</v>
      </c>
      <c r="I71" s="39" t="s">
        <v>366</v>
      </c>
      <c r="J71" s="12" t="s">
        <v>322</v>
      </c>
      <c r="K71" s="12" t="s">
        <v>110</v>
      </c>
    </row>
    <row r="72">
      <c r="A72" s="36" t="s">
        <v>376</v>
      </c>
      <c r="B72" s="36" t="s">
        <v>101</v>
      </c>
      <c r="C72" s="36" t="s">
        <v>102</v>
      </c>
      <c r="D72" s="37">
        <v>1.0</v>
      </c>
      <c r="E72" s="38">
        <v>3.0</v>
      </c>
      <c r="F72" s="38">
        <v>0.0</v>
      </c>
      <c r="G72" s="38">
        <v>3.0</v>
      </c>
      <c r="H72" s="38">
        <v>1.0</v>
      </c>
      <c r="I72" s="39" t="b">
        <v>0</v>
      </c>
      <c r="J72" s="12" t="s">
        <v>324</v>
      </c>
      <c r="K72" s="12" t="s">
        <v>117</v>
      </c>
    </row>
    <row r="73">
      <c r="A73" s="36" t="s">
        <v>341</v>
      </c>
      <c r="B73" s="36" t="s">
        <v>78</v>
      </c>
      <c r="C73" s="36" t="s">
        <v>79</v>
      </c>
      <c r="D73" s="37">
        <v>1.0</v>
      </c>
      <c r="E73" s="38">
        <v>1.0</v>
      </c>
      <c r="F73" s="38">
        <v>8.0</v>
      </c>
      <c r="G73" s="38">
        <v>9.0</v>
      </c>
      <c r="H73" s="38">
        <v>0.777777777777777</v>
      </c>
      <c r="I73" s="39" t="b">
        <v>1</v>
      </c>
      <c r="J73" s="12" t="s">
        <v>317</v>
      </c>
      <c r="K73" s="12" t="s">
        <v>117</v>
      </c>
    </row>
    <row r="74">
      <c r="A74" s="36" t="s">
        <v>376</v>
      </c>
      <c r="B74" s="36" t="s">
        <v>118</v>
      </c>
      <c r="C74" s="36" t="s">
        <v>119</v>
      </c>
      <c r="D74" s="37">
        <v>1.0</v>
      </c>
      <c r="E74" s="38">
        <v>3.0</v>
      </c>
      <c r="F74" s="38">
        <v>1.0</v>
      </c>
      <c r="G74" s="38">
        <v>4.0</v>
      </c>
      <c r="H74" s="38">
        <v>0.5</v>
      </c>
      <c r="I74" s="39" t="b">
        <v>0</v>
      </c>
      <c r="J74" s="12" t="s">
        <v>327</v>
      </c>
      <c r="K74" s="12" t="s">
        <v>117</v>
      </c>
    </row>
    <row r="75">
      <c r="A75" s="36" t="s">
        <v>331</v>
      </c>
      <c r="B75" s="36" t="s">
        <v>273</v>
      </c>
      <c r="C75" s="36" t="s">
        <v>274</v>
      </c>
      <c r="D75" s="37">
        <v>1.0</v>
      </c>
      <c r="E75" s="38">
        <v>6.0</v>
      </c>
      <c r="F75" s="38">
        <v>3.0</v>
      </c>
      <c r="G75" s="38">
        <v>9.0</v>
      </c>
      <c r="H75" s="38">
        <v>0.333333333333333</v>
      </c>
      <c r="I75" s="39" t="b">
        <v>0</v>
      </c>
      <c r="J75" s="12" t="s">
        <v>320</v>
      </c>
      <c r="K75" s="12" t="s">
        <v>117</v>
      </c>
    </row>
    <row r="76">
      <c r="A76" s="36" t="s">
        <v>336</v>
      </c>
      <c r="B76" s="36" t="s">
        <v>152</v>
      </c>
      <c r="C76" s="36" t="s">
        <v>153</v>
      </c>
      <c r="D76" s="37">
        <v>1.0</v>
      </c>
      <c r="E76" s="38">
        <v>2.0</v>
      </c>
      <c r="F76" s="38">
        <v>3.0</v>
      </c>
      <c r="G76" s="38">
        <v>5.0</v>
      </c>
      <c r="H76" s="38">
        <v>0.2</v>
      </c>
      <c r="I76" s="39" t="b">
        <v>1</v>
      </c>
      <c r="J76" s="12" t="s">
        <v>322</v>
      </c>
      <c r="K76" s="12" t="s">
        <v>117</v>
      </c>
    </row>
    <row r="77">
      <c r="A77" s="36" t="s">
        <v>331</v>
      </c>
      <c r="B77" s="36" t="s">
        <v>122</v>
      </c>
      <c r="C77" s="36" t="s">
        <v>123</v>
      </c>
      <c r="D77" s="37">
        <v>1.0</v>
      </c>
      <c r="E77" s="38">
        <v>2.0</v>
      </c>
      <c r="F77" s="38">
        <v>3.0</v>
      </c>
      <c r="G77" s="38">
        <v>5.0</v>
      </c>
      <c r="H77" s="38">
        <v>0.2</v>
      </c>
      <c r="I77" s="39" t="b">
        <v>1</v>
      </c>
      <c r="J77" s="12" t="s">
        <v>322</v>
      </c>
      <c r="K77" s="12" t="s">
        <v>117</v>
      </c>
    </row>
    <row r="78">
      <c r="A78" s="36" t="s">
        <v>377</v>
      </c>
      <c r="B78" s="36" t="s">
        <v>251</v>
      </c>
      <c r="C78" s="36" t="s">
        <v>252</v>
      </c>
      <c r="D78" s="37">
        <v>1.0</v>
      </c>
      <c r="E78" s="38">
        <v>3.0</v>
      </c>
      <c r="F78" s="38">
        <v>0.0</v>
      </c>
      <c r="G78" s="38">
        <v>3.0</v>
      </c>
      <c r="H78" s="38">
        <v>1.0</v>
      </c>
      <c r="I78" s="39" t="b">
        <v>0</v>
      </c>
      <c r="J78" s="12" t="s">
        <v>324</v>
      </c>
      <c r="K78" s="12" t="s">
        <v>132</v>
      </c>
    </row>
    <row r="79">
      <c r="A79" s="36" t="s">
        <v>326</v>
      </c>
      <c r="B79" s="36" t="s">
        <v>106</v>
      </c>
      <c r="C79" s="36" t="s">
        <v>107</v>
      </c>
      <c r="D79" s="37">
        <v>1.0</v>
      </c>
      <c r="E79" s="38">
        <v>1.0</v>
      </c>
      <c r="F79" s="38">
        <v>9.0</v>
      </c>
      <c r="G79" s="38">
        <v>10.0</v>
      </c>
      <c r="H79" s="38">
        <v>0.8</v>
      </c>
      <c r="I79" s="39" t="b">
        <v>1</v>
      </c>
      <c r="J79" s="12" t="s">
        <v>317</v>
      </c>
      <c r="K79" s="12" t="s">
        <v>132</v>
      </c>
    </row>
    <row r="80">
      <c r="A80" s="36" t="s">
        <v>378</v>
      </c>
      <c r="B80" s="36" t="s">
        <v>97</v>
      </c>
      <c r="C80" s="36" t="s">
        <v>98</v>
      </c>
      <c r="D80" s="37">
        <v>1.0</v>
      </c>
      <c r="E80" s="38">
        <v>1.0</v>
      </c>
      <c r="F80" s="38">
        <v>8.0</v>
      </c>
      <c r="G80" s="38">
        <v>9.0</v>
      </c>
      <c r="H80" s="38">
        <v>0.777777777777777</v>
      </c>
      <c r="I80" s="39" t="b">
        <v>1</v>
      </c>
      <c r="J80" s="12" t="s">
        <v>317</v>
      </c>
      <c r="K80" s="12" t="s">
        <v>132</v>
      </c>
    </row>
    <row r="81">
      <c r="A81" s="36" t="s">
        <v>379</v>
      </c>
      <c r="B81" s="36" t="s">
        <v>135</v>
      </c>
      <c r="C81" s="36" t="s">
        <v>136</v>
      </c>
      <c r="D81" s="37">
        <v>1.0</v>
      </c>
      <c r="E81" s="38">
        <v>4.0</v>
      </c>
      <c r="F81" s="38">
        <v>1.0</v>
      </c>
      <c r="G81" s="38">
        <v>5.0</v>
      </c>
      <c r="H81" s="38">
        <v>0.6</v>
      </c>
      <c r="I81" s="39" t="b">
        <v>0</v>
      </c>
      <c r="J81" s="12" t="s">
        <v>327</v>
      </c>
      <c r="K81" s="12" t="s">
        <v>132</v>
      </c>
    </row>
    <row r="82">
      <c r="A82" s="36" t="s">
        <v>348</v>
      </c>
      <c r="B82" s="36" t="s">
        <v>241</v>
      </c>
      <c r="C82" s="36" t="s">
        <v>242</v>
      </c>
      <c r="D82" s="37">
        <v>1.0</v>
      </c>
      <c r="E82" s="38">
        <v>3.0</v>
      </c>
      <c r="F82" s="38">
        <v>2.0</v>
      </c>
      <c r="G82" s="38">
        <v>5.0</v>
      </c>
      <c r="H82" s="38">
        <v>0.2</v>
      </c>
      <c r="I82" s="39" t="b">
        <v>0</v>
      </c>
      <c r="J82" s="12" t="s">
        <v>322</v>
      </c>
      <c r="K82" s="12" t="s">
        <v>132</v>
      </c>
    </row>
    <row r="83">
      <c r="A83" s="36" t="s">
        <v>342</v>
      </c>
      <c r="B83" s="36" t="s">
        <v>203</v>
      </c>
      <c r="C83" s="36" t="s">
        <v>204</v>
      </c>
      <c r="D83" s="37">
        <v>1.0</v>
      </c>
      <c r="E83" s="38">
        <v>4.0</v>
      </c>
      <c r="F83" s="38">
        <v>5.0</v>
      </c>
      <c r="G83" s="38">
        <v>9.0</v>
      </c>
      <c r="H83" s="38">
        <v>0.111111111111111</v>
      </c>
      <c r="I83" s="39" t="b">
        <v>1</v>
      </c>
      <c r="J83" s="12" t="s">
        <v>322</v>
      </c>
      <c r="K83" s="12" t="s">
        <v>132</v>
      </c>
    </row>
    <row r="84">
      <c r="A84" s="36" t="s">
        <v>340</v>
      </c>
      <c r="B84" s="36" t="s">
        <v>186</v>
      </c>
      <c r="C84" s="36" t="s">
        <v>187</v>
      </c>
      <c r="D84" s="37">
        <v>1.0</v>
      </c>
      <c r="E84" s="38">
        <v>0.0</v>
      </c>
      <c r="F84" s="38">
        <v>4.0</v>
      </c>
      <c r="G84" s="38">
        <v>4.0</v>
      </c>
      <c r="H84" s="38">
        <v>1.0</v>
      </c>
      <c r="I84" s="39" t="b">
        <v>1</v>
      </c>
      <c r="J84" s="12" t="s">
        <v>324</v>
      </c>
      <c r="K84" s="12" t="s">
        <v>73</v>
      </c>
    </row>
    <row r="85">
      <c r="A85" s="36" t="s">
        <v>328</v>
      </c>
      <c r="B85" s="36" t="s">
        <v>209</v>
      </c>
      <c r="C85" s="36" t="s">
        <v>210</v>
      </c>
      <c r="D85" s="37">
        <v>1.0</v>
      </c>
      <c r="E85" s="38">
        <v>3.0</v>
      </c>
      <c r="F85" s="38">
        <v>0.0</v>
      </c>
      <c r="G85" s="38">
        <v>3.0</v>
      </c>
      <c r="H85" s="38">
        <v>1.0</v>
      </c>
      <c r="I85" s="39" t="b">
        <v>0</v>
      </c>
      <c r="J85" s="12" t="s">
        <v>324</v>
      </c>
      <c r="K85" s="12" t="s">
        <v>73</v>
      </c>
    </row>
    <row r="86">
      <c r="A86" s="36" t="s">
        <v>380</v>
      </c>
      <c r="B86" s="36" t="s">
        <v>128</v>
      </c>
      <c r="C86" s="36" t="s">
        <v>129</v>
      </c>
      <c r="D86" s="37">
        <v>1.0</v>
      </c>
      <c r="E86" s="38">
        <v>1.0</v>
      </c>
      <c r="F86" s="38">
        <v>8.0</v>
      </c>
      <c r="G86" s="38">
        <v>9.0</v>
      </c>
      <c r="H86" s="38">
        <v>0.777777777777777</v>
      </c>
      <c r="I86" s="39" t="b">
        <v>1</v>
      </c>
      <c r="J86" s="12" t="s">
        <v>317</v>
      </c>
      <c r="K86" s="12" t="s">
        <v>73</v>
      </c>
    </row>
    <row r="87">
      <c r="A87" s="36" t="s">
        <v>379</v>
      </c>
      <c r="B87" s="36" t="s">
        <v>141</v>
      </c>
      <c r="C87" s="36" t="s">
        <v>142</v>
      </c>
      <c r="D87" s="37">
        <v>1.0</v>
      </c>
      <c r="E87" s="38">
        <v>7.0</v>
      </c>
      <c r="F87" s="38">
        <v>2.0</v>
      </c>
      <c r="G87" s="38">
        <v>9.0</v>
      </c>
      <c r="H87" s="38">
        <v>0.555555555555555</v>
      </c>
      <c r="I87" s="39" t="b">
        <v>0</v>
      </c>
      <c r="J87" s="12" t="s">
        <v>327</v>
      </c>
      <c r="K87" s="12" t="s">
        <v>73</v>
      </c>
    </row>
    <row r="88">
      <c r="A88" s="36" t="s">
        <v>369</v>
      </c>
      <c r="B88" s="36" t="s">
        <v>95</v>
      </c>
      <c r="C88" s="36" t="s">
        <v>96</v>
      </c>
      <c r="D88" s="37">
        <v>1.0</v>
      </c>
      <c r="E88" s="38">
        <v>6.0</v>
      </c>
      <c r="F88" s="38">
        <v>3.0</v>
      </c>
      <c r="G88" s="38">
        <v>9.0</v>
      </c>
      <c r="H88" s="38">
        <v>0.333333333333333</v>
      </c>
      <c r="I88" s="39" t="b">
        <v>0</v>
      </c>
      <c r="J88" s="12" t="s">
        <v>320</v>
      </c>
      <c r="K88" s="12" t="s">
        <v>73</v>
      </c>
    </row>
    <row r="89">
      <c r="A89" s="36" t="s">
        <v>339</v>
      </c>
      <c r="B89" s="36" t="s">
        <v>80</v>
      </c>
      <c r="C89" s="36" t="s">
        <v>81</v>
      </c>
      <c r="D89" s="37">
        <v>1.0</v>
      </c>
      <c r="E89" s="38">
        <v>3.0</v>
      </c>
      <c r="F89" s="38">
        <v>6.0</v>
      </c>
      <c r="G89" s="38">
        <v>9.0</v>
      </c>
      <c r="H89" s="38">
        <v>0.333333333333333</v>
      </c>
      <c r="I89" s="39" t="b">
        <v>1</v>
      </c>
      <c r="J89" s="12" t="s">
        <v>320</v>
      </c>
      <c r="K89" s="12" t="s">
        <v>73</v>
      </c>
    </row>
    <row r="90">
      <c r="A90" s="36" t="s">
        <v>381</v>
      </c>
      <c r="B90" s="36" t="s">
        <v>180</v>
      </c>
      <c r="C90" s="36" t="s">
        <v>181</v>
      </c>
      <c r="D90" s="37">
        <v>1.0</v>
      </c>
      <c r="E90" s="38">
        <v>1.0</v>
      </c>
      <c r="F90" s="38">
        <v>5.0</v>
      </c>
      <c r="G90" s="38">
        <v>6.0</v>
      </c>
      <c r="H90" s="38">
        <v>0.666666666666666</v>
      </c>
      <c r="I90" s="39" t="b">
        <v>1</v>
      </c>
      <c r="J90" s="12" t="s">
        <v>317</v>
      </c>
      <c r="K90" s="12" t="s">
        <v>382</v>
      </c>
    </row>
    <row r="91">
      <c r="A91" s="36" t="s">
        <v>342</v>
      </c>
      <c r="B91" s="36" t="s">
        <v>91</v>
      </c>
      <c r="C91" s="36" t="s">
        <v>92</v>
      </c>
      <c r="D91" s="37">
        <v>1.0</v>
      </c>
      <c r="E91" s="38">
        <v>2.0</v>
      </c>
      <c r="F91" s="38">
        <v>7.0</v>
      </c>
      <c r="G91" s="38">
        <v>9.0</v>
      </c>
      <c r="H91" s="38">
        <v>0.555555555555555</v>
      </c>
      <c r="I91" s="39" t="b">
        <v>1</v>
      </c>
      <c r="J91" s="12" t="s">
        <v>327</v>
      </c>
      <c r="K91" s="12" t="s">
        <v>382</v>
      </c>
    </row>
    <row r="92">
      <c r="A92" s="36" t="s">
        <v>331</v>
      </c>
      <c r="B92" s="36" t="s">
        <v>93</v>
      </c>
      <c r="C92" s="36" t="s">
        <v>94</v>
      </c>
      <c r="D92" s="37">
        <v>1.0</v>
      </c>
      <c r="E92" s="38">
        <v>7.0</v>
      </c>
      <c r="F92" s="38">
        <v>2.0</v>
      </c>
      <c r="G92" s="38">
        <v>9.0</v>
      </c>
      <c r="H92" s="38">
        <v>0.555555555555555</v>
      </c>
      <c r="I92" s="39" t="b">
        <v>0</v>
      </c>
      <c r="J92" s="12" t="s">
        <v>327</v>
      </c>
      <c r="K92" s="12" t="s">
        <v>382</v>
      </c>
    </row>
    <row r="93">
      <c r="A93" s="36" t="s">
        <v>383</v>
      </c>
      <c r="B93" s="36" t="s">
        <v>154</v>
      </c>
      <c r="C93" s="36" t="s">
        <v>155</v>
      </c>
      <c r="D93" s="37">
        <v>1.0</v>
      </c>
      <c r="E93" s="38">
        <v>6.0</v>
      </c>
      <c r="F93" s="38">
        <v>3.0</v>
      </c>
      <c r="G93" s="38">
        <v>9.0</v>
      </c>
      <c r="H93" s="38">
        <v>0.333333333333333</v>
      </c>
      <c r="I93" s="39" t="b">
        <v>0</v>
      </c>
      <c r="J93" s="12" t="s">
        <v>320</v>
      </c>
      <c r="K93" s="12" t="s">
        <v>382</v>
      </c>
    </row>
    <row r="94">
      <c r="A94" s="36" t="s">
        <v>381</v>
      </c>
      <c r="B94" s="36" t="s">
        <v>197</v>
      </c>
      <c r="C94" s="36" t="s">
        <v>198</v>
      </c>
      <c r="D94" s="37">
        <v>1.0</v>
      </c>
      <c r="E94" s="38">
        <v>5.0</v>
      </c>
      <c r="F94" s="38">
        <v>4.0</v>
      </c>
      <c r="G94" s="38">
        <v>9.0</v>
      </c>
      <c r="H94" s="38">
        <v>0.111111111111111</v>
      </c>
      <c r="I94" s="39" t="b">
        <v>0</v>
      </c>
      <c r="J94" s="12" t="s">
        <v>322</v>
      </c>
      <c r="K94" s="12" t="s">
        <v>382</v>
      </c>
    </row>
    <row r="95">
      <c r="A95" s="36" t="s">
        <v>377</v>
      </c>
      <c r="B95" s="36" t="s">
        <v>150</v>
      </c>
      <c r="C95" s="36" t="s">
        <v>151</v>
      </c>
      <c r="D95" s="37">
        <v>1.0</v>
      </c>
      <c r="E95" s="38">
        <v>4.0</v>
      </c>
      <c r="F95" s="38">
        <v>5.0</v>
      </c>
      <c r="G95" s="38">
        <v>9.0</v>
      </c>
      <c r="H95" s="38">
        <v>0.111111111111111</v>
      </c>
      <c r="I95" s="39" t="b">
        <v>1</v>
      </c>
      <c r="J95" s="12" t="s">
        <v>322</v>
      </c>
      <c r="K95" s="12" t="s">
        <v>382</v>
      </c>
    </row>
    <row r="96">
      <c r="A96" s="36" t="s">
        <v>352</v>
      </c>
      <c r="B96" s="36" t="s">
        <v>74</v>
      </c>
      <c r="C96" s="36" t="s">
        <v>75</v>
      </c>
      <c r="D96" s="37">
        <v>1.0</v>
      </c>
      <c r="E96" s="38">
        <v>0.0</v>
      </c>
      <c r="F96" s="38">
        <v>6.0</v>
      </c>
      <c r="G96" s="38">
        <v>6.0</v>
      </c>
      <c r="H96" s="38">
        <v>1.0</v>
      </c>
      <c r="I96" s="39" t="b">
        <v>1</v>
      </c>
      <c r="J96" s="12" t="s">
        <v>324</v>
      </c>
      <c r="K96" s="12" t="s">
        <v>384</v>
      </c>
    </row>
    <row r="97">
      <c r="A97" s="36" t="s">
        <v>335</v>
      </c>
      <c r="B97" s="36" t="s">
        <v>174</v>
      </c>
      <c r="C97" s="36" t="s">
        <v>175</v>
      </c>
      <c r="D97" s="37">
        <v>1.0</v>
      </c>
      <c r="E97" s="38">
        <v>3.0</v>
      </c>
      <c r="F97" s="38">
        <v>0.0</v>
      </c>
      <c r="G97" s="38">
        <v>3.0</v>
      </c>
      <c r="H97" s="38">
        <v>1.0</v>
      </c>
      <c r="I97" s="39" t="b">
        <v>0</v>
      </c>
      <c r="J97" s="12" t="s">
        <v>324</v>
      </c>
      <c r="K97" s="12" t="s">
        <v>384</v>
      </c>
    </row>
    <row r="98">
      <c r="A98" s="36" t="s">
        <v>360</v>
      </c>
      <c r="B98" s="36" t="s">
        <v>245</v>
      </c>
      <c r="C98" s="36" t="s">
        <v>246</v>
      </c>
      <c r="D98" s="37">
        <v>1.0</v>
      </c>
      <c r="E98" s="38">
        <v>8.0</v>
      </c>
      <c r="F98" s="38">
        <v>1.0</v>
      </c>
      <c r="G98" s="38">
        <v>9.0</v>
      </c>
      <c r="H98" s="38">
        <v>0.777777777777777</v>
      </c>
      <c r="I98" s="39" t="b">
        <v>0</v>
      </c>
      <c r="J98" s="12" t="s">
        <v>317</v>
      </c>
      <c r="K98" s="12" t="s">
        <v>384</v>
      </c>
    </row>
    <row r="99">
      <c r="A99" s="36" t="s">
        <v>342</v>
      </c>
      <c r="B99" s="36" t="s">
        <v>276</v>
      </c>
      <c r="C99" s="36" t="s">
        <v>277</v>
      </c>
      <c r="D99" s="37">
        <v>1.0</v>
      </c>
      <c r="E99" s="38">
        <v>2.0</v>
      </c>
      <c r="F99" s="38">
        <v>1.0</v>
      </c>
      <c r="G99" s="38">
        <v>3.0</v>
      </c>
      <c r="H99" s="38">
        <v>0.333333333333333</v>
      </c>
      <c r="I99" s="39" t="b">
        <v>0</v>
      </c>
      <c r="J99" s="12" t="s">
        <v>320</v>
      </c>
      <c r="K99" s="12" t="s">
        <v>384</v>
      </c>
    </row>
    <row r="100">
      <c r="A100" s="36" t="s">
        <v>334</v>
      </c>
      <c r="B100" s="36" t="s">
        <v>139</v>
      </c>
      <c r="C100" s="36" t="s">
        <v>140</v>
      </c>
      <c r="D100" s="37">
        <v>1.0</v>
      </c>
      <c r="E100" s="38">
        <v>3.0</v>
      </c>
      <c r="F100" s="38">
        <v>6.0</v>
      </c>
      <c r="G100" s="38">
        <v>9.0</v>
      </c>
      <c r="H100" s="38">
        <v>0.333333333333333</v>
      </c>
      <c r="I100" s="39" t="b">
        <v>1</v>
      </c>
      <c r="J100" s="12" t="s">
        <v>320</v>
      </c>
      <c r="K100" s="12" t="s">
        <v>384</v>
      </c>
    </row>
    <row r="101">
      <c r="A101" s="36" t="s">
        <v>385</v>
      </c>
      <c r="B101" s="36" t="s">
        <v>182</v>
      </c>
      <c r="C101" s="36" t="s">
        <v>183</v>
      </c>
      <c r="D101" s="37">
        <v>1.0</v>
      </c>
      <c r="E101" s="38">
        <v>4.0</v>
      </c>
      <c r="F101" s="38">
        <v>5.0</v>
      </c>
      <c r="G101" s="38">
        <v>9.0</v>
      </c>
      <c r="H101" s="38">
        <v>0.111111111111111</v>
      </c>
      <c r="I101" s="39" t="b">
        <v>1</v>
      </c>
      <c r="J101" s="12" t="s">
        <v>322</v>
      </c>
      <c r="K101" s="12" t="s">
        <v>384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7C3"/>
    <outlinePr summaryBelow="0" summaryRight="0"/>
  </sheetPr>
  <sheetViews>
    <sheetView workbookViewId="0"/>
  </sheetViews>
  <sheetFormatPr customHeight="1" defaultColWidth="12.63" defaultRowHeight="15.75"/>
  <cols>
    <col customWidth="1" min="1" max="1" width="41.25"/>
    <col customWidth="1" min="2" max="2" width="53.13"/>
    <col customWidth="1" min="3" max="3" width="21.75"/>
    <col customWidth="1" min="6" max="6" width="14.38"/>
    <col customWidth="1" min="8" max="8" width="12.75"/>
    <col customWidth="1" min="10" max="10" width="7.5"/>
    <col customWidth="1" min="11" max="11" width="7.75"/>
    <col customWidth="1" min="12" max="12" width="7.25"/>
    <col customWidth="1" min="13" max="13" width="6.25"/>
    <col customWidth="1" min="14" max="14" width="8.38"/>
    <col customWidth="1" min="15" max="15" width="23.88"/>
    <col customWidth="1" min="16" max="16" width="39.75"/>
  </cols>
  <sheetData>
    <row r="1">
      <c r="A1" s="23" t="s">
        <v>65</v>
      </c>
      <c r="B1" s="24" t="s">
        <v>66</v>
      </c>
      <c r="C1" s="40" t="s">
        <v>386</v>
      </c>
      <c r="D1" s="41" t="s">
        <v>39</v>
      </c>
      <c r="E1" s="40" t="s">
        <v>40</v>
      </c>
      <c r="F1" s="40" t="s">
        <v>41</v>
      </c>
      <c r="G1" s="40" t="s">
        <v>42</v>
      </c>
      <c r="H1" s="41" t="s">
        <v>43</v>
      </c>
      <c r="I1" s="42" t="s">
        <v>387</v>
      </c>
      <c r="J1" s="41" t="s">
        <v>39</v>
      </c>
      <c r="K1" s="40" t="s">
        <v>40</v>
      </c>
      <c r="L1" s="40" t="s">
        <v>41</v>
      </c>
      <c r="M1" s="40" t="s">
        <v>42</v>
      </c>
      <c r="N1" s="41" t="s">
        <v>43</v>
      </c>
      <c r="O1" s="42" t="s">
        <v>388</v>
      </c>
      <c r="P1" s="42" t="s">
        <v>388</v>
      </c>
      <c r="Q1" s="43" t="s">
        <v>389</v>
      </c>
      <c r="R1" s="18" t="s">
        <v>390</v>
      </c>
      <c r="S1" s="18" t="s">
        <v>391</v>
      </c>
    </row>
    <row r="2">
      <c r="A2" s="36" t="s">
        <v>178</v>
      </c>
      <c r="B2" s="36" t="s">
        <v>179</v>
      </c>
      <c r="C2" s="44"/>
      <c r="D2" s="44" t="b">
        <v>0</v>
      </c>
      <c r="E2" s="44" t="s">
        <v>278</v>
      </c>
      <c r="F2" s="44" t="s">
        <v>278</v>
      </c>
      <c r="G2" s="44" t="b">
        <v>0</v>
      </c>
      <c r="H2" s="44" t="b">
        <v>0</v>
      </c>
      <c r="I2" s="45">
        <v>1.0</v>
      </c>
      <c r="J2" s="46"/>
      <c r="K2" s="46"/>
      <c r="L2" s="46"/>
      <c r="M2" s="46"/>
      <c r="N2" s="46"/>
      <c r="O2" s="45" t="s">
        <v>392</v>
      </c>
      <c r="P2" s="45" t="s">
        <v>392</v>
      </c>
      <c r="Q2" s="47" t="b">
        <v>0</v>
      </c>
    </row>
    <row r="3">
      <c r="A3" s="36" t="s">
        <v>211</v>
      </c>
      <c r="B3" s="36" t="s">
        <v>212</v>
      </c>
      <c r="C3" s="7"/>
      <c r="D3" s="44" t="b">
        <v>0</v>
      </c>
      <c r="E3" s="44" t="s">
        <v>278</v>
      </c>
      <c r="F3" s="44" t="s">
        <v>278</v>
      </c>
      <c r="G3" s="44" t="b">
        <v>1</v>
      </c>
      <c r="H3" s="44" t="b">
        <v>0</v>
      </c>
      <c r="I3" s="45">
        <v>0.3333333333333333</v>
      </c>
      <c r="J3" s="46"/>
      <c r="K3" s="46"/>
      <c r="L3" s="46"/>
      <c r="M3" s="46"/>
      <c r="N3" s="46" t="s">
        <v>303</v>
      </c>
      <c r="O3" s="45" t="s">
        <v>393</v>
      </c>
      <c r="P3" s="45" t="s">
        <v>393</v>
      </c>
      <c r="Q3" s="47" t="s">
        <v>366</v>
      </c>
    </row>
    <row r="4">
      <c r="A4" s="36" t="s">
        <v>158</v>
      </c>
      <c r="B4" s="36" t="s">
        <v>159</v>
      </c>
      <c r="C4" s="44"/>
      <c r="D4" s="44" t="b">
        <v>1</v>
      </c>
      <c r="E4" s="44" t="s">
        <v>278</v>
      </c>
      <c r="F4" s="44" t="s">
        <v>278</v>
      </c>
      <c r="G4" s="44" t="b">
        <v>0</v>
      </c>
      <c r="H4" s="44" t="b">
        <v>0</v>
      </c>
      <c r="I4" s="45">
        <v>0.3333333333333333</v>
      </c>
      <c r="J4" s="46"/>
      <c r="K4" s="46"/>
      <c r="L4" s="46"/>
      <c r="M4" s="46"/>
      <c r="N4" s="46" t="s">
        <v>296</v>
      </c>
      <c r="O4" s="45" t="s">
        <v>394</v>
      </c>
      <c r="P4" s="45" t="s">
        <v>394</v>
      </c>
      <c r="Q4" s="47" t="s">
        <v>366</v>
      </c>
    </row>
    <row r="5">
      <c r="A5" s="36" t="s">
        <v>271</v>
      </c>
      <c r="B5" s="36" t="s">
        <v>272</v>
      </c>
      <c r="C5" s="7"/>
      <c r="D5" s="44" t="b">
        <v>0</v>
      </c>
      <c r="E5" s="44" t="s">
        <v>278</v>
      </c>
      <c r="F5" s="44" t="s">
        <v>278</v>
      </c>
      <c r="G5" s="44" t="b">
        <v>0</v>
      </c>
      <c r="H5" s="44" t="b">
        <v>0</v>
      </c>
      <c r="I5" s="45">
        <v>1.0</v>
      </c>
      <c r="J5" s="46"/>
      <c r="K5" s="46"/>
      <c r="L5" s="46"/>
      <c r="M5" s="46"/>
      <c r="N5" s="46"/>
      <c r="O5" s="45" t="s">
        <v>392</v>
      </c>
      <c r="P5" s="45" t="s">
        <v>392</v>
      </c>
      <c r="Q5" s="47" t="b">
        <v>0</v>
      </c>
    </row>
    <row r="6">
      <c r="A6" s="36" t="s">
        <v>221</v>
      </c>
      <c r="B6" s="36" t="s">
        <v>222</v>
      </c>
      <c r="C6" s="7"/>
      <c r="D6" s="44" t="b">
        <v>0</v>
      </c>
      <c r="E6" s="44" t="s">
        <v>278</v>
      </c>
      <c r="F6" s="44" t="s">
        <v>278</v>
      </c>
      <c r="G6" s="44" t="b">
        <v>0</v>
      </c>
      <c r="H6" s="44" t="b">
        <v>0</v>
      </c>
      <c r="I6" s="45">
        <v>1.0</v>
      </c>
      <c r="J6" s="46"/>
      <c r="K6" s="46"/>
      <c r="L6" s="46"/>
      <c r="M6" s="46"/>
      <c r="N6" s="46"/>
      <c r="O6" s="45" t="s">
        <v>392</v>
      </c>
      <c r="P6" s="45" t="s">
        <v>392</v>
      </c>
      <c r="Q6" s="47" t="b">
        <v>0</v>
      </c>
    </row>
    <row r="7">
      <c r="A7" s="36" t="s">
        <v>69</v>
      </c>
      <c r="B7" s="36" t="s">
        <v>70</v>
      </c>
      <c r="C7" s="7"/>
      <c r="D7" s="44" t="b">
        <v>0</v>
      </c>
      <c r="E7" s="44" t="s">
        <v>278</v>
      </c>
      <c r="F7" s="44" t="s">
        <v>278</v>
      </c>
      <c r="G7" s="44" t="b">
        <v>0</v>
      </c>
      <c r="H7" s="44" t="b">
        <v>0</v>
      </c>
      <c r="I7" s="45">
        <v>1.0</v>
      </c>
      <c r="J7" s="46"/>
      <c r="K7" s="46"/>
      <c r="L7" s="46"/>
      <c r="M7" s="46"/>
      <c r="N7" s="46"/>
      <c r="O7" s="45" t="s">
        <v>392</v>
      </c>
      <c r="P7" s="45" t="s">
        <v>392</v>
      </c>
      <c r="Q7" s="47" t="b">
        <v>0</v>
      </c>
    </row>
    <row r="8">
      <c r="A8" s="36" t="s">
        <v>261</v>
      </c>
      <c r="B8" s="36" t="s">
        <v>262</v>
      </c>
      <c r="C8" s="7"/>
      <c r="D8" s="44" t="b">
        <v>0</v>
      </c>
      <c r="E8" s="44" t="s">
        <v>278</v>
      </c>
      <c r="F8" s="44" t="s">
        <v>278</v>
      </c>
      <c r="G8" s="44" t="b">
        <v>0</v>
      </c>
      <c r="H8" s="44" t="b">
        <v>0</v>
      </c>
      <c r="I8" s="45">
        <v>1.0</v>
      </c>
      <c r="J8" s="46"/>
      <c r="K8" s="46"/>
      <c r="L8" s="46"/>
      <c r="M8" s="46"/>
      <c r="N8" s="46"/>
      <c r="O8" s="45" t="s">
        <v>392</v>
      </c>
      <c r="P8" s="45" t="s">
        <v>392</v>
      </c>
      <c r="Q8" s="47" t="b">
        <v>0</v>
      </c>
    </row>
    <row r="9">
      <c r="A9" s="36" t="s">
        <v>249</v>
      </c>
      <c r="B9" s="36" t="s">
        <v>250</v>
      </c>
      <c r="C9" s="7"/>
      <c r="D9" s="44" t="b">
        <v>0</v>
      </c>
      <c r="E9" s="44" t="s">
        <v>278</v>
      </c>
      <c r="F9" s="44" t="s">
        <v>278</v>
      </c>
      <c r="G9" s="44" t="b">
        <v>0</v>
      </c>
      <c r="H9" s="44" t="b">
        <v>0</v>
      </c>
      <c r="I9" s="45">
        <v>1.0</v>
      </c>
      <c r="J9" s="46"/>
      <c r="K9" s="46"/>
      <c r="L9" s="46"/>
      <c r="M9" s="46"/>
      <c r="N9" s="46"/>
      <c r="O9" s="45" t="s">
        <v>392</v>
      </c>
      <c r="P9" s="45" t="s">
        <v>392</v>
      </c>
      <c r="Q9" s="47" t="b">
        <v>0</v>
      </c>
    </row>
    <row r="10">
      <c r="A10" s="36" t="s">
        <v>143</v>
      </c>
      <c r="B10" s="36" t="s">
        <v>144</v>
      </c>
      <c r="C10" s="44"/>
      <c r="D10" s="44" t="b">
        <v>0</v>
      </c>
      <c r="E10" s="44" t="s">
        <v>278</v>
      </c>
      <c r="F10" s="44" t="s">
        <v>278</v>
      </c>
      <c r="G10" s="44" t="b">
        <v>0</v>
      </c>
      <c r="H10" s="44" t="b">
        <v>1</v>
      </c>
      <c r="I10" s="45">
        <v>0.3333333333333333</v>
      </c>
      <c r="J10" s="46" t="s">
        <v>145</v>
      </c>
      <c r="K10" s="46"/>
      <c r="L10" s="46"/>
      <c r="M10" s="46"/>
      <c r="N10" s="46"/>
      <c r="O10" s="45" t="s">
        <v>395</v>
      </c>
      <c r="P10" s="45" t="s">
        <v>395</v>
      </c>
      <c r="Q10" s="47" t="s">
        <v>366</v>
      </c>
    </row>
    <row r="11">
      <c r="A11" s="36" t="s">
        <v>120</v>
      </c>
      <c r="B11" s="36" t="s">
        <v>121</v>
      </c>
      <c r="C11" s="48"/>
      <c r="D11" s="44" t="b">
        <v>0</v>
      </c>
      <c r="E11" s="44" t="s">
        <v>278</v>
      </c>
      <c r="F11" s="44" t="s">
        <v>278</v>
      </c>
      <c r="G11" s="44" t="b">
        <v>0</v>
      </c>
      <c r="H11" s="44" t="b">
        <v>0</v>
      </c>
      <c r="I11" s="45">
        <v>1.0</v>
      </c>
      <c r="J11" s="46"/>
      <c r="K11" s="46"/>
      <c r="L11" s="46"/>
      <c r="M11" s="46"/>
      <c r="N11" s="46"/>
      <c r="O11" s="45" t="s">
        <v>392</v>
      </c>
      <c r="P11" s="45" t="s">
        <v>392</v>
      </c>
      <c r="Q11" s="47" t="b">
        <v>0</v>
      </c>
    </row>
    <row r="12">
      <c r="A12" s="36" t="s">
        <v>265</v>
      </c>
      <c r="B12" s="36" t="s">
        <v>266</v>
      </c>
      <c r="C12" s="49"/>
      <c r="D12" s="44" t="b">
        <v>0</v>
      </c>
      <c r="E12" s="44" t="s">
        <v>278</v>
      </c>
      <c r="F12" s="44" t="s">
        <v>278</v>
      </c>
      <c r="G12" s="44" t="b">
        <v>0</v>
      </c>
      <c r="H12" s="44" t="b">
        <v>0</v>
      </c>
      <c r="I12" s="45">
        <v>1.0</v>
      </c>
      <c r="J12" s="46"/>
      <c r="K12" s="46"/>
      <c r="L12" s="46"/>
      <c r="M12" s="46"/>
      <c r="N12" s="46"/>
      <c r="O12" s="45" t="s">
        <v>392</v>
      </c>
      <c r="P12" s="45" t="s">
        <v>392</v>
      </c>
      <c r="Q12" s="47" t="b">
        <v>0</v>
      </c>
    </row>
    <row r="13">
      <c r="A13" s="36" t="s">
        <v>170</v>
      </c>
      <c r="B13" s="36" t="s">
        <v>171</v>
      </c>
      <c r="C13" s="48"/>
      <c r="D13" s="44" t="b">
        <v>0</v>
      </c>
      <c r="E13" s="44" t="s">
        <v>278</v>
      </c>
      <c r="F13" s="44" t="s">
        <v>278</v>
      </c>
      <c r="G13" s="44" t="b">
        <v>0</v>
      </c>
      <c r="H13" s="44" t="b">
        <v>0</v>
      </c>
      <c r="I13" s="45">
        <v>1.0</v>
      </c>
      <c r="J13" s="46"/>
      <c r="K13" s="46"/>
      <c r="L13" s="46"/>
      <c r="M13" s="46"/>
      <c r="N13" s="46" t="s">
        <v>295</v>
      </c>
      <c r="O13" s="45" t="s">
        <v>396</v>
      </c>
      <c r="P13" s="45" t="s">
        <v>396</v>
      </c>
      <c r="Q13" s="47" t="b">
        <v>0</v>
      </c>
    </row>
    <row r="14">
      <c r="A14" s="36" t="s">
        <v>259</v>
      </c>
      <c r="B14" s="36" t="s">
        <v>260</v>
      </c>
      <c r="C14" s="48"/>
      <c r="D14" s="44" t="b">
        <v>0</v>
      </c>
      <c r="E14" s="44" t="s">
        <v>278</v>
      </c>
      <c r="F14" s="44" t="s">
        <v>278</v>
      </c>
      <c r="G14" s="44" t="b">
        <v>0</v>
      </c>
      <c r="H14" s="44" t="b">
        <v>0</v>
      </c>
      <c r="I14" s="45">
        <v>1.0</v>
      </c>
      <c r="J14" s="46"/>
      <c r="K14" s="46"/>
      <c r="L14" s="46"/>
      <c r="M14" s="46"/>
      <c r="N14" s="46"/>
      <c r="O14" s="45" t="s">
        <v>392</v>
      </c>
      <c r="P14" s="45" t="s">
        <v>392</v>
      </c>
      <c r="Q14" s="47" t="b">
        <v>0</v>
      </c>
    </row>
    <row r="15">
      <c r="A15" s="36" t="s">
        <v>124</v>
      </c>
      <c r="B15" s="36" t="s">
        <v>125</v>
      </c>
      <c r="C15" s="48"/>
      <c r="D15" s="44" t="b">
        <v>0</v>
      </c>
      <c r="E15" s="44" t="s">
        <v>278</v>
      </c>
      <c r="F15" s="44" t="s">
        <v>278</v>
      </c>
      <c r="G15" s="44" t="b">
        <v>0</v>
      </c>
      <c r="H15" s="44" t="b">
        <v>0</v>
      </c>
      <c r="I15" s="45">
        <v>1.0</v>
      </c>
      <c r="J15" s="46"/>
      <c r="K15" s="46"/>
      <c r="L15" s="46"/>
      <c r="M15" s="46"/>
      <c r="N15" s="46"/>
      <c r="O15" s="45" t="s">
        <v>392</v>
      </c>
      <c r="P15" s="45" t="s">
        <v>392</v>
      </c>
      <c r="Q15" s="47" t="b">
        <v>0</v>
      </c>
    </row>
    <row r="16">
      <c r="A16" s="36" t="s">
        <v>223</v>
      </c>
      <c r="B16" s="36" t="s">
        <v>224</v>
      </c>
      <c r="C16" s="48"/>
      <c r="D16" s="44" t="b">
        <v>1</v>
      </c>
      <c r="E16" s="44" t="s">
        <v>278</v>
      </c>
      <c r="F16" s="44" t="s">
        <v>278</v>
      </c>
      <c r="G16" s="44" t="b">
        <v>1</v>
      </c>
      <c r="H16" s="44" t="b">
        <v>1</v>
      </c>
      <c r="I16" s="45">
        <v>1.0</v>
      </c>
      <c r="J16" s="46"/>
      <c r="K16" s="46"/>
      <c r="L16" s="46"/>
      <c r="M16" s="46"/>
      <c r="N16" s="46"/>
      <c r="O16" s="45" t="s">
        <v>392</v>
      </c>
      <c r="P16" s="45" t="s">
        <v>392</v>
      </c>
      <c r="Q16" s="47" t="b">
        <v>1</v>
      </c>
    </row>
    <row r="17">
      <c r="A17" s="36" t="s">
        <v>225</v>
      </c>
      <c r="B17" s="36" t="s">
        <v>226</v>
      </c>
      <c r="C17" s="7"/>
      <c r="D17" s="44" t="b">
        <v>0</v>
      </c>
      <c r="E17" s="44" t="s">
        <v>278</v>
      </c>
      <c r="F17" s="44" t="s">
        <v>278</v>
      </c>
      <c r="G17" s="44" t="b">
        <v>0</v>
      </c>
      <c r="H17" s="44" t="b">
        <v>0</v>
      </c>
      <c r="I17" s="45">
        <v>1.0</v>
      </c>
      <c r="J17" s="46"/>
      <c r="K17" s="46"/>
      <c r="L17" s="46"/>
      <c r="M17" s="46"/>
      <c r="N17" s="46"/>
      <c r="O17" s="45" t="s">
        <v>392</v>
      </c>
      <c r="P17" s="45" t="s">
        <v>392</v>
      </c>
      <c r="Q17" s="47" t="b">
        <v>0</v>
      </c>
    </row>
    <row r="18">
      <c r="A18" s="36" t="s">
        <v>257</v>
      </c>
      <c r="B18" s="36" t="s">
        <v>258</v>
      </c>
      <c r="C18" s="7"/>
      <c r="D18" s="44" t="b">
        <v>0</v>
      </c>
      <c r="E18" s="44" t="s">
        <v>278</v>
      </c>
      <c r="F18" s="44" t="s">
        <v>278</v>
      </c>
      <c r="G18" s="44" t="b">
        <v>1</v>
      </c>
      <c r="H18" s="44" t="b">
        <v>0</v>
      </c>
      <c r="I18" s="45">
        <v>0.3333333333333333</v>
      </c>
      <c r="J18" s="46"/>
      <c r="K18" s="46"/>
      <c r="L18" s="46"/>
      <c r="M18" s="46"/>
      <c r="N18" s="46"/>
      <c r="O18" s="45" t="s">
        <v>392</v>
      </c>
      <c r="P18" s="45" t="s">
        <v>392</v>
      </c>
      <c r="Q18" s="47" t="s">
        <v>366</v>
      </c>
    </row>
    <row r="19">
      <c r="A19" s="36" t="s">
        <v>71</v>
      </c>
      <c r="B19" s="36" t="s">
        <v>72</v>
      </c>
      <c r="C19" s="7" t="s">
        <v>397</v>
      </c>
      <c r="D19" s="44" t="b">
        <v>1</v>
      </c>
      <c r="E19" s="44" t="s">
        <v>278</v>
      </c>
      <c r="F19" s="44" t="s">
        <v>278</v>
      </c>
      <c r="G19" s="44" t="b">
        <v>0</v>
      </c>
      <c r="H19" s="44" t="b">
        <v>1</v>
      </c>
      <c r="I19" s="45">
        <v>0.3333333333333333</v>
      </c>
      <c r="J19" s="46" t="s">
        <v>73</v>
      </c>
      <c r="K19" s="46"/>
      <c r="L19" s="46"/>
      <c r="M19" s="46"/>
      <c r="N19" s="46"/>
      <c r="O19" s="45" t="s">
        <v>398</v>
      </c>
      <c r="P19" s="45" t="s">
        <v>398</v>
      </c>
      <c r="Q19" s="47" t="s">
        <v>366</v>
      </c>
    </row>
    <row r="20">
      <c r="A20" s="36" t="s">
        <v>217</v>
      </c>
      <c r="B20" s="36" t="s">
        <v>218</v>
      </c>
      <c r="C20" s="7"/>
      <c r="D20" s="44" t="b">
        <v>0</v>
      </c>
      <c r="E20" s="44" t="s">
        <v>278</v>
      </c>
      <c r="F20" s="44" t="s">
        <v>278</v>
      </c>
      <c r="G20" s="44" t="b">
        <v>0</v>
      </c>
      <c r="H20" s="44" t="b">
        <v>0</v>
      </c>
      <c r="I20" s="45">
        <v>1.0</v>
      </c>
      <c r="J20" s="46"/>
      <c r="K20" s="46"/>
      <c r="L20" s="46"/>
      <c r="M20" s="46"/>
      <c r="N20" s="46"/>
      <c r="O20" s="45" t="s">
        <v>392</v>
      </c>
      <c r="P20" s="45" t="s">
        <v>392</v>
      </c>
      <c r="Q20" s="47" t="b">
        <v>0</v>
      </c>
    </row>
    <row r="21">
      <c r="A21" s="36" t="s">
        <v>176</v>
      </c>
      <c r="B21" s="36" t="s">
        <v>177</v>
      </c>
      <c r="C21" s="7"/>
      <c r="D21" s="44" t="b">
        <v>0</v>
      </c>
      <c r="E21" s="44" t="s">
        <v>278</v>
      </c>
      <c r="F21" s="44" t="s">
        <v>278</v>
      </c>
      <c r="G21" s="44" t="b">
        <v>0</v>
      </c>
      <c r="H21" s="44" t="b">
        <v>0</v>
      </c>
      <c r="I21" s="45">
        <v>1.0</v>
      </c>
      <c r="J21" s="46"/>
      <c r="K21" s="46"/>
      <c r="L21" s="46"/>
      <c r="M21" s="46"/>
      <c r="N21" s="46"/>
      <c r="O21" s="45" t="s">
        <v>392</v>
      </c>
      <c r="P21" s="45" t="s">
        <v>392</v>
      </c>
      <c r="Q21" s="47" t="b">
        <v>0</v>
      </c>
    </row>
    <row r="22">
      <c r="A22" s="36" t="s">
        <v>201</v>
      </c>
      <c r="B22" s="36" t="s">
        <v>202</v>
      </c>
      <c r="C22" s="49"/>
      <c r="D22" s="44" t="b">
        <v>1</v>
      </c>
      <c r="E22" s="44" t="s">
        <v>278</v>
      </c>
      <c r="F22" s="44" t="s">
        <v>278</v>
      </c>
      <c r="G22" s="44" t="b">
        <v>1</v>
      </c>
      <c r="H22" s="44" t="b">
        <v>1</v>
      </c>
      <c r="I22" s="45">
        <v>1.0</v>
      </c>
      <c r="J22" s="46"/>
      <c r="K22" s="46"/>
      <c r="L22" s="46"/>
      <c r="M22" s="46"/>
      <c r="N22" s="46"/>
      <c r="O22" s="45" t="s">
        <v>392</v>
      </c>
      <c r="P22" s="45" t="s">
        <v>392</v>
      </c>
      <c r="Q22" s="47" t="b">
        <v>1</v>
      </c>
    </row>
    <row r="23">
      <c r="A23" s="36" t="s">
        <v>237</v>
      </c>
      <c r="B23" s="36" t="s">
        <v>238</v>
      </c>
      <c r="C23" s="7" t="s">
        <v>397</v>
      </c>
      <c r="D23" s="44" t="b">
        <v>1</v>
      </c>
      <c r="E23" s="44" t="s">
        <v>278</v>
      </c>
      <c r="F23" s="44" t="s">
        <v>278</v>
      </c>
      <c r="G23" s="44" t="b">
        <v>0</v>
      </c>
      <c r="H23" s="44" t="b">
        <v>0</v>
      </c>
      <c r="I23" s="45">
        <v>0.3333333333333333</v>
      </c>
      <c r="J23" s="46" t="s">
        <v>73</v>
      </c>
      <c r="K23" s="46"/>
      <c r="L23" s="46"/>
      <c r="M23" s="46"/>
      <c r="N23" s="46"/>
      <c r="O23" s="45" t="s">
        <v>398</v>
      </c>
      <c r="P23" s="45" t="s">
        <v>398</v>
      </c>
      <c r="Q23" s="47" t="s">
        <v>366</v>
      </c>
    </row>
    <row r="24">
      <c r="A24" s="36" t="s">
        <v>126</v>
      </c>
      <c r="B24" s="36" t="s">
        <v>127</v>
      </c>
      <c r="C24" s="44"/>
      <c r="D24" s="44" t="b">
        <v>0</v>
      </c>
      <c r="E24" s="44" t="s">
        <v>278</v>
      </c>
      <c r="F24" s="44" t="s">
        <v>278</v>
      </c>
      <c r="G24" s="44" t="b">
        <v>0</v>
      </c>
      <c r="H24" s="44" t="b">
        <v>0</v>
      </c>
      <c r="I24" s="45">
        <v>1.0</v>
      </c>
      <c r="J24" s="46"/>
      <c r="K24" s="46"/>
      <c r="L24" s="46"/>
      <c r="M24" s="46"/>
      <c r="N24" s="46"/>
      <c r="O24" s="45" t="s">
        <v>392</v>
      </c>
      <c r="P24" s="45" t="s">
        <v>392</v>
      </c>
      <c r="Q24" s="47" t="b">
        <v>0</v>
      </c>
    </row>
    <row r="25">
      <c r="A25" s="36" t="s">
        <v>148</v>
      </c>
      <c r="B25" s="36" t="s">
        <v>149</v>
      </c>
      <c r="C25" s="48"/>
      <c r="D25" s="44" t="b">
        <v>1</v>
      </c>
      <c r="E25" s="44" t="s">
        <v>278</v>
      </c>
      <c r="F25" s="44" t="s">
        <v>278</v>
      </c>
      <c r="G25" s="44" t="b">
        <v>1</v>
      </c>
      <c r="H25" s="44" t="b">
        <v>1</v>
      </c>
      <c r="I25" s="45">
        <v>1.0</v>
      </c>
      <c r="J25" s="46"/>
      <c r="K25" s="46"/>
      <c r="L25" s="46"/>
      <c r="M25" s="46"/>
      <c r="N25" s="46"/>
      <c r="O25" s="45" t="s">
        <v>392</v>
      </c>
      <c r="P25" s="45" t="s">
        <v>392</v>
      </c>
      <c r="Q25" s="47" t="b">
        <v>1</v>
      </c>
    </row>
    <row r="26">
      <c r="A26" s="36" t="s">
        <v>213</v>
      </c>
      <c r="B26" s="36" t="s">
        <v>214</v>
      </c>
      <c r="C26" s="7"/>
      <c r="D26" s="44" t="b">
        <v>0</v>
      </c>
      <c r="E26" s="44" t="s">
        <v>278</v>
      </c>
      <c r="F26" s="44" t="s">
        <v>278</v>
      </c>
      <c r="G26" s="44" t="b">
        <v>0</v>
      </c>
      <c r="H26" s="44" t="b">
        <v>0</v>
      </c>
      <c r="I26" s="45">
        <v>1.0</v>
      </c>
      <c r="J26" s="46"/>
      <c r="K26" s="46"/>
      <c r="L26" s="46"/>
      <c r="M26" s="46"/>
      <c r="N26" s="46"/>
      <c r="O26" s="45" t="s">
        <v>392</v>
      </c>
      <c r="P26" s="45" t="s">
        <v>392</v>
      </c>
      <c r="Q26" s="47" t="b">
        <v>0</v>
      </c>
    </row>
    <row r="27">
      <c r="A27" s="36" t="s">
        <v>205</v>
      </c>
      <c r="B27" s="36" t="s">
        <v>206</v>
      </c>
      <c r="C27" s="44"/>
      <c r="D27" s="44" t="b">
        <v>0</v>
      </c>
      <c r="E27" s="44" t="s">
        <v>278</v>
      </c>
      <c r="F27" s="44" t="s">
        <v>278</v>
      </c>
      <c r="G27" s="44" t="b">
        <v>0</v>
      </c>
      <c r="H27" s="44" t="b">
        <v>0</v>
      </c>
      <c r="I27" s="45">
        <v>1.0</v>
      </c>
      <c r="J27" s="46"/>
      <c r="K27" s="46"/>
      <c r="L27" s="46"/>
      <c r="M27" s="46"/>
      <c r="N27" s="46"/>
      <c r="O27" s="45" t="s">
        <v>392</v>
      </c>
      <c r="P27" s="45" t="s">
        <v>392</v>
      </c>
      <c r="Q27" s="47" t="b">
        <v>0</v>
      </c>
    </row>
    <row r="28">
      <c r="A28" s="36" t="s">
        <v>231</v>
      </c>
      <c r="B28" s="36" t="s">
        <v>232</v>
      </c>
      <c r="C28" s="48"/>
      <c r="D28" s="44" t="b">
        <v>1</v>
      </c>
      <c r="E28" s="44" t="s">
        <v>278</v>
      </c>
      <c r="F28" s="44" t="s">
        <v>278</v>
      </c>
      <c r="G28" s="44" t="b">
        <v>1</v>
      </c>
      <c r="H28" s="44" t="b">
        <v>1</v>
      </c>
      <c r="I28" s="45">
        <v>1.0</v>
      </c>
      <c r="J28" s="46"/>
      <c r="K28" s="46"/>
      <c r="L28" s="46"/>
      <c r="M28" s="46"/>
      <c r="N28" s="46"/>
      <c r="O28" s="45" t="s">
        <v>392</v>
      </c>
      <c r="P28" s="45" t="s">
        <v>392</v>
      </c>
      <c r="Q28" s="47" t="b">
        <v>1</v>
      </c>
    </row>
    <row r="29">
      <c r="A29" s="36" t="s">
        <v>192</v>
      </c>
      <c r="B29" s="36" t="s">
        <v>193</v>
      </c>
      <c r="C29" s="49" t="s">
        <v>399</v>
      </c>
      <c r="D29" s="44" t="b">
        <v>1</v>
      </c>
      <c r="E29" s="44" t="s">
        <v>278</v>
      </c>
      <c r="F29" s="44" t="s">
        <v>278</v>
      </c>
      <c r="G29" s="44" t="b">
        <v>0</v>
      </c>
      <c r="H29" s="44" t="b">
        <v>0</v>
      </c>
      <c r="I29" s="45">
        <v>0.3333333333333333</v>
      </c>
      <c r="J29" s="46" t="s">
        <v>194</v>
      </c>
      <c r="K29" s="46"/>
      <c r="L29" s="46"/>
      <c r="M29" s="46"/>
      <c r="N29" s="46"/>
      <c r="O29" s="45" t="s">
        <v>400</v>
      </c>
      <c r="P29" s="45" t="s">
        <v>400</v>
      </c>
      <c r="Q29" s="47" t="b">
        <v>0</v>
      </c>
      <c r="R29" s="5" t="s">
        <v>401</v>
      </c>
    </row>
    <row r="30">
      <c r="A30" s="36" t="s">
        <v>195</v>
      </c>
      <c r="B30" s="36" t="s">
        <v>196</v>
      </c>
      <c r="C30" s="7"/>
      <c r="D30" s="44" t="b">
        <v>0</v>
      </c>
      <c r="E30" s="44" t="s">
        <v>278</v>
      </c>
      <c r="F30" s="44" t="s">
        <v>278</v>
      </c>
      <c r="G30" s="44" t="b">
        <v>0</v>
      </c>
      <c r="H30" s="44" t="b">
        <v>0</v>
      </c>
      <c r="I30" s="45">
        <v>1.0</v>
      </c>
      <c r="J30" s="46"/>
      <c r="K30" s="46"/>
      <c r="L30" s="46"/>
      <c r="M30" s="46"/>
      <c r="N30" s="46"/>
      <c r="O30" s="45" t="s">
        <v>392</v>
      </c>
      <c r="P30" s="45" t="s">
        <v>392</v>
      </c>
      <c r="Q30" s="47" t="b">
        <v>0</v>
      </c>
    </row>
    <row r="31">
      <c r="A31" s="36" t="s">
        <v>137</v>
      </c>
      <c r="B31" s="36" t="s">
        <v>138</v>
      </c>
      <c r="C31" s="44"/>
      <c r="D31" s="44" t="b">
        <v>1</v>
      </c>
      <c r="E31" s="44" t="s">
        <v>278</v>
      </c>
      <c r="F31" s="44" t="s">
        <v>278</v>
      </c>
      <c r="G31" s="44" t="b">
        <v>1</v>
      </c>
      <c r="H31" s="44" t="b">
        <v>1</v>
      </c>
      <c r="I31" s="45">
        <v>1.0</v>
      </c>
      <c r="J31" s="46"/>
      <c r="K31" s="46"/>
      <c r="L31" s="46"/>
      <c r="M31" s="46" t="s">
        <v>287</v>
      </c>
      <c r="N31" s="46"/>
      <c r="O31" s="45" t="s">
        <v>402</v>
      </c>
      <c r="P31" s="45" t="s">
        <v>402</v>
      </c>
      <c r="Q31" s="47" t="b">
        <v>1</v>
      </c>
    </row>
    <row r="32">
      <c r="A32" s="36" t="s">
        <v>267</v>
      </c>
      <c r="B32" s="36" t="s">
        <v>268</v>
      </c>
      <c r="C32" s="48"/>
      <c r="D32" s="44" t="b">
        <v>0</v>
      </c>
      <c r="E32" s="44" t="s">
        <v>278</v>
      </c>
      <c r="F32" s="44" t="s">
        <v>278</v>
      </c>
      <c r="G32" s="44" t="b">
        <v>0</v>
      </c>
      <c r="H32" s="44" t="b">
        <v>0</v>
      </c>
      <c r="I32" s="45">
        <v>1.0</v>
      </c>
      <c r="J32" s="46"/>
      <c r="K32" s="46"/>
      <c r="L32" s="46"/>
      <c r="M32" s="46"/>
      <c r="N32" s="46"/>
      <c r="O32" s="45" t="s">
        <v>392</v>
      </c>
      <c r="P32" s="45" t="s">
        <v>392</v>
      </c>
      <c r="Q32" s="47" t="b">
        <v>0</v>
      </c>
    </row>
    <row r="33">
      <c r="A33" s="36" t="s">
        <v>233</v>
      </c>
      <c r="B33" s="36" t="s">
        <v>234</v>
      </c>
      <c r="C33" s="48"/>
      <c r="D33" s="44" t="b">
        <v>0</v>
      </c>
      <c r="E33" s="44" t="s">
        <v>278</v>
      </c>
      <c r="F33" s="44" t="s">
        <v>278</v>
      </c>
      <c r="G33" s="44" t="b">
        <v>0</v>
      </c>
      <c r="H33" s="44" t="b">
        <v>0</v>
      </c>
      <c r="I33" s="45">
        <v>1.0</v>
      </c>
      <c r="J33" s="46"/>
      <c r="K33" s="46"/>
      <c r="L33" s="46"/>
      <c r="M33" s="46"/>
      <c r="N33" s="46"/>
      <c r="O33" s="45" t="s">
        <v>392</v>
      </c>
      <c r="P33" s="45" t="s">
        <v>392</v>
      </c>
      <c r="Q33" s="47" t="b">
        <v>0</v>
      </c>
    </row>
    <row r="34">
      <c r="A34" s="36" t="s">
        <v>253</v>
      </c>
      <c r="B34" s="36" t="s">
        <v>254</v>
      </c>
      <c r="C34" s="48"/>
      <c r="D34" s="44" t="b">
        <v>0</v>
      </c>
      <c r="E34" s="44" t="s">
        <v>278</v>
      </c>
      <c r="F34" s="44" t="s">
        <v>278</v>
      </c>
      <c r="G34" s="44" t="b">
        <v>0</v>
      </c>
      <c r="H34" s="44" t="b">
        <v>0</v>
      </c>
      <c r="I34" s="45">
        <v>1.0</v>
      </c>
      <c r="J34" s="46"/>
      <c r="K34" s="46"/>
      <c r="L34" s="46"/>
      <c r="M34" s="46"/>
      <c r="N34" s="46"/>
      <c r="O34" s="45" t="s">
        <v>392</v>
      </c>
      <c r="P34" s="45" t="s">
        <v>392</v>
      </c>
      <c r="Q34" s="47" t="b">
        <v>0</v>
      </c>
    </row>
    <row r="35">
      <c r="A35" s="36" t="s">
        <v>172</v>
      </c>
      <c r="B35" s="36" t="s">
        <v>173</v>
      </c>
      <c r="C35" s="49"/>
      <c r="D35" s="44" t="b">
        <v>1</v>
      </c>
      <c r="E35" s="44" t="s">
        <v>278</v>
      </c>
      <c r="F35" s="44" t="s">
        <v>278</v>
      </c>
      <c r="G35" s="44" t="b">
        <v>1</v>
      </c>
      <c r="H35" s="44" t="b">
        <v>1</v>
      </c>
      <c r="I35" s="45">
        <v>1.0</v>
      </c>
      <c r="J35" s="46"/>
      <c r="K35" s="46"/>
      <c r="L35" s="46"/>
      <c r="M35" s="46"/>
      <c r="N35" s="46"/>
      <c r="O35" s="45" t="s">
        <v>392</v>
      </c>
      <c r="P35" s="45" t="s">
        <v>392</v>
      </c>
      <c r="Q35" s="47" t="b">
        <v>1</v>
      </c>
    </row>
    <row r="36">
      <c r="A36" s="36" t="s">
        <v>215</v>
      </c>
      <c r="B36" s="36" t="s">
        <v>216</v>
      </c>
      <c r="C36" s="44"/>
      <c r="D36" s="44" t="b">
        <v>0</v>
      </c>
      <c r="E36" s="44" t="s">
        <v>278</v>
      </c>
      <c r="F36" s="44" t="s">
        <v>278</v>
      </c>
      <c r="G36" s="44" t="b">
        <v>0</v>
      </c>
      <c r="H36" s="44" t="b">
        <v>0</v>
      </c>
      <c r="I36" s="45">
        <v>1.0</v>
      </c>
      <c r="J36" s="46"/>
      <c r="K36" s="46"/>
      <c r="L36" s="46"/>
      <c r="M36" s="46" t="s">
        <v>284</v>
      </c>
      <c r="N36" s="46"/>
      <c r="O36" s="45" t="s">
        <v>403</v>
      </c>
      <c r="P36" s="45" t="s">
        <v>403</v>
      </c>
      <c r="Q36" s="47" t="b">
        <v>0</v>
      </c>
    </row>
    <row r="37">
      <c r="A37" s="36" t="s">
        <v>263</v>
      </c>
      <c r="B37" s="36" t="s">
        <v>264</v>
      </c>
      <c r="C37" s="44"/>
      <c r="D37" s="44" t="b">
        <v>0</v>
      </c>
      <c r="E37" s="44" t="s">
        <v>278</v>
      </c>
      <c r="F37" s="44" t="s">
        <v>278</v>
      </c>
      <c r="G37" s="44" t="b">
        <v>0</v>
      </c>
      <c r="H37" s="44" t="b">
        <v>0</v>
      </c>
      <c r="I37" s="45">
        <v>1.0</v>
      </c>
      <c r="J37" s="46"/>
      <c r="K37" s="46"/>
      <c r="L37" s="46"/>
      <c r="M37" s="46"/>
      <c r="N37" s="46" t="s">
        <v>302</v>
      </c>
      <c r="O37" s="45" t="s">
        <v>404</v>
      </c>
      <c r="P37" s="45" t="s">
        <v>404</v>
      </c>
      <c r="Q37" s="47" t="b">
        <v>0</v>
      </c>
    </row>
    <row r="38">
      <c r="A38" s="36" t="s">
        <v>87</v>
      </c>
      <c r="B38" s="36" t="s">
        <v>88</v>
      </c>
      <c r="C38" s="7"/>
      <c r="D38" s="44" t="b">
        <v>0</v>
      </c>
      <c r="E38" s="44" t="s">
        <v>278</v>
      </c>
      <c r="F38" s="44" t="s">
        <v>278</v>
      </c>
      <c r="G38" s="44" t="b">
        <v>0</v>
      </c>
      <c r="H38" s="44" t="b">
        <v>0</v>
      </c>
      <c r="I38" s="45">
        <v>1.0</v>
      </c>
      <c r="J38" s="46"/>
      <c r="K38" s="46"/>
      <c r="L38" s="46"/>
      <c r="M38" s="46"/>
      <c r="N38" s="46"/>
      <c r="O38" s="45" t="s">
        <v>392</v>
      </c>
      <c r="P38" s="45" t="s">
        <v>392</v>
      </c>
      <c r="Q38" s="47" t="b">
        <v>0</v>
      </c>
    </row>
    <row r="39">
      <c r="A39" s="36" t="s">
        <v>146</v>
      </c>
      <c r="B39" s="36" t="s">
        <v>147</v>
      </c>
      <c r="C39" s="49" t="s">
        <v>405</v>
      </c>
      <c r="D39" s="44" t="b">
        <v>0</v>
      </c>
      <c r="E39" s="44" t="s">
        <v>278</v>
      </c>
      <c r="F39" s="44" t="s">
        <v>278</v>
      </c>
      <c r="G39" s="44" t="b">
        <v>0</v>
      </c>
      <c r="H39" s="44" t="b">
        <v>1</v>
      </c>
      <c r="I39" s="45">
        <v>0.3333333333333333</v>
      </c>
      <c r="J39" s="46"/>
      <c r="K39" s="46"/>
      <c r="L39" s="46"/>
      <c r="M39" s="46"/>
      <c r="N39" s="46">
        <v>1.3</v>
      </c>
      <c r="O39" s="45" t="s">
        <v>406</v>
      </c>
      <c r="P39" s="45" t="s">
        <v>406</v>
      </c>
      <c r="Q39" s="47" t="b">
        <v>0</v>
      </c>
      <c r="R39" s="5" t="s">
        <v>407</v>
      </c>
    </row>
    <row r="40">
      <c r="A40" s="36" t="s">
        <v>199</v>
      </c>
      <c r="B40" s="36" t="s">
        <v>200</v>
      </c>
      <c r="C40" s="44"/>
      <c r="D40" s="44" t="b">
        <v>0</v>
      </c>
      <c r="E40" s="44" t="s">
        <v>278</v>
      </c>
      <c r="F40" s="44" t="s">
        <v>278</v>
      </c>
      <c r="G40" s="44" t="b">
        <v>0</v>
      </c>
      <c r="H40" s="44" t="b">
        <v>0</v>
      </c>
      <c r="I40" s="45">
        <v>1.0</v>
      </c>
      <c r="J40" s="46"/>
      <c r="K40" s="46"/>
      <c r="L40" s="46"/>
      <c r="M40" s="46"/>
      <c r="N40" s="46"/>
      <c r="O40" s="45" t="s">
        <v>392</v>
      </c>
      <c r="P40" s="45" t="s">
        <v>392</v>
      </c>
      <c r="Q40" s="47" t="b">
        <v>0</v>
      </c>
    </row>
    <row r="41">
      <c r="A41" s="36" t="s">
        <v>160</v>
      </c>
      <c r="B41" s="36" t="s">
        <v>161</v>
      </c>
      <c r="C41" s="7" t="s">
        <v>408</v>
      </c>
      <c r="D41" s="44" t="b">
        <v>1</v>
      </c>
      <c r="E41" s="44" t="s">
        <v>278</v>
      </c>
      <c r="F41" s="44" t="s">
        <v>278</v>
      </c>
      <c r="G41" s="44" t="b">
        <v>0</v>
      </c>
      <c r="H41" s="44" t="b">
        <v>1</v>
      </c>
      <c r="I41" s="45">
        <v>0.3333333333333333</v>
      </c>
      <c r="J41" s="46" t="s">
        <v>84</v>
      </c>
      <c r="K41" s="46"/>
      <c r="L41" s="46"/>
      <c r="M41" s="46" t="s">
        <v>282</v>
      </c>
      <c r="N41" s="46"/>
      <c r="O41" s="45" t="s">
        <v>409</v>
      </c>
      <c r="P41" s="45" t="s">
        <v>409</v>
      </c>
      <c r="Q41" s="47" t="s">
        <v>366</v>
      </c>
    </row>
    <row r="42">
      <c r="A42" s="36" t="s">
        <v>219</v>
      </c>
      <c r="B42" s="36" t="s">
        <v>220</v>
      </c>
      <c r="C42" s="48"/>
      <c r="D42" s="44" t="b">
        <v>0</v>
      </c>
      <c r="E42" s="44" t="s">
        <v>278</v>
      </c>
      <c r="F42" s="44" t="s">
        <v>278</v>
      </c>
      <c r="G42" s="44" t="b">
        <v>0</v>
      </c>
      <c r="H42" s="44" t="b">
        <v>0</v>
      </c>
      <c r="I42" s="45">
        <v>1.0</v>
      </c>
      <c r="J42" s="46"/>
      <c r="K42" s="46"/>
      <c r="L42" s="46"/>
      <c r="M42" s="46"/>
      <c r="N42" s="46"/>
      <c r="O42" s="45" t="s">
        <v>392</v>
      </c>
      <c r="P42" s="45" t="s">
        <v>392</v>
      </c>
      <c r="Q42" s="47" t="b">
        <v>0</v>
      </c>
    </row>
    <row r="43">
      <c r="A43" s="36" t="s">
        <v>108</v>
      </c>
      <c r="B43" s="36" t="s">
        <v>109</v>
      </c>
      <c r="C43" s="48"/>
      <c r="D43" s="44" t="b">
        <v>1</v>
      </c>
      <c r="E43" s="44" t="s">
        <v>278</v>
      </c>
      <c r="F43" s="44" t="s">
        <v>278</v>
      </c>
      <c r="G43" s="44" t="b">
        <v>1</v>
      </c>
      <c r="H43" s="44" t="b">
        <v>1</v>
      </c>
      <c r="I43" s="45">
        <v>1.0</v>
      </c>
      <c r="J43" s="46" t="s">
        <v>110</v>
      </c>
      <c r="K43" s="46"/>
      <c r="L43" s="46"/>
      <c r="M43" s="46" t="s">
        <v>281</v>
      </c>
      <c r="N43" s="46" t="s">
        <v>300</v>
      </c>
      <c r="O43" s="45" t="s">
        <v>410</v>
      </c>
      <c r="P43" s="45" t="s">
        <v>410</v>
      </c>
      <c r="Q43" s="47" t="b">
        <v>1</v>
      </c>
    </row>
    <row r="44">
      <c r="A44" s="36" t="s">
        <v>168</v>
      </c>
      <c r="B44" s="36" t="s">
        <v>169</v>
      </c>
      <c r="C44" s="44"/>
      <c r="D44" s="44" t="b">
        <v>1</v>
      </c>
      <c r="E44" s="44" t="s">
        <v>278</v>
      </c>
      <c r="F44" s="44" t="s">
        <v>278</v>
      </c>
      <c r="G44" s="44" t="b">
        <v>0</v>
      </c>
      <c r="H44" s="44" t="b">
        <v>1</v>
      </c>
      <c r="I44" s="45">
        <v>0.3333333333333333</v>
      </c>
      <c r="J44" s="46"/>
      <c r="K44" s="46"/>
      <c r="L44" s="46"/>
      <c r="M44" s="46"/>
      <c r="N44" s="46"/>
      <c r="O44" s="45" t="s">
        <v>392</v>
      </c>
      <c r="P44" s="45" t="s">
        <v>392</v>
      </c>
      <c r="Q44" s="47" t="s">
        <v>366</v>
      </c>
    </row>
    <row r="45">
      <c r="A45" s="36" t="s">
        <v>89</v>
      </c>
      <c r="B45" s="36" t="s">
        <v>90</v>
      </c>
      <c r="C45" s="49"/>
      <c r="D45" s="44" t="b">
        <v>0</v>
      </c>
      <c r="E45" s="44" t="s">
        <v>278</v>
      </c>
      <c r="F45" s="44" t="s">
        <v>278</v>
      </c>
      <c r="G45" s="44" t="b">
        <v>0</v>
      </c>
      <c r="H45" s="44" t="b">
        <v>0</v>
      </c>
      <c r="I45" s="45">
        <v>1.0</v>
      </c>
      <c r="J45" s="46"/>
      <c r="K45" s="46"/>
      <c r="L45" s="46"/>
      <c r="M45" s="46"/>
      <c r="N45" s="46"/>
      <c r="O45" s="45" t="s">
        <v>392</v>
      </c>
      <c r="P45" s="45" t="s">
        <v>392</v>
      </c>
      <c r="Q45" s="47" t="b">
        <v>0</v>
      </c>
    </row>
    <row r="46">
      <c r="A46" s="36" t="s">
        <v>184</v>
      </c>
      <c r="B46" s="36" t="s">
        <v>185</v>
      </c>
      <c r="C46" s="48"/>
      <c r="D46" s="44" t="b">
        <v>0</v>
      </c>
      <c r="E46" s="44" t="s">
        <v>278</v>
      </c>
      <c r="F46" s="44" t="s">
        <v>278</v>
      </c>
      <c r="G46" s="44" t="b">
        <v>0</v>
      </c>
      <c r="H46" s="44" t="b">
        <v>0</v>
      </c>
      <c r="I46" s="45">
        <v>1.0</v>
      </c>
      <c r="J46" s="46"/>
      <c r="K46" s="46"/>
      <c r="L46" s="46"/>
      <c r="M46" s="46"/>
      <c r="N46" s="46"/>
      <c r="O46" s="45" t="s">
        <v>392</v>
      </c>
      <c r="P46" s="45" t="s">
        <v>392</v>
      </c>
      <c r="Q46" s="47" t="b">
        <v>0</v>
      </c>
    </row>
    <row r="47">
      <c r="A47" s="36" t="s">
        <v>115</v>
      </c>
      <c r="B47" s="36" t="s">
        <v>116</v>
      </c>
      <c r="C47" s="49" t="s">
        <v>405</v>
      </c>
      <c r="D47" s="44" t="b">
        <v>1</v>
      </c>
      <c r="E47" s="44" t="s">
        <v>278</v>
      </c>
      <c r="F47" s="44" t="s">
        <v>278</v>
      </c>
      <c r="G47" s="44" t="b">
        <v>0</v>
      </c>
      <c r="H47" s="44" t="b">
        <v>1</v>
      </c>
      <c r="I47" s="45">
        <v>0.3333333333333333</v>
      </c>
      <c r="J47" s="46" t="s">
        <v>117</v>
      </c>
      <c r="K47" s="46"/>
      <c r="L47" s="46"/>
      <c r="M47" s="46"/>
      <c r="N47" s="46" t="s">
        <v>298</v>
      </c>
      <c r="O47" s="45" t="s">
        <v>411</v>
      </c>
      <c r="P47" s="45" t="s">
        <v>411</v>
      </c>
      <c r="Q47" s="47" t="s">
        <v>366</v>
      </c>
    </row>
    <row r="48">
      <c r="A48" s="36" t="s">
        <v>229</v>
      </c>
      <c r="B48" s="36" t="s">
        <v>230</v>
      </c>
      <c r="C48" s="7"/>
      <c r="D48" s="44" t="b">
        <v>0</v>
      </c>
      <c r="E48" s="44" t="s">
        <v>278</v>
      </c>
      <c r="F48" s="44" t="s">
        <v>278</v>
      </c>
      <c r="G48" s="44" t="b">
        <v>0</v>
      </c>
      <c r="H48" s="44" t="b">
        <v>0</v>
      </c>
      <c r="I48" s="45">
        <v>1.0</v>
      </c>
      <c r="J48" s="46"/>
      <c r="K48" s="46"/>
      <c r="L48" s="46"/>
      <c r="M48" s="46"/>
      <c r="N48" s="46"/>
      <c r="O48" s="45" t="s">
        <v>392</v>
      </c>
      <c r="P48" s="45" t="s">
        <v>392</v>
      </c>
      <c r="Q48" s="47" t="b">
        <v>0</v>
      </c>
    </row>
    <row r="49">
      <c r="A49" s="36" t="s">
        <v>235</v>
      </c>
      <c r="B49" s="36" t="s">
        <v>236</v>
      </c>
      <c r="C49" s="7"/>
      <c r="D49" s="44" t="b">
        <v>0</v>
      </c>
      <c r="E49" s="44" t="s">
        <v>278</v>
      </c>
      <c r="F49" s="44" t="s">
        <v>278</v>
      </c>
      <c r="G49" s="44" t="b">
        <v>0</v>
      </c>
      <c r="H49" s="44" t="b">
        <v>0</v>
      </c>
      <c r="I49" s="45">
        <v>1.0</v>
      </c>
      <c r="J49" s="46"/>
      <c r="K49" s="46"/>
      <c r="L49" s="46"/>
      <c r="M49" s="46"/>
      <c r="N49" s="46"/>
      <c r="O49" s="45" t="s">
        <v>392</v>
      </c>
      <c r="P49" s="45" t="s">
        <v>392</v>
      </c>
      <c r="Q49" s="47" t="b">
        <v>0</v>
      </c>
    </row>
    <row r="50">
      <c r="A50" s="36" t="s">
        <v>104</v>
      </c>
      <c r="B50" s="36" t="s">
        <v>105</v>
      </c>
      <c r="C50" s="48"/>
      <c r="D50" s="44" t="b">
        <v>1</v>
      </c>
      <c r="E50" s="44" t="s">
        <v>278</v>
      </c>
      <c r="F50" s="44" t="s">
        <v>278</v>
      </c>
      <c r="G50" s="44" t="b">
        <v>1</v>
      </c>
      <c r="H50" s="44" t="b">
        <v>1</v>
      </c>
      <c r="I50" s="45">
        <v>1.0</v>
      </c>
      <c r="J50" s="46"/>
      <c r="K50" s="46"/>
      <c r="L50" s="46"/>
      <c r="M50" s="46" t="s">
        <v>289</v>
      </c>
      <c r="N50" s="46"/>
      <c r="O50" s="45" t="s">
        <v>412</v>
      </c>
      <c r="P50" s="45" t="s">
        <v>412</v>
      </c>
      <c r="Q50" s="47" t="b">
        <v>1</v>
      </c>
    </row>
    <row r="51">
      <c r="A51" s="36" t="s">
        <v>243</v>
      </c>
      <c r="B51" s="36" t="s">
        <v>244</v>
      </c>
      <c r="C51" s="44"/>
      <c r="D51" s="44" t="b">
        <v>0</v>
      </c>
      <c r="E51" s="44" t="s">
        <v>278</v>
      </c>
      <c r="F51" s="44" t="s">
        <v>278</v>
      </c>
      <c r="G51" s="44" t="b">
        <v>0</v>
      </c>
      <c r="H51" s="44" t="b">
        <v>0</v>
      </c>
      <c r="I51" s="45">
        <v>1.0</v>
      </c>
      <c r="J51" s="46"/>
      <c r="K51" s="46"/>
      <c r="L51" s="46"/>
      <c r="M51" s="46"/>
      <c r="N51" s="46"/>
      <c r="O51" s="45" t="s">
        <v>392</v>
      </c>
      <c r="P51" s="45" t="s">
        <v>392</v>
      </c>
      <c r="Q51" s="47" t="b">
        <v>0</v>
      </c>
    </row>
    <row r="52">
      <c r="A52" s="36" t="s">
        <v>85</v>
      </c>
      <c r="B52" s="36" t="s">
        <v>86</v>
      </c>
      <c r="C52" s="7" t="s">
        <v>408</v>
      </c>
      <c r="D52" s="44" t="b">
        <v>1</v>
      </c>
      <c r="E52" s="44" t="s">
        <v>278</v>
      </c>
      <c r="F52" s="44" t="s">
        <v>278</v>
      </c>
      <c r="G52" s="44" t="b">
        <v>0</v>
      </c>
      <c r="H52" s="44" t="b">
        <v>1</v>
      </c>
      <c r="I52" s="45">
        <v>0.3333333333333333</v>
      </c>
      <c r="J52" s="46"/>
      <c r="K52" s="46"/>
      <c r="L52" s="46"/>
      <c r="M52" s="46" t="s">
        <v>280</v>
      </c>
      <c r="N52" s="46"/>
      <c r="O52" s="45" t="s">
        <v>413</v>
      </c>
      <c r="P52" s="45" t="s">
        <v>413</v>
      </c>
      <c r="Q52" s="47" t="s">
        <v>366</v>
      </c>
    </row>
    <row r="53">
      <c r="A53" s="36" t="s">
        <v>227</v>
      </c>
      <c r="B53" s="36" t="s">
        <v>228</v>
      </c>
      <c r="C53" s="7"/>
      <c r="D53" s="44" t="b">
        <v>1</v>
      </c>
      <c r="E53" s="44" t="s">
        <v>278</v>
      </c>
      <c r="F53" s="44" t="s">
        <v>278</v>
      </c>
      <c r="G53" s="44" t="b">
        <v>1</v>
      </c>
      <c r="H53" s="44" t="b">
        <v>1</v>
      </c>
      <c r="I53" s="45">
        <v>1.0</v>
      </c>
      <c r="J53" s="46"/>
      <c r="K53" s="46"/>
      <c r="L53" s="46"/>
      <c r="M53" s="46"/>
      <c r="N53" s="46"/>
      <c r="O53" s="45" t="s">
        <v>392</v>
      </c>
      <c r="P53" s="45" t="s">
        <v>392</v>
      </c>
      <c r="Q53" s="47" t="b">
        <v>1</v>
      </c>
    </row>
    <row r="54">
      <c r="A54" s="36" t="s">
        <v>164</v>
      </c>
      <c r="B54" s="36" t="s">
        <v>165</v>
      </c>
      <c r="C54" s="48"/>
      <c r="D54" s="44" t="b">
        <v>0</v>
      </c>
      <c r="E54" s="44" t="s">
        <v>278</v>
      </c>
      <c r="F54" s="44" t="s">
        <v>278</v>
      </c>
      <c r="G54" s="44" t="b">
        <v>0</v>
      </c>
      <c r="H54" s="44" t="b">
        <v>0</v>
      </c>
      <c r="I54" s="45">
        <v>1.0</v>
      </c>
      <c r="J54" s="46"/>
      <c r="K54" s="46"/>
      <c r="L54" s="46"/>
      <c r="M54" s="46"/>
      <c r="N54" s="46"/>
      <c r="O54" s="45" t="s">
        <v>392</v>
      </c>
      <c r="P54" s="45" t="s">
        <v>392</v>
      </c>
      <c r="Q54" s="47" t="b">
        <v>0</v>
      </c>
    </row>
    <row r="55">
      <c r="A55" s="36" t="s">
        <v>113</v>
      </c>
      <c r="B55" s="36" t="s">
        <v>114</v>
      </c>
      <c r="C55" s="48"/>
      <c r="D55" s="44" t="b">
        <v>1</v>
      </c>
      <c r="E55" s="44" t="s">
        <v>278</v>
      </c>
      <c r="F55" s="44" t="s">
        <v>278</v>
      </c>
      <c r="G55" s="44" t="b">
        <v>1</v>
      </c>
      <c r="H55" s="44" t="b">
        <v>1</v>
      </c>
      <c r="I55" s="45">
        <v>1.0</v>
      </c>
      <c r="J55" s="46"/>
      <c r="K55" s="46"/>
      <c r="L55" s="46"/>
      <c r="M55" s="46"/>
      <c r="N55" s="46"/>
      <c r="O55" s="45" t="s">
        <v>392</v>
      </c>
      <c r="P55" s="45" t="s">
        <v>392</v>
      </c>
      <c r="Q55" s="47" t="b">
        <v>1</v>
      </c>
    </row>
    <row r="56">
      <c r="A56" s="36" t="s">
        <v>82</v>
      </c>
      <c r="B56" s="36" t="s">
        <v>83</v>
      </c>
      <c r="C56" s="44"/>
      <c r="D56" s="44" t="b">
        <v>1</v>
      </c>
      <c r="E56" s="44" t="s">
        <v>278</v>
      </c>
      <c r="F56" s="44" t="s">
        <v>278</v>
      </c>
      <c r="G56" s="44" t="b">
        <v>1</v>
      </c>
      <c r="H56" s="44" t="b">
        <v>1</v>
      </c>
      <c r="I56" s="45">
        <v>1.0</v>
      </c>
      <c r="J56" s="46" t="s">
        <v>84</v>
      </c>
      <c r="K56" s="46"/>
      <c r="L56" s="46"/>
      <c r="M56" s="46" t="s">
        <v>283</v>
      </c>
      <c r="N56" s="46"/>
      <c r="O56" s="45" t="s">
        <v>414</v>
      </c>
      <c r="P56" s="45" t="s">
        <v>414</v>
      </c>
      <c r="Q56" s="47" t="b">
        <v>1</v>
      </c>
    </row>
    <row r="57">
      <c r="A57" s="36" t="s">
        <v>133</v>
      </c>
      <c r="B57" s="36" t="s">
        <v>134</v>
      </c>
      <c r="C57" s="44"/>
      <c r="D57" s="44" t="b">
        <v>0</v>
      </c>
      <c r="E57" s="44" t="s">
        <v>278</v>
      </c>
      <c r="F57" s="44" t="s">
        <v>278</v>
      </c>
      <c r="G57" s="44" t="b">
        <v>1</v>
      </c>
      <c r="H57" s="44" t="b">
        <v>0</v>
      </c>
      <c r="I57" s="45">
        <v>0.3333333333333333</v>
      </c>
      <c r="J57" s="46"/>
      <c r="K57" s="46"/>
      <c r="L57" s="46"/>
      <c r="M57" s="46"/>
      <c r="N57" s="46"/>
      <c r="O57" s="45" t="s">
        <v>392</v>
      </c>
      <c r="P57" s="45" t="s">
        <v>392</v>
      </c>
      <c r="Q57" s="47" t="s">
        <v>366</v>
      </c>
    </row>
    <row r="58">
      <c r="A58" s="36" t="s">
        <v>99</v>
      </c>
      <c r="B58" s="36" t="s">
        <v>100</v>
      </c>
      <c r="C58" s="7"/>
      <c r="D58" s="44" t="b">
        <v>1</v>
      </c>
      <c r="E58" s="44" t="s">
        <v>278</v>
      </c>
      <c r="F58" s="44" t="s">
        <v>278</v>
      </c>
      <c r="G58" s="44" t="b">
        <v>0</v>
      </c>
      <c r="H58" s="44" t="b">
        <v>1</v>
      </c>
      <c r="I58" s="45">
        <v>0.3333333333333333</v>
      </c>
      <c r="J58" s="46" t="s">
        <v>84</v>
      </c>
      <c r="K58" s="46"/>
      <c r="L58" s="46"/>
      <c r="M58" s="46" t="s">
        <v>288</v>
      </c>
      <c r="N58" s="46"/>
      <c r="O58" s="45" t="s">
        <v>415</v>
      </c>
      <c r="P58" s="45" t="s">
        <v>415</v>
      </c>
      <c r="Q58" s="47" t="s">
        <v>366</v>
      </c>
    </row>
    <row r="59">
      <c r="A59" s="36" t="s">
        <v>255</v>
      </c>
      <c r="B59" s="36" t="s">
        <v>256</v>
      </c>
      <c r="C59" s="48"/>
      <c r="D59" s="44" t="b">
        <v>1</v>
      </c>
      <c r="E59" s="44" t="s">
        <v>278</v>
      </c>
      <c r="F59" s="44" t="s">
        <v>278</v>
      </c>
      <c r="G59" s="44" t="b">
        <v>1</v>
      </c>
      <c r="H59" s="44" t="b">
        <v>1</v>
      </c>
      <c r="I59" s="45">
        <v>1.0</v>
      </c>
      <c r="J59" s="46"/>
      <c r="K59" s="46"/>
      <c r="L59" s="46"/>
      <c r="M59" s="46" t="s">
        <v>285</v>
      </c>
      <c r="N59" s="46"/>
      <c r="O59" s="45" t="s">
        <v>416</v>
      </c>
      <c r="P59" s="45" t="s">
        <v>416</v>
      </c>
      <c r="Q59" s="47" t="b">
        <v>1</v>
      </c>
    </row>
    <row r="60">
      <c r="A60" s="36" t="s">
        <v>207</v>
      </c>
      <c r="B60" s="36" t="s">
        <v>208</v>
      </c>
      <c r="C60" s="7"/>
      <c r="D60" s="44" t="b">
        <v>0</v>
      </c>
      <c r="E60" s="44" t="s">
        <v>278</v>
      </c>
      <c r="F60" s="44" t="s">
        <v>278</v>
      </c>
      <c r="G60" s="44" t="b">
        <v>0</v>
      </c>
      <c r="H60" s="44" t="b">
        <v>0</v>
      </c>
      <c r="I60" s="45">
        <v>1.0</v>
      </c>
      <c r="J60" s="46"/>
      <c r="K60" s="46"/>
      <c r="L60" s="46"/>
      <c r="M60" s="46"/>
      <c r="N60" s="46"/>
      <c r="O60" s="45" t="s">
        <v>392</v>
      </c>
      <c r="P60" s="45" t="s">
        <v>392</v>
      </c>
      <c r="Q60" s="47" t="b">
        <v>0</v>
      </c>
    </row>
    <row r="61">
      <c r="A61" s="36" t="s">
        <v>190</v>
      </c>
      <c r="B61" s="36" t="s">
        <v>191</v>
      </c>
      <c r="C61" s="48"/>
      <c r="D61" s="44" t="b">
        <v>1</v>
      </c>
      <c r="E61" s="44" t="s">
        <v>278</v>
      </c>
      <c r="F61" s="44" t="s">
        <v>278</v>
      </c>
      <c r="G61" s="44" t="b">
        <v>1</v>
      </c>
      <c r="H61" s="44" t="b">
        <v>1</v>
      </c>
      <c r="I61" s="45">
        <v>1.0</v>
      </c>
      <c r="J61" s="46"/>
      <c r="K61" s="46"/>
      <c r="L61" s="46"/>
      <c r="M61" s="46"/>
      <c r="N61" s="46"/>
      <c r="O61" s="45" t="s">
        <v>392</v>
      </c>
      <c r="P61" s="45" t="s">
        <v>392</v>
      </c>
      <c r="Q61" s="47" t="b">
        <v>1</v>
      </c>
    </row>
    <row r="62">
      <c r="A62" s="36" t="s">
        <v>269</v>
      </c>
      <c r="B62" s="36" t="s">
        <v>270</v>
      </c>
      <c r="C62" s="48"/>
      <c r="D62" s="44" t="b">
        <v>0</v>
      </c>
      <c r="E62" s="44" t="s">
        <v>278</v>
      </c>
      <c r="F62" s="44" t="s">
        <v>278</v>
      </c>
      <c r="G62" s="44" t="b">
        <v>1</v>
      </c>
      <c r="H62" s="44" t="b">
        <v>1</v>
      </c>
      <c r="I62" s="45">
        <v>0.3333333333333333</v>
      </c>
      <c r="J62" s="46"/>
      <c r="K62" s="46"/>
      <c r="L62" s="46"/>
      <c r="M62" s="46"/>
      <c r="N62" s="46"/>
      <c r="O62" s="45" t="s">
        <v>392</v>
      </c>
      <c r="P62" s="45" t="s">
        <v>392</v>
      </c>
      <c r="Q62" s="47" t="s">
        <v>366</v>
      </c>
    </row>
    <row r="63">
      <c r="A63" s="36" t="s">
        <v>239</v>
      </c>
      <c r="B63" s="36" t="s">
        <v>240</v>
      </c>
      <c r="C63" s="48"/>
      <c r="D63" s="44" t="b">
        <v>1</v>
      </c>
      <c r="E63" s="44" t="s">
        <v>278</v>
      </c>
      <c r="F63" s="44" t="s">
        <v>278</v>
      </c>
      <c r="G63" s="44" t="b">
        <v>1</v>
      </c>
      <c r="H63" s="44" t="b">
        <v>1</v>
      </c>
      <c r="I63" s="45">
        <v>1.0</v>
      </c>
      <c r="J63" s="46"/>
      <c r="K63" s="46"/>
      <c r="L63" s="46"/>
      <c r="M63" s="46"/>
      <c r="N63" s="46"/>
      <c r="O63" s="45" t="s">
        <v>392</v>
      </c>
      <c r="P63" s="45" t="s">
        <v>392</v>
      </c>
      <c r="Q63" s="47" t="b">
        <v>1</v>
      </c>
    </row>
    <row r="64">
      <c r="A64" s="36" t="s">
        <v>166</v>
      </c>
      <c r="B64" s="36" t="s">
        <v>167</v>
      </c>
      <c r="C64" s="44"/>
      <c r="D64" s="44" t="b">
        <v>1</v>
      </c>
      <c r="E64" s="44" t="s">
        <v>278</v>
      </c>
      <c r="F64" s="44" t="s">
        <v>278</v>
      </c>
      <c r="G64" s="44" t="b">
        <v>1</v>
      </c>
      <c r="H64" s="44" t="b">
        <v>1</v>
      </c>
      <c r="I64" s="45">
        <v>1.0</v>
      </c>
      <c r="J64" s="46"/>
      <c r="K64" s="46"/>
      <c r="L64" s="46"/>
      <c r="M64" s="46"/>
      <c r="N64" s="46"/>
      <c r="O64" s="45" t="s">
        <v>392</v>
      </c>
      <c r="P64" s="45" t="s">
        <v>392</v>
      </c>
      <c r="Q64" s="47" t="b">
        <v>1</v>
      </c>
    </row>
    <row r="65">
      <c r="A65" s="36" t="s">
        <v>76</v>
      </c>
      <c r="B65" s="36" t="s">
        <v>77</v>
      </c>
      <c r="C65" s="7"/>
      <c r="D65" s="44" t="b">
        <v>1</v>
      </c>
      <c r="E65" s="44" t="s">
        <v>278</v>
      </c>
      <c r="F65" s="44" t="s">
        <v>278</v>
      </c>
      <c r="G65" s="44" t="b">
        <v>1</v>
      </c>
      <c r="H65" s="44" t="b">
        <v>1</v>
      </c>
      <c r="I65" s="45">
        <v>1.0</v>
      </c>
      <c r="J65" s="46"/>
      <c r="K65" s="46"/>
      <c r="L65" s="46"/>
      <c r="M65" s="46"/>
      <c r="N65" s="46"/>
      <c r="O65" s="45" t="s">
        <v>392</v>
      </c>
      <c r="P65" s="45" t="s">
        <v>392</v>
      </c>
      <c r="Q65" s="47" t="b">
        <v>1</v>
      </c>
    </row>
    <row r="66">
      <c r="A66" s="36" t="s">
        <v>111</v>
      </c>
      <c r="B66" s="36" t="s">
        <v>112</v>
      </c>
      <c r="C66" s="49"/>
      <c r="D66" s="44" t="b">
        <v>1</v>
      </c>
      <c r="E66" s="44" t="s">
        <v>278</v>
      </c>
      <c r="F66" s="44" t="s">
        <v>278</v>
      </c>
      <c r="G66" s="44" t="b">
        <v>1</v>
      </c>
      <c r="H66" s="44" t="b">
        <v>1</v>
      </c>
      <c r="I66" s="45">
        <v>1.0</v>
      </c>
      <c r="J66" s="46"/>
      <c r="K66" s="46"/>
      <c r="L66" s="46"/>
      <c r="M66" s="46"/>
      <c r="N66" s="46"/>
      <c r="O66" s="45" t="s">
        <v>392</v>
      </c>
      <c r="P66" s="45" t="s">
        <v>392</v>
      </c>
      <c r="Q66" s="47" t="b">
        <v>1</v>
      </c>
    </row>
    <row r="67">
      <c r="A67" s="36" t="s">
        <v>156</v>
      </c>
      <c r="B67" s="36" t="s">
        <v>157</v>
      </c>
      <c r="C67" s="48"/>
      <c r="D67" s="44" t="b">
        <v>1</v>
      </c>
      <c r="E67" s="44" t="s">
        <v>278</v>
      </c>
      <c r="F67" s="44" t="s">
        <v>278</v>
      </c>
      <c r="G67" s="44" t="b">
        <v>1</v>
      </c>
      <c r="H67" s="44" t="b">
        <v>1</v>
      </c>
      <c r="I67" s="45">
        <v>1.0</v>
      </c>
      <c r="J67" s="46"/>
      <c r="K67" s="46"/>
      <c r="L67" s="46"/>
      <c r="M67" s="46"/>
      <c r="N67" s="46"/>
      <c r="O67" s="45" t="s">
        <v>392</v>
      </c>
      <c r="P67" s="45" t="s">
        <v>392</v>
      </c>
      <c r="Q67" s="47" t="b">
        <v>1</v>
      </c>
    </row>
    <row r="68">
      <c r="A68" s="36" t="s">
        <v>162</v>
      </c>
      <c r="B68" s="36" t="s">
        <v>163</v>
      </c>
      <c r="C68" s="7"/>
      <c r="D68" s="44" t="b">
        <v>0</v>
      </c>
      <c r="E68" s="44" t="s">
        <v>278</v>
      </c>
      <c r="F68" s="44" t="s">
        <v>278</v>
      </c>
      <c r="G68" s="44" t="b">
        <v>0</v>
      </c>
      <c r="H68" s="44" t="b">
        <v>0</v>
      </c>
      <c r="I68" s="45">
        <v>1.0</v>
      </c>
      <c r="J68" s="46"/>
      <c r="K68" s="46"/>
      <c r="L68" s="46"/>
      <c r="M68" s="46"/>
      <c r="N68" s="46" t="s">
        <v>297</v>
      </c>
      <c r="O68" s="45" t="s">
        <v>417</v>
      </c>
      <c r="P68" s="45" t="s">
        <v>417</v>
      </c>
      <c r="Q68" s="47" t="b">
        <v>0</v>
      </c>
    </row>
    <row r="69">
      <c r="A69" s="36" t="s">
        <v>130</v>
      </c>
      <c r="B69" s="36" t="s">
        <v>131</v>
      </c>
      <c r="C69" s="49" t="s">
        <v>399</v>
      </c>
      <c r="D69" s="44" t="b">
        <v>1</v>
      </c>
      <c r="E69" s="44" t="s">
        <v>278</v>
      </c>
      <c r="F69" s="44" t="s">
        <v>278</v>
      </c>
      <c r="G69" s="44" t="b">
        <v>0</v>
      </c>
      <c r="H69" s="44" t="b">
        <v>0</v>
      </c>
      <c r="I69" s="45">
        <v>0.3333333333333333</v>
      </c>
      <c r="J69" s="46" t="s">
        <v>132</v>
      </c>
      <c r="K69" s="46"/>
      <c r="L69" s="46"/>
      <c r="M69" s="46"/>
      <c r="N69" s="46"/>
      <c r="O69" s="45" t="s">
        <v>418</v>
      </c>
      <c r="P69" s="45" t="s">
        <v>418</v>
      </c>
      <c r="Q69" s="47" t="b">
        <v>0</v>
      </c>
      <c r="R69" s="5" t="s">
        <v>401</v>
      </c>
    </row>
    <row r="70">
      <c r="A70" s="36" t="s">
        <v>188</v>
      </c>
      <c r="B70" s="36" t="s">
        <v>189</v>
      </c>
      <c r="C70" s="7"/>
      <c r="D70" s="44" t="b">
        <v>1</v>
      </c>
      <c r="E70" s="44" t="s">
        <v>278</v>
      </c>
      <c r="F70" s="44" t="s">
        <v>278</v>
      </c>
      <c r="G70" s="44" t="b">
        <v>1</v>
      </c>
      <c r="H70" s="44" t="b">
        <v>1</v>
      </c>
      <c r="I70" s="45">
        <v>1.0</v>
      </c>
      <c r="J70" s="46"/>
      <c r="K70" s="46"/>
      <c r="L70" s="46"/>
      <c r="M70" s="46"/>
      <c r="N70" s="46"/>
      <c r="O70" s="45" t="s">
        <v>392</v>
      </c>
      <c r="P70" s="45" t="s">
        <v>392</v>
      </c>
      <c r="Q70" s="47" t="b">
        <v>1</v>
      </c>
    </row>
    <row r="71">
      <c r="A71" s="36" t="s">
        <v>247</v>
      </c>
      <c r="B71" s="36" t="s">
        <v>248</v>
      </c>
      <c r="C71" s="48"/>
      <c r="D71" s="44" t="b">
        <v>1</v>
      </c>
      <c r="E71" s="44" t="s">
        <v>278</v>
      </c>
      <c r="F71" s="44" t="s">
        <v>278</v>
      </c>
      <c r="G71" s="44" t="b">
        <v>1</v>
      </c>
      <c r="H71" s="44" t="b">
        <v>1</v>
      </c>
      <c r="I71" s="45">
        <v>1.0</v>
      </c>
      <c r="J71" s="46"/>
      <c r="K71" s="46"/>
      <c r="L71" s="46"/>
      <c r="M71" s="46"/>
      <c r="N71" s="46"/>
      <c r="O71" s="45" t="s">
        <v>392</v>
      </c>
      <c r="P71" s="45" t="s">
        <v>392</v>
      </c>
      <c r="Q71" s="47" t="b">
        <v>1</v>
      </c>
    </row>
    <row r="72">
      <c r="A72" s="36" t="s">
        <v>101</v>
      </c>
      <c r="B72" s="36" t="s">
        <v>102</v>
      </c>
      <c r="C72" s="49"/>
      <c r="D72" s="44" t="b">
        <v>1</v>
      </c>
      <c r="E72" s="44" t="s">
        <v>278</v>
      </c>
      <c r="F72" s="44" t="s">
        <v>278</v>
      </c>
      <c r="G72" s="44" t="b">
        <v>1</v>
      </c>
      <c r="H72" s="44" t="b">
        <v>1</v>
      </c>
      <c r="I72" s="45">
        <v>1.0</v>
      </c>
      <c r="J72" s="46" t="s">
        <v>103</v>
      </c>
      <c r="K72" s="46"/>
      <c r="L72" s="46"/>
      <c r="M72" s="46" t="s">
        <v>292</v>
      </c>
      <c r="N72" s="46"/>
      <c r="O72" s="45" t="s">
        <v>419</v>
      </c>
      <c r="P72" s="45" t="s">
        <v>419</v>
      </c>
      <c r="Q72" s="47" t="b">
        <v>1</v>
      </c>
    </row>
    <row r="73">
      <c r="A73" s="36" t="s">
        <v>78</v>
      </c>
      <c r="B73" s="36" t="s">
        <v>79</v>
      </c>
      <c r="C73" s="48"/>
      <c r="D73" s="44" t="b">
        <v>1</v>
      </c>
      <c r="E73" s="44" t="s">
        <v>278</v>
      </c>
      <c r="F73" s="44" t="s">
        <v>278</v>
      </c>
      <c r="G73" s="44" t="b">
        <v>1</v>
      </c>
      <c r="H73" s="44" t="b">
        <v>1</v>
      </c>
      <c r="I73" s="45">
        <v>1.0</v>
      </c>
      <c r="J73" s="46"/>
      <c r="K73" s="46"/>
      <c r="L73" s="46"/>
      <c r="M73" s="46"/>
      <c r="N73" s="46"/>
      <c r="O73" s="45" t="s">
        <v>392</v>
      </c>
      <c r="P73" s="45" t="s">
        <v>392</v>
      </c>
      <c r="Q73" s="47" t="b">
        <v>1</v>
      </c>
    </row>
    <row r="74">
      <c r="A74" s="36" t="s">
        <v>118</v>
      </c>
      <c r="B74" s="36" t="s">
        <v>119</v>
      </c>
      <c r="C74" s="49" t="s">
        <v>405</v>
      </c>
      <c r="D74" s="44" t="b">
        <v>1</v>
      </c>
      <c r="E74" s="44" t="s">
        <v>278</v>
      </c>
      <c r="F74" s="44" t="s">
        <v>278</v>
      </c>
      <c r="G74" s="44" t="b">
        <v>0</v>
      </c>
      <c r="H74" s="44" t="b">
        <v>1</v>
      </c>
      <c r="I74" s="45">
        <v>0.3333333333333333</v>
      </c>
      <c r="J74" s="46" t="s">
        <v>117</v>
      </c>
      <c r="K74" s="46"/>
      <c r="L74" s="46"/>
      <c r="M74" s="46"/>
      <c r="N74" s="46"/>
      <c r="O74" s="45" t="s">
        <v>420</v>
      </c>
      <c r="P74" s="45" t="s">
        <v>420</v>
      </c>
      <c r="Q74" s="47" t="s">
        <v>366</v>
      </c>
    </row>
    <row r="75">
      <c r="A75" s="36" t="s">
        <v>273</v>
      </c>
      <c r="B75" s="36" t="s">
        <v>274</v>
      </c>
      <c r="C75" s="49"/>
      <c r="D75" s="44" t="b">
        <v>0</v>
      </c>
      <c r="E75" s="44" t="s">
        <v>278</v>
      </c>
      <c r="F75" s="44" t="s">
        <v>278</v>
      </c>
      <c r="G75" s="44" t="b">
        <v>0</v>
      </c>
      <c r="H75" s="44" t="b">
        <v>1</v>
      </c>
      <c r="I75" s="45">
        <v>0.3333333333333333</v>
      </c>
      <c r="J75" s="46" t="s">
        <v>275</v>
      </c>
      <c r="K75" s="46"/>
      <c r="L75" s="46"/>
      <c r="M75" s="46"/>
      <c r="N75" s="46"/>
      <c r="O75" s="45" t="s">
        <v>421</v>
      </c>
      <c r="P75" s="45" t="s">
        <v>421</v>
      </c>
      <c r="Q75" s="47" t="s">
        <v>366</v>
      </c>
    </row>
    <row r="76">
      <c r="A76" s="36" t="s">
        <v>152</v>
      </c>
      <c r="B76" s="36" t="s">
        <v>153</v>
      </c>
      <c r="C76" s="49" t="s">
        <v>405</v>
      </c>
      <c r="D76" s="44" t="b">
        <v>1</v>
      </c>
      <c r="E76" s="44" t="s">
        <v>278</v>
      </c>
      <c r="F76" s="44" t="s">
        <v>278</v>
      </c>
      <c r="G76" s="44" t="b">
        <v>0</v>
      </c>
      <c r="H76" s="44" t="b">
        <v>1</v>
      </c>
      <c r="I76" s="45">
        <v>0.3333333333333333</v>
      </c>
      <c r="J76" s="46" t="s">
        <v>117</v>
      </c>
      <c r="K76" s="46"/>
      <c r="L76" s="46"/>
      <c r="M76" s="46"/>
      <c r="N76" s="46"/>
      <c r="O76" s="45" t="s">
        <v>420</v>
      </c>
      <c r="P76" s="45" t="s">
        <v>420</v>
      </c>
      <c r="Q76" s="47" t="s">
        <v>366</v>
      </c>
    </row>
    <row r="77">
      <c r="A77" s="36" t="s">
        <v>122</v>
      </c>
      <c r="B77" s="36" t="s">
        <v>123</v>
      </c>
      <c r="C77" s="49" t="s">
        <v>405</v>
      </c>
      <c r="D77" s="44" t="b">
        <v>1</v>
      </c>
      <c r="E77" s="44" t="s">
        <v>278</v>
      </c>
      <c r="F77" s="44" t="s">
        <v>278</v>
      </c>
      <c r="G77" s="44" t="b">
        <v>0</v>
      </c>
      <c r="H77" s="44" t="b">
        <v>1</v>
      </c>
      <c r="I77" s="45">
        <v>0.3333333333333333</v>
      </c>
      <c r="J77" s="46" t="s">
        <v>117</v>
      </c>
      <c r="K77" s="46"/>
      <c r="L77" s="46"/>
      <c r="M77" s="46"/>
      <c r="N77" s="46"/>
      <c r="O77" s="45" t="s">
        <v>420</v>
      </c>
      <c r="P77" s="45" t="s">
        <v>420</v>
      </c>
      <c r="Q77" s="47" t="s">
        <v>366</v>
      </c>
    </row>
    <row r="78">
      <c r="A78" s="36" t="s">
        <v>251</v>
      </c>
      <c r="B78" s="36" t="s">
        <v>252</v>
      </c>
      <c r="C78" s="49"/>
      <c r="D78" s="44" t="b">
        <v>0</v>
      </c>
      <c r="E78" s="44" t="s">
        <v>278</v>
      </c>
      <c r="F78" s="44" t="s">
        <v>278</v>
      </c>
      <c r="G78" s="44" t="b">
        <v>0</v>
      </c>
      <c r="H78" s="44" t="b">
        <v>0</v>
      </c>
      <c r="I78" s="45">
        <v>1.0</v>
      </c>
      <c r="J78" s="46"/>
      <c r="K78" s="46"/>
      <c r="L78" s="46"/>
      <c r="M78" s="46"/>
      <c r="N78" s="46"/>
      <c r="O78" s="45" t="s">
        <v>392</v>
      </c>
      <c r="P78" s="45" t="s">
        <v>392</v>
      </c>
      <c r="Q78" s="47" t="b">
        <v>0</v>
      </c>
    </row>
    <row r="79">
      <c r="A79" s="36" t="s">
        <v>106</v>
      </c>
      <c r="B79" s="36" t="s">
        <v>107</v>
      </c>
      <c r="C79" s="48"/>
      <c r="D79" s="44" t="b">
        <v>1</v>
      </c>
      <c r="E79" s="44" t="s">
        <v>278</v>
      </c>
      <c r="F79" s="44" t="s">
        <v>278</v>
      </c>
      <c r="G79" s="44" t="b">
        <v>0</v>
      </c>
      <c r="H79" s="44" t="b">
        <v>1</v>
      </c>
      <c r="I79" s="45">
        <v>0.3333333333333333</v>
      </c>
      <c r="J79" s="46"/>
      <c r="K79" s="46"/>
      <c r="L79" s="46"/>
      <c r="M79" s="46"/>
      <c r="N79" s="46"/>
      <c r="O79" s="45" t="s">
        <v>392</v>
      </c>
      <c r="P79" s="45" t="s">
        <v>392</v>
      </c>
      <c r="Q79" s="47" t="s">
        <v>366</v>
      </c>
    </row>
    <row r="80">
      <c r="A80" s="36" t="s">
        <v>97</v>
      </c>
      <c r="B80" s="36" t="s">
        <v>98</v>
      </c>
      <c r="C80" s="48"/>
      <c r="D80" s="44" t="b">
        <v>1</v>
      </c>
      <c r="E80" s="44" t="s">
        <v>278</v>
      </c>
      <c r="F80" s="44" t="s">
        <v>278</v>
      </c>
      <c r="G80" s="44" t="b">
        <v>1</v>
      </c>
      <c r="H80" s="44" t="b">
        <v>1</v>
      </c>
      <c r="I80" s="45">
        <v>1.0</v>
      </c>
      <c r="J80" s="46"/>
      <c r="K80" s="46"/>
      <c r="L80" s="46"/>
      <c r="M80" s="46"/>
      <c r="N80" s="46"/>
      <c r="O80" s="45" t="s">
        <v>392</v>
      </c>
      <c r="P80" s="45" t="s">
        <v>392</v>
      </c>
      <c r="Q80" s="47" t="b">
        <v>1</v>
      </c>
    </row>
    <row r="81">
      <c r="A81" s="36" t="s">
        <v>135</v>
      </c>
      <c r="B81" s="36" t="s">
        <v>136</v>
      </c>
      <c r="C81" s="7"/>
      <c r="D81" s="44" t="b">
        <v>0</v>
      </c>
      <c r="E81" s="44" t="s">
        <v>278</v>
      </c>
      <c r="F81" s="44" t="s">
        <v>278</v>
      </c>
      <c r="G81" s="44" t="b">
        <v>0</v>
      </c>
      <c r="H81" s="44" t="b">
        <v>0</v>
      </c>
      <c r="I81" s="45">
        <v>1.0</v>
      </c>
      <c r="J81" s="46"/>
      <c r="K81" s="46"/>
      <c r="L81" s="46"/>
      <c r="M81" s="46"/>
      <c r="N81" s="46"/>
      <c r="O81" s="45" t="s">
        <v>392</v>
      </c>
      <c r="P81" s="45" t="s">
        <v>392</v>
      </c>
      <c r="Q81" s="47" t="b">
        <v>0</v>
      </c>
    </row>
    <row r="82">
      <c r="A82" s="36" t="s">
        <v>241</v>
      </c>
      <c r="B82" s="36" t="s">
        <v>242</v>
      </c>
      <c r="C82" s="49" t="s">
        <v>399</v>
      </c>
      <c r="D82" s="44" t="b">
        <v>1</v>
      </c>
      <c r="E82" s="44" t="s">
        <v>278</v>
      </c>
      <c r="F82" s="44" t="s">
        <v>278</v>
      </c>
      <c r="G82" s="44" t="b">
        <v>1</v>
      </c>
      <c r="H82" s="44" t="b">
        <v>0</v>
      </c>
      <c r="I82" s="45">
        <v>0.3333333333333333</v>
      </c>
      <c r="J82" s="46" t="s">
        <v>132</v>
      </c>
      <c r="K82" s="46"/>
      <c r="L82" s="46"/>
      <c r="M82" s="46"/>
      <c r="N82" s="46" t="s">
        <v>301</v>
      </c>
      <c r="O82" s="45" t="s">
        <v>422</v>
      </c>
      <c r="P82" s="45" t="s">
        <v>422</v>
      </c>
      <c r="Q82" s="47" t="b">
        <v>1</v>
      </c>
      <c r="R82" s="5" t="s">
        <v>423</v>
      </c>
    </row>
    <row r="83">
      <c r="A83" s="36" t="s">
        <v>203</v>
      </c>
      <c r="B83" s="36" t="s">
        <v>204</v>
      </c>
      <c r="C83" s="48"/>
      <c r="D83" s="44" t="b">
        <v>0</v>
      </c>
      <c r="E83" s="44" t="s">
        <v>278</v>
      </c>
      <c r="F83" s="44" t="s">
        <v>278</v>
      </c>
      <c r="G83" s="44" t="b">
        <v>0</v>
      </c>
      <c r="H83" s="44" t="b">
        <v>0</v>
      </c>
      <c r="I83" s="45">
        <v>1.0</v>
      </c>
      <c r="J83" s="46"/>
      <c r="K83" s="46"/>
      <c r="L83" s="46"/>
      <c r="M83" s="46"/>
      <c r="N83" s="46"/>
      <c r="O83" s="45" t="s">
        <v>392</v>
      </c>
      <c r="P83" s="45" t="s">
        <v>392</v>
      </c>
      <c r="Q83" s="47" t="b">
        <v>0</v>
      </c>
    </row>
    <row r="84">
      <c r="A84" s="36" t="s">
        <v>186</v>
      </c>
      <c r="B84" s="36" t="s">
        <v>187</v>
      </c>
      <c r="C84" s="49"/>
      <c r="D84" s="44" t="b">
        <v>1</v>
      </c>
      <c r="E84" s="44" t="s">
        <v>278</v>
      </c>
      <c r="F84" s="44" t="s">
        <v>278</v>
      </c>
      <c r="G84" s="44" t="b">
        <v>1</v>
      </c>
      <c r="H84" s="44" t="b">
        <v>1</v>
      </c>
      <c r="I84" s="45">
        <v>1.0</v>
      </c>
      <c r="J84" s="46"/>
      <c r="K84" s="46"/>
      <c r="L84" s="46"/>
      <c r="M84" s="46"/>
      <c r="N84" s="46"/>
      <c r="O84" s="45" t="s">
        <v>392</v>
      </c>
      <c r="P84" s="45" t="s">
        <v>392</v>
      </c>
      <c r="Q84" s="47" t="b">
        <v>1</v>
      </c>
    </row>
    <row r="85">
      <c r="A85" s="36" t="s">
        <v>209</v>
      </c>
      <c r="B85" s="36" t="s">
        <v>210</v>
      </c>
      <c r="C85" s="49"/>
      <c r="D85" s="44" t="b">
        <v>0</v>
      </c>
      <c r="E85" s="44" t="s">
        <v>278</v>
      </c>
      <c r="F85" s="44" t="s">
        <v>278</v>
      </c>
      <c r="G85" s="44" t="b">
        <v>0</v>
      </c>
      <c r="H85" s="44" t="b">
        <v>0</v>
      </c>
      <c r="I85" s="45">
        <v>1.0</v>
      </c>
      <c r="J85" s="46"/>
      <c r="K85" s="46"/>
      <c r="L85" s="46"/>
      <c r="M85" s="46"/>
      <c r="N85" s="46"/>
      <c r="O85" s="45" t="s">
        <v>392</v>
      </c>
      <c r="P85" s="45" t="s">
        <v>392</v>
      </c>
      <c r="Q85" s="47" t="b">
        <v>0</v>
      </c>
    </row>
    <row r="86">
      <c r="A86" s="36" t="s">
        <v>128</v>
      </c>
      <c r="B86" s="36" t="s">
        <v>129</v>
      </c>
      <c r="C86" s="7"/>
      <c r="D86" s="44" t="b">
        <v>1</v>
      </c>
      <c r="E86" s="44" t="s">
        <v>278</v>
      </c>
      <c r="F86" s="44" t="s">
        <v>278</v>
      </c>
      <c r="G86" s="44" t="b">
        <v>1</v>
      </c>
      <c r="H86" s="44" t="b">
        <v>1</v>
      </c>
      <c r="I86" s="45">
        <v>1.0</v>
      </c>
      <c r="J86" s="46" t="s">
        <v>117</v>
      </c>
      <c r="K86" s="46"/>
      <c r="L86" s="46"/>
      <c r="M86" s="46"/>
      <c r="N86" s="46"/>
      <c r="O86" s="45" t="s">
        <v>420</v>
      </c>
      <c r="P86" s="45" t="s">
        <v>420</v>
      </c>
      <c r="Q86" s="47" t="b">
        <v>1</v>
      </c>
    </row>
    <row r="87">
      <c r="A87" s="36" t="s">
        <v>141</v>
      </c>
      <c r="B87" s="36" t="s">
        <v>142</v>
      </c>
      <c r="C87" s="7"/>
      <c r="D87" s="44" t="b">
        <v>0</v>
      </c>
      <c r="E87" s="44" t="s">
        <v>278</v>
      </c>
      <c r="F87" s="44" t="s">
        <v>278</v>
      </c>
      <c r="G87" s="44" t="b">
        <v>0</v>
      </c>
      <c r="H87" s="44" t="b">
        <v>0</v>
      </c>
      <c r="I87" s="45">
        <v>1.0</v>
      </c>
      <c r="J87" s="46"/>
      <c r="K87" s="46"/>
      <c r="L87" s="46"/>
      <c r="M87" s="46"/>
      <c r="N87" s="46" t="s">
        <v>294</v>
      </c>
      <c r="O87" s="45" t="s">
        <v>424</v>
      </c>
      <c r="P87" s="45" t="s">
        <v>424</v>
      </c>
      <c r="Q87" s="47" t="b">
        <v>0</v>
      </c>
    </row>
    <row r="88">
      <c r="A88" s="36" t="s">
        <v>95</v>
      </c>
      <c r="B88" s="36" t="s">
        <v>96</v>
      </c>
      <c r="C88" s="48"/>
      <c r="D88" s="44" t="b">
        <v>0</v>
      </c>
      <c r="E88" s="44" t="s">
        <v>278</v>
      </c>
      <c r="F88" s="44" t="s">
        <v>278</v>
      </c>
      <c r="G88" s="44" t="b">
        <v>0</v>
      </c>
      <c r="H88" s="44" t="b">
        <v>0</v>
      </c>
      <c r="I88" s="45">
        <v>1.0</v>
      </c>
      <c r="J88" s="46"/>
      <c r="K88" s="46"/>
      <c r="L88" s="46"/>
      <c r="M88" s="46"/>
      <c r="N88" s="46"/>
      <c r="O88" s="45" t="s">
        <v>392</v>
      </c>
      <c r="P88" s="45" t="s">
        <v>392</v>
      </c>
      <c r="Q88" s="47" t="b">
        <v>0</v>
      </c>
    </row>
    <row r="89">
      <c r="A89" s="36" t="s">
        <v>80</v>
      </c>
      <c r="B89" s="36" t="s">
        <v>81</v>
      </c>
      <c r="C89" s="48"/>
      <c r="D89" s="44" t="b">
        <v>0</v>
      </c>
      <c r="E89" s="44" t="s">
        <v>278</v>
      </c>
      <c r="F89" s="44" t="s">
        <v>278</v>
      </c>
      <c r="G89" s="44" t="b">
        <v>1</v>
      </c>
      <c r="H89" s="44" t="b">
        <v>1</v>
      </c>
      <c r="I89" s="45">
        <v>0.3333333333333333</v>
      </c>
      <c r="J89" s="46"/>
      <c r="K89" s="46"/>
      <c r="L89" s="46"/>
      <c r="M89" s="46" t="s">
        <v>290</v>
      </c>
      <c r="N89" s="46"/>
      <c r="O89" s="45" t="s">
        <v>425</v>
      </c>
      <c r="P89" s="45" t="s">
        <v>425</v>
      </c>
      <c r="Q89" s="47" t="s">
        <v>366</v>
      </c>
    </row>
    <row r="90">
      <c r="A90" s="36" t="s">
        <v>180</v>
      </c>
      <c r="B90" s="36" t="s">
        <v>181</v>
      </c>
      <c r="C90" s="7" t="s">
        <v>408</v>
      </c>
      <c r="D90" s="44" t="b">
        <v>1</v>
      </c>
      <c r="E90" s="44" t="s">
        <v>278</v>
      </c>
      <c r="F90" s="44" t="s">
        <v>278</v>
      </c>
      <c r="G90" s="44" t="b">
        <v>0</v>
      </c>
      <c r="H90" s="44" t="b">
        <v>1</v>
      </c>
      <c r="I90" s="45">
        <v>0.3333333333333333</v>
      </c>
      <c r="J90" s="46"/>
      <c r="K90" s="46"/>
      <c r="L90" s="46"/>
      <c r="M90" s="46" t="s">
        <v>286</v>
      </c>
      <c r="N90" s="46"/>
      <c r="O90" s="45" t="s">
        <v>426</v>
      </c>
      <c r="P90" s="45" t="s">
        <v>426</v>
      </c>
      <c r="Q90" s="47" t="s">
        <v>366</v>
      </c>
    </row>
    <row r="91">
      <c r="A91" s="36" t="s">
        <v>91</v>
      </c>
      <c r="B91" s="36" t="s">
        <v>92</v>
      </c>
      <c r="C91" s="49"/>
      <c r="D91" s="44" t="b">
        <v>0</v>
      </c>
      <c r="E91" s="44" t="s">
        <v>278</v>
      </c>
      <c r="F91" s="44" t="s">
        <v>278</v>
      </c>
      <c r="G91" s="44" t="b">
        <v>0</v>
      </c>
      <c r="H91" s="44" t="b">
        <v>0</v>
      </c>
      <c r="I91" s="45">
        <v>1.0</v>
      </c>
      <c r="J91" s="46"/>
      <c r="K91" s="46"/>
      <c r="L91" s="46"/>
      <c r="M91" s="46"/>
      <c r="N91" s="46" t="s">
        <v>304</v>
      </c>
      <c r="O91" s="45" t="s">
        <v>427</v>
      </c>
      <c r="P91" s="45" t="s">
        <v>427</v>
      </c>
      <c r="Q91" s="47" t="b">
        <v>0</v>
      </c>
    </row>
    <row r="92">
      <c r="A92" s="36" t="s">
        <v>93</v>
      </c>
      <c r="B92" s="36" t="s">
        <v>94</v>
      </c>
      <c r="C92" s="44"/>
      <c r="D92" s="44" t="b">
        <v>0</v>
      </c>
      <c r="E92" s="44" t="s">
        <v>278</v>
      </c>
      <c r="F92" s="44" t="s">
        <v>278</v>
      </c>
      <c r="G92" s="44" t="b">
        <v>0</v>
      </c>
      <c r="H92" s="44" t="b">
        <v>0</v>
      </c>
      <c r="I92" s="45">
        <v>1.0</v>
      </c>
      <c r="J92" s="46"/>
      <c r="K92" s="46"/>
      <c r="L92" s="46"/>
      <c r="M92" s="46"/>
      <c r="N92" s="46" t="s">
        <v>299</v>
      </c>
      <c r="O92" s="45" t="s">
        <v>428</v>
      </c>
      <c r="P92" s="45" t="s">
        <v>428</v>
      </c>
      <c r="Q92" s="47" t="b">
        <v>0</v>
      </c>
    </row>
    <row r="93">
      <c r="A93" s="36" t="s">
        <v>154</v>
      </c>
      <c r="B93" s="36" t="s">
        <v>155</v>
      </c>
      <c r="C93" s="7"/>
      <c r="D93" s="44" t="b">
        <v>0</v>
      </c>
      <c r="E93" s="44" t="s">
        <v>278</v>
      </c>
      <c r="F93" s="44" t="s">
        <v>278</v>
      </c>
      <c r="G93" s="44" t="b">
        <v>0</v>
      </c>
      <c r="H93" s="44" t="b">
        <v>0</v>
      </c>
      <c r="I93" s="45">
        <v>1.0</v>
      </c>
      <c r="J93" s="46"/>
      <c r="K93" s="46"/>
      <c r="L93" s="46"/>
      <c r="M93" s="46"/>
      <c r="N93" s="46"/>
      <c r="O93" s="45" t="s">
        <v>392</v>
      </c>
      <c r="P93" s="45" t="s">
        <v>392</v>
      </c>
      <c r="Q93" s="47" t="b">
        <v>0</v>
      </c>
    </row>
    <row r="94">
      <c r="A94" s="36" t="s">
        <v>197</v>
      </c>
      <c r="B94" s="36" t="s">
        <v>198</v>
      </c>
      <c r="C94" s="44"/>
      <c r="D94" s="44" t="b">
        <v>0</v>
      </c>
      <c r="E94" s="44" t="s">
        <v>278</v>
      </c>
      <c r="F94" s="44" t="s">
        <v>278</v>
      </c>
      <c r="G94" s="44" t="b">
        <v>0</v>
      </c>
      <c r="H94" s="44" t="b">
        <v>0</v>
      </c>
      <c r="I94" s="45">
        <v>1.0</v>
      </c>
      <c r="J94" s="46"/>
      <c r="K94" s="46"/>
      <c r="L94" s="46"/>
      <c r="M94" s="46"/>
      <c r="N94" s="46"/>
      <c r="O94" s="45" t="s">
        <v>392</v>
      </c>
      <c r="P94" s="45" t="s">
        <v>392</v>
      </c>
      <c r="Q94" s="47" t="b">
        <v>0</v>
      </c>
    </row>
    <row r="95">
      <c r="A95" s="36" t="s">
        <v>150</v>
      </c>
      <c r="B95" s="36" t="s">
        <v>151</v>
      </c>
      <c r="C95" s="7"/>
      <c r="D95" s="44" t="b">
        <v>0</v>
      </c>
      <c r="E95" s="44" t="s">
        <v>278</v>
      </c>
      <c r="F95" s="44" t="s">
        <v>278</v>
      </c>
      <c r="G95" s="44" t="b">
        <v>0</v>
      </c>
      <c r="H95" s="44" t="b">
        <v>0</v>
      </c>
      <c r="I95" s="45">
        <v>1.0</v>
      </c>
      <c r="J95" s="46"/>
      <c r="K95" s="46"/>
      <c r="L95" s="46"/>
      <c r="M95" s="46"/>
      <c r="N95" s="46"/>
      <c r="O95" s="45" t="s">
        <v>392</v>
      </c>
      <c r="P95" s="45" t="s">
        <v>392</v>
      </c>
      <c r="Q95" s="47" t="b">
        <v>0</v>
      </c>
    </row>
    <row r="96">
      <c r="A96" s="36" t="s">
        <v>74</v>
      </c>
      <c r="B96" s="36" t="s">
        <v>75</v>
      </c>
      <c r="C96" s="49"/>
      <c r="D96" s="44" t="b">
        <v>1</v>
      </c>
      <c r="E96" s="44" t="s">
        <v>278</v>
      </c>
      <c r="F96" s="44" t="s">
        <v>278</v>
      </c>
      <c r="G96" s="44" t="b">
        <v>1</v>
      </c>
      <c r="H96" s="44" t="b">
        <v>1</v>
      </c>
      <c r="I96" s="45">
        <v>1.0</v>
      </c>
      <c r="J96" s="46"/>
      <c r="K96" s="46"/>
      <c r="L96" s="46"/>
      <c r="M96" s="46"/>
      <c r="N96" s="46"/>
      <c r="O96" s="45" t="s">
        <v>392</v>
      </c>
      <c r="P96" s="45" t="s">
        <v>392</v>
      </c>
      <c r="Q96" s="47" t="b">
        <v>1</v>
      </c>
    </row>
    <row r="97">
      <c r="A97" s="36" t="s">
        <v>174</v>
      </c>
      <c r="B97" s="36" t="s">
        <v>175</v>
      </c>
      <c r="C97" s="48"/>
      <c r="D97" s="44" t="b">
        <v>0</v>
      </c>
      <c r="E97" s="44" t="s">
        <v>278</v>
      </c>
      <c r="F97" s="44" t="s">
        <v>278</v>
      </c>
      <c r="G97" s="44" t="b">
        <v>0</v>
      </c>
      <c r="H97" s="44" t="b">
        <v>0</v>
      </c>
      <c r="I97" s="45">
        <v>1.0</v>
      </c>
      <c r="J97" s="46"/>
      <c r="K97" s="46"/>
      <c r="L97" s="46"/>
      <c r="M97" s="46"/>
      <c r="N97" s="46"/>
      <c r="O97" s="45" t="s">
        <v>392</v>
      </c>
      <c r="P97" s="45" t="s">
        <v>392</v>
      </c>
      <c r="Q97" s="47" t="b">
        <v>0</v>
      </c>
    </row>
    <row r="98">
      <c r="A98" s="36" t="s">
        <v>245</v>
      </c>
      <c r="B98" s="36" t="s">
        <v>246</v>
      </c>
      <c r="C98" s="49"/>
      <c r="D98" s="44" t="b">
        <v>0</v>
      </c>
      <c r="E98" s="44" t="s">
        <v>278</v>
      </c>
      <c r="F98" s="44" t="s">
        <v>278</v>
      </c>
      <c r="G98" s="44" t="b">
        <v>0</v>
      </c>
      <c r="H98" s="44" t="b">
        <v>0</v>
      </c>
      <c r="I98" s="45">
        <v>1.0</v>
      </c>
      <c r="J98" s="46"/>
      <c r="K98" s="46"/>
      <c r="L98" s="46"/>
      <c r="M98" s="46"/>
      <c r="N98" s="46" t="s">
        <v>293</v>
      </c>
      <c r="O98" s="45" t="s">
        <v>429</v>
      </c>
      <c r="P98" s="45" t="s">
        <v>429</v>
      </c>
      <c r="Q98" s="47" t="b">
        <v>0</v>
      </c>
    </row>
    <row r="99">
      <c r="A99" s="36" t="s">
        <v>276</v>
      </c>
      <c r="B99" s="36" t="s">
        <v>277</v>
      </c>
      <c r="C99" s="48"/>
      <c r="D99" s="44" t="b">
        <v>1</v>
      </c>
      <c r="E99" s="44" t="s">
        <v>278</v>
      </c>
      <c r="F99" s="44" t="s">
        <v>278</v>
      </c>
      <c r="G99" s="44" t="b">
        <v>0</v>
      </c>
      <c r="H99" s="44" t="b">
        <v>1</v>
      </c>
      <c r="I99" s="45">
        <v>0.3333333333333333</v>
      </c>
      <c r="J99" s="46"/>
      <c r="K99" s="46"/>
      <c r="L99" s="46"/>
      <c r="M99" s="46"/>
      <c r="N99" s="46"/>
      <c r="O99" s="45" t="s">
        <v>392</v>
      </c>
      <c r="P99" s="45" t="s">
        <v>392</v>
      </c>
      <c r="Q99" s="47" t="s">
        <v>366</v>
      </c>
    </row>
    <row r="100">
      <c r="A100" s="36" t="s">
        <v>139</v>
      </c>
      <c r="B100" s="36" t="s">
        <v>140</v>
      </c>
      <c r="C100" s="49" t="s">
        <v>405</v>
      </c>
      <c r="D100" s="44" t="b">
        <v>1</v>
      </c>
      <c r="E100" s="44" t="s">
        <v>278</v>
      </c>
      <c r="F100" s="44" t="s">
        <v>278</v>
      </c>
      <c r="G100" s="44" t="b">
        <v>0</v>
      </c>
      <c r="H100" s="44" t="b">
        <v>1</v>
      </c>
      <c r="I100" s="45">
        <v>0.3333333333333333</v>
      </c>
      <c r="J100" s="46" t="s">
        <v>117</v>
      </c>
      <c r="K100" s="46"/>
      <c r="L100" s="46"/>
      <c r="M100" s="46"/>
      <c r="N100" s="46"/>
      <c r="O100" s="45" t="s">
        <v>420</v>
      </c>
      <c r="P100" s="45" t="s">
        <v>420</v>
      </c>
      <c r="Q100" s="47" t="s">
        <v>366</v>
      </c>
    </row>
    <row r="101">
      <c r="A101" s="36" t="s">
        <v>182</v>
      </c>
      <c r="B101" s="36" t="s">
        <v>183</v>
      </c>
      <c r="C101" s="49"/>
      <c r="D101" s="44" t="b">
        <v>0</v>
      </c>
      <c r="E101" s="44" t="s">
        <v>278</v>
      </c>
      <c r="F101" s="44" t="s">
        <v>278</v>
      </c>
      <c r="G101" s="44" t="b">
        <v>1</v>
      </c>
      <c r="H101" s="44" t="b">
        <v>0</v>
      </c>
      <c r="I101" s="45">
        <v>0.3333333333333333</v>
      </c>
      <c r="J101" s="46"/>
      <c r="K101" s="46"/>
      <c r="L101" s="46"/>
      <c r="M101" s="46" t="s">
        <v>279</v>
      </c>
      <c r="N101" s="46"/>
      <c r="O101" s="45" t="s">
        <v>430</v>
      </c>
      <c r="P101" s="45" t="s">
        <v>430</v>
      </c>
      <c r="Q101" s="47" t="s">
        <v>366</v>
      </c>
    </row>
  </sheetData>
  <autoFilter ref="$A$1:$S$101"/>
  <conditionalFormatting sqref="C2:P101">
    <cfRule type="cellIs" dxfId="0" priority="1" operator="equal">
      <formula>"TRUE"</formula>
    </cfRule>
  </conditionalFormatting>
  <conditionalFormatting sqref="C2:P101">
    <cfRule type="beginsWith" dxfId="1" priority="2" operator="beginsWith" text="FALSE">
      <formula>LEFT((C2),LEN("FALSE"))=("FALSE")</formula>
    </cfRule>
  </conditionalFormatting>
  <conditionalFormatting sqref="C2:P101">
    <cfRule type="cellIs" dxfId="2" priority="3" operator="equal">
      <formula>"TO DO"</formula>
    </cfRule>
  </conditionalFormatting>
  <conditionalFormatting sqref="C2:P101">
    <cfRule type="cellIs" dxfId="3" priority="4" operator="equal">
      <formula>"SKIP"</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5" max="5" width="15.0"/>
    <col customWidth="1" min="6" max="6" width="26.38"/>
  </cols>
  <sheetData>
    <row r="1">
      <c r="A1" s="18" t="s">
        <v>431</v>
      </c>
      <c r="B1" s="18" t="s">
        <v>307</v>
      </c>
      <c r="C1" s="18" t="s">
        <v>308</v>
      </c>
      <c r="D1" s="18" t="s">
        <v>313</v>
      </c>
      <c r="E1" s="18" t="s">
        <v>432</v>
      </c>
      <c r="F1" s="18" t="s">
        <v>305</v>
      </c>
      <c r="G1" s="18" t="s">
        <v>433</v>
      </c>
    </row>
    <row r="2">
      <c r="A2" s="19" t="str">
        <f t="shared" ref="A2:A78" si="1">LEFT(MD5(B2), 7)</f>
        <v>e5a8de3</v>
      </c>
      <c r="B2" s="36" t="s">
        <v>179</v>
      </c>
      <c r="C2" s="5">
        <v>1.0</v>
      </c>
      <c r="D2" s="5" t="b">
        <v>0</v>
      </c>
      <c r="E2" s="36" t="s">
        <v>178</v>
      </c>
      <c r="F2" s="19" t="str">
        <f t="array" ref="F2">VLOOKUP(E2,{Source!B:B,Source!A:A},2,FALSE)</f>
        <v>10.18356/cc6ff508-en</v>
      </c>
    </row>
    <row r="3">
      <c r="A3" s="19" t="str">
        <f t="shared" si="1"/>
        <v>b8841e1</v>
      </c>
      <c r="B3" s="50" t="s">
        <v>434</v>
      </c>
      <c r="C3" s="5">
        <v>1.0</v>
      </c>
      <c r="D3" s="5" t="b">
        <v>0</v>
      </c>
      <c r="E3" s="36" t="s">
        <v>271</v>
      </c>
      <c r="F3" s="19" t="str">
        <f t="array" ref="F3">VLOOKUP(E3,{Source!B:B,Source!A:A},2,FALSE)</f>
        <v>10.18356/ff76cb89-en</v>
      </c>
      <c r="G3" s="5" t="s">
        <v>435</v>
      </c>
    </row>
    <row r="4">
      <c r="A4" s="19" t="str">
        <f t="shared" si="1"/>
        <v>d7796df</v>
      </c>
      <c r="B4" s="50" t="s">
        <v>436</v>
      </c>
      <c r="C4" s="5">
        <v>1.0</v>
      </c>
      <c r="D4" s="5" t="b">
        <v>0</v>
      </c>
      <c r="E4" s="36" t="s">
        <v>221</v>
      </c>
      <c r="F4" s="19" t="str">
        <f t="array" ref="F4">VLOOKUP(E4,{Source!B:B,Source!A:A},2,FALSE)</f>
        <v>10.18356/152d606d-en</v>
      </c>
      <c r="G4" s="5" t="s">
        <v>435</v>
      </c>
    </row>
    <row r="5">
      <c r="A5" s="19" t="str">
        <f t="shared" si="1"/>
        <v>6eb531d</v>
      </c>
      <c r="B5" s="36" t="s">
        <v>70</v>
      </c>
      <c r="C5" s="5">
        <v>1.0</v>
      </c>
      <c r="D5" s="5" t="b">
        <v>0</v>
      </c>
      <c r="E5" s="36" t="s">
        <v>69</v>
      </c>
      <c r="F5" s="19" t="str">
        <f t="array" ref="F5">VLOOKUP(E5,{Source!B:B,Source!A:A},2,FALSE)</f>
        <v>10.1787/eco/surveys-col-2013-4-en</v>
      </c>
    </row>
    <row r="6">
      <c r="A6" s="19" t="str">
        <f t="shared" si="1"/>
        <v>c66eaf0</v>
      </c>
      <c r="B6" s="36" t="s">
        <v>262</v>
      </c>
      <c r="C6" s="5">
        <v>1.0</v>
      </c>
      <c r="D6" s="5" t="b">
        <v>0</v>
      </c>
      <c r="E6" s="36" t="s">
        <v>261</v>
      </c>
      <c r="F6" s="19" t="str">
        <f t="array" ref="F6">VLOOKUP(E6,{Source!B:B,Source!A:A},2,FALSE)</f>
        <v>10.18356/24485d89-en</v>
      </c>
    </row>
    <row r="7">
      <c r="A7" s="19" t="str">
        <f t="shared" si="1"/>
        <v>c70d450</v>
      </c>
      <c r="B7" s="36" t="s">
        <v>250</v>
      </c>
      <c r="C7" s="5">
        <v>1.0</v>
      </c>
      <c r="D7" s="5" t="b">
        <v>0</v>
      </c>
      <c r="E7" s="36" t="s">
        <v>249</v>
      </c>
      <c r="F7" s="19" t="str">
        <f t="array" ref="F7">VLOOKUP(E7,{Source!B:B,Source!A:A},2,FALSE)</f>
        <v>10.14217/9781848591516-7-en</v>
      </c>
    </row>
    <row r="8">
      <c r="A8" s="19" t="str">
        <f t="shared" si="1"/>
        <v>5673db0</v>
      </c>
      <c r="B8" s="36" t="s">
        <v>121</v>
      </c>
      <c r="C8" s="5">
        <v>1.0</v>
      </c>
      <c r="D8" s="5" t="b">
        <v>0</v>
      </c>
      <c r="E8" s="36" t="s">
        <v>120</v>
      </c>
      <c r="F8" s="19" t="str">
        <f t="array" ref="F8">VLOOKUP(E8,{Source!B:B,Source!A:A},2,FALSE)</f>
        <v>10.1787/9ce809d8-en</v>
      </c>
    </row>
    <row r="9">
      <c r="A9" s="19" t="str">
        <f t="shared" si="1"/>
        <v>fba9acd</v>
      </c>
      <c r="B9" s="36" t="s">
        <v>266</v>
      </c>
      <c r="C9" s="5">
        <v>1.0</v>
      </c>
      <c r="D9" s="5" t="b">
        <v>0</v>
      </c>
      <c r="E9" s="36" t="s">
        <v>265</v>
      </c>
      <c r="F9" s="19" t="str">
        <f t="array" ref="F9">VLOOKUP(E9,{Source!B:B,Source!A:A},2,FALSE)</f>
        <v>10.18356/355832ee-en</v>
      </c>
    </row>
    <row r="10">
      <c r="A10" s="19" t="str">
        <f t="shared" si="1"/>
        <v>0c57062</v>
      </c>
      <c r="B10" s="50" t="s">
        <v>437</v>
      </c>
      <c r="C10" s="5">
        <v>1.0</v>
      </c>
      <c r="D10" s="5" t="b">
        <v>0</v>
      </c>
      <c r="E10" s="36" t="s">
        <v>170</v>
      </c>
      <c r="F10" s="19" t="str">
        <f t="array" ref="F10">VLOOKUP(E10,{Source!B:B,Source!A:A},2,FALSE)</f>
        <v>10.18356/3e6fd74f-en</v>
      </c>
      <c r="G10" s="5" t="s">
        <v>435</v>
      </c>
    </row>
    <row r="11">
      <c r="A11" s="19" t="str">
        <f t="shared" si="1"/>
        <v>1776f3f</v>
      </c>
      <c r="B11" s="36" t="s">
        <v>260</v>
      </c>
      <c r="C11" s="5">
        <v>1.0</v>
      </c>
      <c r="D11" s="5" t="b">
        <v>0</v>
      </c>
      <c r="E11" s="36" t="s">
        <v>259</v>
      </c>
      <c r="F11" s="19" t="str">
        <f t="array" ref="F11">VLOOKUP(E11,{Source!B:B,Source!A:A},2,FALSE)</f>
        <v>10.18356/d100c303-en</v>
      </c>
    </row>
    <row r="12">
      <c r="A12" s="19" t="str">
        <f t="shared" si="1"/>
        <v>6569218</v>
      </c>
      <c r="B12" s="36" t="s">
        <v>125</v>
      </c>
      <c r="C12" s="5">
        <v>1.0</v>
      </c>
      <c r="D12" s="5" t="b">
        <v>0</v>
      </c>
      <c r="E12" s="36" t="s">
        <v>124</v>
      </c>
      <c r="F12" s="19" t="str">
        <f t="array" ref="F12">VLOOKUP(E12,{Source!B:B,Source!A:A},2,FALSE)</f>
        <v>10.18356/0a7c7f99-en</v>
      </c>
    </row>
    <row r="13">
      <c r="A13" s="19" t="str">
        <f t="shared" si="1"/>
        <v>226ce56</v>
      </c>
      <c r="B13" s="36" t="s">
        <v>224</v>
      </c>
      <c r="C13" s="5">
        <v>1.0</v>
      </c>
      <c r="D13" s="5" t="b">
        <v>1</v>
      </c>
      <c r="E13" s="36" t="s">
        <v>223</v>
      </c>
      <c r="F13" s="19" t="str">
        <f t="array" ref="F13">VLOOKUP(E13,{Source!B:B,Source!A:A},2,FALSE)</f>
        <v>10.18356/b276eed7-en</v>
      </c>
    </row>
    <row r="14">
      <c r="A14" s="19" t="str">
        <f t="shared" si="1"/>
        <v>cb7c43e</v>
      </c>
      <c r="B14" s="36" t="s">
        <v>226</v>
      </c>
      <c r="C14" s="5">
        <v>1.0</v>
      </c>
      <c r="D14" s="5" t="b">
        <v>0</v>
      </c>
      <c r="E14" s="36" t="s">
        <v>225</v>
      </c>
      <c r="F14" s="19" t="str">
        <f t="array" ref="F14">VLOOKUP(E14,{Source!B:B,Source!A:A},2,FALSE)</f>
        <v>10.18356/8464a369-en</v>
      </c>
    </row>
    <row r="15">
      <c r="A15" s="19" t="str">
        <f t="shared" si="1"/>
        <v>5e57da7</v>
      </c>
      <c r="B15" s="36" t="s">
        <v>218</v>
      </c>
      <c r="C15" s="5">
        <v>1.0</v>
      </c>
      <c r="D15" s="5" t="b">
        <v>0</v>
      </c>
      <c r="E15" s="36" t="s">
        <v>217</v>
      </c>
      <c r="F15" s="19" t="str">
        <f t="array" ref="F15">VLOOKUP(E15,{Source!B:B,Source!A:A},2,FALSE)</f>
        <v>10.18356/47c7f9c4-en</v>
      </c>
    </row>
    <row r="16">
      <c r="A16" s="19" t="str">
        <f t="shared" si="1"/>
        <v>46f112c</v>
      </c>
      <c r="B16" s="36" t="s">
        <v>177</v>
      </c>
      <c r="C16" s="5">
        <v>1.0</v>
      </c>
      <c r="D16" s="5" t="b">
        <v>0</v>
      </c>
      <c r="E16" s="36" t="s">
        <v>176</v>
      </c>
      <c r="F16" s="19" t="str">
        <f t="array" ref="F16">VLOOKUP(E16,{Source!B:B,Source!A:A},2,FALSE)</f>
        <v>10.1787/5jxrcmgpc6mn-en</v>
      </c>
    </row>
    <row r="17">
      <c r="A17" s="19" t="str">
        <f t="shared" si="1"/>
        <v>fdff47e</v>
      </c>
      <c r="B17" s="36" t="s">
        <v>202</v>
      </c>
      <c r="C17" s="5">
        <v>1.0</v>
      </c>
      <c r="D17" s="5" t="b">
        <v>1</v>
      </c>
      <c r="E17" s="36" t="s">
        <v>201</v>
      </c>
      <c r="F17" s="19" t="str">
        <f t="array" ref="F17">VLOOKUP(E17,{Source!B:B,Source!A:A},2,FALSE)</f>
        <v>10.18356/899c7c48-en</v>
      </c>
    </row>
    <row r="18">
      <c r="A18" s="19" t="str">
        <f t="shared" si="1"/>
        <v>0f310d4</v>
      </c>
      <c r="B18" s="36" t="s">
        <v>127</v>
      </c>
      <c r="C18" s="5">
        <v>1.0</v>
      </c>
      <c r="D18" s="5" t="b">
        <v>0</v>
      </c>
      <c r="E18" s="36" t="s">
        <v>126</v>
      </c>
      <c r="F18" s="19" t="str">
        <f t="array" ref="F18">VLOOKUP(E18,{Source!B:B,Source!A:A},2,FALSE)</f>
        <v>10.18356/88ed44cf-en</v>
      </c>
    </row>
    <row r="19">
      <c r="A19" s="19" t="str">
        <f t="shared" si="1"/>
        <v>adaa428</v>
      </c>
      <c r="B19" s="36" t="s">
        <v>149</v>
      </c>
      <c r="C19" s="5">
        <v>1.0</v>
      </c>
      <c r="D19" s="5" t="b">
        <v>1</v>
      </c>
      <c r="E19" s="36" t="s">
        <v>148</v>
      </c>
      <c r="F19" s="19" t="str">
        <f t="array" ref="F19">VLOOKUP(E19,{Source!B:B,Source!A:A},2,FALSE)</f>
        <v>10.1787/c69de229-en</v>
      </c>
    </row>
    <row r="20">
      <c r="A20" s="19" t="str">
        <f t="shared" si="1"/>
        <v>9d217d6</v>
      </c>
      <c r="B20" s="36" t="s">
        <v>214</v>
      </c>
      <c r="C20" s="5">
        <v>1.0</v>
      </c>
      <c r="D20" s="5" t="b">
        <v>0</v>
      </c>
      <c r="E20" s="36" t="s">
        <v>213</v>
      </c>
      <c r="F20" s="19" t="str">
        <f t="array" ref="F20">VLOOKUP(E20,{Source!B:B,Source!A:A},2,FALSE)</f>
        <v>10.18356/97ed059a-en</v>
      </c>
    </row>
    <row r="21">
      <c r="A21" s="19" t="str">
        <f t="shared" si="1"/>
        <v>99a1ad8</v>
      </c>
      <c r="B21" s="36" t="s">
        <v>206</v>
      </c>
      <c r="C21" s="5">
        <v>1.0</v>
      </c>
      <c r="D21" s="5" t="b">
        <v>0</v>
      </c>
      <c r="E21" s="36" t="s">
        <v>205</v>
      </c>
      <c r="F21" s="19" t="str">
        <f t="array" ref="F21">VLOOKUP(E21,{Source!B:B,Source!A:A},2,FALSE)</f>
        <v>10.18356/a2eaa89c-en</v>
      </c>
    </row>
    <row r="22">
      <c r="A22" s="19" t="str">
        <f t="shared" si="1"/>
        <v>9a16ee6</v>
      </c>
      <c r="B22" s="50" t="s">
        <v>438</v>
      </c>
      <c r="C22" s="5">
        <v>1.0</v>
      </c>
      <c r="D22" s="5" t="b">
        <v>1</v>
      </c>
      <c r="E22" s="36" t="s">
        <v>231</v>
      </c>
      <c r="F22" s="19" t="str">
        <f t="array" ref="F22">VLOOKUP(E22,{Source!B:B,Source!A:A},2,FALSE)</f>
        <v>10.1787/5jxzf5khtg9t-en</v>
      </c>
      <c r="G22" s="5" t="s">
        <v>435</v>
      </c>
    </row>
    <row r="23">
      <c r="A23" s="19" t="str">
        <f t="shared" si="1"/>
        <v>182044d</v>
      </c>
      <c r="B23" s="36" t="s">
        <v>193</v>
      </c>
      <c r="C23" s="5">
        <v>1.0</v>
      </c>
      <c r="D23" s="5" t="b">
        <v>0</v>
      </c>
      <c r="E23" s="36" t="s">
        <v>192</v>
      </c>
      <c r="F23" s="19" t="str">
        <f t="array" ref="F23">VLOOKUP(E23,{Source!B:B,Source!A:A},2,FALSE)</f>
        <v>10.1787/dd4dcfa6-en</v>
      </c>
      <c r="G23" s="5" t="s">
        <v>401</v>
      </c>
    </row>
    <row r="24">
      <c r="A24" s="19" t="str">
        <f t="shared" si="1"/>
        <v>4d3f00a</v>
      </c>
      <c r="B24" s="36" t="s">
        <v>196</v>
      </c>
      <c r="C24" s="5">
        <v>1.0</v>
      </c>
      <c r="D24" s="5" t="b">
        <v>0</v>
      </c>
      <c r="E24" s="36" t="s">
        <v>195</v>
      </c>
      <c r="F24" s="19" t="str">
        <f t="array" ref="F24">VLOOKUP(E24,{Source!B:B,Source!A:A},2,FALSE)</f>
        <v>10.18356/97ed059a-en</v>
      </c>
    </row>
    <row r="25">
      <c r="A25" s="19" t="str">
        <f t="shared" si="1"/>
        <v>2103449</v>
      </c>
      <c r="B25" s="36" t="s">
        <v>138</v>
      </c>
      <c r="C25" s="5">
        <v>1.0</v>
      </c>
      <c r="D25" s="5" t="b">
        <v>1</v>
      </c>
      <c r="E25" s="36" t="s">
        <v>137</v>
      </c>
      <c r="F25" s="19" t="str">
        <f t="array" ref="F25">VLOOKUP(E25,{Source!B:B,Source!A:A},2,FALSE)</f>
        <v>10.1787/5k92n2x6pts3-en</v>
      </c>
    </row>
    <row r="26">
      <c r="A26" s="19" t="str">
        <f t="shared" si="1"/>
        <v>4548f97</v>
      </c>
      <c r="B26" s="36" t="s">
        <v>268</v>
      </c>
      <c r="C26" s="5">
        <v>1.0</v>
      </c>
      <c r="D26" s="5" t="b">
        <v>0</v>
      </c>
      <c r="E26" s="36" t="s">
        <v>267</v>
      </c>
      <c r="F26" s="19" t="str">
        <f t="array" ref="F26">VLOOKUP(E26,{Source!B:B,Source!A:A},2,FALSE)</f>
        <v>10.1787/5jxrcmgpc6mn-en</v>
      </c>
    </row>
    <row r="27">
      <c r="A27" s="19" t="str">
        <f t="shared" si="1"/>
        <v>2af47c6</v>
      </c>
      <c r="B27" s="36" t="s">
        <v>234</v>
      </c>
      <c r="C27" s="5">
        <v>1.0</v>
      </c>
      <c r="D27" s="5" t="b">
        <v>0</v>
      </c>
      <c r="E27" s="36" t="s">
        <v>233</v>
      </c>
      <c r="F27" s="19" t="str">
        <f t="array" ref="F27">VLOOKUP(E27,{Source!B:B,Source!A:A},2,FALSE)</f>
        <v>10.1787/pension/glance-2013-5-en</v>
      </c>
    </row>
    <row r="28">
      <c r="A28" s="19" t="str">
        <f t="shared" si="1"/>
        <v>16b1c43</v>
      </c>
      <c r="B28" s="36" t="s">
        <v>254</v>
      </c>
      <c r="C28" s="5">
        <v>1.0</v>
      </c>
      <c r="D28" s="5" t="b">
        <v>0</v>
      </c>
      <c r="E28" s="36" t="s">
        <v>253</v>
      </c>
      <c r="F28" s="19" t="str">
        <f t="array" ref="F28">VLOOKUP(E28,{Source!B:B,Source!A:A},2,FALSE)</f>
        <v>10.1787/5jxzf5khtg9t-en</v>
      </c>
    </row>
    <row r="29">
      <c r="A29" s="19" t="str">
        <f t="shared" si="1"/>
        <v>1bdad06</v>
      </c>
      <c r="B29" s="36" t="s">
        <v>173</v>
      </c>
      <c r="C29" s="5">
        <v>1.0</v>
      </c>
      <c r="D29" s="5" t="b">
        <v>1</v>
      </c>
      <c r="E29" s="36" t="s">
        <v>172</v>
      </c>
      <c r="F29" s="19" t="str">
        <f t="array" ref="F29">VLOOKUP(E29,{Source!B:B,Source!A:A},2,FALSE)</f>
        <v>11.1002/pub/80f4cf5d-7b2c7042-en</v>
      </c>
    </row>
    <row r="30">
      <c r="A30" s="19" t="str">
        <f t="shared" si="1"/>
        <v>9b64422</v>
      </c>
      <c r="B30" s="36" t="s">
        <v>216</v>
      </c>
      <c r="C30" s="5">
        <v>1.0</v>
      </c>
      <c r="D30" s="5" t="b">
        <v>0</v>
      </c>
      <c r="E30" s="36" t="s">
        <v>215</v>
      </c>
      <c r="F30" s="19" t="str">
        <f t="array" ref="F30">VLOOKUP(E30,{Source!B:B,Source!A:A},2,FALSE)</f>
        <v>10.18356/5022b3a0-en</v>
      </c>
    </row>
    <row r="31">
      <c r="A31" s="19" t="str">
        <f t="shared" si="1"/>
        <v>e2b61cb</v>
      </c>
      <c r="B31" s="36" t="s">
        <v>264</v>
      </c>
      <c r="C31" s="5">
        <v>1.0</v>
      </c>
      <c r="D31" s="5" t="b">
        <v>0</v>
      </c>
      <c r="E31" s="36" t="s">
        <v>263</v>
      </c>
      <c r="F31" s="19" t="str">
        <f t="array" ref="F31">VLOOKUP(E31,{Source!B:B,Source!A:A},2,FALSE)</f>
        <v>10.18356/e569c117-en</v>
      </c>
    </row>
    <row r="32">
      <c r="A32" s="19" t="str">
        <f t="shared" si="1"/>
        <v>421b5ed</v>
      </c>
      <c r="B32" s="36" t="s">
        <v>88</v>
      </c>
      <c r="C32" s="5">
        <v>1.0</v>
      </c>
      <c r="D32" s="5" t="b">
        <v>0</v>
      </c>
      <c r="E32" s="36" t="s">
        <v>87</v>
      </c>
      <c r="F32" s="19" t="str">
        <f t="array" ref="F32">VLOOKUP(E32,{Source!B:B,Source!A:A},2,FALSE)</f>
        <v>10.1787/5jxrcmgpc6mn-en</v>
      </c>
    </row>
    <row r="33">
      <c r="A33" s="19" t="str">
        <f t="shared" si="1"/>
        <v>baff0c1</v>
      </c>
      <c r="B33" s="36" t="s">
        <v>147</v>
      </c>
      <c r="C33" s="5">
        <v>1.0</v>
      </c>
      <c r="D33" s="5" t="b">
        <v>0</v>
      </c>
      <c r="E33" s="36" t="s">
        <v>146</v>
      </c>
      <c r="F33" s="19" t="str">
        <f t="array" ref="F33">VLOOKUP(E33,{Source!B:B,Source!A:A},2,FALSE)</f>
        <v>10.18356/3e0be7f8-en</v>
      </c>
      <c r="G33" s="5" t="s">
        <v>407</v>
      </c>
    </row>
    <row r="34">
      <c r="A34" s="19" t="str">
        <f t="shared" si="1"/>
        <v>8e747db</v>
      </c>
      <c r="B34" s="36" t="s">
        <v>200</v>
      </c>
      <c r="C34" s="5">
        <v>1.0</v>
      </c>
      <c r="D34" s="5" t="b">
        <v>0</v>
      </c>
      <c r="E34" s="36" t="s">
        <v>199</v>
      </c>
      <c r="F34" s="19" t="str">
        <f t="array" ref="F34">VLOOKUP(E34,{Source!B:B,Source!A:A},2,FALSE)</f>
        <v>10.1787/5jxrcmgpc6mn-en</v>
      </c>
    </row>
    <row r="35">
      <c r="A35" s="19" t="str">
        <f t="shared" si="1"/>
        <v>000a014</v>
      </c>
      <c r="B35" s="36" t="s">
        <v>220</v>
      </c>
      <c r="C35" s="5">
        <v>1.0</v>
      </c>
      <c r="D35" s="5" t="b">
        <v>0</v>
      </c>
      <c r="E35" s="36" t="s">
        <v>219</v>
      </c>
      <c r="F35" s="19" t="str">
        <f t="array" ref="F35">VLOOKUP(E35,{Source!B:B,Source!A:A},2,FALSE)</f>
        <v>10.18356/36b318e6-en</v>
      </c>
    </row>
    <row r="36">
      <c r="A36" s="19" t="str">
        <f t="shared" si="1"/>
        <v>dc07c98</v>
      </c>
      <c r="B36" s="36" t="s">
        <v>109</v>
      </c>
      <c r="C36" s="5">
        <v>1.0</v>
      </c>
      <c r="D36" s="5" t="b">
        <v>1</v>
      </c>
      <c r="E36" s="36" t="s">
        <v>108</v>
      </c>
      <c r="F36" s="19" t="str">
        <f t="array" ref="F36">VLOOKUP(E36,{Source!B:B,Source!A:A},2,FALSE)</f>
        <v>10.18356/01772a94-en</v>
      </c>
    </row>
    <row r="37">
      <c r="A37" s="19" t="str">
        <f t="shared" si="1"/>
        <v>04da19c</v>
      </c>
      <c r="B37" s="36" t="s">
        <v>90</v>
      </c>
      <c r="C37" s="5">
        <v>1.0</v>
      </c>
      <c r="D37" s="5" t="b">
        <v>0</v>
      </c>
      <c r="E37" s="36" t="s">
        <v>89</v>
      </c>
      <c r="F37" s="19" t="str">
        <f t="array" ref="F37">VLOOKUP(E37,{Source!B:B,Source!A:A},2,FALSE)</f>
        <v>10.18356/e569c117-en</v>
      </c>
    </row>
    <row r="38">
      <c r="A38" s="19" t="str">
        <f t="shared" si="1"/>
        <v>00a7733</v>
      </c>
      <c r="B38" s="36" t="s">
        <v>185</v>
      </c>
      <c r="C38" s="5">
        <v>1.0</v>
      </c>
      <c r="D38" s="5" t="b">
        <v>0</v>
      </c>
      <c r="E38" s="36" t="s">
        <v>184</v>
      </c>
      <c r="F38" s="19" t="str">
        <f t="array" ref="F38">VLOOKUP(E38,{Source!B:B,Source!A:A},2,FALSE)</f>
        <v>10.6027/9789289331777-4-en</v>
      </c>
    </row>
    <row r="39">
      <c r="A39" s="19" t="str">
        <f t="shared" si="1"/>
        <v>175bb76</v>
      </c>
      <c r="B39" s="36" t="s">
        <v>230</v>
      </c>
      <c r="C39" s="5">
        <v>1.0</v>
      </c>
      <c r="D39" s="5" t="b">
        <v>0</v>
      </c>
      <c r="E39" s="36" t="s">
        <v>229</v>
      </c>
      <c r="F39" s="19" t="str">
        <f t="array" ref="F39">VLOOKUP(E39,{Source!B:B,Source!A:A},2,FALSE)</f>
        <v>10.18356/dd581311-en</v>
      </c>
    </row>
    <row r="40">
      <c r="A40" s="19" t="str">
        <f t="shared" si="1"/>
        <v>0288b65</v>
      </c>
      <c r="B40" s="36" t="s">
        <v>236</v>
      </c>
      <c r="C40" s="5">
        <v>1.0</v>
      </c>
      <c r="D40" s="5" t="b">
        <v>0</v>
      </c>
      <c r="E40" s="36" t="s">
        <v>235</v>
      </c>
      <c r="F40" s="19" t="str">
        <f t="array" ref="F40">VLOOKUP(E40,{Source!B:B,Source!A:A},2,FALSE)</f>
        <v>10.18356/88ed44cf-en</v>
      </c>
    </row>
    <row r="41">
      <c r="A41" s="19" t="str">
        <f t="shared" si="1"/>
        <v>2e5c49f</v>
      </c>
      <c r="B41" s="36" t="s">
        <v>105</v>
      </c>
      <c r="C41" s="5">
        <v>1.0</v>
      </c>
      <c r="D41" s="5" t="b">
        <v>1</v>
      </c>
      <c r="E41" s="36" t="s">
        <v>104</v>
      </c>
      <c r="F41" s="19" t="str">
        <f t="array" ref="F41">VLOOKUP(E41,{Source!B:B,Source!A:A},2,FALSE)</f>
        <v>10.18356/3f10390a-en</v>
      </c>
    </row>
    <row r="42">
      <c r="A42" s="19" t="str">
        <f t="shared" si="1"/>
        <v>df3840d</v>
      </c>
      <c r="B42" s="36" t="s">
        <v>244</v>
      </c>
      <c r="C42" s="5">
        <v>1.0</v>
      </c>
      <c r="D42" s="5" t="b">
        <v>0</v>
      </c>
      <c r="E42" s="36" t="s">
        <v>243</v>
      </c>
      <c r="F42" s="19" t="str">
        <f t="array" ref="F42">VLOOKUP(E42,{Source!B:B,Source!A:A},2,FALSE)</f>
        <v>10.18356/3e6fd74f-en</v>
      </c>
    </row>
    <row r="43">
      <c r="A43" s="19" t="str">
        <f t="shared" si="1"/>
        <v>e1368ed</v>
      </c>
      <c r="B43" s="36" t="s">
        <v>228</v>
      </c>
      <c r="C43" s="5">
        <v>1.0</v>
      </c>
      <c r="D43" s="5" t="b">
        <v>1</v>
      </c>
      <c r="E43" s="36" t="s">
        <v>227</v>
      </c>
      <c r="F43" s="19" t="str">
        <f t="array" ref="F43">VLOOKUP(E43,{Source!B:B,Source!A:A},2,FALSE)</f>
        <v>10.18356/f61073ef-en</v>
      </c>
    </row>
    <row r="44">
      <c r="A44" s="19" t="str">
        <f t="shared" si="1"/>
        <v>1536114</v>
      </c>
      <c r="B44" s="36" t="s">
        <v>165</v>
      </c>
      <c r="C44" s="5">
        <v>1.0</v>
      </c>
      <c r="D44" s="5" t="b">
        <v>0</v>
      </c>
      <c r="E44" s="36" t="s">
        <v>164</v>
      </c>
      <c r="F44" s="19" t="str">
        <f t="array" ref="F44">VLOOKUP(E44,{Source!B:B,Source!A:A},2,FALSE)</f>
        <v>10.18356/b9c917b5-en</v>
      </c>
    </row>
    <row r="45">
      <c r="A45" s="19" t="str">
        <f t="shared" si="1"/>
        <v>9ce6c55</v>
      </c>
      <c r="B45" s="50" t="s">
        <v>439</v>
      </c>
      <c r="C45" s="5">
        <v>1.0</v>
      </c>
      <c r="D45" s="5" t="b">
        <v>1</v>
      </c>
      <c r="E45" s="36" t="s">
        <v>113</v>
      </c>
      <c r="F45" s="19" t="str">
        <f t="array" ref="F45">VLOOKUP(E45,{Source!B:B,Source!A:A},2,FALSE)</f>
        <v>10.1787/dd4dcfa6-en</v>
      </c>
      <c r="G45" s="5" t="s">
        <v>435</v>
      </c>
    </row>
    <row r="46">
      <c r="A46" s="19" t="str">
        <f t="shared" si="1"/>
        <v>bcd1591</v>
      </c>
      <c r="B46" s="36" t="s">
        <v>83</v>
      </c>
      <c r="C46" s="5">
        <v>1.0</v>
      </c>
      <c r="D46" s="5" t="b">
        <v>1</v>
      </c>
      <c r="E46" s="36" t="s">
        <v>82</v>
      </c>
      <c r="F46" s="19" t="str">
        <f t="array" ref="F46">VLOOKUP(E46,{Source!B:B,Source!A:A},2,FALSE)</f>
        <v>10.1787/9789264168367-4-en</v>
      </c>
    </row>
    <row r="47">
      <c r="A47" s="19" t="str">
        <f t="shared" si="1"/>
        <v>173b042</v>
      </c>
      <c r="B47" s="36" t="s">
        <v>256</v>
      </c>
      <c r="C47" s="5">
        <v>1.0</v>
      </c>
      <c r="D47" s="5" t="b">
        <v>1</v>
      </c>
      <c r="E47" s="36" t="s">
        <v>255</v>
      </c>
      <c r="F47" s="19" t="str">
        <f t="array" ref="F47">VLOOKUP(E47,{Source!B:B,Source!A:A},2,FALSE)</f>
        <v>10.18356/39291afb-en</v>
      </c>
    </row>
    <row r="48">
      <c r="A48" s="19" t="str">
        <f t="shared" si="1"/>
        <v>284e82e</v>
      </c>
      <c r="B48" s="36" t="s">
        <v>208</v>
      </c>
      <c r="C48" s="5">
        <v>1.0</v>
      </c>
      <c r="D48" s="5" t="b">
        <v>0</v>
      </c>
      <c r="E48" s="36" t="s">
        <v>207</v>
      </c>
      <c r="F48" s="19" t="str">
        <f t="array" ref="F48">VLOOKUP(E48,{Source!B:B,Source!A:A},2,FALSE)</f>
        <v>10.18356/797ccf27-en</v>
      </c>
    </row>
    <row r="49">
      <c r="A49" s="19" t="str">
        <f t="shared" si="1"/>
        <v>c1a71dc</v>
      </c>
      <c r="B49" s="36" t="s">
        <v>191</v>
      </c>
      <c r="C49" s="5">
        <v>1.0</v>
      </c>
      <c r="D49" s="5" t="b">
        <v>1</v>
      </c>
      <c r="E49" s="36" t="s">
        <v>190</v>
      </c>
      <c r="F49" s="19" t="str">
        <f t="array" ref="F49">VLOOKUP(E49,{Source!B:B,Source!A:A},2,FALSE)</f>
        <v>10.18356/ff1be167-en</v>
      </c>
    </row>
    <row r="50">
      <c r="A50" s="19" t="str">
        <f t="shared" si="1"/>
        <v>9424dbf</v>
      </c>
      <c r="B50" s="36" t="s">
        <v>240</v>
      </c>
      <c r="C50" s="5">
        <v>1.0</v>
      </c>
      <c r="D50" s="5" t="b">
        <v>1</v>
      </c>
      <c r="E50" s="36" t="s">
        <v>239</v>
      </c>
      <c r="F50" s="19" t="str">
        <f t="array" ref="F50">VLOOKUP(E50,{Source!B:B,Source!A:A},2,FALSE)</f>
        <v>10.1787/9789264098978-6-en</v>
      </c>
    </row>
    <row r="51">
      <c r="A51" s="19" t="str">
        <f t="shared" si="1"/>
        <v>19953d6</v>
      </c>
      <c r="B51" s="36" t="s">
        <v>167</v>
      </c>
      <c r="C51" s="5">
        <v>1.0</v>
      </c>
      <c r="D51" s="5" t="b">
        <v>1</v>
      </c>
      <c r="E51" s="36" t="s">
        <v>166</v>
      </c>
      <c r="F51" s="19" t="str">
        <f t="array" ref="F51">VLOOKUP(E51,{Source!B:B,Source!A:A},2,FALSE)</f>
        <v>10.18356/8d6bdedf-en</v>
      </c>
    </row>
    <row r="52">
      <c r="A52" s="19" t="str">
        <f t="shared" si="1"/>
        <v>bf135c7</v>
      </c>
      <c r="B52" s="36" t="s">
        <v>77</v>
      </c>
      <c r="C52" s="5">
        <v>1.0</v>
      </c>
      <c r="D52" s="5" t="b">
        <v>1</v>
      </c>
      <c r="E52" s="36" t="s">
        <v>76</v>
      </c>
      <c r="F52" s="19" t="str">
        <f t="array" ref="F52">VLOOKUP(E52,{Source!B:B,Source!A:A},2,FALSE)</f>
        <v>10.1787/c69de229-en</v>
      </c>
    </row>
    <row r="53">
      <c r="A53" s="19" t="str">
        <f t="shared" si="1"/>
        <v>35ead2c</v>
      </c>
      <c r="B53" s="36" t="s">
        <v>112</v>
      </c>
      <c r="C53" s="5">
        <v>1.0</v>
      </c>
      <c r="D53" s="5" t="b">
        <v>1</v>
      </c>
      <c r="E53" s="36" t="s">
        <v>111</v>
      </c>
      <c r="F53" s="19" t="str">
        <f t="array" ref="F53">VLOOKUP(E53,{Source!B:B,Source!A:A},2,FALSE)</f>
        <v>10.1787/c69de229-en</v>
      </c>
    </row>
    <row r="54">
      <c r="A54" s="19" t="str">
        <f t="shared" si="1"/>
        <v>fbbd7df</v>
      </c>
      <c r="B54" s="36" t="s">
        <v>157</v>
      </c>
      <c r="C54" s="5">
        <v>1.0</v>
      </c>
      <c r="D54" s="5" t="b">
        <v>1</v>
      </c>
      <c r="E54" s="36" t="s">
        <v>156</v>
      </c>
      <c r="F54" s="19" t="str">
        <f t="array" ref="F54">VLOOKUP(E54,{Source!B:B,Source!A:A},2,FALSE)</f>
        <v>10.18356/76c9b151-en</v>
      </c>
    </row>
    <row r="55">
      <c r="A55" s="19" t="str">
        <f t="shared" si="1"/>
        <v>8a3fc9c</v>
      </c>
      <c r="B55" s="36" t="s">
        <v>163</v>
      </c>
      <c r="C55" s="5">
        <v>1.0</v>
      </c>
      <c r="D55" s="5" t="b">
        <v>0</v>
      </c>
      <c r="E55" s="36" t="s">
        <v>162</v>
      </c>
      <c r="F55" s="19" t="str">
        <f t="array" ref="F55">VLOOKUP(E55,{Source!B:B,Source!A:A},2,FALSE)</f>
        <v>10.1787/eco/surveys-col-2013-4-en</v>
      </c>
    </row>
    <row r="56">
      <c r="A56" s="19" t="str">
        <f t="shared" si="1"/>
        <v>08e8c2d</v>
      </c>
      <c r="B56" s="36" t="s">
        <v>131</v>
      </c>
      <c r="C56" s="5">
        <v>1.0</v>
      </c>
      <c r="D56" s="5" t="b">
        <v>0</v>
      </c>
      <c r="E56" s="36" t="s">
        <v>130</v>
      </c>
      <c r="F56" s="19" t="str">
        <f t="array" ref="F56">VLOOKUP(E56,{Source!B:B,Source!A:A},2,FALSE)</f>
        <v>10.18356/3400179e-en</v>
      </c>
      <c r="G56" s="5" t="s">
        <v>401</v>
      </c>
    </row>
    <row r="57">
      <c r="A57" s="19" t="str">
        <f t="shared" si="1"/>
        <v>46f653b</v>
      </c>
      <c r="B57" s="36" t="s">
        <v>189</v>
      </c>
      <c r="C57" s="5">
        <v>1.0</v>
      </c>
      <c r="D57" s="5" t="b">
        <v>1</v>
      </c>
      <c r="E57" s="36" t="s">
        <v>188</v>
      </c>
      <c r="F57" s="19" t="str">
        <f t="array" ref="F57">VLOOKUP(E57,{Source!B:B,Source!A:A},2,FALSE)</f>
        <v>10.18356/88ed44cf-en</v>
      </c>
    </row>
    <row r="58">
      <c r="A58" s="19" t="str">
        <f t="shared" si="1"/>
        <v>232849b</v>
      </c>
      <c r="B58" s="36" t="s">
        <v>248</v>
      </c>
      <c r="C58" s="5">
        <v>1.0</v>
      </c>
      <c r="D58" s="5" t="b">
        <v>1</v>
      </c>
      <c r="E58" s="36" t="s">
        <v>247</v>
      </c>
      <c r="F58" s="19" t="str">
        <f t="array" ref="F58">VLOOKUP(E58,{Source!B:B,Source!A:A},2,FALSE)</f>
        <v>10.18356/d19a5f58-en</v>
      </c>
    </row>
    <row r="59">
      <c r="A59" s="19" t="str">
        <f t="shared" si="1"/>
        <v>f9ad547</v>
      </c>
      <c r="B59" s="36" t="s">
        <v>102</v>
      </c>
      <c r="C59" s="5">
        <v>1.0</v>
      </c>
      <c r="D59" s="5" t="b">
        <v>1</v>
      </c>
      <c r="E59" s="36" t="s">
        <v>101</v>
      </c>
      <c r="F59" s="19" t="str">
        <f t="array" ref="F59">VLOOKUP(E59,{Source!B:B,Source!A:A},2,FALSE)</f>
        <v>10.18356/7ed1f44a-en</v>
      </c>
    </row>
    <row r="60">
      <c r="A60" s="19" t="str">
        <f t="shared" si="1"/>
        <v>89efae0</v>
      </c>
      <c r="B60" s="36" t="s">
        <v>79</v>
      </c>
      <c r="C60" s="5">
        <v>1.0</v>
      </c>
      <c r="D60" s="5" t="b">
        <v>1</v>
      </c>
      <c r="E60" s="36" t="s">
        <v>78</v>
      </c>
      <c r="F60" s="19" t="str">
        <f t="array" ref="F60">VLOOKUP(E60,{Source!B:B,Source!A:A},2,FALSE)</f>
        <v>10.18356/899c7c48-en</v>
      </c>
    </row>
    <row r="61">
      <c r="A61" s="19" t="str">
        <f t="shared" si="1"/>
        <v>d7750f4</v>
      </c>
      <c r="B61" s="36" t="s">
        <v>252</v>
      </c>
      <c r="C61" s="5">
        <v>1.0</v>
      </c>
      <c r="D61" s="5" t="b">
        <v>0</v>
      </c>
      <c r="E61" s="36" t="s">
        <v>251</v>
      </c>
      <c r="F61" s="19" t="str">
        <f t="array" ref="F61">VLOOKUP(E61,{Source!B:B,Source!A:A},2,FALSE)</f>
        <v>10.1787/journal/dev-v10-art16-en</v>
      </c>
    </row>
    <row r="62">
      <c r="A62" s="19" t="str">
        <f t="shared" si="1"/>
        <v>68fb390</v>
      </c>
      <c r="B62" s="50" t="s">
        <v>440</v>
      </c>
      <c r="C62" s="5">
        <v>1.0</v>
      </c>
      <c r="D62" s="5" t="b">
        <v>1</v>
      </c>
      <c r="E62" s="36" t="s">
        <v>97</v>
      </c>
      <c r="F62" s="19" t="str">
        <f t="array" ref="F62">VLOOKUP(E62,{Source!B:B,Source!A:A},2,FALSE)</f>
        <v>10.18356/81e6e689-en</v>
      </c>
      <c r="G62" s="5" t="s">
        <v>435</v>
      </c>
    </row>
    <row r="63">
      <c r="A63" s="19" t="str">
        <f t="shared" si="1"/>
        <v>8e78df9</v>
      </c>
      <c r="B63" s="36" t="s">
        <v>136</v>
      </c>
      <c r="C63" s="5">
        <v>1.0</v>
      </c>
      <c r="D63" s="5" t="b">
        <v>0</v>
      </c>
      <c r="E63" s="36" t="s">
        <v>135</v>
      </c>
      <c r="F63" s="19" t="str">
        <f t="array" ref="F63">VLOOKUP(E63,{Source!B:B,Source!A:A},2,FALSE)</f>
        <v>10.18356/150942f1-en</v>
      </c>
    </row>
    <row r="64">
      <c r="A64" s="19" t="str">
        <f t="shared" si="1"/>
        <v>d549972</v>
      </c>
      <c r="B64" s="50" t="s">
        <v>441</v>
      </c>
      <c r="C64" s="5">
        <v>1.0</v>
      </c>
      <c r="D64" s="5" t="b">
        <v>1</v>
      </c>
      <c r="E64" s="36" t="s">
        <v>241</v>
      </c>
      <c r="F64" s="19" t="str">
        <f t="array" ref="F64">VLOOKUP(E64,{Source!B:B,Source!A:A},2,FALSE)</f>
        <v>10.1787/dd4dcfa6-en</v>
      </c>
      <c r="G64" s="5" t="s">
        <v>442</v>
      </c>
    </row>
    <row r="65">
      <c r="A65" s="19" t="str">
        <f t="shared" si="1"/>
        <v>1242ce8</v>
      </c>
      <c r="B65" s="36" t="s">
        <v>204</v>
      </c>
      <c r="C65" s="5">
        <v>1.0</v>
      </c>
      <c r="D65" s="5" t="b">
        <v>0</v>
      </c>
      <c r="E65" s="36" t="s">
        <v>203</v>
      </c>
      <c r="F65" s="19" t="str">
        <f t="array" ref="F65">VLOOKUP(E65,{Source!B:B,Source!A:A},2,FALSE)</f>
        <v>10.18356/3400179e-en</v>
      </c>
    </row>
    <row r="66">
      <c r="A66" s="19" t="str">
        <f t="shared" si="1"/>
        <v>abf8c92</v>
      </c>
      <c r="B66" s="36" t="s">
        <v>187</v>
      </c>
      <c r="C66" s="5">
        <v>1.0</v>
      </c>
      <c r="D66" s="5" t="b">
        <v>1</v>
      </c>
      <c r="E66" s="36" t="s">
        <v>186</v>
      </c>
      <c r="F66" s="19" t="str">
        <f t="array" ref="F66">VLOOKUP(E66,{Source!B:B,Source!A:A},2,FALSE)</f>
        <v>10.18356/47c7f9c4-en</v>
      </c>
    </row>
    <row r="67">
      <c r="A67" s="19" t="str">
        <f t="shared" si="1"/>
        <v>1831188</v>
      </c>
      <c r="B67" s="36" t="s">
        <v>210</v>
      </c>
      <c r="C67" s="5">
        <v>1.0</v>
      </c>
      <c r="D67" s="5" t="b">
        <v>0</v>
      </c>
      <c r="E67" s="36" t="s">
        <v>209</v>
      </c>
      <c r="F67" s="19" t="str">
        <f t="array" ref="F67">VLOOKUP(E67,{Source!B:B,Source!A:A},2,FALSE)</f>
        <v>10.18356/24485d89-en</v>
      </c>
    </row>
    <row r="68">
      <c r="A68" s="19" t="str">
        <f t="shared" si="1"/>
        <v>1db62cd</v>
      </c>
      <c r="B68" s="36" t="s">
        <v>129</v>
      </c>
      <c r="C68" s="5">
        <v>1.0</v>
      </c>
      <c r="D68" s="5" t="b">
        <v>1</v>
      </c>
      <c r="E68" s="36" t="s">
        <v>128</v>
      </c>
      <c r="F68" s="19" t="str">
        <f t="array" ref="F68">VLOOKUP(E68,{Source!B:B,Source!A:A},2,FALSE)</f>
        <v>10.18356/6950d0fe-en</v>
      </c>
    </row>
    <row r="69">
      <c r="A69" s="19" t="str">
        <f t="shared" si="1"/>
        <v>984790c</v>
      </c>
      <c r="B69" s="36" t="s">
        <v>142</v>
      </c>
      <c r="C69" s="5">
        <v>1.0</v>
      </c>
      <c r="D69" s="5" t="b">
        <v>0</v>
      </c>
      <c r="E69" s="36" t="s">
        <v>141</v>
      </c>
      <c r="F69" s="19" t="str">
        <f t="array" ref="F69">VLOOKUP(E69,{Source!B:B,Source!A:A},2,FALSE)</f>
        <v>10.18356/150942f1-en</v>
      </c>
    </row>
    <row r="70">
      <c r="A70" s="19" t="str">
        <f t="shared" si="1"/>
        <v>a173586</v>
      </c>
      <c r="B70" s="36" t="s">
        <v>96</v>
      </c>
      <c r="C70" s="5">
        <v>1.0</v>
      </c>
      <c r="D70" s="5" t="b">
        <v>0</v>
      </c>
      <c r="E70" s="36" t="s">
        <v>95</v>
      </c>
      <c r="F70" s="19" t="str">
        <f t="array" ref="F70">VLOOKUP(E70,{Source!B:B,Source!A:A},2,FALSE)</f>
        <v>10.18356/797ccf27-en</v>
      </c>
    </row>
    <row r="71">
      <c r="A71" s="19" t="str">
        <f t="shared" si="1"/>
        <v>52dd732</v>
      </c>
      <c r="B71" s="36" t="s">
        <v>92</v>
      </c>
      <c r="C71" s="5">
        <v>1.0</v>
      </c>
      <c r="D71" s="5" t="b">
        <v>0</v>
      </c>
      <c r="E71" s="36" t="s">
        <v>91</v>
      </c>
      <c r="F71" s="19" t="str">
        <f t="array" ref="F71">VLOOKUP(E71,{Source!B:B,Source!A:A},2,FALSE)</f>
        <v>10.18356/3400179e-en</v>
      </c>
    </row>
    <row r="72">
      <c r="A72" s="19" t="str">
        <f t="shared" si="1"/>
        <v>94f2c0b</v>
      </c>
      <c r="B72" s="36" t="s">
        <v>94</v>
      </c>
      <c r="C72" s="5">
        <v>1.0</v>
      </c>
      <c r="D72" s="5" t="b">
        <v>0</v>
      </c>
      <c r="E72" s="36" t="s">
        <v>93</v>
      </c>
      <c r="F72" s="19" t="str">
        <f t="array" ref="F72">VLOOKUP(E72,{Source!B:B,Source!A:A},2,FALSE)</f>
        <v>10.1787/9ce809d8-en</v>
      </c>
    </row>
    <row r="73">
      <c r="A73" s="19" t="str">
        <f t="shared" si="1"/>
        <v>57ed03a</v>
      </c>
      <c r="B73" s="36" t="s">
        <v>155</v>
      </c>
      <c r="C73" s="5">
        <v>1.0</v>
      </c>
      <c r="D73" s="5" t="b">
        <v>0</v>
      </c>
      <c r="E73" s="36" t="s">
        <v>154</v>
      </c>
      <c r="F73" s="19" t="str">
        <f t="array" ref="F73">VLOOKUP(E73,{Source!B:B,Source!A:A},2,FALSE)</f>
        <v>10.18356/55fea2f6-en</v>
      </c>
    </row>
    <row r="74">
      <c r="A74" s="19" t="str">
        <f t="shared" si="1"/>
        <v>3d656dc</v>
      </c>
      <c r="B74" s="36" t="s">
        <v>198</v>
      </c>
      <c r="C74" s="5">
        <v>1.0</v>
      </c>
      <c r="D74" s="5" t="b">
        <v>0</v>
      </c>
      <c r="E74" s="36" t="s">
        <v>197</v>
      </c>
      <c r="F74" s="19" t="str">
        <f t="array" ref="F74">VLOOKUP(E74,{Source!B:B,Source!A:A},2,FALSE)</f>
        <v>10.18356/fd80a3d2-en</v>
      </c>
    </row>
    <row r="75">
      <c r="A75" s="19" t="str">
        <f t="shared" si="1"/>
        <v>ac71db1</v>
      </c>
      <c r="B75" s="36" t="s">
        <v>151</v>
      </c>
      <c r="C75" s="5">
        <v>1.0</v>
      </c>
      <c r="D75" s="5" t="b">
        <v>0</v>
      </c>
      <c r="E75" s="36" t="s">
        <v>150</v>
      </c>
      <c r="F75" s="19" t="str">
        <f t="array" ref="F75">VLOOKUP(E75,{Source!B:B,Source!A:A},2,FALSE)</f>
        <v>10.1787/journal/dev-v10-art16-en</v>
      </c>
    </row>
    <row r="76">
      <c r="A76" s="19" t="str">
        <f t="shared" si="1"/>
        <v>fd58c75</v>
      </c>
      <c r="B76" s="36" t="s">
        <v>75</v>
      </c>
      <c r="C76" s="5">
        <v>1.0</v>
      </c>
      <c r="D76" s="5" t="b">
        <v>1</v>
      </c>
      <c r="E76" s="36" t="s">
        <v>74</v>
      </c>
      <c r="F76" s="19" t="str">
        <f t="array" ref="F76">VLOOKUP(E76,{Source!B:B,Source!A:A},2,FALSE)</f>
        <v>10.18356/5022b3a0-en</v>
      </c>
    </row>
    <row r="77">
      <c r="A77" s="19" t="str">
        <f t="shared" si="1"/>
        <v>f85780b</v>
      </c>
      <c r="B77" s="36" t="s">
        <v>175</v>
      </c>
      <c r="C77" s="5">
        <v>1.0</v>
      </c>
      <c r="D77" s="5" t="b">
        <v>0</v>
      </c>
      <c r="E77" s="36" t="s">
        <v>174</v>
      </c>
      <c r="F77" s="19" t="str">
        <f t="array" ref="F77">VLOOKUP(E77,{Source!B:B,Source!A:A},2,FALSE)</f>
        <v>10.18356/0a7c7f99-en</v>
      </c>
    </row>
    <row r="78">
      <c r="A78" s="19" t="str">
        <f t="shared" si="1"/>
        <v>f172dff</v>
      </c>
      <c r="B78" s="36" t="s">
        <v>246</v>
      </c>
      <c r="C78" s="5">
        <v>1.0</v>
      </c>
      <c r="D78" s="5" t="b">
        <v>0</v>
      </c>
      <c r="E78" s="36" t="s">
        <v>245</v>
      </c>
      <c r="F78" s="19" t="str">
        <f t="array" ref="F78">VLOOKUP(E78,{Source!B:B,Source!A:A},2,FALSE)</f>
        <v>10.18356/fb79328d-en</v>
      </c>
    </row>
    <row r="79">
      <c r="B79" s="12"/>
      <c r="E79" s="12"/>
    </row>
    <row r="80">
      <c r="B80" s="12"/>
      <c r="E80" s="12"/>
    </row>
    <row r="81">
      <c r="B81" s="12"/>
      <c r="E81" s="12"/>
    </row>
    <row r="82">
      <c r="B82" s="12"/>
      <c r="E82" s="12"/>
    </row>
    <row r="83">
      <c r="B83" s="50"/>
      <c r="E83" s="12"/>
    </row>
    <row r="84">
      <c r="B84" s="12"/>
      <c r="E84" s="12"/>
    </row>
    <row r="85">
      <c r="B85" s="12"/>
      <c r="E85" s="12"/>
    </row>
    <row r="86">
      <c r="B86" s="50"/>
      <c r="E86" s="12"/>
    </row>
  </sheetData>
  <autoFilter ref="$A$1:$G$961"/>
  <drawing r:id="rId1"/>
</worksheet>
</file>