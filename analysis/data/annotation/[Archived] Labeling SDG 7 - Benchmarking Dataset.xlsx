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hidden" name="Coding Manual" sheetId="2" r:id="rId5"/>
    <sheet state="visible" name="Dina" sheetId="3" r:id="rId6"/>
    <sheet state="visible" name="Finn" sheetId="4" r:id="rId7"/>
    <sheet state="visible" name="Gib" sheetId="5" r:id="rId8"/>
    <sheet state="visible" name="Jean-Baptiste" sheetId="6" r:id="rId9"/>
    <sheet state="visible" name="Meike" sheetId="7" r:id="rId10"/>
    <sheet state="visible" name="Steve" sheetId="8" r:id="rId11"/>
    <sheet state="visible" name="Source" sheetId="9" r:id="rId12"/>
    <sheet state="visible" name="Final Review" sheetId="10" r:id="rId13"/>
    <sheet state="visible" name="Output" sheetId="11" r:id="rId14"/>
    <sheet state="visible" name="Comparison" sheetId="12" r:id="rId15"/>
    <sheet state="hidden" name="Chart Maker" sheetId="13" r:id="rId16"/>
    <sheet state="hidden" name="sdg-mapper" sheetId="14" r:id="rId17"/>
  </sheets>
  <definedNames>
    <definedName hidden="1" localSheetId="11" name="_xlnm._FilterDatabase">Comparison!$A$1:$U$101</definedName>
    <definedName hidden="1" localSheetId="13" name="_xlnm._FilterDatabase">'sdg-mapper'!$A$1:$D$101</definedName>
  </definedNames>
  <calcPr/>
</workbook>
</file>

<file path=xl/sharedStrings.xml><?xml version="1.0" encoding="utf-8"?>
<sst xmlns="http://schemas.openxmlformats.org/spreadsheetml/2006/main" count="4188" uniqueCount="411">
  <si>
    <t>Hello 👋</t>
  </si>
  <si>
    <t>Welcome to the labeling exercise for SDG 7.</t>
  </si>
  <si>
    <t>The objective of this exercise is to label 100 texts in terms of their relevance to SDG 7.</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</si>
  <si>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</si>
  <si>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</si>
  <si>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</si>
  <si>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</si>
  <si>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</si>
  <si>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</si>
  <si>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</si>
  <si>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C.</t>
  </si>
  <si>
    <t>Column D contains a drop-down for picking the appropriate label. The options are:</t>
  </si>
  <si>
    <t>SDG 7</t>
  </si>
  <si>
    <t>This text is relevant to SDG 7</t>
  </si>
  <si>
    <t>NOT SDG 7</t>
  </si>
  <si>
    <t>This text is not relevant to SDG 7</t>
  </si>
  <si>
    <t>SKIP</t>
  </si>
  <si>
    <t>You can use this if you are not sure about the label</t>
  </si>
  <si>
    <t>If you want, you can put any comments in column E.</t>
  </si>
  <si>
    <t>Instructions for Labeling</t>
  </si>
  <si>
    <t>The text should be annotated as SDG 7 only if:</t>
  </si>
  <si>
    <r>
      <rPr>
        <rFont val="Arial"/>
        <color theme="1"/>
        <u/>
      </rPr>
      <t xml:space="preserve">1. The text addresses </t>
    </r>
    <r>
      <rPr>
        <rFont val="Arial"/>
        <b/>
        <color theme="1"/>
        <u/>
      </rPr>
      <t>SDG 7 or one of its targets</t>
    </r>
  </si>
  <si>
    <t>See the official definitions of SDG 7 and its targets below ("SDG 7 Description &amp; Targets").</t>
  </si>
  <si>
    <t>AND</t>
  </si>
  <si>
    <r>
      <rPr>
        <rFont val="Arial"/>
        <color theme="1"/>
        <u/>
      </rPr>
      <t xml:space="preserve">2. The text addresses SDG 7 or its targets </t>
    </r>
    <r>
      <rPr>
        <rFont val="Arial"/>
        <b/>
        <color theme="1"/>
        <u/>
      </rPr>
      <t>directly</t>
    </r>
    <r>
      <rPr>
        <rFont val="Arial"/>
        <color theme="1"/>
        <u/>
      </rPr>
      <t>:</t>
    </r>
  </si>
  <si>
    <t>- the text should be directly relevant to SDG 7 or to achieving SDG 7</t>
  </si>
  <si>
    <t>- if a text only has an indirect relevance, it should not be labeled SDG 7</t>
  </si>
  <si>
    <r>
      <rPr>
        <rFont val="Arial"/>
        <color theme="1"/>
      </rPr>
      <t xml:space="preserve">Example: "We are subsidizing the costs of silicon" does </t>
    </r>
    <r>
      <rPr>
        <rFont val="Arial"/>
        <b/>
        <color theme="1"/>
      </rPr>
      <t>not</t>
    </r>
    <r>
      <rPr>
        <rFont val="Arial"/>
        <color theme="1"/>
      </rPr>
      <t xml:space="preserve"> qualify for SDG 7, even though silicon is one of the materials for making photovoltaic cells and reduced cost of silicon might have indirect benefits for the expansion of solar energy.</t>
    </r>
  </si>
  <si>
    <r>
      <rPr>
        <rFont val="Arial"/>
        <color theme="1"/>
        <u/>
      </rPr>
      <t xml:space="preserve">3. The text addresses SDG 7 or its targets </t>
    </r>
    <r>
      <rPr>
        <rFont val="Arial"/>
        <b/>
        <color theme="1"/>
        <u/>
      </rPr>
      <t>specifically</t>
    </r>
    <r>
      <rPr>
        <rFont val="Arial"/>
        <color theme="1"/>
        <u/>
      </rPr>
      <t>:</t>
    </r>
  </si>
  <si>
    <t>- the text should be specific to SDG 7 and its targets</t>
  </si>
  <si>
    <t>- if a text is about "energy" in general, it may not be specific enough</t>
  </si>
  <si>
    <t>Example 1: "My laptop uses 30 watts of electricity" is related to the topic of energy, but is not related to the objectives of SDG 7.</t>
  </si>
  <si>
    <t>Example 2: "Electricity grids need to be upgraded to withstand extreme weather events" is related to the reliability aspect of SDG 7 and should be labeled as "SDG 7".</t>
  </si>
  <si>
    <r>
      <rPr>
        <rFont val="Arial"/>
        <color theme="1"/>
        <u/>
      </rPr>
      <t xml:space="preserve">4. Annotate as SDG 7 regardless of </t>
    </r>
    <r>
      <rPr>
        <rFont val="Arial"/>
        <b/>
        <color theme="1"/>
        <u/>
      </rPr>
      <t>valence</t>
    </r>
    <r>
      <rPr>
        <rFont val="Arial"/>
        <color theme="1"/>
        <u/>
      </rPr>
      <t xml:space="preserve"> and </t>
    </r>
    <r>
      <rPr>
        <rFont val="Arial"/>
        <b/>
        <color theme="1"/>
        <u/>
      </rPr>
      <t>other SDGs</t>
    </r>
    <r>
      <rPr>
        <rFont val="Arial"/>
        <color theme="1"/>
        <u/>
      </rPr>
      <t>:</t>
    </r>
  </si>
  <si>
    <t>- annotate as SDG 7 regardless of whether the content is discussed in a positive or negative light. We ignore valence (sentiment) for now.</t>
  </si>
  <si>
    <t>- annotate as SDG 7 even if other SDGs are mentioned and annotate as SDG 7 even if SDG 7 is not the "most important" SDG in the text</t>
  </si>
  <si>
    <t>With all that said, please do trust your judgment! I am sure we will have important discussions about these issues next time — which is exactly what we want 😊</t>
  </si>
  <si>
    <t>SDG 7 Description &amp; Targets</t>
  </si>
  <si>
    <t>The official text for SDG 7 is: "Ensure access to affordable, reliable, sustainable and modern energy for all". Below you can see the relevant targets for SDG 7.</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</si>
  <si>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</si>
  <si>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</si>
  <si>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</si>
  <si>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</si>
  <si>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</si>
  <si>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Dina</t>
  </si>
  <si>
    <t>Finn</t>
  </si>
  <si>
    <t>Gib</t>
  </si>
  <si>
    <t>Jean-Baptiste</t>
  </si>
  <si>
    <t>Meike</t>
  </si>
  <si>
    <t>Steve</t>
  </si>
  <si>
    <t>Thank you for being part of this exercise and thanks to OSDG for the dataset! ❤️</t>
  </si>
  <si>
    <t>Construct definition</t>
  </si>
  <si>
    <t>Goal 7. Ensure access to affordable, reliable, sustainable and modern energy for all</t>
  </si>
  <si>
    <t>7.1 By 2030, ensure universal access to affordable, reliable and modern energy services</t>
  </si>
  <si>
    <t>7.2 By 2030, increase substantially the share of renewable energy in the global energy mix</t>
  </si>
  <si>
    <t>7.3 By 2030, double the global rate of improvement in energy efficiency</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</si>
  <si>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</si>
  <si>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</si>
  <si>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Rules of annotation</t>
  </si>
  <si>
    <r>
      <rPr>
        <rFont val="Arial"/>
        <color theme="1"/>
        <u/>
      </rPr>
      <t xml:space="preserve">1. The content addresses </t>
    </r>
    <r>
      <rPr>
        <rFont val="Arial"/>
        <b/>
        <color theme="1"/>
        <u/>
      </rPr>
      <t>SDG 7 or one of its targets</t>
    </r>
  </si>
  <si>
    <t>- affordable/ reliable/ sustainable/ modern energy</t>
  </si>
  <si>
    <t>- the (access to) this energy</t>
  </si>
  <si>
    <t>- energy efficiency / energy renewables</t>
  </si>
  <si>
    <t>- (clean) energy infrastructure</t>
  </si>
  <si>
    <t>- cleaner fossil-fuel technology</t>
  </si>
  <si>
    <t>See the official text for SDG 7 below.</t>
  </si>
  <si>
    <r>
      <rPr>
        <rFont val="Arial"/>
        <color theme="1"/>
        <u/>
      </rPr>
      <t xml:space="preserve">2. The text addresses SDG 7 or its targets </t>
    </r>
    <r>
      <rPr>
        <rFont val="Arial"/>
        <b/>
        <color theme="1"/>
        <u/>
      </rPr>
      <t>directly</t>
    </r>
    <r>
      <rPr>
        <rFont val="Arial"/>
        <color theme="1"/>
        <u/>
      </rPr>
      <t>:</t>
    </r>
  </si>
  <si>
    <t>- the text should be directly relevant for attaining the goals outlined under 1.</t>
  </si>
  <si>
    <t>- the text mentions the content outlined above</t>
  </si>
  <si>
    <r>
      <rPr>
        <rFont val="Arial"/>
        <color theme="1"/>
      </rPr>
      <t xml:space="preserve">Example: "We are subsidizing the costs of silicon" does </t>
    </r>
    <r>
      <rPr>
        <rFont val="Arial"/>
        <b/>
        <color theme="1"/>
      </rPr>
      <t>not</t>
    </r>
    <r>
      <rPr>
        <rFont val="Arial"/>
        <color theme="1"/>
      </rPr>
      <t xml:space="preserve"> qualify for SDG 7, even though silicon is one of the materials for making photovoltaic cells and reduced cost of silicon might have indirect benefits for the expansion of solar energy.</t>
    </r>
  </si>
  <si>
    <t>3. The text addresses SDG 7 or its targets specifically:</t>
  </si>
  <si>
    <t>- if energy is mentioned in relation to the content outlined under 1.</t>
  </si>
  <si>
    <t>- if it is about improvement of energy use it should be labeled as SDG 7</t>
  </si>
  <si>
    <r>
      <rPr>
        <rFont val="Arial"/>
        <color theme="1"/>
        <u/>
      </rPr>
      <t xml:space="preserve">4. Annotate as SDG 7 regardless of </t>
    </r>
    <r>
      <rPr>
        <rFont val="Arial"/>
        <b/>
        <color theme="1"/>
        <u/>
      </rPr>
      <t>valence</t>
    </r>
    <r>
      <rPr>
        <rFont val="Arial"/>
        <color theme="1"/>
        <u/>
      </rPr>
      <t xml:space="preserve"> and </t>
    </r>
    <r>
      <rPr>
        <rFont val="Arial"/>
        <b/>
        <color theme="1"/>
        <u/>
      </rPr>
      <t>other SDGs</t>
    </r>
    <r>
      <rPr>
        <rFont val="Arial"/>
        <color theme="1"/>
        <u/>
      </rPr>
      <t>:</t>
    </r>
  </si>
  <si>
    <t>- valence (sentiment): annotate as SDG 7 regardless of whether the content is discussed in a positive or negative light</t>
  </si>
  <si>
    <t>- other SDGs: annotate as SDG 7 even if other SDGs are mentioned and annotate as SDG 7 even if SDG 7 is not the "most important" SDG in the text</t>
  </si>
  <si>
    <t>5. NOT SDG 7 when:</t>
  </si>
  <si>
    <t>- transportation: when about transportation in energy-efficient way, should be SDG 11</t>
  </si>
  <si>
    <t>DOI</t>
  </si>
  <si>
    <t>Text ID</t>
  </si>
  <si>
    <t>Text</t>
  </si>
  <si>
    <t>Label</t>
  </si>
  <si>
    <t>Comments (optional)</t>
  </si>
  <si>
    <t>10.1787/5kg20639kgkj-en</t>
  </si>
  <si>
    <t>90e3f33798e2cfc95c140ef186fb00a9</t>
  </si>
  <si>
    <t>Sustainability Advantage is a business support service from the Department of Environment and Climate Change NSW. It is designed to help organisations understand sustainability, successfully manage for a better environment and add business value79. Industry' Investment NSW offers “LEAN and green” business master classes for people who want to leam how they can improve business efficiency through the application of “lean” business practices, coupled with environmental sustainability, to reduce costs, increase profits, open new markets and create jobs . Despite initiatives like these, it is not always easy for SMEs to take up training opportunities in skills for sustainability.</t>
  </si>
  <si>
    <t>TO DO</t>
  </si>
  <si>
    <t>10.1787/9789264303119-en</t>
  </si>
  <si>
    <t>3b67ed2c408fb9348a08325fa98f3dbe</t>
  </si>
  <si>
    <t>Furthermore, the most severe accidents have occurred in these stages. Most of the severe accidents involved tankers (collisions, explosions, fires and impact with the ground) and road accidents during regional distribution. In the oil chain, fatalities are fairly evenly distributed among workers and the public (Burgherr and Hirschberg, 2008a).</t>
  </si>
  <si>
    <t>10.18356/fcd1ba6c-en</t>
  </si>
  <si>
    <t>2528f76d29c8a44be2769f22b552e9a8</t>
  </si>
  <si>
    <t>Scepticism about the science is no longer an option: the world’s scientists have never been so unanimous, and so ominous, in their projections of future perils. The bad news is that too many participants in the debate consider a climate policy as consisting primarily of manipulating markets and prices. If the only tool available were market liberalization, then the solution to every problem would seem to be a matter of getting the prices right. But setting a price for carbon emissions is only the beginning of climate policy - not the end.</t>
  </si>
  <si>
    <t>10.18356/7e830810-en</t>
  </si>
  <si>
    <t>0edfe3b90c82ce644cf8c58342f13172</t>
  </si>
  <si>
    <t>Where energy supply is unreliable, firms are more concerned with availability than with efficiency. Similarly, small and medium-size industrial firms find it much harder to get a loan than do larger firms. And while the barriers to energy efficiency are also present in developed countries, they are more formidable in developing countries. What are the appropriate roles of the public and private sectors?</t>
  </si>
  <si>
    <t>10.1787/5k9312v21l6f-en</t>
  </si>
  <si>
    <t>60a148ee953bd6d9349f85d897641289</t>
  </si>
  <si>
    <t>These initiatives need to be encouraged, carefully monitored, and expanded where successful. Fiona Stewart is a principal administrator in the Financial Affairs Division of the OECD’s Directorate for Financial and Enterprise Affairs. The views expressed are the sole responsibility of the authors and do not reflect those of their organisations or the governments of OECD Member countries. The authors are solely responsible for any errors.</t>
  </si>
  <si>
    <t>10.14217/9781848599574-13-en</t>
  </si>
  <si>
    <t>1982e8b824ff8e01f7ec3ac363f26441</t>
  </si>
  <si>
    <t>Electricity grids in the Pacific will need to be strongly interconnected, flexible enough to accommodate this change, and resilient enough to withstand climate impacts, as well as cope with potential demand growth from growing populations and growing electric vehicle use. Commonwealth Pacific small states are more dependent on the fossil fuels used in cars, trucks and boats than for generating electricity, and more cost-effective displacement of fossil fuel can occur through energy efficiency. However, the attention and funding of development partners is not always directed accordingly to these areas. Moreover, although this is improving, consumers generally lack awareness on how they can reduce their energy consumption or be more energy efficient. The International Renewable Energy Agency (IRENA) estimates that deploying renewables worldwide on the scale necessary to limit global temperature rise below 2 degrees would require current investment to double by 2020, and triple by 2030 to around US$900 billion annually (IRENA 2016b).</t>
  </si>
  <si>
    <t>10.1787/9789264188617-en</t>
  </si>
  <si>
    <t>6c094b959f7578c34063732cedc4a7ae</t>
  </si>
  <si>
    <t>The OECD is also at the forefront of efforts to understand and to help governments respond to new developments and concerns, such as corporate governance, the information economy and the challenges of an ageing population. The Organisation provides a setting where governments can compare policy experiences, seek answers to common problems, identify good practice and work to co-ordinate domestic and international policies. The European Commission takes part in the work of the OECD. Current NEA membership consists of 30 OECD member countries: Australia, Austria, Belgium, Canada, the Czech Republic, Denmark, Finland, France, Germany, Greece, Hungary, Iceland, Ireland, Italy, Japan, Luxembourg, Mexico, the Netherlands, Norway, Poland, Portugal, the Republic of Korea, the Slovak Republic, Slovenia, Spain, Sweden, Switzerland, Turkey, the United Kingdom and the United States. The European Commission also takes part in the work of the Agency.</t>
  </si>
  <si>
    <t>10.1787/5kmh3nj5rzs4-en</t>
  </si>
  <si>
    <t>be8a2af1834e66add5d63d32dcf2761e</t>
  </si>
  <si>
    <t>This debate is in line with South Africa's rural electrification agenda, as new power generation will be necessary to service more households. The average official50 unemployment figures are above 20% (see Table 33), excluding the under-employed in the rural and urban areas or those who are not registered in employment agencies. Payment for electricity is an issue for people who have no or very little income. Many cases of domestic violence in newly electrified households have been amply documented. It is argued that domestic trouble starts over priorities when resources are scarce (Habitat for Humanity, 2009). However, the long-term effect of ensuring universal access to electricity should lead to general opportunities for a broad-based economic development.</t>
  </si>
  <si>
    <t>10.6027/9789289330954-4-en</t>
  </si>
  <si>
    <t>138cf928dfb2490a23508d1175375c10</t>
  </si>
  <si>
    <t>The country's potential in developing energy production technologies like wave power and osmotic power is also substantial. Norway is Europe's largest producer of hydropower, which delivers 99% of the country's electricity. On January 1 2008, Norway had a total installed capacity of 29030 MW at 699 hydropower stations larger than 1 MW. The Kvill-dal hydropower station in Rogaland county is Norway’s largest, with a maximum generating capacity of 1240 MW.</t>
  </si>
  <si>
    <t>10.18356/a81ec314-en</t>
  </si>
  <si>
    <t>ddd9ab387d2fc7238a7336e01f4480c3</t>
  </si>
  <si>
    <t>These new partnerships arc working to provide the most cost-cfTcctivc electrification solutions, especially in remote communities that arc often the most disadvantaged in terms of electricity access. Though progress in electrification continued at the regional level, it slowed in the recent period, attributable to population growth in rural areas and the ongoing difficulty of extending services to remote areas. The rate of progress has declined in countries with the largest deficits, namely India, Bangladesh, and Myanmar, while the lowest access rates arc found among a number of Pacific Island and least developed State.4 Though urban areas in most economics have achieved universal access, rural areas lag behind, and, in a few cases with growing rural populations, rural electrification rates are falling.</t>
  </si>
  <si>
    <t>10.1787/9789264180444-17-en</t>
  </si>
  <si>
    <t>0d02b195616490f828e9c7e99e293799</t>
  </si>
  <si>
    <t>The University of Troms0 has over 9 000 students and some 2 500 employees. Since Troms County has only 1% of its surface area classed as cultivable land, agriculture is a relatively minor part of land use. It is mainly located around the coast and was traditionally combined with fishing to form a key part of rural livelihoods. Troms County is at the northern limits of agricultural production possibilities, but the Gulf Stream enables some seasonal farming around the coasts and fjords, while the Sami people also carry out traditional reindeer herding.</t>
  </si>
  <si>
    <t>09d371f072d386c66ae086329a44aa38</t>
  </si>
  <si>
    <t>In 2008, 70.8% of India's total population lived in rural areas, progressively migrating to urban areas at an annual rate of 2.3%, a rate which is below that of many other countries (UNPD, 2008). While such economic development has led to an average increase in the standards of living, it has left the agricultural sector untouched, bypassing most of the rural poor. Therefore, although India has enjoyed a growth of GDP per capita, poverty remains a challenge. Poverty is also more concentrated in some states such as the eastern and north-eastern states as Figure 7 shows. In March 2007, the Indian Planning Commission estimated that over the 2004-2005 Page | 63 period, more than one-quarter of India's total population (27.5%) still lived below the poverty line (BPL), with a distribution of 25.7% urban dwellers and 28.3% rural dwellers (Planning Commission, Government of India, 2007)37 as seen in Table 17. But strong economic growth alone does not bring such amenities to the rural poor.</t>
  </si>
  <si>
    <t>10.1787/5k9crzjbpkkc-en</t>
  </si>
  <si>
    <t>5cbab6e5118d697ee7147b8b0b34ecf1</t>
  </si>
  <si>
    <t>A discussion of the rebound effect in energy efficiency is needed that incorporates not just the expected energy savings from energy efficiency but also the wider socioeconomic outcomes. Policy measures are needed to overcome the market and behavioural failures that lead to less investment in energy efficiency than is optimal. It is important to overcome critical challenges that involve complex synergies and trade-offs among the different aspects of energy efficiency policy.</t>
  </si>
  <si>
    <t>ac46c07bfea1873694224ecfd4ca833c</t>
  </si>
  <si>
    <t>For developing countries, it is based on the evolution of absolute poverty (i.e. the proportion of population living on less than $1 a day). For developed countries, poverty is measured as relative income poverty (i.e. with the threshold set as a percentage of the median income in each countty in each of the years considered). Only a few OECD countries have “official” measures of poverty that rely on “absolute" standards, typically in the form of the cost of a basket of goods and services required to assure minimum living conditions and indexed for price changes over time.</t>
  </si>
  <si>
    <t>10.1787/5k49dv6c5xmv-en</t>
  </si>
  <si>
    <t>eb2688a4a4cc3e62cf272196046f4f3e</t>
  </si>
  <si>
    <t>Green job growth over the next 5-10 years is expected to be highest in the building and transportation sectors. Higher energy consumption, rising greenhouse gas emissions, road congestion and deteriorating water quality are the negative externalities that have come with urban growth. Many metropolitan regions across the OECD have turned their attention to the concept of green growth as a means of increasing economic competitiveness through addressing environmental challenges (Box 1.1). What do we mean by urban green growth?</t>
  </si>
  <si>
    <t>10.18356/cefc94d2-en</t>
  </si>
  <si>
    <t>03aceee76df8ed0511df92e8262c69c8</t>
  </si>
  <si>
    <t>Tracking progress towards achieving the Sustainable Development Goals requires the collection, processing, analysis and dissemination of data and statistics at the subnational, national, and regional levels, including those derived from official statistical systems and from new and innovative data sources. Many national statistical systems face serious challenges in this regard. As a result, accurate and timely information about certain aspects of people's lives are unknown, and many development challenges are still poorly understood.</t>
  </si>
  <si>
    <t>7b76b91e09d54abc84b480f0db7f37e8</t>
  </si>
  <si>
    <t>Low-wage residents are less likely to have access to a car, and commuter train lines and bus routes do not serve the south side of the Tri-State metro-region as well as they serve other parts of the region. Commuting times are even longer for those who commute across the region instead of following the hub and spoke system. Investment in public transport infrastructure does not sufficiently respond to demand for access to jobs, especially in lower -income neighbourhoods. While the Tri-State metro-region ranks high among OECD regions on many technology-based innovation indicators in terms of volume, its position has slipped and it is not among top regions when controlling for the size of its population and economy. For instance, in terms of patents per capita, the Tri-State metro-region ranked 23rd among OECD metro-regions and 11th among US metro-regions in 2007, the last year for which data are available, it ranked 27th and 12th, respectively, when adjusting for GDP (Table 1.5). These are hardly poor scores, but neither do they suggest that the Tri-State metro-region is fulfilling its innovation potential, particularly given that it ranks below so many other US metro-regions, including San Diego, San Francisco, New York, Boston, Los Angeles and Houston.</t>
  </si>
  <si>
    <t>881afd0ec024eaac99cb05f2a12897f2</t>
  </si>
  <si>
    <t>If the latter are already difficult to determine for marketed goods, the intrinsic complexity of external costs prevents the establishment of social welfare functions adopting a broader notion of welfare. To a large extent social costs are external, i.e. not internalised, precisely because no well-defined utility functions exist. Discussion quickly shows that any framework based solely on static optimisation will run into internal contradictions.</t>
  </si>
  <si>
    <t>10.18356/bcf52e9f-en</t>
  </si>
  <si>
    <t>8852c54a8b7143f8c44fe58eff9c0b84</t>
  </si>
  <si>
    <t>For low-level consumption the higher income group is charged 150 per cent of the price paid by the low-income group. With a sufficiently large consumer base that has enough high-income consumers, the water tariff enables the recovery of costs and the progressive structure supports poor people. The costs are associated with operating, maintaining and extending the water networks and providing basic levels of service.</t>
  </si>
  <si>
    <t>10.1787/5k3wb8fmsz6h-en</t>
  </si>
  <si>
    <t>1f58c4b1c412bf3dfc7812daa145daa7</t>
  </si>
  <si>
    <t>Many off-shore wind farms have already been built and some governments are actively pursuing the large-scale deployment of this technology. Other low-carbon technologies such as CCS, which has a huge potential, are less mature and require a longer-term vision. Even where carbon pricing has been introduced, these technology policies have been kept or even accelerated.</t>
  </si>
  <si>
    <t>10.1787/5kg7068011hb-en</t>
  </si>
  <si>
    <t>b4ff5d93a99f6112f717a546f404b3c4</t>
  </si>
  <si>
    <t>In 2009, wind energy accounted for 56%of global clean energy investment. Investment in solar energy follows wind’s leading position and is poised to expand as a result of declining solar energy prices and the potential of new, thin-film technologies as noted by Pew (2010). New investment in biomass, geothermal and small hydro seems to play a marginal role in the total market (see Figure 7). Financial sector new investment (incl.</t>
  </si>
  <si>
    <t>10.1787/9789264236813-6-en</t>
  </si>
  <si>
    <t>a5c19681ebb07ae9341468a13396d831</t>
  </si>
  <si>
    <t>In 2012,63% of trips during morning and evening peak times were on public transport, compared to 59% in 2008. To increase this number even further, the LTA aims to make the transport system even more accessible and competitive. By 2030, 80% of households should be within a 10-minute walk of a train station, 85% of public transport journeys (less than 20km) will be completed within 60 minutes and 75% of all journeys in peak hours will be via public transport.</t>
  </si>
  <si>
    <t>10.18356/665c59ff-en</t>
  </si>
  <si>
    <t>85b6a7e4c9eb4f7a2467b2b1b96596cd</t>
  </si>
  <si>
    <t>The surveys fed into the "Sustainability Index Consortium", an open platform database that allowed for analysis of the information collected from Walmart's 100,000 suppliers. At a Global Sustainability Milestone Meeting in Beijing in 2008, Walmart's chief executive officer announced plans to expand participation to 70 per cent of suppliers by 2017, making clear that failure to participate in the index would lead to removal of the firm from Walmart's supply chain. They typically address quality, cost and delivery procedures and, increasingly, environmental processes.</t>
  </si>
  <si>
    <t>10.18356/a2206e44-en</t>
  </si>
  <si>
    <t>4c567911242e96a326b0d95605fa3573</t>
  </si>
  <si>
    <t>Since poor households tend to consume little electricity, they would likely benefit from overall reduced rates, or a “lifeline rate”. Commercial and industrial users could be charged higher rates, while SMEs would need more favourable treatment. Other ways to mobilize resources through tariffs include setting a transparent surcharge applied to higher income, commercial or industrial consumers, and using the proceeds to extend the service to poorer consumers.</t>
  </si>
  <si>
    <t>10.1787/9789264224582-8-en</t>
  </si>
  <si>
    <t>1b8096a8c65472366f9a60f60ec1c43b</t>
  </si>
  <si>
    <t>Every time a lender underwrites an eligible loan under this programme, the Connecticut Green Bank reserves a percentage of the loan principal (between 7.5-15%) for the lender in the event of a default (Energize CT, 2013). In the Connecticut model, to promote sound lending practices and share risks, the lender assumes the “first loss” (1.5%) on its portfolio before it is permitted to access the reserve fund. When discussing credit enhancement, the terms guarantee and insurance are often used interchangeably.</t>
  </si>
  <si>
    <t>10.18356/d0196687-en</t>
  </si>
  <si>
    <t>46d475ceaa034365791d668459aa60cb</t>
  </si>
  <si>
    <t>In addition to targets, the scope of instruments related to renewable energy being introduced is also broadening, demonstrating a deepening commitment towards renewable energy. For instance, Sri Lanka, under its latest energy sector development plan, is seeking to significantly increase the share of renewable energy while reducing petroleum imports, which have risen dramatically over the past decades (Sri Lanka, Ministry of Power and Renewable Energy, 2015). Pacific Island States, particularly the Cook Islands, Fiji, Samoa, Tuvalu, and Vanuatu, are leading the region in setting up an ambitious target of 100 per cent renewable energy. Additionally, under the country’s Energy Development Strategic Action Plan, hydro is expected to reach approximately 350 GW.</t>
  </si>
  <si>
    <t>10.18356/e9fa9dd4-en</t>
  </si>
  <si>
    <t>ccafe2a0505dfd1d9932003746ef28d8</t>
  </si>
  <si>
    <t>Moreover, access to water is often intermittent and vulnerable to interruptions caused by droughts or other factors. State of) (2015) Venezuela (Bol. This hinders online access to health, education and government services, and impairs e-commerce among Latin American countries, which could become a tool for regional integration, particularly in the area of digital goods and services.</t>
  </si>
  <si>
    <t>10.6027/fcafdf5b-en</t>
  </si>
  <si>
    <t>52148c3d2fdb1fb63687cf5e2dbe698c</t>
  </si>
  <si>
    <t>Greenland, the Faroe Islands and Svalbard have experienced an increase in tourism levels as well, though at a lower level than Iceland, with a growth ranging from 15% to 45% since 2012. As the duration of the visits have not increased, the increased spending is caused by a higher daily spending by the tourists. Tourism may create short and long-term profits and jobs for a region leading to economic growth, provided it is managed sustainably.</t>
  </si>
  <si>
    <t>10.18356/faf8a648-en</t>
  </si>
  <si>
    <t>99924b6f7da462bb2dc307cbbd942e1d</t>
  </si>
  <si>
    <t>The location was selected because of the competitive labour cost, skills and physical infrastructure. The layout and design of buildings draw from the latest standards developed in the industry, such as those established by the US Customs authority after the September 11, 2001, terrorist attacks, to ensure security of trade, and safety at work, after the fire disasters in Bangladesh textile factories in April 2013. A one-stop government service has been introduced to cut red tape and improve the business environment. The China Civil Engineering Corporation, a leading construction company is building the park as a turnkey "design and build" project.</t>
  </si>
  <si>
    <t>355caa7c220d2fa90e8c0f53f57bf574</t>
  </si>
  <si>
    <t>The central government had been planning to capitalise on the good wind resource in the north of the country by increasing production of wind energy in these areas. It had selected several sites for locating wind farms. However, as the production of RE does not represent a concrete advantage for the hosting communities, and as there is a general perception that negative externalities are not being compensated for by the RE policy, they have tended to oppose them.</t>
  </si>
  <si>
    <t>10.18356/893fb414-en</t>
  </si>
  <si>
    <t>0c0f79ed4ec9a79fca8cc8392ba2c73f</t>
  </si>
  <si>
    <t>Energy poverty both signifies and drives overall poverty. More than 95% of the world population without electricity lives in Sub-Saharan Africa and developing Asia. In Sub-Saharan Africa, two-thirds of the population (620 million people) does not have access to electricity (IEA 2015a). Lack of electricity is generally most prevalent in rural areas.</t>
  </si>
  <si>
    <t>e18ef8fe59453b36226b3a625bcc78b6</t>
  </si>
  <si>
    <t>In the scenario with an 80% renewable share, electricity prices are considerably lower compared to the other scenarios and the number of hours with electricity prices equal to or below zero rises to an astonishing 2 850 hours. A reduced occurrence of electricity prices higher than variable costs in combination with reduced utilisation hours means lower infra-marginal rents for recovering capital costs. Consequently, it is highly questionable whether conventional power plants can be profitably operated with high shares of renewables in energy-only markets with price formation being based on marginal costs.</t>
  </si>
  <si>
    <t>10.18356/aac9b96c-en</t>
  </si>
  <si>
    <t>644786a2151dab6483b6521e865c0f32</t>
  </si>
  <si>
    <t>Energy efficiency has very low priority in practice, determined by the fact that such a large proportion of the population does not have secure and reliable access to energy . This Programme aimed to ensure that the country’s distant regions receive power at a low price. It proposed construction of 189 small HPPs (SHPPs) with a total capacity of 103 MW by 2020, and generation of 800 million kWh of electricity per year.</t>
  </si>
  <si>
    <t>10.1787/9789264202276-9-en</t>
  </si>
  <si>
    <t>05e5041073e7db294006b31a460c46b5</t>
  </si>
  <si>
    <t>There is also a number of construction and operations contracts across the country for wastewater treatment plants, desalination facilities and reverse osmosis units. Because agriculture accounts for 71% of water usage, there are some arrangements whereby farmer associations in the Jordan Valley have been contracted by the local authority to manage water distribution in the area. The number of associations is expected to increase to ten by 2020 (EDP 2011-13).</t>
  </si>
  <si>
    <t>4cf9ebc3e44f6f6fe764d85a6f3abc99</t>
  </si>
  <si>
    <t>In the short-term, a favourable future for the post-2015 sustainable development framework and an ambitious climate deal in Paris will not be possible without policy input. In the longer term, development objectives, including climate-related goals, need policy coherence as well as cash. Governments will need to adapt accordingly.</t>
  </si>
  <si>
    <t>10.1787/5k3w6ljtrj0q-en</t>
  </si>
  <si>
    <t>6cc45f35957a70dc1f450fbc4ab74b22</t>
  </si>
  <si>
    <t>This motivation is still strong with the reality of recession and austerity in many countries making the idea of green employment growth a welcome antidote to the high unemployment rates. Capacity building and skill development within the regional communities are also important benefits of green initiatives.</t>
  </si>
  <si>
    <t>b5fdc51af03856168f0dd458f1c47547</t>
  </si>
  <si>
    <t>The proportion of the region's population living in slums fell from 34% in 1990 to 21% in 2014 (see figure V.19). In terms of absolute numbers however, although 2 million people left the slums, over 100 million still live in such settlements. This is exemplified by the negotiation of the New Urban Agenda, adopted at the United Nations Conference on Housing and Sustainable Urban Development (Habitat III), held in 2016.</t>
  </si>
  <si>
    <t>002f6840660d0e3051543f0ba55c82ca</t>
  </si>
  <si>
    <t>Several hotels and universities have also contracted private firm to construct wastewater treatment plants. Certain groups of consumers - particularly in industry tourism, commerce and agriculture - are expected to pay a tariff reflecting the full cost of water service provision. An increase in the water tariff was approved in late 2010, potentially helping to improve cost recovery, but the Ministry of Water and Irrigation stated in June 2012 that tariffs would not increase further in the near future.</t>
  </si>
  <si>
    <t>10.18356/9a9b4252-en</t>
  </si>
  <si>
    <t>ab620f843a27c589f1c827210740acb6</t>
  </si>
  <si>
    <t>For example, in Kenya, the paper manufacturer Chandaria Industries experienced savings of 40 per cent in energy, 48 percent in materials and 181 percent in water through involvement in the programme. Primary education is critical for developing a semi-skilled labour force. In low-income countries with large rural sectors, it can be vital for equipping farmers with the basic skills necessary to their being informed on and implementing sustainable agricultural and forestry practices. However, while the significance of achieving universal primary education is highlighted by its inclusion as a Millennium Development Goal, secondary, vocational and tertiary education are just as important in the field of green technology. Secondary education can provide core skills and knowledge needed for countries’ economic growth. Vocational schooling can be particularly useful in building technological competencies, successful vocational education also provides important links between education and industry.</t>
  </si>
  <si>
    <t>10.18356/73c3a080-en</t>
  </si>
  <si>
    <t>62d5095d5d7ac925505de89dc9f446e1</t>
  </si>
  <si>
    <t>Electricity access is commonly acknowledged as a basic need for human development (Scott and Seth, 2013), and has been described as a moral imperative, socially prudent and an economic necessity (GEA, 2016: 19). Aside from the public-good dimension of safe and reliable electricity supply, consumer protection and guaranteed access are important political-economy considerations (Bamber et al., Such energy-security concerns generally serve to reinforce State control and regulation of the electricity sector (Kuik et al.,</t>
  </si>
  <si>
    <t>e45e89c440f096f7dedfee2104c05be1</t>
  </si>
  <si>
    <t>Looking forward, the development of storage technologies and the development of international interconnections are foreseen to further facilitate the integration of wind and solar power. In these situations, balancing the power system during periods of low load will necessitate further adaptations to maintain the physical parameters of the network. An ongoing IEA work within the Grid Integration of Variable Renewables project (GIVAR) analyses these options in more detail. Hence, it will be necessary in the next 20 years to keep some conventional power plants online to provide ancillary services and ramp-up capabilities.</t>
  </si>
  <si>
    <t>10.1787/9789264096356-en</t>
  </si>
  <si>
    <t>bbae2a4b69f76f38ff7f5668b95ed44e</t>
  </si>
  <si>
    <t>Prices that are too low or too volatile discourage investment. Volatile prices also discourage consumers, particularly if their demand elasticity is low. It is a challenge to reach optimal investments levels. Liquid markets on the one side and long-term contracts on the other are important factors in providing investors in producer countries with the necessary visibility for investing in adequate capacity for production, storage and transport.</t>
  </si>
  <si>
    <t>10.6027/8a4204a0-en</t>
  </si>
  <si>
    <t>3de3a33b6c50a93b9bf0e13ad8c0d089</t>
  </si>
  <si>
    <t>Throughout this week, electricity prices are relatively high, with a clear day-night pattern. Night prices of around 50 EUR/MWh are close to the marginal cost of coal fired power plants, while the higher prices during day times of around 90-100 EUR/MWh are close to the marginal cost of natural gas fired power plants. Total consumption (red dashed line), however, is more constant over the week, because electricity consumption for heating and pumping (pumped storage) increases at night, when electricity prices are low.</t>
  </si>
  <si>
    <t>10.1787/5km5zrrvzr42-en</t>
  </si>
  <si>
    <t>ab3c26a36fa747b6fc4899fb49a3dab5</t>
  </si>
  <si>
    <t>Some energy efficient devices (e.g. variable speed drives) may be more susceptible to voltage or frequency fluctuations on the grid. Energy efficient devices moreover often involve new technology with low operating experience. The highly technical realities underlying such investments result in investors demanding an implicitly higher rate of return to offset the perceived higher risk of energy efficiency projects. Finally, a perception of high transaction costs can emerge because of the small size of EE projects relative to other projects.</t>
  </si>
  <si>
    <t>3f5c7425b73a3628b98b9c9ef3317dde</t>
  </si>
  <si>
    <t>Under this Programme, homeowners received grants of up to US$6,000, deducted from their loans, for incorporating energy efficient measures into their homes, such as east-west orientation, white roofs, radiant barrier insulation under roofs, tinted windows, shading, ceiling fans, energy efficient lighting, and solar or instantaneous hot water systems. Following the adoption of the programme by the Palau Housing Authority, every new housing loan in Palau is eligible for the grant. The programme was later revised to include existing houses and for loans for solar PV.</t>
  </si>
  <si>
    <t>4ab2d07728c9a63879cfc15e268f6aba</t>
  </si>
  <si>
    <t>The percentage of the population that has access to electricity ranges from 18 per cent in PNG to 100 per cent in Samoa (Figure 9.4). A larger proportion of hydro power, for example in Fiji, is likely to reduce the electricity tariff, whereas a country that relies mostly on fossil fuels, such as Kiribati or Tuvalu, is more vulnerable to increasing oil prices. Another factor affecting the residential electricity tariff is whether it is subsidised through the Government budget, for example in Fiji, or using a cross subsidy from larger users of electricity, for example in Vanuatu. Each power utility in each country determines its tariffs differently.</t>
  </si>
  <si>
    <t>1b8b3de79df5c5923493cd5050d3ceae</t>
  </si>
  <si>
    <t>Indeed, the rising incidence of non-standard employment has widened the gap in earnings distribution and contributed to an increase in poverty. In Germany, the total income gain of households has gone to the richest 10 per cent of households since 2003 (Parma and Vontobel, 2009:129). The recent widening of inequalities marked a complete reversal of the previous trend.</t>
  </si>
  <si>
    <t>10.6027/9789289350167-3-en</t>
  </si>
  <si>
    <t>5f74051cc940cc85f3e35bf0c678484f</t>
  </si>
  <si>
    <t>Data over the last 30 years suggests that, had we switched off government subsidies to fossil fuels, global emissions would have been more than a third lower than they actually were in 2010. Countries need to make a SWAP. Nordic countries have started this shift away from fossil fuel subsidies and toward government support to heat pumps as in Sweden, electric cars as in Norway and wind power in Denmark.</t>
  </si>
  <si>
    <t>10.1787/5kgglrw4n7s0-en</t>
  </si>
  <si>
    <t>29d5da40fe85cc32f02d021b960ce2f8</t>
  </si>
  <si>
    <t>Large areas of about 500 000 km2 between Mumbai and Bhopal and in Gujarat are covered by thick basalt layers. If basalt is shown to be a suitable cap rock, it is estimated that this would allow storage of 300 Gt C02 (Sonde, 2007). Three of the nine sites designated so far for UMPP projects are on the coast not far from these potential storage areas.13 For inland sites relying on domestic coal, additional costs of USD 5/tC02 for transporting the C02 are expected compared to coastal sites (Mott MacDonald, 2008). Gas consumption has been rapidly growing at a rate of 8% between 1990 and 2009.</t>
  </si>
  <si>
    <t>05ad33f26eff857ea273b271a7c648f5</t>
  </si>
  <si>
    <t>If too much water is stored behind the reservoir, sections of the river downstream from the reservoir can dry out if an insufficient amount of water is released at certain times of the year. This can lead to detrimental effects on animal and plant life downstream from the facility. Because of this, the channel may show signs of degradation (loss of sediments) or aggradation (accumulation of sediments), depending on whether floods can move the remaining incoming sediments.</t>
  </si>
  <si>
    <t>10.1787/5bbcdeac-en</t>
  </si>
  <si>
    <t>6194ce1da1e7aed5cd5e9929d75f9742</t>
  </si>
  <si>
    <t>An enabling policy environment is important for the development of a strong and competitive renewable energy sector to supply both industrial and domestic consumers. Section 3 identifies key enabling policy factors required for the replicability and accelerated uptake of the available renewable energy solutions throughout the mining sector. Major companies and conglomerates, among others, such as Glencore, Barrick Gold, Rio Tinto, Antofagasta, Codelco and IAMGOLD have all made use of renewable energy in their mines (Table 2.1).</t>
  </si>
  <si>
    <t>10.18356/04b2e7d9-en</t>
  </si>
  <si>
    <t>02bac9d17475999b1e8cd569255dca67</t>
  </si>
  <si>
    <t>Strategies include building national and regional institutional capacity, cost sharing across borders, governance and regulations, enhancing access to modern energy, developing low-carbon and renewable domestic resources, improving regional energy cooperation and energy security, and promoting private sector participation in energy development. One key focus area is the development of hydropower potential, especially in the Lao People's Democratic Republic. Other activities pertaining to the energy sector include issues related to development of new and renewable sources (including small hydro), addressing the food-energy nexus, standardization and testing. These are captured in the BIMSTEC Memorandum of Understanding on Grid Interconnection.</t>
  </si>
  <si>
    <t>10.6027/9789289349918-3-en</t>
  </si>
  <si>
    <t>725de70f6686eefb96c1653b790d6b6a</t>
  </si>
  <si>
    <t>A way to improve energy efficiency is to tap the huge potential for efficiency gains in the building sector which is the largest single energy consumer in Europe, absorbing 40% of final energy. About 75% of buildings are energy inefficient and, depending on the Member State, only o.4-1.2% of the stock is renovated each year. ( The energy efficiency target on EU level is set on fixed Mtoe-level for final energy and primary energy use in 2030, and the Member States have to set their targets so that this target will be reached. The Commission will lay down a process to ensure that the contributions add up to the Union's 2030 energy efficiency target in the legislative proposal on Energy Union Governance.</t>
  </si>
  <si>
    <t>10.18356/95417570-en</t>
  </si>
  <si>
    <t>c6c0c3f173e584185fcd6269ca3ff227</t>
  </si>
  <si>
    <t>However, in the earlier stages, RD&amp;D accounts for a larger share of performance improvements and cost reductions. While the depression is very disruptive and particularly destructive for the poor, it does at least potentially sow the seeds of renewal, provided that the world is prepared to make the necessary institutional and financial investments. This needs to occur without risking irreversible changes in ecological, biophysical and biochemical systems.</t>
  </si>
  <si>
    <t>10.18356/e1196521-en</t>
  </si>
  <si>
    <t>1c4e0e93da40bc305d44546ba12ada49</t>
  </si>
  <si>
    <t>Additionally, renewable energy depends on variable wind, sun and exogenous conditions that are intermittent and more difficult to schedule than conventional fossil fuels. Given the limited and still developing electricity storage technology' at utility scale, it is economical to integrate intermittent renewables into larger, flexible electricity systems. The fossil fuel-based generation can be backed down when renewables are available, and with an electricity grid system that covers large geographical areas, the available average renewable resources would be easier to schedule.</t>
  </si>
  <si>
    <t>0856c7a172a9fe91126e6e9d82492c9b</t>
  </si>
  <si>
    <t>Sources of energy like geothermal, tidal power, hydrogen, nuclear fusion and so forth will require a more visionary approach and even greater scientific and technological advancement. These advances, in turn, will require substantial investment which, at present, is not forthcoming from public and private sources on a large enough scale. Only by ensuring a reliable, affordable supply of energy will it be possible to chart a stable course for economic recovery and growth. Addressing energy insecurity and transforming the global energy system must therefore constitute a major priority for any long-term programme of economic and climate stabilization in advanced countries. Such a course will simultaneously address the climate challenge.</t>
  </si>
  <si>
    <t>10.1787/saeo-2017-8-en</t>
  </si>
  <si>
    <t>d974c1ee71b4e0f13b3df4e577c038e4</t>
  </si>
  <si>
    <t>This corresponded to 32% of the total final energy consumption in the entire region. In parallel, India’s industry will play an increasingly important role as a driver for energy consumption in the region. While India’s industry accounted for 7% of the TFC in emerging Asia in 2013, this share is expected to increase to 13% by 2040.</t>
  </si>
  <si>
    <t>04922124925495a57473febc0637998d</t>
  </si>
  <si>
    <t>Electrification of schools, however, is facing problems largely stemming from lack of information about the number of schools and their electrification status. Some municipalities fail to report the number of schools in their area or fail to provide accurate information on whether the schools are electrified or not. It is clear that this poses a major constraint for the entities in charge of the electrification of the as-yet un-electrified schools.</t>
  </si>
  <si>
    <t>10.1787/9789264278530-8-en</t>
  </si>
  <si>
    <t>69c3547d0a4dde1fb18ad2e5e8654d0a</t>
  </si>
  <si>
    <t>It provides financial assistance to producers to install and maintain conservation practices on eligible agricultural and forest land. Energy conservation projects occur as part of the On-Farm Energy Initiative. Landscape AgEMPs have been available since 2009, and take a more holistic view of on-farm energy use, addressing issues, such as water use and erosion. Once the initial energy audit is complete, EQIP helps farmers develop a plan for implementing conservation practices.</t>
  </si>
  <si>
    <t>2cd4fdfbe38a99441412e37921a2da5d</t>
  </si>
  <si>
    <t>Given industry’s substantial contribution to global energy intensity, credible specific industrial energy-efficiency targets must be formulated. But to keep increases in industrial energy consumption to the minimum required to satisfy development needs, future efficiency efforts must be ambitious. They must double today’s pace and reach energy intensity reduction rates similar to those in the 1990s. Doubling the industrial energy-intensity reduction rate is consistent with a similar exhortation made at the global level in the AGECC (2010) report.</t>
  </si>
  <si>
    <t>66e3db40126ffb45baee5598c3121304</t>
  </si>
  <si>
    <t>The development of a shared evidence base and understanding of the city’s problems will help future planning and enable Sydney to better showcase its strengths and weaknesses to State and Federal policy makers. This is particularly relevant to the sustainability agenda where key stakeholders were beginning to come together across the city. Building on these relationships and partnerships should be a priority, in order act as a catalyst for a citywide sustainability strategy, which could potentially be seen as a working template for future city wide strategic partnerships and work.</t>
  </si>
  <si>
    <t>7cf11d73e5bb2de5ea82cb92952a4065</t>
  </si>
  <si>
    <t>Despite benefiting from past investments that have given it the second-longest commuter rail system in the US, investment has not kept up with the region’s needs. The Chicago Tri-State metro-region's competitiveness is being undermined in part by the growing inadequacy of its transportation infrastructure, which is typified by high rates of road congestion. Over 80% of the 4 009 stream miles assessed in Illinois are considered sufficiently polluted to prohibit primary human contact (e.g. swimming) (IEPA, 2010).</t>
  </si>
  <si>
    <t>305254be699b0759eb03d5ef6b6c603d</t>
  </si>
  <si>
    <t>More specifically, it analyses the impact of risks - actual and perceived -associated with EE projects. Much has been written about the many barriers to energy-efficiency investments, including market organisation, price distortions, split incentives, lack of information, transaction costs, institutional biases, product availability, regulatory policy, and others.3 This report does not delve into the full array of these barriers. Instead, it focuses on the financial and risk barriers.</t>
  </si>
  <si>
    <t>07f17e85fc779d9e2b6f72fc7e884546</t>
  </si>
  <si>
    <t>There are, however, many other potential impacts of accidents that are borne by the society as a whole and for which the internalisation is less straightforward and more complex. This is the case for the economic consequences on health and on the business property of a third party or on the environment. The entity liable for the accident is held responsible for the victims’ compensation, which ensures a certain internalisation of accident costs.</t>
  </si>
  <si>
    <t>11.1002/pub/80f4cf5d-443a6582-en</t>
  </si>
  <si>
    <t>96e05c536ae4c2f5e574d841bb9a5d41</t>
  </si>
  <si>
    <t>The IAEA uses ICTs to support Member States in improving the functionality, safety and security of existing and new Nuclear Power Plants (NPPs) to ensure Affordable and Clean Energy (SDG 7) and improve Industry, Innovation and Infrastructure (SDG 9) by managing complex nuclear lifecycle technology systems. However, the applications of nuclear techniques - and the IAEA's work -in fact extend far beyond just nuclear energy. The IAEA's work extends into the education and training of health professionals in nuclear medicine techniques (SDGs 3 and 4 on health and education, respectively), monitoring of marine contaminants (SDG 14).</t>
  </si>
  <si>
    <t>f6d5efdef2f9ea14a47527c057a04920</t>
  </si>
  <si>
    <t>Compared with other instances of social costs, one may think of tobacco smoking or lead concentration in drinking water, this process has developed reasonably quickly. First, there is public awareness and opinion creation by means of public communication. These may be commercial means of communication, such as television or newspapers, but also non-commercial means of public awareness creation such as demonstrations, sit-ins, public speeches and the like. Again, information is the first step in internalising external costs. This way, the set of choices is transformed into new choices that integrate a higher share of public concerns.</t>
  </si>
  <si>
    <t>6aa485324a3569130ee0e8a864026cc3</t>
  </si>
  <si>
    <t>Although specific training and one-on-one guidance was necessary for the initial transactions, the deals that followed were orchestrated by the local banks. The programme would probably not have been so successful without the indirect training of personnel and bankers. Such sustainable success was also found in the Eastern European implementation of the programme by the IFC.</t>
  </si>
  <si>
    <t>10.18356/f00277f1-en</t>
  </si>
  <si>
    <t>51623ee78c26efaa4fbc70e63e7d503a</t>
  </si>
  <si>
    <t>Energy efficiency targets are now in place at all levels of government. Nevertheless, in all countries and economic sectors, increased synergies between renewables and energy efficiency measures are possible, and oftentimes strengthening one will, in turn, strengthen the other. In both technical and policy contexts, renewable energy can have a positive effect on energy efficiency—and vice versa. Each of these steps presents opportunities to strengthen the energy efficiency of the overall system.</t>
  </si>
  <si>
    <t>10.1787/9789264284319-9-en</t>
  </si>
  <si>
    <t>5c18bc73a355e3bb2f41f8006c717c65</t>
  </si>
  <si>
    <t>In addition, in 2014, EUR 5.8 mln from local budgets was used to finance eneigy efficiency measures (EEA, 2015). To date, there have been three calls. The first, in 2013, was launched for public institutions (including schools and hospitals), resulting in the selection of 86 projects worth a total of MDL 135 mln (about EUR 78 000 per project on average).</t>
  </si>
  <si>
    <t>97d9dbfe4eb2a9a7c84995452bf460f9</t>
  </si>
  <si>
    <t>An innovative economy is based on interactive learning, information exchange, timely availability of finance and other resources, and coordination among firms, universities, research centres, policymakers and other actors. Building technological capacities can help developing countries “catch up” with more advanced countries, and innovation policy must play an important role in facilitating sustainable development. The present chapter argues that green sustainable development-oriented innovation policies should be an integral part of countries’ national development strategies.</t>
  </si>
  <si>
    <t>448cfebe196e9aed00270dbd6ed9d3ce</t>
  </si>
  <si>
    <t>Not only does this have potentially negative effects on gender pay gaps and levels of social inclusion, but also Sydney is not fully utilising the skills currently available in its workforce. Moreover, this mixed labour market picture suggests that the low levels of unemployment are masking higher levels of inactivity. Youth unemployment is also high, although this is very much a global trend amongst advanced economies.</t>
  </si>
  <si>
    <t>5541a26c0b86bbefdc00ed32a2db20ad</t>
  </si>
  <si>
    <t>Connecting an individual consumer to a power plant would be prohibitively expensive. However, each additional customer in the area reduces the average cost for all involved since the cost for connecting the additional customer is small. The physical link through the grid, however, not only links customers to a producer but also links all producers with each other.</t>
  </si>
  <si>
    <t>2a4a860f00bf75ceb5044e7061fd399c</t>
  </si>
  <si>
    <t>Those efforts usually require discrete but complementary top-down actions by governments. Some cases exist, however, in which a natural, market-led and bottom-up co-evolution of development occurred, as with the Kumasi Hub recycling project in Ghana. This vehicle repair and metal-working cluster in Suame, a constituency in the Kumasi Metropolitan district, is remarkable for its scale and the technical skills available.</t>
  </si>
  <si>
    <t>10.1787/5km4knxj9tf3-en</t>
  </si>
  <si>
    <t>66a0af05514ab3e6020cb5da06ec99fd</t>
  </si>
  <si>
    <t>This section focuses specifically on energy supply, the next section considers energy use. The approaches and tools presented here address, in turn, the policy, regulatory, and economic dimensions of the enabling environment. National energy policies should integrate renewables into the country’s energy portfolio, engage the private sector in technology development, build confidence in the financial community about renewable technologies, and where appropriate co-ordinate investments across national boundaries (IEA, 2001). Such policies can support co-operation among institutions and provide guidance in selecting low-carbon options tailored to unique country circumstances and priorities.</t>
  </si>
  <si>
    <t>23f59c31e9d0ddbb55a5f4b2df177abb</t>
  </si>
  <si>
    <t>Although its ranking in terms of GDP per capita among OECD metro-regions is not as high as it is in terms of GDP (16lh among the 90 metro-regions vs. 8lh), Chicago still counts among the big players in the OECD urban world. With GDP per capita over USD 55 000 in 2008, Chicago ranked higher than traditionally rich European metro-regions such as London, Stockholm, Helsinki, Amsterdam-Utrecht, Paris and Milan (Figure 1.2). Among US metro-regions, Chicago’s GDP per capita is similar to that of San Diego and Philadelphia, but below that of a number of US metro-regions such as New York, Los Angeles, San Francisco-Oakland, Boston or Houston.</t>
  </si>
  <si>
    <t>10.6027/9789289329163-8-en</t>
  </si>
  <si>
    <t>2d9020466b5292b7a7e34b4d706eef80</t>
  </si>
  <si>
    <t>This kind of system has been used successfully in Norway over a decade. As trees grow they continuously sequester carbon from the atmosphere. As cellulose, hemicellulose, lignin and other wood and bark components will be used for new purposes carbon can be stored for longer times in plastics and fabrics, and for shorter times in pharmaceutical products, chemicals, food and beverages, and so on.</t>
  </si>
  <si>
    <t>2a678f26ee1012ffd2f13e781a70ad92</t>
  </si>
  <si>
    <t>In its recent national plan, the Kiribati Development Plan 2016-19, the government has focused on improving infrastructure for the energy sector, including in renewables. The Kiribati Joint Implementation Plan on Climate Change and Disaster Risk Management notes the vulnerability of women, youth and children. In the past, Nauru’s economy was dependent on the phosphate industry, which also fuelled its energy demand.</t>
  </si>
  <si>
    <t>10.1787/5kg51nfc1321-en</t>
  </si>
  <si>
    <t>baebc2406cec83bb365787cbd8c18104</t>
  </si>
  <si>
    <t>This option could lead to achieving the goal of a 40% reduction in energy intensity by 2030. The largest impact in energy intensity reduction will stem from efficiency improvements in the industrial and residential sectors. These products must be rapidly distributed on a large scale to achieve energy savings and reduce worldwide emissions.</t>
  </si>
  <si>
    <t>10.18356/feb1987a-en</t>
  </si>
  <si>
    <t>8a3a6ccb763c0d5c97e81708e6e0a40a</t>
  </si>
  <si>
    <t>At the operational level, a skilled workforce is needed for building and operating installations. The main instruments for reaching policymakers and C-Level decision makers are industry-run instruments. An example at the national level in Germany is the "Maritime LNG Platform"15 and at the international level "Sea\LNG"’4. On the shore.no particular competence standard or model courses for training of personnel directly involved in LNG operations or indirectly related to LNG operations exist.</t>
  </si>
  <si>
    <t>e1bcf5fe2ef14dbec5a8169cb1a36703</t>
  </si>
  <si>
    <t>However, at high penetration levels of variable renewables, i.e. above 20% of annual generation, the increase of variability and uncertainty leads to new challenges. The four challenges are summarized in the following table. The system operator needs to have enough capacity available during the hours where electricity demand is the highest, plus a reserve margin to cope with contingencies.</t>
  </si>
  <si>
    <t>10.18356/1e8b62ff-en</t>
  </si>
  <si>
    <t>96a7c26e6b1dc4def35ff6ebdbff9d86</t>
  </si>
  <si>
    <t>However, urbanization represents an additional challenge. Rapid increases in urban electrification rates in recent years have not matched the absolute increase in urban population, so that the number of urban dwellers without access to electricity has continued to rise. The continuation of such rapid urbanization, together with progress towards universal access, is likely to result in still greater pressure on the (already poor) T&amp;D infrastructure, reinforcing the need for upgrading.</t>
  </si>
  <si>
    <t>4cb4009dc0f591e05e2f3e8e69a32234</t>
  </si>
  <si>
    <t>By 2014, more than 1,000 microhydro systems had been installed, with total generating capacity of 22 MW, providing off-grid electricity access to 20 per cent of the population. Credible long-term policy commitment, with flexible approach to implementation and reduced administrative burdens, is essential to sustaining mini-grid deployment. In this respect, the availability of a potential anchor load — i.e., a consumer of a large and possibly stable proportion of the power generated (for instance a small factory, hospital or farmer cooperative) — supplementing households’ electricity demand is usually critical to support mini-grid profitability and increase capacity utilization.</t>
  </si>
  <si>
    <t>e5b9f53cfda6ec1c21ceadb708f69d48</t>
  </si>
  <si>
    <t>The world’s leaders call for massive investment in the developing world, and UNEP insists that this investment be in green development. The International Energy Agency estimates that some $44 trillion - over and above the business-as-usual scenario - will be needed by 2050 to meet even the lowest of the IPCC’s estimates for stabilizing global climate, most of it in the developing world. Indeed, the agreements and contracts signed contain clauses that make a sustainable approach to development well-nigh impossible. We call for one thing in our political declarations, but do a very different thing in reality.</t>
  </si>
  <si>
    <t>0bb74afcdcfc75d8381638bb154c4a29</t>
  </si>
  <si>
    <t>In most countries governments are significant energy users, and government operations present significant opportunities for efficiency improvements. By procuring energy efficiency services from the private sector, governments can help build capacity and critical mass within this important service sector. This is a win-win option, since energy use is major public sector expense.</t>
  </si>
  <si>
    <t>d8af30adabb56201cb5606f036364f14</t>
  </si>
  <si>
    <t>Significant restructuring of the region’s economy over the past twenty years has transformed the demand for skills, making it more difficult for low-skilled workers to find employment in more knowledge-based, innovation-driven, growing sectors. Despite the higher-than-average levels of educational attainment in the region, chronic low graduation rates from the region’s public post-secondary educational institutions, particularly community colleges, slows the upgrading of the region’s workforce. Further, the increase in specialisation towards higher value-added activities in the Chicago Tri-State metro-region has not gone hand in hand with an increase of the share of the labour force with high qualifications.</t>
  </si>
  <si>
    <t>10.18356/6e8bb756-en</t>
  </si>
  <si>
    <t>30c83a848738f5d86d6bd284107e5232</t>
  </si>
  <si>
    <t>In the EU, for instance, there was a rapid increase in the market share of the most energy-efficient appliances. Sales of Class A refrigerators increased from less than 5 per cent of total sales in 1995 to 23 per cent in 2000 and 61 per cent in 2005, in addition, 19 per cent of refrigerators sold in 2005 were in the two new, more efficient classes (A+ and A++). For washing machines, progress was even more rapid: with an increase in sales of 1 per cent in 1996, 38 per cent in 2000 and 90 per cent in 2005.</t>
  </si>
  <si>
    <t>10.1787/5k3wb8h0dg7h-en</t>
  </si>
  <si>
    <t>08f9f7626f2c2baf6922a89d1b569335</t>
  </si>
  <si>
    <t>Since 2007 Italy has provided tax relief for energy efficiency improvements to existing buildings including the installation of double-glazed windows, thermal insulation, high-efficiency boilers and the installation of solar panels. In 2009, building owners submitted 240,000 tax credit applications. As the programme was originally expected to be terminated in 2010, the number of applications in 2010 exceeded the previous year by around 71%.</t>
  </si>
  <si>
    <t>229d51baaa3e76c88692e28a318c6720</t>
  </si>
  <si>
    <t>Nigeria’s severe shortage of energy prompted the government to establish the University of Lagos National Centre for Energy Efficiency and Conservation in 2008, which is responsible for R&amp;D in energy-efficiency and -conservation options and technologies. Following the 2010 enactment of the Russian Federation’s energy-efficiency legislation, the country has intensified efforts to create an R&amp;D capacity in energy efficiency. The Russian Federation recognizes the role of a growing number of organizations engaged in research on improving energy efficiency, such as the Centre for Energy Efficiency, the Sustainable Energy Development Centre and the Institute of Energy Strategy. Standards for industrial equipment and system optimization can make it easier for firms to trade off capital and energy costs, but they can also impose limits on product choice and undesirable costs for adopters.</t>
  </si>
  <si>
    <t>11.1002/pub/807e55db-ec047466-en</t>
  </si>
  <si>
    <t>0e70884074d0aaff7bcc68c77c674a8b</t>
  </si>
  <si>
    <t>According to the battery specification, the voltage is 3.3 V and capacity is 0.8 Ah, which implies Cphone = 2.96 [12]. The final parameter is calculated as F = 0.375, derived from the average monthly charging expenses of $2.25 and the average price per charge of $0.20 [3]. Consequently, Ephone = 24.5.</t>
  </si>
  <si>
    <t>4a01cc17157fe6fb3a1155729326dc7f</t>
  </si>
  <si>
    <t>By creating an enabling environment for the emergence of income-generating or income-improving activities, electrification projects can directly contribute to poverty eradication policies. Benefits for agricultural production include irrigation (perhaps with the use of water pumps), increased utilization of motors, food processing, refrigeration and also better access to training through information and communication technologies (ICT). Successful electrification programmes linked to agriculture would not only result in more competitive farming and create employment opportunities, but would also improve trading opportunities and local food security, including through the reduction of post-harvest losses.</t>
  </si>
  <si>
    <t>b9444ad7737b7622d6c248eff6b124ee</t>
  </si>
  <si>
    <t>Building an attractive rurality for young people is a major public policy challenge. Restoring the attractiveness of rural areas and achieving a new inclusive and equitable rurality is fundamental for rural territories to benefit from having more and better educated young people with a greater capacity for innovation. Thus, the rural agenda increasingly overlaps with the indigenous agenda, which includes an integral vision of that world, as territory and habitat, and not only as a space and production resource. Nonetheless, public must also be formulated for rural Afrodescendent populations, which are significant in various countries and constitute one of the least visible social groups.</t>
  </si>
  <si>
    <t>10.6027/9789289330718-10-en</t>
  </si>
  <si>
    <t>87e874216f787a9abf3e6bb66f9fb712</t>
  </si>
  <si>
    <t>Both systems also heat water, which integrates with the existing systems on campus to heat the buildings and provide hot water on campus. The system not only provides a sustainable energy system for the campus. For northern communities, the bioenergy project shows how future energy supply in areas with access to biomass may provide a sustainable energy supply.</t>
  </si>
  <si>
    <t>0bc3671b295153b56be5727afdf182de</t>
  </si>
  <si>
    <t>On the production side (industry, commerce and agriculture), significant changes are expected as the economy grows nearly eightfold. This implies a massive expansion of the commercial/services sector (by a factor of six), a significant expansion of manufacturing activity, and more limited growth of activity in agriculture. However, water needs to be pumped from increasing depth and this is the main source of electricity demand in agriculture. Sources: IEA, 2009b, IEA, 2010a, IEA, 2009c.</t>
  </si>
  <si>
    <t>10.18356/5b6c49ea-en</t>
  </si>
  <si>
    <t>cb7bc8e45845a3c9f2ff7666fe2eaddd</t>
  </si>
  <si>
    <t>While it is correct that, aside from hydro (the potential of which is low but of high quality) and wind (which provides low-quality power), modern renewables continue to be significantly more expensive, economic limits are ultimately a lesser constraint, as they can be overcome with political will and special efForts. In fact, most energy technology debates completely disregard associated socio-political limits. In pluralistic democracies, the “not-in-my-backyard” (NIMBY) attitude is a powerful factor.</t>
  </si>
  <si>
    <t>10.1787/9789264115118-7-en</t>
  </si>
  <si>
    <t>10c26acfd397b509bd035a8bd93401d5</t>
  </si>
  <si>
    <t>According to the IEA’s WEO-2011, 1.3 billion people - nearly 20% of world population - currently lack access to electricity and about 2.7 billion people - 40% of the world population - rely on the traditional use of biomass for cooking (IEA, 2011a). The outlook suggests that the problem will persist and even deepen in some places. The IEA and World Health Organization estimate that household air pollution from the use of biomass in inefficient stoves would lead to more than 4 000 premature deaths per day in 2030, greater than estimates for premature deaths from malaria, tuberculosis or Human Immunodeficiency Virus (HIV)/Acquired immune deficiency syndrome (AIDS) (IEA, 2011a). The index seeks to capture the quality of energy services as well as their quantity. It is calculated in such a way as to mirror the United Nations Development Programme’s Human Development Index.</t>
  </si>
  <si>
    <t>796317916f6feac7e42344508a947fc6</t>
  </si>
  <si>
    <t>Durante is a fully integrated business that, in addition to fish products, offers a full range of services, including advisory services and franchise systems to mid-scale farmers. It is one of Nigeria's leading fish-farming businesses (NRI, 2014). Durante shifted away from tank culture to pond and cage culture because of power cuts and water constraints.</t>
  </si>
  <si>
    <t>10.1787/9789264115118-6-en</t>
  </si>
  <si>
    <t>8d5c4d3906214299799340e13fe6047d</t>
  </si>
  <si>
    <t>The project is huge on several scales: at 4 800 MW, the plant will be the seventh-largest in the world, and the estimated construction costs of USD 17.8 billion is equivalent to 10% of South Africa’s GDP. The electricity from the plant will provide much-needed supply to South Africa’s mining and other industries, as well as generally supporting the quality of supply for household users. And being situated close to large low-cost domestic resources of coal provides a secure supply of fuel. The decision by the South African government to support this project was backed up by the World Bank which is providing just over USD 3 billion of loans, and USD 2.5 billion from the African Development Bank (Sovacool and Rafey, 2011).</t>
  </si>
  <si>
    <t>315b83d7468f012ed8030ca35ed55a6c</t>
  </si>
  <si>
    <t>Increasingly, governments in high income nations, such as the United States and regional blocs such as the European Union, set market-entry standards that determine the green content of supply chains, particularly for the agricultural and resource sectors, which account for the bulk of Africa's exports. Their power comes from their capacity to threaten non-compliant multinational firms with reputational damage. An alternative strategy by civil society has been to engage big firms in a collective attempt to raise standards and certify best practice.</t>
  </si>
  <si>
    <t>0934a08badd098559da1fff3aedb86a0</t>
  </si>
  <si>
    <t>Some firms might be more sensitive to some types of barriers than to others. One is commonly known as the rebound effect. An example is the driver who replaces a car with a more fuel-efficient model, only to take advantage of its cheaper running costs to drive further and more often. Rebound effects have long been neglected, but their consequences could be profound.</t>
  </si>
  <si>
    <t>f8a730809d29ac515eb7c5e34389c1b6</t>
  </si>
  <si>
    <t>Consequently, there are more business options for the forest industry and forest-based raw materials than ever before. It still needs to be remembered that all four levels must be able to co-exist also in the future, even if their shares may change. All that can be produced without felling trees, e.g. carbon sinks, berries, game, tourism, etc.</t>
  </si>
  <si>
    <t>This text is clearly about energy — but is specific to the objectives of SDG 7?</t>
  </si>
  <si>
    <t>Typos in text</t>
  </si>
  <si>
    <t>"savings of 40 per cent in energy" → SDG 7 or not?</t>
  </si>
  <si>
    <t>Energy conservation is not explicitly part of SDG 7, but should be considered SDG 7 for all intents and purposes?</t>
  </si>
  <si>
    <t>typos in text</t>
  </si>
  <si>
    <t>tricky: quality of supply + low cost vs fossil fuels</t>
  </si>
  <si>
    <t>Could be labelled SDG 7 but there is a spelling mistake in "eneigy"</t>
  </si>
  <si>
    <t>See 7.3.</t>
  </si>
  <si>
    <t>SDG 12 also relevant</t>
  </si>
  <si>
    <t>doi</t>
  </si>
  <si>
    <t>text_id</t>
  </si>
  <si>
    <t>text</t>
  </si>
  <si>
    <t>sdg</t>
  </si>
  <si>
    <t>labels_negative</t>
  </si>
  <si>
    <t>labels_positive</t>
  </si>
  <si>
    <t>agreement</t>
  </si>
  <si>
    <t>difficulty</t>
  </si>
  <si>
    <t>label</t>
  </si>
  <si>
    <t>Alignment</t>
  </si>
  <si>
    <t>Consensus</t>
  </si>
  <si>
    <t>Rationale</t>
  </si>
  <si>
    <t>the notion of "growing energy consumption" relates to target 7.3</t>
  </si>
  <si>
    <t>but remove the last sentence</t>
  </si>
  <si>
    <t>the last sentence is tricky. We would consider it SDG 7 only, if it was something like "this is the main source of the growing electricity demand in agriculture"</t>
  </si>
  <si>
    <t>accidental mis-classification</t>
  </si>
  <si>
    <t>as long as we fix the typo</t>
  </si>
  <si>
    <t>The "rate" in the text could be referring to something other than electricity (e.g., water rate). To remove the ambiguity, we add the word "energy" in the text: "... transparent energy surcharge ..."</t>
  </si>
  <si>
    <t>Tricky because the sentence is about market share of energy-efficient devices, not devices becoming more energy-efficient. We add the sentence "Over the past decades, appliances have become increasingly energy-efficient." to the beginning to reduce ambiguity.</t>
  </si>
  <si>
    <t>id</t>
  </si>
  <si>
    <t>osdg_text_id</t>
  </si>
  <si>
    <t>comment</t>
  </si>
  <si>
    <t>Large areas of about 500 000 km2 between Mumbai and Bhopal and in Gujarat are covered by thick basalt layers. If basalt is shown to be a suitable cap rock, it is estimated that this would allow storage of 300 Gt C02 (Sonde, 2007). Three of the nine sites designated so far for UMPP projects are on the coast not far from these potential storage areas.13 For inland sites relying on domestic coal, additional costs of USD 5/tC02 for transporting the C02 are expected compared to coastal sites (Mott MacDonald, 2008).</t>
  </si>
  <si>
    <t>we have removed the last sentence about "gas consumption" to reduce ambiguity</t>
  </si>
  <si>
    <t>For developing countries, it is based on the evolution of absolute poverty (i.e. the proportion of population living on less than $1 a day). For developed countries, poverty is measured as relative income poverty (i.e. with the threshold set as a percentage of the median income in each county in each of the years considered). Only a few OECD countries have “official” measures of poverty that rely on “absolute" standards, typically in the form of the cost of a basket of goods and services required to assure minimum living conditions and indexed for price changes over time.</t>
  </si>
  <si>
    <t>fixed typo in text</t>
  </si>
  <si>
    <t>These new partnerships arc working to provide the most cost-effective electrification solutions, especially in remote communities that arc often the most disadvantaged in terms of electricity access. Though progress in electrification continued at the regional level, it slowed in the recent period, attributable to population growth in rural areas and the ongoing difficulty of extending services to remote areas. The rate of progress has declined in countries with the largest deficits, namely India, Bangladesh, and Myanmar, while the lowest access rates arc found among a number of Pacific Island and least developed State.4 Though urban areas in most economics have achieved universal access, rural areas lag behind, and, in a few cases with growing rural populations, rural electrification rates are falling.</t>
  </si>
  <si>
    <t>Since poor households tend to consume little electricity, they would likely benefit from overall reduced rates, or a “lifeline rate”. Commercial and industrial users could be charged higher rates, while SMEs would need more favourable treatment. Other ways to mobilize resources through tariffs include setting a transparent energy surcharge applied to higher income, commercial or industrial consumers, and using the proceeds to extend the service to poorer consumers.</t>
  </si>
  <si>
    <t>The "rate" in the text could be referring to something other than electricity (e.g., water rate), so we added the word "energy" in the phrase "... transparent energy surcharge ..." to remove the ambiguity</t>
  </si>
  <si>
    <t>Electricity access is commonly acknowledged as a basic need for human development (Scott and Seth, 2013), and has been described as a moral imperative, socially prudent and an economic necessity (GEA, 2016: 19).  Aside from the public-good dimension of safe and reliable electricity supply, consumer protection and guaranteed access are important political-economy considerations (Bamber et al., 2014; Scott and Seth, 2013). Such energy-security concerns generally serve to reinforce State control and regulation of the electricity sector (Kuik et al., 2011).</t>
  </si>
  <si>
    <t>fixed academic references in text</t>
  </si>
  <si>
    <t>Over the past decades, appliances have become increasingly energy-efficient. In the EU, for instance, there was a rapid increase in the market share of the most energy-efficient appliances. Sales of Class A refrigerators increased from less than 5 per cent of total sales in 1995 to 23 per cent in 2000 and 61 per cent in 2005, in addition, 19 per cent of refrigerators sold in 2005 were in the two new, more efficient classes (A+ and A++). For washing machines, progress was even more rapid: with an increase in sales of 1 per cent in 1996, 38 per cent in 2000 and 90 per cent in 2005.</t>
  </si>
  <si>
    <t>Tricky because there is a sentence about the market share of energy-efficient devices, not devices becoming more energy-efficient. We add the sentence "Over the past decades, appliances have become increasingly energy-efficient." to the beginning to reduce ambiguity.</t>
  </si>
  <si>
    <t>While it is correct that, aside from hydro (the potential of which is low but of high quality) and wind (which provides low-quality power), modern renewables continue to be significantly more expensive, economic limits are ultimately a lesser constraint, as they can be overcome with political will and special efforts. In fact, most energy technology debates completely disregard associated socio-political limits. In pluralistic democracies, the “not-in-my-backyard” (NIMBY) attitude is a powerful factor.</t>
  </si>
  <si>
    <t>Sustainability Advantage is a business support service from the Department of Environment and Climate Change NSW. It is designed to help organisations understand sustainability, successfully manage for a better environment and add business value79. Industry' Investment NSW offers “LEAN and green” business master classes for people who want to learn how they can improve business efficiency through the application of “lean” business practices, coupled with environmental sustainability, to reduce costs, increase profits, open new markets and create jobs . Despite initiatives like these, it is not always easy for SMEs to take up training opportunities in skills for sustainability.</t>
  </si>
  <si>
    <t>the last sentence is tricky, but we would consider it as SDG 7 only if it was along the lines of "this is the main source of the growing electricity demand in agriculture"</t>
  </si>
  <si>
    <t>In addition, in 2014, EUR 5.8 mln from local budgets was used to finance energy efficiency measures (EEA, 2015). To date, there have been three calls. The first, in 2013, was launched for public institutions (including schools and hospitals), resulting in the selection of 86 projects worth a total of MDL 135 mln (about EUR 78 000 per project on average).</t>
  </si>
  <si>
    <t>This debate is in line with South Africa's rural electrification agenda, as new power generation will be necessary to service more households. The average official unemployment figures are above 20% (see Table 33), excluding the under-employed in the rural and urban areas or those who are not registered in employment agencies. Payment for electricity is an issue for people who have no or very little income. Many cases of domestic violence in newly electrified households have been amply documented. It is argued that domestic trouble starts over priorities when resources are scarce (Habitat for Humanity, 2009). However, the long-term effect of ensuring universal access to electricity should lead to general opportunities for a broad-based economic development.</t>
  </si>
  <si>
    <t>Comments</t>
  </si>
  <si>
    <t>Result</t>
  </si>
  <si>
    <t>OSDG Community</t>
  </si>
  <si>
    <t>Difficulty</t>
  </si>
  <si>
    <t>Accurate</t>
  </si>
  <si>
    <t/>
  </si>
  <si>
    <t>- This text is clearly about energy — but is specific to the objectives of SDG 7?</t>
  </si>
  <si>
    <t>- Typos in text</t>
  </si>
  <si>
    <t>- "savings of 40 per cent in energy" → SDG 7 or not?</t>
  </si>
  <si>
    <t>- Could be labelled SDG 7 but there is a spelling mistake in "eneigy"</t>
  </si>
  <si>
    <t>- Energy conservation is not explicitly part of SDG 7, but should be considered SDG 7 for all intents and purposes?
- See 7.3.</t>
  </si>
  <si>
    <t>- SDG 12 also relevant</t>
  </si>
  <si>
    <t>- typos in text</t>
  </si>
  <si>
    <t>- tricky: quality of supply + low cost vs fossil fuels</t>
  </si>
  <si>
    <t>True Positive</t>
  </si>
  <si>
    <t>True Negative</t>
  </si>
  <si>
    <t>False Positive</t>
  </si>
  <si>
    <t>Undecided</t>
  </si>
  <si>
    <t>is_sdg7</t>
  </si>
  <si>
    <t>actual</t>
  </si>
  <si>
    <t>expected</t>
  </si>
  <si>
    <t>accurate</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</si>
</sst>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b/>
      <color rgb="FF000000"/>
      <name val="&quot;Arial&quot;"/>
    </font>
    <font>
      <u/>
      <color rgb="FF0000FF"/>
    </font>
    <font>
      <b/>
      <color theme="1"/>
      <name val="Arial"/>
      <scheme val="minor"/>
    </font>
    <font>
      <sz val="13.0"/>
      <color theme="1"/>
      <name val="Arial"/>
      <scheme val="minor"/>
    </font>
    <font>
      <color rgb="FFFF0000"/>
      <name val="Arial"/>
      <scheme val="minor"/>
    </font>
    <font>
      <b/>
      <color theme="1"/>
      <name val="Calibri"/>
    </font>
    <font>
      <b/>
      <sz val="10.0"/>
      <color theme="1"/>
      <name val="Arial"/>
      <scheme val="minor"/>
    </font>
    <font>
      <color theme="1"/>
      <name val="Calibri"/>
    </font>
    <font>
      <sz val="11.0"/>
      <color theme="1"/>
      <name val="Arial"/>
      <scheme val="minor"/>
    </font>
    <font>
      <b/>
      <sz val="10.0"/>
      <color theme="1"/>
      <name val="Calibri"/>
    </font>
    <font>
      <b/>
      <color theme="1"/>
      <name val="Arial"/>
    </font>
    <font>
      <b/>
      <sz val="10.0"/>
      <color theme="1"/>
      <name val="Arial"/>
    </font>
    <font>
      <sz val="10.0"/>
      <color theme="1"/>
      <name val="Arial"/>
      <scheme val="minor"/>
    </font>
    <font>
      <color theme="1"/>
      <name val="Arial"/>
    </font>
    <font>
      <sz val="10.0"/>
      <color theme="1"/>
      <name val="Arial"/>
    </font>
  </fonts>
  <fills count="2">
    <fill>
      <patternFill patternType="none"/>
    </fill>
    <fill>
      <patternFill patternType="lightGray"/>
    </fill>
  </fills>
  <borders count="3">
    <border/>
    <border>
      <left style="thick">
        <color rgb="FF000000"/>
      </left>
    </border>
    <border>
      <right style="thick">
        <color rgb="FF000000"/>
      </right>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readingOrder="0" shrinkToFit="0" vertical="center" wrapText="1"/>
    </xf>
    <xf borderId="0" fillId="0" fontId="6" numFmtId="0" xfId="0" applyAlignment="1" applyFont="1">
      <alignment readingOrder="0"/>
    </xf>
    <xf borderId="0" fillId="0" fontId="4" numFmtId="0" xfId="0" applyAlignment="1" applyFont="1">
      <alignment readingOrder="0"/>
    </xf>
    <xf borderId="0" fillId="0" fontId="7" numFmtId="0" xfId="0" applyAlignment="1" applyFont="1">
      <alignment readingOrder="0"/>
    </xf>
    <xf borderId="0" fillId="0" fontId="4"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4" numFmtId="0" xfId="0" applyFont="1"/>
    <xf borderId="0" fillId="0" fontId="0" numFmtId="0" xfId="0" applyAlignment="1" applyFont="1">
      <alignment horizontal="right"/>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vertical="bottom"/>
    </xf>
    <xf borderId="0" fillId="0" fontId="13" numFmtId="0" xfId="0" applyAlignment="1" applyFont="1">
      <alignment readingOrder="0" shrinkToFit="0" vertical="bottom" wrapText="1"/>
    </xf>
    <xf borderId="0" fillId="0" fontId="14" numFmtId="0" xfId="0" applyAlignment="1" applyFont="1">
      <alignment horizontal="left" readingOrder="0" vertical="bottom"/>
    </xf>
    <xf borderId="0" fillId="0" fontId="15" numFmtId="0" xfId="0" applyAlignment="1" applyFont="1">
      <alignment vertical="bottom"/>
    </xf>
    <xf borderId="0" fillId="0" fontId="15" numFmtId="0" xfId="0" applyAlignment="1" applyFont="1">
      <alignment shrinkToFit="0" vertical="bottom" wrapText="1"/>
    </xf>
    <xf borderId="0" fillId="0" fontId="16" numFmtId="0" xfId="0" applyAlignment="1" applyFont="1">
      <alignment readingOrder="0" vertical="center"/>
    </xf>
    <xf borderId="0" fillId="0" fontId="4" numFmtId="0" xfId="0" applyAlignment="1" applyFont="1">
      <alignment shrinkToFit="0" wrapText="1"/>
    </xf>
    <xf borderId="0" fillId="0" fontId="16" numFmtId="0" xfId="0" applyAlignment="1" applyFont="1">
      <alignment vertical="center"/>
    </xf>
    <xf borderId="0" fillId="0" fontId="17" numFmtId="0" xfId="0" applyAlignment="1" applyFont="1">
      <alignment readingOrder="0" vertical="bottom"/>
    </xf>
    <xf borderId="0" fillId="0" fontId="13" numFmtId="0" xfId="0" applyAlignment="1" applyFont="1">
      <alignment vertical="bottom"/>
    </xf>
    <xf borderId="0" fillId="0" fontId="15" numFmtId="0" xfId="0" applyAlignment="1" applyFont="1">
      <alignment horizontal="right" vertical="bottom"/>
    </xf>
    <xf borderId="0" fillId="0" fontId="18" numFmtId="0" xfId="0" applyAlignment="1" applyFont="1">
      <alignment vertical="bottom"/>
    </xf>
    <xf borderId="0" fillId="0" fontId="18" numFmtId="0" xfId="0" applyAlignment="1" applyFont="1">
      <alignment readingOrder="0" vertical="bottom"/>
    </xf>
    <xf borderId="0" fillId="0" fontId="19" numFmtId="0" xfId="0" applyAlignment="1" applyFont="1">
      <alignment readingOrder="0" vertical="bottom"/>
    </xf>
    <xf borderId="1" fillId="0" fontId="10" numFmtId="0" xfId="0" applyAlignment="1" applyBorder="1" applyFont="1">
      <alignment readingOrder="0"/>
    </xf>
    <xf borderId="0" fillId="0" fontId="20" numFmtId="10" xfId="0" applyFont="1" applyNumberFormat="1"/>
    <xf borderId="1" fillId="0" fontId="4" numFmtId="0" xfId="0" applyBorder="1" applyFont="1"/>
    <xf borderId="0" fillId="0" fontId="4" numFmtId="0" xfId="0" applyAlignment="1" applyFont="1">
      <alignment horizontal="center" vertical="center"/>
    </xf>
    <xf borderId="0" fillId="0" fontId="20" numFmtId="10" xfId="0" applyAlignment="1" applyFont="1" applyNumberFormat="1">
      <alignment horizontal="center" vertical="center"/>
    </xf>
    <xf borderId="1" fillId="0" fontId="4" numFmtId="0" xfId="0" applyAlignment="1" applyBorder="1" applyFont="1">
      <alignment readingOrder="0"/>
    </xf>
    <xf borderId="0" fillId="0" fontId="20" numFmtId="0" xfId="0" applyFont="1"/>
    <xf borderId="0" fillId="0" fontId="21" numFmtId="0" xfId="0" applyAlignment="1" applyFont="1">
      <alignment vertical="bottom"/>
    </xf>
    <xf borderId="0" fillId="0" fontId="22" numFmtId="0" xfId="0" applyAlignment="1" applyFont="1">
      <alignment vertical="bottom"/>
    </xf>
    <xf borderId="0" fillId="0" fontId="13" numFmtId="0" xfId="0" applyAlignment="1" applyFont="1">
      <alignment readingOrder="0" shrinkToFit="0" vertical="bottom" wrapText="0"/>
    </xf>
    <xf borderId="2" fillId="0" fontId="10" numFmtId="0" xfId="0" applyAlignment="1" applyBorder="1" applyFont="1">
      <alignment readingOrder="0" shrinkToFit="0" wrapText="0"/>
    </xf>
    <xf borderId="0" fillId="0" fontId="10" numFmtId="0" xfId="0" applyFont="1"/>
    <xf borderId="0" fillId="0" fontId="15" numFmtId="0" xfId="0" applyAlignment="1" applyFont="1">
      <alignment shrinkToFit="0" vertical="bottom" wrapText="0"/>
    </xf>
    <xf borderId="1" fillId="0" fontId="4" numFmtId="10" xfId="0" applyBorder="1" applyFont="1" applyNumberFormat="1"/>
    <xf borderId="2" fillId="0" fontId="4" numFmtId="0" xfId="0" applyAlignment="1" applyBorder="1" applyFont="1">
      <alignment shrinkToFit="0" wrapText="0"/>
    </xf>
    <xf borderId="0" fillId="0" fontId="4" numFmtId="0" xfId="0" applyAlignment="1" applyFont="1">
      <alignment shrinkToFit="0" wrapText="0"/>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51</xdr:row>
      <xdr:rowOff>190500</xdr:rowOff>
    </xdr:from>
    <xdr:ext cx="7229475" cy="2343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447675</xdr:colOff>
      <xdr:row>3</xdr:row>
      <xdr:rowOff>38100</xdr:rowOff>
    </xdr:from>
    <xdr:ext cx="8058150" cy="4324350"/>
    <xdr:pic>
      <xdr:nvPicPr>
        <xdr:cNvPr id="60639977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2">
      <c r="B2" s="1" t="s">
        <v>0</v>
      </c>
    </row>
    <row r="3">
      <c r="B3" s="2"/>
    </row>
    <row r="4">
      <c r="B4" s="3" t="s">
        <v>1</v>
      </c>
    </row>
    <row r="5">
      <c r="B5" s="4" t="s">
        <v>2</v>
      </c>
    </row>
    <row r="6">
      <c r="B6" s="4"/>
    </row>
    <row r="7">
      <c r="B7" s="5" t="s">
        <v>3</v>
      </c>
    </row>
    <row r="8">
      <c r="B8" s="4" t="s">
        <v>4</v>
      </c>
    </row>
    <row r="9">
      <c r="B9" s="4" t="s">
        <v>5</v>
      </c>
    </row>
    <row r="10">
      <c r="B10" s="4" t="s">
        <v>6</v>
      </c>
    </row>
    <row r="11">
      <c r="B11" s="4" t="s">
        <v>7</v>
      </c>
    </row>
    <row r="12">
      <c r="B12" s="4" t="s">
        <v>8</v>
      </c>
    </row>
    <row r="13">
      <c r="B13" s="4"/>
    </row>
    <row r="14">
      <c r="B14" s="5" t="s">
        <v>9</v>
      </c>
    </row>
    <row r="15">
      <c r="B15" s="4" t="s">
        <v>10</v>
      </c>
    </row>
    <row r="16">
      <c r="B16" s="4" t="s">
        <v>11</v>
      </c>
    </row>
    <row r="17">
      <c r="B17" s="4"/>
      <c r="C17" s="4"/>
    </row>
    <row r="18">
      <c r="B18" s="4" t="s">
        <v>12</v>
      </c>
      <c r="C18" s="4" t="s">
        <v>13</v>
      </c>
    </row>
    <row r="19">
      <c r="B19" s="4" t="s">
        <v>14</v>
      </c>
      <c r="C19" s="4" t="s">
        <v>15</v>
      </c>
    </row>
    <row r="20">
      <c r="B20" s="4" t="s">
        <v>16</v>
      </c>
      <c r="C20" s="4" t="s">
        <v>17</v>
      </c>
    </row>
    <row r="22">
      <c r="B22" s="4" t="s">
        <v>18</v>
      </c>
    </row>
    <row r="24">
      <c r="B24" s="5" t="s">
        <v>19</v>
      </c>
    </row>
    <row r="25">
      <c r="B25" s="4" t="s">
        <v>20</v>
      </c>
      <c r="C25" s="6"/>
    </row>
    <row r="26">
      <c r="B26" s="7"/>
      <c r="C26" s="6"/>
    </row>
    <row r="27">
      <c r="B27" s="7" t="s">
        <v>21</v>
      </c>
      <c r="C27" s="6"/>
    </row>
    <row r="28">
      <c r="B28" s="8" t="s">
        <v>22</v>
      </c>
      <c r="C28" s="6"/>
    </row>
    <row r="29">
      <c r="B29" s="4"/>
      <c r="C29" s="6"/>
    </row>
    <row r="30">
      <c r="B30" s="9" t="s">
        <v>23</v>
      </c>
      <c r="C30" s="6"/>
    </row>
    <row r="31">
      <c r="B31" s="4"/>
      <c r="C31" s="6"/>
    </row>
    <row r="32">
      <c r="B32" s="7" t="s">
        <v>24</v>
      </c>
      <c r="C32" s="6"/>
    </row>
    <row r="33">
      <c r="B33" s="4" t="s">
        <v>25</v>
      </c>
      <c r="C33" s="6"/>
    </row>
    <row r="34">
      <c r="B34" s="4" t="s">
        <v>26</v>
      </c>
      <c r="C34" s="6"/>
    </row>
    <row r="35">
      <c r="B35" s="4" t="s">
        <v>27</v>
      </c>
      <c r="C35" s="6"/>
    </row>
    <row r="36">
      <c r="C36" s="6"/>
    </row>
    <row r="37">
      <c r="B37" s="9" t="s">
        <v>23</v>
      </c>
      <c r="C37" s="6"/>
    </row>
    <row r="38">
      <c r="C38" s="6"/>
    </row>
    <row r="39">
      <c r="B39" s="7" t="s">
        <v>28</v>
      </c>
      <c r="C39" s="6"/>
    </row>
    <row r="40">
      <c r="B40" s="4" t="s">
        <v>29</v>
      </c>
      <c r="C40" s="6"/>
    </row>
    <row r="41">
      <c r="B41" s="4" t="s">
        <v>30</v>
      </c>
      <c r="C41" s="6"/>
    </row>
    <row r="42">
      <c r="B42" s="2" t="s">
        <v>31</v>
      </c>
      <c r="C42" s="6"/>
    </row>
    <row r="43">
      <c r="B43" s="2" t="s">
        <v>32</v>
      </c>
      <c r="C43" s="6"/>
    </row>
    <row r="44">
      <c r="C44" s="6"/>
    </row>
    <row r="45">
      <c r="B45" s="7" t="s">
        <v>33</v>
      </c>
      <c r="C45" s="10"/>
    </row>
    <row r="46">
      <c r="B46" s="4" t="s">
        <v>34</v>
      </c>
    </row>
    <row r="47">
      <c r="B47" s="4" t="s">
        <v>35</v>
      </c>
    </row>
    <row r="48">
      <c r="B48" s="11"/>
    </row>
    <row r="49">
      <c r="B49" s="2" t="s">
        <v>36</v>
      </c>
    </row>
    <row r="51">
      <c r="B51" s="5" t="s">
        <v>37</v>
      </c>
    </row>
    <row r="52">
      <c r="B52" s="4" t="s">
        <v>38</v>
      </c>
    </row>
    <row r="65">
      <c r="B65" s="12" t="s">
        <v>39</v>
      </c>
    </row>
    <row r="67">
      <c r="B67" s="5" t="s">
        <v>40</v>
      </c>
    </row>
    <row r="68">
      <c r="B68" s="4" t="s">
        <v>41</v>
      </c>
    </row>
    <row r="69">
      <c r="B69" s="4"/>
    </row>
    <row r="70">
      <c r="B70" s="13" t="s">
        <v>42</v>
      </c>
      <c r="C70" s="13" t="s">
        <v>43</v>
      </c>
    </row>
    <row r="71">
      <c r="B71" s="12" t="s">
        <v>44</v>
      </c>
      <c r="C71" s="14" t="str">
        <f>IFERROR(__xludf.DUMMYFUNCTION("SPARKLINE((100-COUNTIF(INDIRECT(B71&amp;""!D:D""), ""TO DO""))/100+0.01,{""charttype"",""bar"";""max"",1.01;""min"",0; ""color1"", ""#4285f4""})"),"")</f>
        <v/>
      </c>
      <c r="D71" s="15" t="str">
        <f t="shared" ref="D71:D76" si="1">(100-COUNTIF(INDIRECT(B71&amp;"!D:D"), "TO DO")) &amp; " / 100"</f>
        <v>0 / 100</v>
      </c>
    </row>
    <row r="72">
      <c r="B72" s="12" t="s">
        <v>45</v>
      </c>
      <c r="C72" s="14" t="str">
        <f>IFERROR(__xludf.DUMMYFUNCTION("SPARKLINE((100-COUNTIF(INDIRECT(B72&amp;""!D:D""), ""TO DO""))/100+0.01,{""charttype"",""bar"";""max"",1.01;""min"",0; ""color1"", ""#4285f4""})"),"")</f>
        <v/>
      </c>
      <c r="D72" s="15" t="str">
        <f t="shared" si="1"/>
        <v>100 / 100</v>
      </c>
    </row>
    <row r="73">
      <c r="B73" s="12" t="s">
        <v>46</v>
      </c>
      <c r="C73" s="14" t="str">
        <f>IFERROR(__xludf.DUMMYFUNCTION("SPARKLINE((100-COUNTIF(INDIRECT(B73&amp;""!D:D""), ""TO DO""))/100+0.01,{""charttype"",""bar"";""max"",1.01;""min"",0; ""color1"", ""#4285f4""})"),"")</f>
        <v/>
      </c>
      <c r="D73" s="15" t="str">
        <f t="shared" si="1"/>
        <v>11 / 100</v>
      </c>
    </row>
    <row r="74">
      <c r="B74" s="12" t="s">
        <v>47</v>
      </c>
      <c r="C74" s="14" t="str">
        <f>IFERROR(__xludf.DUMMYFUNCTION("SPARKLINE((100-COUNTIF(INDIRECT(B74&amp;""!D:D""), ""TO DO""))/100+0.01,{""charttype"",""bar"";""max"",1.01;""min"",0; ""color1"", ""#4285f4""})"),"")</f>
        <v/>
      </c>
      <c r="D74" s="15" t="str">
        <f t="shared" si="1"/>
        <v>100 / 100</v>
      </c>
    </row>
    <row r="75">
      <c r="B75" s="12" t="s">
        <v>48</v>
      </c>
      <c r="C75" s="14" t="str">
        <f>IFERROR(__xludf.DUMMYFUNCTION("SPARKLINE((100-COUNTIF(INDIRECT(B75&amp;""!D:D""), ""TO DO""))/100+0.01,{""charttype"",""bar"";""max"",1.01;""min"",0; ""color1"", ""#4285f4""})"),"")</f>
        <v/>
      </c>
      <c r="D75" s="15" t="str">
        <f t="shared" si="1"/>
        <v>0 / 100</v>
      </c>
    </row>
    <row r="76">
      <c r="B76" s="12" t="s">
        <v>49</v>
      </c>
      <c r="C76" s="14" t="str">
        <f>IFERROR(__xludf.DUMMYFUNCTION("SPARKLINE((100-COUNTIF(INDIRECT(B76&amp;""!D:D""), ""TO DO""))/100+0.01,{""charttype"",""bar"";""max"",1.01;""min"",0; ""color1"", ""#4285f4""})"),"")</f>
        <v/>
      </c>
      <c r="D76" s="15" t="str">
        <f t="shared" si="1"/>
        <v>100 / 100</v>
      </c>
    </row>
    <row r="78">
      <c r="B78" s="16" t="s">
        <v>50</v>
      </c>
    </row>
  </sheetData>
  <dataValidations>
    <dataValidation type="list" allowBlank="1" showErrorMessage="1" sqref="B18:B20">
      <formula1>"SDG 7,NOT SDG 7,SKIP"</formula1>
    </dataValidation>
  </dataValidations>
  <hyperlinks>
    <hyperlink r:id="rId1" ref="B65"/>
    <hyperlink display="Dina" location="Dina!A1" ref="B71"/>
    <hyperlink display="Finn" location="Finn!A1" ref="B72"/>
    <hyperlink display="Gib" location="Gib!A1" ref="B73"/>
    <hyperlink display="Jean-Baptiste" location="'Jean-Baptiste'!A1" ref="B74"/>
    <hyperlink display="Meike" location="Meike!A1" ref="B75"/>
    <hyperlink display="Steve" location="Steve!A1" ref="B7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51</v>
      </c>
    </row>
    <row r="2">
      <c r="A2" s="4" t="s">
        <v>52</v>
      </c>
    </row>
    <row r="3">
      <c r="A3" s="4" t="s">
        <v>53</v>
      </c>
    </row>
    <row r="4">
      <c r="A4" s="4" t="s">
        <v>54</v>
      </c>
    </row>
    <row r="5">
      <c r="A5" s="4" t="s">
        <v>55</v>
      </c>
    </row>
    <row r="6">
      <c r="A6" s="4" t="s">
        <v>56</v>
      </c>
    </row>
    <row r="7">
      <c r="A7" s="4" t="s">
        <v>57</v>
      </c>
    </row>
    <row r="9">
      <c r="A9" s="13" t="s">
        <v>58</v>
      </c>
    </row>
    <row r="10">
      <c r="A10" s="4" t="s">
        <v>20</v>
      </c>
    </row>
    <row r="11">
      <c r="A11" s="7" t="s">
        <v>59</v>
      </c>
    </row>
    <row r="12" hidden="1">
      <c r="A12" s="4" t="s">
        <v>60</v>
      </c>
    </row>
    <row r="13" hidden="1">
      <c r="A13" s="4" t="s">
        <v>61</v>
      </c>
    </row>
    <row r="14" hidden="1">
      <c r="A14" s="4" t="s">
        <v>62</v>
      </c>
    </row>
    <row r="15" hidden="1">
      <c r="A15" s="4" t="s">
        <v>63</v>
      </c>
    </row>
    <row r="16" hidden="1">
      <c r="A16" s="4" t="s">
        <v>64</v>
      </c>
    </row>
    <row r="17">
      <c r="A17" s="4" t="s">
        <v>65</v>
      </c>
    </row>
    <row r="18">
      <c r="A18" s="4"/>
    </row>
    <row r="19">
      <c r="A19" s="9" t="s">
        <v>23</v>
      </c>
    </row>
    <row r="20">
      <c r="A20" s="4"/>
    </row>
    <row r="21">
      <c r="A21" s="7" t="s">
        <v>66</v>
      </c>
    </row>
    <row r="22">
      <c r="A22" s="4" t="s">
        <v>67</v>
      </c>
    </row>
    <row r="23">
      <c r="A23" s="4" t="s">
        <v>68</v>
      </c>
    </row>
    <row r="24">
      <c r="A24" s="4" t="s">
        <v>26</v>
      </c>
    </row>
    <row r="25">
      <c r="A25" s="4" t="s">
        <v>69</v>
      </c>
    </row>
    <row r="27">
      <c r="A27" s="9" t="s">
        <v>23</v>
      </c>
    </row>
    <row r="29">
      <c r="A29" s="7" t="s">
        <v>70</v>
      </c>
    </row>
    <row r="30">
      <c r="A30" s="4" t="s">
        <v>71</v>
      </c>
    </row>
    <row r="31">
      <c r="A31" s="4" t="s">
        <v>72</v>
      </c>
    </row>
    <row r="32">
      <c r="A32" s="2" t="s">
        <v>31</v>
      </c>
    </row>
    <row r="33">
      <c r="A33" s="2" t="s">
        <v>32</v>
      </c>
    </row>
    <row r="35">
      <c r="A35" s="7" t="s">
        <v>73</v>
      </c>
    </row>
    <row r="36">
      <c r="A36" s="4" t="s">
        <v>74</v>
      </c>
    </row>
    <row r="37">
      <c r="A37" s="4" t="s">
        <v>75</v>
      </c>
    </row>
    <row r="38">
      <c r="A38" s="17"/>
    </row>
    <row r="39" hidden="1">
      <c r="A39" s="17" t="s">
        <v>76</v>
      </c>
    </row>
    <row r="40" hidden="1">
      <c r="A40" s="17" t="s">
        <v>77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18" t="s">
        <v>78</v>
      </c>
      <c r="B1" s="18" t="s">
        <v>79</v>
      </c>
      <c r="C1" s="19" t="s">
        <v>80</v>
      </c>
      <c r="D1" s="20" t="s">
        <v>81</v>
      </c>
      <c r="E1" s="13" t="s">
        <v>82</v>
      </c>
    </row>
    <row r="2">
      <c r="A2" s="21" t="s">
        <v>83</v>
      </c>
      <c r="B2" s="21" t="s">
        <v>84</v>
      </c>
      <c r="C2" s="22" t="s">
        <v>85</v>
      </c>
      <c r="D2" s="23" t="s">
        <v>86</v>
      </c>
    </row>
    <row r="3">
      <c r="A3" s="21" t="s">
        <v>87</v>
      </c>
      <c r="B3" s="21" t="s">
        <v>88</v>
      </c>
      <c r="C3" s="22" t="s">
        <v>89</v>
      </c>
      <c r="D3" s="23" t="s">
        <v>86</v>
      </c>
    </row>
    <row r="4">
      <c r="A4" s="21" t="s">
        <v>90</v>
      </c>
      <c r="B4" s="21" t="s">
        <v>91</v>
      </c>
      <c r="C4" s="22" t="s">
        <v>92</v>
      </c>
      <c r="D4" s="23" t="s">
        <v>86</v>
      </c>
    </row>
    <row r="5">
      <c r="A5" s="21" t="s">
        <v>93</v>
      </c>
      <c r="B5" s="21" t="s">
        <v>94</v>
      </c>
      <c r="C5" s="22" t="s">
        <v>95</v>
      </c>
      <c r="D5" s="23" t="s">
        <v>86</v>
      </c>
    </row>
    <row r="6">
      <c r="A6" s="21" t="s">
        <v>96</v>
      </c>
      <c r="B6" s="21" t="s">
        <v>97</v>
      </c>
      <c r="C6" s="22" t="s">
        <v>98</v>
      </c>
      <c r="D6" s="23" t="s">
        <v>86</v>
      </c>
    </row>
    <row r="7">
      <c r="A7" s="21" t="s">
        <v>99</v>
      </c>
      <c r="B7" s="21" t="s">
        <v>100</v>
      </c>
      <c r="C7" s="22" t="s">
        <v>101</v>
      </c>
      <c r="D7" s="23" t="s">
        <v>86</v>
      </c>
    </row>
    <row r="8">
      <c r="A8" s="21" t="s">
        <v>102</v>
      </c>
      <c r="B8" s="21" t="s">
        <v>103</v>
      </c>
      <c r="C8" s="22" t="s">
        <v>104</v>
      </c>
      <c r="D8" s="23" t="s">
        <v>86</v>
      </c>
    </row>
    <row r="9">
      <c r="A9" s="21" t="s">
        <v>105</v>
      </c>
      <c r="B9" s="21" t="s">
        <v>106</v>
      </c>
      <c r="C9" s="22" t="s">
        <v>107</v>
      </c>
      <c r="D9" s="23" t="s">
        <v>86</v>
      </c>
    </row>
    <row r="10">
      <c r="A10" s="21" t="s">
        <v>108</v>
      </c>
      <c r="B10" s="21" t="s">
        <v>109</v>
      </c>
      <c r="C10" s="22" t="s">
        <v>110</v>
      </c>
      <c r="D10" s="23" t="s">
        <v>86</v>
      </c>
    </row>
    <row r="11">
      <c r="A11" s="21" t="s">
        <v>111</v>
      </c>
      <c r="B11" s="21" t="s">
        <v>112</v>
      </c>
      <c r="C11" s="22" t="s">
        <v>113</v>
      </c>
      <c r="D11" s="23" t="s">
        <v>86</v>
      </c>
    </row>
    <row r="12">
      <c r="A12" s="21" t="s">
        <v>114</v>
      </c>
      <c r="B12" s="21" t="s">
        <v>115</v>
      </c>
      <c r="C12" s="22" t="s">
        <v>116</v>
      </c>
      <c r="D12" s="23" t="s">
        <v>86</v>
      </c>
    </row>
    <row r="13">
      <c r="A13" s="21" t="s">
        <v>105</v>
      </c>
      <c r="B13" s="21" t="s">
        <v>117</v>
      </c>
      <c r="C13" s="22" t="s">
        <v>118</v>
      </c>
      <c r="D13" s="23" t="s">
        <v>86</v>
      </c>
    </row>
    <row r="14">
      <c r="A14" s="21" t="s">
        <v>119</v>
      </c>
      <c r="B14" s="21" t="s">
        <v>120</v>
      </c>
      <c r="C14" s="22" t="s">
        <v>121</v>
      </c>
      <c r="D14" s="23" t="s">
        <v>86</v>
      </c>
    </row>
    <row r="15">
      <c r="A15" s="21" t="s">
        <v>90</v>
      </c>
      <c r="B15" s="21" t="s">
        <v>122</v>
      </c>
      <c r="C15" s="22" t="s">
        <v>123</v>
      </c>
      <c r="D15" s="23" t="s">
        <v>86</v>
      </c>
    </row>
    <row r="16">
      <c r="A16" s="21" t="s">
        <v>124</v>
      </c>
      <c r="B16" s="21" t="s">
        <v>125</v>
      </c>
      <c r="C16" s="22" t="s">
        <v>126</v>
      </c>
      <c r="D16" s="23" t="s">
        <v>86</v>
      </c>
    </row>
    <row r="17">
      <c r="A17" s="21" t="s">
        <v>127</v>
      </c>
      <c r="B17" s="21" t="s">
        <v>128</v>
      </c>
      <c r="C17" s="22" t="s">
        <v>129</v>
      </c>
      <c r="D17" s="23" t="s">
        <v>86</v>
      </c>
    </row>
    <row r="18">
      <c r="A18" s="21" t="s">
        <v>124</v>
      </c>
      <c r="B18" s="21" t="s">
        <v>130</v>
      </c>
      <c r="C18" s="22" t="s">
        <v>131</v>
      </c>
      <c r="D18" s="23" t="s">
        <v>86</v>
      </c>
    </row>
    <row r="19">
      <c r="A19" s="21" t="s">
        <v>87</v>
      </c>
      <c r="B19" s="21" t="s">
        <v>132</v>
      </c>
      <c r="C19" s="22" t="s">
        <v>133</v>
      </c>
      <c r="D19" s="23" t="s">
        <v>86</v>
      </c>
    </row>
    <row r="20">
      <c r="A20" s="21" t="s">
        <v>134</v>
      </c>
      <c r="B20" s="21" t="s">
        <v>135</v>
      </c>
      <c r="C20" s="22" t="s">
        <v>136</v>
      </c>
      <c r="D20" s="23" t="s">
        <v>86</v>
      </c>
    </row>
    <row r="21">
      <c r="A21" s="21" t="s">
        <v>137</v>
      </c>
      <c r="B21" s="21" t="s">
        <v>138</v>
      </c>
      <c r="C21" s="22" t="s">
        <v>139</v>
      </c>
      <c r="D21" s="23" t="s">
        <v>86</v>
      </c>
    </row>
    <row r="22">
      <c r="A22" s="21" t="s">
        <v>140</v>
      </c>
      <c r="B22" s="21" t="s">
        <v>141</v>
      </c>
      <c r="C22" s="22" t="s">
        <v>142</v>
      </c>
      <c r="D22" s="23" t="s">
        <v>86</v>
      </c>
    </row>
    <row r="23">
      <c r="A23" s="21" t="s">
        <v>143</v>
      </c>
      <c r="B23" s="21" t="s">
        <v>144</v>
      </c>
      <c r="C23" s="22" t="s">
        <v>145</v>
      </c>
      <c r="D23" s="23" t="s">
        <v>86</v>
      </c>
    </row>
    <row r="24">
      <c r="A24" s="21" t="s">
        <v>146</v>
      </c>
      <c r="B24" s="21" t="s">
        <v>147</v>
      </c>
      <c r="C24" s="22" t="s">
        <v>148</v>
      </c>
      <c r="D24" s="23" t="s">
        <v>86</v>
      </c>
    </row>
    <row r="25">
      <c r="A25" s="21" t="s">
        <v>149</v>
      </c>
      <c r="B25" s="21" t="s">
        <v>150</v>
      </c>
      <c r="C25" s="22" t="s">
        <v>151</v>
      </c>
      <c r="D25" s="23" t="s">
        <v>86</v>
      </c>
    </row>
    <row r="26">
      <c r="A26" s="21" t="s">
        <v>152</v>
      </c>
      <c r="B26" s="21" t="s">
        <v>153</v>
      </c>
      <c r="C26" s="22" t="s">
        <v>154</v>
      </c>
      <c r="D26" s="23" t="s">
        <v>86</v>
      </c>
    </row>
    <row r="27">
      <c r="A27" s="21" t="s">
        <v>155</v>
      </c>
      <c r="B27" s="21" t="s">
        <v>156</v>
      </c>
      <c r="C27" s="22" t="s">
        <v>157</v>
      </c>
      <c r="D27" s="23" t="s">
        <v>86</v>
      </c>
    </row>
    <row r="28">
      <c r="A28" s="21" t="s">
        <v>158</v>
      </c>
      <c r="B28" s="21" t="s">
        <v>159</v>
      </c>
      <c r="C28" s="22" t="s">
        <v>160</v>
      </c>
      <c r="D28" s="23" t="s">
        <v>86</v>
      </c>
    </row>
    <row r="29">
      <c r="A29" s="21" t="s">
        <v>161</v>
      </c>
      <c r="B29" s="21" t="s">
        <v>162</v>
      </c>
      <c r="C29" s="22" t="s">
        <v>163</v>
      </c>
      <c r="D29" s="23" t="s">
        <v>86</v>
      </c>
    </row>
    <row r="30">
      <c r="A30" s="21" t="s">
        <v>164</v>
      </c>
      <c r="B30" s="21" t="s">
        <v>165</v>
      </c>
      <c r="C30" s="22" t="s">
        <v>166</v>
      </c>
      <c r="D30" s="23" t="s">
        <v>86</v>
      </c>
    </row>
    <row r="31">
      <c r="A31" s="21" t="s">
        <v>114</v>
      </c>
      <c r="B31" s="21" t="s">
        <v>167</v>
      </c>
      <c r="C31" s="22" t="s">
        <v>168</v>
      </c>
      <c r="D31" s="23" t="s">
        <v>86</v>
      </c>
    </row>
    <row r="32">
      <c r="A32" s="21" t="s">
        <v>169</v>
      </c>
      <c r="B32" s="21" t="s">
        <v>170</v>
      </c>
      <c r="C32" s="22" t="s">
        <v>171</v>
      </c>
      <c r="D32" s="23" t="s">
        <v>86</v>
      </c>
    </row>
    <row r="33">
      <c r="A33" s="21" t="s">
        <v>102</v>
      </c>
      <c r="B33" s="21" t="s">
        <v>172</v>
      </c>
      <c r="C33" s="22" t="s">
        <v>173</v>
      </c>
      <c r="D33" s="23" t="s">
        <v>86</v>
      </c>
    </row>
    <row r="34">
      <c r="A34" s="21" t="s">
        <v>174</v>
      </c>
      <c r="B34" s="21" t="s">
        <v>175</v>
      </c>
      <c r="C34" s="22" t="s">
        <v>176</v>
      </c>
      <c r="D34" s="23" t="s">
        <v>86</v>
      </c>
    </row>
    <row r="35">
      <c r="A35" s="21" t="s">
        <v>177</v>
      </c>
      <c r="B35" s="21" t="s">
        <v>178</v>
      </c>
      <c r="C35" s="22" t="s">
        <v>179</v>
      </c>
      <c r="D35" s="23" t="s">
        <v>86</v>
      </c>
    </row>
    <row r="36">
      <c r="A36" s="21" t="s">
        <v>143</v>
      </c>
      <c r="B36" s="21" t="s">
        <v>180</v>
      </c>
      <c r="C36" s="22" t="s">
        <v>181</v>
      </c>
      <c r="D36" s="23" t="s">
        <v>86</v>
      </c>
    </row>
    <row r="37">
      <c r="A37" s="21" t="s">
        <v>182</v>
      </c>
      <c r="B37" s="21" t="s">
        <v>183</v>
      </c>
      <c r="C37" s="22" t="s">
        <v>184</v>
      </c>
      <c r="D37" s="23" t="s">
        <v>86</v>
      </c>
    </row>
    <row r="38">
      <c r="A38" s="21" t="s">
        <v>158</v>
      </c>
      <c r="B38" s="21" t="s">
        <v>185</v>
      </c>
      <c r="C38" s="22" t="s">
        <v>186</v>
      </c>
      <c r="D38" s="23" t="s">
        <v>86</v>
      </c>
    </row>
    <row r="39">
      <c r="A39" s="21" t="s">
        <v>177</v>
      </c>
      <c r="B39" s="21" t="s">
        <v>187</v>
      </c>
      <c r="C39" s="22" t="s">
        <v>188</v>
      </c>
      <c r="D39" s="23" t="s">
        <v>86</v>
      </c>
    </row>
    <row r="40">
      <c r="A40" s="21" t="s">
        <v>189</v>
      </c>
      <c r="B40" s="21" t="s">
        <v>190</v>
      </c>
      <c r="C40" s="22" t="s">
        <v>191</v>
      </c>
      <c r="D40" s="23" t="s">
        <v>86</v>
      </c>
    </row>
    <row r="41">
      <c r="A41" s="21" t="s">
        <v>192</v>
      </c>
      <c r="B41" s="21" t="s">
        <v>193</v>
      </c>
      <c r="C41" s="22" t="s">
        <v>194</v>
      </c>
      <c r="D41" s="23" t="s">
        <v>86</v>
      </c>
    </row>
    <row r="42">
      <c r="A42" s="21" t="s">
        <v>137</v>
      </c>
      <c r="B42" s="21" t="s">
        <v>195</v>
      </c>
      <c r="C42" s="22" t="s">
        <v>196</v>
      </c>
      <c r="D42" s="23" t="s">
        <v>86</v>
      </c>
    </row>
    <row r="43">
      <c r="A43" s="21" t="s">
        <v>197</v>
      </c>
      <c r="B43" s="21" t="s">
        <v>198</v>
      </c>
      <c r="C43" s="22" t="s">
        <v>199</v>
      </c>
      <c r="D43" s="23" t="s">
        <v>86</v>
      </c>
    </row>
    <row r="44">
      <c r="A44" s="21" t="s">
        <v>200</v>
      </c>
      <c r="B44" s="21" t="s">
        <v>201</v>
      </c>
      <c r="C44" s="22" t="s">
        <v>202</v>
      </c>
      <c r="D44" s="23" t="s">
        <v>86</v>
      </c>
    </row>
    <row r="45">
      <c r="A45" s="21" t="s">
        <v>203</v>
      </c>
      <c r="B45" s="21" t="s">
        <v>204</v>
      </c>
      <c r="C45" s="22" t="s">
        <v>205</v>
      </c>
      <c r="D45" s="23" t="s">
        <v>86</v>
      </c>
    </row>
    <row r="46">
      <c r="A46" s="21" t="s">
        <v>99</v>
      </c>
      <c r="B46" s="21" t="s">
        <v>206</v>
      </c>
      <c r="C46" s="22" t="s">
        <v>207</v>
      </c>
      <c r="D46" s="23" t="s">
        <v>86</v>
      </c>
    </row>
    <row r="47">
      <c r="A47" s="21" t="s">
        <v>99</v>
      </c>
      <c r="B47" s="21" t="s">
        <v>208</v>
      </c>
      <c r="C47" s="22" t="s">
        <v>209</v>
      </c>
      <c r="D47" s="23" t="s">
        <v>86</v>
      </c>
    </row>
    <row r="48">
      <c r="A48" s="21" t="s">
        <v>90</v>
      </c>
      <c r="B48" s="21" t="s">
        <v>210</v>
      </c>
      <c r="C48" s="22" t="s">
        <v>211</v>
      </c>
      <c r="D48" s="23" t="s">
        <v>86</v>
      </c>
    </row>
    <row r="49">
      <c r="A49" s="21" t="s">
        <v>212</v>
      </c>
      <c r="B49" s="21" t="s">
        <v>213</v>
      </c>
      <c r="C49" s="22" t="s">
        <v>214</v>
      </c>
      <c r="D49" s="23" t="s">
        <v>86</v>
      </c>
    </row>
    <row r="50">
      <c r="A50" s="21" t="s">
        <v>215</v>
      </c>
      <c r="B50" s="21" t="s">
        <v>216</v>
      </c>
      <c r="C50" s="22" t="s">
        <v>217</v>
      </c>
      <c r="D50" s="23" t="s">
        <v>86</v>
      </c>
    </row>
    <row r="51">
      <c r="A51" s="21" t="s">
        <v>174</v>
      </c>
      <c r="B51" s="21" t="s">
        <v>218</v>
      </c>
      <c r="C51" s="22" t="s">
        <v>219</v>
      </c>
      <c r="D51" s="23" t="s">
        <v>86</v>
      </c>
    </row>
    <row r="52">
      <c r="A52" s="21" t="s">
        <v>220</v>
      </c>
      <c r="B52" s="21" t="s">
        <v>221</v>
      </c>
      <c r="C52" s="22" t="s">
        <v>222</v>
      </c>
      <c r="D52" s="23" t="s">
        <v>86</v>
      </c>
    </row>
    <row r="53">
      <c r="A53" s="21" t="s">
        <v>223</v>
      </c>
      <c r="B53" s="21" t="s">
        <v>224</v>
      </c>
      <c r="C53" s="22" t="s">
        <v>225</v>
      </c>
      <c r="D53" s="23" t="s">
        <v>86</v>
      </c>
    </row>
    <row r="54">
      <c r="A54" s="21" t="s">
        <v>226</v>
      </c>
      <c r="B54" s="21" t="s">
        <v>227</v>
      </c>
      <c r="C54" s="22" t="s">
        <v>228</v>
      </c>
      <c r="D54" s="23" t="s">
        <v>86</v>
      </c>
    </row>
    <row r="55">
      <c r="A55" s="21" t="s">
        <v>229</v>
      </c>
      <c r="B55" s="21" t="s">
        <v>230</v>
      </c>
      <c r="C55" s="22" t="s">
        <v>231</v>
      </c>
      <c r="D55" s="23" t="s">
        <v>86</v>
      </c>
    </row>
    <row r="56">
      <c r="A56" s="21" t="s">
        <v>232</v>
      </c>
      <c r="B56" s="21" t="s">
        <v>233</v>
      </c>
      <c r="C56" s="22" t="s">
        <v>234</v>
      </c>
      <c r="D56" s="23" t="s">
        <v>86</v>
      </c>
    </row>
    <row r="57">
      <c r="A57" s="21" t="s">
        <v>229</v>
      </c>
      <c r="B57" s="21" t="s">
        <v>235</v>
      </c>
      <c r="C57" s="22" t="s">
        <v>236</v>
      </c>
      <c r="D57" s="23" t="s">
        <v>86</v>
      </c>
    </row>
    <row r="58">
      <c r="A58" s="21" t="s">
        <v>237</v>
      </c>
      <c r="B58" s="21" t="s">
        <v>238</v>
      </c>
      <c r="C58" s="22" t="s">
        <v>239</v>
      </c>
      <c r="D58" s="23" t="s">
        <v>86</v>
      </c>
    </row>
    <row r="59">
      <c r="A59" s="21" t="s">
        <v>105</v>
      </c>
      <c r="B59" s="21" t="s">
        <v>240</v>
      </c>
      <c r="C59" s="22" t="s">
        <v>241</v>
      </c>
      <c r="D59" s="23" t="s">
        <v>86</v>
      </c>
    </row>
    <row r="60">
      <c r="A60" s="21" t="s">
        <v>242</v>
      </c>
      <c r="B60" s="21" t="s">
        <v>243</v>
      </c>
      <c r="C60" s="22" t="s">
        <v>244</v>
      </c>
      <c r="D60" s="23" t="s">
        <v>86</v>
      </c>
    </row>
    <row r="61">
      <c r="A61" s="21" t="s">
        <v>93</v>
      </c>
      <c r="B61" s="21" t="s">
        <v>245</v>
      </c>
      <c r="C61" s="22" t="s">
        <v>246</v>
      </c>
      <c r="D61" s="23" t="s">
        <v>86</v>
      </c>
    </row>
    <row r="62">
      <c r="A62" s="21" t="s">
        <v>83</v>
      </c>
      <c r="B62" s="21" t="s">
        <v>247</v>
      </c>
      <c r="C62" s="22" t="s">
        <v>248</v>
      </c>
      <c r="D62" s="23" t="s">
        <v>86</v>
      </c>
    </row>
    <row r="63">
      <c r="A63" s="21" t="s">
        <v>124</v>
      </c>
      <c r="B63" s="21" t="s">
        <v>249</v>
      </c>
      <c r="C63" s="22" t="s">
        <v>250</v>
      </c>
      <c r="D63" s="23" t="s">
        <v>86</v>
      </c>
    </row>
    <row r="64">
      <c r="A64" s="21" t="s">
        <v>203</v>
      </c>
      <c r="B64" s="21" t="s">
        <v>251</v>
      </c>
      <c r="C64" s="22" t="s">
        <v>252</v>
      </c>
      <c r="D64" s="23" t="s">
        <v>86</v>
      </c>
    </row>
    <row r="65">
      <c r="A65" s="21" t="s">
        <v>87</v>
      </c>
      <c r="B65" s="21" t="s">
        <v>253</v>
      </c>
      <c r="C65" s="22" t="s">
        <v>254</v>
      </c>
      <c r="D65" s="23" t="s">
        <v>86</v>
      </c>
    </row>
    <row r="66">
      <c r="A66" s="21" t="s">
        <v>255</v>
      </c>
      <c r="B66" s="21" t="s">
        <v>256</v>
      </c>
      <c r="C66" s="22" t="s">
        <v>257</v>
      </c>
      <c r="D66" s="23" t="s">
        <v>86</v>
      </c>
    </row>
    <row r="67">
      <c r="A67" s="21" t="s">
        <v>87</v>
      </c>
      <c r="B67" s="21" t="s">
        <v>258</v>
      </c>
      <c r="C67" s="22" t="s">
        <v>259</v>
      </c>
      <c r="D67" s="23" t="s">
        <v>86</v>
      </c>
    </row>
    <row r="68">
      <c r="A68" s="21" t="s">
        <v>203</v>
      </c>
      <c r="B68" s="21" t="s">
        <v>260</v>
      </c>
      <c r="C68" s="22" t="s">
        <v>261</v>
      </c>
      <c r="D68" s="23" t="s">
        <v>86</v>
      </c>
    </row>
    <row r="69">
      <c r="A69" s="21" t="s">
        <v>262</v>
      </c>
      <c r="B69" s="21" t="s">
        <v>263</v>
      </c>
      <c r="C69" s="22" t="s">
        <v>264</v>
      </c>
      <c r="D69" s="23" t="s">
        <v>86</v>
      </c>
    </row>
    <row r="70">
      <c r="A70" s="21" t="s">
        <v>265</v>
      </c>
      <c r="B70" s="21" t="s">
        <v>266</v>
      </c>
      <c r="C70" s="22" t="s">
        <v>267</v>
      </c>
      <c r="D70" s="23" t="s">
        <v>86</v>
      </c>
    </row>
    <row r="71">
      <c r="A71" s="21" t="s">
        <v>189</v>
      </c>
      <c r="B71" s="21" t="s">
        <v>268</v>
      </c>
      <c r="C71" s="22" t="s">
        <v>269</v>
      </c>
      <c r="D71" s="23" t="s">
        <v>86</v>
      </c>
    </row>
    <row r="72">
      <c r="A72" s="21" t="s">
        <v>83</v>
      </c>
      <c r="B72" s="21" t="s">
        <v>270</v>
      </c>
      <c r="C72" s="22" t="s">
        <v>271</v>
      </c>
      <c r="D72" s="23" t="s">
        <v>86</v>
      </c>
    </row>
    <row r="73">
      <c r="A73" s="21" t="s">
        <v>102</v>
      </c>
      <c r="B73" s="21" t="s">
        <v>272</v>
      </c>
      <c r="C73" s="22" t="s">
        <v>273</v>
      </c>
      <c r="D73" s="23" t="s">
        <v>86</v>
      </c>
    </row>
    <row r="74">
      <c r="A74" s="21" t="s">
        <v>164</v>
      </c>
      <c r="B74" s="21" t="s">
        <v>274</v>
      </c>
      <c r="C74" s="22" t="s">
        <v>275</v>
      </c>
      <c r="D74" s="23" t="s">
        <v>86</v>
      </c>
    </row>
    <row r="75">
      <c r="A75" s="21" t="s">
        <v>276</v>
      </c>
      <c r="B75" s="21" t="s">
        <v>277</v>
      </c>
      <c r="C75" s="22" t="s">
        <v>278</v>
      </c>
      <c r="D75" s="23" t="s">
        <v>86</v>
      </c>
    </row>
    <row r="76">
      <c r="A76" s="21" t="s">
        <v>124</v>
      </c>
      <c r="B76" s="21" t="s">
        <v>279</v>
      </c>
      <c r="C76" s="22" t="s">
        <v>280</v>
      </c>
      <c r="D76" s="23" t="s">
        <v>86</v>
      </c>
    </row>
    <row r="77">
      <c r="A77" s="21" t="s">
        <v>281</v>
      </c>
      <c r="B77" s="21" t="s">
        <v>282</v>
      </c>
      <c r="C77" s="22" t="s">
        <v>283</v>
      </c>
      <c r="D77" s="23" t="s">
        <v>86</v>
      </c>
    </row>
    <row r="78">
      <c r="A78" s="21" t="s">
        <v>99</v>
      </c>
      <c r="B78" s="21" t="s">
        <v>284</v>
      </c>
      <c r="C78" s="22" t="s">
        <v>285</v>
      </c>
      <c r="D78" s="23" t="s">
        <v>86</v>
      </c>
    </row>
    <row r="79">
      <c r="A79" s="21" t="s">
        <v>286</v>
      </c>
      <c r="B79" s="21" t="s">
        <v>287</v>
      </c>
      <c r="C79" s="22" t="s">
        <v>288</v>
      </c>
      <c r="D79" s="23" t="s">
        <v>86</v>
      </c>
    </row>
    <row r="80">
      <c r="A80" s="21" t="s">
        <v>289</v>
      </c>
      <c r="B80" s="21" t="s">
        <v>290</v>
      </c>
      <c r="C80" s="22" t="s">
        <v>291</v>
      </c>
      <c r="D80" s="23" t="s">
        <v>86</v>
      </c>
    </row>
    <row r="81">
      <c r="A81" s="21" t="s">
        <v>137</v>
      </c>
      <c r="B81" s="21" t="s">
        <v>292</v>
      </c>
      <c r="C81" s="22" t="s">
        <v>293</v>
      </c>
      <c r="D81" s="23" t="s">
        <v>86</v>
      </c>
    </row>
    <row r="82">
      <c r="A82" s="21" t="s">
        <v>294</v>
      </c>
      <c r="B82" s="21" t="s">
        <v>295</v>
      </c>
      <c r="C82" s="22" t="s">
        <v>296</v>
      </c>
      <c r="D82" s="23" t="s">
        <v>86</v>
      </c>
    </row>
    <row r="83">
      <c r="A83" s="21" t="s">
        <v>294</v>
      </c>
      <c r="B83" s="21" t="s">
        <v>297</v>
      </c>
      <c r="C83" s="22" t="s">
        <v>298</v>
      </c>
      <c r="D83" s="23" t="s">
        <v>86</v>
      </c>
    </row>
    <row r="84">
      <c r="A84" s="21" t="s">
        <v>90</v>
      </c>
      <c r="B84" s="21" t="s">
        <v>299</v>
      </c>
      <c r="C84" s="22" t="s">
        <v>300</v>
      </c>
      <c r="D84" s="23" t="s">
        <v>86</v>
      </c>
    </row>
    <row r="85">
      <c r="A85" s="21" t="s">
        <v>276</v>
      </c>
      <c r="B85" s="21" t="s">
        <v>301</v>
      </c>
      <c r="C85" s="22" t="s">
        <v>302</v>
      </c>
      <c r="D85" s="23" t="s">
        <v>86</v>
      </c>
    </row>
    <row r="86">
      <c r="A86" s="21" t="s">
        <v>124</v>
      </c>
      <c r="B86" s="21" t="s">
        <v>303</v>
      </c>
      <c r="C86" s="22" t="s">
        <v>304</v>
      </c>
      <c r="D86" s="23" t="s">
        <v>86</v>
      </c>
    </row>
    <row r="87">
      <c r="A87" s="21" t="s">
        <v>305</v>
      </c>
      <c r="B87" s="21" t="s">
        <v>306</v>
      </c>
      <c r="C87" s="22" t="s">
        <v>307</v>
      </c>
      <c r="D87" s="23" t="s">
        <v>86</v>
      </c>
    </row>
    <row r="88">
      <c r="A88" s="21" t="s">
        <v>308</v>
      </c>
      <c r="B88" s="21" t="s">
        <v>309</v>
      </c>
      <c r="C88" s="22" t="s">
        <v>310</v>
      </c>
      <c r="D88" s="23" t="s">
        <v>86</v>
      </c>
    </row>
    <row r="89">
      <c r="A89" s="21" t="s">
        <v>93</v>
      </c>
      <c r="B89" s="21" t="s">
        <v>311</v>
      </c>
      <c r="C89" s="22" t="s">
        <v>312</v>
      </c>
      <c r="D89" s="23" t="s">
        <v>86</v>
      </c>
    </row>
    <row r="90">
      <c r="A90" s="21" t="s">
        <v>313</v>
      </c>
      <c r="B90" s="21" t="s">
        <v>314</v>
      </c>
      <c r="C90" s="22" t="s">
        <v>315</v>
      </c>
      <c r="D90" s="23" t="s">
        <v>86</v>
      </c>
    </row>
    <row r="91">
      <c r="A91" s="21" t="s">
        <v>149</v>
      </c>
      <c r="B91" s="21" t="s">
        <v>316</v>
      </c>
      <c r="C91" s="22" t="s">
        <v>317</v>
      </c>
      <c r="D91" s="23" t="s">
        <v>86</v>
      </c>
    </row>
    <row r="92">
      <c r="A92" s="21" t="s">
        <v>158</v>
      </c>
      <c r="B92" s="21" t="s">
        <v>318</v>
      </c>
      <c r="C92" s="22" t="s">
        <v>319</v>
      </c>
      <c r="D92" s="23" t="s">
        <v>86</v>
      </c>
    </row>
    <row r="93">
      <c r="A93" s="21" t="s">
        <v>320</v>
      </c>
      <c r="B93" s="21" t="s">
        <v>321</v>
      </c>
      <c r="C93" s="22" t="s">
        <v>322</v>
      </c>
      <c r="D93" s="23" t="s">
        <v>86</v>
      </c>
    </row>
    <row r="94">
      <c r="A94" s="21" t="s">
        <v>215</v>
      </c>
      <c r="B94" s="21" t="s">
        <v>323</v>
      </c>
      <c r="C94" s="22" t="s">
        <v>324</v>
      </c>
      <c r="D94" s="23" t="s">
        <v>86</v>
      </c>
    </row>
    <row r="95">
      <c r="A95" s="21" t="s">
        <v>325</v>
      </c>
      <c r="B95" s="21" t="s">
        <v>326</v>
      </c>
      <c r="C95" s="22" t="s">
        <v>327</v>
      </c>
      <c r="D95" s="23" t="s">
        <v>86</v>
      </c>
    </row>
    <row r="96">
      <c r="A96" s="21" t="s">
        <v>328</v>
      </c>
      <c r="B96" s="21" t="s">
        <v>329</v>
      </c>
      <c r="C96" s="22" t="s">
        <v>330</v>
      </c>
      <c r="D96" s="23" t="s">
        <v>86</v>
      </c>
    </row>
    <row r="97">
      <c r="A97" s="21" t="s">
        <v>164</v>
      </c>
      <c r="B97" s="21" t="s">
        <v>331</v>
      </c>
      <c r="C97" s="22" t="s">
        <v>332</v>
      </c>
      <c r="D97" s="23" t="s">
        <v>86</v>
      </c>
    </row>
    <row r="98">
      <c r="A98" s="21" t="s">
        <v>333</v>
      </c>
      <c r="B98" s="21" t="s">
        <v>334</v>
      </c>
      <c r="C98" s="22" t="s">
        <v>335</v>
      </c>
      <c r="D98" s="23" t="s">
        <v>86</v>
      </c>
    </row>
    <row r="99">
      <c r="A99" s="21" t="s">
        <v>146</v>
      </c>
      <c r="B99" s="21" t="s">
        <v>336</v>
      </c>
      <c r="C99" s="22" t="s">
        <v>337</v>
      </c>
      <c r="D99" s="23" t="s">
        <v>86</v>
      </c>
    </row>
    <row r="100">
      <c r="A100" s="21" t="s">
        <v>93</v>
      </c>
      <c r="B100" s="21" t="s">
        <v>338</v>
      </c>
      <c r="C100" s="22" t="s">
        <v>339</v>
      </c>
      <c r="D100" s="23" t="s">
        <v>86</v>
      </c>
    </row>
    <row r="101">
      <c r="A101" s="21" t="s">
        <v>281</v>
      </c>
      <c r="B101" s="21" t="s">
        <v>340</v>
      </c>
      <c r="C101" s="22" t="s">
        <v>341</v>
      </c>
      <c r="D101" s="23" t="s">
        <v>86</v>
      </c>
    </row>
    <row r="102">
      <c r="C102" s="24"/>
      <c r="D102" s="25"/>
    </row>
    <row r="103">
      <c r="C103" s="24"/>
      <c r="D103" s="25"/>
    </row>
    <row r="104">
      <c r="C104" s="24"/>
      <c r="D104" s="25"/>
    </row>
    <row r="105">
      <c r="C105" s="24"/>
      <c r="D105" s="25"/>
    </row>
    <row r="106">
      <c r="C106" s="24"/>
      <c r="D106" s="25"/>
    </row>
    <row r="107">
      <c r="C107" s="24"/>
      <c r="D107" s="25"/>
    </row>
    <row r="108">
      <c r="C108" s="24"/>
      <c r="D108" s="25"/>
    </row>
    <row r="109">
      <c r="C109" s="24"/>
      <c r="D109" s="25"/>
    </row>
    <row r="110">
      <c r="C110" s="24"/>
      <c r="D110" s="25"/>
    </row>
    <row r="111">
      <c r="C111" s="24"/>
      <c r="D111" s="25"/>
    </row>
    <row r="112">
      <c r="C112" s="24"/>
      <c r="D112" s="25"/>
    </row>
    <row r="113">
      <c r="C113" s="24"/>
      <c r="D113" s="25"/>
    </row>
    <row r="114">
      <c r="C114" s="24"/>
      <c r="D114" s="25"/>
    </row>
    <row r="115">
      <c r="C115" s="24"/>
      <c r="D115" s="25"/>
    </row>
    <row r="116">
      <c r="C116" s="24"/>
      <c r="D116" s="25"/>
    </row>
    <row r="117">
      <c r="C117" s="24"/>
      <c r="D117" s="25"/>
    </row>
    <row r="118">
      <c r="C118" s="24"/>
      <c r="D118" s="25"/>
    </row>
    <row r="119">
      <c r="C119" s="24"/>
      <c r="D119" s="25"/>
    </row>
    <row r="120">
      <c r="C120" s="24"/>
      <c r="D120" s="25"/>
    </row>
    <row r="121">
      <c r="C121" s="24"/>
      <c r="D121" s="25"/>
    </row>
    <row r="122">
      <c r="C122" s="24"/>
      <c r="D122" s="25"/>
    </row>
    <row r="123">
      <c r="C123" s="24"/>
      <c r="D123" s="25"/>
    </row>
    <row r="124">
      <c r="C124" s="24"/>
      <c r="D124" s="25"/>
    </row>
    <row r="125">
      <c r="C125" s="24"/>
      <c r="D125" s="25"/>
    </row>
    <row r="126">
      <c r="C126" s="24"/>
      <c r="D126" s="25"/>
    </row>
    <row r="127">
      <c r="C127" s="24"/>
      <c r="D127" s="25"/>
    </row>
    <row r="128">
      <c r="C128" s="24"/>
      <c r="D128" s="25"/>
    </row>
    <row r="129">
      <c r="C129" s="24"/>
      <c r="D129" s="25"/>
    </row>
    <row r="130">
      <c r="C130" s="24"/>
      <c r="D130" s="25"/>
    </row>
    <row r="131">
      <c r="C131" s="24"/>
      <c r="D131" s="25"/>
    </row>
    <row r="132">
      <c r="C132" s="24"/>
      <c r="D132" s="25"/>
    </row>
    <row r="133">
      <c r="C133" s="24"/>
      <c r="D133" s="25"/>
    </row>
    <row r="134">
      <c r="C134" s="24"/>
      <c r="D134" s="25"/>
    </row>
    <row r="135">
      <c r="C135" s="24"/>
      <c r="D135" s="25"/>
    </row>
    <row r="136">
      <c r="C136" s="24"/>
      <c r="D136" s="25"/>
    </row>
    <row r="137">
      <c r="C137" s="24"/>
      <c r="D137" s="25"/>
    </row>
    <row r="138">
      <c r="C138" s="24"/>
      <c r="D138" s="25"/>
    </row>
    <row r="139">
      <c r="C139" s="24"/>
      <c r="D139" s="25"/>
    </row>
    <row r="140">
      <c r="C140" s="24"/>
      <c r="D140" s="25"/>
    </row>
    <row r="141">
      <c r="C141" s="24"/>
      <c r="D141" s="25"/>
    </row>
    <row r="142">
      <c r="C142" s="24"/>
      <c r="D142" s="25"/>
    </row>
    <row r="143">
      <c r="C143" s="24"/>
      <c r="D143" s="25"/>
    </row>
    <row r="144">
      <c r="C144" s="24"/>
      <c r="D144" s="25"/>
    </row>
    <row r="145">
      <c r="C145" s="24"/>
      <c r="D145" s="25"/>
    </row>
    <row r="146">
      <c r="C146" s="24"/>
      <c r="D146" s="25"/>
    </row>
    <row r="147">
      <c r="C147" s="24"/>
      <c r="D147" s="25"/>
    </row>
    <row r="148">
      <c r="C148" s="24"/>
      <c r="D148" s="25"/>
    </row>
    <row r="149">
      <c r="C149" s="24"/>
      <c r="D149" s="25"/>
    </row>
    <row r="150">
      <c r="C150" s="24"/>
      <c r="D150" s="25"/>
    </row>
    <row r="151">
      <c r="C151" s="24"/>
      <c r="D151" s="25"/>
    </row>
    <row r="152">
      <c r="C152" s="24"/>
      <c r="D152" s="25"/>
    </row>
    <row r="153">
      <c r="C153" s="24"/>
      <c r="D153" s="25"/>
    </row>
    <row r="154">
      <c r="C154" s="24"/>
      <c r="D154" s="25"/>
    </row>
    <row r="155">
      <c r="C155" s="24"/>
      <c r="D155" s="25"/>
    </row>
    <row r="156">
      <c r="C156" s="24"/>
      <c r="D156" s="25"/>
    </row>
    <row r="157">
      <c r="C157" s="24"/>
      <c r="D157" s="25"/>
    </row>
    <row r="158">
      <c r="C158" s="24"/>
      <c r="D158" s="25"/>
    </row>
    <row r="159">
      <c r="C159" s="24"/>
      <c r="D159" s="25"/>
    </row>
    <row r="160">
      <c r="C160" s="24"/>
      <c r="D160" s="25"/>
    </row>
    <row r="161">
      <c r="C161" s="24"/>
      <c r="D161" s="25"/>
    </row>
    <row r="162">
      <c r="C162" s="24"/>
      <c r="D162" s="25"/>
    </row>
    <row r="163">
      <c r="C163" s="24"/>
      <c r="D163" s="25"/>
    </row>
    <row r="164">
      <c r="C164" s="24"/>
      <c r="D164" s="25"/>
    </row>
    <row r="165">
      <c r="C165" s="24"/>
      <c r="D165" s="25"/>
    </row>
    <row r="166">
      <c r="C166" s="24"/>
      <c r="D166" s="25"/>
    </row>
    <row r="167">
      <c r="C167" s="24"/>
      <c r="D167" s="25"/>
    </row>
    <row r="168">
      <c r="C168" s="24"/>
      <c r="D168" s="25"/>
    </row>
    <row r="169">
      <c r="C169" s="24"/>
      <c r="D169" s="25"/>
    </row>
    <row r="170">
      <c r="C170" s="24"/>
      <c r="D170" s="25"/>
    </row>
    <row r="171">
      <c r="C171" s="24"/>
      <c r="D171" s="25"/>
    </row>
    <row r="172">
      <c r="C172" s="24"/>
      <c r="D172" s="25"/>
    </row>
    <row r="173">
      <c r="C173" s="24"/>
      <c r="D173" s="25"/>
    </row>
    <row r="174">
      <c r="C174" s="24"/>
      <c r="D174" s="25"/>
    </row>
    <row r="175">
      <c r="C175" s="24"/>
      <c r="D175" s="25"/>
    </row>
    <row r="176">
      <c r="C176" s="24"/>
      <c r="D176" s="25"/>
    </row>
    <row r="177">
      <c r="C177" s="24"/>
      <c r="D177" s="25"/>
    </row>
    <row r="178">
      <c r="C178" s="24"/>
      <c r="D178" s="25"/>
    </row>
    <row r="179">
      <c r="C179" s="24"/>
      <c r="D179" s="25"/>
    </row>
    <row r="180">
      <c r="C180" s="24"/>
      <c r="D180" s="25"/>
    </row>
    <row r="181">
      <c r="C181" s="24"/>
      <c r="D181" s="25"/>
    </row>
    <row r="182">
      <c r="C182" s="24"/>
      <c r="D182" s="25"/>
    </row>
    <row r="183">
      <c r="C183" s="24"/>
      <c r="D183" s="25"/>
    </row>
    <row r="184">
      <c r="C184" s="24"/>
      <c r="D184" s="25"/>
    </row>
    <row r="185">
      <c r="C185" s="24"/>
      <c r="D185" s="25"/>
    </row>
    <row r="186">
      <c r="C186" s="24"/>
      <c r="D186" s="25"/>
    </row>
    <row r="187">
      <c r="C187" s="24"/>
      <c r="D187" s="25"/>
    </row>
    <row r="188">
      <c r="C188" s="24"/>
      <c r="D188" s="25"/>
    </row>
    <row r="189">
      <c r="C189" s="24"/>
      <c r="D189" s="25"/>
    </row>
    <row r="190">
      <c r="C190" s="24"/>
      <c r="D190" s="25"/>
    </row>
    <row r="191">
      <c r="C191" s="24"/>
      <c r="D191" s="25"/>
    </row>
    <row r="192">
      <c r="C192" s="24"/>
      <c r="D192" s="25"/>
    </row>
    <row r="193">
      <c r="C193" s="24"/>
      <c r="D193" s="25"/>
    </row>
    <row r="194">
      <c r="C194" s="24"/>
      <c r="D194" s="25"/>
    </row>
    <row r="195">
      <c r="C195" s="24"/>
      <c r="D195" s="25"/>
    </row>
    <row r="196">
      <c r="C196" s="24"/>
      <c r="D196" s="25"/>
    </row>
    <row r="197">
      <c r="C197" s="24"/>
      <c r="D197" s="25"/>
    </row>
    <row r="198">
      <c r="C198" s="24"/>
      <c r="D198" s="25"/>
    </row>
    <row r="199">
      <c r="C199" s="24"/>
      <c r="D199" s="25"/>
    </row>
    <row r="200">
      <c r="C200" s="24"/>
      <c r="D200" s="25"/>
    </row>
    <row r="201">
      <c r="C201" s="24"/>
      <c r="D201" s="25"/>
    </row>
    <row r="202">
      <c r="C202" s="24"/>
      <c r="D202" s="25"/>
    </row>
    <row r="203">
      <c r="C203" s="24"/>
      <c r="D203" s="25"/>
    </row>
    <row r="204">
      <c r="C204" s="24"/>
      <c r="D204" s="25"/>
    </row>
    <row r="205">
      <c r="C205" s="24"/>
      <c r="D205" s="25"/>
    </row>
    <row r="206">
      <c r="C206" s="24"/>
      <c r="D206" s="25"/>
    </row>
    <row r="207">
      <c r="C207" s="24"/>
      <c r="D207" s="25"/>
    </row>
    <row r="208">
      <c r="C208" s="24"/>
      <c r="D208" s="25"/>
    </row>
    <row r="209">
      <c r="C209" s="24"/>
      <c r="D209" s="25"/>
    </row>
    <row r="210">
      <c r="C210" s="24"/>
      <c r="D210" s="25"/>
    </row>
    <row r="211">
      <c r="C211" s="24"/>
      <c r="D211" s="25"/>
    </row>
    <row r="212">
      <c r="C212" s="24"/>
      <c r="D212" s="25"/>
    </row>
    <row r="213">
      <c r="C213" s="24"/>
      <c r="D213" s="25"/>
    </row>
    <row r="214">
      <c r="C214" s="24"/>
      <c r="D214" s="25"/>
    </row>
    <row r="215">
      <c r="C215" s="24"/>
      <c r="D215" s="25"/>
    </row>
    <row r="216">
      <c r="C216" s="24"/>
      <c r="D216" s="25"/>
    </row>
    <row r="217">
      <c r="C217" s="24"/>
      <c r="D217" s="25"/>
    </row>
    <row r="218">
      <c r="C218" s="24"/>
      <c r="D218" s="25"/>
    </row>
    <row r="219">
      <c r="C219" s="24"/>
      <c r="D219" s="25"/>
    </row>
    <row r="220">
      <c r="C220" s="24"/>
      <c r="D220" s="25"/>
    </row>
    <row r="221">
      <c r="C221" s="24"/>
      <c r="D221" s="25"/>
    </row>
    <row r="222">
      <c r="C222" s="24"/>
      <c r="D222" s="25"/>
    </row>
    <row r="223">
      <c r="C223" s="24"/>
      <c r="D223" s="25"/>
    </row>
    <row r="224">
      <c r="C224" s="24"/>
      <c r="D224" s="25"/>
    </row>
    <row r="225">
      <c r="C225" s="24"/>
      <c r="D225" s="25"/>
    </row>
    <row r="226">
      <c r="C226" s="24"/>
      <c r="D226" s="25"/>
    </row>
    <row r="227">
      <c r="C227" s="24"/>
      <c r="D227" s="25"/>
    </row>
    <row r="228">
      <c r="C228" s="24"/>
      <c r="D228" s="25"/>
    </row>
    <row r="229">
      <c r="C229" s="24"/>
      <c r="D229" s="25"/>
    </row>
    <row r="230">
      <c r="C230" s="24"/>
      <c r="D230" s="25"/>
    </row>
    <row r="231">
      <c r="C231" s="24"/>
      <c r="D231" s="25"/>
    </row>
    <row r="232">
      <c r="C232" s="24"/>
      <c r="D232" s="25"/>
    </row>
    <row r="233">
      <c r="C233" s="24"/>
      <c r="D233" s="25"/>
    </row>
    <row r="234">
      <c r="C234" s="24"/>
      <c r="D234" s="25"/>
    </row>
    <row r="235">
      <c r="C235" s="24"/>
      <c r="D235" s="25"/>
    </row>
    <row r="236">
      <c r="C236" s="24"/>
      <c r="D236" s="25"/>
    </row>
    <row r="237">
      <c r="C237" s="24"/>
      <c r="D237" s="25"/>
    </row>
    <row r="238">
      <c r="C238" s="24"/>
      <c r="D238" s="25"/>
    </row>
    <row r="239">
      <c r="C239" s="24"/>
      <c r="D239" s="25"/>
    </row>
    <row r="240">
      <c r="C240" s="24"/>
      <c r="D240" s="25"/>
    </row>
    <row r="241">
      <c r="C241" s="24"/>
      <c r="D241" s="25"/>
    </row>
    <row r="242">
      <c r="C242" s="24"/>
      <c r="D242" s="25"/>
    </row>
    <row r="243">
      <c r="C243" s="24"/>
      <c r="D243" s="25"/>
    </row>
    <row r="244">
      <c r="C244" s="24"/>
      <c r="D244" s="25"/>
    </row>
    <row r="245">
      <c r="C245" s="24"/>
      <c r="D245" s="25"/>
    </row>
    <row r="246">
      <c r="C246" s="24"/>
      <c r="D246" s="25"/>
    </row>
    <row r="247">
      <c r="C247" s="24"/>
      <c r="D247" s="25"/>
    </row>
    <row r="248">
      <c r="C248" s="24"/>
      <c r="D248" s="25"/>
    </row>
    <row r="249">
      <c r="C249" s="24"/>
      <c r="D249" s="25"/>
    </row>
    <row r="250">
      <c r="C250" s="24"/>
      <c r="D250" s="25"/>
    </row>
    <row r="251">
      <c r="C251" s="24"/>
      <c r="D251" s="25"/>
    </row>
    <row r="252">
      <c r="C252" s="24"/>
      <c r="D252" s="25"/>
    </row>
    <row r="253">
      <c r="C253" s="24"/>
      <c r="D253" s="25"/>
    </row>
    <row r="254">
      <c r="C254" s="24"/>
      <c r="D254" s="25"/>
    </row>
    <row r="255">
      <c r="C255" s="24"/>
      <c r="D255" s="25"/>
    </row>
    <row r="256">
      <c r="C256" s="24"/>
      <c r="D256" s="25"/>
    </row>
    <row r="257">
      <c r="C257" s="24"/>
      <c r="D257" s="25"/>
    </row>
    <row r="258">
      <c r="C258" s="24"/>
      <c r="D258" s="25"/>
    </row>
    <row r="259">
      <c r="C259" s="24"/>
      <c r="D259" s="25"/>
    </row>
    <row r="260">
      <c r="C260" s="24"/>
      <c r="D260" s="25"/>
    </row>
    <row r="261">
      <c r="C261" s="24"/>
      <c r="D261" s="25"/>
    </row>
    <row r="262">
      <c r="C262" s="24"/>
      <c r="D262" s="25"/>
    </row>
    <row r="263">
      <c r="C263" s="24"/>
      <c r="D263" s="25"/>
    </row>
    <row r="264">
      <c r="C264" s="24"/>
      <c r="D264" s="25"/>
    </row>
    <row r="265">
      <c r="C265" s="24"/>
      <c r="D265" s="25"/>
    </row>
    <row r="266">
      <c r="C266" s="24"/>
      <c r="D266" s="25"/>
    </row>
    <row r="267">
      <c r="C267" s="24"/>
      <c r="D267" s="25"/>
    </row>
    <row r="268">
      <c r="C268" s="24"/>
      <c r="D268" s="25"/>
    </row>
    <row r="269">
      <c r="C269" s="24"/>
      <c r="D269" s="25"/>
    </row>
    <row r="270">
      <c r="C270" s="24"/>
      <c r="D270" s="25"/>
    </row>
    <row r="271">
      <c r="C271" s="24"/>
      <c r="D271" s="25"/>
    </row>
    <row r="272">
      <c r="C272" s="24"/>
      <c r="D272" s="25"/>
    </row>
    <row r="273">
      <c r="C273" s="24"/>
      <c r="D273" s="25"/>
    </row>
    <row r="274">
      <c r="C274" s="24"/>
      <c r="D274" s="25"/>
    </row>
    <row r="275">
      <c r="C275" s="24"/>
      <c r="D275" s="25"/>
    </row>
    <row r="276">
      <c r="C276" s="24"/>
      <c r="D276" s="25"/>
    </row>
    <row r="277">
      <c r="C277" s="24"/>
      <c r="D277" s="25"/>
    </row>
    <row r="278">
      <c r="C278" s="24"/>
      <c r="D278" s="25"/>
    </row>
    <row r="279">
      <c r="C279" s="24"/>
      <c r="D279" s="25"/>
    </row>
    <row r="280">
      <c r="C280" s="24"/>
      <c r="D280" s="25"/>
    </row>
    <row r="281">
      <c r="C281" s="24"/>
      <c r="D281" s="25"/>
    </row>
    <row r="282">
      <c r="C282" s="24"/>
      <c r="D282" s="25"/>
    </row>
    <row r="283">
      <c r="C283" s="24"/>
      <c r="D283" s="25"/>
    </row>
    <row r="284">
      <c r="C284" s="24"/>
      <c r="D284" s="25"/>
    </row>
    <row r="285">
      <c r="C285" s="24"/>
      <c r="D285" s="25"/>
    </row>
    <row r="286">
      <c r="C286" s="24"/>
      <c r="D286" s="25"/>
    </row>
    <row r="287">
      <c r="C287" s="24"/>
      <c r="D287" s="25"/>
    </row>
    <row r="288">
      <c r="C288" s="24"/>
      <c r="D288" s="25"/>
    </row>
    <row r="289">
      <c r="C289" s="24"/>
      <c r="D289" s="25"/>
    </row>
    <row r="290">
      <c r="C290" s="24"/>
      <c r="D290" s="25"/>
    </row>
    <row r="291">
      <c r="C291" s="24"/>
      <c r="D291" s="25"/>
    </row>
    <row r="292">
      <c r="C292" s="24"/>
      <c r="D292" s="25"/>
    </row>
    <row r="293">
      <c r="C293" s="24"/>
      <c r="D293" s="25"/>
    </row>
    <row r="294">
      <c r="C294" s="24"/>
      <c r="D294" s="25"/>
    </row>
    <row r="295">
      <c r="C295" s="24"/>
      <c r="D295" s="25"/>
    </row>
    <row r="296">
      <c r="C296" s="24"/>
      <c r="D296" s="25"/>
    </row>
    <row r="297">
      <c r="C297" s="24"/>
      <c r="D297" s="25"/>
    </row>
    <row r="298">
      <c r="C298" s="24"/>
      <c r="D298" s="25"/>
    </row>
    <row r="299">
      <c r="C299" s="24"/>
      <c r="D299" s="25"/>
    </row>
    <row r="300">
      <c r="C300" s="24"/>
      <c r="D300" s="25"/>
    </row>
    <row r="301">
      <c r="C301" s="24"/>
      <c r="D301" s="25"/>
    </row>
    <row r="302">
      <c r="C302" s="24"/>
      <c r="D302" s="25"/>
    </row>
    <row r="303">
      <c r="C303" s="24"/>
      <c r="D303" s="25"/>
    </row>
    <row r="304">
      <c r="C304" s="24"/>
      <c r="D304" s="25"/>
    </row>
    <row r="305">
      <c r="C305" s="24"/>
      <c r="D305" s="25"/>
    </row>
    <row r="306">
      <c r="C306" s="24"/>
      <c r="D306" s="25"/>
    </row>
    <row r="307">
      <c r="C307" s="24"/>
      <c r="D307" s="25"/>
    </row>
    <row r="308">
      <c r="C308" s="24"/>
      <c r="D308" s="25"/>
    </row>
    <row r="309">
      <c r="C309" s="24"/>
      <c r="D309" s="25"/>
    </row>
    <row r="310">
      <c r="C310" s="24"/>
      <c r="D310" s="25"/>
    </row>
    <row r="311">
      <c r="C311" s="24"/>
      <c r="D311" s="25"/>
    </row>
    <row r="312">
      <c r="C312" s="24"/>
      <c r="D312" s="25"/>
    </row>
    <row r="313">
      <c r="C313" s="24"/>
      <c r="D313" s="25"/>
    </row>
    <row r="314">
      <c r="C314" s="24"/>
      <c r="D314" s="25"/>
    </row>
    <row r="315">
      <c r="C315" s="24"/>
      <c r="D315" s="25"/>
    </row>
    <row r="316">
      <c r="C316" s="24"/>
      <c r="D316" s="25"/>
    </row>
    <row r="317">
      <c r="C317" s="24"/>
      <c r="D317" s="25"/>
    </row>
    <row r="318">
      <c r="C318" s="24"/>
      <c r="D318" s="25"/>
    </row>
    <row r="319">
      <c r="C319" s="24"/>
      <c r="D319" s="25"/>
    </row>
    <row r="320">
      <c r="C320" s="24"/>
      <c r="D320" s="25"/>
    </row>
    <row r="321">
      <c r="C321" s="24"/>
      <c r="D321" s="25"/>
    </row>
    <row r="322">
      <c r="C322" s="24"/>
      <c r="D322" s="25"/>
    </row>
    <row r="323">
      <c r="C323" s="24"/>
      <c r="D323" s="25"/>
    </row>
    <row r="324">
      <c r="C324" s="24"/>
      <c r="D324" s="25"/>
    </row>
    <row r="325">
      <c r="C325" s="24"/>
      <c r="D325" s="25"/>
    </row>
    <row r="326">
      <c r="C326" s="24"/>
      <c r="D326" s="25"/>
    </row>
    <row r="327">
      <c r="C327" s="24"/>
      <c r="D327" s="25"/>
    </row>
    <row r="328">
      <c r="C328" s="24"/>
      <c r="D328" s="25"/>
    </row>
    <row r="329">
      <c r="C329" s="24"/>
      <c r="D329" s="25"/>
    </row>
    <row r="330">
      <c r="C330" s="24"/>
      <c r="D330" s="25"/>
    </row>
    <row r="331">
      <c r="C331" s="24"/>
      <c r="D331" s="25"/>
    </row>
    <row r="332">
      <c r="C332" s="24"/>
      <c r="D332" s="25"/>
    </row>
    <row r="333">
      <c r="C333" s="24"/>
      <c r="D333" s="25"/>
    </row>
    <row r="334">
      <c r="C334" s="24"/>
      <c r="D334" s="25"/>
    </row>
    <row r="335">
      <c r="C335" s="24"/>
      <c r="D335" s="25"/>
    </row>
    <row r="336">
      <c r="C336" s="24"/>
      <c r="D336" s="25"/>
    </row>
    <row r="337">
      <c r="C337" s="24"/>
      <c r="D337" s="25"/>
    </row>
    <row r="338">
      <c r="C338" s="24"/>
      <c r="D338" s="25"/>
    </row>
    <row r="339">
      <c r="C339" s="24"/>
      <c r="D339" s="25"/>
    </row>
    <row r="340">
      <c r="C340" s="24"/>
      <c r="D340" s="25"/>
    </row>
    <row r="341">
      <c r="C341" s="24"/>
      <c r="D341" s="25"/>
    </row>
    <row r="342">
      <c r="C342" s="24"/>
      <c r="D342" s="25"/>
    </row>
    <row r="343">
      <c r="C343" s="24"/>
      <c r="D343" s="25"/>
    </row>
    <row r="344">
      <c r="C344" s="24"/>
      <c r="D344" s="25"/>
    </row>
    <row r="345">
      <c r="C345" s="24"/>
      <c r="D345" s="25"/>
    </row>
    <row r="346">
      <c r="C346" s="24"/>
      <c r="D346" s="25"/>
    </row>
    <row r="347">
      <c r="C347" s="24"/>
      <c r="D347" s="25"/>
    </row>
    <row r="348">
      <c r="C348" s="24"/>
      <c r="D348" s="25"/>
    </row>
    <row r="349">
      <c r="C349" s="24"/>
      <c r="D349" s="25"/>
    </row>
    <row r="350">
      <c r="C350" s="24"/>
      <c r="D350" s="25"/>
    </row>
    <row r="351">
      <c r="C351" s="24"/>
      <c r="D351" s="25"/>
    </row>
    <row r="352">
      <c r="C352" s="24"/>
      <c r="D352" s="25"/>
    </row>
    <row r="353">
      <c r="C353" s="24"/>
      <c r="D353" s="25"/>
    </row>
    <row r="354">
      <c r="C354" s="24"/>
      <c r="D354" s="25"/>
    </row>
    <row r="355">
      <c r="C355" s="24"/>
      <c r="D355" s="25"/>
    </row>
    <row r="356">
      <c r="C356" s="24"/>
      <c r="D356" s="25"/>
    </row>
    <row r="357">
      <c r="C357" s="24"/>
      <c r="D357" s="25"/>
    </row>
    <row r="358">
      <c r="C358" s="24"/>
      <c r="D358" s="25"/>
    </row>
    <row r="359">
      <c r="C359" s="24"/>
      <c r="D359" s="25"/>
    </row>
    <row r="360">
      <c r="C360" s="24"/>
      <c r="D360" s="25"/>
    </row>
    <row r="361">
      <c r="C361" s="24"/>
      <c r="D361" s="25"/>
    </row>
    <row r="362">
      <c r="C362" s="24"/>
      <c r="D362" s="25"/>
    </row>
    <row r="363">
      <c r="C363" s="24"/>
      <c r="D363" s="25"/>
    </row>
    <row r="364">
      <c r="C364" s="24"/>
      <c r="D364" s="25"/>
    </row>
    <row r="365">
      <c r="C365" s="24"/>
      <c r="D365" s="25"/>
    </row>
    <row r="366">
      <c r="C366" s="24"/>
      <c r="D366" s="25"/>
    </row>
    <row r="367">
      <c r="C367" s="24"/>
      <c r="D367" s="25"/>
    </row>
    <row r="368">
      <c r="C368" s="24"/>
      <c r="D368" s="25"/>
    </row>
    <row r="369">
      <c r="C369" s="24"/>
      <c r="D369" s="25"/>
    </row>
    <row r="370">
      <c r="C370" s="24"/>
      <c r="D370" s="25"/>
    </row>
    <row r="371">
      <c r="C371" s="24"/>
      <c r="D371" s="25"/>
    </row>
    <row r="372">
      <c r="C372" s="24"/>
      <c r="D372" s="25"/>
    </row>
    <row r="373">
      <c r="C373" s="24"/>
      <c r="D373" s="25"/>
    </row>
    <row r="374">
      <c r="C374" s="24"/>
      <c r="D374" s="25"/>
    </row>
    <row r="375">
      <c r="C375" s="24"/>
      <c r="D375" s="25"/>
    </row>
    <row r="376">
      <c r="C376" s="24"/>
      <c r="D376" s="25"/>
    </row>
    <row r="377">
      <c r="C377" s="24"/>
      <c r="D377" s="25"/>
    </row>
    <row r="378">
      <c r="C378" s="24"/>
      <c r="D378" s="25"/>
    </row>
    <row r="379">
      <c r="C379" s="24"/>
      <c r="D379" s="25"/>
    </row>
    <row r="380">
      <c r="C380" s="24"/>
      <c r="D380" s="25"/>
    </row>
    <row r="381">
      <c r="C381" s="24"/>
      <c r="D381" s="25"/>
    </row>
    <row r="382">
      <c r="C382" s="24"/>
      <c r="D382" s="25"/>
    </row>
    <row r="383">
      <c r="C383" s="24"/>
      <c r="D383" s="25"/>
    </row>
    <row r="384">
      <c r="C384" s="24"/>
      <c r="D384" s="25"/>
    </row>
    <row r="385">
      <c r="C385" s="24"/>
      <c r="D385" s="25"/>
    </row>
    <row r="386">
      <c r="C386" s="24"/>
      <c r="D386" s="25"/>
    </row>
    <row r="387">
      <c r="C387" s="24"/>
      <c r="D387" s="25"/>
    </row>
    <row r="388">
      <c r="C388" s="24"/>
      <c r="D388" s="25"/>
    </row>
    <row r="389">
      <c r="C389" s="24"/>
      <c r="D389" s="25"/>
    </row>
    <row r="390">
      <c r="C390" s="24"/>
      <c r="D390" s="25"/>
    </row>
    <row r="391">
      <c r="C391" s="24"/>
      <c r="D391" s="25"/>
    </row>
    <row r="392">
      <c r="C392" s="24"/>
      <c r="D392" s="25"/>
    </row>
    <row r="393">
      <c r="C393" s="24"/>
      <c r="D393" s="25"/>
    </row>
    <row r="394">
      <c r="C394" s="24"/>
      <c r="D394" s="25"/>
    </row>
    <row r="395">
      <c r="C395" s="24"/>
      <c r="D395" s="25"/>
    </row>
    <row r="396">
      <c r="C396" s="24"/>
      <c r="D396" s="25"/>
    </row>
    <row r="397">
      <c r="C397" s="24"/>
      <c r="D397" s="25"/>
    </row>
    <row r="398">
      <c r="C398" s="24"/>
      <c r="D398" s="25"/>
    </row>
    <row r="399">
      <c r="C399" s="24"/>
      <c r="D399" s="25"/>
    </row>
    <row r="400">
      <c r="C400" s="24"/>
      <c r="D400" s="25"/>
    </row>
    <row r="401">
      <c r="C401" s="24"/>
      <c r="D401" s="25"/>
    </row>
    <row r="402">
      <c r="C402" s="24"/>
      <c r="D402" s="25"/>
    </row>
    <row r="403">
      <c r="C403" s="24"/>
      <c r="D403" s="25"/>
    </row>
    <row r="404">
      <c r="C404" s="24"/>
      <c r="D404" s="25"/>
    </row>
    <row r="405">
      <c r="C405" s="24"/>
      <c r="D405" s="25"/>
    </row>
    <row r="406">
      <c r="C406" s="24"/>
      <c r="D406" s="25"/>
    </row>
    <row r="407">
      <c r="C407" s="24"/>
      <c r="D407" s="25"/>
    </row>
    <row r="408">
      <c r="C408" s="24"/>
      <c r="D408" s="25"/>
    </row>
    <row r="409">
      <c r="C409" s="24"/>
      <c r="D409" s="25"/>
    </row>
    <row r="410">
      <c r="C410" s="24"/>
      <c r="D410" s="25"/>
    </row>
    <row r="411">
      <c r="C411" s="24"/>
      <c r="D411" s="25"/>
    </row>
    <row r="412">
      <c r="C412" s="24"/>
      <c r="D412" s="25"/>
    </row>
    <row r="413">
      <c r="C413" s="24"/>
      <c r="D413" s="25"/>
    </row>
    <row r="414">
      <c r="C414" s="24"/>
      <c r="D414" s="25"/>
    </row>
    <row r="415">
      <c r="C415" s="24"/>
      <c r="D415" s="25"/>
    </row>
    <row r="416">
      <c r="C416" s="24"/>
      <c r="D416" s="25"/>
    </row>
    <row r="417">
      <c r="C417" s="24"/>
      <c r="D417" s="25"/>
    </row>
    <row r="418">
      <c r="C418" s="24"/>
      <c r="D418" s="25"/>
    </row>
    <row r="419">
      <c r="C419" s="24"/>
      <c r="D419" s="25"/>
    </row>
    <row r="420">
      <c r="C420" s="24"/>
      <c r="D420" s="25"/>
    </row>
    <row r="421">
      <c r="C421" s="24"/>
      <c r="D421" s="25"/>
    </row>
    <row r="422">
      <c r="C422" s="24"/>
      <c r="D422" s="25"/>
    </row>
    <row r="423">
      <c r="C423" s="24"/>
      <c r="D423" s="25"/>
    </row>
    <row r="424">
      <c r="C424" s="24"/>
      <c r="D424" s="25"/>
    </row>
    <row r="425">
      <c r="C425" s="24"/>
      <c r="D425" s="25"/>
    </row>
    <row r="426">
      <c r="C426" s="24"/>
      <c r="D426" s="25"/>
    </row>
    <row r="427">
      <c r="C427" s="24"/>
      <c r="D427" s="25"/>
    </row>
    <row r="428">
      <c r="C428" s="24"/>
      <c r="D428" s="25"/>
    </row>
    <row r="429">
      <c r="C429" s="24"/>
      <c r="D429" s="25"/>
    </row>
    <row r="430">
      <c r="C430" s="24"/>
      <c r="D430" s="25"/>
    </row>
    <row r="431">
      <c r="C431" s="24"/>
      <c r="D431" s="25"/>
    </row>
    <row r="432">
      <c r="C432" s="24"/>
      <c r="D432" s="25"/>
    </row>
    <row r="433">
      <c r="C433" s="24"/>
      <c r="D433" s="25"/>
    </row>
    <row r="434">
      <c r="C434" s="24"/>
      <c r="D434" s="25"/>
    </row>
    <row r="435">
      <c r="C435" s="24"/>
      <c r="D435" s="25"/>
    </row>
    <row r="436">
      <c r="C436" s="24"/>
      <c r="D436" s="25"/>
    </row>
    <row r="437">
      <c r="C437" s="24"/>
      <c r="D437" s="25"/>
    </row>
    <row r="438">
      <c r="C438" s="24"/>
      <c r="D438" s="25"/>
    </row>
    <row r="439">
      <c r="C439" s="24"/>
      <c r="D439" s="25"/>
    </row>
    <row r="440">
      <c r="C440" s="24"/>
      <c r="D440" s="25"/>
    </row>
    <row r="441">
      <c r="C441" s="24"/>
      <c r="D441" s="25"/>
    </row>
    <row r="442">
      <c r="C442" s="24"/>
      <c r="D442" s="25"/>
    </row>
    <row r="443">
      <c r="C443" s="24"/>
      <c r="D443" s="25"/>
    </row>
    <row r="444">
      <c r="C444" s="24"/>
      <c r="D444" s="25"/>
    </row>
    <row r="445">
      <c r="C445" s="24"/>
      <c r="D445" s="25"/>
    </row>
    <row r="446">
      <c r="C446" s="24"/>
      <c r="D446" s="25"/>
    </row>
    <row r="447">
      <c r="C447" s="24"/>
      <c r="D447" s="25"/>
    </row>
    <row r="448">
      <c r="C448" s="24"/>
      <c r="D448" s="25"/>
    </row>
    <row r="449">
      <c r="C449" s="24"/>
      <c r="D449" s="25"/>
    </row>
    <row r="450">
      <c r="C450" s="24"/>
      <c r="D450" s="25"/>
    </row>
    <row r="451">
      <c r="C451" s="24"/>
      <c r="D451" s="25"/>
    </row>
    <row r="452">
      <c r="C452" s="24"/>
      <c r="D452" s="25"/>
    </row>
    <row r="453">
      <c r="C453" s="24"/>
      <c r="D453" s="25"/>
    </row>
    <row r="454">
      <c r="C454" s="24"/>
      <c r="D454" s="25"/>
    </row>
    <row r="455">
      <c r="C455" s="24"/>
      <c r="D455" s="25"/>
    </row>
    <row r="456">
      <c r="C456" s="24"/>
      <c r="D456" s="25"/>
    </row>
    <row r="457">
      <c r="C457" s="24"/>
      <c r="D457" s="25"/>
    </row>
    <row r="458">
      <c r="C458" s="24"/>
      <c r="D458" s="25"/>
    </row>
    <row r="459">
      <c r="C459" s="24"/>
      <c r="D459" s="25"/>
    </row>
    <row r="460">
      <c r="C460" s="24"/>
      <c r="D460" s="25"/>
    </row>
    <row r="461">
      <c r="C461" s="24"/>
      <c r="D461" s="25"/>
    </row>
    <row r="462">
      <c r="C462" s="24"/>
      <c r="D462" s="25"/>
    </row>
    <row r="463">
      <c r="C463" s="24"/>
      <c r="D463" s="25"/>
    </row>
    <row r="464">
      <c r="C464" s="24"/>
      <c r="D464" s="25"/>
    </row>
    <row r="465">
      <c r="C465" s="24"/>
      <c r="D465" s="25"/>
    </row>
    <row r="466">
      <c r="C466" s="24"/>
      <c r="D466" s="25"/>
    </row>
    <row r="467">
      <c r="C467" s="24"/>
      <c r="D467" s="25"/>
    </row>
    <row r="468">
      <c r="C468" s="24"/>
      <c r="D468" s="25"/>
    </row>
    <row r="469">
      <c r="C469" s="24"/>
      <c r="D469" s="25"/>
    </row>
    <row r="470">
      <c r="C470" s="24"/>
      <c r="D470" s="25"/>
    </row>
    <row r="471">
      <c r="C471" s="24"/>
      <c r="D471" s="25"/>
    </row>
    <row r="472">
      <c r="C472" s="24"/>
      <c r="D472" s="25"/>
    </row>
    <row r="473">
      <c r="C473" s="24"/>
      <c r="D473" s="25"/>
    </row>
    <row r="474">
      <c r="C474" s="24"/>
      <c r="D474" s="25"/>
    </row>
    <row r="475">
      <c r="C475" s="24"/>
      <c r="D475" s="25"/>
    </row>
    <row r="476">
      <c r="C476" s="24"/>
      <c r="D476" s="25"/>
    </row>
    <row r="477">
      <c r="C477" s="24"/>
      <c r="D477" s="25"/>
    </row>
    <row r="478">
      <c r="C478" s="24"/>
      <c r="D478" s="25"/>
    </row>
    <row r="479">
      <c r="C479" s="24"/>
      <c r="D479" s="25"/>
    </row>
    <row r="480">
      <c r="C480" s="24"/>
      <c r="D480" s="25"/>
    </row>
    <row r="481">
      <c r="C481" s="24"/>
      <c r="D481" s="25"/>
    </row>
    <row r="482">
      <c r="C482" s="24"/>
      <c r="D482" s="25"/>
    </row>
    <row r="483">
      <c r="C483" s="24"/>
      <c r="D483" s="25"/>
    </row>
    <row r="484">
      <c r="C484" s="24"/>
      <c r="D484" s="25"/>
    </row>
    <row r="485">
      <c r="C485" s="24"/>
      <c r="D485" s="25"/>
    </row>
    <row r="486">
      <c r="C486" s="24"/>
      <c r="D486" s="25"/>
    </row>
    <row r="487">
      <c r="C487" s="24"/>
      <c r="D487" s="25"/>
    </row>
    <row r="488">
      <c r="C488" s="24"/>
      <c r="D488" s="25"/>
    </row>
    <row r="489">
      <c r="C489" s="24"/>
      <c r="D489" s="25"/>
    </row>
    <row r="490">
      <c r="C490" s="24"/>
      <c r="D490" s="25"/>
    </row>
    <row r="491">
      <c r="C491" s="24"/>
      <c r="D491" s="25"/>
    </row>
    <row r="492">
      <c r="C492" s="24"/>
      <c r="D492" s="25"/>
    </row>
    <row r="493">
      <c r="C493" s="24"/>
      <c r="D493" s="25"/>
    </row>
    <row r="494">
      <c r="C494" s="24"/>
      <c r="D494" s="25"/>
    </row>
    <row r="495">
      <c r="C495" s="24"/>
      <c r="D495" s="25"/>
    </row>
    <row r="496">
      <c r="C496" s="24"/>
      <c r="D496" s="25"/>
    </row>
    <row r="497">
      <c r="C497" s="24"/>
      <c r="D497" s="25"/>
    </row>
    <row r="498">
      <c r="C498" s="24"/>
      <c r="D498" s="25"/>
    </row>
    <row r="499">
      <c r="C499" s="24"/>
      <c r="D499" s="25"/>
    </row>
    <row r="500">
      <c r="C500" s="24"/>
      <c r="D500" s="25"/>
    </row>
    <row r="501">
      <c r="C501" s="24"/>
      <c r="D501" s="25"/>
    </row>
    <row r="502">
      <c r="C502" s="24"/>
      <c r="D502" s="25"/>
    </row>
    <row r="503">
      <c r="C503" s="24"/>
      <c r="D503" s="25"/>
    </row>
    <row r="504">
      <c r="C504" s="24"/>
      <c r="D504" s="25"/>
    </row>
    <row r="505">
      <c r="C505" s="24"/>
      <c r="D505" s="25"/>
    </row>
    <row r="506">
      <c r="C506" s="24"/>
      <c r="D506" s="25"/>
    </row>
    <row r="507">
      <c r="C507" s="24"/>
      <c r="D507" s="25"/>
    </row>
    <row r="508">
      <c r="C508" s="24"/>
      <c r="D508" s="25"/>
    </row>
    <row r="509">
      <c r="C509" s="24"/>
      <c r="D509" s="25"/>
    </row>
    <row r="510">
      <c r="C510" s="24"/>
      <c r="D510" s="25"/>
    </row>
    <row r="511">
      <c r="C511" s="24"/>
      <c r="D511" s="25"/>
    </row>
    <row r="512">
      <c r="C512" s="24"/>
      <c r="D512" s="25"/>
    </row>
    <row r="513">
      <c r="C513" s="24"/>
      <c r="D513" s="25"/>
    </row>
    <row r="514">
      <c r="C514" s="24"/>
      <c r="D514" s="25"/>
    </row>
    <row r="515">
      <c r="C515" s="24"/>
      <c r="D515" s="25"/>
    </row>
    <row r="516">
      <c r="C516" s="24"/>
      <c r="D516" s="25"/>
    </row>
    <row r="517">
      <c r="C517" s="24"/>
      <c r="D517" s="25"/>
    </row>
    <row r="518">
      <c r="C518" s="24"/>
      <c r="D518" s="25"/>
    </row>
    <row r="519">
      <c r="C519" s="24"/>
      <c r="D519" s="25"/>
    </row>
    <row r="520">
      <c r="C520" s="24"/>
      <c r="D520" s="25"/>
    </row>
    <row r="521">
      <c r="C521" s="24"/>
      <c r="D521" s="25"/>
    </row>
    <row r="522">
      <c r="C522" s="24"/>
      <c r="D522" s="25"/>
    </row>
    <row r="523">
      <c r="C523" s="24"/>
      <c r="D523" s="25"/>
    </row>
    <row r="524">
      <c r="C524" s="24"/>
      <c r="D524" s="25"/>
    </row>
    <row r="525">
      <c r="C525" s="24"/>
      <c r="D525" s="25"/>
    </row>
    <row r="526">
      <c r="C526" s="24"/>
      <c r="D526" s="25"/>
    </row>
    <row r="527">
      <c r="C527" s="24"/>
      <c r="D527" s="25"/>
    </row>
    <row r="528">
      <c r="C528" s="24"/>
      <c r="D528" s="25"/>
    </row>
    <row r="529">
      <c r="C529" s="24"/>
      <c r="D529" s="25"/>
    </row>
    <row r="530">
      <c r="C530" s="24"/>
      <c r="D530" s="25"/>
    </row>
    <row r="531">
      <c r="C531" s="24"/>
      <c r="D531" s="25"/>
    </row>
    <row r="532">
      <c r="C532" s="24"/>
      <c r="D532" s="25"/>
    </row>
    <row r="533">
      <c r="C533" s="24"/>
      <c r="D533" s="25"/>
    </row>
    <row r="534">
      <c r="C534" s="24"/>
      <c r="D534" s="25"/>
    </row>
    <row r="535">
      <c r="C535" s="24"/>
      <c r="D535" s="25"/>
    </row>
    <row r="536">
      <c r="C536" s="24"/>
      <c r="D536" s="25"/>
    </row>
    <row r="537">
      <c r="C537" s="24"/>
      <c r="D537" s="25"/>
    </row>
    <row r="538">
      <c r="C538" s="24"/>
      <c r="D538" s="25"/>
    </row>
    <row r="539">
      <c r="C539" s="24"/>
      <c r="D539" s="25"/>
    </row>
    <row r="540">
      <c r="C540" s="24"/>
      <c r="D540" s="25"/>
    </row>
    <row r="541">
      <c r="C541" s="24"/>
      <c r="D541" s="25"/>
    </row>
    <row r="542">
      <c r="C542" s="24"/>
      <c r="D542" s="25"/>
    </row>
    <row r="543">
      <c r="C543" s="24"/>
      <c r="D543" s="25"/>
    </row>
    <row r="544">
      <c r="C544" s="24"/>
      <c r="D544" s="25"/>
    </row>
    <row r="545">
      <c r="C545" s="24"/>
      <c r="D545" s="25"/>
    </row>
    <row r="546">
      <c r="C546" s="24"/>
      <c r="D546" s="25"/>
    </row>
    <row r="547">
      <c r="C547" s="24"/>
      <c r="D547" s="25"/>
    </row>
    <row r="548">
      <c r="C548" s="24"/>
      <c r="D548" s="25"/>
    </row>
    <row r="549">
      <c r="C549" s="24"/>
      <c r="D549" s="25"/>
    </row>
    <row r="550">
      <c r="C550" s="24"/>
      <c r="D550" s="25"/>
    </row>
    <row r="551">
      <c r="C551" s="24"/>
      <c r="D551" s="25"/>
    </row>
    <row r="552">
      <c r="C552" s="24"/>
      <c r="D552" s="25"/>
    </row>
    <row r="553">
      <c r="C553" s="24"/>
      <c r="D553" s="25"/>
    </row>
    <row r="554">
      <c r="C554" s="24"/>
      <c r="D554" s="25"/>
    </row>
    <row r="555">
      <c r="C555" s="24"/>
      <c r="D555" s="25"/>
    </row>
    <row r="556">
      <c r="C556" s="24"/>
      <c r="D556" s="25"/>
    </row>
    <row r="557">
      <c r="C557" s="24"/>
      <c r="D557" s="25"/>
    </row>
    <row r="558">
      <c r="C558" s="24"/>
      <c r="D558" s="25"/>
    </row>
    <row r="559">
      <c r="C559" s="24"/>
      <c r="D559" s="25"/>
    </row>
    <row r="560">
      <c r="C560" s="24"/>
      <c r="D560" s="25"/>
    </row>
    <row r="561">
      <c r="C561" s="24"/>
      <c r="D561" s="25"/>
    </row>
    <row r="562">
      <c r="C562" s="24"/>
      <c r="D562" s="25"/>
    </row>
    <row r="563">
      <c r="C563" s="24"/>
      <c r="D563" s="25"/>
    </row>
    <row r="564">
      <c r="C564" s="24"/>
      <c r="D564" s="25"/>
    </row>
    <row r="565">
      <c r="C565" s="24"/>
      <c r="D565" s="25"/>
    </row>
    <row r="566">
      <c r="C566" s="24"/>
      <c r="D566" s="25"/>
    </row>
    <row r="567">
      <c r="C567" s="24"/>
      <c r="D567" s="25"/>
    </row>
    <row r="568">
      <c r="C568" s="24"/>
      <c r="D568" s="25"/>
    </row>
    <row r="569">
      <c r="C569" s="24"/>
      <c r="D569" s="25"/>
    </row>
    <row r="570">
      <c r="C570" s="24"/>
      <c r="D570" s="25"/>
    </row>
    <row r="571">
      <c r="C571" s="24"/>
      <c r="D571" s="25"/>
    </row>
    <row r="572">
      <c r="C572" s="24"/>
      <c r="D572" s="25"/>
    </row>
    <row r="573">
      <c r="C573" s="24"/>
      <c r="D573" s="25"/>
    </row>
    <row r="574">
      <c r="C574" s="24"/>
      <c r="D574" s="25"/>
    </row>
    <row r="575">
      <c r="C575" s="24"/>
      <c r="D575" s="25"/>
    </row>
    <row r="576">
      <c r="C576" s="24"/>
      <c r="D576" s="25"/>
    </row>
    <row r="577">
      <c r="C577" s="24"/>
      <c r="D577" s="25"/>
    </row>
    <row r="578">
      <c r="C578" s="24"/>
      <c r="D578" s="25"/>
    </row>
    <row r="579">
      <c r="C579" s="24"/>
      <c r="D579" s="25"/>
    </row>
    <row r="580">
      <c r="C580" s="24"/>
      <c r="D580" s="25"/>
    </row>
    <row r="581">
      <c r="C581" s="24"/>
      <c r="D581" s="25"/>
    </row>
    <row r="582">
      <c r="C582" s="24"/>
      <c r="D582" s="25"/>
    </row>
    <row r="583">
      <c r="C583" s="24"/>
      <c r="D583" s="25"/>
    </row>
    <row r="584">
      <c r="C584" s="24"/>
      <c r="D584" s="25"/>
    </row>
    <row r="585">
      <c r="C585" s="24"/>
      <c r="D585" s="25"/>
    </row>
    <row r="586">
      <c r="C586" s="24"/>
      <c r="D586" s="25"/>
    </row>
    <row r="587">
      <c r="C587" s="24"/>
      <c r="D587" s="25"/>
    </row>
    <row r="588">
      <c r="C588" s="24"/>
      <c r="D588" s="25"/>
    </row>
    <row r="589">
      <c r="C589" s="24"/>
      <c r="D589" s="25"/>
    </row>
    <row r="590">
      <c r="C590" s="24"/>
      <c r="D590" s="25"/>
    </row>
    <row r="591">
      <c r="C591" s="24"/>
      <c r="D591" s="25"/>
    </row>
    <row r="592">
      <c r="C592" s="24"/>
      <c r="D592" s="25"/>
    </row>
    <row r="593">
      <c r="C593" s="24"/>
      <c r="D593" s="25"/>
    </row>
    <row r="594">
      <c r="C594" s="24"/>
      <c r="D594" s="25"/>
    </row>
    <row r="595">
      <c r="C595" s="24"/>
      <c r="D595" s="25"/>
    </row>
    <row r="596">
      <c r="C596" s="24"/>
      <c r="D596" s="25"/>
    </row>
    <row r="597">
      <c r="C597" s="24"/>
      <c r="D597" s="25"/>
    </row>
    <row r="598">
      <c r="C598" s="24"/>
      <c r="D598" s="25"/>
    </row>
    <row r="599">
      <c r="C599" s="24"/>
      <c r="D599" s="25"/>
    </row>
    <row r="600">
      <c r="C600" s="24"/>
      <c r="D600" s="25"/>
    </row>
    <row r="601">
      <c r="C601" s="24"/>
      <c r="D601" s="25"/>
    </row>
    <row r="602">
      <c r="C602" s="24"/>
      <c r="D602" s="25"/>
    </row>
    <row r="603">
      <c r="C603" s="24"/>
      <c r="D603" s="25"/>
    </row>
    <row r="604">
      <c r="C604" s="24"/>
      <c r="D604" s="25"/>
    </row>
    <row r="605">
      <c r="C605" s="24"/>
      <c r="D605" s="25"/>
    </row>
    <row r="606">
      <c r="C606" s="24"/>
      <c r="D606" s="25"/>
    </row>
    <row r="607">
      <c r="C607" s="24"/>
      <c r="D607" s="25"/>
    </row>
    <row r="608">
      <c r="C608" s="24"/>
      <c r="D608" s="25"/>
    </row>
    <row r="609">
      <c r="C609" s="24"/>
      <c r="D609" s="25"/>
    </row>
    <row r="610">
      <c r="C610" s="24"/>
      <c r="D610" s="25"/>
    </row>
    <row r="611">
      <c r="C611" s="24"/>
      <c r="D611" s="25"/>
    </row>
    <row r="612">
      <c r="C612" s="24"/>
      <c r="D612" s="25"/>
    </row>
    <row r="613">
      <c r="C613" s="24"/>
      <c r="D613" s="25"/>
    </row>
    <row r="614">
      <c r="C614" s="24"/>
      <c r="D614" s="25"/>
    </row>
    <row r="615">
      <c r="C615" s="24"/>
      <c r="D615" s="25"/>
    </row>
    <row r="616">
      <c r="C616" s="24"/>
      <c r="D616" s="25"/>
    </row>
    <row r="617">
      <c r="C617" s="24"/>
      <c r="D617" s="25"/>
    </row>
    <row r="618">
      <c r="C618" s="24"/>
      <c r="D618" s="25"/>
    </row>
    <row r="619">
      <c r="C619" s="24"/>
      <c r="D619" s="25"/>
    </row>
    <row r="620">
      <c r="C620" s="24"/>
      <c r="D620" s="25"/>
    </row>
    <row r="621">
      <c r="C621" s="24"/>
      <c r="D621" s="25"/>
    </row>
    <row r="622">
      <c r="C622" s="24"/>
      <c r="D622" s="25"/>
    </row>
    <row r="623">
      <c r="C623" s="24"/>
      <c r="D623" s="25"/>
    </row>
    <row r="624">
      <c r="C624" s="24"/>
      <c r="D624" s="25"/>
    </row>
    <row r="625">
      <c r="C625" s="24"/>
      <c r="D625" s="25"/>
    </row>
    <row r="626">
      <c r="C626" s="24"/>
      <c r="D626" s="25"/>
    </row>
    <row r="627">
      <c r="C627" s="24"/>
      <c r="D627" s="25"/>
    </row>
    <row r="628">
      <c r="C628" s="24"/>
      <c r="D628" s="25"/>
    </row>
    <row r="629">
      <c r="C629" s="24"/>
      <c r="D629" s="25"/>
    </row>
    <row r="630">
      <c r="C630" s="24"/>
      <c r="D630" s="25"/>
    </row>
    <row r="631">
      <c r="C631" s="24"/>
      <c r="D631" s="25"/>
    </row>
    <row r="632">
      <c r="C632" s="24"/>
      <c r="D632" s="25"/>
    </row>
    <row r="633">
      <c r="C633" s="24"/>
      <c r="D633" s="25"/>
    </row>
    <row r="634">
      <c r="C634" s="24"/>
      <c r="D634" s="25"/>
    </row>
    <row r="635">
      <c r="C635" s="24"/>
      <c r="D635" s="25"/>
    </row>
    <row r="636">
      <c r="C636" s="24"/>
      <c r="D636" s="25"/>
    </row>
    <row r="637">
      <c r="C637" s="24"/>
      <c r="D637" s="25"/>
    </row>
    <row r="638">
      <c r="C638" s="24"/>
      <c r="D638" s="25"/>
    </row>
    <row r="639">
      <c r="C639" s="24"/>
      <c r="D639" s="25"/>
    </row>
    <row r="640">
      <c r="C640" s="24"/>
      <c r="D640" s="25"/>
    </row>
    <row r="641">
      <c r="C641" s="24"/>
      <c r="D641" s="25"/>
    </row>
    <row r="642">
      <c r="C642" s="24"/>
      <c r="D642" s="25"/>
    </row>
    <row r="643">
      <c r="C643" s="24"/>
      <c r="D643" s="25"/>
    </row>
    <row r="644">
      <c r="C644" s="24"/>
      <c r="D644" s="25"/>
    </row>
    <row r="645">
      <c r="C645" s="24"/>
      <c r="D645" s="25"/>
    </row>
    <row r="646">
      <c r="C646" s="24"/>
      <c r="D646" s="25"/>
    </row>
    <row r="647">
      <c r="C647" s="24"/>
      <c r="D647" s="25"/>
    </row>
    <row r="648">
      <c r="C648" s="24"/>
      <c r="D648" s="25"/>
    </row>
    <row r="649">
      <c r="C649" s="24"/>
      <c r="D649" s="25"/>
    </row>
    <row r="650">
      <c r="C650" s="24"/>
      <c r="D650" s="25"/>
    </row>
    <row r="651">
      <c r="C651" s="24"/>
      <c r="D651" s="25"/>
    </row>
    <row r="652">
      <c r="C652" s="24"/>
      <c r="D652" s="25"/>
    </row>
    <row r="653">
      <c r="C653" s="24"/>
      <c r="D653" s="25"/>
    </row>
    <row r="654">
      <c r="C654" s="24"/>
      <c r="D654" s="25"/>
    </row>
    <row r="655">
      <c r="C655" s="24"/>
      <c r="D655" s="25"/>
    </row>
    <row r="656">
      <c r="C656" s="24"/>
      <c r="D656" s="25"/>
    </row>
    <row r="657">
      <c r="C657" s="24"/>
      <c r="D657" s="25"/>
    </row>
    <row r="658">
      <c r="C658" s="24"/>
      <c r="D658" s="25"/>
    </row>
    <row r="659">
      <c r="C659" s="24"/>
      <c r="D659" s="25"/>
    </row>
    <row r="660">
      <c r="C660" s="24"/>
      <c r="D660" s="25"/>
    </row>
    <row r="661">
      <c r="C661" s="24"/>
      <c r="D661" s="25"/>
    </row>
    <row r="662">
      <c r="C662" s="24"/>
      <c r="D662" s="25"/>
    </row>
    <row r="663">
      <c r="C663" s="24"/>
      <c r="D663" s="25"/>
    </row>
    <row r="664">
      <c r="C664" s="24"/>
      <c r="D664" s="25"/>
    </row>
    <row r="665">
      <c r="C665" s="24"/>
      <c r="D665" s="25"/>
    </row>
    <row r="666">
      <c r="C666" s="24"/>
      <c r="D666" s="25"/>
    </row>
    <row r="667">
      <c r="C667" s="24"/>
      <c r="D667" s="25"/>
    </row>
    <row r="668">
      <c r="C668" s="24"/>
      <c r="D668" s="25"/>
    </row>
    <row r="669">
      <c r="C669" s="24"/>
      <c r="D669" s="25"/>
    </row>
    <row r="670">
      <c r="C670" s="24"/>
      <c r="D670" s="25"/>
    </row>
    <row r="671">
      <c r="C671" s="24"/>
      <c r="D671" s="25"/>
    </row>
    <row r="672">
      <c r="C672" s="24"/>
      <c r="D672" s="25"/>
    </row>
    <row r="673">
      <c r="C673" s="24"/>
      <c r="D673" s="25"/>
    </row>
    <row r="674">
      <c r="C674" s="24"/>
      <c r="D674" s="25"/>
    </row>
    <row r="675">
      <c r="C675" s="24"/>
      <c r="D675" s="25"/>
    </row>
    <row r="676">
      <c r="C676" s="24"/>
      <c r="D676" s="25"/>
    </row>
    <row r="677">
      <c r="C677" s="24"/>
      <c r="D677" s="25"/>
    </row>
    <row r="678">
      <c r="C678" s="24"/>
      <c r="D678" s="25"/>
    </row>
    <row r="679">
      <c r="C679" s="24"/>
      <c r="D679" s="25"/>
    </row>
    <row r="680">
      <c r="C680" s="24"/>
      <c r="D680" s="25"/>
    </row>
    <row r="681">
      <c r="C681" s="24"/>
      <c r="D681" s="25"/>
    </row>
    <row r="682">
      <c r="C682" s="24"/>
      <c r="D682" s="25"/>
    </row>
    <row r="683">
      <c r="C683" s="24"/>
      <c r="D683" s="25"/>
    </row>
    <row r="684">
      <c r="C684" s="24"/>
      <c r="D684" s="25"/>
    </row>
    <row r="685">
      <c r="C685" s="24"/>
      <c r="D685" s="25"/>
    </row>
    <row r="686">
      <c r="C686" s="24"/>
      <c r="D686" s="25"/>
    </row>
    <row r="687">
      <c r="C687" s="24"/>
      <c r="D687" s="25"/>
    </row>
    <row r="688">
      <c r="C688" s="24"/>
      <c r="D688" s="25"/>
    </row>
    <row r="689">
      <c r="C689" s="24"/>
      <c r="D689" s="25"/>
    </row>
    <row r="690">
      <c r="C690" s="24"/>
      <c r="D690" s="25"/>
    </row>
    <row r="691">
      <c r="C691" s="24"/>
      <c r="D691" s="25"/>
    </row>
    <row r="692">
      <c r="C692" s="24"/>
      <c r="D692" s="25"/>
    </row>
    <row r="693">
      <c r="C693" s="24"/>
      <c r="D693" s="25"/>
    </row>
    <row r="694">
      <c r="C694" s="24"/>
      <c r="D694" s="25"/>
    </row>
    <row r="695">
      <c r="C695" s="24"/>
      <c r="D695" s="25"/>
    </row>
    <row r="696">
      <c r="C696" s="24"/>
      <c r="D696" s="25"/>
    </row>
    <row r="697">
      <c r="C697" s="24"/>
      <c r="D697" s="25"/>
    </row>
    <row r="698">
      <c r="C698" s="24"/>
      <c r="D698" s="25"/>
    </row>
    <row r="699">
      <c r="C699" s="24"/>
      <c r="D699" s="25"/>
    </row>
    <row r="700">
      <c r="C700" s="24"/>
      <c r="D700" s="25"/>
    </row>
    <row r="701">
      <c r="C701" s="24"/>
      <c r="D701" s="25"/>
    </row>
    <row r="702">
      <c r="C702" s="24"/>
      <c r="D702" s="25"/>
    </row>
    <row r="703">
      <c r="C703" s="24"/>
      <c r="D703" s="25"/>
    </row>
    <row r="704">
      <c r="C704" s="24"/>
      <c r="D704" s="25"/>
    </row>
    <row r="705">
      <c r="C705" s="24"/>
      <c r="D705" s="25"/>
    </row>
    <row r="706">
      <c r="C706" s="24"/>
      <c r="D706" s="25"/>
    </row>
    <row r="707">
      <c r="C707" s="24"/>
      <c r="D707" s="25"/>
    </row>
    <row r="708">
      <c r="C708" s="24"/>
      <c r="D708" s="25"/>
    </row>
    <row r="709">
      <c r="C709" s="24"/>
      <c r="D709" s="25"/>
    </row>
    <row r="710">
      <c r="C710" s="24"/>
      <c r="D710" s="25"/>
    </row>
    <row r="711">
      <c r="C711" s="24"/>
      <c r="D711" s="25"/>
    </row>
    <row r="712">
      <c r="C712" s="24"/>
      <c r="D712" s="25"/>
    </row>
    <row r="713">
      <c r="C713" s="24"/>
      <c r="D713" s="25"/>
    </row>
    <row r="714">
      <c r="C714" s="24"/>
      <c r="D714" s="25"/>
    </row>
    <row r="715">
      <c r="C715" s="24"/>
      <c r="D715" s="25"/>
    </row>
    <row r="716">
      <c r="C716" s="24"/>
      <c r="D716" s="25"/>
    </row>
    <row r="717">
      <c r="C717" s="24"/>
      <c r="D717" s="25"/>
    </row>
    <row r="718">
      <c r="C718" s="24"/>
      <c r="D718" s="25"/>
    </row>
    <row r="719">
      <c r="C719" s="24"/>
      <c r="D719" s="25"/>
    </row>
    <row r="720">
      <c r="C720" s="24"/>
      <c r="D720" s="25"/>
    </row>
    <row r="721">
      <c r="C721" s="24"/>
      <c r="D721" s="25"/>
    </row>
    <row r="722">
      <c r="C722" s="24"/>
      <c r="D722" s="25"/>
    </row>
    <row r="723">
      <c r="C723" s="24"/>
      <c r="D723" s="25"/>
    </row>
    <row r="724">
      <c r="C724" s="24"/>
      <c r="D724" s="25"/>
    </row>
    <row r="725">
      <c r="C725" s="24"/>
      <c r="D725" s="25"/>
    </row>
    <row r="726">
      <c r="C726" s="24"/>
      <c r="D726" s="25"/>
    </row>
    <row r="727">
      <c r="C727" s="24"/>
      <c r="D727" s="25"/>
    </row>
    <row r="728">
      <c r="C728" s="24"/>
      <c r="D728" s="25"/>
    </row>
    <row r="729">
      <c r="C729" s="24"/>
      <c r="D729" s="25"/>
    </row>
    <row r="730">
      <c r="C730" s="24"/>
      <c r="D730" s="25"/>
    </row>
    <row r="731">
      <c r="C731" s="24"/>
      <c r="D731" s="25"/>
    </row>
    <row r="732">
      <c r="C732" s="24"/>
      <c r="D732" s="25"/>
    </row>
    <row r="733">
      <c r="C733" s="24"/>
      <c r="D733" s="25"/>
    </row>
    <row r="734">
      <c r="C734" s="24"/>
      <c r="D734" s="25"/>
    </row>
    <row r="735">
      <c r="C735" s="24"/>
      <c r="D735" s="25"/>
    </row>
    <row r="736">
      <c r="C736" s="24"/>
      <c r="D736" s="25"/>
    </row>
    <row r="737">
      <c r="C737" s="24"/>
      <c r="D737" s="25"/>
    </row>
    <row r="738">
      <c r="C738" s="24"/>
      <c r="D738" s="25"/>
    </row>
    <row r="739">
      <c r="C739" s="24"/>
      <c r="D739" s="25"/>
    </row>
    <row r="740">
      <c r="C740" s="24"/>
      <c r="D740" s="25"/>
    </row>
    <row r="741">
      <c r="C741" s="24"/>
      <c r="D741" s="25"/>
    </row>
    <row r="742">
      <c r="C742" s="24"/>
      <c r="D742" s="25"/>
    </row>
    <row r="743">
      <c r="C743" s="24"/>
      <c r="D743" s="25"/>
    </row>
    <row r="744">
      <c r="C744" s="24"/>
      <c r="D744" s="25"/>
    </row>
    <row r="745">
      <c r="C745" s="24"/>
      <c r="D745" s="25"/>
    </row>
    <row r="746">
      <c r="C746" s="24"/>
      <c r="D746" s="25"/>
    </row>
    <row r="747">
      <c r="C747" s="24"/>
      <c r="D747" s="25"/>
    </row>
    <row r="748">
      <c r="C748" s="24"/>
      <c r="D748" s="25"/>
    </row>
    <row r="749">
      <c r="C749" s="24"/>
      <c r="D749" s="25"/>
    </row>
    <row r="750">
      <c r="C750" s="24"/>
      <c r="D750" s="25"/>
    </row>
    <row r="751">
      <c r="C751" s="24"/>
      <c r="D751" s="25"/>
    </row>
    <row r="752">
      <c r="C752" s="24"/>
      <c r="D752" s="25"/>
    </row>
    <row r="753">
      <c r="C753" s="24"/>
      <c r="D753" s="25"/>
    </row>
    <row r="754">
      <c r="C754" s="24"/>
      <c r="D754" s="25"/>
    </row>
    <row r="755">
      <c r="C755" s="24"/>
      <c r="D755" s="25"/>
    </row>
    <row r="756">
      <c r="C756" s="24"/>
      <c r="D756" s="25"/>
    </row>
    <row r="757">
      <c r="C757" s="24"/>
      <c r="D757" s="25"/>
    </row>
    <row r="758">
      <c r="C758" s="24"/>
      <c r="D758" s="25"/>
    </row>
    <row r="759">
      <c r="C759" s="24"/>
      <c r="D759" s="25"/>
    </row>
    <row r="760">
      <c r="C760" s="24"/>
      <c r="D760" s="25"/>
    </row>
    <row r="761">
      <c r="C761" s="24"/>
      <c r="D761" s="25"/>
    </row>
    <row r="762">
      <c r="C762" s="24"/>
      <c r="D762" s="25"/>
    </row>
    <row r="763">
      <c r="C763" s="24"/>
      <c r="D763" s="25"/>
    </row>
    <row r="764">
      <c r="C764" s="24"/>
      <c r="D764" s="25"/>
    </row>
    <row r="765">
      <c r="C765" s="24"/>
      <c r="D765" s="25"/>
    </row>
    <row r="766">
      <c r="C766" s="24"/>
      <c r="D766" s="25"/>
    </row>
    <row r="767">
      <c r="C767" s="24"/>
      <c r="D767" s="25"/>
    </row>
    <row r="768">
      <c r="C768" s="24"/>
      <c r="D768" s="25"/>
    </row>
    <row r="769">
      <c r="C769" s="24"/>
      <c r="D769" s="25"/>
    </row>
    <row r="770">
      <c r="C770" s="24"/>
      <c r="D770" s="25"/>
    </row>
    <row r="771">
      <c r="C771" s="24"/>
      <c r="D771" s="25"/>
    </row>
    <row r="772">
      <c r="C772" s="24"/>
      <c r="D772" s="25"/>
    </row>
    <row r="773">
      <c r="C773" s="24"/>
      <c r="D773" s="25"/>
    </row>
    <row r="774">
      <c r="C774" s="24"/>
      <c r="D774" s="25"/>
    </row>
    <row r="775">
      <c r="C775" s="24"/>
      <c r="D775" s="25"/>
    </row>
    <row r="776">
      <c r="C776" s="24"/>
      <c r="D776" s="25"/>
    </row>
    <row r="777">
      <c r="C777" s="24"/>
      <c r="D777" s="25"/>
    </row>
    <row r="778">
      <c r="C778" s="24"/>
      <c r="D778" s="25"/>
    </row>
    <row r="779">
      <c r="C779" s="24"/>
      <c r="D779" s="25"/>
    </row>
    <row r="780">
      <c r="C780" s="24"/>
      <c r="D780" s="25"/>
    </row>
    <row r="781">
      <c r="C781" s="24"/>
      <c r="D781" s="25"/>
    </row>
    <row r="782">
      <c r="C782" s="24"/>
      <c r="D782" s="25"/>
    </row>
    <row r="783">
      <c r="C783" s="24"/>
      <c r="D783" s="25"/>
    </row>
    <row r="784">
      <c r="C784" s="24"/>
      <c r="D784" s="25"/>
    </row>
    <row r="785">
      <c r="C785" s="24"/>
      <c r="D785" s="25"/>
    </row>
    <row r="786">
      <c r="C786" s="24"/>
      <c r="D786" s="25"/>
    </row>
    <row r="787">
      <c r="C787" s="24"/>
      <c r="D787" s="25"/>
    </row>
    <row r="788">
      <c r="C788" s="24"/>
      <c r="D788" s="25"/>
    </row>
    <row r="789">
      <c r="C789" s="24"/>
      <c r="D789" s="25"/>
    </row>
    <row r="790">
      <c r="C790" s="24"/>
      <c r="D790" s="25"/>
    </row>
    <row r="791">
      <c r="C791" s="24"/>
      <c r="D791" s="25"/>
    </row>
    <row r="792">
      <c r="C792" s="24"/>
      <c r="D792" s="25"/>
    </row>
    <row r="793">
      <c r="C793" s="24"/>
      <c r="D793" s="25"/>
    </row>
    <row r="794">
      <c r="C794" s="24"/>
      <c r="D794" s="25"/>
    </row>
    <row r="795">
      <c r="C795" s="24"/>
      <c r="D795" s="25"/>
    </row>
    <row r="796">
      <c r="C796" s="24"/>
      <c r="D796" s="25"/>
    </row>
    <row r="797">
      <c r="C797" s="24"/>
      <c r="D797" s="25"/>
    </row>
    <row r="798">
      <c r="C798" s="24"/>
      <c r="D798" s="25"/>
    </row>
    <row r="799">
      <c r="C799" s="24"/>
      <c r="D799" s="25"/>
    </row>
    <row r="800">
      <c r="C800" s="24"/>
      <c r="D800" s="25"/>
    </row>
    <row r="801">
      <c r="C801" s="24"/>
      <c r="D801" s="25"/>
    </row>
    <row r="802">
      <c r="C802" s="24"/>
      <c r="D802" s="25"/>
    </row>
    <row r="803">
      <c r="C803" s="24"/>
      <c r="D803" s="25"/>
    </row>
    <row r="804">
      <c r="C804" s="24"/>
      <c r="D804" s="25"/>
    </row>
    <row r="805">
      <c r="C805" s="24"/>
      <c r="D805" s="25"/>
    </row>
    <row r="806">
      <c r="C806" s="24"/>
      <c r="D806" s="25"/>
    </row>
    <row r="807">
      <c r="C807" s="24"/>
      <c r="D807" s="25"/>
    </row>
    <row r="808">
      <c r="C808" s="24"/>
      <c r="D808" s="25"/>
    </row>
    <row r="809">
      <c r="C809" s="24"/>
      <c r="D809" s="25"/>
    </row>
    <row r="810">
      <c r="C810" s="24"/>
      <c r="D810" s="25"/>
    </row>
    <row r="811">
      <c r="C811" s="24"/>
      <c r="D811" s="25"/>
    </row>
    <row r="812">
      <c r="C812" s="24"/>
      <c r="D812" s="25"/>
    </row>
    <row r="813">
      <c r="C813" s="24"/>
      <c r="D813" s="25"/>
    </row>
    <row r="814">
      <c r="C814" s="24"/>
      <c r="D814" s="25"/>
    </row>
    <row r="815">
      <c r="C815" s="24"/>
      <c r="D815" s="25"/>
    </row>
    <row r="816">
      <c r="C816" s="24"/>
      <c r="D816" s="25"/>
    </row>
    <row r="817">
      <c r="C817" s="24"/>
      <c r="D817" s="25"/>
    </row>
    <row r="818">
      <c r="C818" s="24"/>
      <c r="D818" s="25"/>
    </row>
    <row r="819">
      <c r="C819" s="24"/>
      <c r="D819" s="25"/>
    </row>
    <row r="820">
      <c r="C820" s="24"/>
      <c r="D820" s="25"/>
    </row>
    <row r="821">
      <c r="C821" s="24"/>
      <c r="D821" s="25"/>
    </row>
    <row r="822">
      <c r="C822" s="24"/>
      <c r="D822" s="25"/>
    </row>
    <row r="823">
      <c r="C823" s="24"/>
      <c r="D823" s="25"/>
    </row>
    <row r="824">
      <c r="C824" s="24"/>
      <c r="D824" s="25"/>
    </row>
    <row r="825">
      <c r="C825" s="24"/>
      <c r="D825" s="25"/>
    </row>
    <row r="826">
      <c r="C826" s="24"/>
      <c r="D826" s="25"/>
    </row>
    <row r="827">
      <c r="C827" s="24"/>
      <c r="D827" s="25"/>
    </row>
    <row r="828">
      <c r="C828" s="24"/>
      <c r="D828" s="25"/>
    </row>
    <row r="829">
      <c r="C829" s="24"/>
      <c r="D829" s="25"/>
    </row>
    <row r="830">
      <c r="C830" s="24"/>
      <c r="D830" s="25"/>
    </row>
    <row r="831">
      <c r="C831" s="24"/>
      <c r="D831" s="25"/>
    </row>
    <row r="832">
      <c r="C832" s="24"/>
      <c r="D832" s="25"/>
    </row>
    <row r="833">
      <c r="C833" s="24"/>
      <c r="D833" s="25"/>
    </row>
    <row r="834">
      <c r="C834" s="24"/>
      <c r="D834" s="25"/>
    </row>
    <row r="835">
      <c r="C835" s="24"/>
      <c r="D835" s="25"/>
    </row>
    <row r="836">
      <c r="C836" s="24"/>
      <c r="D836" s="25"/>
    </row>
    <row r="837">
      <c r="C837" s="24"/>
      <c r="D837" s="25"/>
    </row>
    <row r="838">
      <c r="C838" s="24"/>
      <c r="D838" s="25"/>
    </row>
    <row r="839">
      <c r="C839" s="24"/>
      <c r="D839" s="25"/>
    </row>
    <row r="840">
      <c r="C840" s="24"/>
      <c r="D840" s="25"/>
    </row>
    <row r="841">
      <c r="C841" s="24"/>
      <c r="D841" s="25"/>
    </row>
    <row r="842">
      <c r="C842" s="24"/>
      <c r="D842" s="25"/>
    </row>
    <row r="843">
      <c r="C843" s="24"/>
      <c r="D843" s="25"/>
    </row>
    <row r="844">
      <c r="C844" s="24"/>
      <c r="D844" s="25"/>
    </row>
    <row r="845">
      <c r="C845" s="24"/>
      <c r="D845" s="25"/>
    </row>
    <row r="846">
      <c r="C846" s="24"/>
      <c r="D846" s="25"/>
    </row>
    <row r="847">
      <c r="C847" s="24"/>
      <c r="D847" s="25"/>
    </row>
    <row r="848">
      <c r="C848" s="24"/>
      <c r="D848" s="25"/>
    </row>
    <row r="849">
      <c r="C849" s="24"/>
      <c r="D849" s="25"/>
    </row>
    <row r="850">
      <c r="C850" s="24"/>
      <c r="D850" s="25"/>
    </row>
    <row r="851">
      <c r="C851" s="24"/>
      <c r="D851" s="25"/>
    </row>
    <row r="852">
      <c r="C852" s="24"/>
      <c r="D852" s="25"/>
    </row>
    <row r="853">
      <c r="C853" s="24"/>
      <c r="D853" s="25"/>
    </row>
    <row r="854">
      <c r="C854" s="24"/>
      <c r="D854" s="25"/>
    </row>
    <row r="855">
      <c r="C855" s="24"/>
      <c r="D855" s="25"/>
    </row>
    <row r="856">
      <c r="C856" s="24"/>
      <c r="D856" s="25"/>
    </row>
    <row r="857">
      <c r="C857" s="24"/>
      <c r="D857" s="25"/>
    </row>
    <row r="858">
      <c r="C858" s="24"/>
      <c r="D858" s="25"/>
    </row>
    <row r="859">
      <c r="C859" s="24"/>
      <c r="D859" s="25"/>
    </row>
    <row r="860">
      <c r="C860" s="24"/>
      <c r="D860" s="25"/>
    </row>
    <row r="861">
      <c r="C861" s="24"/>
      <c r="D861" s="25"/>
    </row>
    <row r="862">
      <c r="C862" s="24"/>
      <c r="D862" s="25"/>
    </row>
    <row r="863">
      <c r="C863" s="24"/>
      <c r="D863" s="25"/>
    </row>
    <row r="864">
      <c r="C864" s="24"/>
      <c r="D864" s="25"/>
    </row>
    <row r="865">
      <c r="C865" s="24"/>
      <c r="D865" s="25"/>
    </row>
    <row r="866">
      <c r="C866" s="24"/>
      <c r="D866" s="25"/>
    </row>
    <row r="867">
      <c r="C867" s="24"/>
      <c r="D867" s="25"/>
    </row>
    <row r="868">
      <c r="C868" s="24"/>
      <c r="D868" s="25"/>
    </row>
    <row r="869">
      <c r="C869" s="24"/>
      <c r="D869" s="25"/>
    </row>
    <row r="870">
      <c r="C870" s="24"/>
      <c r="D870" s="25"/>
    </row>
    <row r="871">
      <c r="C871" s="24"/>
      <c r="D871" s="25"/>
    </row>
    <row r="872">
      <c r="C872" s="24"/>
      <c r="D872" s="25"/>
    </row>
    <row r="873">
      <c r="C873" s="24"/>
      <c r="D873" s="25"/>
    </row>
    <row r="874">
      <c r="C874" s="24"/>
      <c r="D874" s="25"/>
    </row>
    <row r="875">
      <c r="C875" s="24"/>
      <c r="D875" s="25"/>
    </row>
    <row r="876">
      <c r="C876" s="24"/>
      <c r="D876" s="25"/>
    </row>
    <row r="877">
      <c r="C877" s="24"/>
      <c r="D877" s="25"/>
    </row>
    <row r="878">
      <c r="C878" s="24"/>
      <c r="D878" s="25"/>
    </row>
    <row r="879">
      <c r="C879" s="24"/>
      <c r="D879" s="25"/>
    </row>
    <row r="880">
      <c r="C880" s="24"/>
      <c r="D880" s="25"/>
    </row>
    <row r="881">
      <c r="C881" s="24"/>
      <c r="D881" s="25"/>
    </row>
    <row r="882">
      <c r="C882" s="24"/>
      <c r="D882" s="25"/>
    </row>
    <row r="883">
      <c r="C883" s="24"/>
      <c r="D883" s="25"/>
    </row>
    <row r="884">
      <c r="C884" s="24"/>
      <c r="D884" s="25"/>
    </row>
    <row r="885">
      <c r="C885" s="24"/>
      <c r="D885" s="25"/>
    </row>
    <row r="886">
      <c r="C886" s="24"/>
      <c r="D886" s="25"/>
    </row>
    <row r="887">
      <c r="C887" s="24"/>
      <c r="D887" s="25"/>
    </row>
    <row r="888">
      <c r="C888" s="24"/>
      <c r="D888" s="25"/>
    </row>
    <row r="889">
      <c r="C889" s="24"/>
      <c r="D889" s="25"/>
    </row>
    <row r="890">
      <c r="C890" s="24"/>
      <c r="D890" s="25"/>
    </row>
    <row r="891">
      <c r="C891" s="24"/>
      <c r="D891" s="25"/>
    </row>
    <row r="892">
      <c r="C892" s="24"/>
      <c r="D892" s="25"/>
    </row>
    <row r="893">
      <c r="C893" s="24"/>
      <c r="D893" s="25"/>
    </row>
    <row r="894">
      <c r="C894" s="24"/>
      <c r="D894" s="25"/>
    </row>
    <row r="895">
      <c r="C895" s="24"/>
      <c r="D895" s="25"/>
    </row>
    <row r="896">
      <c r="C896" s="24"/>
      <c r="D896" s="25"/>
    </row>
    <row r="897">
      <c r="C897" s="24"/>
      <c r="D897" s="25"/>
    </row>
    <row r="898">
      <c r="C898" s="24"/>
      <c r="D898" s="25"/>
    </row>
    <row r="899">
      <c r="C899" s="24"/>
      <c r="D899" s="25"/>
    </row>
    <row r="900">
      <c r="C900" s="24"/>
      <c r="D900" s="25"/>
    </row>
    <row r="901">
      <c r="C901" s="24"/>
      <c r="D901" s="25"/>
    </row>
    <row r="902">
      <c r="C902" s="24"/>
      <c r="D902" s="25"/>
    </row>
    <row r="903">
      <c r="C903" s="24"/>
      <c r="D903" s="25"/>
    </row>
    <row r="904">
      <c r="C904" s="24"/>
      <c r="D904" s="25"/>
    </row>
    <row r="905">
      <c r="C905" s="24"/>
      <c r="D905" s="25"/>
    </row>
    <row r="906">
      <c r="C906" s="24"/>
      <c r="D906" s="25"/>
    </row>
    <row r="907">
      <c r="C907" s="24"/>
      <c r="D907" s="25"/>
    </row>
    <row r="908">
      <c r="C908" s="24"/>
      <c r="D908" s="25"/>
    </row>
    <row r="909">
      <c r="C909" s="24"/>
      <c r="D909" s="25"/>
    </row>
    <row r="910">
      <c r="C910" s="24"/>
      <c r="D910" s="25"/>
    </row>
    <row r="911">
      <c r="C911" s="24"/>
      <c r="D911" s="25"/>
    </row>
    <row r="912">
      <c r="C912" s="24"/>
      <c r="D912" s="25"/>
    </row>
    <row r="913">
      <c r="C913" s="24"/>
      <c r="D913" s="25"/>
    </row>
    <row r="914">
      <c r="C914" s="24"/>
      <c r="D914" s="25"/>
    </row>
    <row r="915">
      <c r="C915" s="24"/>
      <c r="D915" s="25"/>
    </row>
    <row r="916">
      <c r="C916" s="24"/>
      <c r="D916" s="25"/>
    </row>
    <row r="917">
      <c r="C917" s="24"/>
      <c r="D917" s="25"/>
    </row>
    <row r="918">
      <c r="C918" s="24"/>
      <c r="D918" s="25"/>
    </row>
    <row r="919">
      <c r="C919" s="24"/>
      <c r="D919" s="25"/>
    </row>
    <row r="920">
      <c r="C920" s="24"/>
      <c r="D920" s="25"/>
    </row>
    <row r="921">
      <c r="C921" s="24"/>
      <c r="D921" s="25"/>
    </row>
    <row r="922">
      <c r="C922" s="24"/>
      <c r="D922" s="25"/>
    </row>
    <row r="923">
      <c r="C923" s="24"/>
      <c r="D923" s="25"/>
    </row>
    <row r="924">
      <c r="C924" s="24"/>
      <c r="D924" s="25"/>
    </row>
    <row r="925">
      <c r="C925" s="24"/>
      <c r="D925" s="25"/>
    </row>
    <row r="926">
      <c r="C926" s="24"/>
      <c r="D926" s="25"/>
    </row>
    <row r="927">
      <c r="C927" s="24"/>
      <c r="D927" s="25"/>
    </row>
    <row r="928">
      <c r="C928" s="24"/>
      <c r="D928" s="25"/>
    </row>
    <row r="929">
      <c r="C929" s="24"/>
      <c r="D929" s="25"/>
    </row>
    <row r="930">
      <c r="C930" s="24"/>
      <c r="D930" s="25"/>
    </row>
    <row r="931">
      <c r="C931" s="24"/>
      <c r="D931" s="25"/>
    </row>
    <row r="932">
      <c r="C932" s="24"/>
      <c r="D932" s="25"/>
    </row>
    <row r="933">
      <c r="C933" s="24"/>
      <c r="D933" s="25"/>
    </row>
    <row r="934">
      <c r="C934" s="24"/>
      <c r="D934" s="25"/>
    </row>
    <row r="935">
      <c r="C935" s="24"/>
      <c r="D935" s="25"/>
    </row>
    <row r="936">
      <c r="C936" s="24"/>
      <c r="D936" s="25"/>
    </row>
    <row r="937">
      <c r="C937" s="24"/>
      <c r="D937" s="25"/>
    </row>
    <row r="938">
      <c r="C938" s="24"/>
      <c r="D938" s="25"/>
    </row>
    <row r="939">
      <c r="C939" s="24"/>
      <c r="D939" s="25"/>
    </row>
    <row r="940">
      <c r="C940" s="24"/>
      <c r="D940" s="25"/>
    </row>
    <row r="941">
      <c r="C941" s="24"/>
      <c r="D941" s="25"/>
    </row>
    <row r="942">
      <c r="C942" s="24"/>
      <c r="D942" s="25"/>
    </row>
    <row r="943">
      <c r="C943" s="24"/>
      <c r="D943" s="25"/>
    </row>
    <row r="944">
      <c r="C944" s="24"/>
      <c r="D944" s="25"/>
    </row>
    <row r="945">
      <c r="C945" s="24"/>
      <c r="D945" s="25"/>
    </row>
    <row r="946">
      <c r="C946" s="24"/>
      <c r="D946" s="25"/>
    </row>
    <row r="947">
      <c r="C947" s="24"/>
      <c r="D947" s="25"/>
    </row>
    <row r="948">
      <c r="C948" s="24"/>
      <c r="D948" s="25"/>
    </row>
    <row r="949">
      <c r="C949" s="24"/>
      <c r="D949" s="25"/>
    </row>
    <row r="950">
      <c r="C950" s="24"/>
      <c r="D950" s="25"/>
    </row>
    <row r="951">
      <c r="C951" s="24"/>
      <c r="D951" s="25"/>
    </row>
    <row r="952">
      <c r="C952" s="24"/>
      <c r="D952" s="25"/>
    </row>
    <row r="953">
      <c r="C953" s="24"/>
      <c r="D953" s="25"/>
    </row>
    <row r="954">
      <c r="C954" s="24"/>
      <c r="D954" s="25"/>
    </row>
    <row r="955">
      <c r="C955" s="24"/>
      <c r="D955" s="25"/>
    </row>
    <row r="956">
      <c r="C956" s="24"/>
      <c r="D956" s="25"/>
    </row>
    <row r="957">
      <c r="C957" s="24"/>
      <c r="D957" s="25"/>
    </row>
    <row r="958">
      <c r="C958" s="24"/>
      <c r="D958" s="25"/>
    </row>
    <row r="959">
      <c r="C959" s="24"/>
      <c r="D959" s="25"/>
    </row>
    <row r="960">
      <c r="C960" s="24"/>
      <c r="D960" s="25"/>
    </row>
    <row r="961">
      <c r="C961" s="24"/>
      <c r="D961" s="25"/>
    </row>
    <row r="962">
      <c r="C962" s="24"/>
      <c r="D962" s="25"/>
    </row>
    <row r="963">
      <c r="C963" s="24"/>
      <c r="D963" s="25"/>
    </row>
    <row r="964">
      <c r="C964" s="24"/>
      <c r="D964" s="25"/>
    </row>
    <row r="965">
      <c r="C965" s="24"/>
      <c r="D965" s="25"/>
    </row>
    <row r="966">
      <c r="C966" s="24"/>
      <c r="D966" s="25"/>
    </row>
    <row r="967">
      <c r="C967" s="24"/>
      <c r="D967" s="25"/>
    </row>
    <row r="968">
      <c r="C968" s="24"/>
      <c r="D968" s="25"/>
    </row>
    <row r="969">
      <c r="C969" s="24"/>
      <c r="D969" s="25"/>
    </row>
    <row r="970">
      <c r="C970" s="24"/>
      <c r="D970" s="25"/>
    </row>
    <row r="971">
      <c r="C971" s="24"/>
      <c r="D971" s="25"/>
    </row>
    <row r="972">
      <c r="C972" s="24"/>
      <c r="D972" s="25"/>
    </row>
    <row r="973">
      <c r="C973" s="24"/>
      <c r="D973" s="25"/>
    </row>
    <row r="974">
      <c r="C974" s="24"/>
      <c r="D974" s="25"/>
    </row>
    <row r="975">
      <c r="C975" s="24"/>
      <c r="D975" s="25"/>
    </row>
    <row r="976">
      <c r="C976" s="24"/>
      <c r="D976" s="25"/>
    </row>
    <row r="977">
      <c r="C977" s="24"/>
      <c r="D977" s="25"/>
    </row>
    <row r="978">
      <c r="C978" s="24"/>
      <c r="D978" s="25"/>
    </row>
    <row r="979">
      <c r="C979" s="24"/>
      <c r="D979" s="25"/>
    </row>
    <row r="980">
      <c r="C980" s="24"/>
      <c r="D980" s="25"/>
    </row>
    <row r="981">
      <c r="C981" s="24"/>
      <c r="D981" s="25"/>
    </row>
    <row r="982">
      <c r="C982" s="24"/>
      <c r="D982" s="25"/>
    </row>
    <row r="983">
      <c r="C983" s="24"/>
      <c r="D983" s="25"/>
    </row>
    <row r="984">
      <c r="C984" s="24"/>
      <c r="D984" s="25"/>
    </row>
    <row r="985">
      <c r="C985" s="24"/>
      <c r="D985" s="25"/>
    </row>
    <row r="986">
      <c r="C986" s="24"/>
      <c r="D986" s="25"/>
    </row>
    <row r="987">
      <c r="C987" s="24"/>
      <c r="D987" s="25"/>
    </row>
    <row r="988">
      <c r="C988" s="24"/>
      <c r="D988" s="25"/>
    </row>
    <row r="989">
      <c r="C989" s="24"/>
      <c r="D989" s="25"/>
    </row>
    <row r="990">
      <c r="C990" s="24"/>
      <c r="D990" s="25"/>
    </row>
    <row r="991">
      <c r="C991" s="24"/>
      <c r="D991" s="25"/>
    </row>
    <row r="992">
      <c r="C992" s="24"/>
      <c r="D992" s="25"/>
    </row>
    <row r="993">
      <c r="C993" s="24"/>
      <c r="D993" s="25"/>
    </row>
    <row r="994">
      <c r="C994" s="24"/>
      <c r="D994" s="25"/>
    </row>
    <row r="995">
      <c r="C995" s="24"/>
      <c r="D995" s="25"/>
    </row>
    <row r="996">
      <c r="C996" s="24"/>
      <c r="D996" s="25"/>
    </row>
    <row r="997">
      <c r="C997" s="24"/>
      <c r="D997" s="25"/>
    </row>
    <row r="998">
      <c r="C998" s="24"/>
      <c r="D998" s="25"/>
    </row>
    <row r="999">
      <c r="C999" s="24"/>
      <c r="D999" s="25"/>
    </row>
    <row r="1000">
      <c r="C1000" s="24"/>
      <c r="D1000" s="25"/>
    </row>
  </sheetData>
  <dataValidations>
    <dataValidation type="list" allowBlank="1" showErrorMessage="1" sqref="D2:D101">
      <formula1>"TO DO,SDG 7,NOT SDG 7,SKIP"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18" t="s">
        <v>78</v>
      </c>
      <c r="B1" s="18" t="s">
        <v>79</v>
      </c>
      <c r="C1" s="19" t="s">
        <v>80</v>
      </c>
      <c r="D1" s="20" t="s">
        <v>81</v>
      </c>
      <c r="E1" s="13" t="s">
        <v>82</v>
      </c>
    </row>
    <row r="2">
      <c r="A2" s="21" t="s">
        <v>83</v>
      </c>
      <c r="B2" s="21" t="s">
        <v>270</v>
      </c>
      <c r="C2" s="22" t="s">
        <v>271</v>
      </c>
      <c r="D2" s="23" t="s">
        <v>14</v>
      </c>
    </row>
    <row r="3">
      <c r="A3" s="21" t="s">
        <v>220</v>
      </c>
      <c r="B3" s="21" t="s">
        <v>221</v>
      </c>
      <c r="C3" s="22" t="s">
        <v>222</v>
      </c>
      <c r="D3" s="23" t="s">
        <v>12</v>
      </c>
    </row>
    <row r="4">
      <c r="A4" s="21" t="s">
        <v>87</v>
      </c>
      <c r="B4" s="21" t="s">
        <v>132</v>
      </c>
      <c r="C4" s="22" t="s">
        <v>133</v>
      </c>
      <c r="D4" s="23" t="s">
        <v>14</v>
      </c>
    </row>
    <row r="5">
      <c r="A5" s="21" t="s">
        <v>226</v>
      </c>
      <c r="B5" s="21" t="s">
        <v>227</v>
      </c>
      <c r="C5" s="22" t="s">
        <v>228</v>
      </c>
      <c r="D5" s="23" t="s">
        <v>12</v>
      </c>
    </row>
    <row r="6">
      <c r="A6" s="21" t="s">
        <v>294</v>
      </c>
      <c r="B6" s="21" t="s">
        <v>297</v>
      </c>
      <c r="C6" s="22" t="s">
        <v>298</v>
      </c>
      <c r="D6" s="23" t="s">
        <v>12</v>
      </c>
    </row>
    <row r="7">
      <c r="A7" s="21" t="s">
        <v>105</v>
      </c>
      <c r="B7" s="21" t="s">
        <v>117</v>
      </c>
      <c r="C7" s="22" t="s">
        <v>118</v>
      </c>
      <c r="D7" s="23" t="s">
        <v>14</v>
      </c>
    </row>
    <row r="8">
      <c r="A8" s="21" t="s">
        <v>137</v>
      </c>
      <c r="B8" s="21" t="s">
        <v>195</v>
      </c>
      <c r="C8" s="22" t="s">
        <v>196</v>
      </c>
      <c r="D8" s="23" t="s">
        <v>12</v>
      </c>
    </row>
    <row r="9">
      <c r="A9" s="21" t="s">
        <v>99</v>
      </c>
      <c r="B9" s="21" t="s">
        <v>208</v>
      </c>
      <c r="C9" s="22" t="s">
        <v>209</v>
      </c>
      <c r="D9" s="23" t="s">
        <v>12</v>
      </c>
    </row>
    <row r="10">
      <c r="A10" s="21" t="s">
        <v>124</v>
      </c>
      <c r="B10" s="21" t="s">
        <v>130</v>
      </c>
      <c r="C10" s="22" t="s">
        <v>131</v>
      </c>
      <c r="D10" s="23" t="s">
        <v>14</v>
      </c>
    </row>
    <row r="11">
      <c r="A11" s="21" t="s">
        <v>99</v>
      </c>
      <c r="B11" s="21" t="s">
        <v>284</v>
      </c>
      <c r="C11" s="22" t="s">
        <v>285</v>
      </c>
      <c r="D11" s="23" t="s">
        <v>12</v>
      </c>
    </row>
    <row r="12">
      <c r="A12" s="21" t="s">
        <v>87</v>
      </c>
      <c r="B12" s="21" t="s">
        <v>253</v>
      </c>
      <c r="C12" s="22" t="s">
        <v>254</v>
      </c>
      <c r="D12" s="23" t="s">
        <v>14</v>
      </c>
    </row>
    <row r="13">
      <c r="A13" s="21" t="s">
        <v>127</v>
      </c>
      <c r="B13" s="21" t="s">
        <v>128</v>
      </c>
      <c r="C13" s="22" t="s">
        <v>129</v>
      </c>
      <c r="D13" s="23" t="s">
        <v>14</v>
      </c>
    </row>
    <row r="14">
      <c r="A14" s="21" t="s">
        <v>237</v>
      </c>
      <c r="B14" s="21" t="s">
        <v>238</v>
      </c>
      <c r="C14" s="22" t="s">
        <v>239</v>
      </c>
      <c r="D14" s="23" t="s">
        <v>14</v>
      </c>
      <c r="E14" s="4" t="s">
        <v>342</v>
      </c>
    </row>
    <row r="15">
      <c r="A15" s="21" t="s">
        <v>124</v>
      </c>
      <c r="B15" s="21" t="s">
        <v>249</v>
      </c>
      <c r="C15" s="22" t="s">
        <v>250</v>
      </c>
      <c r="D15" s="23" t="s">
        <v>14</v>
      </c>
    </row>
    <row r="16">
      <c r="A16" s="21" t="s">
        <v>90</v>
      </c>
      <c r="B16" s="21" t="s">
        <v>299</v>
      </c>
      <c r="C16" s="22" t="s">
        <v>300</v>
      </c>
      <c r="D16" s="23" t="s">
        <v>14</v>
      </c>
    </row>
    <row r="17">
      <c r="A17" s="21" t="s">
        <v>102</v>
      </c>
      <c r="B17" s="21" t="s">
        <v>272</v>
      </c>
      <c r="C17" s="22" t="s">
        <v>273</v>
      </c>
      <c r="D17" s="23" t="s">
        <v>12</v>
      </c>
    </row>
    <row r="18">
      <c r="A18" s="21" t="s">
        <v>155</v>
      </c>
      <c r="B18" s="21" t="s">
        <v>156</v>
      </c>
      <c r="C18" s="22" t="s">
        <v>157</v>
      </c>
      <c r="D18" s="23" t="s">
        <v>12</v>
      </c>
    </row>
    <row r="19">
      <c r="A19" s="21" t="s">
        <v>308</v>
      </c>
      <c r="B19" s="21" t="s">
        <v>309</v>
      </c>
      <c r="C19" s="22" t="s">
        <v>310</v>
      </c>
      <c r="D19" s="23" t="s">
        <v>12</v>
      </c>
    </row>
    <row r="20">
      <c r="A20" s="21" t="s">
        <v>169</v>
      </c>
      <c r="B20" s="21" t="s">
        <v>170</v>
      </c>
      <c r="C20" s="22" t="s">
        <v>171</v>
      </c>
      <c r="D20" s="23" t="s">
        <v>12</v>
      </c>
    </row>
    <row r="21">
      <c r="A21" s="21" t="s">
        <v>286</v>
      </c>
      <c r="B21" s="21" t="s">
        <v>287</v>
      </c>
      <c r="C21" s="22" t="s">
        <v>288</v>
      </c>
      <c r="D21" s="23" t="s">
        <v>12</v>
      </c>
    </row>
    <row r="22">
      <c r="A22" s="21" t="s">
        <v>215</v>
      </c>
      <c r="B22" s="21" t="s">
        <v>216</v>
      </c>
      <c r="C22" s="22" t="s">
        <v>217</v>
      </c>
      <c r="D22" s="23" t="s">
        <v>14</v>
      </c>
    </row>
    <row r="23">
      <c r="A23" s="21" t="s">
        <v>313</v>
      </c>
      <c r="B23" s="21" t="s">
        <v>314</v>
      </c>
      <c r="C23" s="22" t="s">
        <v>315</v>
      </c>
      <c r="D23" s="23" t="s">
        <v>14</v>
      </c>
    </row>
    <row r="24">
      <c r="A24" s="21" t="s">
        <v>111</v>
      </c>
      <c r="B24" s="21" t="s">
        <v>112</v>
      </c>
      <c r="C24" s="22" t="s">
        <v>113</v>
      </c>
      <c r="D24" s="23" t="s">
        <v>12</v>
      </c>
      <c r="E24" s="4" t="s">
        <v>343</v>
      </c>
    </row>
    <row r="25">
      <c r="A25" s="21" t="s">
        <v>108</v>
      </c>
      <c r="B25" s="21" t="s">
        <v>109</v>
      </c>
      <c r="C25" s="22" t="s">
        <v>110</v>
      </c>
      <c r="D25" s="23" t="s">
        <v>12</v>
      </c>
    </row>
    <row r="26">
      <c r="A26" s="21" t="s">
        <v>200</v>
      </c>
      <c r="B26" s="21" t="s">
        <v>201</v>
      </c>
      <c r="C26" s="22" t="s">
        <v>202</v>
      </c>
      <c r="D26" s="23" t="s">
        <v>12</v>
      </c>
    </row>
    <row r="27">
      <c r="A27" s="21" t="s">
        <v>124</v>
      </c>
      <c r="B27" s="21" t="s">
        <v>279</v>
      </c>
      <c r="C27" s="22" t="s">
        <v>280</v>
      </c>
      <c r="D27" s="23" t="s">
        <v>14</v>
      </c>
    </row>
    <row r="28">
      <c r="A28" s="21" t="s">
        <v>223</v>
      </c>
      <c r="B28" s="21" t="s">
        <v>224</v>
      </c>
      <c r="C28" s="22" t="s">
        <v>225</v>
      </c>
      <c r="D28" s="23" t="s">
        <v>12</v>
      </c>
    </row>
    <row r="29">
      <c r="A29" s="21" t="s">
        <v>192</v>
      </c>
      <c r="B29" s="21" t="s">
        <v>193</v>
      </c>
      <c r="C29" s="22" t="s">
        <v>194</v>
      </c>
      <c r="D29" s="23" t="s">
        <v>12</v>
      </c>
    </row>
    <row r="30">
      <c r="A30" s="21" t="s">
        <v>255</v>
      </c>
      <c r="B30" s="21" t="s">
        <v>256</v>
      </c>
      <c r="C30" s="22" t="s">
        <v>257</v>
      </c>
      <c r="D30" s="23" t="s">
        <v>12</v>
      </c>
    </row>
    <row r="31">
      <c r="A31" s="21" t="s">
        <v>105</v>
      </c>
      <c r="B31" s="21" t="s">
        <v>240</v>
      </c>
      <c r="C31" s="22" t="s">
        <v>241</v>
      </c>
      <c r="D31" s="23" t="s">
        <v>12</v>
      </c>
    </row>
    <row r="32">
      <c r="A32" s="21" t="s">
        <v>143</v>
      </c>
      <c r="B32" s="21" t="s">
        <v>180</v>
      </c>
      <c r="C32" s="22" t="s">
        <v>181</v>
      </c>
      <c r="D32" s="23" t="s">
        <v>14</v>
      </c>
    </row>
    <row r="33">
      <c r="A33" s="21" t="s">
        <v>215</v>
      </c>
      <c r="B33" s="21" t="s">
        <v>323</v>
      </c>
      <c r="C33" s="22" t="s">
        <v>324</v>
      </c>
      <c r="D33" s="23" t="s">
        <v>14</v>
      </c>
    </row>
    <row r="34">
      <c r="A34" s="21" t="s">
        <v>158</v>
      </c>
      <c r="B34" s="21" t="s">
        <v>318</v>
      </c>
      <c r="C34" s="22" t="s">
        <v>319</v>
      </c>
      <c r="D34" s="23" t="s">
        <v>14</v>
      </c>
    </row>
    <row r="35">
      <c r="A35" s="21" t="s">
        <v>197</v>
      </c>
      <c r="B35" s="21" t="s">
        <v>198</v>
      </c>
      <c r="C35" s="22" t="s">
        <v>199</v>
      </c>
      <c r="D35" s="23" t="s">
        <v>14</v>
      </c>
    </row>
    <row r="36">
      <c r="A36" s="21" t="s">
        <v>87</v>
      </c>
      <c r="B36" s="21" t="s">
        <v>258</v>
      </c>
      <c r="C36" s="22" t="s">
        <v>259</v>
      </c>
      <c r="D36" s="23" t="s">
        <v>14</v>
      </c>
    </row>
    <row r="37">
      <c r="A37" s="21" t="s">
        <v>158</v>
      </c>
      <c r="B37" s="21" t="s">
        <v>185</v>
      </c>
      <c r="C37" s="22" t="s">
        <v>186</v>
      </c>
      <c r="D37" s="23" t="s">
        <v>14</v>
      </c>
    </row>
    <row r="38">
      <c r="A38" s="21" t="s">
        <v>177</v>
      </c>
      <c r="B38" s="21" t="s">
        <v>178</v>
      </c>
      <c r="C38" s="22" t="s">
        <v>179</v>
      </c>
      <c r="D38" s="23" t="s">
        <v>14</v>
      </c>
    </row>
    <row r="39">
      <c r="A39" s="21" t="s">
        <v>164</v>
      </c>
      <c r="B39" s="21" t="s">
        <v>331</v>
      </c>
      <c r="C39" s="22" t="s">
        <v>332</v>
      </c>
      <c r="D39" s="23" t="s">
        <v>14</v>
      </c>
    </row>
    <row r="40">
      <c r="A40" s="21" t="s">
        <v>158</v>
      </c>
      <c r="B40" s="21" t="s">
        <v>159</v>
      </c>
      <c r="C40" s="22" t="s">
        <v>160</v>
      </c>
      <c r="D40" s="23" t="s">
        <v>14</v>
      </c>
    </row>
    <row r="41">
      <c r="A41" s="21" t="s">
        <v>83</v>
      </c>
      <c r="B41" s="21" t="s">
        <v>84</v>
      </c>
      <c r="C41" s="22" t="s">
        <v>85</v>
      </c>
      <c r="D41" s="23" t="s">
        <v>14</v>
      </c>
    </row>
    <row r="42">
      <c r="A42" s="21" t="s">
        <v>164</v>
      </c>
      <c r="B42" s="21" t="s">
        <v>165</v>
      </c>
      <c r="C42" s="22" t="s">
        <v>166</v>
      </c>
      <c r="D42" s="23" t="s">
        <v>14</v>
      </c>
    </row>
    <row r="43">
      <c r="A43" s="21" t="s">
        <v>203</v>
      </c>
      <c r="B43" s="21" t="s">
        <v>260</v>
      </c>
      <c r="C43" s="22" t="s">
        <v>261</v>
      </c>
      <c r="D43" s="23" t="s">
        <v>14</v>
      </c>
    </row>
    <row r="44">
      <c r="A44" s="21" t="s">
        <v>262</v>
      </c>
      <c r="B44" s="21" t="s">
        <v>263</v>
      </c>
      <c r="C44" s="22" t="s">
        <v>264</v>
      </c>
      <c r="D44" s="23" t="s">
        <v>12</v>
      </c>
    </row>
    <row r="45">
      <c r="A45" s="21" t="s">
        <v>294</v>
      </c>
      <c r="B45" s="21" t="s">
        <v>295</v>
      </c>
      <c r="C45" s="22" t="s">
        <v>296</v>
      </c>
      <c r="D45" s="23" t="s">
        <v>12</v>
      </c>
    </row>
    <row r="46">
      <c r="A46" s="21" t="s">
        <v>143</v>
      </c>
      <c r="B46" s="21" t="s">
        <v>144</v>
      </c>
      <c r="C46" s="22" t="s">
        <v>145</v>
      </c>
      <c r="D46" s="23" t="s">
        <v>14</v>
      </c>
    </row>
    <row r="47">
      <c r="A47" s="21" t="s">
        <v>93</v>
      </c>
      <c r="B47" s="21" t="s">
        <v>94</v>
      </c>
      <c r="C47" s="22" t="s">
        <v>95</v>
      </c>
      <c r="D47" s="23" t="s">
        <v>12</v>
      </c>
    </row>
    <row r="48">
      <c r="A48" s="21" t="s">
        <v>90</v>
      </c>
      <c r="B48" s="21" t="s">
        <v>210</v>
      </c>
      <c r="C48" s="22" t="s">
        <v>211</v>
      </c>
      <c r="D48" s="23" t="s">
        <v>14</v>
      </c>
    </row>
    <row r="49">
      <c r="A49" s="21" t="s">
        <v>93</v>
      </c>
      <c r="B49" s="21" t="s">
        <v>245</v>
      </c>
      <c r="C49" s="22" t="s">
        <v>246</v>
      </c>
      <c r="D49" s="23" t="s">
        <v>12</v>
      </c>
    </row>
    <row r="50">
      <c r="A50" s="21" t="s">
        <v>146</v>
      </c>
      <c r="B50" s="21" t="s">
        <v>336</v>
      </c>
      <c r="C50" s="22" t="s">
        <v>337</v>
      </c>
      <c r="D50" s="23" t="s">
        <v>14</v>
      </c>
    </row>
    <row r="51">
      <c r="A51" s="21" t="s">
        <v>102</v>
      </c>
      <c r="B51" s="21" t="s">
        <v>103</v>
      </c>
      <c r="C51" s="22" t="s">
        <v>104</v>
      </c>
      <c r="D51" s="23" t="s">
        <v>14</v>
      </c>
    </row>
    <row r="52">
      <c r="A52" s="21" t="s">
        <v>137</v>
      </c>
      <c r="B52" s="21" t="s">
        <v>138</v>
      </c>
      <c r="C52" s="22" t="s">
        <v>139</v>
      </c>
      <c r="D52" s="23" t="s">
        <v>12</v>
      </c>
    </row>
    <row r="53">
      <c r="A53" s="21" t="s">
        <v>182</v>
      </c>
      <c r="B53" s="21" t="s">
        <v>183</v>
      </c>
      <c r="C53" s="22" t="s">
        <v>184</v>
      </c>
      <c r="D53" s="23" t="s">
        <v>14</v>
      </c>
    </row>
    <row r="54">
      <c r="A54" s="21" t="s">
        <v>289</v>
      </c>
      <c r="B54" s="21" t="s">
        <v>290</v>
      </c>
      <c r="C54" s="22" t="s">
        <v>291</v>
      </c>
      <c r="D54" s="23" t="s">
        <v>14</v>
      </c>
    </row>
    <row r="55">
      <c r="A55" s="21" t="s">
        <v>174</v>
      </c>
      <c r="B55" s="21" t="s">
        <v>175</v>
      </c>
      <c r="C55" s="22" t="s">
        <v>176</v>
      </c>
      <c r="D55" s="23" t="s">
        <v>12</v>
      </c>
    </row>
    <row r="56">
      <c r="A56" s="21" t="s">
        <v>325</v>
      </c>
      <c r="B56" s="21" t="s">
        <v>326</v>
      </c>
      <c r="C56" s="22" t="s">
        <v>327</v>
      </c>
      <c r="D56" s="23" t="s">
        <v>12</v>
      </c>
    </row>
    <row r="57">
      <c r="A57" s="21" t="s">
        <v>189</v>
      </c>
      <c r="B57" s="21" t="s">
        <v>190</v>
      </c>
      <c r="C57" s="22" t="s">
        <v>191</v>
      </c>
      <c r="D57" s="23" t="s">
        <v>14</v>
      </c>
      <c r="E57" s="4" t="s">
        <v>344</v>
      </c>
    </row>
    <row r="58">
      <c r="A58" s="21" t="s">
        <v>320</v>
      </c>
      <c r="B58" s="21" t="s">
        <v>321</v>
      </c>
      <c r="C58" s="22" t="s">
        <v>322</v>
      </c>
      <c r="D58" s="23" t="s">
        <v>12</v>
      </c>
    </row>
    <row r="59">
      <c r="A59" s="21" t="s">
        <v>232</v>
      </c>
      <c r="B59" s="21" t="s">
        <v>233</v>
      </c>
      <c r="C59" s="22" t="s">
        <v>234</v>
      </c>
      <c r="D59" s="23" t="s">
        <v>12</v>
      </c>
    </row>
    <row r="60">
      <c r="A60" s="21" t="s">
        <v>87</v>
      </c>
      <c r="B60" s="21" t="s">
        <v>88</v>
      </c>
      <c r="C60" s="22" t="s">
        <v>89</v>
      </c>
      <c r="D60" s="23" t="s">
        <v>14</v>
      </c>
    </row>
    <row r="61">
      <c r="A61" s="21" t="s">
        <v>265</v>
      </c>
      <c r="B61" s="21" t="s">
        <v>266</v>
      </c>
      <c r="C61" s="22" t="s">
        <v>267</v>
      </c>
      <c r="D61" s="23" t="s">
        <v>12</v>
      </c>
    </row>
    <row r="62">
      <c r="A62" s="21" t="s">
        <v>177</v>
      </c>
      <c r="B62" s="21" t="s">
        <v>187</v>
      </c>
      <c r="C62" s="22" t="s">
        <v>188</v>
      </c>
      <c r="D62" s="23" t="s">
        <v>14</v>
      </c>
    </row>
    <row r="63">
      <c r="A63" s="21" t="s">
        <v>242</v>
      </c>
      <c r="B63" s="21" t="s">
        <v>243</v>
      </c>
      <c r="C63" s="22" t="s">
        <v>244</v>
      </c>
      <c r="D63" s="23" t="s">
        <v>12</v>
      </c>
      <c r="E63" s="4" t="s">
        <v>345</v>
      </c>
    </row>
    <row r="64">
      <c r="A64" s="21" t="s">
        <v>174</v>
      </c>
      <c r="B64" s="21" t="s">
        <v>218</v>
      </c>
      <c r="C64" s="22" t="s">
        <v>219</v>
      </c>
      <c r="D64" s="23" t="s">
        <v>14</v>
      </c>
    </row>
    <row r="65">
      <c r="A65" s="21" t="s">
        <v>90</v>
      </c>
      <c r="B65" s="21" t="s">
        <v>91</v>
      </c>
      <c r="C65" s="22" t="s">
        <v>92</v>
      </c>
      <c r="D65" s="23" t="s">
        <v>14</v>
      </c>
    </row>
    <row r="66">
      <c r="A66" s="21" t="s">
        <v>212</v>
      </c>
      <c r="B66" s="21" t="s">
        <v>213</v>
      </c>
      <c r="C66" s="22" t="s">
        <v>214</v>
      </c>
      <c r="D66" s="23" t="s">
        <v>12</v>
      </c>
    </row>
    <row r="67">
      <c r="A67" s="21" t="s">
        <v>152</v>
      </c>
      <c r="B67" s="21" t="s">
        <v>153</v>
      </c>
      <c r="C67" s="22" t="s">
        <v>154</v>
      </c>
      <c r="D67" s="23" t="s">
        <v>14</v>
      </c>
    </row>
    <row r="68">
      <c r="A68" s="21" t="s">
        <v>99</v>
      </c>
      <c r="B68" s="21" t="s">
        <v>206</v>
      </c>
      <c r="C68" s="22" t="s">
        <v>207</v>
      </c>
      <c r="D68" s="23" t="s">
        <v>12</v>
      </c>
    </row>
    <row r="69">
      <c r="A69" s="21" t="s">
        <v>281</v>
      </c>
      <c r="B69" s="21" t="s">
        <v>282</v>
      </c>
      <c r="C69" s="22" t="s">
        <v>283</v>
      </c>
      <c r="D69" s="23" t="s">
        <v>14</v>
      </c>
    </row>
    <row r="70">
      <c r="A70" s="21" t="s">
        <v>114</v>
      </c>
      <c r="B70" s="21" t="s">
        <v>167</v>
      </c>
      <c r="C70" s="22" t="s">
        <v>168</v>
      </c>
      <c r="D70" s="23" t="s">
        <v>12</v>
      </c>
    </row>
    <row r="71">
      <c r="A71" s="21" t="s">
        <v>93</v>
      </c>
      <c r="B71" s="21" t="s">
        <v>311</v>
      </c>
      <c r="C71" s="22" t="s">
        <v>312</v>
      </c>
      <c r="D71" s="23" t="s">
        <v>12</v>
      </c>
    </row>
    <row r="72">
      <c r="A72" s="21" t="s">
        <v>134</v>
      </c>
      <c r="B72" s="21" t="s">
        <v>135</v>
      </c>
      <c r="C72" s="22" t="s">
        <v>136</v>
      </c>
      <c r="D72" s="23" t="s">
        <v>14</v>
      </c>
    </row>
    <row r="73">
      <c r="A73" s="21" t="s">
        <v>281</v>
      </c>
      <c r="B73" s="21" t="s">
        <v>340</v>
      </c>
      <c r="C73" s="22" t="s">
        <v>341</v>
      </c>
      <c r="D73" s="23" t="s">
        <v>14</v>
      </c>
    </row>
    <row r="74">
      <c r="A74" s="21" t="s">
        <v>137</v>
      </c>
      <c r="B74" s="21" t="s">
        <v>292</v>
      </c>
      <c r="C74" s="22" t="s">
        <v>293</v>
      </c>
      <c r="D74" s="23" t="s">
        <v>12</v>
      </c>
    </row>
    <row r="75">
      <c r="A75" s="21" t="s">
        <v>105</v>
      </c>
      <c r="B75" s="21" t="s">
        <v>106</v>
      </c>
      <c r="C75" s="22" t="s">
        <v>107</v>
      </c>
      <c r="D75" s="23" t="s">
        <v>12</v>
      </c>
      <c r="E75" s="4" t="s">
        <v>346</v>
      </c>
    </row>
    <row r="76">
      <c r="A76" s="21" t="s">
        <v>203</v>
      </c>
      <c r="B76" s="21" t="s">
        <v>204</v>
      </c>
      <c r="C76" s="22" t="s">
        <v>205</v>
      </c>
      <c r="D76" s="23" t="s">
        <v>12</v>
      </c>
    </row>
    <row r="77">
      <c r="A77" s="21" t="s">
        <v>203</v>
      </c>
      <c r="B77" s="21" t="s">
        <v>251</v>
      </c>
      <c r="C77" s="22" t="s">
        <v>252</v>
      </c>
      <c r="D77" s="23" t="s">
        <v>12</v>
      </c>
    </row>
    <row r="78">
      <c r="A78" s="21" t="s">
        <v>114</v>
      </c>
      <c r="B78" s="21" t="s">
        <v>115</v>
      </c>
      <c r="C78" s="22" t="s">
        <v>116</v>
      </c>
      <c r="D78" s="23" t="s">
        <v>14</v>
      </c>
    </row>
    <row r="79">
      <c r="A79" s="21" t="s">
        <v>99</v>
      </c>
      <c r="B79" s="21" t="s">
        <v>100</v>
      </c>
      <c r="C79" s="22" t="s">
        <v>101</v>
      </c>
      <c r="D79" s="23" t="s">
        <v>12</v>
      </c>
    </row>
    <row r="80">
      <c r="A80" s="21" t="s">
        <v>189</v>
      </c>
      <c r="B80" s="21" t="s">
        <v>268</v>
      </c>
      <c r="C80" s="22" t="s">
        <v>269</v>
      </c>
      <c r="D80" s="23" t="s">
        <v>14</v>
      </c>
    </row>
    <row r="81">
      <c r="A81" s="21" t="s">
        <v>124</v>
      </c>
      <c r="B81" s="21" t="s">
        <v>125</v>
      </c>
      <c r="C81" s="22" t="s">
        <v>126</v>
      </c>
      <c r="D81" s="23" t="s">
        <v>14</v>
      </c>
    </row>
    <row r="82">
      <c r="A82" s="21" t="s">
        <v>161</v>
      </c>
      <c r="B82" s="21" t="s">
        <v>162</v>
      </c>
      <c r="C82" s="22" t="s">
        <v>163</v>
      </c>
      <c r="D82" s="23" t="s">
        <v>14</v>
      </c>
    </row>
    <row r="83">
      <c r="A83" s="21" t="s">
        <v>96</v>
      </c>
      <c r="B83" s="21" t="s">
        <v>97</v>
      </c>
      <c r="C83" s="22" t="s">
        <v>98</v>
      </c>
      <c r="D83" s="23" t="s">
        <v>14</v>
      </c>
    </row>
    <row r="84">
      <c r="A84" s="21" t="s">
        <v>276</v>
      </c>
      <c r="B84" s="21" t="s">
        <v>301</v>
      </c>
      <c r="C84" s="22" t="s">
        <v>302</v>
      </c>
      <c r="D84" s="23" t="s">
        <v>12</v>
      </c>
    </row>
    <row r="85">
      <c r="A85" s="21" t="s">
        <v>93</v>
      </c>
      <c r="B85" s="21" t="s">
        <v>338</v>
      </c>
      <c r="C85" s="22" t="s">
        <v>339</v>
      </c>
      <c r="D85" s="23" t="s">
        <v>14</v>
      </c>
    </row>
    <row r="86">
      <c r="A86" s="21" t="s">
        <v>333</v>
      </c>
      <c r="B86" s="21" t="s">
        <v>334</v>
      </c>
      <c r="C86" s="22" t="s">
        <v>335</v>
      </c>
      <c r="D86" s="23" t="s">
        <v>12</v>
      </c>
      <c r="E86" s="4" t="s">
        <v>347</v>
      </c>
    </row>
    <row r="87">
      <c r="A87" s="21" t="s">
        <v>149</v>
      </c>
      <c r="B87" s="21" t="s">
        <v>150</v>
      </c>
      <c r="C87" s="22" t="s">
        <v>151</v>
      </c>
      <c r="D87" s="23" t="s">
        <v>12</v>
      </c>
    </row>
    <row r="88">
      <c r="A88" s="21" t="s">
        <v>146</v>
      </c>
      <c r="B88" s="21" t="s">
        <v>147</v>
      </c>
      <c r="C88" s="22" t="s">
        <v>148</v>
      </c>
      <c r="D88" s="23" t="s">
        <v>14</v>
      </c>
    </row>
    <row r="89">
      <c r="A89" s="21" t="s">
        <v>140</v>
      </c>
      <c r="B89" s="21" t="s">
        <v>141</v>
      </c>
      <c r="C89" s="22" t="s">
        <v>142</v>
      </c>
      <c r="D89" s="23" t="s">
        <v>12</v>
      </c>
    </row>
    <row r="90">
      <c r="A90" s="21" t="s">
        <v>149</v>
      </c>
      <c r="B90" s="21" t="s">
        <v>316</v>
      </c>
      <c r="C90" s="22" t="s">
        <v>317</v>
      </c>
      <c r="D90" s="23" t="s">
        <v>12</v>
      </c>
    </row>
    <row r="91">
      <c r="A91" s="21" t="s">
        <v>305</v>
      </c>
      <c r="B91" s="21" t="s">
        <v>306</v>
      </c>
      <c r="C91" s="22" t="s">
        <v>307</v>
      </c>
      <c r="D91" s="23" t="s">
        <v>12</v>
      </c>
    </row>
    <row r="92">
      <c r="A92" s="21" t="s">
        <v>83</v>
      </c>
      <c r="B92" s="21" t="s">
        <v>247</v>
      </c>
      <c r="C92" s="22" t="s">
        <v>248</v>
      </c>
      <c r="D92" s="23" t="s">
        <v>14</v>
      </c>
    </row>
    <row r="93">
      <c r="A93" s="21" t="s">
        <v>328</v>
      </c>
      <c r="B93" s="21" t="s">
        <v>329</v>
      </c>
      <c r="C93" s="22" t="s">
        <v>330</v>
      </c>
      <c r="D93" s="23" t="s">
        <v>12</v>
      </c>
    </row>
    <row r="94">
      <c r="A94" s="21" t="s">
        <v>124</v>
      </c>
      <c r="B94" s="21" t="s">
        <v>303</v>
      </c>
      <c r="C94" s="22" t="s">
        <v>304</v>
      </c>
      <c r="D94" s="23" t="s">
        <v>14</v>
      </c>
    </row>
    <row r="95">
      <c r="A95" s="21" t="s">
        <v>90</v>
      </c>
      <c r="B95" s="21" t="s">
        <v>122</v>
      </c>
      <c r="C95" s="22" t="s">
        <v>123</v>
      </c>
      <c r="D95" s="23" t="s">
        <v>14</v>
      </c>
    </row>
    <row r="96">
      <c r="A96" s="21" t="s">
        <v>229</v>
      </c>
      <c r="B96" s="21" t="s">
        <v>235</v>
      </c>
      <c r="C96" s="22" t="s">
        <v>236</v>
      </c>
      <c r="D96" s="23" t="s">
        <v>12</v>
      </c>
    </row>
    <row r="97">
      <c r="A97" s="21" t="s">
        <v>229</v>
      </c>
      <c r="B97" s="21" t="s">
        <v>230</v>
      </c>
      <c r="C97" s="22" t="s">
        <v>231</v>
      </c>
      <c r="D97" s="23" t="s">
        <v>14</v>
      </c>
    </row>
    <row r="98">
      <c r="A98" s="21" t="s">
        <v>119</v>
      </c>
      <c r="B98" s="21" t="s">
        <v>120</v>
      </c>
      <c r="C98" s="22" t="s">
        <v>121</v>
      </c>
      <c r="D98" s="23" t="s">
        <v>12</v>
      </c>
    </row>
    <row r="99">
      <c r="A99" s="21" t="s">
        <v>164</v>
      </c>
      <c r="B99" s="21" t="s">
        <v>274</v>
      </c>
      <c r="C99" s="22" t="s">
        <v>275</v>
      </c>
      <c r="D99" s="23" t="s">
        <v>14</v>
      </c>
    </row>
    <row r="100">
      <c r="A100" s="21" t="s">
        <v>276</v>
      </c>
      <c r="B100" s="21" t="s">
        <v>277</v>
      </c>
      <c r="C100" s="22" t="s">
        <v>278</v>
      </c>
      <c r="D100" s="23" t="s">
        <v>12</v>
      </c>
    </row>
    <row r="101">
      <c r="A101" s="21" t="s">
        <v>102</v>
      </c>
      <c r="B101" s="21" t="s">
        <v>172</v>
      </c>
      <c r="C101" s="22" t="s">
        <v>173</v>
      </c>
      <c r="D101" s="23" t="s">
        <v>12</v>
      </c>
    </row>
    <row r="102">
      <c r="C102" s="24"/>
      <c r="D102" s="25"/>
    </row>
    <row r="103">
      <c r="C103" s="24"/>
      <c r="D103" s="25"/>
    </row>
    <row r="104">
      <c r="C104" s="24"/>
      <c r="D104" s="25"/>
    </row>
    <row r="105">
      <c r="C105" s="24"/>
      <c r="D105" s="25"/>
    </row>
    <row r="106">
      <c r="C106" s="24"/>
      <c r="D106" s="25"/>
    </row>
    <row r="107">
      <c r="C107" s="24"/>
      <c r="D107" s="25"/>
    </row>
    <row r="108">
      <c r="C108" s="24"/>
      <c r="D108" s="25"/>
    </row>
    <row r="109">
      <c r="C109" s="24"/>
      <c r="D109" s="25"/>
    </row>
    <row r="110">
      <c r="C110" s="24"/>
      <c r="D110" s="25"/>
    </row>
    <row r="111">
      <c r="C111" s="24"/>
      <c r="D111" s="25"/>
    </row>
    <row r="112">
      <c r="C112" s="24"/>
      <c r="D112" s="25"/>
    </row>
    <row r="113">
      <c r="C113" s="24"/>
      <c r="D113" s="25"/>
    </row>
    <row r="114">
      <c r="C114" s="24"/>
      <c r="D114" s="25"/>
    </row>
    <row r="115">
      <c r="C115" s="24"/>
      <c r="D115" s="25"/>
    </row>
    <row r="116">
      <c r="C116" s="24"/>
      <c r="D116" s="25"/>
    </row>
    <row r="117">
      <c r="C117" s="24"/>
      <c r="D117" s="25"/>
    </row>
    <row r="118">
      <c r="C118" s="24"/>
      <c r="D118" s="25"/>
    </row>
    <row r="119">
      <c r="C119" s="24"/>
      <c r="D119" s="25"/>
    </row>
    <row r="120">
      <c r="C120" s="24"/>
      <c r="D120" s="25"/>
    </row>
    <row r="121">
      <c r="C121" s="24"/>
      <c r="D121" s="25"/>
    </row>
    <row r="122">
      <c r="C122" s="24"/>
      <c r="D122" s="25"/>
    </row>
    <row r="123">
      <c r="C123" s="24"/>
      <c r="D123" s="25"/>
    </row>
    <row r="124">
      <c r="C124" s="24"/>
      <c r="D124" s="25"/>
    </row>
    <row r="125">
      <c r="C125" s="24"/>
      <c r="D125" s="25"/>
    </row>
    <row r="126">
      <c r="C126" s="24"/>
      <c r="D126" s="25"/>
    </row>
    <row r="127">
      <c r="C127" s="24"/>
      <c r="D127" s="25"/>
    </row>
    <row r="128">
      <c r="C128" s="24"/>
      <c r="D128" s="25"/>
    </row>
    <row r="129">
      <c r="C129" s="24"/>
      <c r="D129" s="25"/>
    </row>
    <row r="130">
      <c r="C130" s="24"/>
      <c r="D130" s="25"/>
    </row>
    <row r="131">
      <c r="C131" s="24"/>
      <c r="D131" s="25"/>
    </row>
    <row r="132">
      <c r="C132" s="24"/>
      <c r="D132" s="25"/>
    </row>
    <row r="133">
      <c r="C133" s="24"/>
      <c r="D133" s="25"/>
    </row>
    <row r="134">
      <c r="C134" s="24"/>
      <c r="D134" s="25"/>
    </row>
    <row r="135">
      <c r="C135" s="24"/>
      <c r="D135" s="25"/>
    </row>
    <row r="136">
      <c r="C136" s="24"/>
      <c r="D136" s="25"/>
    </row>
    <row r="137">
      <c r="C137" s="24"/>
      <c r="D137" s="25"/>
    </row>
    <row r="138">
      <c r="C138" s="24"/>
      <c r="D138" s="25"/>
    </row>
    <row r="139">
      <c r="C139" s="24"/>
      <c r="D139" s="25"/>
    </row>
    <row r="140">
      <c r="C140" s="24"/>
      <c r="D140" s="25"/>
    </row>
    <row r="141">
      <c r="C141" s="24"/>
      <c r="D141" s="25"/>
    </row>
    <row r="142">
      <c r="C142" s="24"/>
      <c r="D142" s="25"/>
    </row>
    <row r="143">
      <c r="C143" s="24"/>
      <c r="D143" s="25"/>
    </row>
    <row r="144">
      <c r="C144" s="24"/>
      <c r="D144" s="25"/>
    </row>
    <row r="145">
      <c r="C145" s="24"/>
      <c r="D145" s="25"/>
    </row>
    <row r="146">
      <c r="C146" s="24"/>
      <c r="D146" s="25"/>
    </row>
    <row r="147">
      <c r="C147" s="24"/>
      <c r="D147" s="25"/>
    </row>
    <row r="148">
      <c r="C148" s="24"/>
      <c r="D148" s="25"/>
    </row>
    <row r="149">
      <c r="C149" s="24"/>
      <c r="D149" s="25"/>
    </row>
    <row r="150">
      <c r="C150" s="24"/>
      <c r="D150" s="25"/>
    </row>
    <row r="151">
      <c r="C151" s="24"/>
      <c r="D151" s="25"/>
    </row>
    <row r="152">
      <c r="C152" s="24"/>
      <c r="D152" s="25"/>
    </row>
    <row r="153">
      <c r="C153" s="24"/>
      <c r="D153" s="25"/>
    </row>
    <row r="154">
      <c r="C154" s="24"/>
      <c r="D154" s="25"/>
    </row>
    <row r="155">
      <c r="C155" s="24"/>
      <c r="D155" s="25"/>
    </row>
    <row r="156">
      <c r="C156" s="24"/>
      <c r="D156" s="25"/>
    </row>
    <row r="157">
      <c r="C157" s="24"/>
      <c r="D157" s="25"/>
    </row>
    <row r="158">
      <c r="C158" s="24"/>
      <c r="D158" s="25"/>
    </row>
    <row r="159">
      <c r="C159" s="24"/>
      <c r="D159" s="25"/>
    </row>
    <row r="160">
      <c r="C160" s="24"/>
      <c r="D160" s="25"/>
    </row>
    <row r="161">
      <c r="C161" s="24"/>
      <c r="D161" s="25"/>
    </row>
    <row r="162">
      <c r="C162" s="24"/>
      <c r="D162" s="25"/>
    </row>
    <row r="163">
      <c r="C163" s="24"/>
      <c r="D163" s="25"/>
    </row>
    <row r="164">
      <c r="C164" s="24"/>
      <c r="D164" s="25"/>
    </row>
    <row r="165">
      <c r="C165" s="24"/>
      <c r="D165" s="25"/>
    </row>
    <row r="166">
      <c r="C166" s="24"/>
      <c r="D166" s="25"/>
    </row>
    <row r="167">
      <c r="C167" s="24"/>
      <c r="D167" s="25"/>
    </row>
    <row r="168">
      <c r="C168" s="24"/>
      <c r="D168" s="25"/>
    </row>
    <row r="169">
      <c r="C169" s="24"/>
      <c r="D169" s="25"/>
    </row>
    <row r="170">
      <c r="C170" s="24"/>
      <c r="D170" s="25"/>
    </row>
    <row r="171">
      <c r="C171" s="24"/>
      <c r="D171" s="25"/>
    </row>
    <row r="172">
      <c r="C172" s="24"/>
      <c r="D172" s="25"/>
    </row>
    <row r="173">
      <c r="C173" s="24"/>
      <c r="D173" s="25"/>
    </row>
    <row r="174">
      <c r="C174" s="24"/>
      <c r="D174" s="25"/>
    </row>
    <row r="175">
      <c r="C175" s="24"/>
      <c r="D175" s="25"/>
    </row>
    <row r="176">
      <c r="C176" s="24"/>
      <c r="D176" s="25"/>
    </row>
    <row r="177">
      <c r="C177" s="24"/>
      <c r="D177" s="25"/>
    </row>
    <row r="178">
      <c r="C178" s="24"/>
      <c r="D178" s="25"/>
    </row>
    <row r="179">
      <c r="C179" s="24"/>
      <c r="D179" s="25"/>
    </row>
    <row r="180">
      <c r="C180" s="24"/>
      <c r="D180" s="25"/>
    </row>
    <row r="181">
      <c r="C181" s="24"/>
      <c r="D181" s="25"/>
    </row>
    <row r="182">
      <c r="C182" s="24"/>
      <c r="D182" s="25"/>
    </row>
    <row r="183">
      <c r="C183" s="24"/>
      <c r="D183" s="25"/>
    </row>
    <row r="184">
      <c r="C184" s="24"/>
      <c r="D184" s="25"/>
    </row>
    <row r="185">
      <c r="C185" s="24"/>
      <c r="D185" s="25"/>
    </row>
    <row r="186">
      <c r="C186" s="24"/>
      <c r="D186" s="25"/>
    </row>
    <row r="187">
      <c r="C187" s="24"/>
      <c r="D187" s="25"/>
    </row>
    <row r="188">
      <c r="C188" s="24"/>
      <c r="D188" s="25"/>
    </row>
    <row r="189">
      <c r="C189" s="24"/>
      <c r="D189" s="25"/>
    </row>
    <row r="190">
      <c r="C190" s="24"/>
      <c r="D190" s="25"/>
    </row>
    <row r="191">
      <c r="C191" s="24"/>
      <c r="D191" s="25"/>
    </row>
    <row r="192">
      <c r="C192" s="24"/>
      <c r="D192" s="25"/>
    </row>
    <row r="193">
      <c r="C193" s="24"/>
      <c r="D193" s="25"/>
    </row>
    <row r="194">
      <c r="C194" s="24"/>
      <c r="D194" s="25"/>
    </row>
    <row r="195">
      <c r="C195" s="24"/>
      <c r="D195" s="25"/>
    </row>
    <row r="196">
      <c r="C196" s="24"/>
      <c r="D196" s="25"/>
    </row>
    <row r="197">
      <c r="C197" s="24"/>
      <c r="D197" s="25"/>
    </row>
    <row r="198">
      <c r="C198" s="24"/>
      <c r="D198" s="25"/>
    </row>
    <row r="199">
      <c r="C199" s="24"/>
      <c r="D199" s="25"/>
    </row>
    <row r="200">
      <c r="C200" s="24"/>
      <c r="D200" s="25"/>
    </row>
    <row r="201">
      <c r="C201" s="24"/>
      <c r="D201" s="25"/>
    </row>
    <row r="202">
      <c r="C202" s="24"/>
      <c r="D202" s="25"/>
    </row>
    <row r="203">
      <c r="C203" s="24"/>
      <c r="D203" s="25"/>
    </row>
    <row r="204">
      <c r="C204" s="24"/>
      <c r="D204" s="25"/>
    </row>
    <row r="205">
      <c r="C205" s="24"/>
      <c r="D205" s="25"/>
    </row>
    <row r="206">
      <c r="C206" s="24"/>
      <c r="D206" s="25"/>
    </row>
    <row r="207">
      <c r="C207" s="24"/>
      <c r="D207" s="25"/>
    </row>
    <row r="208">
      <c r="C208" s="24"/>
      <c r="D208" s="25"/>
    </row>
    <row r="209">
      <c r="C209" s="24"/>
      <c r="D209" s="25"/>
    </row>
    <row r="210">
      <c r="C210" s="24"/>
      <c r="D210" s="25"/>
    </row>
    <row r="211">
      <c r="C211" s="24"/>
      <c r="D211" s="25"/>
    </row>
    <row r="212">
      <c r="C212" s="24"/>
      <c r="D212" s="25"/>
    </row>
    <row r="213">
      <c r="C213" s="24"/>
      <c r="D213" s="25"/>
    </row>
    <row r="214">
      <c r="C214" s="24"/>
      <c r="D214" s="25"/>
    </row>
    <row r="215">
      <c r="C215" s="24"/>
      <c r="D215" s="25"/>
    </row>
    <row r="216">
      <c r="C216" s="24"/>
      <c r="D216" s="25"/>
    </row>
    <row r="217">
      <c r="C217" s="24"/>
      <c r="D217" s="25"/>
    </row>
    <row r="218">
      <c r="C218" s="24"/>
      <c r="D218" s="25"/>
    </row>
    <row r="219">
      <c r="C219" s="24"/>
      <c r="D219" s="25"/>
    </row>
    <row r="220">
      <c r="C220" s="24"/>
      <c r="D220" s="25"/>
    </row>
    <row r="221">
      <c r="C221" s="24"/>
      <c r="D221" s="25"/>
    </row>
    <row r="222">
      <c r="C222" s="24"/>
      <c r="D222" s="25"/>
    </row>
    <row r="223">
      <c r="C223" s="24"/>
      <c r="D223" s="25"/>
    </row>
    <row r="224">
      <c r="C224" s="24"/>
      <c r="D224" s="25"/>
    </row>
    <row r="225">
      <c r="C225" s="24"/>
      <c r="D225" s="25"/>
    </row>
    <row r="226">
      <c r="C226" s="24"/>
      <c r="D226" s="25"/>
    </row>
    <row r="227">
      <c r="C227" s="24"/>
      <c r="D227" s="25"/>
    </row>
    <row r="228">
      <c r="C228" s="24"/>
      <c r="D228" s="25"/>
    </row>
    <row r="229">
      <c r="C229" s="24"/>
      <c r="D229" s="25"/>
    </row>
    <row r="230">
      <c r="C230" s="24"/>
      <c r="D230" s="25"/>
    </row>
    <row r="231">
      <c r="C231" s="24"/>
      <c r="D231" s="25"/>
    </row>
    <row r="232">
      <c r="C232" s="24"/>
      <c r="D232" s="25"/>
    </row>
    <row r="233">
      <c r="C233" s="24"/>
      <c r="D233" s="25"/>
    </row>
    <row r="234">
      <c r="C234" s="24"/>
      <c r="D234" s="25"/>
    </row>
    <row r="235">
      <c r="C235" s="24"/>
      <c r="D235" s="25"/>
    </row>
    <row r="236">
      <c r="C236" s="24"/>
      <c r="D236" s="25"/>
    </row>
    <row r="237">
      <c r="C237" s="24"/>
      <c r="D237" s="25"/>
    </row>
    <row r="238">
      <c r="C238" s="24"/>
      <c r="D238" s="25"/>
    </row>
    <row r="239">
      <c r="C239" s="24"/>
      <c r="D239" s="25"/>
    </row>
    <row r="240">
      <c r="C240" s="24"/>
      <c r="D240" s="25"/>
    </row>
    <row r="241">
      <c r="C241" s="24"/>
      <c r="D241" s="25"/>
    </row>
    <row r="242">
      <c r="C242" s="24"/>
      <c r="D242" s="25"/>
    </row>
    <row r="243">
      <c r="C243" s="24"/>
      <c r="D243" s="25"/>
    </row>
    <row r="244">
      <c r="C244" s="24"/>
      <c r="D244" s="25"/>
    </row>
    <row r="245">
      <c r="C245" s="24"/>
      <c r="D245" s="25"/>
    </row>
    <row r="246">
      <c r="C246" s="24"/>
      <c r="D246" s="25"/>
    </row>
    <row r="247">
      <c r="C247" s="24"/>
      <c r="D247" s="25"/>
    </row>
    <row r="248">
      <c r="C248" s="24"/>
      <c r="D248" s="25"/>
    </row>
    <row r="249">
      <c r="C249" s="24"/>
      <c r="D249" s="25"/>
    </row>
    <row r="250">
      <c r="C250" s="24"/>
      <c r="D250" s="25"/>
    </row>
    <row r="251">
      <c r="C251" s="24"/>
      <c r="D251" s="25"/>
    </row>
    <row r="252">
      <c r="C252" s="24"/>
      <c r="D252" s="25"/>
    </row>
    <row r="253">
      <c r="C253" s="24"/>
      <c r="D253" s="25"/>
    </row>
    <row r="254">
      <c r="C254" s="24"/>
      <c r="D254" s="25"/>
    </row>
    <row r="255">
      <c r="C255" s="24"/>
      <c r="D255" s="25"/>
    </row>
    <row r="256">
      <c r="C256" s="24"/>
      <c r="D256" s="25"/>
    </row>
    <row r="257">
      <c r="C257" s="24"/>
      <c r="D257" s="25"/>
    </row>
    <row r="258">
      <c r="C258" s="24"/>
      <c r="D258" s="25"/>
    </row>
    <row r="259">
      <c r="C259" s="24"/>
      <c r="D259" s="25"/>
    </row>
    <row r="260">
      <c r="C260" s="24"/>
      <c r="D260" s="25"/>
    </row>
    <row r="261">
      <c r="C261" s="24"/>
      <c r="D261" s="25"/>
    </row>
    <row r="262">
      <c r="C262" s="24"/>
      <c r="D262" s="25"/>
    </row>
    <row r="263">
      <c r="C263" s="24"/>
      <c r="D263" s="25"/>
    </row>
    <row r="264">
      <c r="C264" s="24"/>
      <c r="D264" s="25"/>
    </row>
    <row r="265">
      <c r="C265" s="24"/>
      <c r="D265" s="25"/>
    </row>
    <row r="266">
      <c r="C266" s="24"/>
      <c r="D266" s="25"/>
    </row>
    <row r="267">
      <c r="C267" s="24"/>
      <c r="D267" s="25"/>
    </row>
    <row r="268">
      <c r="C268" s="24"/>
      <c r="D268" s="25"/>
    </row>
    <row r="269">
      <c r="C269" s="24"/>
      <c r="D269" s="25"/>
    </row>
    <row r="270">
      <c r="C270" s="24"/>
      <c r="D270" s="25"/>
    </row>
    <row r="271">
      <c r="C271" s="24"/>
      <c r="D271" s="25"/>
    </row>
    <row r="272">
      <c r="C272" s="24"/>
      <c r="D272" s="25"/>
    </row>
    <row r="273">
      <c r="C273" s="24"/>
      <c r="D273" s="25"/>
    </row>
    <row r="274">
      <c r="C274" s="24"/>
      <c r="D274" s="25"/>
    </row>
    <row r="275">
      <c r="C275" s="24"/>
      <c r="D275" s="25"/>
    </row>
    <row r="276">
      <c r="C276" s="24"/>
      <c r="D276" s="25"/>
    </row>
    <row r="277">
      <c r="C277" s="24"/>
      <c r="D277" s="25"/>
    </row>
    <row r="278">
      <c r="C278" s="24"/>
      <c r="D278" s="25"/>
    </row>
    <row r="279">
      <c r="C279" s="24"/>
      <c r="D279" s="25"/>
    </row>
    <row r="280">
      <c r="C280" s="24"/>
      <c r="D280" s="25"/>
    </row>
    <row r="281">
      <c r="C281" s="24"/>
      <c r="D281" s="25"/>
    </row>
    <row r="282">
      <c r="C282" s="24"/>
      <c r="D282" s="25"/>
    </row>
    <row r="283">
      <c r="C283" s="24"/>
      <c r="D283" s="25"/>
    </row>
    <row r="284">
      <c r="C284" s="24"/>
      <c r="D284" s="25"/>
    </row>
    <row r="285">
      <c r="C285" s="24"/>
      <c r="D285" s="25"/>
    </row>
    <row r="286">
      <c r="C286" s="24"/>
      <c r="D286" s="25"/>
    </row>
    <row r="287">
      <c r="C287" s="24"/>
      <c r="D287" s="25"/>
    </row>
    <row r="288">
      <c r="C288" s="24"/>
      <c r="D288" s="25"/>
    </row>
    <row r="289">
      <c r="C289" s="24"/>
      <c r="D289" s="25"/>
    </row>
    <row r="290">
      <c r="C290" s="24"/>
      <c r="D290" s="25"/>
    </row>
    <row r="291">
      <c r="C291" s="24"/>
      <c r="D291" s="25"/>
    </row>
    <row r="292">
      <c r="C292" s="24"/>
      <c r="D292" s="25"/>
    </row>
    <row r="293">
      <c r="C293" s="24"/>
      <c r="D293" s="25"/>
    </row>
    <row r="294">
      <c r="C294" s="24"/>
      <c r="D294" s="25"/>
    </row>
    <row r="295">
      <c r="C295" s="24"/>
      <c r="D295" s="25"/>
    </row>
    <row r="296">
      <c r="C296" s="24"/>
      <c r="D296" s="25"/>
    </row>
    <row r="297">
      <c r="C297" s="24"/>
      <c r="D297" s="25"/>
    </row>
    <row r="298">
      <c r="C298" s="24"/>
      <c r="D298" s="25"/>
    </row>
    <row r="299">
      <c r="C299" s="24"/>
      <c r="D299" s="25"/>
    </row>
    <row r="300">
      <c r="C300" s="24"/>
      <c r="D300" s="25"/>
    </row>
    <row r="301">
      <c r="C301" s="24"/>
      <c r="D301" s="25"/>
    </row>
    <row r="302">
      <c r="C302" s="24"/>
      <c r="D302" s="25"/>
    </row>
    <row r="303">
      <c r="C303" s="24"/>
      <c r="D303" s="25"/>
    </row>
    <row r="304">
      <c r="C304" s="24"/>
      <c r="D304" s="25"/>
    </row>
    <row r="305">
      <c r="C305" s="24"/>
      <c r="D305" s="25"/>
    </row>
    <row r="306">
      <c r="C306" s="24"/>
      <c r="D306" s="25"/>
    </row>
    <row r="307">
      <c r="C307" s="24"/>
      <c r="D307" s="25"/>
    </row>
    <row r="308">
      <c r="C308" s="24"/>
      <c r="D308" s="25"/>
    </row>
    <row r="309">
      <c r="C309" s="24"/>
      <c r="D309" s="25"/>
    </row>
    <row r="310">
      <c r="C310" s="24"/>
      <c r="D310" s="25"/>
    </row>
    <row r="311">
      <c r="C311" s="24"/>
      <c r="D311" s="25"/>
    </row>
    <row r="312">
      <c r="C312" s="24"/>
      <c r="D312" s="25"/>
    </row>
    <row r="313">
      <c r="C313" s="24"/>
      <c r="D313" s="25"/>
    </row>
    <row r="314">
      <c r="C314" s="24"/>
      <c r="D314" s="25"/>
    </row>
    <row r="315">
      <c r="C315" s="24"/>
      <c r="D315" s="25"/>
    </row>
    <row r="316">
      <c r="C316" s="24"/>
      <c r="D316" s="25"/>
    </row>
    <row r="317">
      <c r="C317" s="24"/>
      <c r="D317" s="25"/>
    </row>
    <row r="318">
      <c r="C318" s="24"/>
      <c r="D318" s="25"/>
    </row>
    <row r="319">
      <c r="C319" s="24"/>
      <c r="D319" s="25"/>
    </row>
    <row r="320">
      <c r="C320" s="24"/>
      <c r="D320" s="25"/>
    </row>
    <row r="321">
      <c r="C321" s="24"/>
      <c r="D321" s="25"/>
    </row>
    <row r="322">
      <c r="C322" s="24"/>
      <c r="D322" s="25"/>
    </row>
    <row r="323">
      <c r="C323" s="24"/>
      <c r="D323" s="25"/>
    </row>
    <row r="324">
      <c r="C324" s="24"/>
      <c r="D324" s="25"/>
    </row>
    <row r="325">
      <c r="C325" s="24"/>
      <c r="D325" s="25"/>
    </row>
    <row r="326">
      <c r="C326" s="24"/>
      <c r="D326" s="25"/>
    </row>
    <row r="327">
      <c r="C327" s="24"/>
      <c r="D327" s="25"/>
    </row>
    <row r="328">
      <c r="C328" s="24"/>
      <c r="D328" s="25"/>
    </row>
    <row r="329">
      <c r="C329" s="24"/>
      <c r="D329" s="25"/>
    </row>
    <row r="330">
      <c r="C330" s="24"/>
      <c r="D330" s="25"/>
    </row>
    <row r="331">
      <c r="C331" s="24"/>
      <c r="D331" s="25"/>
    </row>
    <row r="332">
      <c r="C332" s="24"/>
      <c r="D332" s="25"/>
    </row>
    <row r="333">
      <c r="C333" s="24"/>
      <c r="D333" s="25"/>
    </row>
    <row r="334">
      <c r="C334" s="24"/>
      <c r="D334" s="25"/>
    </row>
    <row r="335">
      <c r="C335" s="24"/>
      <c r="D335" s="25"/>
    </row>
    <row r="336">
      <c r="C336" s="24"/>
      <c r="D336" s="25"/>
    </row>
    <row r="337">
      <c r="C337" s="24"/>
      <c r="D337" s="25"/>
    </row>
    <row r="338">
      <c r="C338" s="24"/>
      <c r="D338" s="25"/>
    </row>
    <row r="339">
      <c r="C339" s="24"/>
      <c r="D339" s="25"/>
    </row>
    <row r="340">
      <c r="C340" s="24"/>
      <c r="D340" s="25"/>
    </row>
    <row r="341">
      <c r="C341" s="24"/>
      <c r="D341" s="25"/>
    </row>
    <row r="342">
      <c r="C342" s="24"/>
      <c r="D342" s="25"/>
    </row>
    <row r="343">
      <c r="C343" s="24"/>
      <c r="D343" s="25"/>
    </row>
    <row r="344">
      <c r="C344" s="24"/>
      <c r="D344" s="25"/>
    </row>
    <row r="345">
      <c r="C345" s="24"/>
      <c r="D345" s="25"/>
    </row>
    <row r="346">
      <c r="C346" s="24"/>
      <c r="D346" s="25"/>
    </row>
    <row r="347">
      <c r="C347" s="24"/>
      <c r="D347" s="25"/>
    </row>
    <row r="348">
      <c r="C348" s="24"/>
      <c r="D348" s="25"/>
    </row>
    <row r="349">
      <c r="C349" s="24"/>
      <c r="D349" s="25"/>
    </row>
    <row r="350">
      <c r="C350" s="24"/>
      <c r="D350" s="25"/>
    </row>
    <row r="351">
      <c r="C351" s="24"/>
      <c r="D351" s="25"/>
    </row>
    <row r="352">
      <c r="C352" s="24"/>
      <c r="D352" s="25"/>
    </row>
    <row r="353">
      <c r="C353" s="24"/>
      <c r="D353" s="25"/>
    </row>
    <row r="354">
      <c r="C354" s="24"/>
      <c r="D354" s="25"/>
    </row>
    <row r="355">
      <c r="C355" s="24"/>
      <c r="D355" s="25"/>
    </row>
    <row r="356">
      <c r="C356" s="24"/>
      <c r="D356" s="25"/>
    </row>
    <row r="357">
      <c r="C357" s="24"/>
      <c r="D357" s="25"/>
    </row>
    <row r="358">
      <c r="C358" s="24"/>
      <c r="D358" s="25"/>
    </row>
    <row r="359">
      <c r="C359" s="24"/>
      <c r="D359" s="25"/>
    </row>
    <row r="360">
      <c r="C360" s="24"/>
      <c r="D360" s="25"/>
    </row>
    <row r="361">
      <c r="C361" s="24"/>
      <c r="D361" s="25"/>
    </row>
    <row r="362">
      <c r="C362" s="24"/>
      <c r="D362" s="25"/>
    </row>
    <row r="363">
      <c r="C363" s="24"/>
      <c r="D363" s="25"/>
    </row>
    <row r="364">
      <c r="C364" s="24"/>
      <c r="D364" s="25"/>
    </row>
    <row r="365">
      <c r="C365" s="24"/>
      <c r="D365" s="25"/>
    </row>
    <row r="366">
      <c r="C366" s="24"/>
      <c r="D366" s="25"/>
    </row>
    <row r="367">
      <c r="C367" s="24"/>
      <c r="D367" s="25"/>
    </row>
    <row r="368">
      <c r="C368" s="24"/>
      <c r="D368" s="25"/>
    </row>
    <row r="369">
      <c r="C369" s="24"/>
      <c r="D369" s="25"/>
    </row>
    <row r="370">
      <c r="C370" s="24"/>
      <c r="D370" s="25"/>
    </row>
    <row r="371">
      <c r="C371" s="24"/>
      <c r="D371" s="25"/>
    </row>
    <row r="372">
      <c r="C372" s="24"/>
      <c r="D372" s="25"/>
    </row>
    <row r="373">
      <c r="C373" s="24"/>
      <c r="D373" s="25"/>
    </row>
    <row r="374">
      <c r="C374" s="24"/>
      <c r="D374" s="25"/>
    </row>
    <row r="375">
      <c r="C375" s="24"/>
      <c r="D375" s="25"/>
    </row>
    <row r="376">
      <c r="C376" s="24"/>
      <c r="D376" s="25"/>
    </row>
    <row r="377">
      <c r="C377" s="24"/>
      <c r="D377" s="25"/>
    </row>
    <row r="378">
      <c r="C378" s="24"/>
      <c r="D378" s="25"/>
    </row>
    <row r="379">
      <c r="C379" s="24"/>
      <c r="D379" s="25"/>
    </row>
    <row r="380">
      <c r="C380" s="24"/>
      <c r="D380" s="25"/>
    </row>
    <row r="381">
      <c r="C381" s="24"/>
      <c r="D381" s="25"/>
    </row>
    <row r="382">
      <c r="C382" s="24"/>
      <c r="D382" s="25"/>
    </row>
    <row r="383">
      <c r="C383" s="24"/>
      <c r="D383" s="25"/>
    </row>
    <row r="384">
      <c r="C384" s="24"/>
      <c r="D384" s="25"/>
    </row>
    <row r="385">
      <c r="C385" s="24"/>
      <c r="D385" s="25"/>
    </row>
    <row r="386">
      <c r="C386" s="24"/>
      <c r="D386" s="25"/>
    </row>
    <row r="387">
      <c r="C387" s="24"/>
      <c r="D387" s="25"/>
    </row>
    <row r="388">
      <c r="C388" s="24"/>
      <c r="D388" s="25"/>
    </row>
    <row r="389">
      <c r="C389" s="24"/>
      <c r="D389" s="25"/>
    </row>
    <row r="390">
      <c r="C390" s="24"/>
      <c r="D390" s="25"/>
    </row>
    <row r="391">
      <c r="C391" s="24"/>
      <c r="D391" s="25"/>
    </row>
    <row r="392">
      <c r="C392" s="24"/>
      <c r="D392" s="25"/>
    </row>
    <row r="393">
      <c r="C393" s="24"/>
      <c r="D393" s="25"/>
    </row>
    <row r="394">
      <c r="C394" s="24"/>
      <c r="D394" s="25"/>
    </row>
    <row r="395">
      <c r="C395" s="24"/>
      <c r="D395" s="25"/>
    </row>
    <row r="396">
      <c r="C396" s="24"/>
      <c r="D396" s="25"/>
    </row>
    <row r="397">
      <c r="C397" s="24"/>
      <c r="D397" s="25"/>
    </row>
    <row r="398">
      <c r="C398" s="24"/>
      <c r="D398" s="25"/>
    </row>
    <row r="399">
      <c r="C399" s="24"/>
      <c r="D399" s="25"/>
    </row>
    <row r="400">
      <c r="C400" s="24"/>
      <c r="D400" s="25"/>
    </row>
    <row r="401">
      <c r="C401" s="24"/>
      <c r="D401" s="25"/>
    </row>
    <row r="402">
      <c r="C402" s="24"/>
      <c r="D402" s="25"/>
    </row>
    <row r="403">
      <c r="C403" s="24"/>
      <c r="D403" s="25"/>
    </row>
    <row r="404">
      <c r="C404" s="24"/>
      <c r="D404" s="25"/>
    </row>
    <row r="405">
      <c r="C405" s="24"/>
      <c r="D405" s="25"/>
    </row>
    <row r="406">
      <c r="C406" s="24"/>
      <c r="D406" s="25"/>
    </row>
    <row r="407">
      <c r="C407" s="24"/>
      <c r="D407" s="25"/>
    </row>
    <row r="408">
      <c r="C408" s="24"/>
      <c r="D408" s="25"/>
    </row>
    <row r="409">
      <c r="C409" s="24"/>
      <c r="D409" s="25"/>
    </row>
    <row r="410">
      <c r="C410" s="24"/>
      <c r="D410" s="25"/>
    </row>
    <row r="411">
      <c r="C411" s="24"/>
      <c r="D411" s="25"/>
    </row>
    <row r="412">
      <c r="C412" s="24"/>
      <c r="D412" s="25"/>
    </row>
    <row r="413">
      <c r="C413" s="24"/>
      <c r="D413" s="25"/>
    </row>
    <row r="414">
      <c r="C414" s="24"/>
      <c r="D414" s="25"/>
    </row>
    <row r="415">
      <c r="C415" s="24"/>
      <c r="D415" s="25"/>
    </row>
    <row r="416">
      <c r="C416" s="24"/>
      <c r="D416" s="25"/>
    </row>
    <row r="417">
      <c r="C417" s="24"/>
      <c r="D417" s="25"/>
    </row>
    <row r="418">
      <c r="C418" s="24"/>
      <c r="D418" s="25"/>
    </row>
    <row r="419">
      <c r="C419" s="24"/>
      <c r="D419" s="25"/>
    </row>
    <row r="420">
      <c r="C420" s="24"/>
      <c r="D420" s="25"/>
    </row>
    <row r="421">
      <c r="C421" s="24"/>
      <c r="D421" s="25"/>
    </row>
    <row r="422">
      <c r="C422" s="24"/>
      <c r="D422" s="25"/>
    </row>
    <row r="423">
      <c r="C423" s="24"/>
      <c r="D423" s="25"/>
    </row>
    <row r="424">
      <c r="C424" s="24"/>
      <c r="D424" s="25"/>
    </row>
    <row r="425">
      <c r="C425" s="24"/>
      <c r="D425" s="25"/>
    </row>
    <row r="426">
      <c r="C426" s="24"/>
      <c r="D426" s="25"/>
    </row>
    <row r="427">
      <c r="C427" s="24"/>
      <c r="D427" s="25"/>
    </row>
    <row r="428">
      <c r="C428" s="24"/>
      <c r="D428" s="25"/>
    </row>
    <row r="429">
      <c r="C429" s="24"/>
      <c r="D429" s="25"/>
    </row>
    <row r="430">
      <c r="C430" s="24"/>
      <c r="D430" s="25"/>
    </row>
    <row r="431">
      <c r="C431" s="24"/>
      <c r="D431" s="25"/>
    </row>
    <row r="432">
      <c r="C432" s="24"/>
      <c r="D432" s="25"/>
    </row>
    <row r="433">
      <c r="C433" s="24"/>
      <c r="D433" s="25"/>
    </row>
    <row r="434">
      <c r="C434" s="24"/>
      <c r="D434" s="25"/>
    </row>
    <row r="435">
      <c r="C435" s="24"/>
      <c r="D435" s="25"/>
    </row>
    <row r="436">
      <c r="C436" s="24"/>
      <c r="D436" s="25"/>
    </row>
    <row r="437">
      <c r="C437" s="24"/>
      <c r="D437" s="25"/>
    </row>
    <row r="438">
      <c r="C438" s="24"/>
      <c r="D438" s="25"/>
    </row>
    <row r="439">
      <c r="C439" s="24"/>
      <c r="D439" s="25"/>
    </row>
    <row r="440">
      <c r="C440" s="24"/>
      <c r="D440" s="25"/>
    </row>
    <row r="441">
      <c r="C441" s="24"/>
      <c r="D441" s="25"/>
    </row>
    <row r="442">
      <c r="C442" s="24"/>
      <c r="D442" s="25"/>
    </row>
    <row r="443">
      <c r="C443" s="24"/>
      <c r="D443" s="25"/>
    </row>
    <row r="444">
      <c r="C444" s="24"/>
      <c r="D444" s="25"/>
    </row>
    <row r="445">
      <c r="C445" s="24"/>
      <c r="D445" s="25"/>
    </row>
    <row r="446">
      <c r="C446" s="24"/>
      <c r="D446" s="25"/>
    </row>
    <row r="447">
      <c r="C447" s="24"/>
      <c r="D447" s="25"/>
    </row>
    <row r="448">
      <c r="C448" s="24"/>
      <c r="D448" s="25"/>
    </row>
    <row r="449">
      <c r="C449" s="24"/>
      <c r="D449" s="25"/>
    </row>
    <row r="450">
      <c r="C450" s="24"/>
      <c r="D450" s="25"/>
    </row>
    <row r="451">
      <c r="C451" s="24"/>
      <c r="D451" s="25"/>
    </row>
    <row r="452">
      <c r="C452" s="24"/>
      <c r="D452" s="25"/>
    </row>
    <row r="453">
      <c r="C453" s="24"/>
      <c r="D453" s="25"/>
    </row>
    <row r="454">
      <c r="C454" s="24"/>
      <c r="D454" s="25"/>
    </row>
    <row r="455">
      <c r="C455" s="24"/>
      <c r="D455" s="25"/>
    </row>
    <row r="456">
      <c r="C456" s="24"/>
      <c r="D456" s="25"/>
    </row>
    <row r="457">
      <c r="C457" s="24"/>
      <c r="D457" s="25"/>
    </row>
    <row r="458">
      <c r="C458" s="24"/>
      <c r="D458" s="25"/>
    </row>
    <row r="459">
      <c r="C459" s="24"/>
      <c r="D459" s="25"/>
    </row>
    <row r="460">
      <c r="C460" s="24"/>
      <c r="D460" s="25"/>
    </row>
    <row r="461">
      <c r="C461" s="24"/>
      <c r="D461" s="25"/>
    </row>
    <row r="462">
      <c r="C462" s="24"/>
      <c r="D462" s="25"/>
    </row>
    <row r="463">
      <c r="C463" s="24"/>
      <c r="D463" s="25"/>
    </row>
    <row r="464">
      <c r="C464" s="24"/>
      <c r="D464" s="25"/>
    </row>
    <row r="465">
      <c r="C465" s="24"/>
      <c r="D465" s="25"/>
    </row>
    <row r="466">
      <c r="C466" s="24"/>
      <c r="D466" s="25"/>
    </row>
    <row r="467">
      <c r="C467" s="24"/>
      <c r="D467" s="25"/>
    </row>
    <row r="468">
      <c r="C468" s="24"/>
      <c r="D468" s="25"/>
    </row>
    <row r="469">
      <c r="C469" s="24"/>
      <c r="D469" s="25"/>
    </row>
    <row r="470">
      <c r="C470" s="24"/>
      <c r="D470" s="25"/>
    </row>
    <row r="471">
      <c r="C471" s="24"/>
      <c r="D471" s="25"/>
    </row>
    <row r="472">
      <c r="C472" s="24"/>
      <c r="D472" s="25"/>
    </row>
    <row r="473">
      <c r="C473" s="24"/>
      <c r="D473" s="25"/>
    </row>
    <row r="474">
      <c r="C474" s="24"/>
      <c r="D474" s="25"/>
    </row>
    <row r="475">
      <c r="C475" s="24"/>
      <c r="D475" s="25"/>
    </row>
    <row r="476">
      <c r="C476" s="24"/>
      <c r="D476" s="25"/>
    </row>
    <row r="477">
      <c r="C477" s="24"/>
      <c r="D477" s="25"/>
    </row>
    <row r="478">
      <c r="C478" s="24"/>
      <c r="D478" s="25"/>
    </row>
    <row r="479">
      <c r="C479" s="24"/>
      <c r="D479" s="25"/>
    </row>
    <row r="480">
      <c r="C480" s="24"/>
      <c r="D480" s="25"/>
    </row>
    <row r="481">
      <c r="C481" s="24"/>
      <c r="D481" s="25"/>
    </row>
    <row r="482">
      <c r="C482" s="24"/>
      <c r="D482" s="25"/>
    </row>
    <row r="483">
      <c r="C483" s="24"/>
      <c r="D483" s="25"/>
    </row>
    <row r="484">
      <c r="C484" s="24"/>
      <c r="D484" s="25"/>
    </row>
    <row r="485">
      <c r="C485" s="24"/>
      <c r="D485" s="25"/>
    </row>
    <row r="486">
      <c r="C486" s="24"/>
      <c r="D486" s="25"/>
    </row>
    <row r="487">
      <c r="C487" s="24"/>
      <c r="D487" s="25"/>
    </row>
    <row r="488">
      <c r="C488" s="24"/>
      <c r="D488" s="25"/>
    </row>
    <row r="489">
      <c r="C489" s="24"/>
      <c r="D489" s="25"/>
    </row>
    <row r="490">
      <c r="C490" s="24"/>
      <c r="D490" s="25"/>
    </row>
    <row r="491">
      <c r="C491" s="24"/>
      <c r="D491" s="25"/>
    </row>
    <row r="492">
      <c r="C492" s="24"/>
      <c r="D492" s="25"/>
    </row>
    <row r="493">
      <c r="C493" s="24"/>
      <c r="D493" s="25"/>
    </row>
    <row r="494">
      <c r="C494" s="24"/>
      <c r="D494" s="25"/>
    </row>
    <row r="495">
      <c r="C495" s="24"/>
      <c r="D495" s="25"/>
    </row>
    <row r="496">
      <c r="C496" s="24"/>
      <c r="D496" s="25"/>
    </row>
    <row r="497">
      <c r="C497" s="24"/>
      <c r="D497" s="25"/>
    </row>
    <row r="498">
      <c r="C498" s="24"/>
      <c r="D498" s="25"/>
    </row>
    <row r="499">
      <c r="C499" s="24"/>
      <c r="D499" s="25"/>
    </row>
    <row r="500">
      <c r="C500" s="24"/>
      <c r="D500" s="25"/>
    </row>
    <row r="501">
      <c r="C501" s="24"/>
      <c r="D501" s="25"/>
    </row>
    <row r="502">
      <c r="C502" s="24"/>
      <c r="D502" s="25"/>
    </row>
    <row r="503">
      <c r="C503" s="24"/>
      <c r="D503" s="25"/>
    </row>
    <row r="504">
      <c r="C504" s="24"/>
      <c r="D504" s="25"/>
    </row>
    <row r="505">
      <c r="C505" s="24"/>
      <c r="D505" s="25"/>
    </row>
    <row r="506">
      <c r="C506" s="24"/>
      <c r="D506" s="25"/>
    </row>
    <row r="507">
      <c r="C507" s="24"/>
      <c r="D507" s="25"/>
    </row>
    <row r="508">
      <c r="C508" s="24"/>
      <c r="D508" s="25"/>
    </row>
    <row r="509">
      <c r="C509" s="24"/>
      <c r="D509" s="25"/>
    </row>
    <row r="510">
      <c r="C510" s="24"/>
      <c r="D510" s="25"/>
    </row>
    <row r="511">
      <c r="C511" s="24"/>
      <c r="D511" s="25"/>
    </row>
    <row r="512">
      <c r="C512" s="24"/>
      <c r="D512" s="25"/>
    </row>
    <row r="513">
      <c r="C513" s="24"/>
      <c r="D513" s="25"/>
    </row>
    <row r="514">
      <c r="C514" s="24"/>
      <c r="D514" s="25"/>
    </row>
    <row r="515">
      <c r="C515" s="24"/>
      <c r="D515" s="25"/>
    </row>
    <row r="516">
      <c r="C516" s="24"/>
      <c r="D516" s="25"/>
    </row>
    <row r="517">
      <c r="C517" s="24"/>
      <c r="D517" s="25"/>
    </row>
    <row r="518">
      <c r="C518" s="24"/>
      <c r="D518" s="25"/>
    </row>
    <row r="519">
      <c r="C519" s="24"/>
      <c r="D519" s="25"/>
    </row>
    <row r="520">
      <c r="C520" s="24"/>
      <c r="D520" s="25"/>
    </row>
    <row r="521">
      <c r="C521" s="24"/>
      <c r="D521" s="25"/>
    </row>
    <row r="522">
      <c r="C522" s="24"/>
      <c r="D522" s="25"/>
    </row>
    <row r="523">
      <c r="C523" s="24"/>
      <c r="D523" s="25"/>
    </row>
    <row r="524">
      <c r="C524" s="24"/>
      <c r="D524" s="25"/>
    </row>
    <row r="525">
      <c r="C525" s="24"/>
      <c r="D525" s="25"/>
    </row>
    <row r="526">
      <c r="C526" s="24"/>
      <c r="D526" s="25"/>
    </row>
    <row r="527">
      <c r="C527" s="24"/>
      <c r="D527" s="25"/>
    </row>
    <row r="528">
      <c r="C528" s="24"/>
      <c r="D528" s="25"/>
    </row>
    <row r="529">
      <c r="C529" s="24"/>
      <c r="D529" s="25"/>
    </row>
    <row r="530">
      <c r="C530" s="24"/>
      <c r="D530" s="25"/>
    </row>
    <row r="531">
      <c r="C531" s="24"/>
      <c r="D531" s="25"/>
    </row>
    <row r="532">
      <c r="C532" s="24"/>
      <c r="D532" s="25"/>
    </row>
    <row r="533">
      <c r="C533" s="24"/>
      <c r="D533" s="25"/>
    </row>
    <row r="534">
      <c r="C534" s="24"/>
      <c r="D534" s="25"/>
    </row>
    <row r="535">
      <c r="C535" s="24"/>
      <c r="D535" s="25"/>
    </row>
    <row r="536">
      <c r="C536" s="24"/>
      <c r="D536" s="25"/>
    </row>
    <row r="537">
      <c r="C537" s="24"/>
      <c r="D537" s="25"/>
    </row>
    <row r="538">
      <c r="C538" s="24"/>
      <c r="D538" s="25"/>
    </row>
    <row r="539">
      <c r="C539" s="24"/>
      <c r="D539" s="25"/>
    </row>
    <row r="540">
      <c r="C540" s="24"/>
      <c r="D540" s="25"/>
    </row>
    <row r="541">
      <c r="C541" s="24"/>
      <c r="D541" s="25"/>
    </row>
    <row r="542">
      <c r="C542" s="24"/>
      <c r="D542" s="25"/>
    </row>
    <row r="543">
      <c r="C543" s="24"/>
      <c r="D543" s="25"/>
    </row>
    <row r="544">
      <c r="C544" s="24"/>
      <c r="D544" s="25"/>
    </row>
    <row r="545">
      <c r="C545" s="24"/>
      <c r="D545" s="25"/>
    </row>
    <row r="546">
      <c r="C546" s="24"/>
      <c r="D546" s="25"/>
    </row>
    <row r="547">
      <c r="C547" s="24"/>
      <c r="D547" s="25"/>
    </row>
    <row r="548">
      <c r="C548" s="24"/>
      <c r="D548" s="25"/>
    </row>
    <row r="549">
      <c r="C549" s="24"/>
      <c r="D549" s="25"/>
    </row>
    <row r="550">
      <c r="C550" s="24"/>
      <c r="D550" s="25"/>
    </row>
    <row r="551">
      <c r="C551" s="24"/>
      <c r="D551" s="25"/>
    </row>
    <row r="552">
      <c r="C552" s="24"/>
      <c r="D552" s="25"/>
    </row>
    <row r="553">
      <c r="C553" s="24"/>
      <c r="D553" s="25"/>
    </row>
    <row r="554">
      <c r="C554" s="24"/>
      <c r="D554" s="25"/>
    </row>
    <row r="555">
      <c r="C555" s="24"/>
      <c r="D555" s="25"/>
    </row>
    <row r="556">
      <c r="C556" s="24"/>
      <c r="D556" s="25"/>
    </row>
    <row r="557">
      <c r="C557" s="24"/>
      <c r="D557" s="25"/>
    </row>
    <row r="558">
      <c r="C558" s="24"/>
      <c r="D558" s="25"/>
    </row>
    <row r="559">
      <c r="C559" s="24"/>
      <c r="D559" s="25"/>
    </row>
    <row r="560">
      <c r="C560" s="24"/>
      <c r="D560" s="25"/>
    </row>
    <row r="561">
      <c r="C561" s="24"/>
      <c r="D561" s="25"/>
    </row>
    <row r="562">
      <c r="C562" s="24"/>
      <c r="D562" s="25"/>
    </row>
    <row r="563">
      <c r="C563" s="24"/>
      <c r="D563" s="25"/>
    </row>
    <row r="564">
      <c r="C564" s="24"/>
      <c r="D564" s="25"/>
    </row>
    <row r="565">
      <c r="C565" s="24"/>
      <c r="D565" s="25"/>
    </row>
    <row r="566">
      <c r="C566" s="24"/>
      <c r="D566" s="25"/>
    </row>
    <row r="567">
      <c r="C567" s="24"/>
      <c r="D567" s="25"/>
    </row>
    <row r="568">
      <c r="C568" s="24"/>
      <c r="D568" s="25"/>
    </row>
    <row r="569">
      <c r="C569" s="24"/>
      <c r="D569" s="25"/>
    </row>
    <row r="570">
      <c r="C570" s="24"/>
      <c r="D570" s="25"/>
    </row>
    <row r="571">
      <c r="C571" s="24"/>
      <c r="D571" s="25"/>
    </row>
    <row r="572">
      <c r="C572" s="24"/>
      <c r="D572" s="25"/>
    </row>
    <row r="573">
      <c r="C573" s="24"/>
      <c r="D573" s="25"/>
    </row>
    <row r="574">
      <c r="C574" s="24"/>
      <c r="D574" s="25"/>
    </row>
    <row r="575">
      <c r="C575" s="24"/>
      <c r="D575" s="25"/>
    </row>
    <row r="576">
      <c r="C576" s="24"/>
      <c r="D576" s="25"/>
    </row>
    <row r="577">
      <c r="C577" s="24"/>
      <c r="D577" s="25"/>
    </row>
    <row r="578">
      <c r="C578" s="24"/>
      <c r="D578" s="25"/>
    </row>
    <row r="579">
      <c r="C579" s="24"/>
      <c r="D579" s="25"/>
    </row>
    <row r="580">
      <c r="C580" s="24"/>
      <c r="D580" s="25"/>
    </row>
    <row r="581">
      <c r="C581" s="24"/>
      <c r="D581" s="25"/>
    </row>
    <row r="582">
      <c r="C582" s="24"/>
      <c r="D582" s="25"/>
    </row>
    <row r="583">
      <c r="C583" s="24"/>
      <c r="D583" s="25"/>
    </row>
    <row r="584">
      <c r="C584" s="24"/>
      <c r="D584" s="25"/>
    </row>
    <row r="585">
      <c r="C585" s="24"/>
      <c r="D585" s="25"/>
    </row>
    <row r="586">
      <c r="C586" s="24"/>
      <c r="D586" s="25"/>
    </row>
    <row r="587">
      <c r="C587" s="24"/>
      <c r="D587" s="25"/>
    </row>
    <row r="588">
      <c r="C588" s="24"/>
      <c r="D588" s="25"/>
    </row>
    <row r="589">
      <c r="C589" s="24"/>
      <c r="D589" s="25"/>
    </row>
    <row r="590">
      <c r="C590" s="24"/>
      <c r="D590" s="25"/>
    </row>
    <row r="591">
      <c r="C591" s="24"/>
      <c r="D591" s="25"/>
    </row>
    <row r="592">
      <c r="C592" s="24"/>
      <c r="D592" s="25"/>
    </row>
    <row r="593">
      <c r="C593" s="24"/>
      <c r="D593" s="25"/>
    </row>
    <row r="594">
      <c r="C594" s="24"/>
      <c r="D594" s="25"/>
    </row>
    <row r="595">
      <c r="C595" s="24"/>
      <c r="D595" s="25"/>
    </row>
    <row r="596">
      <c r="C596" s="24"/>
      <c r="D596" s="25"/>
    </row>
    <row r="597">
      <c r="C597" s="24"/>
      <c r="D597" s="25"/>
    </row>
    <row r="598">
      <c r="C598" s="24"/>
      <c r="D598" s="25"/>
    </row>
    <row r="599">
      <c r="C599" s="24"/>
      <c r="D599" s="25"/>
    </row>
    <row r="600">
      <c r="C600" s="24"/>
      <c r="D600" s="25"/>
    </row>
    <row r="601">
      <c r="C601" s="24"/>
      <c r="D601" s="25"/>
    </row>
    <row r="602">
      <c r="C602" s="24"/>
      <c r="D602" s="25"/>
    </row>
    <row r="603">
      <c r="C603" s="24"/>
      <c r="D603" s="25"/>
    </row>
    <row r="604">
      <c r="C604" s="24"/>
      <c r="D604" s="25"/>
    </row>
    <row r="605">
      <c r="C605" s="24"/>
      <c r="D605" s="25"/>
    </row>
    <row r="606">
      <c r="C606" s="24"/>
      <c r="D606" s="25"/>
    </row>
    <row r="607">
      <c r="C607" s="24"/>
      <c r="D607" s="25"/>
    </row>
    <row r="608">
      <c r="C608" s="24"/>
      <c r="D608" s="25"/>
    </row>
    <row r="609">
      <c r="C609" s="24"/>
      <c r="D609" s="25"/>
    </row>
    <row r="610">
      <c r="C610" s="24"/>
      <c r="D610" s="25"/>
    </row>
    <row r="611">
      <c r="C611" s="24"/>
      <c r="D611" s="25"/>
    </row>
    <row r="612">
      <c r="C612" s="24"/>
      <c r="D612" s="25"/>
    </row>
    <row r="613">
      <c r="C613" s="24"/>
      <c r="D613" s="25"/>
    </row>
    <row r="614">
      <c r="C614" s="24"/>
      <c r="D614" s="25"/>
    </row>
    <row r="615">
      <c r="C615" s="24"/>
      <c r="D615" s="25"/>
    </row>
    <row r="616">
      <c r="C616" s="24"/>
      <c r="D616" s="25"/>
    </row>
    <row r="617">
      <c r="C617" s="24"/>
      <c r="D617" s="25"/>
    </row>
    <row r="618">
      <c r="C618" s="24"/>
      <c r="D618" s="25"/>
    </row>
    <row r="619">
      <c r="C619" s="24"/>
      <c r="D619" s="25"/>
    </row>
    <row r="620">
      <c r="C620" s="24"/>
      <c r="D620" s="25"/>
    </row>
    <row r="621">
      <c r="C621" s="24"/>
      <c r="D621" s="25"/>
    </row>
    <row r="622">
      <c r="C622" s="24"/>
      <c r="D622" s="25"/>
    </row>
    <row r="623">
      <c r="C623" s="24"/>
      <c r="D623" s="25"/>
    </row>
    <row r="624">
      <c r="C624" s="24"/>
      <c r="D624" s="25"/>
    </row>
    <row r="625">
      <c r="C625" s="24"/>
      <c r="D625" s="25"/>
    </row>
    <row r="626">
      <c r="C626" s="24"/>
      <c r="D626" s="25"/>
    </row>
    <row r="627">
      <c r="C627" s="24"/>
      <c r="D627" s="25"/>
    </row>
    <row r="628">
      <c r="C628" s="24"/>
      <c r="D628" s="25"/>
    </row>
    <row r="629">
      <c r="C629" s="24"/>
      <c r="D629" s="25"/>
    </row>
    <row r="630">
      <c r="C630" s="24"/>
      <c r="D630" s="25"/>
    </row>
    <row r="631">
      <c r="C631" s="24"/>
      <c r="D631" s="25"/>
    </row>
    <row r="632">
      <c r="C632" s="24"/>
      <c r="D632" s="25"/>
    </row>
    <row r="633">
      <c r="C633" s="24"/>
      <c r="D633" s="25"/>
    </row>
    <row r="634">
      <c r="C634" s="24"/>
      <c r="D634" s="25"/>
    </row>
    <row r="635">
      <c r="C635" s="24"/>
      <c r="D635" s="25"/>
    </row>
    <row r="636">
      <c r="C636" s="24"/>
      <c r="D636" s="25"/>
    </row>
    <row r="637">
      <c r="C637" s="24"/>
      <c r="D637" s="25"/>
    </row>
    <row r="638">
      <c r="C638" s="24"/>
      <c r="D638" s="25"/>
    </row>
    <row r="639">
      <c r="C639" s="24"/>
      <c r="D639" s="25"/>
    </row>
    <row r="640">
      <c r="C640" s="24"/>
      <c r="D640" s="25"/>
    </row>
    <row r="641">
      <c r="C641" s="24"/>
      <c r="D641" s="25"/>
    </row>
    <row r="642">
      <c r="C642" s="24"/>
      <c r="D642" s="25"/>
    </row>
    <row r="643">
      <c r="C643" s="24"/>
      <c r="D643" s="25"/>
    </row>
    <row r="644">
      <c r="C644" s="24"/>
      <c r="D644" s="25"/>
    </row>
    <row r="645">
      <c r="C645" s="24"/>
      <c r="D645" s="25"/>
    </row>
    <row r="646">
      <c r="C646" s="24"/>
      <c r="D646" s="25"/>
    </row>
    <row r="647">
      <c r="C647" s="24"/>
      <c r="D647" s="25"/>
    </row>
    <row r="648">
      <c r="C648" s="24"/>
      <c r="D648" s="25"/>
    </row>
    <row r="649">
      <c r="C649" s="24"/>
      <c r="D649" s="25"/>
    </row>
    <row r="650">
      <c r="C650" s="24"/>
      <c r="D650" s="25"/>
    </row>
    <row r="651">
      <c r="C651" s="24"/>
      <c r="D651" s="25"/>
    </row>
    <row r="652">
      <c r="C652" s="24"/>
      <c r="D652" s="25"/>
    </row>
    <row r="653">
      <c r="C653" s="24"/>
      <c r="D653" s="25"/>
    </row>
    <row r="654">
      <c r="C654" s="24"/>
      <c r="D654" s="25"/>
    </row>
    <row r="655">
      <c r="C655" s="24"/>
      <c r="D655" s="25"/>
    </row>
    <row r="656">
      <c r="C656" s="24"/>
      <c r="D656" s="25"/>
    </row>
    <row r="657">
      <c r="C657" s="24"/>
      <c r="D657" s="25"/>
    </row>
    <row r="658">
      <c r="C658" s="24"/>
      <c r="D658" s="25"/>
    </row>
    <row r="659">
      <c r="C659" s="24"/>
      <c r="D659" s="25"/>
    </row>
    <row r="660">
      <c r="C660" s="24"/>
      <c r="D660" s="25"/>
    </row>
    <row r="661">
      <c r="C661" s="24"/>
      <c r="D661" s="25"/>
    </row>
    <row r="662">
      <c r="C662" s="24"/>
      <c r="D662" s="25"/>
    </row>
    <row r="663">
      <c r="C663" s="24"/>
      <c r="D663" s="25"/>
    </row>
    <row r="664">
      <c r="C664" s="24"/>
      <c r="D664" s="25"/>
    </row>
    <row r="665">
      <c r="C665" s="24"/>
      <c r="D665" s="25"/>
    </row>
    <row r="666">
      <c r="C666" s="24"/>
      <c r="D666" s="25"/>
    </row>
    <row r="667">
      <c r="C667" s="24"/>
      <c r="D667" s="25"/>
    </row>
    <row r="668">
      <c r="C668" s="24"/>
      <c r="D668" s="25"/>
    </row>
    <row r="669">
      <c r="C669" s="24"/>
      <c r="D669" s="25"/>
    </row>
    <row r="670">
      <c r="C670" s="24"/>
      <c r="D670" s="25"/>
    </row>
    <row r="671">
      <c r="C671" s="24"/>
      <c r="D671" s="25"/>
    </row>
    <row r="672">
      <c r="C672" s="24"/>
      <c r="D672" s="25"/>
    </row>
    <row r="673">
      <c r="C673" s="24"/>
      <c r="D673" s="25"/>
    </row>
    <row r="674">
      <c r="C674" s="24"/>
      <c r="D674" s="25"/>
    </row>
    <row r="675">
      <c r="C675" s="24"/>
      <c r="D675" s="25"/>
    </row>
    <row r="676">
      <c r="C676" s="24"/>
      <c r="D676" s="25"/>
    </row>
    <row r="677">
      <c r="C677" s="24"/>
      <c r="D677" s="25"/>
    </row>
    <row r="678">
      <c r="C678" s="24"/>
      <c r="D678" s="25"/>
    </row>
    <row r="679">
      <c r="C679" s="24"/>
      <c r="D679" s="25"/>
    </row>
    <row r="680">
      <c r="C680" s="24"/>
      <c r="D680" s="25"/>
    </row>
    <row r="681">
      <c r="C681" s="24"/>
      <c r="D681" s="25"/>
    </row>
    <row r="682">
      <c r="C682" s="24"/>
      <c r="D682" s="25"/>
    </row>
    <row r="683">
      <c r="C683" s="24"/>
      <c r="D683" s="25"/>
    </row>
    <row r="684">
      <c r="C684" s="24"/>
      <c r="D684" s="25"/>
    </row>
    <row r="685">
      <c r="C685" s="24"/>
      <c r="D685" s="25"/>
    </row>
    <row r="686">
      <c r="C686" s="24"/>
      <c r="D686" s="25"/>
    </row>
    <row r="687">
      <c r="C687" s="24"/>
      <c r="D687" s="25"/>
    </row>
    <row r="688">
      <c r="C688" s="24"/>
      <c r="D688" s="25"/>
    </row>
    <row r="689">
      <c r="C689" s="24"/>
      <c r="D689" s="25"/>
    </row>
    <row r="690">
      <c r="C690" s="24"/>
      <c r="D690" s="25"/>
    </row>
    <row r="691">
      <c r="C691" s="24"/>
      <c r="D691" s="25"/>
    </row>
    <row r="692">
      <c r="C692" s="24"/>
      <c r="D692" s="25"/>
    </row>
    <row r="693">
      <c r="C693" s="24"/>
      <c r="D693" s="25"/>
    </row>
    <row r="694">
      <c r="C694" s="24"/>
      <c r="D694" s="25"/>
    </row>
    <row r="695">
      <c r="C695" s="24"/>
      <c r="D695" s="25"/>
    </row>
    <row r="696">
      <c r="C696" s="24"/>
      <c r="D696" s="25"/>
    </row>
    <row r="697">
      <c r="C697" s="24"/>
      <c r="D697" s="25"/>
    </row>
    <row r="698">
      <c r="C698" s="24"/>
      <c r="D698" s="25"/>
    </row>
    <row r="699">
      <c r="C699" s="24"/>
      <c r="D699" s="25"/>
    </row>
    <row r="700">
      <c r="C700" s="24"/>
      <c r="D700" s="25"/>
    </row>
    <row r="701">
      <c r="C701" s="24"/>
      <c r="D701" s="25"/>
    </row>
    <row r="702">
      <c r="C702" s="24"/>
      <c r="D702" s="25"/>
    </row>
    <row r="703">
      <c r="C703" s="24"/>
      <c r="D703" s="25"/>
    </row>
    <row r="704">
      <c r="C704" s="24"/>
      <c r="D704" s="25"/>
    </row>
    <row r="705">
      <c r="C705" s="24"/>
      <c r="D705" s="25"/>
    </row>
    <row r="706">
      <c r="C706" s="24"/>
      <c r="D706" s="25"/>
    </row>
    <row r="707">
      <c r="C707" s="24"/>
      <c r="D707" s="25"/>
    </row>
    <row r="708">
      <c r="C708" s="24"/>
      <c r="D708" s="25"/>
    </row>
    <row r="709">
      <c r="C709" s="24"/>
      <c r="D709" s="25"/>
    </row>
    <row r="710">
      <c r="C710" s="24"/>
      <c r="D710" s="25"/>
    </row>
    <row r="711">
      <c r="C711" s="24"/>
      <c r="D711" s="25"/>
    </row>
    <row r="712">
      <c r="C712" s="24"/>
      <c r="D712" s="25"/>
    </row>
    <row r="713">
      <c r="C713" s="24"/>
      <c r="D713" s="25"/>
    </row>
    <row r="714">
      <c r="C714" s="24"/>
      <c r="D714" s="25"/>
    </row>
    <row r="715">
      <c r="C715" s="24"/>
      <c r="D715" s="25"/>
    </row>
    <row r="716">
      <c r="C716" s="24"/>
      <c r="D716" s="25"/>
    </row>
    <row r="717">
      <c r="C717" s="24"/>
      <c r="D717" s="25"/>
    </row>
    <row r="718">
      <c r="C718" s="24"/>
      <c r="D718" s="25"/>
    </row>
    <row r="719">
      <c r="C719" s="24"/>
      <c r="D719" s="25"/>
    </row>
    <row r="720">
      <c r="C720" s="24"/>
      <c r="D720" s="25"/>
    </row>
    <row r="721">
      <c r="C721" s="24"/>
      <c r="D721" s="25"/>
    </row>
    <row r="722">
      <c r="C722" s="24"/>
      <c r="D722" s="25"/>
    </row>
    <row r="723">
      <c r="C723" s="24"/>
      <c r="D723" s="25"/>
    </row>
    <row r="724">
      <c r="C724" s="24"/>
      <c r="D724" s="25"/>
    </row>
    <row r="725">
      <c r="C725" s="24"/>
      <c r="D725" s="25"/>
    </row>
    <row r="726">
      <c r="C726" s="24"/>
      <c r="D726" s="25"/>
    </row>
    <row r="727">
      <c r="C727" s="24"/>
      <c r="D727" s="25"/>
    </row>
    <row r="728">
      <c r="C728" s="24"/>
      <c r="D728" s="25"/>
    </row>
    <row r="729">
      <c r="C729" s="24"/>
      <c r="D729" s="25"/>
    </row>
    <row r="730">
      <c r="C730" s="24"/>
      <c r="D730" s="25"/>
    </row>
    <row r="731">
      <c r="C731" s="24"/>
      <c r="D731" s="25"/>
    </row>
    <row r="732">
      <c r="C732" s="24"/>
      <c r="D732" s="25"/>
    </row>
    <row r="733">
      <c r="C733" s="24"/>
      <c r="D733" s="25"/>
    </row>
    <row r="734">
      <c r="C734" s="24"/>
      <c r="D734" s="25"/>
    </row>
    <row r="735">
      <c r="C735" s="24"/>
      <c r="D735" s="25"/>
    </row>
    <row r="736">
      <c r="C736" s="24"/>
      <c r="D736" s="25"/>
    </row>
    <row r="737">
      <c r="C737" s="24"/>
      <c r="D737" s="25"/>
    </row>
    <row r="738">
      <c r="C738" s="24"/>
      <c r="D738" s="25"/>
    </row>
    <row r="739">
      <c r="C739" s="24"/>
      <c r="D739" s="25"/>
    </row>
    <row r="740">
      <c r="C740" s="24"/>
      <c r="D740" s="25"/>
    </row>
    <row r="741">
      <c r="C741" s="24"/>
      <c r="D741" s="25"/>
    </row>
    <row r="742">
      <c r="C742" s="24"/>
      <c r="D742" s="25"/>
    </row>
    <row r="743">
      <c r="C743" s="24"/>
      <c r="D743" s="25"/>
    </row>
    <row r="744">
      <c r="C744" s="24"/>
      <c r="D744" s="25"/>
    </row>
    <row r="745">
      <c r="C745" s="24"/>
      <c r="D745" s="25"/>
    </row>
    <row r="746">
      <c r="C746" s="24"/>
      <c r="D746" s="25"/>
    </row>
    <row r="747">
      <c r="C747" s="24"/>
      <c r="D747" s="25"/>
    </row>
    <row r="748">
      <c r="C748" s="24"/>
      <c r="D748" s="25"/>
    </row>
    <row r="749">
      <c r="C749" s="24"/>
      <c r="D749" s="25"/>
    </row>
    <row r="750">
      <c r="C750" s="24"/>
      <c r="D750" s="25"/>
    </row>
    <row r="751">
      <c r="C751" s="24"/>
      <c r="D751" s="25"/>
    </row>
    <row r="752">
      <c r="C752" s="24"/>
      <c r="D752" s="25"/>
    </row>
    <row r="753">
      <c r="C753" s="24"/>
      <c r="D753" s="25"/>
    </row>
    <row r="754">
      <c r="C754" s="24"/>
      <c r="D754" s="25"/>
    </row>
    <row r="755">
      <c r="C755" s="24"/>
      <c r="D755" s="25"/>
    </row>
    <row r="756">
      <c r="C756" s="24"/>
      <c r="D756" s="25"/>
    </row>
    <row r="757">
      <c r="C757" s="24"/>
      <c r="D757" s="25"/>
    </row>
    <row r="758">
      <c r="C758" s="24"/>
      <c r="D758" s="25"/>
    </row>
    <row r="759">
      <c r="C759" s="24"/>
      <c r="D759" s="25"/>
    </row>
    <row r="760">
      <c r="C760" s="24"/>
      <c r="D760" s="25"/>
    </row>
    <row r="761">
      <c r="C761" s="24"/>
      <c r="D761" s="25"/>
    </row>
    <row r="762">
      <c r="C762" s="24"/>
      <c r="D762" s="25"/>
    </row>
    <row r="763">
      <c r="C763" s="24"/>
      <c r="D763" s="25"/>
    </row>
    <row r="764">
      <c r="C764" s="24"/>
      <c r="D764" s="25"/>
    </row>
    <row r="765">
      <c r="C765" s="24"/>
      <c r="D765" s="25"/>
    </row>
    <row r="766">
      <c r="C766" s="24"/>
      <c r="D766" s="25"/>
    </row>
    <row r="767">
      <c r="C767" s="24"/>
      <c r="D767" s="25"/>
    </row>
    <row r="768">
      <c r="C768" s="24"/>
      <c r="D768" s="25"/>
    </row>
    <row r="769">
      <c r="C769" s="24"/>
      <c r="D769" s="25"/>
    </row>
    <row r="770">
      <c r="C770" s="24"/>
      <c r="D770" s="25"/>
    </row>
    <row r="771">
      <c r="C771" s="24"/>
      <c r="D771" s="25"/>
    </row>
    <row r="772">
      <c r="C772" s="24"/>
      <c r="D772" s="25"/>
    </row>
    <row r="773">
      <c r="C773" s="24"/>
      <c r="D773" s="25"/>
    </row>
    <row r="774">
      <c r="C774" s="24"/>
      <c r="D774" s="25"/>
    </row>
    <row r="775">
      <c r="C775" s="24"/>
      <c r="D775" s="25"/>
    </row>
    <row r="776">
      <c r="C776" s="24"/>
      <c r="D776" s="25"/>
    </row>
    <row r="777">
      <c r="C777" s="24"/>
      <c r="D777" s="25"/>
    </row>
    <row r="778">
      <c r="C778" s="24"/>
      <c r="D778" s="25"/>
    </row>
    <row r="779">
      <c r="C779" s="24"/>
      <c r="D779" s="25"/>
    </row>
    <row r="780">
      <c r="C780" s="24"/>
      <c r="D780" s="25"/>
    </row>
    <row r="781">
      <c r="C781" s="24"/>
      <c r="D781" s="25"/>
    </row>
    <row r="782">
      <c r="C782" s="24"/>
      <c r="D782" s="25"/>
    </row>
    <row r="783">
      <c r="C783" s="24"/>
      <c r="D783" s="25"/>
    </row>
    <row r="784">
      <c r="C784" s="24"/>
      <c r="D784" s="25"/>
    </row>
    <row r="785">
      <c r="C785" s="24"/>
      <c r="D785" s="25"/>
    </row>
    <row r="786">
      <c r="C786" s="24"/>
      <c r="D786" s="25"/>
    </row>
    <row r="787">
      <c r="C787" s="24"/>
      <c r="D787" s="25"/>
    </row>
    <row r="788">
      <c r="C788" s="24"/>
      <c r="D788" s="25"/>
    </row>
    <row r="789">
      <c r="C789" s="24"/>
      <c r="D789" s="25"/>
    </row>
    <row r="790">
      <c r="C790" s="24"/>
      <c r="D790" s="25"/>
    </row>
    <row r="791">
      <c r="C791" s="24"/>
      <c r="D791" s="25"/>
    </row>
    <row r="792">
      <c r="C792" s="24"/>
      <c r="D792" s="25"/>
    </row>
    <row r="793">
      <c r="C793" s="24"/>
      <c r="D793" s="25"/>
    </row>
    <row r="794">
      <c r="C794" s="24"/>
      <c r="D794" s="25"/>
    </row>
    <row r="795">
      <c r="C795" s="24"/>
      <c r="D795" s="25"/>
    </row>
    <row r="796">
      <c r="C796" s="24"/>
      <c r="D796" s="25"/>
    </row>
    <row r="797">
      <c r="C797" s="24"/>
      <c r="D797" s="25"/>
    </row>
    <row r="798">
      <c r="C798" s="24"/>
      <c r="D798" s="25"/>
    </row>
    <row r="799">
      <c r="C799" s="24"/>
      <c r="D799" s="25"/>
    </row>
    <row r="800">
      <c r="C800" s="24"/>
      <c r="D800" s="25"/>
    </row>
    <row r="801">
      <c r="C801" s="24"/>
      <c r="D801" s="25"/>
    </row>
    <row r="802">
      <c r="C802" s="24"/>
      <c r="D802" s="25"/>
    </row>
    <row r="803">
      <c r="C803" s="24"/>
      <c r="D803" s="25"/>
    </row>
    <row r="804">
      <c r="C804" s="24"/>
      <c r="D804" s="25"/>
    </row>
    <row r="805">
      <c r="C805" s="24"/>
      <c r="D805" s="25"/>
    </row>
    <row r="806">
      <c r="C806" s="24"/>
      <c r="D806" s="25"/>
    </row>
    <row r="807">
      <c r="C807" s="24"/>
      <c r="D807" s="25"/>
    </row>
    <row r="808">
      <c r="C808" s="24"/>
      <c r="D808" s="25"/>
    </row>
    <row r="809">
      <c r="C809" s="24"/>
      <c r="D809" s="25"/>
    </row>
    <row r="810">
      <c r="C810" s="24"/>
      <c r="D810" s="25"/>
    </row>
    <row r="811">
      <c r="C811" s="24"/>
      <c r="D811" s="25"/>
    </row>
    <row r="812">
      <c r="C812" s="24"/>
      <c r="D812" s="25"/>
    </row>
    <row r="813">
      <c r="C813" s="24"/>
      <c r="D813" s="25"/>
    </row>
    <row r="814">
      <c r="C814" s="24"/>
      <c r="D814" s="25"/>
    </row>
    <row r="815">
      <c r="C815" s="24"/>
      <c r="D815" s="25"/>
    </row>
    <row r="816">
      <c r="C816" s="24"/>
      <c r="D816" s="25"/>
    </row>
    <row r="817">
      <c r="C817" s="24"/>
      <c r="D817" s="25"/>
    </row>
    <row r="818">
      <c r="C818" s="24"/>
      <c r="D818" s="25"/>
    </row>
    <row r="819">
      <c r="C819" s="24"/>
      <c r="D819" s="25"/>
    </row>
    <row r="820">
      <c r="C820" s="24"/>
      <c r="D820" s="25"/>
    </row>
    <row r="821">
      <c r="C821" s="24"/>
      <c r="D821" s="25"/>
    </row>
    <row r="822">
      <c r="C822" s="24"/>
      <c r="D822" s="25"/>
    </row>
    <row r="823">
      <c r="C823" s="24"/>
      <c r="D823" s="25"/>
    </row>
    <row r="824">
      <c r="C824" s="24"/>
      <c r="D824" s="25"/>
    </row>
    <row r="825">
      <c r="C825" s="24"/>
      <c r="D825" s="25"/>
    </row>
    <row r="826">
      <c r="C826" s="24"/>
      <c r="D826" s="25"/>
    </row>
    <row r="827">
      <c r="C827" s="24"/>
      <c r="D827" s="25"/>
    </row>
    <row r="828">
      <c r="C828" s="24"/>
      <c r="D828" s="25"/>
    </row>
    <row r="829">
      <c r="C829" s="24"/>
      <c r="D829" s="25"/>
    </row>
    <row r="830">
      <c r="C830" s="24"/>
      <c r="D830" s="25"/>
    </row>
    <row r="831">
      <c r="C831" s="24"/>
      <c r="D831" s="25"/>
    </row>
    <row r="832">
      <c r="C832" s="24"/>
      <c r="D832" s="25"/>
    </row>
    <row r="833">
      <c r="C833" s="24"/>
      <c r="D833" s="25"/>
    </row>
    <row r="834">
      <c r="C834" s="24"/>
      <c r="D834" s="25"/>
    </row>
    <row r="835">
      <c r="C835" s="24"/>
      <c r="D835" s="25"/>
    </row>
    <row r="836">
      <c r="C836" s="24"/>
      <c r="D836" s="25"/>
    </row>
    <row r="837">
      <c r="C837" s="24"/>
      <c r="D837" s="25"/>
    </row>
    <row r="838">
      <c r="C838" s="24"/>
      <c r="D838" s="25"/>
    </row>
    <row r="839">
      <c r="C839" s="24"/>
      <c r="D839" s="25"/>
    </row>
    <row r="840">
      <c r="C840" s="24"/>
      <c r="D840" s="25"/>
    </row>
    <row r="841">
      <c r="C841" s="24"/>
      <c r="D841" s="25"/>
    </row>
    <row r="842">
      <c r="C842" s="24"/>
      <c r="D842" s="25"/>
    </row>
    <row r="843">
      <c r="C843" s="24"/>
      <c r="D843" s="25"/>
    </row>
    <row r="844">
      <c r="C844" s="24"/>
      <c r="D844" s="25"/>
    </row>
    <row r="845">
      <c r="C845" s="24"/>
      <c r="D845" s="25"/>
    </row>
    <row r="846">
      <c r="C846" s="24"/>
      <c r="D846" s="25"/>
    </row>
    <row r="847">
      <c r="C847" s="24"/>
      <c r="D847" s="25"/>
    </row>
    <row r="848">
      <c r="C848" s="24"/>
      <c r="D848" s="25"/>
    </row>
    <row r="849">
      <c r="C849" s="24"/>
      <c r="D849" s="25"/>
    </row>
    <row r="850">
      <c r="C850" s="24"/>
      <c r="D850" s="25"/>
    </row>
    <row r="851">
      <c r="C851" s="24"/>
      <c r="D851" s="25"/>
    </row>
    <row r="852">
      <c r="C852" s="24"/>
      <c r="D852" s="25"/>
    </row>
    <row r="853">
      <c r="C853" s="24"/>
      <c r="D853" s="25"/>
    </row>
    <row r="854">
      <c r="C854" s="24"/>
      <c r="D854" s="25"/>
    </row>
    <row r="855">
      <c r="C855" s="24"/>
      <c r="D855" s="25"/>
    </row>
    <row r="856">
      <c r="C856" s="24"/>
      <c r="D856" s="25"/>
    </row>
    <row r="857">
      <c r="C857" s="24"/>
      <c r="D857" s="25"/>
    </row>
    <row r="858">
      <c r="C858" s="24"/>
      <c r="D858" s="25"/>
    </row>
    <row r="859">
      <c r="C859" s="24"/>
      <c r="D859" s="25"/>
    </row>
    <row r="860">
      <c r="C860" s="24"/>
      <c r="D860" s="25"/>
    </row>
    <row r="861">
      <c r="C861" s="24"/>
      <c r="D861" s="25"/>
    </row>
    <row r="862">
      <c r="C862" s="24"/>
      <c r="D862" s="25"/>
    </row>
    <row r="863">
      <c r="C863" s="24"/>
      <c r="D863" s="25"/>
    </row>
    <row r="864">
      <c r="C864" s="24"/>
      <c r="D864" s="25"/>
    </row>
    <row r="865">
      <c r="C865" s="24"/>
      <c r="D865" s="25"/>
    </row>
    <row r="866">
      <c r="C866" s="24"/>
      <c r="D866" s="25"/>
    </row>
    <row r="867">
      <c r="C867" s="24"/>
      <c r="D867" s="25"/>
    </row>
    <row r="868">
      <c r="C868" s="24"/>
      <c r="D868" s="25"/>
    </row>
    <row r="869">
      <c r="C869" s="24"/>
      <c r="D869" s="25"/>
    </row>
    <row r="870">
      <c r="C870" s="24"/>
      <c r="D870" s="25"/>
    </row>
    <row r="871">
      <c r="C871" s="24"/>
      <c r="D871" s="25"/>
    </row>
    <row r="872">
      <c r="C872" s="24"/>
      <c r="D872" s="25"/>
    </row>
    <row r="873">
      <c r="C873" s="24"/>
      <c r="D873" s="25"/>
    </row>
    <row r="874">
      <c r="C874" s="24"/>
      <c r="D874" s="25"/>
    </row>
    <row r="875">
      <c r="C875" s="24"/>
      <c r="D875" s="25"/>
    </row>
    <row r="876">
      <c r="C876" s="24"/>
      <c r="D876" s="25"/>
    </row>
    <row r="877">
      <c r="C877" s="24"/>
      <c r="D877" s="25"/>
    </row>
    <row r="878">
      <c r="C878" s="24"/>
      <c r="D878" s="25"/>
    </row>
    <row r="879">
      <c r="C879" s="24"/>
      <c r="D879" s="25"/>
    </row>
    <row r="880">
      <c r="C880" s="24"/>
      <c r="D880" s="25"/>
    </row>
    <row r="881">
      <c r="C881" s="24"/>
      <c r="D881" s="25"/>
    </row>
    <row r="882">
      <c r="C882" s="24"/>
      <c r="D882" s="25"/>
    </row>
    <row r="883">
      <c r="C883" s="24"/>
      <c r="D883" s="25"/>
    </row>
    <row r="884">
      <c r="C884" s="24"/>
      <c r="D884" s="25"/>
    </row>
    <row r="885">
      <c r="C885" s="24"/>
      <c r="D885" s="25"/>
    </row>
    <row r="886">
      <c r="C886" s="24"/>
      <c r="D886" s="25"/>
    </row>
    <row r="887">
      <c r="C887" s="24"/>
      <c r="D887" s="25"/>
    </row>
    <row r="888">
      <c r="C888" s="24"/>
      <c r="D888" s="25"/>
    </row>
    <row r="889">
      <c r="C889" s="24"/>
      <c r="D889" s="25"/>
    </row>
    <row r="890">
      <c r="C890" s="24"/>
      <c r="D890" s="25"/>
    </row>
    <row r="891">
      <c r="C891" s="24"/>
      <c r="D891" s="25"/>
    </row>
    <row r="892">
      <c r="C892" s="24"/>
      <c r="D892" s="25"/>
    </row>
    <row r="893">
      <c r="C893" s="24"/>
      <c r="D893" s="25"/>
    </row>
    <row r="894">
      <c r="C894" s="24"/>
      <c r="D894" s="25"/>
    </row>
    <row r="895">
      <c r="C895" s="24"/>
      <c r="D895" s="25"/>
    </row>
    <row r="896">
      <c r="C896" s="24"/>
      <c r="D896" s="25"/>
    </row>
    <row r="897">
      <c r="C897" s="24"/>
      <c r="D897" s="25"/>
    </row>
    <row r="898">
      <c r="C898" s="24"/>
      <c r="D898" s="25"/>
    </row>
    <row r="899">
      <c r="C899" s="24"/>
      <c r="D899" s="25"/>
    </row>
    <row r="900">
      <c r="C900" s="24"/>
      <c r="D900" s="25"/>
    </row>
    <row r="901">
      <c r="C901" s="24"/>
      <c r="D901" s="25"/>
    </row>
    <row r="902">
      <c r="C902" s="24"/>
      <c r="D902" s="25"/>
    </row>
    <row r="903">
      <c r="C903" s="24"/>
      <c r="D903" s="25"/>
    </row>
    <row r="904">
      <c r="C904" s="24"/>
      <c r="D904" s="25"/>
    </row>
    <row r="905">
      <c r="C905" s="24"/>
      <c r="D905" s="25"/>
    </row>
    <row r="906">
      <c r="C906" s="24"/>
      <c r="D906" s="25"/>
    </row>
    <row r="907">
      <c r="C907" s="24"/>
      <c r="D907" s="25"/>
    </row>
    <row r="908">
      <c r="C908" s="24"/>
      <c r="D908" s="25"/>
    </row>
    <row r="909">
      <c r="C909" s="24"/>
      <c r="D909" s="25"/>
    </row>
    <row r="910">
      <c r="C910" s="24"/>
      <c r="D910" s="25"/>
    </row>
    <row r="911">
      <c r="C911" s="24"/>
      <c r="D911" s="25"/>
    </row>
    <row r="912">
      <c r="C912" s="24"/>
      <c r="D912" s="25"/>
    </row>
    <row r="913">
      <c r="C913" s="24"/>
      <c r="D913" s="25"/>
    </row>
    <row r="914">
      <c r="C914" s="24"/>
      <c r="D914" s="25"/>
    </row>
    <row r="915">
      <c r="C915" s="24"/>
      <c r="D915" s="25"/>
    </row>
    <row r="916">
      <c r="C916" s="24"/>
      <c r="D916" s="25"/>
    </row>
    <row r="917">
      <c r="C917" s="24"/>
      <c r="D917" s="25"/>
    </row>
    <row r="918">
      <c r="C918" s="24"/>
      <c r="D918" s="25"/>
    </row>
    <row r="919">
      <c r="C919" s="24"/>
      <c r="D919" s="25"/>
    </row>
    <row r="920">
      <c r="C920" s="24"/>
      <c r="D920" s="25"/>
    </row>
    <row r="921">
      <c r="C921" s="24"/>
      <c r="D921" s="25"/>
    </row>
    <row r="922">
      <c r="C922" s="24"/>
      <c r="D922" s="25"/>
    </row>
    <row r="923">
      <c r="C923" s="24"/>
      <c r="D923" s="25"/>
    </row>
    <row r="924">
      <c r="C924" s="24"/>
      <c r="D924" s="25"/>
    </row>
    <row r="925">
      <c r="C925" s="24"/>
      <c r="D925" s="25"/>
    </row>
    <row r="926">
      <c r="C926" s="24"/>
      <c r="D926" s="25"/>
    </row>
    <row r="927">
      <c r="C927" s="24"/>
      <c r="D927" s="25"/>
    </row>
    <row r="928">
      <c r="C928" s="24"/>
      <c r="D928" s="25"/>
    </row>
    <row r="929">
      <c r="C929" s="24"/>
      <c r="D929" s="25"/>
    </row>
    <row r="930">
      <c r="C930" s="24"/>
      <c r="D930" s="25"/>
    </row>
    <row r="931">
      <c r="C931" s="24"/>
      <c r="D931" s="25"/>
    </row>
    <row r="932">
      <c r="C932" s="24"/>
      <c r="D932" s="25"/>
    </row>
    <row r="933">
      <c r="C933" s="24"/>
      <c r="D933" s="25"/>
    </row>
    <row r="934">
      <c r="C934" s="24"/>
      <c r="D934" s="25"/>
    </row>
    <row r="935">
      <c r="C935" s="24"/>
      <c r="D935" s="25"/>
    </row>
    <row r="936">
      <c r="C936" s="24"/>
      <c r="D936" s="25"/>
    </row>
    <row r="937">
      <c r="C937" s="24"/>
      <c r="D937" s="25"/>
    </row>
    <row r="938">
      <c r="C938" s="24"/>
      <c r="D938" s="25"/>
    </row>
    <row r="939">
      <c r="C939" s="24"/>
      <c r="D939" s="25"/>
    </row>
    <row r="940">
      <c r="C940" s="24"/>
      <c r="D940" s="25"/>
    </row>
    <row r="941">
      <c r="C941" s="24"/>
      <c r="D941" s="25"/>
    </row>
    <row r="942">
      <c r="C942" s="24"/>
      <c r="D942" s="25"/>
    </row>
    <row r="943">
      <c r="C943" s="24"/>
      <c r="D943" s="25"/>
    </row>
    <row r="944">
      <c r="C944" s="24"/>
      <c r="D944" s="25"/>
    </row>
    <row r="945">
      <c r="C945" s="24"/>
      <c r="D945" s="25"/>
    </row>
    <row r="946">
      <c r="C946" s="24"/>
      <c r="D946" s="25"/>
    </row>
    <row r="947">
      <c r="C947" s="24"/>
      <c r="D947" s="25"/>
    </row>
    <row r="948">
      <c r="C948" s="24"/>
      <c r="D948" s="25"/>
    </row>
    <row r="949">
      <c r="C949" s="24"/>
      <c r="D949" s="25"/>
    </row>
    <row r="950">
      <c r="C950" s="24"/>
      <c r="D950" s="25"/>
    </row>
    <row r="951">
      <c r="C951" s="24"/>
      <c r="D951" s="25"/>
    </row>
    <row r="952">
      <c r="C952" s="24"/>
      <c r="D952" s="25"/>
    </row>
    <row r="953">
      <c r="C953" s="24"/>
      <c r="D953" s="25"/>
    </row>
    <row r="954">
      <c r="C954" s="24"/>
      <c r="D954" s="25"/>
    </row>
    <row r="955">
      <c r="C955" s="24"/>
      <c r="D955" s="25"/>
    </row>
    <row r="956">
      <c r="C956" s="24"/>
      <c r="D956" s="25"/>
    </row>
    <row r="957">
      <c r="C957" s="24"/>
      <c r="D957" s="25"/>
    </row>
    <row r="958">
      <c r="C958" s="24"/>
      <c r="D958" s="25"/>
    </row>
    <row r="959">
      <c r="C959" s="24"/>
      <c r="D959" s="25"/>
    </row>
    <row r="960">
      <c r="C960" s="24"/>
      <c r="D960" s="25"/>
    </row>
    <row r="961">
      <c r="C961" s="24"/>
      <c r="D961" s="25"/>
    </row>
    <row r="962">
      <c r="C962" s="24"/>
      <c r="D962" s="25"/>
    </row>
    <row r="963">
      <c r="C963" s="24"/>
      <c r="D963" s="25"/>
    </row>
    <row r="964">
      <c r="C964" s="24"/>
      <c r="D964" s="25"/>
    </row>
    <row r="965">
      <c r="C965" s="24"/>
      <c r="D965" s="25"/>
    </row>
    <row r="966">
      <c r="C966" s="24"/>
      <c r="D966" s="25"/>
    </row>
    <row r="967">
      <c r="C967" s="24"/>
      <c r="D967" s="25"/>
    </row>
    <row r="968">
      <c r="C968" s="24"/>
      <c r="D968" s="25"/>
    </row>
    <row r="969">
      <c r="C969" s="24"/>
      <c r="D969" s="25"/>
    </row>
    <row r="970">
      <c r="C970" s="24"/>
      <c r="D970" s="25"/>
    </row>
    <row r="971">
      <c r="C971" s="24"/>
      <c r="D971" s="25"/>
    </row>
    <row r="972">
      <c r="C972" s="24"/>
      <c r="D972" s="25"/>
    </row>
    <row r="973">
      <c r="C973" s="24"/>
      <c r="D973" s="25"/>
    </row>
    <row r="974">
      <c r="C974" s="24"/>
      <c r="D974" s="25"/>
    </row>
    <row r="975">
      <c r="C975" s="24"/>
      <c r="D975" s="25"/>
    </row>
    <row r="976">
      <c r="C976" s="24"/>
      <c r="D976" s="25"/>
    </row>
    <row r="977">
      <c r="C977" s="24"/>
      <c r="D977" s="25"/>
    </row>
    <row r="978">
      <c r="C978" s="24"/>
      <c r="D978" s="25"/>
    </row>
    <row r="979">
      <c r="C979" s="24"/>
      <c r="D979" s="25"/>
    </row>
    <row r="980">
      <c r="C980" s="24"/>
      <c r="D980" s="25"/>
    </row>
    <row r="981">
      <c r="C981" s="24"/>
      <c r="D981" s="25"/>
    </row>
    <row r="982">
      <c r="C982" s="24"/>
      <c r="D982" s="25"/>
    </row>
    <row r="983">
      <c r="C983" s="24"/>
      <c r="D983" s="25"/>
    </row>
    <row r="984">
      <c r="C984" s="24"/>
      <c r="D984" s="25"/>
    </row>
    <row r="985">
      <c r="C985" s="24"/>
      <c r="D985" s="25"/>
    </row>
    <row r="986">
      <c r="C986" s="24"/>
      <c r="D986" s="25"/>
    </row>
    <row r="987">
      <c r="C987" s="24"/>
      <c r="D987" s="25"/>
    </row>
    <row r="988">
      <c r="C988" s="24"/>
      <c r="D988" s="25"/>
    </row>
    <row r="989">
      <c r="C989" s="24"/>
      <c r="D989" s="25"/>
    </row>
    <row r="990">
      <c r="C990" s="24"/>
      <c r="D990" s="25"/>
    </row>
    <row r="991">
      <c r="C991" s="24"/>
      <c r="D991" s="25"/>
    </row>
    <row r="992">
      <c r="C992" s="24"/>
      <c r="D992" s="25"/>
    </row>
    <row r="993">
      <c r="C993" s="24"/>
      <c r="D993" s="25"/>
    </row>
    <row r="994">
      <c r="C994" s="24"/>
      <c r="D994" s="25"/>
    </row>
    <row r="995">
      <c r="C995" s="24"/>
      <c r="D995" s="25"/>
    </row>
    <row r="996">
      <c r="C996" s="24"/>
      <c r="D996" s="25"/>
    </row>
    <row r="997">
      <c r="C997" s="24"/>
      <c r="D997" s="25"/>
    </row>
    <row r="998">
      <c r="C998" s="24"/>
      <c r="D998" s="25"/>
    </row>
    <row r="999">
      <c r="C999" s="24"/>
      <c r="D999" s="25"/>
    </row>
    <row r="1000">
      <c r="C1000" s="24"/>
      <c r="D1000" s="25"/>
    </row>
  </sheetData>
  <dataValidations>
    <dataValidation type="list" allowBlank="1" showErrorMessage="1" sqref="D2:D101">
      <formula1>"TO DO,SDG 7,NOT SDG 7,SKIP"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18" t="s">
        <v>78</v>
      </c>
      <c r="B1" s="18" t="s">
        <v>79</v>
      </c>
      <c r="C1" s="19" t="s">
        <v>80</v>
      </c>
      <c r="D1" s="20" t="s">
        <v>81</v>
      </c>
      <c r="E1" s="13" t="s">
        <v>82</v>
      </c>
    </row>
    <row r="2">
      <c r="A2" s="21" t="s">
        <v>143</v>
      </c>
      <c r="B2" s="21" t="s">
        <v>180</v>
      </c>
      <c r="C2" s="22" t="s">
        <v>181</v>
      </c>
      <c r="D2" s="23" t="s">
        <v>14</v>
      </c>
    </row>
    <row r="3">
      <c r="A3" s="21" t="s">
        <v>229</v>
      </c>
      <c r="B3" s="21" t="s">
        <v>235</v>
      </c>
      <c r="C3" s="22" t="s">
        <v>236</v>
      </c>
      <c r="D3" s="23" t="s">
        <v>12</v>
      </c>
    </row>
    <row r="4">
      <c r="A4" s="21" t="s">
        <v>83</v>
      </c>
      <c r="B4" s="21" t="s">
        <v>270</v>
      </c>
      <c r="C4" s="22" t="s">
        <v>271</v>
      </c>
      <c r="D4" s="23" t="s">
        <v>14</v>
      </c>
    </row>
    <row r="5">
      <c r="A5" s="21" t="s">
        <v>255</v>
      </c>
      <c r="B5" s="21" t="s">
        <v>256</v>
      </c>
      <c r="C5" s="22" t="s">
        <v>257</v>
      </c>
      <c r="D5" s="23" t="s">
        <v>12</v>
      </c>
    </row>
    <row r="6">
      <c r="A6" s="21" t="s">
        <v>99</v>
      </c>
      <c r="B6" s="21" t="s">
        <v>284</v>
      </c>
      <c r="C6" s="22" t="s">
        <v>285</v>
      </c>
      <c r="D6" s="23" t="s">
        <v>12</v>
      </c>
    </row>
    <row r="7">
      <c r="A7" s="21" t="s">
        <v>90</v>
      </c>
      <c r="B7" s="21" t="s">
        <v>299</v>
      </c>
      <c r="C7" s="22" t="s">
        <v>300</v>
      </c>
      <c r="D7" s="23" t="s">
        <v>14</v>
      </c>
    </row>
    <row r="8">
      <c r="A8" s="21" t="s">
        <v>215</v>
      </c>
      <c r="B8" s="21" t="s">
        <v>323</v>
      </c>
      <c r="C8" s="22" t="s">
        <v>324</v>
      </c>
      <c r="D8" s="23" t="s">
        <v>14</v>
      </c>
    </row>
    <row r="9">
      <c r="A9" s="21" t="s">
        <v>220</v>
      </c>
      <c r="B9" s="21" t="s">
        <v>221</v>
      </c>
      <c r="C9" s="22" t="s">
        <v>222</v>
      </c>
      <c r="D9" s="23" t="s">
        <v>12</v>
      </c>
    </row>
    <row r="10">
      <c r="A10" s="21" t="s">
        <v>124</v>
      </c>
      <c r="B10" s="21" t="s">
        <v>125</v>
      </c>
      <c r="C10" s="22" t="s">
        <v>126</v>
      </c>
      <c r="D10" s="23" t="s">
        <v>14</v>
      </c>
    </row>
    <row r="11">
      <c r="A11" s="21" t="s">
        <v>158</v>
      </c>
      <c r="B11" s="21" t="s">
        <v>185</v>
      </c>
      <c r="C11" s="22" t="s">
        <v>186</v>
      </c>
      <c r="D11" s="23" t="s">
        <v>14</v>
      </c>
    </row>
    <row r="12">
      <c r="A12" s="21" t="s">
        <v>143</v>
      </c>
      <c r="B12" s="21" t="s">
        <v>144</v>
      </c>
      <c r="C12" s="22" t="s">
        <v>145</v>
      </c>
      <c r="D12" s="23" t="s">
        <v>14</v>
      </c>
    </row>
    <row r="13">
      <c r="A13" s="21" t="s">
        <v>286</v>
      </c>
      <c r="B13" s="21" t="s">
        <v>287</v>
      </c>
      <c r="C13" s="22" t="s">
        <v>288</v>
      </c>
      <c r="D13" s="23" t="s">
        <v>86</v>
      </c>
    </row>
    <row r="14">
      <c r="A14" s="21" t="s">
        <v>265</v>
      </c>
      <c r="B14" s="21" t="s">
        <v>266</v>
      </c>
      <c r="C14" s="22" t="s">
        <v>267</v>
      </c>
      <c r="D14" s="23" t="s">
        <v>86</v>
      </c>
    </row>
    <row r="15">
      <c r="A15" s="21" t="s">
        <v>87</v>
      </c>
      <c r="B15" s="21" t="s">
        <v>88</v>
      </c>
      <c r="C15" s="22" t="s">
        <v>89</v>
      </c>
      <c r="D15" s="23" t="s">
        <v>86</v>
      </c>
    </row>
    <row r="16">
      <c r="A16" s="21" t="s">
        <v>164</v>
      </c>
      <c r="B16" s="21" t="s">
        <v>274</v>
      </c>
      <c r="C16" s="22" t="s">
        <v>275</v>
      </c>
      <c r="D16" s="23" t="s">
        <v>86</v>
      </c>
    </row>
    <row r="17">
      <c r="A17" s="21" t="s">
        <v>137</v>
      </c>
      <c r="B17" s="21" t="s">
        <v>195</v>
      </c>
      <c r="C17" s="22" t="s">
        <v>196</v>
      </c>
      <c r="D17" s="23" t="s">
        <v>86</v>
      </c>
    </row>
    <row r="18">
      <c r="A18" s="21" t="s">
        <v>83</v>
      </c>
      <c r="B18" s="21" t="s">
        <v>247</v>
      </c>
      <c r="C18" s="22" t="s">
        <v>248</v>
      </c>
      <c r="D18" s="23" t="s">
        <v>86</v>
      </c>
    </row>
    <row r="19">
      <c r="A19" s="21" t="s">
        <v>328</v>
      </c>
      <c r="B19" s="21" t="s">
        <v>329</v>
      </c>
      <c r="C19" s="22" t="s">
        <v>330</v>
      </c>
      <c r="D19" s="23" t="s">
        <v>86</v>
      </c>
    </row>
    <row r="20">
      <c r="A20" s="21" t="s">
        <v>174</v>
      </c>
      <c r="B20" s="21" t="s">
        <v>175</v>
      </c>
      <c r="C20" s="22" t="s">
        <v>176</v>
      </c>
      <c r="D20" s="23" t="s">
        <v>86</v>
      </c>
    </row>
    <row r="21">
      <c r="A21" s="21" t="s">
        <v>102</v>
      </c>
      <c r="B21" s="21" t="s">
        <v>103</v>
      </c>
      <c r="C21" s="22" t="s">
        <v>104</v>
      </c>
      <c r="D21" s="23" t="s">
        <v>86</v>
      </c>
    </row>
    <row r="22">
      <c r="A22" s="21" t="s">
        <v>149</v>
      </c>
      <c r="B22" s="21" t="s">
        <v>316</v>
      </c>
      <c r="C22" s="22" t="s">
        <v>317</v>
      </c>
      <c r="D22" s="23" t="s">
        <v>86</v>
      </c>
    </row>
    <row r="23">
      <c r="A23" s="21" t="s">
        <v>276</v>
      </c>
      <c r="B23" s="21" t="s">
        <v>277</v>
      </c>
      <c r="C23" s="22" t="s">
        <v>278</v>
      </c>
      <c r="D23" s="23" t="s">
        <v>86</v>
      </c>
    </row>
    <row r="24">
      <c r="A24" s="21" t="s">
        <v>223</v>
      </c>
      <c r="B24" s="21" t="s">
        <v>224</v>
      </c>
      <c r="C24" s="22" t="s">
        <v>225</v>
      </c>
      <c r="D24" s="23" t="s">
        <v>86</v>
      </c>
    </row>
    <row r="25">
      <c r="A25" s="21" t="s">
        <v>102</v>
      </c>
      <c r="B25" s="21" t="s">
        <v>272</v>
      </c>
      <c r="C25" s="22" t="s">
        <v>273</v>
      </c>
      <c r="D25" s="23" t="s">
        <v>86</v>
      </c>
    </row>
    <row r="26">
      <c r="A26" s="21" t="s">
        <v>203</v>
      </c>
      <c r="B26" s="21" t="s">
        <v>260</v>
      </c>
      <c r="C26" s="22" t="s">
        <v>261</v>
      </c>
      <c r="D26" s="23" t="s">
        <v>86</v>
      </c>
    </row>
    <row r="27">
      <c r="A27" s="21" t="s">
        <v>182</v>
      </c>
      <c r="B27" s="21" t="s">
        <v>183</v>
      </c>
      <c r="C27" s="22" t="s">
        <v>184</v>
      </c>
      <c r="D27" s="23" t="s">
        <v>86</v>
      </c>
    </row>
    <row r="28">
      <c r="A28" s="21" t="s">
        <v>149</v>
      </c>
      <c r="B28" s="21" t="s">
        <v>150</v>
      </c>
      <c r="C28" s="22" t="s">
        <v>151</v>
      </c>
      <c r="D28" s="23" t="s">
        <v>86</v>
      </c>
    </row>
    <row r="29">
      <c r="A29" s="21" t="s">
        <v>308</v>
      </c>
      <c r="B29" s="21" t="s">
        <v>309</v>
      </c>
      <c r="C29" s="22" t="s">
        <v>310</v>
      </c>
      <c r="D29" s="23" t="s">
        <v>86</v>
      </c>
    </row>
    <row r="30">
      <c r="A30" s="21" t="s">
        <v>93</v>
      </c>
      <c r="B30" s="21" t="s">
        <v>94</v>
      </c>
      <c r="C30" s="22" t="s">
        <v>95</v>
      </c>
      <c r="D30" s="23" t="s">
        <v>86</v>
      </c>
    </row>
    <row r="31">
      <c r="A31" s="21" t="s">
        <v>99</v>
      </c>
      <c r="B31" s="21" t="s">
        <v>100</v>
      </c>
      <c r="C31" s="22" t="s">
        <v>101</v>
      </c>
      <c r="D31" s="23" t="s">
        <v>86</v>
      </c>
    </row>
    <row r="32">
      <c r="A32" s="21" t="s">
        <v>242</v>
      </c>
      <c r="B32" s="21" t="s">
        <v>243</v>
      </c>
      <c r="C32" s="22" t="s">
        <v>244</v>
      </c>
      <c r="D32" s="23" t="s">
        <v>86</v>
      </c>
    </row>
    <row r="33">
      <c r="A33" s="21" t="s">
        <v>140</v>
      </c>
      <c r="B33" s="21" t="s">
        <v>141</v>
      </c>
      <c r="C33" s="22" t="s">
        <v>142</v>
      </c>
      <c r="D33" s="23" t="s">
        <v>86</v>
      </c>
    </row>
    <row r="34">
      <c r="A34" s="21" t="s">
        <v>114</v>
      </c>
      <c r="B34" s="21" t="s">
        <v>115</v>
      </c>
      <c r="C34" s="22" t="s">
        <v>116</v>
      </c>
      <c r="D34" s="23" t="s">
        <v>86</v>
      </c>
    </row>
    <row r="35">
      <c r="A35" s="21" t="s">
        <v>305</v>
      </c>
      <c r="B35" s="21" t="s">
        <v>306</v>
      </c>
      <c r="C35" s="22" t="s">
        <v>307</v>
      </c>
      <c r="D35" s="23" t="s">
        <v>86</v>
      </c>
    </row>
    <row r="36">
      <c r="A36" s="21" t="s">
        <v>226</v>
      </c>
      <c r="B36" s="21" t="s">
        <v>227</v>
      </c>
      <c r="C36" s="22" t="s">
        <v>228</v>
      </c>
      <c r="D36" s="23" t="s">
        <v>86</v>
      </c>
    </row>
    <row r="37">
      <c r="A37" s="21" t="s">
        <v>325</v>
      </c>
      <c r="B37" s="21" t="s">
        <v>326</v>
      </c>
      <c r="C37" s="22" t="s">
        <v>327</v>
      </c>
      <c r="D37" s="23" t="s">
        <v>86</v>
      </c>
    </row>
    <row r="38">
      <c r="A38" s="21" t="s">
        <v>127</v>
      </c>
      <c r="B38" s="21" t="s">
        <v>128</v>
      </c>
      <c r="C38" s="22" t="s">
        <v>129</v>
      </c>
      <c r="D38" s="23" t="s">
        <v>86</v>
      </c>
    </row>
    <row r="39">
      <c r="A39" s="21" t="s">
        <v>320</v>
      </c>
      <c r="B39" s="21" t="s">
        <v>321</v>
      </c>
      <c r="C39" s="22" t="s">
        <v>322</v>
      </c>
      <c r="D39" s="23" t="s">
        <v>86</v>
      </c>
    </row>
    <row r="40">
      <c r="A40" s="21" t="s">
        <v>87</v>
      </c>
      <c r="B40" s="21" t="s">
        <v>258</v>
      </c>
      <c r="C40" s="22" t="s">
        <v>259</v>
      </c>
      <c r="D40" s="23" t="s">
        <v>86</v>
      </c>
    </row>
    <row r="41">
      <c r="A41" s="21" t="s">
        <v>215</v>
      </c>
      <c r="B41" s="21" t="s">
        <v>216</v>
      </c>
      <c r="C41" s="22" t="s">
        <v>217</v>
      </c>
      <c r="D41" s="23" t="s">
        <v>86</v>
      </c>
    </row>
    <row r="42">
      <c r="A42" s="21" t="s">
        <v>99</v>
      </c>
      <c r="B42" s="21" t="s">
        <v>208</v>
      </c>
      <c r="C42" s="22" t="s">
        <v>209</v>
      </c>
      <c r="D42" s="23" t="s">
        <v>86</v>
      </c>
    </row>
    <row r="43">
      <c r="A43" s="21" t="s">
        <v>90</v>
      </c>
      <c r="B43" s="21" t="s">
        <v>122</v>
      </c>
      <c r="C43" s="22" t="s">
        <v>123</v>
      </c>
      <c r="D43" s="23" t="s">
        <v>86</v>
      </c>
    </row>
    <row r="44">
      <c r="A44" s="21" t="s">
        <v>87</v>
      </c>
      <c r="B44" s="21" t="s">
        <v>132</v>
      </c>
      <c r="C44" s="22" t="s">
        <v>133</v>
      </c>
      <c r="D44" s="23" t="s">
        <v>86</v>
      </c>
    </row>
    <row r="45">
      <c r="A45" s="21" t="s">
        <v>152</v>
      </c>
      <c r="B45" s="21" t="s">
        <v>153</v>
      </c>
      <c r="C45" s="22" t="s">
        <v>154</v>
      </c>
      <c r="D45" s="23" t="s">
        <v>86</v>
      </c>
    </row>
    <row r="46">
      <c r="A46" s="21" t="s">
        <v>232</v>
      </c>
      <c r="B46" s="21" t="s">
        <v>233</v>
      </c>
      <c r="C46" s="22" t="s">
        <v>234</v>
      </c>
      <c r="D46" s="23" t="s">
        <v>86</v>
      </c>
    </row>
    <row r="47">
      <c r="A47" s="21" t="s">
        <v>197</v>
      </c>
      <c r="B47" s="21" t="s">
        <v>198</v>
      </c>
      <c r="C47" s="22" t="s">
        <v>199</v>
      </c>
      <c r="D47" s="23" t="s">
        <v>86</v>
      </c>
    </row>
    <row r="48">
      <c r="A48" s="21" t="s">
        <v>83</v>
      </c>
      <c r="B48" s="21" t="s">
        <v>84</v>
      </c>
      <c r="C48" s="22" t="s">
        <v>85</v>
      </c>
      <c r="D48" s="23" t="s">
        <v>86</v>
      </c>
    </row>
    <row r="49">
      <c r="A49" s="21" t="s">
        <v>146</v>
      </c>
      <c r="B49" s="21" t="s">
        <v>147</v>
      </c>
      <c r="C49" s="22" t="s">
        <v>148</v>
      </c>
      <c r="D49" s="23" t="s">
        <v>86</v>
      </c>
    </row>
    <row r="50">
      <c r="A50" s="21" t="s">
        <v>108</v>
      </c>
      <c r="B50" s="21" t="s">
        <v>109</v>
      </c>
      <c r="C50" s="22" t="s">
        <v>110</v>
      </c>
      <c r="D50" s="23" t="s">
        <v>86</v>
      </c>
    </row>
    <row r="51">
      <c r="A51" s="21" t="s">
        <v>164</v>
      </c>
      <c r="B51" s="21" t="s">
        <v>165</v>
      </c>
      <c r="C51" s="22" t="s">
        <v>166</v>
      </c>
      <c r="D51" s="23" t="s">
        <v>86</v>
      </c>
    </row>
    <row r="52">
      <c r="A52" s="21" t="s">
        <v>93</v>
      </c>
      <c r="B52" s="21" t="s">
        <v>245</v>
      </c>
      <c r="C52" s="22" t="s">
        <v>246</v>
      </c>
      <c r="D52" s="23" t="s">
        <v>86</v>
      </c>
    </row>
    <row r="53">
      <c r="A53" s="21" t="s">
        <v>111</v>
      </c>
      <c r="B53" s="21" t="s">
        <v>112</v>
      </c>
      <c r="C53" s="22" t="s">
        <v>113</v>
      </c>
      <c r="D53" s="23" t="s">
        <v>86</v>
      </c>
    </row>
    <row r="54">
      <c r="A54" s="21" t="s">
        <v>124</v>
      </c>
      <c r="B54" s="21" t="s">
        <v>249</v>
      </c>
      <c r="C54" s="22" t="s">
        <v>250</v>
      </c>
      <c r="D54" s="23" t="s">
        <v>86</v>
      </c>
    </row>
    <row r="55">
      <c r="A55" s="21" t="s">
        <v>229</v>
      </c>
      <c r="B55" s="21" t="s">
        <v>230</v>
      </c>
      <c r="C55" s="22" t="s">
        <v>231</v>
      </c>
      <c r="D55" s="23" t="s">
        <v>86</v>
      </c>
    </row>
    <row r="56">
      <c r="A56" s="21" t="s">
        <v>105</v>
      </c>
      <c r="B56" s="21" t="s">
        <v>117</v>
      </c>
      <c r="C56" s="22" t="s">
        <v>118</v>
      </c>
      <c r="D56" s="23" t="s">
        <v>86</v>
      </c>
    </row>
    <row r="57">
      <c r="A57" s="21" t="s">
        <v>158</v>
      </c>
      <c r="B57" s="21" t="s">
        <v>159</v>
      </c>
      <c r="C57" s="22" t="s">
        <v>160</v>
      </c>
      <c r="D57" s="23" t="s">
        <v>86</v>
      </c>
    </row>
    <row r="58">
      <c r="A58" s="21" t="s">
        <v>212</v>
      </c>
      <c r="B58" s="21" t="s">
        <v>213</v>
      </c>
      <c r="C58" s="22" t="s">
        <v>214</v>
      </c>
      <c r="D58" s="23" t="s">
        <v>86</v>
      </c>
    </row>
    <row r="59">
      <c r="A59" s="21" t="s">
        <v>124</v>
      </c>
      <c r="B59" s="21" t="s">
        <v>279</v>
      </c>
      <c r="C59" s="22" t="s">
        <v>280</v>
      </c>
      <c r="D59" s="23" t="s">
        <v>86</v>
      </c>
    </row>
    <row r="60">
      <c r="A60" s="21" t="s">
        <v>289</v>
      </c>
      <c r="B60" s="21" t="s">
        <v>290</v>
      </c>
      <c r="C60" s="22" t="s">
        <v>291</v>
      </c>
      <c r="D60" s="23" t="s">
        <v>86</v>
      </c>
    </row>
    <row r="61">
      <c r="A61" s="21" t="s">
        <v>137</v>
      </c>
      <c r="B61" s="21" t="s">
        <v>292</v>
      </c>
      <c r="C61" s="22" t="s">
        <v>293</v>
      </c>
      <c r="D61" s="23" t="s">
        <v>86</v>
      </c>
    </row>
    <row r="62">
      <c r="A62" s="21" t="s">
        <v>294</v>
      </c>
      <c r="B62" s="21" t="s">
        <v>297</v>
      </c>
      <c r="C62" s="22" t="s">
        <v>298</v>
      </c>
      <c r="D62" s="23" t="s">
        <v>86</v>
      </c>
    </row>
    <row r="63">
      <c r="A63" s="21" t="s">
        <v>189</v>
      </c>
      <c r="B63" s="21" t="s">
        <v>268</v>
      </c>
      <c r="C63" s="22" t="s">
        <v>269</v>
      </c>
      <c r="D63" s="23" t="s">
        <v>86</v>
      </c>
    </row>
    <row r="64">
      <c r="A64" s="21" t="s">
        <v>192</v>
      </c>
      <c r="B64" s="21" t="s">
        <v>193</v>
      </c>
      <c r="C64" s="22" t="s">
        <v>194</v>
      </c>
      <c r="D64" s="23" t="s">
        <v>86</v>
      </c>
    </row>
    <row r="65">
      <c r="A65" s="21" t="s">
        <v>119</v>
      </c>
      <c r="B65" s="21" t="s">
        <v>120</v>
      </c>
      <c r="C65" s="22" t="s">
        <v>121</v>
      </c>
      <c r="D65" s="23" t="s">
        <v>86</v>
      </c>
    </row>
    <row r="66">
      <c r="A66" s="21" t="s">
        <v>96</v>
      </c>
      <c r="B66" s="21" t="s">
        <v>97</v>
      </c>
      <c r="C66" s="22" t="s">
        <v>98</v>
      </c>
      <c r="D66" s="23" t="s">
        <v>86</v>
      </c>
    </row>
    <row r="67">
      <c r="A67" s="21" t="s">
        <v>189</v>
      </c>
      <c r="B67" s="21" t="s">
        <v>190</v>
      </c>
      <c r="C67" s="22" t="s">
        <v>191</v>
      </c>
      <c r="D67" s="23" t="s">
        <v>86</v>
      </c>
    </row>
    <row r="68">
      <c r="A68" s="21" t="s">
        <v>313</v>
      </c>
      <c r="B68" s="21" t="s">
        <v>314</v>
      </c>
      <c r="C68" s="22" t="s">
        <v>315</v>
      </c>
      <c r="D68" s="23" t="s">
        <v>86</v>
      </c>
    </row>
    <row r="69">
      <c r="A69" s="21" t="s">
        <v>281</v>
      </c>
      <c r="B69" s="21" t="s">
        <v>282</v>
      </c>
      <c r="C69" s="22" t="s">
        <v>283</v>
      </c>
      <c r="D69" s="23" t="s">
        <v>86</v>
      </c>
    </row>
    <row r="70">
      <c r="A70" s="21" t="s">
        <v>294</v>
      </c>
      <c r="B70" s="21" t="s">
        <v>295</v>
      </c>
      <c r="C70" s="22" t="s">
        <v>296</v>
      </c>
      <c r="D70" s="23" t="s">
        <v>86</v>
      </c>
    </row>
    <row r="71">
      <c r="A71" s="21" t="s">
        <v>164</v>
      </c>
      <c r="B71" s="21" t="s">
        <v>331</v>
      </c>
      <c r="C71" s="22" t="s">
        <v>332</v>
      </c>
      <c r="D71" s="23" t="s">
        <v>86</v>
      </c>
    </row>
    <row r="72">
      <c r="A72" s="21" t="s">
        <v>105</v>
      </c>
      <c r="B72" s="21" t="s">
        <v>106</v>
      </c>
      <c r="C72" s="22" t="s">
        <v>107</v>
      </c>
      <c r="D72" s="23" t="s">
        <v>86</v>
      </c>
    </row>
    <row r="73">
      <c r="A73" s="21" t="s">
        <v>137</v>
      </c>
      <c r="B73" s="21" t="s">
        <v>138</v>
      </c>
      <c r="C73" s="22" t="s">
        <v>139</v>
      </c>
      <c r="D73" s="23" t="s">
        <v>86</v>
      </c>
    </row>
    <row r="74">
      <c r="A74" s="21" t="s">
        <v>124</v>
      </c>
      <c r="B74" s="21" t="s">
        <v>130</v>
      </c>
      <c r="C74" s="22" t="s">
        <v>131</v>
      </c>
      <c r="D74" s="23" t="s">
        <v>86</v>
      </c>
    </row>
    <row r="75">
      <c r="A75" s="21" t="s">
        <v>134</v>
      </c>
      <c r="B75" s="21" t="s">
        <v>135</v>
      </c>
      <c r="C75" s="22" t="s">
        <v>136</v>
      </c>
      <c r="D75" s="23" t="s">
        <v>86</v>
      </c>
    </row>
    <row r="76">
      <c r="A76" s="21" t="s">
        <v>174</v>
      </c>
      <c r="B76" s="21" t="s">
        <v>218</v>
      </c>
      <c r="C76" s="22" t="s">
        <v>219</v>
      </c>
      <c r="D76" s="23" t="s">
        <v>86</v>
      </c>
    </row>
    <row r="77">
      <c r="A77" s="21" t="s">
        <v>114</v>
      </c>
      <c r="B77" s="21" t="s">
        <v>167</v>
      </c>
      <c r="C77" s="22" t="s">
        <v>168</v>
      </c>
      <c r="D77" s="23" t="s">
        <v>86</v>
      </c>
    </row>
    <row r="78">
      <c r="A78" s="21" t="s">
        <v>281</v>
      </c>
      <c r="B78" s="21" t="s">
        <v>340</v>
      </c>
      <c r="C78" s="22" t="s">
        <v>341</v>
      </c>
      <c r="D78" s="23" t="s">
        <v>86</v>
      </c>
    </row>
    <row r="79">
      <c r="A79" s="21" t="s">
        <v>177</v>
      </c>
      <c r="B79" s="21" t="s">
        <v>178</v>
      </c>
      <c r="C79" s="22" t="s">
        <v>179</v>
      </c>
      <c r="D79" s="23" t="s">
        <v>86</v>
      </c>
    </row>
    <row r="80">
      <c r="A80" s="21" t="s">
        <v>155</v>
      </c>
      <c r="B80" s="21" t="s">
        <v>156</v>
      </c>
      <c r="C80" s="22" t="s">
        <v>157</v>
      </c>
      <c r="D80" s="23" t="s">
        <v>86</v>
      </c>
    </row>
    <row r="81">
      <c r="A81" s="21" t="s">
        <v>93</v>
      </c>
      <c r="B81" s="21" t="s">
        <v>311</v>
      </c>
      <c r="C81" s="22" t="s">
        <v>312</v>
      </c>
      <c r="D81" s="23" t="s">
        <v>86</v>
      </c>
    </row>
    <row r="82">
      <c r="A82" s="21" t="s">
        <v>87</v>
      </c>
      <c r="B82" s="21" t="s">
        <v>253</v>
      </c>
      <c r="C82" s="22" t="s">
        <v>254</v>
      </c>
      <c r="D82" s="23" t="s">
        <v>86</v>
      </c>
    </row>
    <row r="83">
      <c r="A83" s="21" t="s">
        <v>90</v>
      </c>
      <c r="B83" s="21" t="s">
        <v>91</v>
      </c>
      <c r="C83" s="22" t="s">
        <v>92</v>
      </c>
      <c r="D83" s="23" t="s">
        <v>86</v>
      </c>
    </row>
    <row r="84">
      <c r="A84" s="21" t="s">
        <v>276</v>
      </c>
      <c r="B84" s="21" t="s">
        <v>301</v>
      </c>
      <c r="C84" s="22" t="s">
        <v>302</v>
      </c>
      <c r="D84" s="23" t="s">
        <v>86</v>
      </c>
    </row>
    <row r="85">
      <c r="A85" s="21" t="s">
        <v>102</v>
      </c>
      <c r="B85" s="21" t="s">
        <v>172</v>
      </c>
      <c r="C85" s="22" t="s">
        <v>173</v>
      </c>
      <c r="D85" s="23" t="s">
        <v>86</v>
      </c>
    </row>
    <row r="86">
      <c r="A86" s="21" t="s">
        <v>203</v>
      </c>
      <c r="B86" s="21" t="s">
        <v>251</v>
      </c>
      <c r="C86" s="22" t="s">
        <v>252</v>
      </c>
      <c r="D86" s="23" t="s">
        <v>86</v>
      </c>
    </row>
    <row r="87">
      <c r="A87" s="21" t="s">
        <v>169</v>
      </c>
      <c r="B87" s="21" t="s">
        <v>170</v>
      </c>
      <c r="C87" s="22" t="s">
        <v>171</v>
      </c>
      <c r="D87" s="23" t="s">
        <v>86</v>
      </c>
    </row>
    <row r="88">
      <c r="A88" s="21" t="s">
        <v>105</v>
      </c>
      <c r="B88" s="21" t="s">
        <v>240</v>
      </c>
      <c r="C88" s="22" t="s">
        <v>241</v>
      </c>
      <c r="D88" s="23" t="s">
        <v>86</v>
      </c>
    </row>
    <row r="89">
      <c r="A89" s="21" t="s">
        <v>99</v>
      </c>
      <c r="B89" s="21" t="s">
        <v>206</v>
      </c>
      <c r="C89" s="22" t="s">
        <v>207</v>
      </c>
      <c r="D89" s="23" t="s">
        <v>86</v>
      </c>
    </row>
    <row r="90">
      <c r="A90" s="21" t="s">
        <v>262</v>
      </c>
      <c r="B90" s="21" t="s">
        <v>263</v>
      </c>
      <c r="C90" s="22" t="s">
        <v>264</v>
      </c>
      <c r="D90" s="23" t="s">
        <v>86</v>
      </c>
    </row>
    <row r="91">
      <c r="A91" s="21" t="s">
        <v>203</v>
      </c>
      <c r="B91" s="21" t="s">
        <v>204</v>
      </c>
      <c r="C91" s="22" t="s">
        <v>205</v>
      </c>
      <c r="D91" s="23" t="s">
        <v>86</v>
      </c>
    </row>
    <row r="92">
      <c r="A92" s="21" t="s">
        <v>177</v>
      </c>
      <c r="B92" s="21" t="s">
        <v>187</v>
      </c>
      <c r="C92" s="22" t="s">
        <v>188</v>
      </c>
      <c r="D92" s="23" t="s">
        <v>86</v>
      </c>
    </row>
    <row r="93">
      <c r="A93" s="21" t="s">
        <v>161</v>
      </c>
      <c r="B93" s="21" t="s">
        <v>162</v>
      </c>
      <c r="C93" s="22" t="s">
        <v>163</v>
      </c>
      <c r="D93" s="23" t="s">
        <v>86</v>
      </c>
    </row>
    <row r="94">
      <c r="A94" s="21" t="s">
        <v>333</v>
      </c>
      <c r="B94" s="21" t="s">
        <v>334</v>
      </c>
      <c r="C94" s="22" t="s">
        <v>335</v>
      </c>
      <c r="D94" s="23" t="s">
        <v>86</v>
      </c>
    </row>
    <row r="95">
      <c r="A95" s="21" t="s">
        <v>237</v>
      </c>
      <c r="B95" s="21" t="s">
        <v>238</v>
      </c>
      <c r="C95" s="22" t="s">
        <v>239</v>
      </c>
      <c r="D95" s="23" t="s">
        <v>86</v>
      </c>
    </row>
    <row r="96">
      <c r="A96" s="21" t="s">
        <v>200</v>
      </c>
      <c r="B96" s="21" t="s">
        <v>201</v>
      </c>
      <c r="C96" s="22" t="s">
        <v>202</v>
      </c>
      <c r="D96" s="23" t="s">
        <v>86</v>
      </c>
    </row>
    <row r="97">
      <c r="A97" s="21" t="s">
        <v>146</v>
      </c>
      <c r="B97" s="21" t="s">
        <v>336</v>
      </c>
      <c r="C97" s="22" t="s">
        <v>337</v>
      </c>
      <c r="D97" s="23" t="s">
        <v>86</v>
      </c>
    </row>
    <row r="98">
      <c r="A98" s="21" t="s">
        <v>124</v>
      </c>
      <c r="B98" s="21" t="s">
        <v>303</v>
      </c>
      <c r="C98" s="22" t="s">
        <v>304</v>
      </c>
      <c r="D98" s="23" t="s">
        <v>86</v>
      </c>
    </row>
    <row r="99">
      <c r="A99" s="21" t="s">
        <v>158</v>
      </c>
      <c r="B99" s="21" t="s">
        <v>318</v>
      </c>
      <c r="C99" s="22" t="s">
        <v>319</v>
      </c>
      <c r="D99" s="23" t="s">
        <v>86</v>
      </c>
    </row>
    <row r="100">
      <c r="A100" s="21" t="s">
        <v>90</v>
      </c>
      <c r="B100" s="21" t="s">
        <v>210</v>
      </c>
      <c r="C100" s="22" t="s">
        <v>211</v>
      </c>
      <c r="D100" s="23" t="s">
        <v>86</v>
      </c>
    </row>
    <row r="101">
      <c r="A101" s="21" t="s">
        <v>93</v>
      </c>
      <c r="B101" s="21" t="s">
        <v>338</v>
      </c>
      <c r="C101" s="22" t="s">
        <v>339</v>
      </c>
      <c r="D101" s="23" t="s">
        <v>86</v>
      </c>
    </row>
    <row r="102">
      <c r="C102" s="24"/>
      <c r="D102" s="25"/>
    </row>
    <row r="103">
      <c r="C103" s="24"/>
      <c r="D103" s="25"/>
    </row>
    <row r="104">
      <c r="C104" s="24"/>
      <c r="D104" s="25"/>
    </row>
    <row r="105">
      <c r="C105" s="24"/>
      <c r="D105" s="25"/>
    </row>
    <row r="106">
      <c r="C106" s="24"/>
      <c r="D106" s="25"/>
    </row>
    <row r="107">
      <c r="C107" s="24"/>
      <c r="D107" s="25"/>
    </row>
    <row r="108">
      <c r="C108" s="24"/>
      <c r="D108" s="25"/>
    </row>
    <row r="109">
      <c r="C109" s="24"/>
      <c r="D109" s="25"/>
    </row>
    <row r="110">
      <c r="C110" s="24"/>
      <c r="D110" s="25"/>
    </row>
    <row r="111">
      <c r="C111" s="24"/>
      <c r="D111" s="25"/>
    </row>
    <row r="112">
      <c r="C112" s="24"/>
      <c r="D112" s="25"/>
    </row>
    <row r="113">
      <c r="C113" s="24"/>
      <c r="D113" s="25"/>
    </row>
    <row r="114">
      <c r="C114" s="24"/>
      <c r="D114" s="25"/>
    </row>
    <row r="115">
      <c r="C115" s="24"/>
      <c r="D115" s="25"/>
    </row>
    <row r="116">
      <c r="C116" s="24"/>
      <c r="D116" s="25"/>
    </row>
    <row r="117">
      <c r="C117" s="24"/>
      <c r="D117" s="25"/>
    </row>
    <row r="118">
      <c r="C118" s="24"/>
      <c r="D118" s="25"/>
    </row>
    <row r="119">
      <c r="C119" s="24"/>
      <c r="D119" s="25"/>
    </row>
    <row r="120">
      <c r="C120" s="24"/>
      <c r="D120" s="25"/>
    </row>
    <row r="121">
      <c r="C121" s="24"/>
      <c r="D121" s="25"/>
    </row>
    <row r="122">
      <c r="C122" s="24"/>
      <c r="D122" s="25"/>
    </row>
    <row r="123">
      <c r="C123" s="24"/>
      <c r="D123" s="25"/>
    </row>
    <row r="124">
      <c r="C124" s="24"/>
      <c r="D124" s="25"/>
    </row>
    <row r="125">
      <c r="C125" s="24"/>
      <c r="D125" s="25"/>
    </row>
    <row r="126">
      <c r="C126" s="24"/>
      <c r="D126" s="25"/>
    </row>
    <row r="127">
      <c r="C127" s="24"/>
      <c r="D127" s="25"/>
    </row>
    <row r="128">
      <c r="C128" s="24"/>
      <c r="D128" s="25"/>
    </row>
    <row r="129">
      <c r="C129" s="24"/>
      <c r="D129" s="25"/>
    </row>
    <row r="130">
      <c r="C130" s="24"/>
      <c r="D130" s="25"/>
    </row>
    <row r="131">
      <c r="C131" s="24"/>
      <c r="D131" s="25"/>
    </row>
    <row r="132">
      <c r="C132" s="24"/>
      <c r="D132" s="25"/>
    </row>
    <row r="133">
      <c r="C133" s="24"/>
      <c r="D133" s="25"/>
    </row>
    <row r="134">
      <c r="C134" s="24"/>
      <c r="D134" s="25"/>
    </row>
    <row r="135">
      <c r="C135" s="24"/>
      <c r="D135" s="25"/>
    </row>
    <row r="136">
      <c r="C136" s="24"/>
      <c r="D136" s="25"/>
    </row>
    <row r="137">
      <c r="C137" s="24"/>
      <c r="D137" s="25"/>
    </row>
    <row r="138">
      <c r="C138" s="24"/>
      <c r="D138" s="25"/>
    </row>
    <row r="139">
      <c r="C139" s="24"/>
      <c r="D139" s="25"/>
    </row>
    <row r="140">
      <c r="C140" s="24"/>
      <c r="D140" s="25"/>
    </row>
    <row r="141">
      <c r="C141" s="24"/>
      <c r="D141" s="25"/>
    </row>
    <row r="142">
      <c r="C142" s="24"/>
      <c r="D142" s="25"/>
    </row>
    <row r="143">
      <c r="C143" s="24"/>
      <c r="D143" s="25"/>
    </row>
    <row r="144">
      <c r="C144" s="24"/>
      <c r="D144" s="25"/>
    </row>
    <row r="145">
      <c r="C145" s="24"/>
      <c r="D145" s="25"/>
    </row>
    <row r="146">
      <c r="C146" s="24"/>
      <c r="D146" s="25"/>
    </row>
    <row r="147">
      <c r="C147" s="24"/>
      <c r="D147" s="25"/>
    </row>
    <row r="148">
      <c r="C148" s="24"/>
      <c r="D148" s="25"/>
    </row>
    <row r="149">
      <c r="C149" s="24"/>
      <c r="D149" s="25"/>
    </row>
    <row r="150">
      <c r="C150" s="24"/>
      <c r="D150" s="25"/>
    </row>
    <row r="151">
      <c r="C151" s="24"/>
      <c r="D151" s="25"/>
    </row>
    <row r="152">
      <c r="C152" s="24"/>
      <c r="D152" s="25"/>
    </row>
    <row r="153">
      <c r="C153" s="24"/>
      <c r="D153" s="25"/>
    </row>
    <row r="154">
      <c r="C154" s="24"/>
      <c r="D154" s="25"/>
    </row>
    <row r="155">
      <c r="C155" s="24"/>
      <c r="D155" s="25"/>
    </row>
    <row r="156">
      <c r="C156" s="24"/>
      <c r="D156" s="25"/>
    </row>
    <row r="157">
      <c r="C157" s="24"/>
      <c r="D157" s="25"/>
    </row>
    <row r="158">
      <c r="C158" s="24"/>
      <c r="D158" s="25"/>
    </row>
    <row r="159">
      <c r="C159" s="24"/>
      <c r="D159" s="25"/>
    </row>
    <row r="160">
      <c r="C160" s="24"/>
      <c r="D160" s="25"/>
    </row>
    <row r="161">
      <c r="C161" s="24"/>
      <c r="D161" s="25"/>
    </row>
    <row r="162">
      <c r="C162" s="24"/>
      <c r="D162" s="25"/>
    </row>
    <row r="163">
      <c r="C163" s="24"/>
      <c r="D163" s="25"/>
    </row>
    <row r="164">
      <c r="C164" s="24"/>
      <c r="D164" s="25"/>
    </row>
    <row r="165">
      <c r="C165" s="24"/>
      <c r="D165" s="25"/>
    </row>
    <row r="166">
      <c r="C166" s="24"/>
      <c r="D166" s="25"/>
    </row>
    <row r="167">
      <c r="C167" s="24"/>
      <c r="D167" s="25"/>
    </row>
    <row r="168">
      <c r="C168" s="24"/>
      <c r="D168" s="25"/>
    </row>
    <row r="169">
      <c r="C169" s="24"/>
      <c r="D169" s="25"/>
    </row>
    <row r="170">
      <c r="C170" s="24"/>
      <c r="D170" s="25"/>
    </row>
    <row r="171">
      <c r="C171" s="24"/>
      <c r="D171" s="25"/>
    </row>
    <row r="172">
      <c r="C172" s="24"/>
      <c r="D172" s="25"/>
    </row>
    <row r="173">
      <c r="C173" s="24"/>
      <c r="D173" s="25"/>
    </row>
    <row r="174">
      <c r="C174" s="24"/>
      <c r="D174" s="25"/>
    </row>
    <row r="175">
      <c r="C175" s="24"/>
      <c r="D175" s="25"/>
    </row>
    <row r="176">
      <c r="C176" s="24"/>
      <c r="D176" s="25"/>
    </row>
    <row r="177">
      <c r="C177" s="24"/>
      <c r="D177" s="25"/>
    </row>
    <row r="178">
      <c r="C178" s="24"/>
      <c r="D178" s="25"/>
    </row>
    <row r="179">
      <c r="C179" s="24"/>
      <c r="D179" s="25"/>
    </row>
    <row r="180">
      <c r="C180" s="24"/>
      <c r="D180" s="25"/>
    </row>
    <row r="181">
      <c r="C181" s="24"/>
      <c r="D181" s="25"/>
    </row>
    <row r="182">
      <c r="C182" s="24"/>
      <c r="D182" s="25"/>
    </row>
    <row r="183">
      <c r="C183" s="24"/>
      <c r="D183" s="25"/>
    </row>
    <row r="184">
      <c r="C184" s="24"/>
      <c r="D184" s="25"/>
    </row>
    <row r="185">
      <c r="C185" s="24"/>
      <c r="D185" s="25"/>
    </row>
    <row r="186">
      <c r="C186" s="24"/>
      <c r="D186" s="25"/>
    </row>
    <row r="187">
      <c r="C187" s="24"/>
      <c r="D187" s="25"/>
    </row>
    <row r="188">
      <c r="C188" s="24"/>
      <c r="D188" s="25"/>
    </row>
    <row r="189">
      <c r="C189" s="24"/>
      <c r="D189" s="25"/>
    </row>
    <row r="190">
      <c r="C190" s="24"/>
      <c r="D190" s="25"/>
    </row>
    <row r="191">
      <c r="C191" s="24"/>
      <c r="D191" s="25"/>
    </row>
    <row r="192">
      <c r="C192" s="24"/>
      <c r="D192" s="25"/>
    </row>
    <row r="193">
      <c r="C193" s="24"/>
      <c r="D193" s="25"/>
    </row>
    <row r="194">
      <c r="C194" s="24"/>
      <c r="D194" s="25"/>
    </row>
    <row r="195">
      <c r="C195" s="24"/>
      <c r="D195" s="25"/>
    </row>
    <row r="196">
      <c r="C196" s="24"/>
      <c r="D196" s="25"/>
    </row>
    <row r="197">
      <c r="C197" s="24"/>
      <c r="D197" s="25"/>
    </row>
    <row r="198">
      <c r="C198" s="24"/>
      <c r="D198" s="25"/>
    </row>
    <row r="199">
      <c r="C199" s="24"/>
      <c r="D199" s="25"/>
    </row>
    <row r="200">
      <c r="C200" s="24"/>
      <c r="D200" s="25"/>
    </row>
    <row r="201">
      <c r="C201" s="24"/>
      <c r="D201" s="25"/>
    </row>
    <row r="202">
      <c r="C202" s="24"/>
      <c r="D202" s="25"/>
    </row>
    <row r="203">
      <c r="C203" s="24"/>
      <c r="D203" s="25"/>
    </row>
    <row r="204">
      <c r="C204" s="24"/>
      <c r="D204" s="25"/>
    </row>
    <row r="205">
      <c r="C205" s="24"/>
      <c r="D205" s="25"/>
    </row>
    <row r="206">
      <c r="C206" s="24"/>
      <c r="D206" s="25"/>
    </row>
    <row r="207">
      <c r="C207" s="24"/>
      <c r="D207" s="25"/>
    </row>
    <row r="208">
      <c r="C208" s="24"/>
      <c r="D208" s="25"/>
    </row>
    <row r="209">
      <c r="C209" s="24"/>
      <c r="D209" s="25"/>
    </row>
    <row r="210">
      <c r="C210" s="24"/>
      <c r="D210" s="25"/>
    </row>
    <row r="211">
      <c r="C211" s="24"/>
      <c r="D211" s="25"/>
    </row>
    <row r="212">
      <c r="C212" s="24"/>
      <c r="D212" s="25"/>
    </row>
    <row r="213">
      <c r="C213" s="24"/>
      <c r="D213" s="25"/>
    </row>
    <row r="214">
      <c r="C214" s="24"/>
      <c r="D214" s="25"/>
    </row>
    <row r="215">
      <c r="C215" s="24"/>
      <c r="D215" s="25"/>
    </row>
    <row r="216">
      <c r="C216" s="24"/>
      <c r="D216" s="25"/>
    </row>
    <row r="217">
      <c r="C217" s="24"/>
      <c r="D217" s="25"/>
    </row>
    <row r="218">
      <c r="C218" s="24"/>
      <c r="D218" s="25"/>
    </row>
    <row r="219">
      <c r="C219" s="24"/>
      <c r="D219" s="25"/>
    </row>
    <row r="220">
      <c r="C220" s="24"/>
      <c r="D220" s="25"/>
    </row>
    <row r="221">
      <c r="C221" s="24"/>
      <c r="D221" s="25"/>
    </row>
    <row r="222">
      <c r="C222" s="24"/>
      <c r="D222" s="25"/>
    </row>
    <row r="223">
      <c r="C223" s="24"/>
      <c r="D223" s="25"/>
    </row>
    <row r="224">
      <c r="C224" s="24"/>
      <c r="D224" s="25"/>
    </row>
    <row r="225">
      <c r="C225" s="24"/>
      <c r="D225" s="25"/>
    </row>
    <row r="226">
      <c r="C226" s="24"/>
      <c r="D226" s="25"/>
    </row>
    <row r="227">
      <c r="C227" s="24"/>
      <c r="D227" s="25"/>
    </row>
    <row r="228">
      <c r="C228" s="24"/>
      <c r="D228" s="25"/>
    </row>
    <row r="229">
      <c r="C229" s="24"/>
      <c r="D229" s="25"/>
    </row>
    <row r="230">
      <c r="C230" s="24"/>
      <c r="D230" s="25"/>
    </row>
    <row r="231">
      <c r="C231" s="24"/>
      <c r="D231" s="25"/>
    </row>
    <row r="232">
      <c r="C232" s="24"/>
      <c r="D232" s="25"/>
    </row>
    <row r="233">
      <c r="C233" s="24"/>
      <c r="D233" s="25"/>
    </row>
    <row r="234">
      <c r="C234" s="24"/>
      <c r="D234" s="25"/>
    </row>
    <row r="235">
      <c r="C235" s="24"/>
      <c r="D235" s="25"/>
    </row>
    <row r="236">
      <c r="C236" s="24"/>
      <c r="D236" s="25"/>
    </row>
    <row r="237">
      <c r="C237" s="24"/>
      <c r="D237" s="25"/>
    </row>
    <row r="238">
      <c r="C238" s="24"/>
      <c r="D238" s="25"/>
    </row>
    <row r="239">
      <c r="C239" s="24"/>
      <c r="D239" s="25"/>
    </row>
    <row r="240">
      <c r="C240" s="24"/>
      <c r="D240" s="25"/>
    </row>
    <row r="241">
      <c r="C241" s="24"/>
      <c r="D241" s="25"/>
    </row>
    <row r="242">
      <c r="C242" s="24"/>
      <c r="D242" s="25"/>
    </row>
    <row r="243">
      <c r="C243" s="24"/>
      <c r="D243" s="25"/>
    </row>
    <row r="244">
      <c r="C244" s="24"/>
      <c r="D244" s="25"/>
    </row>
    <row r="245">
      <c r="C245" s="24"/>
      <c r="D245" s="25"/>
    </row>
    <row r="246">
      <c r="C246" s="24"/>
      <c r="D246" s="25"/>
    </row>
    <row r="247">
      <c r="C247" s="24"/>
      <c r="D247" s="25"/>
    </row>
    <row r="248">
      <c r="C248" s="24"/>
      <c r="D248" s="25"/>
    </row>
    <row r="249">
      <c r="C249" s="24"/>
      <c r="D249" s="25"/>
    </row>
    <row r="250">
      <c r="C250" s="24"/>
      <c r="D250" s="25"/>
    </row>
    <row r="251">
      <c r="C251" s="24"/>
      <c r="D251" s="25"/>
    </row>
    <row r="252">
      <c r="C252" s="24"/>
      <c r="D252" s="25"/>
    </row>
    <row r="253">
      <c r="C253" s="24"/>
      <c r="D253" s="25"/>
    </row>
    <row r="254">
      <c r="C254" s="24"/>
      <c r="D254" s="25"/>
    </row>
    <row r="255">
      <c r="C255" s="24"/>
      <c r="D255" s="25"/>
    </row>
    <row r="256">
      <c r="C256" s="24"/>
      <c r="D256" s="25"/>
    </row>
    <row r="257">
      <c r="C257" s="24"/>
      <c r="D257" s="25"/>
    </row>
    <row r="258">
      <c r="C258" s="24"/>
      <c r="D258" s="25"/>
    </row>
    <row r="259">
      <c r="C259" s="24"/>
      <c r="D259" s="25"/>
    </row>
    <row r="260">
      <c r="C260" s="24"/>
      <c r="D260" s="25"/>
    </row>
    <row r="261">
      <c r="C261" s="24"/>
      <c r="D261" s="25"/>
    </row>
    <row r="262">
      <c r="C262" s="24"/>
      <c r="D262" s="25"/>
    </row>
    <row r="263">
      <c r="C263" s="24"/>
      <c r="D263" s="25"/>
    </row>
    <row r="264">
      <c r="C264" s="24"/>
      <c r="D264" s="25"/>
    </row>
    <row r="265">
      <c r="C265" s="24"/>
      <c r="D265" s="25"/>
    </row>
    <row r="266">
      <c r="C266" s="24"/>
      <c r="D266" s="25"/>
    </row>
    <row r="267">
      <c r="C267" s="24"/>
      <c r="D267" s="25"/>
    </row>
    <row r="268">
      <c r="C268" s="24"/>
      <c r="D268" s="25"/>
    </row>
    <row r="269">
      <c r="C269" s="24"/>
      <c r="D269" s="25"/>
    </row>
    <row r="270">
      <c r="C270" s="24"/>
      <c r="D270" s="25"/>
    </row>
    <row r="271">
      <c r="C271" s="24"/>
      <c r="D271" s="25"/>
    </row>
    <row r="272">
      <c r="C272" s="24"/>
      <c r="D272" s="25"/>
    </row>
    <row r="273">
      <c r="C273" s="24"/>
      <c r="D273" s="25"/>
    </row>
    <row r="274">
      <c r="C274" s="24"/>
      <c r="D274" s="25"/>
    </row>
    <row r="275">
      <c r="C275" s="24"/>
      <c r="D275" s="25"/>
    </row>
    <row r="276">
      <c r="C276" s="24"/>
      <c r="D276" s="25"/>
    </row>
    <row r="277">
      <c r="C277" s="24"/>
      <c r="D277" s="25"/>
    </row>
    <row r="278">
      <c r="C278" s="24"/>
      <c r="D278" s="25"/>
    </row>
    <row r="279">
      <c r="C279" s="24"/>
      <c r="D279" s="25"/>
    </row>
    <row r="280">
      <c r="C280" s="24"/>
      <c r="D280" s="25"/>
    </row>
    <row r="281">
      <c r="C281" s="24"/>
      <c r="D281" s="25"/>
    </row>
    <row r="282">
      <c r="C282" s="24"/>
      <c r="D282" s="25"/>
    </row>
    <row r="283">
      <c r="C283" s="24"/>
      <c r="D283" s="25"/>
    </row>
    <row r="284">
      <c r="C284" s="24"/>
      <c r="D284" s="25"/>
    </row>
    <row r="285">
      <c r="C285" s="24"/>
      <c r="D285" s="25"/>
    </row>
    <row r="286">
      <c r="C286" s="24"/>
      <c r="D286" s="25"/>
    </row>
    <row r="287">
      <c r="C287" s="24"/>
      <c r="D287" s="25"/>
    </row>
    <row r="288">
      <c r="C288" s="24"/>
      <c r="D288" s="25"/>
    </row>
    <row r="289">
      <c r="C289" s="24"/>
      <c r="D289" s="25"/>
    </row>
    <row r="290">
      <c r="C290" s="24"/>
      <c r="D290" s="25"/>
    </row>
    <row r="291">
      <c r="C291" s="24"/>
      <c r="D291" s="25"/>
    </row>
    <row r="292">
      <c r="C292" s="24"/>
      <c r="D292" s="25"/>
    </row>
    <row r="293">
      <c r="C293" s="24"/>
      <c r="D293" s="25"/>
    </row>
    <row r="294">
      <c r="C294" s="24"/>
      <c r="D294" s="25"/>
    </row>
    <row r="295">
      <c r="C295" s="24"/>
      <c r="D295" s="25"/>
    </row>
    <row r="296">
      <c r="C296" s="24"/>
      <c r="D296" s="25"/>
    </row>
    <row r="297">
      <c r="C297" s="24"/>
      <c r="D297" s="25"/>
    </row>
    <row r="298">
      <c r="C298" s="24"/>
      <c r="D298" s="25"/>
    </row>
    <row r="299">
      <c r="C299" s="24"/>
      <c r="D299" s="25"/>
    </row>
    <row r="300">
      <c r="C300" s="24"/>
      <c r="D300" s="25"/>
    </row>
    <row r="301">
      <c r="C301" s="24"/>
      <c r="D301" s="25"/>
    </row>
    <row r="302">
      <c r="C302" s="24"/>
      <c r="D302" s="25"/>
    </row>
    <row r="303">
      <c r="C303" s="24"/>
      <c r="D303" s="25"/>
    </row>
    <row r="304">
      <c r="C304" s="24"/>
      <c r="D304" s="25"/>
    </row>
    <row r="305">
      <c r="C305" s="24"/>
      <c r="D305" s="25"/>
    </row>
    <row r="306">
      <c r="C306" s="24"/>
      <c r="D306" s="25"/>
    </row>
    <row r="307">
      <c r="C307" s="24"/>
      <c r="D307" s="25"/>
    </row>
    <row r="308">
      <c r="C308" s="24"/>
      <c r="D308" s="25"/>
    </row>
    <row r="309">
      <c r="C309" s="24"/>
      <c r="D309" s="25"/>
    </row>
    <row r="310">
      <c r="C310" s="24"/>
      <c r="D310" s="25"/>
    </row>
    <row r="311">
      <c r="C311" s="24"/>
      <c r="D311" s="25"/>
    </row>
    <row r="312">
      <c r="C312" s="24"/>
      <c r="D312" s="25"/>
    </row>
    <row r="313">
      <c r="C313" s="24"/>
      <c r="D313" s="25"/>
    </row>
    <row r="314">
      <c r="C314" s="24"/>
      <c r="D314" s="25"/>
    </row>
    <row r="315">
      <c r="C315" s="24"/>
      <c r="D315" s="25"/>
    </row>
    <row r="316">
      <c r="C316" s="24"/>
      <c r="D316" s="25"/>
    </row>
    <row r="317">
      <c r="C317" s="24"/>
      <c r="D317" s="25"/>
    </row>
    <row r="318">
      <c r="C318" s="24"/>
      <c r="D318" s="25"/>
    </row>
    <row r="319">
      <c r="C319" s="24"/>
      <c r="D319" s="25"/>
    </row>
    <row r="320">
      <c r="C320" s="24"/>
      <c r="D320" s="25"/>
    </row>
    <row r="321">
      <c r="C321" s="24"/>
      <c r="D321" s="25"/>
    </row>
    <row r="322">
      <c r="C322" s="24"/>
      <c r="D322" s="25"/>
    </row>
    <row r="323">
      <c r="C323" s="24"/>
      <c r="D323" s="25"/>
    </row>
    <row r="324">
      <c r="C324" s="24"/>
      <c r="D324" s="25"/>
    </row>
    <row r="325">
      <c r="C325" s="24"/>
      <c r="D325" s="25"/>
    </row>
    <row r="326">
      <c r="C326" s="24"/>
      <c r="D326" s="25"/>
    </row>
    <row r="327">
      <c r="C327" s="24"/>
      <c r="D327" s="25"/>
    </row>
    <row r="328">
      <c r="C328" s="24"/>
      <c r="D328" s="25"/>
    </row>
    <row r="329">
      <c r="C329" s="24"/>
      <c r="D329" s="25"/>
    </row>
    <row r="330">
      <c r="C330" s="24"/>
      <c r="D330" s="25"/>
    </row>
    <row r="331">
      <c r="C331" s="24"/>
      <c r="D331" s="25"/>
    </row>
    <row r="332">
      <c r="C332" s="24"/>
      <c r="D332" s="25"/>
    </row>
    <row r="333">
      <c r="C333" s="24"/>
      <c r="D333" s="25"/>
    </row>
    <row r="334">
      <c r="C334" s="24"/>
      <c r="D334" s="25"/>
    </row>
    <row r="335">
      <c r="C335" s="24"/>
      <c r="D335" s="25"/>
    </row>
    <row r="336">
      <c r="C336" s="24"/>
      <c r="D336" s="25"/>
    </row>
    <row r="337">
      <c r="C337" s="24"/>
      <c r="D337" s="25"/>
    </row>
    <row r="338">
      <c r="C338" s="24"/>
      <c r="D338" s="25"/>
    </row>
    <row r="339">
      <c r="C339" s="24"/>
      <c r="D339" s="25"/>
    </row>
    <row r="340">
      <c r="C340" s="24"/>
      <c r="D340" s="25"/>
    </row>
    <row r="341">
      <c r="C341" s="24"/>
      <c r="D341" s="25"/>
    </row>
    <row r="342">
      <c r="C342" s="24"/>
      <c r="D342" s="25"/>
    </row>
    <row r="343">
      <c r="C343" s="24"/>
      <c r="D343" s="25"/>
    </row>
    <row r="344">
      <c r="C344" s="24"/>
      <c r="D344" s="25"/>
    </row>
    <row r="345">
      <c r="C345" s="24"/>
      <c r="D345" s="25"/>
    </row>
    <row r="346">
      <c r="C346" s="24"/>
      <c r="D346" s="25"/>
    </row>
    <row r="347">
      <c r="C347" s="24"/>
      <c r="D347" s="25"/>
    </row>
    <row r="348">
      <c r="C348" s="24"/>
      <c r="D348" s="25"/>
    </row>
    <row r="349">
      <c r="C349" s="24"/>
      <c r="D349" s="25"/>
    </row>
    <row r="350">
      <c r="C350" s="24"/>
      <c r="D350" s="25"/>
    </row>
    <row r="351">
      <c r="C351" s="24"/>
      <c r="D351" s="25"/>
    </row>
    <row r="352">
      <c r="C352" s="24"/>
      <c r="D352" s="25"/>
    </row>
    <row r="353">
      <c r="C353" s="24"/>
      <c r="D353" s="25"/>
    </row>
    <row r="354">
      <c r="C354" s="24"/>
      <c r="D354" s="25"/>
    </row>
    <row r="355">
      <c r="C355" s="24"/>
      <c r="D355" s="25"/>
    </row>
    <row r="356">
      <c r="C356" s="24"/>
      <c r="D356" s="25"/>
    </row>
    <row r="357">
      <c r="C357" s="24"/>
      <c r="D357" s="25"/>
    </row>
    <row r="358">
      <c r="C358" s="24"/>
      <c r="D358" s="25"/>
    </row>
    <row r="359">
      <c r="C359" s="24"/>
      <c r="D359" s="25"/>
    </row>
    <row r="360">
      <c r="C360" s="24"/>
      <c r="D360" s="25"/>
    </row>
    <row r="361">
      <c r="C361" s="24"/>
      <c r="D361" s="25"/>
    </row>
    <row r="362">
      <c r="C362" s="24"/>
      <c r="D362" s="25"/>
    </row>
    <row r="363">
      <c r="C363" s="24"/>
      <c r="D363" s="25"/>
    </row>
    <row r="364">
      <c r="C364" s="24"/>
      <c r="D364" s="25"/>
    </row>
    <row r="365">
      <c r="C365" s="24"/>
      <c r="D365" s="25"/>
    </row>
    <row r="366">
      <c r="C366" s="24"/>
      <c r="D366" s="25"/>
    </row>
    <row r="367">
      <c r="C367" s="24"/>
      <c r="D367" s="25"/>
    </row>
    <row r="368">
      <c r="C368" s="24"/>
      <c r="D368" s="25"/>
    </row>
    <row r="369">
      <c r="C369" s="24"/>
      <c r="D369" s="25"/>
    </row>
    <row r="370">
      <c r="C370" s="24"/>
      <c r="D370" s="25"/>
    </row>
    <row r="371">
      <c r="C371" s="24"/>
      <c r="D371" s="25"/>
    </row>
    <row r="372">
      <c r="C372" s="24"/>
      <c r="D372" s="25"/>
    </row>
    <row r="373">
      <c r="C373" s="24"/>
      <c r="D373" s="25"/>
    </row>
    <row r="374">
      <c r="C374" s="24"/>
      <c r="D374" s="25"/>
    </row>
    <row r="375">
      <c r="C375" s="24"/>
      <c r="D375" s="25"/>
    </row>
    <row r="376">
      <c r="C376" s="24"/>
      <c r="D376" s="25"/>
    </row>
    <row r="377">
      <c r="C377" s="24"/>
      <c r="D377" s="25"/>
    </row>
    <row r="378">
      <c r="C378" s="24"/>
      <c r="D378" s="25"/>
    </row>
    <row r="379">
      <c r="C379" s="24"/>
      <c r="D379" s="25"/>
    </row>
    <row r="380">
      <c r="C380" s="24"/>
      <c r="D380" s="25"/>
    </row>
    <row r="381">
      <c r="C381" s="24"/>
      <c r="D381" s="25"/>
    </row>
    <row r="382">
      <c r="C382" s="24"/>
      <c r="D382" s="25"/>
    </row>
    <row r="383">
      <c r="C383" s="24"/>
      <c r="D383" s="25"/>
    </row>
    <row r="384">
      <c r="C384" s="24"/>
      <c r="D384" s="25"/>
    </row>
    <row r="385">
      <c r="C385" s="24"/>
      <c r="D385" s="25"/>
    </row>
    <row r="386">
      <c r="C386" s="24"/>
      <c r="D386" s="25"/>
    </row>
    <row r="387">
      <c r="C387" s="24"/>
      <c r="D387" s="25"/>
    </row>
    <row r="388">
      <c r="C388" s="24"/>
      <c r="D388" s="25"/>
    </row>
    <row r="389">
      <c r="C389" s="24"/>
      <c r="D389" s="25"/>
    </row>
    <row r="390">
      <c r="C390" s="24"/>
      <c r="D390" s="25"/>
    </row>
    <row r="391">
      <c r="C391" s="24"/>
      <c r="D391" s="25"/>
    </row>
    <row r="392">
      <c r="C392" s="24"/>
      <c r="D392" s="25"/>
    </row>
    <row r="393">
      <c r="C393" s="24"/>
      <c r="D393" s="25"/>
    </row>
    <row r="394">
      <c r="C394" s="24"/>
      <c r="D394" s="25"/>
    </row>
    <row r="395">
      <c r="C395" s="24"/>
      <c r="D395" s="25"/>
    </row>
    <row r="396">
      <c r="C396" s="24"/>
      <c r="D396" s="25"/>
    </row>
    <row r="397">
      <c r="C397" s="24"/>
      <c r="D397" s="25"/>
    </row>
    <row r="398">
      <c r="C398" s="24"/>
      <c r="D398" s="25"/>
    </row>
    <row r="399">
      <c r="C399" s="24"/>
      <c r="D399" s="25"/>
    </row>
    <row r="400">
      <c r="C400" s="24"/>
      <c r="D400" s="25"/>
    </row>
    <row r="401">
      <c r="C401" s="24"/>
      <c r="D401" s="25"/>
    </row>
    <row r="402">
      <c r="C402" s="24"/>
      <c r="D402" s="25"/>
    </row>
    <row r="403">
      <c r="C403" s="24"/>
      <c r="D403" s="25"/>
    </row>
    <row r="404">
      <c r="C404" s="24"/>
      <c r="D404" s="25"/>
    </row>
    <row r="405">
      <c r="C405" s="24"/>
      <c r="D405" s="25"/>
    </row>
    <row r="406">
      <c r="C406" s="24"/>
      <c r="D406" s="25"/>
    </row>
    <row r="407">
      <c r="C407" s="24"/>
      <c r="D407" s="25"/>
    </row>
    <row r="408">
      <c r="C408" s="24"/>
      <c r="D408" s="25"/>
    </row>
    <row r="409">
      <c r="C409" s="24"/>
      <c r="D409" s="25"/>
    </row>
    <row r="410">
      <c r="C410" s="24"/>
      <c r="D410" s="25"/>
    </row>
    <row r="411">
      <c r="C411" s="24"/>
      <c r="D411" s="25"/>
    </row>
    <row r="412">
      <c r="C412" s="24"/>
      <c r="D412" s="25"/>
    </row>
    <row r="413">
      <c r="C413" s="24"/>
      <c r="D413" s="25"/>
    </row>
    <row r="414">
      <c r="C414" s="24"/>
      <c r="D414" s="25"/>
    </row>
    <row r="415">
      <c r="C415" s="24"/>
      <c r="D415" s="25"/>
    </row>
    <row r="416">
      <c r="C416" s="24"/>
      <c r="D416" s="25"/>
    </row>
    <row r="417">
      <c r="C417" s="24"/>
      <c r="D417" s="25"/>
    </row>
    <row r="418">
      <c r="C418" s="24"/>
      <c r="D418" s="25"/>
    </row>
    <row r="419">
      <c r="C419" s="24"/>
      <c r="D419" s="25"/>
    </row>
    <row r="420">
      <c r="C420" s="24"/>
      <c r="D420" s="25"/>
    </row>
    <row r="421">
      <c r="C421" s="24"/>
      <c r="D421" s="25"/>
    </row>
    <row r="422">
      <c r="C422" s="24"/>
      <c r="D422" s="25"/>
    </row>
    <row r="423">
      <c r="C423" s="24"/>
      <c r="D423" s="25"/>
    </row>
    <row r="424">
      <c r="C424" s="24"/>
      <c r="D424" s="25"/>
    </row>
    <row r="425">
      <c r="C425" s="24"/>
      <c r="D425" s="25"/>
    </row>
    <row r="426">
      <c r="C426" s="24"/>
      <c r="D426" s="25"/>
    </row>
    <row r="427">
      <c r="C427" s="24"/>
      <c r="D427" s="25"/>
    </row>
    <row r="428">
      <c r="C428" s="24"/>
      <c r="D428" s="25"/>
    </row>
    <row r="429">
      <c r="C429" s="24"/>
      <c r="D429" s="25"/>
    </row>
    <row r="430">
      <c r="C430" s="24"/>
      <c r="D430" s="25"/>
    </row>
    <row r="431">
      <c r="C431" s="24"/>
      <c r="D431" s="25"/>
    </row>
    <row r="432">
      <c r="C432" s="24"/>
      <c r="D432" s="25"/>
    </row>
    <row r="433">
      <c r="C433" s="24"/>
      <c r="D433" s="25"/>
    </row>
    <row r="434">
      <c r="C434" s="24"/>
      <c r="D434" s="25"/>
    </row>
    <row r="435">
      <c r="C435" s="24"/>
      <c r="D435" s="25"/>
    </row>
    <row r="436">
      <c r="C436" s="24"/>
      <c r="D436" s="25"/>
    </row>
    <row r="437">
      <c r="C437" s="24"/>
      <c r="D437" s="25"/>
    </row>
    <row r="438">
      <c r="C438" s="24"/>
      <c r="D438" s="25"/>
    </row>
    <row r="439">
      <c r="C439" s="24"/>
      <c r="D439" s="25"/>
    </row>
    <row r="440">
      <c r="C440" s="24"/>
      <c r="D440" s="25"/>
    </row>
    <row r="441">
      <c r="C441" s="24"/>
      <c r="D441" s="25"/>
    </row>
    <row r="442">
      <c r="C442" s="24"/>
      <c r="D442" s="25"/>
    </row>
    <row r="443">
      <c r="C443" s="24"/>
      <c r="D443" s="25"/>
    </row>
    <row r="444">
      <c r="C444" s="24"/>
      <c r="D444" s="25"/>
    </row>
    <row r="445">
      <c r="C445" s="24"/>
      <c r="D445" s="25"/>
    </row>
    <row r="446">
      <c r="C446" s="24"/>
      <c r="D446" s="25"/>
    </row>
    <row r="447">
      <c r="C447" s="24"/>
      <c r="D447" s="25"/>
    </row>
    <row r="448">
      <c r="C448" s="24"/>
      <c r="D448" s="25"/>
    </row>
    <row r="449">
      <c r="C449" s="24"/>
      <c r="D449" s="25"/>
    </row>
    <row r="450">
      <c r="C450" s="24"/>
      <c r="D450" s="25"/>
    </row>
    <row r="451">
      <c r="C451" s="24"/>
      <c r="D451" s="25"/>
    </row>
    <row r="452">
      <c r="C452" s="24"/>
      <c r="D452" s="25"/>
    </row>
    <row r="453">
      <c r="C453" s="24"/>
      <c r="D453" s="25"/>
    </row>
    <row r="454">
      <c r="C454" s="24"/>
      <c r="D454" s="25"/>
    </row>
    <row r="455">
      <c r="C455" s="24"/>
      <c r="D455" s="25"/>
    </row>
    <row r="456">
      <c r="C456" s="24"/>
      <c r="D456" s="25"/>
    </row>
    <row r="457">
      <c r="C457" s="24"/>
      <c r="D457" s="25"/>
    </row>
    <row r="458">
      <c r="C458" s="24"/>
      <c r="D458" s="25"/>
    </row>
    <row r="459">
      <c r="C459" s="24"/>
      <c r="D459" s="25"/>
    </row>
    <row r="460">
      <c r="C460" s="24"/>
      <c r="D460" s="25"/>
    </row>
    <row r="461">
      <c r="C461" s="24"/>
      <c r="D461" s="25"/>
    </row>
    <row r="462">
      <c r="C462" s="24"/>
      <c r="D462" s="25"/>
    </row>
    <row r="463">
      <c r="C463" s="24"/>
      <c r="D463" s="25"/>
    </row>
    <row r="464">
      <c r="C464" s="24"/>
      <c r="D464" s="25"/>
    </row>
    <row r="465">
      <c r="C465" s="24"/>
      <c r="D465" s="25"/>
    </row>
    <row r="466">
      <c r="C466" s="24"/>
      <c r="D466" s="25"/>
    </row>
    <row r="467">
      <c r="C467" s="24"/>
      <c r="D467" s="25"/>
    </row>
    <row r="468">
      <c r="C468" s="24"/>
      <c r="D468" s="25"/>
    </row>
    <row r="469">
      <c r="C469" s="24"/>
      <c r="D469" s="25"/>
    </row>
    <row r="470">
      <c r="C470" s="24"/>
      <c r="D470" s="25"/>
    </row>
    <row r="471">
      <c r="C471" s="24"/>
      <c r="D471" s="25"/>
    </row>
    <row r="472">
      <c r="C472" s="24"/>
      <c r="D472" s="25"/>
    </row>
    <row r="473">
      <c r="C473" s="24"/>
      <c r="D473" s="25"/>
    </row>
    <row r="474">
      <c r="C474" s="24"/>
      <c r="D474" s="25"/>
    </row>
    <row r="475">
      <c r="C475" s="24"/>
      <c r="D475" s="25"/>
    </row>
    <row r="476">
      <c r="C476" s="24"/>
      <c r="D476" s="25"/>
    </row>
    <row r="477">
      <c r="C477" s="24"/>
      <c r="D477" s="25"/>
    </row>
    <row r="478">
      <c r="C478" s="24"/>
      <c r="D478" s="25"/>
    </row>
    <row r="479">
      <c r="C479" s="24"/>
      <c r="D479" s="25"/>
    </row>
    <row r="480">
      <c r="C480" s="24"/>
      <c r="D480" s="25"/>
    </row>
    <row r="481">
      <c r="C481" s="24"/>
      <c r="D481" s="25"/>
    </row>
    <row r="482">
      <c r="C482" s="24"/>
      <c r="D482" s="25"/>
    </row>
    <row r="483">
      <c r="C483" s="24"/>
      <c r="D483" s="25"/>
    </row>
    <row r="484">
      <c r="C484" s="24"/>
      <c r="D484" s="25"/>
    </row>
    <row r="485">
      <c r="C485" s="24"/>
      <c r="D485" s="25"/>
    </row>
    <row r="486">
      <c r="C486" s="24"/>
      <c r="D486" s="25"/>
    </row>
    <row r="487">
      <c r="C487" s="24"/>
      <c r="D487" s="25"/>
    </row>
    <row r="488">
      <c r="C488" s="24"/>
      <c r="D488" s="25"/>
    </row>
    <row r="489">
      <c r="C489" s="24"/>
      <c r="D489" s="25"/>
    </row>
    <row r="490">
      <c r="C490" s="24"/>
      <c r="D490" s="25"/>
    </row>
    <row r="491">
      <c r="C491" s="24"/>
      <c r="D491" s="25"/>
    </row>
    <row r="492">
      <c r="C492" s="24"/>
      <c r="D492" s="25"/>
    </row>
    <row r="493">
      <c r="C493" s="24"/>
      <c r="D493" s="25"/>
    </row>
    <row r="494">
      <c r="C494" s="24"/>
      <c r="D494" s="25"/>
    </row>
    <row r="495">
      <c r="C495" s="24"/>
      <c r="D495" s="25"/>
    </row>
    <row r="496">
      <c r="C496" s="24"/>
      <c r="D496" s="25"/>
    </row>
    <row r="497">
      <c r="C497" s="24"/>
      <c r="D497" s="25"/>
    </row>
    <row r="498">
      <c r="C498" s="24"/>
      <c r="D498" s="25"/>
    </row>
    <row r="499">
      <c r="C499" s="24"/>
      <c r="D499" s="25"/>
    </row>
    <row r="500">
      <c r="C500" s="24"/>
      <c r="D500" s="25"/>
    </row>
    <row r="501">
      <c r="C501" s="24"/>
      <c r="D501" s="25"/>
    </row>
    <row r="502">
      <c r="C502" s="24"/>
      <c r="D502" s="25"/>
    </row>
    <row r="503">
      <c r="C503" s="24"/>
      <c r="D503" s="25"/>
    </row>
    <row r="504">
      <c r="C504" s="24"/>
      <c r="D504" s="25"/>
    </row>
    <row r="505">
      <c r="C505" s="24"/>
      <c r="D505" s="25"/>
    </row>
    <row r="506">
      <c r="C506" s="24"/>
      <c r="D506" s="25"/>
    </row>
    <row r="507">
      <c r="C507" s="24"/>
      <c r="D507" s="25"/>
    </row>
    <row r="508">
      <c r="C508" s="24"/>
      <c r="D508" s="25"/>
    </row>
    <row r="509">
      <c r="C509" s="24"/>
      <c r="D509" s="25"/>
    </row>
    <row r="510">
      <c r="C510" s="24"/>
      <c r="D510" s="25"/>
    </row>
    <row r="511">
      <c r="C511" s="24"/>
      <c r="D511" s="25"/>
    </row>
    <row r="512">
      <c r="C512" s="24"/>
      <c r="D512" s="25"/>
    </row>
    <row r="513">
      <c r="C513" s="24"/>
      <c r="D513" s="25"/>
    </row>
    <row r="514">
      <c r="C514" s="24"/>
      <c r="D514" s="25"/>
    </row>
    <row r="515">
      <c r="C515" s="24"/>
      <c r="D515" s="25"/>
    </row>
    <row r="516">
      <c r="C516" s="24"/>
      <c r="D516" s="25"/>
    </row>
    <row r="517">
      <c r="C517" s="24"/>
      <c r="D517" s="25"/>
    </row>
    <row r="518">
      <c r="C518" s="24"/>
      <c r="D518" s="25"/>
    </row>
    <row r="519">
      <c r="C519" s="24"/>
      <c r="D519" s="25"/>
    </row>
    <row r="520">
      <c r="C520" s="24"/>
      <c r="D520" s="25"/>
    </row>
    <row r="521">
      <c r="C521" s="24"/>
      <c r="D521" s="25"/>
    </row>
    <row r="522">
      <c r="C522" s="24"/>
      <c r="D522" s="25"/>
    </row>
    <row r="523">
      <c r="C523" s="24"/>
      <c r="D523" s="25"/>
    </row>
    <row r="524">
      <c r="C524" s="24"/>
      <c r="D524" s="25"/>
    </row>
    <row r="525">
      <c r="C525" s="24"/>
      <c r="D525" s="25"/>
    </row>
    <row r="526">
      <c r="C526" s="24"/>
      <c r="D526" s="25"/>
    </row>
    <row r="527">
      <c r="C527" s="24"/>
      <c r="D527" s="25"/>
    </row>
    <row r="528">
      <c r="C528" s="24"/>
      <c r="D528" s="25"/>
    </row>
    <row r="529">
      <c r="C529" s="24"/>
      <c r="D529" s="25"/>
    </row>
    <row r="530">
      <c r="C530" s="24"/>
      <c r="D530" s="25"/>
    </row>
    <row r="531">
      <c r="C531" s="24"/>
      <c r="D531" s="25"/>
    </row>
    <row r="532">
      <c r="C532" s="24"/>
      <c r="D532" s="25"/>
    </row>
    <row r="533">
      <c r="C533" s="24"/>
      <c r="D533" s="25"/>
    </row>
    <row r="534">
      <c r="C534" s="24"/>
      <c r="D534" s="25"/>
    </row>
    <row r="535">
      <c r="C535" s="24"/>
      <c r="D535" s="25"/>
    </row>
    <row r="536">
      <c r="C536" s="24"/>
      <c r="D536" s="25"/>
    </row>
    <row r="537">
      <c r="C537" s="24"/>
      <c r="D537" s="25"/>
    </row>
    <row r="538">
      <c r="C538" s="24"/>
      <c r="D538" s="25"/>
    </row>
    <row r="539">
      <c r="C539" s="24"/>
      <c r="D539" s="25"/>
    </row>
    <row r="540">
      <c r="C540" s="24"/>
      <c r="D540" s="25"/>
    </row>
    <row r="541">
      <c r="C541" s="24"/>
      <c r="D541" s="25"/>
    </row>
    <row r="542">
      <c r="C542" s="24"/>
      <c r="D542" s="25"/>
    </row>
    <row r="543">
      <c r="C543" s="24"/>
      <c r="D543" s="25"/>
    </row>
    <row r="544">
      <c r="C544" s="24"/>
      <c r="D544" s="25"/>
    </row>
    <row r="545">
      <c r="C545" s="24"/>
      <c r="D545" s="25"/>
    </row>
    <row r="546">
      <c r="C546" s="24"/>
      <c r="D546" s="25"/>
    </row>
    <row r="547">
      <c r="C547" s="24"/>
      <c r="D547" s="25"/>
    </row>
    <row r="548">
      <c r="C548" s="24"/>
      <c r="D548" s="25"/>
    </row>
    <row r="549">
      <c r="C549" s="24"/>
      <c r="D549" s="25"/>
    </row>
    <row r="550">
      <c r="C550" s="24"/>
      <c r="D550" s="25"/>
    </row>
    <row r="551">
      <c r="C551" s="24"/>
      <c r="D551" s="25"/>
    </row>
    <row r="552">
      <c r="C552" s="24"/>
      <c r="D552" s="25"/>
    </row>
    <row r="553">
      <c r="C553" s="24"/>
      <c r="D553" s="25"/>
    </row>
    <row r="554">
      <c r="C554" s="24"/>
      <c r="D554" s="25"/>
    </row>
    <row r="555">
      <c r="C555" s="24"/>
      <c r="D555" s="25"/>
    </row>
    <row r="556">
      <c r="C556" s="24"/>
      <c r="D556" s="25"/>
    </row>
    <row r="557">
      <c r="C557" s="24"/>
      <c r="D557" s="25"/>
    </row>
    <row r="558">
      <c r="C558" s="24"/>
      <c r="D558" s="25"/>
    </row>
    <row r="559">
      <c r="C559" s="24"/>
      <c r="D559" s="25"/>
    </row>
    <row r="560">
      <c r="C560" s="24"/>
      <c r="D560" s="25"/>
    </row>
    <row r="561">
      <c r="C561" s="24"/>
      <c r="D561" s="25"/>
    </row>
    <row r="562">
      <c r="C562" s="24"/>
      <c r="D562" s="25"/>
    </row>
    <row r="563">
      <c r="C563" s="24"/>
      <c r="D563" s="25"/>
    </row>
    <row r="564">
      <c r="C564" s="24"/>
      <c r="D564" s="25"/>
    </row>
    <row r="565">
      <c r="C565" s="24"/>
      <c r="D565" s="25"/>
    </row>
    <row r="566">
      <c r="C566" s="24"/>
      <c r="D566" s="25"/>
    </row>
    <row r="567">
      <c r="C567" s="24"/>
      <c r="D567" s="25"/>
    </row>
    <row r="568">
      <c r="C568" s="24"/>
      <c r="D568" s="25"/>
    </row>
    <row r="569">
      <c r="C569" s="24"/>
      <c r="D569" s="25"/>
    </row>
    <row r="570">
      <c r="C570" s="24"/>
      <c r="D570" s="25"/>
    </row>
    <row r="571">
      <c r="C571" s="24"/>
      <c r="D571" s="25"/>
    </row>
    <row r="572">
      <c r="C572" s="24"/>
      <c r="D572" s="25"/>
    </row>
    <row r="573">
      <c r="C573" s="24"/>
      <c r="D573" s="25"/>
    </row>
    <row r="574">
      <c r="C574" s="24"/>
      <c r="D574" s="25"/>
    </row>
    <row r="575">
      <c r="C575" s="24"/>
      <c r="D575" s="25"/>
    </row>
    <row r="576">
      <c r="C576" s="24"/>
      <c r="D576" s="25"/>
    </row>
    <row r="577">
      <c r="C577" s="24"/>
      <c r="D577" s="25"/>
    </row>
    <row r="578">
      <c r="C578" s="24"/>
      <c r="D578" s="25"/>
    </row>
    <row r="579">
      <c r="C579" s="24"/>
      <c r="D579" s="25"/>
    </row>
    <row r="580">
      <c r="C580" s="24"/>
      <c r="D580" s="25"/>
    </row>
    <row r="581">
      <c r="C581" s="24"/>
      <c r="D581" s="25"/>
    </row>
    <row r="582">
      <c r="C582" s="24"/>
      <c r="D582" s="25"/>
    </row>
    <row r="583">
      <c r="C583" s="24"/>
      <c r="D583" s="25"/>
    </row>
    <row r="584">
      <c r="C584" s="24"/>
      <c r="D584" s="25"/>
    </row>
    <row r="585">
      <c r="C585" s="24"/>
      <c r="D585" s="25"/>
    </row>
    <row r="586">
      <c r="C586" s="24"/>
      <c r="D586" s="25"/>
    </row>
    <row r="587">
      <c r="C587" s="24"/>
      <c r="D587" s="25"/>
    </row>
    <row r="588">
      <c r="C588" s="24"/>
      <c r="D588" s="25"/>
    </row>
    <row r="589">
      <c r="C589" s="24"/>
      <c r="D589" s="25"/>
    </row>
    <row r="590">
      <c r="C590" s="24"/>
      <c r="D590" s="25"/>
    </row>
    <row r="591">
      <c r="C591" s="24"/>
      <c r="D591" s="25"/>
    </row>
    <row r="592">
      <c r="C592" s="24"/>
      <c r="D592" s="25"/>
    </row>
    <row r="593">
      <c r="C593" s="24"/>
      <c r="D593" s="25"/>
    </row>
    <row r="594">
      <c r="C594" s="24"/>
      <c r="D594" s="25"/>
    </row>
    <row r="595">
      <c r="C595" s="24"/>
      <c r="D595" s="25"/>
    </row>
    <row r="596">
      <c r="C596" s="24"/>
      <c r="D596" s="25"/>
    </row>
    <row r="597">
      <c r="C597" s="24"/>
      <c r="D597" s="25"/>
    </row>
    <row r="598">
      <c r="C598" s="24"/>
      <c r="D598" s="25"/>
    </row>
    <row r="599">
      <c r="C599" s="24"/>
      <c r="D599" s="25"/>
    </row>
    <row r="600">
      <c r="C600" s="24"/>
      <c r="D600" s="25"/>
    </row>
    <row r="601">
      <c r="C601" s="24"/>
      <c r="D601" s="25"/>
    </row>
    <row r="602">
      <c r="C602" s="24"/>
      <c r="D602" s="25"/>
    </row>
    <row r="603">
      <c r="C603" s="24"/>
      <c r="D603" s="25"/>
    </row>
    <row r="604">
      <c r="C604" s="24"/>
      <c r="D604" s="25"/>
    </row>
    <row r="605">
      <c r="C605" s="24"/>
      <c r="D605" s="25"/>
    </row>
    <row r="606">
      <c r="C606" s="24"/>
      <c r="D606" s="25"/>
    </row>
    <row r="607">
      <c r="C607" s="24"/>
      <c r="D607" s="25"/>
    </row>
    <row r="608">
      <c r="C608" s="24"/>
      <c r="D608" s="25"/>
    </row>
    <row r="609">
      <c r="C609" s="24"/>
      <c r="D609" s="25"/>
    </row>
    <row r="610">
      <c r="C610" s="24"/>
      <c r="D610" s="25"/>
    </row>
    <row r="611">
      <c r="C611" s="24"/>
      <c r="D611" s="25"/>
    </row>
    <row r="612">
      <c r="C612" s="24"/>
      <c r="D612" s="25"/>
    </row>
    <row r="613">
      <c r="C613" s="24"/>
      <c r="D613" s="25"/>
    </row>
    <row r="614">
      <c r="C614" s="24"/>
      <c r="D614" s="25"/>
    </row>
    <row r="615">
      <c r="C615" s="24"/>
      <c r="D615" s="25"/>
    </row>
    <row r="616">
      <c r="C616" s="24"/>
      <c r="D616" s="25"/>
    </row>
    <row r="617">
      <c r="C617" s="24"/>
      <c r="D617" s="25"/>
    </row>
    <row r="618">
      <c r="C618" s="24"/>
      <c r="D618" s="25"/>
    </row>
    <row r="619">
      <c r="C619" s="24"/>
      <c r="D619" s="25"/>
    </row>
    <row r="620">
      <c r="C620" s="24"/>
      <c r="D620" s="25"/>
    </row>
    <row r="621">
      <c r="C621" s="24"/>
      <c r="D621" s="25"/>
    </row>
    <row r="622">
      <c r="C622" s="24"/>
      <c r="D622" s="25"/>
    </row>
    <row r="623">
      <c r="C623" s="24"/>
      <c r="D623" s="25"/>
    </row>
    <row r="624">
      <c r="C624" s="24"/>
      <c r="D624" s="25"/>
    </row>
    <row r="625">
      <c r="C625" s="24"/>
      <c r="D625" s="25"/>
    </row>
    <row r="626">
      <c r="C626" s="24"/>
      <c r="D626" s="25"/>
    </row>
    <row r="627">
      <c r="C627" s="24"/>
      <c r="D627" s="25"/>
    </row>
    <row r="628">
      <c r="C628" s="24"/>
      <c r="D628" s="25"/>
    </row>
    <row r="629">
      <c r="C629" s="24"/>
      <c r="D629" s="25"/>
    </row>
    <row r="630">
      <c r="C630" s="24"/>
      <c r="D630" s="25"/>
    </row>
    <row r="631">
      <c r="C631" s="24"/>
      <c r="D631" s="25"/>
    </row>
    <row r="632">
      <c r="C632" s="24"/>
      <c r="D632" s="25"/>
    </row>
    <row r="633">
      <c r="C633" s="24"/>
      <c r="D633" s="25"/>
    </row>
    <row r="634">
      <c r="C634" s="24"/>
      <c r="D634" s="25"/>
    </row>
    <row r="635">
      <c r="C635" s="24"/>
      <c r="D635" s="25"/>
    </row>
    <row r="636">
      <c r="C636" s="24"/>
      <c r="D636" s="25"/>
    </row>
    <row r="637">
      <c r="C637" s="24"/>
      <c r="D637" s="25"/>
    </row>
    <row r="638">
      <c r="C638" s="24"/>
      <c r="D638" s="25"/>
    </row>
    <row r="639">
      <c r="C639" s="24"/>
      <c r="D639" s="25"/>
    </row>
    <row r="640">
      <c r="C640" s="24"/>
      <c r="D640" s="25"/>
    </row>
    <row r="641">
      <c r="C641" s="24"/>
      <c r="D641" s="25"/>
    </row>
    <row r="642">
      <c r="C642" s="24"/>
      <c r="D642" s="25"/>
    </row>
    <row r="643">
      <c r="C643" s="24"/>
      <c r="D643" s="25"/>
    </row>
    <row r="644">
      <c r="C644" s="24"/>
      <c r="D644" s="25"/>
    </row>
    <row r="645">
      <c r="C645" s="24"/>
      <c r="D645" s="25"/>
    </row>
    <row r="646">
      <c r="C646" s="24"/>
      <c r="D646" s="25"/>
    </row>
    <row r="647">
      <c r="C647" s="24"/>
      <c r="D647" s="25"/>
    </row>
    <row r="648">
      <c r="C648" s="24"/>
      <c r="D648" s="25"/>
    </row>
    <row r="649">
      <c r="C649" s="24"/>
      <c r="D649" s="25"/>
    </row>
    <row r="650">
      <c r="C650" s="24"/>
      <c r="D650" s="25"/>
    </row>
    <row r="651">
      <c r="C651" s="24"/>
      <c r="D651" s="25"/>
    </row>
    <row r="652">
      <c r="C652" s="24"/>
      <c r="D652" s="25"/>
    </row>
    <row r="653">
      <c r="C653" s="24"/>
      <c r="D653" s="25"/>
    </row>
    <row r="654">
      <c r="C654" s="24"/>
      <c r="D654" s="25"/>
    </row>
    <row r="655">
      <c r="C655" s="24"/>
      <c r="D655" s="25"/>
    </row>
    <row r="656">
      <c r="C656" s="24"/>
      <c r="D656" s="25"/>
    </row>
    <row r="657">
      <c r="C657" s="24"/>
      <c r="D657" s="25"/>
    </row>
    <row r="658">
      <c r="C658" s="24"/>
      <c r="D658" s="25"/>
    </row>
    <row r="659">
      <c r="C659" s="24"/>
      <c r="D659" s="25"/>
    </row>
    <row r="660">
      <c r="C660" s="24"/>
      <c r="D660" s="25"/>
    </row>
    <row r="661">
      <c r="C661" s="24"/>
      <c r="D661" s="25"/>
    </row>
    <row r="662">
      <c r="C662" s="24"/>
      <c r="D662" s="25"/>
    </row>
    <row r="663">
      <c r="C663" s="24"/>
      <c r="D663" s="25"/>
    </row>
    <row r="664">
      <c r="C664" s="24"/>
      <c r="D664" s="25"/>
    </row>
    <row r="665">
      <c r="C665" s="24"/>
      <c r="D665" s="25"/>
    </row>
    <row r="666">
      <c r="C666" s="24"/>
      <c r="D666" s="25"/>
    </row>
    <row r="667">
      <c r="C667" s="24"/>
      <c r="D667" s="25"/>
    </row>
    <row r="668">
      <c r="C668" s="24"/>
      <c r="D668" s="25"/>
    </row>
    <row r="669">
      <c r="C669" s="24"/>
      <c r="D669" s="25"/>
    </row>
    <row r="670">
      <c r="C670" s="24"/>
      <c r="D670" s="25"/>
    </row>
    <row r="671">
      <c r="C671" s="24"/>
      <c r="D671" s="25"/>
    </row>
    <row r="672">
      <c r="C672" s="24"/>
      <c r="D672" s="25"/>
    </row>
    <row r="673">
      <c r="C673" s="24"/>
      <c r="D673" s="25"/>
    </row>
    <row r="674">
      <c r="C674" s="24"/>
      <c r="D674" s="25"/>
    </row>
    <row r="675">
      <c r="C675" s="24"/>
      <c r="D675" s="25"/>
    </row>
    <row r="676">
      <c r="C676" s="24"/>
      <c r="D676" s="25"/>
    </row>
    <row r="677">
      <c r="C677" s="24"/>
      <c r="D677" s="25"/>
    </row>
    <row r="678">
      <c r="C678" s="24"/>
      <c r="D678" s="25"/>
    </row>
    <row r="679">
      <c r="C679" s="24"/>
      <c r="D679" s="25"/>
    </row>
    <row r="680">
      <c r="C680" s="24"/>
      <c r="D680" s="25"/>
    </row>
    <row r="681">
      <c r="C681" s="24"/>
      <c r="D681" s="25"/>
    </row>
    <row r="682">
      <c r="C682" s="24"/>
      <c r="D682" s="25"/>
    </row>
    <row r="683">
      <c r="C683" s="24"/>
      <c r="D683" s="25"/>
    </row>
    <row r="684">
      <c r="C684" s="24"/>
      <c r="D684" s="25"/>
    </row>
    <row r="685">
      <c r="C685" s="24"/>
      <c r="D685" s="25"/>
    </row>
    <row r="686">
      <c r="C686" s="24"/>
      <c r="D686" s="25"/>
    </row>
    <row r="687">
      <c r="C687" s="24"/>
      <c r="D687" s="25"/>
    </row>
    <row r="688">
      <c r="C688" s="24"/>
      <c r="D688" s="25"/>
    </row>
    <row r="689">
      <c r="C689" s="24"/>
      <c r="D689" s="25"/>
    </row>
    <row r="690">
      <c r="C690" s="24"/>
      <c r="D690" s="25"/>
    </row>
    <row r="691">
      <c r="C691" s="24"/>
      <c r="D691" s="25"/>
    </row>
    <row r="692">
      <c r="C692" s="24"/>
      <c r="D692" s="25"/>
    </row>
    <row r="693">
      <c r="C693" s="24"/>
      <c r="D693" s="25"/>
    </row>
    <row r="694">
      <c r="C694" s="24"/>
      <c r="D694" s="25"/>
    </row>
    <row r="695">
      <c r="C695" s="24"/>
      <c r="D695" s="25"/>
    </row>
    <row r="696">
      <c r="C696" s="24"/>
      <c r="D696" s="25"/>
    </row>
    <row r="697">
      <c r="C697" s="24"/>
      <c r="D697" s="25"/>
    </row>
    <row r="698">
      <c r="C698" s="24"/>
      <c r="D698" s="25"/>
    </row>
    <row r="699">
      <c r="C699" s="24"/>
      <c r="D699" s="25"/>
    </row>
    <row r="700">
      <c r="C700" s="24"/>
      <c r="D700" s="25"/>
    </row>
    <row r="701">
      <c r="C701" s="24"/>
      <c r="D701" s="25"/>
    </row>
    <row r="702">
      <c r="C702" s="24"/>
      <c r="D702" s="25"/>
    </row>
    <row r="703">
      <c r="C703" s="24"/>
      <c r="D703" s="25"/>
    </row>
    <row r="704">
      <c r="C704" s="24"/>
      <c r="D704" s="25"/>
    </row>
    <row r="705">
      <c r="C705" s="24"/>
      <c r="D705" s="25"/>
    </row>
    <row r="706">
      <c r="C706" s="24"/>
      <c r="D706" s="25"/>
    </row>
    <row r="707">
      <c r="C707" s="24"/>
      <c r="D707" s="25"/>
    </row>
    <row r="708">
      <c r="C708" s="24"/>
      <c r="D708" s="25"/>
    </row>
    <row r="709">
      <c r="C709" s="24"/>
      <c r="D709" s="25"/>
    </row>
    <row r="710">
      <c r="C710" s="24"/>
      <c r="D710" s="25"/>
    </row>
    <row r="711">
      <c r="C711" s="24"/>
      <c r="D711" s="25"/>
    </row>
    <row r="712">
      <c r="C712" s="24"/>
      <c r="D712" s="25"/>
    </row>
    <row r="713">
      <c r="C713" s="24"/>
      <c r="D713" s="25"/>
    </row>
    <row r="714">
      <c r="C714" s="24"/>
      <c r="D714" s="25"/>
    </row>
    <row r="715">
      <c r="C715" s="24"/>
      <c r="D715" s="25"/>
    </row>
    <row r="716">
      <c r="C716" s="24"/>
      <c r="D716" s="25"/>
    </row>
    <row r="717">
      <c r="C717" s="24"/>
      <c r="D717" s="25"/>
    </row>
    <row r="718">
      <c r="C718" s="24"/>
      <c r="D718" s="25"/>
    </row>
    <row r="719">
      <c r="C719" s="24"/>
      <c r="D719" s="25"/>
    </row>
    <row r="720">
      <c r="C720" s="24"/>
      <c r="D720" s="25"/>
    </row>
    <row r="721">
      <c r="C721" s="24"/>
      <c r="D721" s="25"/>
    </row>
    <row r="722">
      <c r="C722" s="24"/>
      <c r="D722" s="25"/>
    </row>
    <row r="723">
      <c r="C723" s="24"/>
      <c r="D723" s="25"/>
    </row>
    <row r="724">
      <c r="C724" s="24"/>
      <c r="D724" s="25"/>
    </row>
    <row r="725">
      <c r="C725" s="24"/>
      <c r="D725" s="25"/>
    </row>
    <row r="726">
      <c r="C726" s="24"/>
      <c r="D726" s="25"/>
    </row>
    <row r="727">
      <c r="C727" s="24"/>
      <c r="D727" s="25"/>
    </row>
    <row r="728">
      <c r="C728" s="24"/>
      <c r="D728" s="25"/>
    </row>
    <row r="729">
      <c r="C729" s="24"/>
      <c r="D729" s="25"/>
    </row>
    <row r="730">
      <c r="C730" s="24"/>
      <c r="D730" s="25"/>
    </row>
    <row r="731">
      <c r="C731" s="24"/>
      <c r="D731" s="25"/>
    </row>
    <row r="732">
      <c r="C732" s="24"/>
      <c r="D732" s="25"/>
    </row>
    <row r="733">
      <c r="C733" s="24"/>
      <c r="D733" s="25"/>
    </row>
    <row r="734">
      <c r="C734" s="24"/>
      <c r="D734" s="25"/>
    </row>
    <row r="735">
      <c r="C735" s="24"/>
      <c r="D735" s="25"/>
    </row>
    <row r="736">
      <c r="C736" s="24"/>
      <c r="D736" s="25"/>
    </row>
    <row r="737">
      <c r="C737" s="24"/>
      <c r="D737" s="25"/>
    </row>
    <row r="738">
      <c r="C738" s="24"/>
      <c r="D738" s="25"/>
    </row>
    <row r="739">
      <c r="C739" s="24"/>
      <c r="D739" s="25"/>
    </row>
    <row r="740">
      <c r="C740" s="24"/>
      <c r="D740" s="25"/>
    </row>
    <row r="741">
      <c r="C741" s="24"/>
      <c r="D741" s="25"/>
    </row>
    <row r="742">
      <c r="C742" s="24"/>
      <c r="D742" s="25"/>
    </row>
    <row r="743">
      <c r="C743" s="24"/>
      <c r="D743" s="25"/>
    </row>
    <row r="744">
      <c r="C744" s="24"/>
      <c r="D744" s="25"/>
    </row>
    <row r="745">
      <c r="C745" s="24"/>
      <c r="D745" s="25"/>
    </row>
    <row r="746">
      <c r="C746" s="24"/>
      <c r="D746" s="25"/>
    </row>
    <row r="747">
      <c r="C747" s="24"/>
      <c r="D747" s="25"/>
    </row>
    <row r="748">
      <c r="C748" s="24"/>
      <c r="D748" s="25"/>
    </row>
    <row r="749">
      <c r="C749" s="24"/>
      <c r="D749" s="25"/>
    </row>
    <row r="750">
      <c r="C750" s="24"/>
      <c r="D750" s="25"/>
    </row>
    <row r="751">
      <c r="C751" s="24"/>
      <c r="D751" s="25"/>
    </row>
    <row r="752">
      <c r="C752" s="24"/>
      <c r="D752" s="25"/>
    </row>
    <row r="753">
      <c r="C753" s="24"/>
      <c r="D753" s="25"/>
    </row>
    <row r="754">
      <c r="C754" s="24"/>
      <c r="D754" s="25"/>
    </row>
    <row r="755">
      <c r="C755" s="24"/>
      <c r="D755" s="25"/>
    </row>
    <row r="756">
      <c r="C756" s="24"/>
      <c r="D756" s="25"/>
    </row>
    <row r="757">
      <c r="C757" s="24"/>
      <c r="D757" s="25"/>
    </row>
    <row r="758">
      <c r="C758" s="24"/>
      <c r="D758" s="25"/>
    </row>
    <row r="759">
      <c r="C759" s="24"/>
      <c r="D759" s="25"/>
    </row>
    <row r="760">
      <c r="C760" s="24"/>
      <c r="D760" s="25"/>
    </row>
    <row r="761">
      <c r="C761" s="24"/>
      <c r="D761" s="25"/>
    </row>
    <row r="762">
      <c r="C762" s="24"/>
      <c r="D762" s="25"/>
    </row>
    <row r="763">
      <c r="C763" s="24"/>
      <c r="D763" s="25"/>
    </row>
    <row r="764">
      <c r="C764" s="24"/>
      <c r="D764" s="25"/>
    </row>
    <row r="765">
      <c r="C765" s="24"/>
      <c r="D765" s="25"/>
    </row>
    <row r="766">
      <c r="C766" s="24"/>
      <c r="D766" s="25"/>
    </row>
    <row r="767">
      <c r="C767" s="24"/>
      <c r="D767" s="25"/>
    </row>
    <row r="768">
      <c r="C768" s="24"/>
      <c r="D768" s="25"/>
    </row>
    <row r="769">
      <c r="C769" s="24"/>
      <c r="D769" s="25"/>
    </row>
    <row r="770">
      <c r="C770" s="24"/>
      <c r="D770" s="25"/>
    </row>
    <row r="771">
      <c r="C771" s="24"/>
      <c r="D771" s="25"/>
    </row>
    <row r="772">
      <c r="C772" s="24"/>
      <c r="D772" s="25"/>
    </row>
    <row r="773">
      <c r="C773" s="24"/>
      <c r="D773" s="25"/>
    </row>
    <row r="774">
      <c r="C774" s="24"/>
      <c r="D774" s="25"/>
    </row>
    <row r="775">
      <c r="C775" s="24"/>
      <c r="D775" s="25"/>
    </row>
    <row r="776">
      <c r="C776" s="24"/>
      <c r="D776" s="25"/>
    </row>
    <row r="777">
      <c r="C777" s="24"/>
      <c r="D777" s="25"/>
    </row>
    <row r="778">
      <c r="C778" s="24"/>
      <c r="D778" s="25"/>
    </row>
    <row r="779">
      <c r="C779" s="24"/>
      <c r="D779" s="25"/>
    </row>
    <row r="780">
      <c r="C780" s="24"/>
      <c r="D780" s="25"/>
    </row>
    <row r="781">
      <c r="C781" s="24"/>
      <c r="D781" s="25"/>
    </row>
    <row r="782">
      <c r="C782" s="24"/>
      <c r="D782" s="25"/>
    </row>
    <row r="783">
      <c r="C783" s="24"/>
      <c r="D783" s="25"/>
    </row>
    <row r="784">
      <c r="C784" s="24"/>
      <c r="D784" s="25"/>
    </row>
    <row r="785">
      <c r="C785" s="24"/>
      <c r="D785" s="25"/>
    </row>
    <row r="786">
      <c r="C786" s="24"/>
      <c r="D786" s="25"/>
    </row>
    <row r="787">
      <c r="C787" s="24"/>
      <c r="D787" s="25"/>
    </row>
    <row r="788">
      <c r="C788" s="24"/>
      <c r="D788" s="25"/>
    </row>
    <row r="789">
      <c r="C789" s="24"/>
      <c r="D789" s="25"/>
    </row>
    <row r="790">
      <c r="C790" s="24"/>
      <c r="D790" s="25"/>
    </row>
    <row r="791">
      <c r="C791" s="24"/>
      <c r="D791" s="25"/>
    </row>
    <row r="792">
      <c r="C792" s="24"/>
      <c r="D792" s="25"/>
    </row>
    <row r="793">
      <c r="C793" s="24"/>
      <c r="D793" s="25"/>
    </row>
    <row r="794">
      <c r="C794" s="24"/>
      <c r="D794" s="25"/>
    </row>
    <row r="795">
      <c r="C795" s="24"/>
      <c r="D795" s="25"/>
    </row>
    <row r="796">
      <c r="C796" s="24"/>
      <c r="D796" s="25"/>
    </row>
    <row r="797">
      <c r="C797" s="24"/>
      <c r="D797" s="25"/>
    </row>
    <row r="798">
      <c r="C798" s="24"/>
      <c r="D798" s="25"/>
    </row>
    <row r="799">
      <c r="C799" s="24"/>
      <c r="D799" s="25"/>
    </row>
    <row r="800">
      <c r="C800" s="24"/>
      <c r="D800" s="25"/>
    </row>
    <row r="801">
      <c r="C801" s="24"/>
      <c r="D801" s="25"/>
    </row>
    <row r="802">
      <c r="C802" s="24"/>
      <c r="D802" s="25"/>
    </row>
    <row r="803">
      <c r="C803" s="24"/>
      <c r="D803" s="25"/>
    </row>
    <row r="804">
      <c r="C804" s="24"/>
      <c r="D804" s="25"/>
    </row>
    <row r="805">
      <c r="C805" s="24"/>
      <c r="D805" s="25"/>
    </row>
    <row r="806">
      <c r="C806" s="24"/>
      <c r="D806" s="25"/>
    </row>
    <row r="807">
      <c r="C807" s="24"/>
      <c r="D807" s="25"/>
    </row>
    <row r="808">
      <c r="C808" s="24"/>
      <c r="D808" s="25"/>
    </row>
    <row r="809">
      <c r="C809" s="24"/>
      <c r="D809" s="25"/>
    </row>
    <row r="810">
      <c r="C810" s="24"/>
      <c r="D810" s="25"/>
    </row>
    <row r="811">
      <c r="C811" s="24"/>
      <c r="D811" s="25"/>
    </row>
    <row r="812">
      <c r="C812" s="24"/>
      <c r="D812" s="25"/>
    </row>
    <row r="813">
      <c r="C813" s="24"/>
      <c r="D813" s="25"/>
    </row>
    <row r="814">
      <c r="C814" s="24"/>
      <c r="D814" s="25"/>
    </row>
    <row r="815">
      <c r="C815" s="24"/>
      <c r="D815" s="25"/>
    </row>
    <row r="816">
      <c r="C816" s="24"/>
      <c r="D816" s="25"/>
    </row>
    <row r="817">
      <c r="C817" s="24"/>
      <c r="D817" s="25"/>
    </row>
    <row r="818">
      <c r="C818" s="24"/>
      <c r="D818" s="25"/>
    </row>
    <row r="819">
      <c r="C819" s="24"/>
      <c r="D819" s="25"/>
    </row>
    <row r="820">
      <c r="C820" s="24"/>
      <c r="D820" s="25"/>
    </row>
    <row r="821">
      <c r="C821" s="24"/>
      <c r="D821" s="25"/>
    </row>
    <row r="822">
      <c r="C822" s="24"/>
      <c r="D822" s="25"/>
    </row>
    <row r="823">
      <c r="C823" s="24"/>
      <c r="D823" s="25"/>
    </row>
    <row r="824">
      <c r="C824" s="24"/>
      <c r="D824" s="25"/>
    </row>
    <row r="825">
      <c r="C825" s="24"/>
      <c r="D825" s="25"/>
    </row>
    <row r="826">
      <c r="C826" s="24"/>
      <c r="D826" s="25"/>
    </row>
    <row r="827">
      <c r="C827" s="24"/>
      <c r="D827" s="25"/>
    </row>
    <row r="828">
      <c r="C828" s="24"/>
      <c r="D828" s="25"/>
    </row>
    <row r="829">
      <c r="C829" s="24"/>
      <c r="D829" s="25"/>
    </row>
    <row r="830">
      <c r="C830" s="24"/>
      <c r="D830" s="25"/>
    </row>
    <row r="831">
      <c r="C831" s="24"/>
      <c r="D831" s="25"/>
    </row>
    <row r="832">
      <c r="C832" s="24"/>
      <c r="D832" s="25"/>
    </row>
    <row r="833">
      <c r="C833" s="24"/>
      <c r="D833" s="25"/>
    </row>
    <row r="834">
      <c r="C834" s="24"/>
      <c r="D834" s="25"/>
    </row>
    <row r="835">
      <c r="C835" s="24"/>
      <c r="D835" s="25"/>
    </row>
    <row r="836">
      <c r="C836" s="24"/>
      <c r="D836" s="25"/>
    </row>
    <row r="837">
      <c r="C837" s="24"/>
      <c r="D837" s="25"/>
    </row>
    <row r="838">
      <c r="C838" s="24"/>
      <c r="D838" s="25"/>
    </row>
    <row r="839">
      <c r="C839" s="24"/>
      <c r="D839" s="25"/>
    </row>
    <row r="840">
      <c r="C840" s="24"/>
      <c r="D840" s="25"/>
    </row>
    <row r="841">
      <c r="C841" s="24"/>
      <c r="D841" s="25"/>
    </row>
    <row r="842">
      <c r="C842" s="24"/>
      <c r="D842" s="25"/>
    </row>
    <row r="843">
      <c r="C843" s="24"/>
      <c r="D843" s="25"/>
    </row>
    <row r="844">
      <c r="C844" s="24"/>
      <c r="D844" s="25"/>
    </row>
    <row r="845">
      <c r="C845" s="24"/>
      <c r="D845" s="25"/>
    </row>
    <row r="846">
      <c r="C846" s="24"/>
      <c r="D846" s="25"/>
    </row>
    <row r="847">
      <c r="C847" s="24"/>
      <c r="D847" s="25"/>
    </row>
    <row r="848">
      <c r="C848" s="24"/>
      <c r="D848" s="25"/>
    </row>
    <row r="849">
      <c r="C849" s="24"/>
      <c r="D849" s="25"/>
    </row>
    <row r="850">
      <c r="C850" s="24"/>
      <c r="D850" s="25"/>
    </row>
    <row r="851">
      <c r="C851" s="24"/>
      <c r="D851" s="25"/>
    </row>
    <row r="852">
      <c r="C852" s="24"/>
      <c r="D852" s="25"/>
    </row>
    <row r="853">
      <c r="C853" s="24"/>
      <c r="D853" s="25"/>
    </row>
    <row r="854">
      <c r="C854" s="24"/>
      <c r="D854" s="25"/>
    </row>
    <row r="855">
      <c r="C855" s="24"/>
      <c r="D855" s="25"/>
    </row>
    <row r="856">
      <c r="C856" s="24"/>
      <c r="D856" s="25"/>
    </row>
    <row r="857">
      <c r="C857" s="24"/>
      <c r="D857" s="25"/>
    </row>
    <row r="858">
      <c r="C858" s="24"/>
      <c r="D858" s="25"/>
    </row>
    <row r="859">
      <c r="C859" s="24"/>
      <c r="D859" s="25"/>
    </row>
    <row r="860">
      <c r="C860" s="24"/>
      <c r="D860" s="25"/>
    </row>
    <row r="861">
      <c r="C861" s="24"/>
      <c r="D861" s="25"/>
    </row>
    <row r="862">
      <c r="C862" s="24"/>
      <c r="D862" s="25"/>
    </row>
    <row r="863">
      <c r="C863" s="24"/>
      <c r="D863" s="25"/>
    </row>
    <row r="864">
      <c r="C864" s="24"/>
      <c r="D864" s="25"/>
    </row>
    <row r="865">
      <c r="C865" s="24"/>
      <c r="D865" s="25"/>
    </row>
    <row r="866">
      <c r="C866" s="24"/>
      <c r="D866" s="25"/>
    </row>
    <row r="867">
      <c r="C867" s="24"/>
      <c r="D867" s="25"/>
    </row>
    <row r="868">
      <c r="C868" s="24"/>
      <c r="D868" s="25"/>
    </row>
    <row r="869">
      <c r="C869" s="24"/>
      <c r="D869" s="25"/>
    </row>
    <row r="870">
      <c r="C870" s="24"/>
      <c r="D870" s="25"/>
    </row>
    <row r="871">
      <c r="C871" s="24"/>
      <c r="D871" s="25"/>
    </row>
    <row r="872">
      <c r="C872" s="24"/>
      <c r="D872" s="25"/>
    </row>
    <row r="873">
      <c r="C873" s="24"/>
      <c r="D873" s="25"/>
    </row>
    <row r="874">
      <c r="C874" s="24"/>
      <c r="D874" s="25"/>
    </row>
    <row r="875">
      <c r="C875" s="24"/>
      <c r="D875" s="25"/>
    </row>
    <row r="876">
      <c r="C876" s="24"/>
      <c r="D876" s="25"/>
    </row>
    <row r="877">
      <c r="C877" s="24"/>
      <c r="D877" s="25"/>
    </row>
    <row r="878">
      <c r="C878" s="24"/>
      <c r="D878" s="25"/>
    </row>
    <row r="879">
      <c r="C879" s="24"/>
      <c r="D879" s="25"/>
    </row>
    <row r="880">
      <c r="C880" s="24"/>
      <c r="D880" s="25"/>
    </row>
    <row r="881">
      <c r="C881" s="24"/>
      <c r="D881" s="25"/>
    </row>
    <row r="882">
      <c r="C882" s="24"/>
      <c r="D882" s="25"/>
    </row>
    <row r="883">
      <c r="C883" s="24"/>
      <c r="D883" s="25"/>
    </row>
    <row r="884">
      <c r="C884" s="24"/>
      <c r="D884" s="25"/>
    </row>
    <row r="885">
      <c r="C885" s="24"/>
      <c r="D885" s="25"/>
    </row>
    <row r="886">
      <c r="C886" s="24"/>
      <c r="D886" s="25"/>
    </row>
    <row r="887">
      <c r="C887" s="24"/>
      <c r="D887" s="25"/>
    </row>
    <row r="888">
      <c r="C888" s="24"/>
      <c r="D888" s="25"/>
    </row>
    <row r="889">
      <c r="C889" s="24"/>
      <c r="D889" s="25"/>
    </row>
    <row r="890">
      <c r="C890" s="24"/>
      <c r="D890" s="25"/>
    </row>
    <row r="891">
      <c r="C891" s="24"/>
      <c r="D891" s="25"/>
    </row>
    <row r="892">
      <c r="C892" s="24"/>
      <c r="D892" s="25"/>
    </row>
    <row r="893">
      <c r="C893" s="24"/>
      <c r="D893" s="25"/>
    </row>
    <row r="894">
      <c r="C894" s="24"/>
      <c r="D894" s="25"/>
    </row>
    <row r="895">
      <c r="C895" s="24"/>
      <c r="D895" s="25"/>
    </row>
    <row r="896">
      <c r="C896" s="24"/>
      <c r="D896" s="25"/>
    </row>
    <row r="897">
      <c r="C897" s="24"/>
      <c r="D897" s="25"/>
    </row>
    <row r="898">
      <c r="C898" s="24"/>
      <c r="D898" s="25"/>
    </row>
    <row r="899">
      <c r="C899" s="24"/>
      <c r="D899" s="25"/>
    </row>
    <row r="900">
      <c r="C900" s="24"/>
      <c r="D900" s="25"/>
    </row>
    <row r="901">
      <c r="C901" s="24"/>
      <c r="D901" s="25"/>
    </row>
    <row r="902">
      <c r="C902" s="24"/>
      <c r="D902" s="25"/>
    </row>
    <row r="903">
      <c r="C903" s="24"/>
      <c r="D903" s="25"/>
    </row>
    <row r="904">
      <c r="C904" s="24"/>
      <c r="D904" s="25"/>
    </row>
    <row r="905">
      <c r="C905" s="24"/>
      <c r="D905" s="25"/>
    </row>
    <row r="906">
      <c r="C906" s="24"/>
      <c r="D906" s="25"/>
    </row>
    <row r="907">
      <c r="C907" s="24"/>
      <c r="D907" s="25"/>
    </row>
    <row r="908">
      <c r="C908" s="24"/>
      <c r="D908" s="25"/>
    </row>
    <row r="909">
      <c r="C909" s="24"/>
      <c r="D909" s="25"/>
    </row>
    <row r="910">
      <c r="C910" s="24"/>
      <c r="D910" s="25"/>
    </row>
    <row r="911">
      <c r="C911" s="24"/>
      <c r="D911" s="25"/>
    </row>
    <row r="912">
      <c r="C912" s="24"/>
      <c r="D912" s="25"/>
    </row>
    <row r="913">
      <c r="C913" s="24"/>
      <c r="D913" s="25"/>
    </row>
    <row r="914">
      <c r="C914" s="24"/>
      <c r="D914" s="25"/>
    </row>
    <row r="915">
      <c r="C915" s="24"/>
      <c r="D915" s="25"/>
    </row>
    <row r="916">
      <c r="C916" s="24"/>
      <c r="D916" s="25"/>
    </row>
    <row r="917">
      <c r="C917" s="24"/>
      <c r="D917" s="25"/>
    </row>
    <row r="918">
      <c r="C918" s="24"/>
      <c r="D918" s="25"/>
    </row>
    <row r="919">
      <c r="C919" s="24"/>
      <c r="D919" s="25"/>
    </row>
    <row r="920">
      <c r="C920" s="24"/>
      <c r="D920" s="25"/>
    </row>
    <row r="921">
      <c r="C921" s="24"/>
      <c r="D921" s="25"/>
    </row>
    <row r="922">
      <c r="C922" s="24"/>
      <c r="D922" s="25"/>
    </row>
    <row r="923">
      <c r="C923" s="24"/>
      <c r="D923" s="25"/>
    </row>
    <row r="924">
      <c r="C924" s="24"/>
      <c r="D924" s="25"/>
    </row>
    <row r="925">
      <c r="C925" s="24"/>
      <c r="D925" s="25"/>
    </row>
    <row r="926">
      <c r="C926" s="24"/>
      <c r="D926" s="25"/>
    </row>
    <row r="927">
      <c r="C927" s="24"/>
      <c r="D927" s="25"/>
    </row>
    <row r="928">
      <c r="C928" s="24"/>
      <c r="D928" s="25"/>
    </row>
    <row r="929">
      <c r="C929" s="24"/>
      <c r="D929" s="25"/>
    </row>
    <row r="930">
      <c r="C930" s="24"/>
      <c r="D930" s="25"/>
    </row>
    <row r="931">
      <c r="C931" s="24"/>
      <c r="D931" s="25"/>
    </row>
    <row r="932">
      <c r="C932" s="24"/>
      <c r="D932" s="25"/>
    </row>
    <row r="933">
      <c r="C933" s="24"/>
      <c r="D933" s="25"/>
    </row>
    <row r="934">
      <c r="C934" s="24"/>
      <c r="D934" s="25"/>
    </row>
    <row r="935">
      <c r="C935" s="24"/>
      <c r="D935" s="25"/>
    </row>
    <row r="936">
      <c r="C936" s="24"/>
      <c r="D936" s="25"/>
    </row>
    <row r="937">
      <c r="C937" s="24"/>
      <c r="D937" s="25"/>
    </row>
    <row r="938">
      <c r="C938" s="24"/>
      <c r="D938" s="25"/>
    </row>
    <row r="939">
      <c r="C939" s="24"/>
      <c r="D939" s="25"/>
    </row>
    <row r="940">
      <c r="C940" s="24"/>
      <c r="D940" s="25"/>
    </row>
    <row r="941">
      <c r="C941" s="24"/>
      <c r="D941" s="25"/>
    </row>
    <row r="942">
      <c r="C942" s="24"/>
      <c r="D942" s="25"/>
    </row>
    <row r="943">
      <c r="C943" s="24"/>
      <c r="D943" s="25"/>
    </row>
    <row r="944">
      <c r="C944" s="24"/>
      <c r="D944" s="25"/>
    </row>
    <row r="945">
      <c r="C945" s="24"/>
      <c r="D945" s="25"/>
    </row>
    <row r="946">
      <c r="C946" s="24"/>
      <c r="D946" s="25"/>
    </row>
    <row r="947">
      <c r="C947" s="24"/>
      <c r="D947" s="25"/>
    </row>
    <row r="948">
      <c r="C948" s="24"/>
      <c r="D948" s="25"/>
    </row>
    <row r="949">
      <c r="C949" s="24"/>
      <c r="D949" s="25"/>
    </row>
    <row r="950">
      <c r="C950" s="24"/>
      <c r="D950" s="25"/>
    </row>
    <row r="951">
      <c r="C951" s="24"/>
      <c r="D951" s="25"/>
    </row>
    <row r="952">
      <c r="C952" s="24"/>
      <c r="D952" s="25"/>
    </row>
    <row r="953">
      <c r="C953" s="24"/>
      <c r="D953" s="25"/>
    </row>
    <row r="954">
      <c r="C954" s="24"/>
      <c r="D954" s="25"/>
    </row>
    <row r="955">
      <c r="C955" s="24"/>
      <c r="D955" s="25"/>
    </row>
    <row r="956">
      <c r="C956" s="24"/>
      <c r="D956" s="25"/>
    </row>
    <row r="957">
      <c r="C957" s="24"/>
      <c r="D957" s="25"/>
    </row>
    <row r="958">
      <c r="C958" s="24"/>
      <c r="D958" s="25"/>
    </row>
    <row r="959">
      <c r="C959" s="24"/>
      <c r="D959" s="25"/>
    </row>
    <row r="960">
      <c r="C960" s="24"/>
      <c r="D960" s="25"/>
    </row>
    <row r="961">
      <c r="C961" s="24"/>
      <c r="D961" s="25"/>
    </row>
    <row r="962">
      <c r="C962" s="24"/>
      <c r="D962" s="25"/>
    </row>
    <row r="963">
      <c r="C963" s="24"/>
      <c r="D963" s="25"/>
    </row>
    <row r="964">
      <c r="C964" s="24"/>
      <c r="D964" s="25"/>
    </row>
    <row r="965">
      <c r="C965" s="24"/>
      <c r="D965" s="25"/>
    </row>
    <row r="966">
      <c r="C966" s="24"/>
      <c r="D966" s="25"/>
    </row>
    <row r="967">
      <c r="C967" s="24"/>
      <c r="D967" s="25"/>
    </row>
    <row r="968">
      <c r="C968" s="24"/>
      <c r="D968" s="25"/>
    </row>
    <row r="969">
      <c r="C969" s="24"/>
      <c r="D969" s="25"/>
    </row>
    <row r="970">
      <c r="C970" s="24"/>
      <c r="D970" s="25"/>
    </row>
    <row r="971">
      <c r="C971" s="24"/>
      <c r="D971" s="25"/>
    </row>
    <row r="972">
      <c r="C972" s="24"/>
      <c r="D972" s="25"/>
    </row>
    <row r="973">
      <c r="C973" s="24"/>
      <c r="D973" s="25"/>
    </row>
    <row r="974">
      <c r="C974" s="24"/>
      <c r="D974" s="25"/>
    </row>
    <row r="975">
      <c r="C975" s="24"/>
      <c r="D975" s="25"/>
    </row>
    <row r="976">
      <c r="C976" s="24"/>
      <c r="D976" s="25"/>
    </row>
    <row r="977">
      <c r="C977" s="24"/>
      <c r="D977" s="25"/>
    </row>
    <row r="978">
      <c r="C978" s="24"/>
      <c r="D978" s="25"/>
    </row>
    <row r="979">
      <c r="C979" s="24"/>
      <c r="D979" s="25"/>
    </row>
    <row r="980">
      <c r="C980" s="24"/>
      <c r="D980" s="25"/>
    </row>
    <row r="981">
      <c r="C981" s="24"/>
      <c r="D981" s="25"/>
    </row>
    <row r="982">
      <c r="C982" s="24"/>
      <c r="D982" s="25"/>
    </row>
    <row r="983">
      <c r="C983" s="24"/>
      <c r="D983" s="25"/>
    </row>
    <row r="984">
      <c r="C984" s="24"/>
      <c r="D984" s="25"/>
    </row>
    <row r="985">
      <c r="C985" s="24"/>
      <c r="D985" s="25"/>
    </row>
    <row r="986">
      <c r="C986" s="24"/>
      <c r="D986" s="25"/>
    </row>
    <row r="987">
      <c r="C987" s="24"/>
      <c r="D987" s="25"/>
    </row>
    <row r="988">
      <c r="C988" s="24"/>
      <c r="D988" s="25"/>
    </row>
    <row r="989">
      <c r="C989" s="24"/>
      <c r="D989" s="25"/>
    </row>
    <row r="990">
      <c r="C990" s="24"/>
      <c r="D990" s="25"/>
    </row>
    <row r="991">
      <c r="C991" s="24"/>
      <c r="D991" s="25"/>
    </row>
    <row r="992">
      <c r="C992" s="24"/>
      <c r="D992" s="25"/>
    </row>
    <row r="993">
      <c r="C993" s="24"/>
      <c r="D993" s="25"/>
    </row>
    <row r="994">
      <c r="C994" s="24"/>
      <c r="D994" s="25"/>
    </row>
    <row r="995">
      <c r="C995" s="24"/>
      <c r="D995" s="25"/>
    </row>
    <row r="996">
      <c r="C996" s="24"/>
      <c r="D996" s="25"/>
    </row>
    <row r="997">
      <c r="C997" s="24"/>
      <c r="D997" s="25"/>
    </row>
    <row r="998">
      <c r="C998" s="24"/>
      <c r="D998" s="25"/>
    </row>
    <row r="999">
      <c r="C999" s="24"/>
      <c r="D999" s="25"/>
    </row>
    <row r="1000">
      <c r="C1000" s="24"/>
      <c r="D1000" s="25"/>
    </row>
  </sheetData>
  <dataValidations>
    <dataValidation type="list" allowBlank="1" showErrorMessage="1" sqref="D2:D101">
      <formula1>"TO DO,SDG 7,NOT SDG 7,SKIP"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18" t="s">
        <v>78</v>
      </c>
      <c r="B1" s="18" t="s">
        <v>79</v>
      </c>
      <c r="C1" s="19" t="s">
        <v>80</v>
      </c>
      <c r="D1" s="20" t="s">
        <v>81</v>
      </c>
      <c r="E1" s="13" t="s">
        <v>82</v>
      </c>
    </row>
    <row r="2">
      <c r="A2" s="21" t="s">
        <v>305</v>
      </c>
      <c r="B2" s="21" t="s">
        <v>306</v>
      </c>
      <c r="C2" s="22" t="s">
        <v>307</v>
      </c>
      <c r="D2" s="23" t="s">
        <v>14</v>
      </c>
    </row>
    <row r="3">
      <c r="A3" s="21" t="s">
        <v>119</v>
      </c>
      <c r="B3" s="21" t="s">
        <v>120</v>
      </c>
      <c r="C3" s="22" t="s">
        <v>121</v>
      </c>
      <c r="D3" s="23" t="s">
        <v>12</v>
      </c>
    </row>
    <row r="4">
      <c r="A4" s="21" t="s">
        <v>325</v>
      </c>
      <c r="B4" s="21" t="s">
        <v>326</v>
      </c>
      <c r="C4" s="22" t="s">
        <v>327</v>
      </c>
      <c r="D4" s="23" t="s">
        <v>12</v>
      </c>
    </row>
    <row r="5">
      <c r="A5" s="21" t="s">
        <v>286</v>
      </c>
      <c r="B5" s="21" t="s">
        <v>287</v>
      </c>
      <c r="C5" s="22" t="s">
        <v>288</v>
      </c>
      <c r="D5" s="23" t="s">
        <v>12</v>
      </c>
    </row>
    <row r="6">
      <c r="A6" s="21" t="s">
        <v>83</v>
      </c>
      <c r="B6" s="21" t="s">
        <v>247</v>
      </c>
      <c r="C6" s="22" t="s">
        <v>248</v>
      </c>
      <c r="D6" s="23" t="s">
        <v>14</v>
      </c>
    </row>
    <row r="7">
      <c r="A7" s="21" t="s">
        <v>90</v>
      </c>
      <c r="B7" s="21" t="s">
        <v>210</v>
      </c>
      <c r="C7" s="22" t="s">
        <v>211</v>
      </c>
      <c r="D7" s="23" t="s">
        <v>14</v>
      </c>
    </row>
    <row r="8">
      <c r="A8" s="21" t="s">
        <v>281</v>
      </c>
      <c r="B8" s="21" t="s">
        <v>282</v>
      </c>
      <c r="C8" s="22" t="s">
        <v>283</v>
      </c>
      <c r="D8" s="23" t="s">
        <v>14</v>
      </c>
    </row>
    <row r="9">
      <c r="A9" s="21" t="s">
        <v>87</v>
      </c>
      <c r="B9" s="21" t="s">
        <v>258</v>
      </c>
      <c r="C9" s="22" t="s">
        <v>259</v>
      </c>
      <c r="D9" s="23" t="s">
        <v>14</v>
      </c>
    </row>
    <row r="10">
      <c r="A10" s="21" t="s">
        <v>333</v>
      </c>
      <c r="B10" s="21" t="s">
        <v>334</v>
      </c>
      <c r="C10" s="22" t="s">
        <v>335</v>
      </c>
      <c r="D10" s="23" t="s">
        <v>12</v>
      </c>
    </row>
    <row r="11">
      <c r="A11" s="21" t="s">
        <v>182</v>
      </c>
      <c r="B11" s="21" t="s">
        <v>183</v>
      </c>
      <c r="C11" s="22" t="s">
        <v>184</v>
      </c>
      <c r="D11" s="23" t="s">
        <v>14</v>
      </c>
    </row>
    <row r="12">
      <c r="A12" s="21" t="s">
        <v>223</v>
      </c>
      <c r="B12" s="21" t="s">
        <v>224</v>
      </c>
      <c r="C12" s="22" t="s">
        <v>225</v>
      </c>
      <c r="D12" s="23" t="s">
        <v>12</v>
      </c>
    </row>
    <row r="13">
      <c r="A13" s="21" t="s">
        <v>93</v>
      </c>
      <c r="B13" s="21" t="s">
        <v>245</v>
      </c>
      <c r="C13" s="22" t="s">
        <v>246</v>
      </c>
      <c r="D13" s="23" t="s">
        <v>12</v>
      </c>
    </row>
    <row r="14">
      <c r="A14" s="21" t="s">
        <v>99</v>
      </c>
      <c r="B14" s="21" t="s">
        <v>206</v>
      </c>
      <c r="C14" s="22" t="s">
        <v>207</v>
      </c>
      <c r="D14" s="23" t="s">
        <v>12</v>
      </c>
    </row>
    <row r="15">
      <c r="A15" s="21" t="s">
        <v>83</v>
      </c>
      <c r="B15" s="21" t="s">
        <v>270</v>
      </c>
      <c r="C15" s="22" t="s">
        <v>271</v>
      </c>
      <c r="D15" s="23" t="s">
        <v>14</v>
      </c>
    </row>
    <row r="16">
      <c r="A16" s="21" t="s">
        <v>149</v>
      </c>
      <c r="B16" s="21" t="s">
        <v>316</v>
      </c>
      <c r="C16" s="22" t="s">
        <v>317</v>
      </c>
      <c r="D16" s="23" t="s">
        <v>12</v>
      </c>
    </row>
    <row r="17">
      <c r="A17" s="21" t="s">
        <v>96</v>
      </c>
      <c r="B17" s="21" t="s">
        <v>97</v>
      </c>
      <c r="C17" s="22" t="s">
        <v>98</v>
      </c>
      <c r="D17" s="23" t="s">
        <v>14</v>
      </c>
    </row>
    <row r="18">
      <c r="A18" s="21" t="s">
        <v>232</v>
      </c>
      <c r="B18" s="21" t="s">
        <v>233</v>
      </c>
      <c r="C18" s="22" t="s">
        <v>234</v>
      </c>
      <c r="D18" s="23" t="s">
        <v>12</v>
      </c>
    </row>
    <row r="19">
      <c r="A19" s="21" t="s">
        <v>276</v>
      </c>
      <c r="B19" s="21" t="s">
        <v>301</v>
      </c>
      <c r="C19" s="22" t="s">
        <v>302</v>
      </c>
      <c r="D19" s="23" t="s">
        <v>12</v>
      </c>
    </row>
    <row r="20">
      <c r="A20" s="21" t="s">
        <v>93</v>
      </c>
      <c r="B20" s="21" t="s">
        <v>94</v>
      </c>
      <c r="C20" s="22" t="s">
        <v>95</v>
      </c>
      <c r="D20" s="23" t="s">
        <v>12</v>
      </c>
    </row>
    <row r="21">
      <c r="A21" s="21" t="s">
        <v>87</v>
      </c>
      <c r="B21" s="21" t="s">
        <v>132</v>
      </c>
      <c r="C21" s="22" t="s">
        <v>133</v>
      </c>
      <c r="D21" s="23" t="s">
        <v>14</v>
      </c>
    </row>
    <row r="22">
      <c r="A22" s="21" t="s">
        <v>255</v>
      </c>
      <c r="B22" s="21" t="s">
        <v>256</v>
      </c>
      <c r="C22" s="22" t="s">
        <v>257</v>
      </c>
      <c r="D22" s="23" t="s">
        <v>12</v>
      </c>
    </row>
    <row r="23">
      <c r="A23" s="21" t="s">
        <v>99</v>
      </c>
      <c r="B23" s="21" t="s">
        <v>100</v>
      </c>
      <c r="C23" s="22" t="s">
        <v>101</v>
      </c>
      <c r="D23" s="23" t="s">
        <v>12</v>
      </c>
    </row>
    <row r="24">
      <c r="A24" s="21" t="s">
        <v>99</v>
      </c>
      <c r="B24" s="21" t="s">
        <v>284</v>
      </c>
      <c r="C24" s="22" t="s">
        <v>285</v>
      </c>
      <c r="D24" s="23" t="s">
        <v>12</v>
      </c>
    </row>
    <row r="25">
      <c r="A25" s="21" t="s">
        <v>102</v>
      </c>
      <c r="B25" s="21" t="s">
        <v>272</v>
      </c>
      <c r="C25" s="22" t="s">
        <v>273</v>
      </c>
      <c r="D25" s="23" t="s">
        <v>12</v>
      </c>
    </row>
    <row r="26">
      <c r="A26" s="21" t="s">
        <v>177</v>
      </c>
      <c r="B26" s="21" t="s">
        <v>187</v>
      </c>
      <c r="C26" s="22" t="s">
        <v>188</v>
      </c>
      <c r="D26" s="23" t="s">
        <v>14</v>
      </c>
    </row>
    <row r="27">
      <c r="A27" s="21" t="s">
        <v>152</v>
      </c>
      <c r="B27" s="21" t="s">
        <v>153</v>
      </c>
      <c r="C27" s="22" t="s">
        <v>154</v>
      </c>
      <c r="D27" s="23" t="s">
        <v>14</v>
      </c>
    </row>
    <row r="28">
      <c r="A28" s="21" t="s">
        <v>197</v>
      </c>
      <c r="B28" s="21" t="s">
        <v>198</v>
      </c>
      <c r="C28" s="22" t="s">
        <v>199</v>
      </c>
      <c r="D28" s="23" t="s">
        <v>14</v>
      </c>
    </row>
    <row r="29">
      <c r="A29" s="21" t="s">
        <v>93</v>
      </c>
      <c r="B29" s="21" t="s">
        <v>338</v>
      </c>
      <c r="C29" s="22" t="s">
        <v>339</v>
      </c>
      <c r="D29" s="23" t="s">
        <v>14</v>
      </c>
    </row>
    <row r="30">
      <c r="A30" s="21" t="s">
        <v>102</v>
      </c>
      <c r="B30" s="21" t="s">
        <v>103</v>
      </c>
      <c r="C30" s="22" t="s">
        <v>104</v>
      </c>
      <c r="D30" s="23" t="s">
        <v>14</v>
      </c>
    </row>
    <row r="31">
      <c r="A31" s="21" t="s">
        <v>161</v>
      </c>
      <c r="B31" s="21" t="s">
        <v>162</v>
      </c>
      <c r="C31" s="22" t="s">
        <v>163</v>
      </c>
      <c r="D31" s="23" t="s">
        <v>14</v>
      </c>
    </row>
    <row r="32">
      <c r="A32" s="21" t="s">
        <v>265</v>
      </c>
      <c r="B32" s="21" t="s">
        <v>266</v>
      </c>
      <c r="C32" s="22" t="s">
        <v>267</v>
      </c>
      <c r="D32" s="23" t="s">
        <v>14</v>
      </c>
      <c r="E32" s="4" t="s">
        <v>348</v>
      </c>
    </row>
    <row r="33">
      <c r="A33" s="21" t="s">
        <v>262</v>
      </c>
      <c r="B33" s="21" t="s">
        <v>263</v>
      </c>
      <c r="C33" s="22" t="s">
        <v>264</v>
      </c>
      <c r="D33" s="23" t="s">
        <v>12</v>
      </c>
    </row>
    <row r="34">
      <c r="A34" s="21" t="s">
        <v>108</v>
      </c>
      <c r="B34" s="21" t="s">
        <v>109</v>
      </c>
      <c r="C34" s="22" t="s">
        <v>110</v>
      </c>
      <c r="D34" s="23" t="s">
        <v>12</v>
      </c>
    </row>
    <row r="35">
      <c r="A35" s="21" t="s">
        <v>308</v>
      </c>
      <c r="B35" s="21" t="s">
        <v>309</v>
      </c>
      <c r="C35" s="22" t="s">
        <v>310</v>
      </c>
      <c r="D35" s="23" t="s">
        <v>12</v>
      </c>
    </row>
    <row r="36">
      <c r="A36" s="21" t="s">
        <v>281</v>
      </c>
      <c r="B36" s="21" t="s">
        <v>340</v>
      </c>
      <c r="C36" s="22" t="s">
        <v>341</v>
      </c>
      <c r="D36" s="23" t="s">
        <v>14</v>
      </c>
    </row>
    <row r="37">
      <c r="A37" s="21" t="s">
        <v>203</v>
      </c>
      <c r="B37" s="21" t="s">
        <v>204</v>
      </c>
      <c r="C37" s="22" t="s">
        <v>205</v>
      </c>
      <c r="D37" s="23" t="s">
        <v>12</v>
      </c>
    </row>
    <row r="38">
      <c r="A38" s="21" t="s">
        <v>189</v>
      </c>
      <c r="B38" s="21" t="s">
        <v>268</v>
      </c>
      <c r="C38" s="22" t="s">
        <v>269</v>
      </c>
      <c r="D38" s="23" t="s">
        <v>14</v>
      </c>
    </row>
    <row r="39">
      <c r="A39" s="21" t="s">
        <v>114</v>
      </c>
      <c r="B39" s="21" t="s">
        <v>115</v>
      </c>
      <c r="C39" s="22" t="s">
        <v>116</v>
      </c>
      <c r="D39" s="23" t="s">
        <v>14</v>
      </c>
    </row>
    <row r="40">
      <c r="A40" s="21" t="s">
        <v>124</v>
      </c>
      <c r="B40" s="21" t="s">
        <v>303</v>
      </c>
      <c r="C40" s="22" t="s">
        <v>304</v>
      </c>
      <c r="D40" s="23" t="s">
        <v>14</v>
      </c>
    </row>
    <row r="41">
      <c r="A41" s="21" t="s">
        <v>137</v>
      </c>
      <c r="B41" s="21" t="s">
        <v>195</v>
      </c>
      <c r="C41" s="22" t="s">
        <v>196</v>
      </c>
      <c r="D41" s="23" t="s">
        <v>12</v>
      </c>
    </row>
    <row r="42">
      <c r="A42" s="21" t="s">
        <v>87</v>
      </c>
      <c r="B42" s="21" t="s">
        <v>88</v>
      </c>
      <c r="C42" s="22" t="s">
        <v>89</v>
      </c>
      <c r="D42" s="23" t="s">
        <v>14</v>
      </c>
    </row>
    <row r="43">
      <c r="A43" s="21" t="s">
        <v>137</v>
      </c>
      <c r="B43" s="21" t="s">
        <v>292</v>
      </c>
      <c r="C43" s="22" t="s">
        <v>293</v>
      </c>
      <c r="D43" s="23" t="s">
        <v>12</v>
      </c>
    </row>
    <row r="44">
      <c r="A44" s="21" t="s">
        <v>124</v>
      </c>
      <c r="B44" s="21" t="s">
        <v>279</v>
      </c>
      <c r="C44" s="22" t="s">
        <v>280</v>
      </c>
      <c r="D44" s="23" t="s">
        <v>14</v>
      </c>
    </row>
    <row r="45">
      <c r="A45" s="21" t="s">
        <v>158</v>
      </c>
      <c r="B45" s="21" t="s">
        <v>185</v>
      </c>
      <c r="C45" s="22" t="s">
        <v>186</v>
      </c>
      <c r="D45" s="23" t="s">
        <v>14</v>
      </c>
    </row>
    <row r="46">
      <c r="A46" s="21" t="s">
        <v>220</v>
      </c>
      <c r="B46" s="21" t="s">
        <v>221</v>
      </c>
      <c r="C46" s="22" t="s">
        <v>222</v>
      </c>
      <c r="D46" s="23" t="s">
        <v>12</v>
      </c>
    </row>
    <row r="47">
      <c r="A47" s="21" t="s">
        <v>203</v>
      </c>
      <c r="B47" s="21" t="s">
        <v>251</v>
      </c>
      <c r="C47" s="22" t="s">
        <v>252</v>
      </c>
      <c r="D47" s="23" t="s">
        <v>12</v>
      </c>
    </row>
    <row r="48">
      <c r="A48" s="21" t="s">
        <v>143</v>
      </c>
      <c r="B48" s="21" t="s">
        <v>144</v>
      </c>
      <c r="C48" s="22" t="s">
        <v>145</v>
      </c>
      <c r="D48" s="23" t="s">
        <v>14</v>
      </c>
    </row>
    <row r="49">
      <c r="A49" s="21" t="s">
        <v>146</v>
      </c>
      <c r="B49" s="21" t="s">
        <v>147</v>
      </c>
      <c r="C49" s="22" t="s">
        <v>148</v>
      </c>
      <c r="D49" s="23" t="s">
        <v>14</v>
      </c>
    </row>
    <row r="50">
      <c r="A50" s="21" t="s">
        <v>320</v>
      </c>
      <c r="B50" s="21" t="s">
        <v>321</v>
      </c>
      <c r="C50" s="22" t="s">
        <v>322</v>
      </c>
      <c r="D50" s="23" t="s">
        <v>12</v>
      </c>
    </row>
    <row r="51">
      <c r="A51" s="21" t="s">
        <v>102</v>
      </c>
      <c r="B51" s="21" t="s">
        <v>172</v>
      </c>
      <c r="C51" s="22" t="s">
        <v>173</v>
      </c>
      <c r="D51" s="23" t="s">
        <v>12</v>
      </c>
    </row>
    <row r="52">
      <c r="A52" s="21" t="s">
        <v>294</v>
      </c>
      <c r="B52" s="21" t="s">
        <v>297</v>
      </c>
      <c r="C52" s="22" t="s">
        <v>298</v>
      </c>
      <c r="D52" s="23" t="s">
        <v>12</v>
      </c>
    </row>
    <row r="53">
      <c r="A53" s="21" t="s">
        <v>276</v>
      </c>
      <c r="B53" s="21" t="s">
        <v>277</v>
      </c>
      <c r="C53" s="22" t="s">
        <v>278</v>
      </c>
      <c r="D53" s="23" t="s">
        <v>12</v>
      </c>
    </row>
    <row r="54">
      <c r="A54" s="21" t="s">
        <v>83</v>
      </c>
      <c r="B54" s="21" t="s">
        <v>84</v>
      </c>
      <c r="C54" s="22" t="s">
        <v>85</v>
      </c>
      <c r="D54" s="23" t="s">
        <v>14</v>
      </c>
    </row>
    <row r="55">
      <c r="A55" s="21" t="s">
        <v>164</v>
      </c>
      <c r="B55" s="21" t="s">
        <v>274</v>
      </c>
      <c r="C55" s="22" t="s">
        <v>275</v>
      </c>
      <c r="D55" s="23" t="s">
        <v>14</v>
      </c>
    </row>
    <row r="56">
      <c r="A56" s="21" t="s">
        <v>137</v>
      </c>
      <c r="B56" s="21" t="s">
        <v>138</v>
      </c>
      <c r="C56" s="22" t="s">
        <v>139</v>
      </c>
      <c r="D56" s="23" t="s">
        <v>12</v>
      </c>
    </row>
    <row r="57">
      <c r="A57" s="21" t="s">
        <v>174</v>
      </c>
      <c r="B57" s="21" t="s">
        <v>175</v>
      </c>
      <c r="C57" s="22" t="s">
        <v>176</v>
      </c>
      <c r="D57" s="23" t="s">
        <v>12</v>
      </c>
    </row>
    <row r="58">
      <c r="A58" s="21" t="s">
        <v>289</v>
      </c>
      <c r="B58" s="21" t="s">
        <v>290</v>
      </c>
      <c r="C58" s="22" t="s">
        <v>291</v>
      </c>
      <c r="D58" s="23" t="s">
        <v>14</v>
      </c>
    </row>
    <row r="59">
      <c r="A59" s="21" t="s">
        <v>313</v>
      </c>
      <c r="B59" s="21" t="s">
        <v>314</v>
      </c>
      <c r="C59" s="22" t="s">
        <v>315</v>
      </c>
      <c r="D59" s="23" t="s">
        <v>14</v>
      </c>
    </row>
    <row r="60">
      <c r="A60" s="21" t="s">
        <v>229</v>
      </c>
      <c r="B60" s="21" t="s">
        <v>230</v>
      </c>
      <c r="C60" s="22" t="s">
        <v>231</v>
      </c>
      <c r="D60" s="23" t="s">
        <v>14</v>
      </c>
    </row>
    <row r="61">
      <c r="A61" s="21" t="s">
        <v>146</v>
      </c>
      <c r="B61" s="21" t="s">
        <v>336</v>
      </c>
      <c r="C61" s="22" t="s">
        <v>337</v>
      </c>
      <c r="D61" s="23" t="s">
        <v>14</v>
      </c>
    </row>
    <row r="62">
      <c r="A62" s="21" t="s">
        <v>189</v>
      </c>
      <c r="B62" s="21" t="s">
        <v>190</v>
      </c>
      <c r="C62" s="22" t="s">
        <v>191</v>
      </c>
      <c r="D62" s="23" t="s">
        <v>14</v>
      </c>
    </row>
    <row r="63">
      <c r="A63" s="21" t="s">
        <v>90</v>
      </c>
      <c r="B63" s="21" t="s">
        <v>299</v>
      </c>
      <c r="C63" s="22" t="s">
        <v>300</v>
      </c>
      <c r="D63" s="23" t="s">
        <v>14</v>
      </c>
    </row>
    <row r="64">
      <c r="A64" s="21" t="s">
        <v>90</v>
      </c>
      <c r="B64" s="21" t="s">
        <v>122</v>
      </c>
      <c r="C64" s="22" t="s">
        <v>123</v>
      </c>
      <c r="D64" s="23" t="s">
        <v>14</v>
      </c>
    </row>
    <row r="65">
      <c r="A65" s="21" t="s">
        <v>114</v>
      </c>
      <c r="B65" s="21" t="s">
        <v>167</v>
      </c>
      <c r="C65" s="22" t="s">
        <v>168</v>
      </c>
      <c r="D65" s="23" t="s">
        <v>12</v>
      </c>
    </row>
    <row r="66">
      <c r="A66" s="21" t="s">
        <v>164</v>
      </c>
      <c r="B66" s="21" t="s">
        <v>331</v>
      </c>
      <c r="C66" s="22" t="s">
        <v>332</v>
      </c>
      <c r="D66" s="23" t="s">
        <v>14</v>
      </c>
    </row>
    <row r="67">
      <c r="A67" s="21" t="s">
        <v>149</v>
      </c>
      <c r="B67" s="21" t="s">
        <v>150</v>
      </c>
      <c r="C67" s="22" t="s">
        <v>151</v>
      </c>
      <c r="D67" s="23" t="s">
        <v>12</v>
      </c>
    </row>
    <row r="68">
      <c r="A68" s="21" t="s">
        <v>229</v>
      </c>
      <c r="B68" s="21" t="s">
        <v>235</v>
      </c>
      <c r="C68" s="22" t="s">
        <v>236</v>
      </c>
      <c r="D68" s="23" t="s">
        <v>12</v>
      </c>
    </row>
    <row r="69">
      <c r="A69" s="21" t="s">
        <v>127</v>
      </c>
      <c r="B69" s="21" t="s">
        <v>128</v>
      </c>
      <c r="C69" s="22" t="s">
        <v>129</v>
      </c>
      <c r="D69" s="23" t="s">
        <v>14</v>
      </c>
    </row>
    <row r="70">
      <c r="A70" s="21" t="s">
        <v>242</v>
      </c>
      <c r="B70" s="21" t="s">
        <v>243</v>
      </c>
      <c r="C70" s="22" t="s">
        <v>244</v>
      </c>
      <c r="D70" s="23" t="s">
        <v>12</v>
      </c>
      <c r="E70" s="4" t="s">
        <v>349</v>
      </c>
    </row>
    <row r="71">
      <c r="A71" s="21" t="s">
        <v>140</v>
      </c>
      <c r="B71" s="21" t="s">
        <v>141</v>
      </c>
      <c r="C71" s="22" t="s">
        <v>142</v>
      </c>
      <c r="D71" s="23" t="s">
        <v>12</v>
      </c>
    </row>
    <row r="72">
      <c r="A72" s="21" t="s">
        <v>90</v>
      </c>
      <c r="B72" s="21" t="s">
        <v>91</v>
      </c>
      <c r="C72" s="22" t="s">
        <v>92</v>
      </c>
      <c r="D72" s="23" t="s">
        <v>14</v>
      </c>
    </row>
    <row r="73">
      <c r="A73" s="21" t="s">
        <v>215</v>
      </c>
      <c r="B73" s="21" t="s">
        <v>216</v>
      </c>
      <c r="C73" s="22" t="s">
        <v>217</v>
      </c>
      <c r="D73" s="23" t="s">
        <v>14</v>
      </c>
    </row>
    <row r="74">
      <c r="A74" s="21" t="s">
        <v>155</v>
      </c>
      <c r="B74" s="21" t="s">
        <v>156</v>
      </c>
      <c r="C74" s="22" t="s">
        <v>157</v>
      </c>
      <c r="D74" s="23" t="s">
        <v>12</v>
      </c>
    </row>
    <row r="75">
      <c r="A75" s="21" t="s">
        <v>177</v>
      </c>
      <c r="B75" s="21" t="s">
        <v>178</v>
      </c>
      <c r="C75" s="22" t="s">
        <v>179</v>
      </c>
      <c r="D75" s="23" t="s">
        <v>14</v>
      </c>
    </row>
    <row r="76">
      <c r="A76" s="21" t="s">
        <v>169</v>
      </c>
      <c r="B76" s="21" t="s">
        <v>170</v>
      </c>
      <c r="C76" s="22" t="s">
        <v>171</v>
      </c>
      <c r="D76" s="23" t="s">
        <v>12</v>
      </c>
    </row>
    <row r="77">
      <c r="A77" s="21" t="s">
        <v>87</v>
      </c>
      <c r="B77" s="21" t="s">
        <v>253</v>
      </c>
      <c r="C77" s="22" t="s">
        <v>254</v>
      </c>
      <c r="D77" s="23" t="s">
        <v>14</v>
      </c>
    </row>
    <row r="78">
      <c r="A78" s="21" t="s">
        <v>105</v>
      </c>
      <c r="B78" s="21" t="s">
        <v>106</v>
      </c>
      <c r="C78" s="22" t="s">
        <v>107</v>
      </c>
      <c r="D78" s="23" t="s">
        <v>12</v>
      </c>
    </row>
    <row r="79">
      <c r="A79" s="21" t="s">
        <v>294</v>
      </c>
      <c r="B79" s="21" t="s">
        <v>295</v>
      </c>
      <c r="C79" s="22" t="s">
        <v>296</v>
      </c>
      <c r="D79" s="23" t="s">
        <v>12</v>
      </c>
    </row>
    <row r="80">
      <c r="A80" s="21" t="s">
        <v>124</v>
      </c>
      <c r="B80" s="21" t="s">
        <v>130</v>
      </c>
      <c r="C80" s="22" t="s">
        <v>131</v>
      </c>
      <c r="D80" s="23" t="s">
        <v>14</v>
      </c>
    </row>
    <row r="81">
      <c r="A81" s="21" t="s">
        <v>105</v>
      </c>
      <c r="B81" s="21" t="s">
        <v>240</v>
      </c>
      <c r="C81" s="22" t="s">
        <v>241</v>
      </c>
      <c r="D81" s="23" t="s">
        <v>12</v>
      </c>
    </row>
    <row r="82">
      <c r="A82" s="21" t="s">
        <v>226</v>
      </c>
      <c r="B82" s="21" t="s">
        <v>227</v>
      </c>
      <c r="C82" s="22" t="s">
        <v>228</v>
      </c>
      <c r="D82" s="23" t="s">
        <v>12</v>
      </c>
    </row>
    <row r="83">
      <c r="A83" s="21" t="s">
        <v>124</v>
      </c>
      <c r="B83" s="21" t="s">
        <v>125</v>
      </c>
      <c r="C83" s="22" t="s">
        <v>126</v>
      </c>
      <c r="D83" s="23" t="s">
        <v>14</v>
      </c>
    </row>
    <row r="84">
      <c r="A84" s="21" t="s">
        <v>203</v>
      </c>
      <c r="B84" s="21" t="s">
        <v>260</v>
      </c>
      <c r="C84" s="22" t="s">
        <v>261</v>
      </c>
      <c r="D84" s="23" t="s">
        <v>14</v>
      </c>
    </row>
    <row r="85">
      <c r="A85" s="21" t="s">
        <v>200</v>
      </c>
      <c r="B85" s="21" t="s">
        <v>201</v>
      </c>
      <c r="C85" s="22" t="s">
        <v>202</v>
      </c>
      <c r="D85" s="23" t="s">
        <v>12</v>
      </c>
    </row>
    <row r="86">
      <c r="A86" s="21" t="s">
        <v>212</v>
      </c>
      <c r="B86" s="21" t="s">
        <v>213</v>
      </c>
      <c r="C86" s="22" t="s">
        <v>214</v>
      </c>
      <c r="D86" s="23" t="s">
        <v>12</v>
      </c>
      <c r="E86" s="4" t="s">
        <v>350</v>
      </c>
    </row>
    <row r="87">
      <c r="A87" s="21" t="s">
        <v>192</v>
      </c>
      <c r="B87" s="21" t="s">
        <v>193</v>
      </c>
      <c r="C87" s="22" t="s">
        <v>194</v>
      </c>
      <c r="D87" s="23" t="s">
        <v>12</v>
      </c>
    </row>
    <row r="88">
      <c r="A88" s="21" t="s">
        <v>105</v>
      </c>
      <c r="B88" s="21" t="s">
        <v>117</v>
      </c>
      <c r="C88" s="22" t="s">
        <v>118</v>
      </c>
      <c r="D88" s="23" t="s">
        <v>14</v>
      </c>
    </row>
    <row r="89">
      <c r="A89" s="21" t="s">
        <v>237</v>
      </c>
      <c r="B89" s="21" t="s">
        <v>238</v>
      </c>
      <c r="C89" s="22" t="s">
        <v>239</v>
      </c>
      <c r="D89" s="23" t="s">
        <v>12</v>
      </c>
    </row>
    <row r="90">
      <c r="A90" s="21" t="s">
        <v>164</v>
      </c>
      <c r="B90" s="21" t="s">
        <v>165</v>
      </c>
      <c r="C90" s="22" t="s">
        <v>166</v>
      </c>
      <c r="D90" s="23" t="s">
        <v>14</v>
      </c>
    </row>
    <row r="91">
      <c r="A91" s="21" t="s">
        <v>328</v>
      </c>
      <c r="B91" s="21" t="s">
        <v>329</v>
      </c>
      <c r="C91" s="22" t="s">
        <v>330</v>
      </c>
      <c r="D91" s="23" t="s">
        <v>12</v>
      </c>
    </row>
    <row r="92">
      <c r="A92" s="21" t="s">
        <v>174</v>
      </c>
      <c r="B92" s="21" t="s">
        <v>218</v>
      </c>
      <c r="C92" s="22" t="s">
        <v>219</v>
      </c>
      <c r="D92" s="23" t="s">
        <v>14</v>
      </c>
    </row>
    <row r="93">
      <c r="A93" s="21" t="s">
        <v>93</v>
      </c>
      <c r="B93" s="21" t="s">
        <v>311</v>
      </c>
      <c r="C93" s="22" t="s">
        <v>312</v>
      </c>
      <c r="D93" s="23" t="s">
        <v>12</v>
      </c>
    </row>
    <row r="94">
      <c r="A94" s="21" t="s">
        <v>99</v>
      </c>
      <c r="B94" s="21" t="s">
        <v>208</v>
      </c>
      <c r="C94" s="22" t="s">
        <v>209</v>
      </c>
      <c r="D94" s="23" t="s">
        <v>12</v>
      </c>
    </row>
    <row r="95">
      <c r="A95" s="21" t="s">
        <v>158</v>
      </c>
      <c r="B95" s="21" t="s">
        <v>318</v>
      </c>
      <c r="C95" s="22" t="s">
        <v>319</v>
      </c>
      <c r="D95" s="23" t="s">
        <v>14</v>
      </c>
    </row>
    <row r="96">
      <c r="A96" s="21" t="s">
        <v>158</v>
      </c>
      <c r="B96" s="21" t="s">
        <v>159</v>
      </c>
      <c r="C96" s="22" t="s">
        <v>160</v>
      </c>
      <c r="D96" s="23" t="s">
        <v>14</v>
      </c>
    </row>
    <row r="97">
      <c r="A97" s="21" t="s">
        <v>143</v>
      </c>
      <c r="B97" s="21" t="s">
        <v>180</v>
      </c>
      <c r="C97" s="22" t="s">
        <v>181</v>
      </c>
      <c r="D97" s="23" t="s">
        <v>14</v>
      </c>
    </row>
    <row r="98">
      <c r="A98" s="21" t="s">
        <v>134</v>
      </c>
      <c r="B98" s="21" t="s">
        <v>135</v>
      </c>
      <c r="C98" s="22" t="s">
        <v>136</v>
      </c>
      <c r="D98" s="23" t="s">
        <v>14</v>
      </c>
    </row>
    <row r="99">
      <c r="A99" s="21" t="s">
        <v>111</v>
      </c>
      <c r="B99" s="21" t="s">
        <v>112</v>
      </c>
      <c r="C99" s="22" t="s">
        <v>113</v>
      </c>
      <c r="D99" s="23" t="s">
        <v>12</v>
      </c>
    </row>
    <row r="100">
      <c r="A100" s="21" t="s">
        <v>215</v>
      </c>
      <c r="B100" s="21" t="s">
        <v>323</v>
      </c>
      <c r="C100" s="22" t="s">
        <v>324</v>
      </c>
      <c r="D100" s="23" t="s">
        <v>14</v>
      </c>
    </row>
    <row r="101">
      <c r="A101" s="21" t="s">
        <v>124</v>
      </c>
      <c r="B101" s="21" t="s">
        <v>249</v>
      </c>
      <c r="C101" s="22" t="s">
        <v>250</v>
      </c>
      <c r="D101" s="23" t="s">
        <v>14</v>
      </c>
    </row>
    <row r="102">
      <c r="C102" s="24"/>
      <c r="D102" s="25"/>
    </row>
    <row r="103">
      <c r="C103" s="24"/>
      <c r="D103" s="25"/>
    </row>
    <row r="104">
      <c r="C104" s="24"/>
      <c r="D104" s="25"/>
    </row>
    <row r="105">
      <c r="C105" s="24"/>
      <c r="D105" s="25"/>
    </row>
    <row r="106">
      <c r="C106" s="24"/>
      <c r="D106" s="25"/>
    </row>
    <row r="107">
      <c r="C107" s="24"/>
      <c r="D107" s="25"/>
    </row>
    <row r="108">
      <c r="C108" s="24"/>
      <c r="D108" s="25"/>
    </row>
    <row r="109">
      <c r="C109" s="24"/>
      <c r="D109" s="25"/>
    </row>
    <row r="110">
      <c r="C110" s="24"/>
      <c r="D110" s="25"/>
    </row>
    <row r="111">
      <c r="C111" s="24"/>
      <c r="D111" s="25"/>
    </row>
    <row r="112">
      <c r="C112" s="24"/>
      <c r="D112" s="25"/>
    </row>
    <row r="113">
      <c r="C113" s="24"/>
      <c r="D113" s="25"/>
    </row>
    <row r="114">
      <c r="C114" s="24"/>
      <c r="D114" s="25"/>
    </row>
    <row r="115">
      <c r="C115" s="24"/>
      <c r="D115" s="25"/>
    </row>
    <row r="116">
      <c r="C116" s="24"/>
      <c r="D116" s="25"/>
    </row>
    <row r="117">
      <c r="C117" s="24"/>
      <c r="D117" s="25"/>
    </row>
    <row r="118">
      <c r="C118" s="24"/>
      <c r="D118" s="25"/>
    </row>
    <row r="119">
      <c r="C119" s="24"/>
      <c r="D119" s="25"/>
    </row>
    <row r="120">
      <c r="C120" s="24"/>
      <c r="D120" s="25"/>
    </row>
    <row r="121">
      <c r="C121" s="24"/>
      <c r="D121" s="25"/>
    </row>
    <row r="122">
      <c r="C122" s="24"/>
      <c r="D122" s="25"/>
    </row>
    <row r="123">
      <c r="C123" s="24"/>
      <c r="D123" s="25"/>
    </row>
    <row r="124">
      <c r="C124" s="24"/>
      <c r="D124" s="25"/>
    </row>
    <row r="125">
      <c r="C125" s="24"/>
      <c r="D125" s="25"/>
    </row>
    <row r="126">
      <c r="C126" s="24"/>
      <c r="D126" s="25"/>
    </row>
    <row r="127">
      <c r="C127" s="24"/>
      <c r="D127" s="25"/>
    </row>
    <row r="128">
      <c r="C128" s="24"/>
      <c r="D128" s="25"/>
    </row>
    <row r="129">
      <c r="C129" s="24"/>
      <c r="D129" s="25"/>
    </row>
    <row r="130">
      <c r="C130" s="24"/>
      <c r="D130" s="25"/>
    </row>
    <row r="131">
      <c r="C131" s="24"/>
      <c r="D131" s="25"/>
    </row>
    <row r="132">
      <c r="C132" s="24"/>
      <c r="D132" s="25"/>
    </row>
    <row r="133">
      <c r="C133" s="24"/>
      <c r="D133" s="25"/>
    </row>
    <row r="134">
      <c r="C134" s="24"/>
      <c r="D134" s="25"/>
    </row>
    <row r="135">
      <c r="C135" s="24"/>
      <c r="D135" s="25"/>
    </row>
    <row r="136">
      <c r="C136" s="24"/>
      <c r="D136" s="25"/>
    </row>
    <row r="137">
      <c r="C137" s="24"/>
      <c r="D137" s="25"/>
    </row>
    <row r="138">
      <c r="C138" s="24"/>
      <c r="D138" s="25"/>
    </row>
    <row r="139">
      <c r="C139" s="24"/>
      <c r="D139" s="25"/>
    </row>
    <row r="140">
      <c r="C140" s="24"/>
      <c r="D140" s="25"/>
    </row>
    <row r="141">
      <c r="C141" s="24"/>
      <c r="D141" s="25"/>
    </row>
    <row r="142">
      <c r="C142" s="24"/>
      <c r="D142" s="25"/>
    </row>
    <row r="143">
      <c r="C143" s="24"/>
      <c r="D143" s="25"/>
    </row>
    <row r="144">
      <c r="C144" s="24"/>
      <c r="D144" s="25"/>
    </row>
    <row r="145">
      <c r="C145" s="24"/>
      <c r="D145" s="25"/>
    </row>
    <row r="146">
      <c r="C146" s="24"/>
      <c r="D146" s="25"/>
    </row>
    <row r="147">
      <c r="C147" s="24"/>
      <c r="D147" s="25"/>
    </row>
    <row r="148">
      <c r="C148" s="24"/>
      <c r="D148" s="25"/>
    </row>
    <row r="149">
      <c r="C149" s="24"/>
      <c r="D149" s="25"/>
    </row>
    <row r="150">
      <c r="C150" s="24"/>
      <c r="D150" s="25"/>
    </row>
    <row r="151">
      <c r="C151" s="24"/>
      <c r="D151" s="25"/>
    </row>
    <row r="152">
      <c r="C152" s="24"/>
      <c r="D152" s="25"/>
    </row>
    <row r="153">
      <c r="C153" s="24"/>
      <c r="D153" s="25"/>
    </row>
    <row r="154">
      <c r="C154" s="24"/>
      <c r="D154" s="25"/>
    </row>
    <row r="155">
      <c r="C155" s="24"/>
      <c r="D155" s="25"/>
    </row>
    <row r="156">
      <c r="C156" s="24"/>
      <c r="D156" s="25"/>
    </row>
    <row r="157">
      <c r="C157" s="24"/>
      <c r="D157" s="25"/>
    </row>
    <row r="158">
      <c r="C158" s="24"/>
      <c r="D158" s="25"/>
    </row>
    <row r="159">
      <c r="C159" s="24"/>
      <c r="D159" s="25"/>
    </row>
    <row r="160">
      <c r="C160" s="24"/>
      <c r="D160" s="25"/>
    </row>
    <row r="161">
      <c r="C161" s="24"/>
      <c r="D161" s="25"/>
    </row>
    <row r="162">
      <c r="C162" s="24"/>
      <c r="D162" s="25"/>
    </row>
    <row r="163">
      <c r="C163" s="24"/>
      <c r="D163" s="25"/>
    </row>
    <row r="164">
      <c r="C164" s="24"/>
      <c r="D164" s="25"/>
    </row>
    <row r="165">
      <c r="C165" s="24"/>
      <c r="D165" s="25"/>
    </row>
    <row r="166">
      <c r="C166" s="24"/>
      <c r="D166" s="25"/>
    </row>
    <row r="167">
      <c r="C167" s="24"/>
      <c r="D167" s="25"/>
    </row>
    <row r="168">
      <c r="C168" s="24"/>
      <c r="D168" s="25"/>
    </row>
    <row r="169">
      <c r="C169" s="24"/>
      <c r="D169" s="25"/>
    </row>
    <row r="170">
      <c r="C170" s="24"/>
      <c r="D170" s="25"/>
    </row>
    <row r="171">
      <c r="C171" s="24"/>
      <c r="D171" s="25"/>
    </row>
    <row r="172">
      <c r="C172" s="24"/>
      <c r="D172" s="25"/>
    </row>
    <row r="173">
      <c r="C173" s="24"/>
      <c r="D173" s="25"/>
    </row>
    <row r="174">
      <c r="C174" s="24"/>
      <c r="D174" s="25"/>
    </row>
    <row r="175">
      <c r="C175" s="24"/>
      <c r="D175" s="25"/>
    </row>
    <row r="176">
      <c r="C176" s="24"/>
      <c r="D176" s="25"/>
    </row>
    <row r="177">
      <c r="C177" s="24"/>
      <c r="D177" s="25"/>
    </row>
    <row r="178">
      <c r="C178" s="24"/>
      <c r="D178" s="25"/>
    </row>
    <row r="179">
      <c r="C179" s="24"/>
      <c r="D179" s="25"/>
    </row>
    <row r="180">
      <c r="C180" s="24"/>
      <c r="D180" s="25"/>
    </row>
    <row r="181">
      <c r="C181" s="24"/>
      <c r="D181" s="25"/>
    </row>
    <row r="182">
      <c r="C182" s="24"/>
      <c r="D182" s="25"/>
    </row>
    <row r="183">
      <c r="C183" s="24"/>
      <c r="D183" s="25"/>
    </row>
    <row r="184">
      <c r="C184" s="24"/>
      <c r="D184" s="25"/>
    </row>
    <row r="185">
      <c r="C185" s="24"/>
      <c r="D185" s="25"/>
    </row>
    <row r="186">
      <c r="C186" s="24"/>
      <c r="D186" s="25"/>
    </row>
    <row r="187">
      <c r="C187" s="24"/>
      <c r="D187" s="25"/>
    </row>
    <row r="188">
      <c r="C188" s="24"/>
      <c r="D188" s="25"/>
    </row>
    <row r="189">
      <c r="C189" s="24"/>
      <c r="D189" s="25"/>
    </row>
    <row r="190">
      <c r="C190" s="24"/>
      <c r="D190" s="25"/>
    </row>
    <row r="191">
      <c r="C191" s="24"/>
      <c r="D191" s="25"/>
    </row>
    <row r="192">
      <c r="C192" s="24"/>
      <c r="D192" s="25"/>
    </row>
    <row r="193">
      <c r="C193" s="24"/>
      <c r="D193" s="25"/>
    </row>
    <row r="194">
      <c r="C194" s="24"/>
      <c r="D194" s="25"/>
    </row>
    <row r="195">
      <c r="C195" s="24"/>
      <c r="D195" s="25"/>
    </row>
    <row r="196">
      <c r="C196" s="24"/>
      <c r="D196" s="25"/>
    </row>
    <row r="197">
      <c r="C197" s="24"/>
      <c r="D197" s="25"/>
    </row>
    <row r="198">
      <c r="C198" s="24"/>
      <c r="D198" s="25"/>
    </row>
    <row r="199">
      <c r="C199" s="24"/>
      <c r="D199" s="25"/>
    </row>
    <row r="200">
      <c r="C200" s="24"/>
      <c r="D200" s="25"/>
    </row>
    <row r="201">
      <c r="C201" s="24"/>
      <c r="D201" s="25"/>
    </row>
    <row r="202">
      <c r="C202" s="24"/>
      <c r="D202" s="25"/>
    </row>
    <row r="203">
      <c r="C203" s="24"/>
      <c r="D203" s="25"/>
    </row>
    <row r="204">
      <c r="C204" s="24"/>
      <c r="D204" s="25"/>
    </row>
    <row r="205">
      <c r="C205" s="24"/>
      <c r="D205" s="25"/>
    </row>
    <row r="206">
      <c r="C206" s="24"/>
      <c r="D206" s="25"/>
    </row>
    <row r="207">
      <c r="C207" s="24"/>
      <c r="D207" s="25"/>
    </row>
    <row r="208">
      <c r="C208" s="24"/>
      <c r="D208" s="25"/>
    </row>
    <row r="209">
      <c r="C209" s="24"/>
      <c r="D209" s="25"/>
    </row>
    <row r="210">
      <c r="C210" s="24"/>
      <c r="D210" s="25"/>
    </row>
    <row r="211">
      <c r="C211" s="24"/>
      <c r="D211" s="25"/>
    </row>
    <row r="212">
      <c r="C212" s="24"/>
      <c r="D212" s="25"/>
    </row>
    <row r="213">
      <c r="C213" s="24"/>
      <c r="D213" s="25"/>
    </row>
    <row r="214">
      <c r="C214" s="24"/>
      <c r="D214" s="25"/>
    </row>
    <row r="215">
      <c r="C215" s="24"/>
      <c r="D215" s="25"/>
    </row>
    <row r="216">
      <c r="C216" s="24"/>
      <c r="D216" s="25"/>
    </row>
    <row r="217">
      <c r="C217" s="24"/>
      <c r="D217" s="25"/>
    </row>
    <row r="218">
      <c r="C218" s="24"/>
      <c r="D218" s="25"/>
    </row>
    <row r="219">
      <c r="C219" s="24"/>
      <c r="D219" s="25"/>
    </row>
    <row r="220">
      <c r="C220" s="24"/>
      <c r="D220" s="25"/>
    </row>
    <row r="221">
      <c r="C221" s="24"/>
      <c r="D221" s="25"/>
    </row>
    <row r="222">
      <c r="C222" s="24"/>
      <c r="D222" s="25"/>
    </row>
    <row r="223">
      <c r="C223" s="24"/>
      <c r="D223" s="25"/>
    </row>
    <row r="224">
      <c r="C224" s="24"/>
      <c r="D224" s="25"/>
    </row>
    <row r="225">
      <c r="C225" s="24"/>
      <c r="D225" s="25"/>
    </row>
    <row r="226">
      <c r="C226" s="24"/>
      <c r="D226" s="25"/>
    </row>
    <row r="227">
      <c r="C227" s="24"/>
      <c r="D227" s="25"/>
    </row>
    <row r="228">
      <c r="C228" s="24"/>
      <c r="D228" s="25"/>
    </row>
    <row r="229">
      <c r="C229" s="24"/>
      <c r="D229" s="25"/>
    </row>
    <row r="230">
      <c r="C230" s="24"/>
      <c r="D230" s="25"/>
    </row>
    <row r="231">
      <c r="C231" s="24"/>
      <c r="D231" s="25"/>
    </row>
    <row r="232">
      <c r="C232" s="24"/>
      <c r="D232" s="25"/>
    </row>
    <row r="233">
      <c r="C233" s="24"/>
      <c r="D233" s="25"/>
    </row>
    <row r="234">
      <c r="C234" s="24"/>
      <c r="D234" s="25"/>
    </row>
    <row r="235">
      <c r="C235" s="24"/>
      <c r="D235" s="25"/>
    </row>
    <row r="236">
      <c r="C236" s="24"/>
      <c r="D236" s="25"/>
    </row>
    <row r="237">
      <c r="C237" s="24"/>
      <c r="D237" s="25"/>
    </row>
    <row r="238">
      <c r="C238" s="24"/>
      <c r="D238" s="25"/>
    </row>
    <row r="239">
      <c r="C239" s="24"/>
      <c r="D239" s="25"/>
    </row>
    <row r="240">
      <c r="C240" s="24"/>
      <c r="D240" s="25"/>
    </row>
    <row r="241">
      <c r="C241" s="24"/>
      <c r="D241" s="25"/>
    </row>
    <row r="242">
      <c r="C242" s="24"/>
      <c r="D242" s="25"/>
    </row>
    <row r="243">
      <c r="C243" s="24"/>
      <c r="D243" s="25"/>
    </row>
    <row r="244">
      <c r="C244" s="24"/>
      <c r="D244" s="25"/>
    </row>
    <row r="245">
      <c r="C245" s="24"/>
      <c r="D245" s="25"/>
    </row>
    <row r="246">
      <c r="C246" s="24"/>
      <c r="D246" s="25"/>
    </row>
    <row r="247">
      <c r="C247" s="24"/>
      <c r="D247" s="25"/>
    </row>
    <row r="248">
      <c r="C248" s="24"/>
      <c r="D248" s="25"/>
    </row>
    <row r="249">
      <c r="C249" s="24"/>
      <c r="D249" s="25"/>
    </row>
    <row r="250">
      <c r="C250" s="24"/>
      <c r="D250" s="25"/>
    </row>
    <row r="251">
      <c r="C251" s="24"/>
      <c r="D251" s="25"/>
    </row>
    <row r="252">
      <c r="C252" s="24"/>
      <c r="D252" s="25"/>
    </row>
    <row r="253">
      <c r="C253" s="24"/>
      <c r="D253" s="25"/>
    </row>
    <row r="254">
      <c r="C254" s="24"/>
      <c r="D254" s="25"/>
    </row>
    <row r="255">
      <c r="C255" s="24"/>
      <c r="D255" s="25"/>
    </row>
    <row r="256">
      <c r="C256" s="24"/>
      <c r="D256" s="25"/>
    </row>
    <row r="257">
      <c r="C257" s="24"/>
      <c r="D257" s="25"/>
    </row>
    <row r="258">
      <c r="C258" s="24"/>
      <c r="D258" s="25"/>
    </row>
    <row r="259">
      <c r="C259" s="24"/>
      <c r="D259" s="25"/>
    </row>
    <row r="260">
      <c r="C260" s="24"/>
      <c r="D260" s="25"/>
    </row>
    <row r="261">
      <c r="C261" s="24"/>
      <c r="D261" s="25"/>
    </row>
    <row r="262">
      <c r="C262" s="24"/>
      <c r="D262" s="25"/>
    </row>
    <row r="263">
      <c r="C263" s="24"/>
      <c r="D263" s="25"/>
    </row>
    <row r="264">
      <c r="C264" s="24"/>
      <c r="D264" s="25"/>
    </row>
    <row r="265">
      <c r="C265" s="24"/>
      <c r="D265" s="25"/>
    </row>
    <row r="266">
      <c r="C266" s="24"/>
      <c r="D266" s="25"/>
    </row>
    <row r="267">
      <c r="C267" s="24"/>
      <c r="D267" s="25"/>
    </row>
    <row r="268">
      <c r="C268" s="24"/>
      <c r="D268" s="25"/>
    </row>
    <row r="269">
      <c r="C269" s="24"/>
      <c r="D269" s="25"/>
    </row>
    <row r="270">
      <c r="C270" s="24"/>
      <c r="D270" s="25"/>
    </row>
    <row r="271">
      <c r="C271" s="24"/>
      <c r="D271" s="25"/>
    </row>
    <row r="272">
      <c r="C272" s="24"/>
      <c r="D272" s="25"/>
    </row>
    <row r="273">
      <c r="C273" s="24"/>
      <c r="D273" s="25"/>
    </row>
    <row r="274">
      <c r="C274" s="24"/>
      <c r="D274" s="25"/>
    </row>
    <row r="275">
      <c r="C275" s="24"/>
      <c r="D275" s="25"/>
    </row>
    <row r="276">
      <c r="C276" s="24"/>
      <c r="D276" s="25"/>
    </row>
    <row r="277">
      <c r="C277" s="24"/>
      <c r="D277" s="25"/>
    </row>
    <row r="278">
      <c r="C278" s="24"/>
      <c r="D278" s="25"/>
    </row>
    <row r="279">
      <c r="C279" s="24"/>
      <c r="D279" s="25"/>
    </row>
    <row r="280">
      <c r="C280" s="24"/>
      <c r="D280" s="25"/>
    </row>
    <row r="281">
      <c r="C281" s="24"/>
      <c r="D281" s="25"/>
    </row>
    <row r="282">
      <c r="C282" s="24"/>
      <c r="D282" s="25"/>
    </row>
    <row r="283">
      <c r="C283" s="24"/>
      <c r="D283" s="25"/>
    </row>
    <row r="284">
      <c r="C284" s="24"/>
      <c r="D284" s="25"/>
    </row>
    <row r="285">
      <c r="C285" s="24"/>
      <c r="D285" s="25"/>
    </row>
    <row r="286">
      <c r="C286" s="24"/>
      <c r="D286" s="25"/>
    </row>
    <row r="287">
      <c r="C287" s="24"/>
      <c r="D287" s="25"/>
    </row>
    <row r="288">
      <c r="C288" s="24"/>
      <c r="D288" s="25"/>
    </row>
    <row r="289">
      <c r="C289" s="24"/>
      <c r="D289" s="25"/>
    </row>
    <row r="290">
      <c r="C290" s="24"/>
      <c r="D290" s="25"/>
    </row>
    <row r="291">
      <c r="C291" s="24"/>
      <c r="D291" s="25"/>
    </row>
    <row r="292">
      <c r="C292" s="24"/>
      <c r="D292" s="25"/>
    </row>
    <row r="293">
      <c r="C293" s="24"/>
      <c r="D293" s="25"/>
    </row>
    <row r="294">
      <c r="C294" s="24"/>
      <c r="D294" s="25"/>
    </row>
    <row r="295">
      <c r="C295" s="24"/>
      <c r="D295" s="25"/>
    </row>
    <row r="296">
      <c r="C296" s="24"/>
      <c r="D296" s="25"/>
    </row>
    <row r="297">
      <c r="C297" s="24"/>
      <c r="D297" s="25"/>
    </row>
    <row r="298">
      <c r="C298" s="24"/>
      <c r="D298" s="25"/>
    </row>
    <row r="299">
      <c r="C299" s="24"/>
      <c r="D299" s="25"/>
    </row>
    <row r="300">
      <c r="C300" s="24"/>
      <c r="D300" s="25"/>
    </row>
    <row r="301">
      <c r="C301" s="24"/>
      <c r="D301" s="25"/>
    </row>
    <row r="302">
      <c r="C302" s="24"/>
      <c r="D302" s="25"/>
    </row>
    <row r="303">
      <c r="C303" s="24"/>
      <c r="D303" s="25"/>
    </row>
    <row r="304">
      <c r="C304" s="24"/>
      <c r="D304" s="25"/>
    </row>
    <row r="305">
      <c r="C305" s="24"/>
      <c r="D305" s="25"/>
    </row>
    <row r="306">
      <c r="C306" s="24"/>
      <c r="D306" s="25"/>
    </row>
    <row r="307">
      <c r="C307" s="24"/>
      <c r="D307" s="25"/>
    </row>
    <row r="308">
      <c r="C308" s="24"/>
      <c r="D308" s="25"/>
    </row>
    <row r="309">
      <c r="C309" s="24"/>
      <c r="D309" s="25"/>
    </row>
    <row r="310">
      <c r="C310" s="24"/>
      <c r="D310" s="25"/>
    </row>
    <row r="311">
      <c r="C311" s="24"/>
      <c r="D311" s="25"/>
    </row>
    <row r="312">
      <c r="C312" s="24"/>
      <c r="D312" s="25"/>
    </row>
    <row r="313">
      <c r="C313" s="24"/>
      <c r="D313" s="25"/>
    </row>
    <row r="314">
      <c r="C314" s="24"/>
      <c r="D314" s="25"/>
    </row>
    <row r="315">
      <c r="C315" s="24"/>
      <c r="D315" s="25"/>
    </row>
    <row r="316">
      <c r="C316" s="24"/>
      <c r="D316" s="25"/>
    </row>
    <row r="317">
      <c r="C317" s="24"/>
      <c r="D317" s="25"/>
    </row>
    <row r="318">
      <c r="C318" s="24"/>
      <c r="D318" s="25"/>
    </row>
    <row r="319">
      <c r="C319" s="24"/>
      <c r="D319" s="25"/>
    </row>
    <row r="320">
      <c r="C320" s="24"/>
      <c r="D320" s="25"/>
    </row>
    <row r="321">
      <c r="C321" s="24"/>
      <c r="D321" s="25"/>
    </row>
    <row r="322">
      <c r="C322" s="24"/>
      <c r="D322" s="25"/>
    </row>
    <row r="323">
      <c r="C323" s="24"/>
      <c r="D323" s="25"/>
    </row>
    <row r="324">
      <c r="C324" s="24"/>
      <c r="D324" s="25"/>
    </row>
    <row r="325">
      <c r="C325" s="24"/>
      <c r="D325" s="25"/>
    </row>
    <row r="326">
      <c r="C326" s="24"/>
      <c r="D326" s="25"/>
    </row>
    <row r="327">
      <c r="C327" s="24"/>
      <c r="D327" s="25"/>
    </row>
    <row r="328">
      <c r="C328" s="24"/>
      <c r="D328" s="25"/>
    </row>
    <row r="329">
      <c r="C329" s="24"/>
      <c r="D329" s="25"/>
    </row>
    <row r="330">
      <c r="C330" s="24"/>
      <c r="D330" s="25"/>
    </row>
    <row r="331">
      <c r="C331" s="24"/>
      <c r="D331" s="25"/>
    </row>
    <row r="332">
      <c r="C332" s="24"/>
      <c r="D332" s="25"/>
    </row>
    <row r="333">
      <c r="C333" s="24"/>
      <c r="D333" s="25"/>
    </row>
    <row r="334">
      <c r="C334" s="24"/>
      <c r="D334" s="25"/>
    </row>
    <row r="335">
      <c r="C335" s="24"/>
      <c r="D335" s="25"/>
    </row>
    <row r="336">
      <c r="C336" s="24"/>
      <c r="D336" s="25"/>
    </row>
    <row r="337">
      <c r="C337" s="24"/>
      <c r="D337" s="25"/>
    </row>
    <row r="338">
      <c r="C338" s="24"/>
      <c r="D338" s="25"/>
    </row>
    <row r="339">
      <c r="C339" s="24"/>
      <c r="D339" s="25"/>
    </row>
    <row r="340">
      <c r="C340" s="24"/>
      <c r="D340" s="25"/>
    </row>
    <row r="341">
      <c r="C341" s="24"/>
      <c r="D341" s="25"/>
    </row>
    <row r="342">
      <c r="C342" s="24"/>
      <c r="D342" s="25"/>
    </row>
    <row r="343">
      <c r="C343" s="24"/>
      <c r="D343" s="25"/>
    </row>
    <row r="344">
      <c r="C344" s="24"/>
      <c r="D344" s="25"/>
    </row>
    <row r="345">
      <c r="C345" s="24"/>
      <c r="D345" s="25"/>
    </row>
    <row r="346">
      <c r="C346" s="24"/>
      <c r="D346" s="25"/>
    </row>
    <row r="347">
      <c r="C347" s="24"/>
      <c r="D347" s="25"/>
    </row>
    <row r="348">
      <c r="C348" s="24"/>
      <c r="D348" s="25"/>
    </row>
    <row r="349">
      <c r="C349" s="24"/>
      <c r="D349" s="25"/>
    </row>
    <row r="350">
      <c r="C350" s="24"/>
      <c r="D350" s="25"/>
    </row>
    <row r="351">
      <c r="C351" s="24"/>
      <c r="D351" s="25"/>
    </row>
    <row r="352">
      <c r="C352" s="24"/>
      <c r="D352" s="25"/>
    </row>
    <row r="353">
      <c r="C353" s="24"/>
      <c r="D353" s="25"/>
    </row>
    <row r="354">
      <c r="C354" s="24"/>
      <c r="D354" s="25"/>
    </row>
    <row r="355">
      <c r="C355" s="24"/>
      <c r="D355" s="25"/>
    </row>
    <row r="356">
      <c r="C356" s="24"/>
      <c r="D356" s="25"/>
    </row>
    <row r="357">
      <c r="C357" s="24"/>
      <c r="D357" s="25"/>
    </row>
    <row r="358">
      <c r="C358" s="24"/>
      <c r="D358" s="25"/>
    </row>
    <row r="359">
      <c r="C359" s="24"/>
      <c r="D359" s="25"/>
    </row>
    <row r="360">
      <c r="C360" s="24"/>
      <c r="D360" s="25"/>
    </row>
    <row r="361">
      <c r="C361" s="24"/>
      <c r="D361" s="25"/>
    </row>
    <row r="362">
      <c r="C362" s="24"/>
      <c r="D362" s="25"/>
    </row>
    <row r="363">
      <c r="C363" s="24"/>
      <c r="D363" s="25"/>
    </row>
    <row r="364">
      <c r="C364" s="24"/>
      <c r="D364" s="25"/>
    </row>
    <row r="365">
      <c r="C365" s="24"/>
      <c r="D365" s="25"/>
    </row>
    <row r="366">
      <c r="C366" s="24"/>
      <c r="D366" s="25"/>
    </row>
    <row r="367">
      <c r="C367" s="24"/>
      <c r="D367" s="25"/>
    </row>
    <row r="368">
      <c r="C368" s="24"/>
      <c r="D368" s="25"/>
    </row>
    <row r="369">
      <c r="C369" s="24"/>
      <c r="D369" s="25"/>
    </row>
    <row r="370">
      <c r="C370" s="24"/>
      <c r="D370" s="25"/>
    </row>
    <row r="371">
      <c r="C371" s="24"/>
      <c r="D371" s="25"/>
    </row>
    <row r="372">
      <c r="C372" s="24"/>
      <c r="D372" s="25"/>
    </row>
    <row r="373">
      <c r="C373" s="24"/>
      <c r="D373" s="25"/>
    </row>
    <row r="374">
      <c r="C374" s="24"/>
      <c r="D374" s="25"/>
    </row>
    <row r="375">
      <c r="C375" s="24"/>
      <c r="D375" s="25"/>
    </row>
    <row r="376">
      <c r="C376" s="24"/>
      <c r="D376" s="25"/>
    </row>
    <row r="377">
      <c r="C377" s="24"/>
      <c r="D377" s="25"/>
    </row>
    <row r="378">
      <c r="C378" s="24"/>
      <c r="D378" s="25"/>
    </row>
    <row r="379">
      <c r="C379" s="24"/>
      <c r="D379" s="25"/>
    </row>
    <row r="380">
      <c r="C380" s="24"/>
      <c r="D380" s="25"/>
    </row>
    <row r="381">
      <c r="C381" s="24"/>
      <c r="D381" s="25"/>
    </row>
    <row r="382">
      <c r="C382" s="24"/>
      <c r="D382" s="25"/>
    </row>
    <row r="383">
      <c r="C383" s="24"/>
      <c r="D383" s="25"/>
    </row>
    <row r="384">
      <c r="C384" s="24"/>
      <c r="D384" s="25"/>
    </row>
    <row r="385">
      <c r="C385" s="24"/>
      <c r="D385" s="25"/>
    </row>
    <row r="386">
      <c r="C386" s="24"/>
      <c r="D386" s="25"/>
    </row>
    <row r="387">
      <c r="C387" s="24"/>
      <c r="D387" s="25"/>
    </row>
    <row r="388">
      <c r="C388" s="24"/>
      <c r="D388" s="25"/>
    </row>
    <row r="389">
      <c r="C389" s="24"/>
      <c r="D389" s="25"/>
    </row>
    <row r="390">
      <c r="C390" s="24"/>
      <c r="D390" s="25"/>
    </row>
    <row r="391">
      <c r="C391" s="24"/>
      <c r="D391" s="25"/>
    </row>
    <row r="392">
      <c r="C392" s="24"/>
      <c r="D392" s="25"/>
    </row>
    <row r="393">
      <c r="C393" s="24"/>
      <c r="D393" s="25"/>
    </row>
    <row r="394">
      <c r="C394" s="24"/>
      <c r="D394" s="25"/>
    </row>
    <row r="395">
      <c r="C395" s="24"/>
      <c r="D395" s="25"/>
    </row>
    <row r="396">
      <c r="C396" s="24"/>
      <c r="D396" s="25"/>
    </row>
    <row r="397">
      <c r="C397" s="24"/>
      <c r="D397" s="25"/>
    </row>
    <row r="398">
      <c r="C398" s="24"/>
      <c r="D398" s="25"/>
    </row>
    <row r="399">
      <c r="C399" s="24"/>
      <c r="D399" s="25"/>
    </row>
    <row r="400">
      <c r="C400" s="24"/>
      <c r="D400" s="25"/>
    </row>
    <row r="401">
      <c r="C401" s="24"/>
      <c r="D401" s="25"/>
    </row>
    <row r="402">
      <c r="C402" s="24"/>
      <c r="D402" s="25"/>
    </row>
    <row r="403">
      <c r="C403" s="24"/>
      <c r="D403" s="25"/>
    </row>
    <row r="404">
      <c r="C404" s="24"/>
      <c r="D404" s="25"/>
    </row>
    <row r="405">
      <c r="C405" s="24"/>
      <c r="D405" s="25"/>
    </row>
    <row r="406">
      <c r="C406" s="24"/>
      <c r="D406" s="25"/>
    </row>
    <row r="407">
      <c r="C407" s="24"/>
      <c r="D407" s="25"/>
    </row>
    <row r="408">
      <c r="C408" s="24"/>
      <c r="D408" s="25"/>
    </row>
    <row r="409">
      <c r="C409" s="24"/>
      <c r="D409" s="25"/>
    </row>
    <row r="410">
      <c r="C410" s="24"/>
      <c r="D410" s="25"/>
    </row>
    <row r="411">
      <c r="C411" s="24"/>
      <c r="D411" s="25"/>
    </row>
    <row r="412">
      <c r="C412" s="24"/>
      <c r="D412" s="25"/>
    </row>
    <row r="413">
      <c r="C413" s="24"/>
      <c r="D413" s="25"/>
    </row>
    <row r="414">
      <c r="C414" s="24"/>
      <c r="D414" s="25"/>
    </row>
    <row r="415">
      <c r="C415" s="24"/>
      <c r="D415" s="25"/>
    </row>
    <row r="416">
      <c r="C416" s="24"/>
      <c r="D416" s="25"/>
    </row>
    <row r="417">
      <c r="C417" s="24"/>
      <c r="D417" s="25"/>
    </row>
    <row r="418">
      <c r="C418" s="24"/>
      <c r="D418" s="25"/>
    </row>
    <row r="419">
      <c r="C419" s="24"/>
      <c r="D419" s="25"/>
    </row>
    <row r="420">
      <c r="C420" s="24"/>
      <c r="D420" s="25"/>
    </row>
    <row r="421">
      <c r="C421" s="24"/>
      <c r="D421" s="25"/>
    </row>
    <row r="422">
      <c r="C422" s="24"/>
      <c r="D422" s="25"/>
    </row>
    <row r="423">
      <c r="C423" s="24"/>
      <c r="D423" s="25"/>
    </row>
    <row r="424">
      <c r="C424" s="24"/>
      <c r="D424" s="25"/>
    </row>
    <row r="425">
      <c r="C425" s="24"/>
      <c r="D425" s="25"/>
    </row>
    <row r="426">
      <c r="C426" s="24"/>
      <c r="D426" s="25"/>
    </row>
    <row r="427">
      <c r="C427" s="24"/>
      <c r="D427" s="25"/>
    </row>
    <row r="428">
      <c r="C428" s="24"/>
      <c r="D428" s="25"/>
    </row>
    <row r="429">
      <c r="C429" s="24"/>
      <c r="D429" s="25"/>
    </row>
    <row r="430">
      <c r="C430" s="24"/>
      <c r="D430" s="25"/>
    </row>
    <row r="431">
      <c r="C431" s="24"/>
      <c r="D431" s="25"/>
    </row>
    <row r="432">
      <c r="C432" s="24"/>
      <c r="D432" s="25"/>
    </row>
    <row r="433">
      <c r="C433" s="24"/>
      <c r="D433" s="25"/>
    </row>
    <row r="434">
      <c r="C434" s="24"/>
      <c r="D434" s="25"/>
    </row>
    <row r="435">
      <c r="C435" s="24"/>
      <c r="D435" s="25"/>
    </row>
    <row r="436">
      <c r="C436" s="24"/>
      <c r="D436" s="25"/>
    </row>
    <row r="437">
      <c r="C437" s="24"/>
      <c r="D437" s="25"/>
    </row>
    <row r="438">
      <c r="C438" s="24"/>
      <c r="D438" s="25"/>
    </row>
    <row r="439">
      <c r="C439" s="24"/>
      <c r="D439" s="25"/>
    </row>
    <row r="440">
      <c r="C440" s="24"/>
      <c r="D440" s="25"/>
    </row>
    <row r="441">
      <c r="C441" s="24"/>
      <c r="D441" s="25"/>
    </row>
    <row r="442">
      <c r="C442" s="24"/>
      <c r="D442" s="25"/>
    </row>
    <row r="443">
      <c r="C443" s="24"/>
      <c r="D443" s="25"/>
    </row>
    <row r="444">
      <c r="C444" s="24"/>
      <c r="D444" s="25"/>
    </row>
    <row r="445">
      <c r="C445" s="24"/>
      <c r="D445" s="25"/>
    </row>
    <row r="446">
      <c r="C446" s="24"/>
      <c r="D446" s="25"/>
    </row>
    <row r="447">
      <c r="C447" s="24"/>
      <c r="D447" s="25"/>
    </row>
    <row r="448">
      <c r="C448" s="24"/>
      <c r="D448" s="25"/>
    </row>
    <row r="449">
      <c r="C449" s="24"/>
      <c r="D449" s="25"/>
    </row>
    <row r="450">
      <c r="C450" s="24"/>
      <c r="D450" s="25"/>
    </row>
    <row r="451">
      <c r="C451" s="24"/>
      <c r="D451" s="25"/>
    </row>
    <row r="452">
      <c r="C452" s="24"/>
      <c r="D452" s="25"/>
    </row>
    <row r="453">
      <c r="C453" s="24"/>
      <c r="D453" s="25"/>
    </row>
    <row r="454">
      <c r="C454" s="24"/>
      <c r="D454" s="25"/>
    </row>
    <row r="455">
      <c r="C455" s="24"/>
      <c r="D455" s="25"/>
    </row>
    <row r="456">
      <c r="C456" s="24"/>
      <c r="D456" s="25"/>
    </row>
    <row r="457">
      <c r="C457" s="24"/>
      <c r="D457" s="25"/>
    </row>
    <row r="458">
      <c r="C458" s="24"/>
      <c r="D458" s="25"/>
    </row>
    <row r="459">
      <c r="C459" s="24"/>
      <c r="D459" s="25"/>
    </row>
    <row r="460">
      <c r="C460" s="24"/>
      <c r="D460" s="25"/>
    </row>
    <row r="461">
      <c r="C461" s="24"/>
      <c r="D461" s="25"/>
    </row>
    <row r="462">
      <c r="C462" s="24"/>
      <c r="D462" s="25"/>
    </row>
    <row r="463">
      <c r="C463" s="24"/>
      <c r="D463" s="25"/>
    </row>
    <row r="464">
      <c r="C464" s="24"/>
      <c r="D464" s="25"/>
    </row>
    <row r="465">
      <c r="C465" s="24"/>
      <c r="D465" s="25"/>
    </row>
    <row r="466">
      <c r="C466" s="24"/>
      <c r="D466" s="25"/>
    </row>
    <row r="467">
      <c r="C467" s="24"/>
      <c r="D467" s="25"/>
    </row>
    <row r="468">
      <c r="C468" s="24"/>
      <c r="D468" s="25"/>
    </row>
    <row r="469">
      <c r="C469" s="24"/>
      <c r="D469" s="25"/>
    </row>
    <row r="470">
      <c r="C470" s="24"/>
      <c r="D470" s="25"/>
    </row>
    <row r="471">
      <c r="C471" s="24"/>
      <c r="D471" s="25"/>
    </row>
    <row r="472">
      <c r="C472" s="24"/>
      <c r="D472" s="25"/>
    </row>
    <row r="473">
      <c r="C473" s="24"/>
      <c r="D473" s="25"/>
    </row>
    <row r="474">
      <c r="C474" s="24"/>
      <c r="D474" s="25"/>
    </row>
    <row r="475">
      <c r="C475" s="24"/>
      <c r="D475" s="25"/>
    </row>
    <row r="476">
      <c r="C476" s="24"/>
      <c r="D476" s="25"/>
    </row>
    <row r="477">
      <c r="C477" s="24"/>
      <c r="D477" s="25"/>
    </row>
    <row r="478">
      <c r="C478" s="24"/>
      <c r="D478" s="25"/>
    </row>
    <row r="479">
      <c r="C479" s="24"/>
      <c r="D479" s="25"/>
    </row>
    <row r="480">
      <c r="C480" s="24"/>
      <c r="D480" s="25"/>
    </row>
    <row r="481">
      <c r="C481" s="24"/>
      <c r="D481" s="25"/>
    </row>
    <row r="482">
      <c r="C482" s="24"/>
      <c r="D482" s="25"/>
    </row>
    <row r="483">
      <c r="C483" s="24"/>
      <c r="D483" s="25"/>
    </row>
    <row r="484">
      <c r="C484" s="24"/>
      <c r="D484" s="25"/>
    </row>
    <row r="485">
      <c r="C485" s="24"/>
      <c r="D485" s="25"/>
    </row>
    <row r="486">
      <c r="C486" s="24"/>
      <c r="D486" s="25"/>
    </row>
    <row r="487">
      <c r="C487" s="24"/>
      <c r="D487" s="25"/>
    </row>
    <row r="488">
      <c r="C488" s="24"/>
      <c r="D488" s="25"/>
    </row>
    <row r="489">
      <c r="C489" s="24"/>
      <c r="D489" s="25"/>
    </row>
    <row r="490">
      <c r="C490" s="24"/>
      <c r="D490" s="25"/>
    </row>
    <row r="491">
      <c r="C491" s="24"/>
      <c r="D491" s="25"/>
    </row>
    <row r="492">
      <c r="C492" s="24"/>
      <c r="D492" s="25"/>
    </row>
    <row r="493">
      <c r="C493" s="24"/>
      <c r="D493" s="25"/>
    </row>
    <row r="494">
      <c r="C494" s="24"/>
      <c r="D494" s="25"/>
    </row>
    <row r="495">
      <c r="C495" s="24"/>
      <c r="D495" s="25"/>
    </row>
    <row r="496">
      <c r="C496" s="24"/>
      <c r="D496" s="25"/>
    </row>
    <row r="497">
      <c r="C497" s="24"/>
      <c r="D497" s="25"/>
    </row>
    <row r="498">
      <c r="C498" s="24"/>
      <c r="D498" s="25"/>
    </row>
    <row r="499">
      <c r="C499" s="24"/>
      <c r="D499" s="25"/>
    </row>
    <row r="500">
      <c r="C500" s="24"/>
      <c r="D500" s="25"/>
    </row>
    <row r="501">
      <c r="C501" s="24"/>
      <c r="D501" s="25"/>
    </row>
    <row r="502">
      <c r="C502" s="24"/>
      <c r="D502" s="25"/>
    </row>
    <row r="503">
      <c r="C503" s="24"/>
      <c r="D503" s="25"/>
    </row>
    <row r="504">
      <c r="C504" s="24"/>
      <c r="D504" s="25"/>
    </row>
    <row r="505">
      <c r="C505" s="24"/>
      <c r="D505" s="25"/>
    </row>
    <row r="506">
      <c r="C506" s="24"/>
      <c r="D506" s="25"/>
    </row>
    <row r="507">
      <c r="C507" s="24"/>
      <c r="D507" s="25"/>
    </row>
    <row r="508">
      <c r="C508" s="24"/>
      <c r="D508" s="25"/>
    </row>
    <row r="509">
      <c r="C509" s="24"/>
      <c r="D509" s="25"/>
    </row>
    <row r="510">
      <c r="C510" s="24"/>
      <c r="D510" s="25"/>
    </row>
    <row r="511">
      <c r="C511" s="24"/>
      <c r="D511" s="25"/>
    </row>
    <row r="512">
      <c r="C512" s="24"/>
      <c r="D512" s="25"/>
    </row>
    <row r="513">
      <c r="C513" s="24"/>
      <c r="D513" s="25"/>
    </row>
    <row r="514">
      <c r="C514" s="24"/>
      <c r="D514" s="25"/>
    </row>
    <row r="515">
      <c r="C515" s="24"/>
      <c r="D515" s="25"/>
    </row>
    <row r="516">
      <c r="C516" s="24"/>
      <c r="D516" s="25"/>
    </row>
    <row r="517">
      <c r="C517" s="24"/>
      <c r="D517" s="25"/>
    </row>
    <row r="518">
      <c r="C518" s="24"/>
      <c r="D518" s="25"/>
    </row>
    <row r="519">
      <c r="C519" s="24"/>
      <c r="D519" s="25"/>
    </row>
    <row r="520">
      <c r="C520" s="24"/>
      <c r="D520" s="25"/>
    </row>
    <row r="521">
      <c r="C521" s="24"/>
      <c r="D521" s="25"/>
    </row>
    <row r="522">
      <c r="C522" s="24"/>
      <c r="D522" s="25"/>
    </row>
    <row r="523">
      <c r="C523" s="24"/>
      <c r="D523" s="25"/>
    </row>
    <row r="524">
      <c r="C524" s="24"/>
      <c r="D524" s="25"/>
    </row>
    <row r="525">
      <c r="C525" s="24"/>
      <c r="D525" s="25"/>
    </row>
    <row r="526">
      <c r="C526" s="24"/>
      <c r="D526" s="25"/>
    </row>
    <row r="527">
      <c r="C527" s="24"/>
      <c r="D527" s="25"/>
    </row>
    <row r="528">
      <c r="C528" s="24"/>
      <c r="D528" s="25"/>
    </row>
    <row r="529">
      <c r="C529" s="24"/>
      <c r="D529" s="25"/>
    </row>
    <row r="530">
      <c r="C530" s="24"/>
      <c r="D530" s="25"/>
    </row>
    <row r="531">
      <c r="C531" s="24"/>
      <c r="D531" s="25"/>
    </row>
    <row r="532">
      <c r="C532" s="24"/>
      <c r="D532" s="25"/>
    </row>
    <row r="533">
      <c r="C533" s="24"/>
      <c r="D533" s="25"/>
    </row>
    <row r="534">
      <c r="C534" s="24"/>
      <c r="D534" s="25"/>
    </row>
    <row r="535">
      <c r="C535" s="24"/>
      <c r="D535" s="25"/>
    </row>
    <row r="536">
      <c r="C536" s="24"/>
      <c r="D536" s="25"/>
    </row>
    <row r="537">
      <c r="C537" s="24"/>
      <c r="D537" s="25"/>
    </row>
    <row r="538">
      <c r="C538" s="24"/>
      <c r="D538" s="25"/>
    </row>
    <row r="539">
      <c r="C539" s="24"/>
      <c r="D539" s="25"/>
    </row>
    <row r="540">
      <c r="C540" s="24"/>
      <c r="D540" s="25"/>
    </row>
    <row r="541">
      <c r="C541" s="24"/>
      <c r="D541" s="25"/>
    </row>
    <row r="542">
      <c r="C542" s="24"/>
      <c r="D542" s="25"/>
    </row>
    <row r="543">
      <c r="C543" s="24"/>
      <c r="D543" s="25"/>
    </row>
    <row r="544">
      <c r="C544" s="24"/>
      <c r="D544" s="25"/>
    </row>
    <row r="545">
      <c r="C545" s="24"/>
      <c r="D545" s="25"/>
    </row>
    <row r="546">
      <c r="C546" s="24"/>
      <c r="D546" s="25"/>
    </row>
    <row r="547">
      <c r="C547" s="24"/>
      <c r="D547" s="25"/>
    </row>
    <row r="548">
      <c r="C548" s="24"/>
      <c r="D548" s="25"/>
    </row>
    <row r="549">
      <c r="C549" s="24"/>
      <c r="D549" s="25"/>
    </row>
    <row r="550">
      <c r="C550" s="24"/>
      <c r="D550" s="25"/>
    </row>
    <row r="551">
      <c r="C551" s="24"/>
      <c r="D551" s="25"/>
    </row>
    <row r="552">
      <c r="C552" s="24"/>
      <c r="D552" s="25"/>
    </row>
    <row r="553">
      <c r="C553" s="24"/>
      <c r="D553" s="25"/>
    </row>
    <row r="554">
      <c r="C554" s="24"/>
      <c r="D554" s="25"/>
    </row>
    <row r="555">
      <c r="C555" s="24"/>
      <c r="D555" s="25"/>
    </row>
    <row r="556">
      <c r="C556" s="24"/>
      <c r="D556" s="25"/>
    </row>
    <row r="557">
      <c r="C557" s="24"/>
      <c r="D557" s="25"/>
    </row>
    <row r="558">
      <c r="C558" s="24"/>
      <c r="D558" s="25"/>
    </row>
    <row r="559">
      <c r="C559" s="24"/>
      <c r="D559" s="25"/>
    </row>
    <row r="560">
      <c r="C560" s="24"/>
      <c r="D560" s="25"/>
    </row>
    <row r="561">
      <c r="C561" s="24"/>
      <c r="D561" s="25"/>
    </row>
    <row r="562">
      <c r="C562" s="24"/>
      <c r="D562" s="25"/>
    </row>
    <row r="563">
      <c r="C563" s="24"/>
      <c r="D563" s="25"/>
    </row>
    <row r="564">
      <c r="C564" s="24"/>
      <c r="D564" s="25"/>
    </row>
    <row r="565">
      <c r="C565" s="24"/>
      <c r="D565" s="25"/>
    </row>
    <row r="566">
      <c r="C566" s="24"/>
      <c r="D566" s="25"/>
    </row>
    <row r="567">
      <c r="C567" s="24"/>
      <c r="D567" s="25"/>
    </row>
    <row r="568">
      <c r="C568" s="24"/>
      <c r="D568" s="25"/>
    </row>
    <row r="569">
      <c r="C569" s="24"/>
      <c r="D569" s="25"/>
    </row>
    <row r="570">
      <c r="C570" s="24"/>
      <c r="D570" s="25"/>
    </row>
    <row r="571">
      <c r="C571" s="24"/>
      <c r="D571" s="25"/>
    </row>
    <row r="572">
      <c r="C572" s="24"/>
      <c r="D572" s="25"/>
    </row>
    <row r="573">
      <c r="C573" s="24"/>
      <c r="D573" s="25"/>
    </row>
    <row r="574">
      <c r="C574" s="24"/>
      <c r="D574" s="25"/>
    </row>
    <row r="575">
      <c r="C575" s="24"/>
      <c r="D575" s="25"/>
    </row>
    <row r="576">
      <c r="C576" s="24"/>
      <c r="D576" s="25"/>
    </row>
    <row r="577">
      <c r="C577" s="24"/>
      <c r="D577" s="25"/>
    </row>
    <row r="578">
      <c r="C578" s="24"/>
      <c r="D578" s="25"/>
    </row>
    <row r="579">
      <c r="C579" s="24"/>
      <c r="D579" s="25"/>
    </row>
    <row r="580">
      <c r="C580" s="24"/>
      <c r="D580" s="25"/>
    </row>
    <row r="581">
      <c r="C581" s="24"/>
      <c r="D581" s="25"/>
    </row>
    <row r="582">
      <c r="C582" s="24"/>
      <c r="D582" s="25"/>
    </row>
    <row r="583">
      <c r="C583" s="24"/>
      <c r="D583" s="25"/>
    </row>
    <row r="584">
      <c r="C584" s="24"/>
      <c r="D584" s="25"/>
    </row>
    <row r="585">
      <c r="C585" s="24"/>
      <c r="D585" s="25"/>
    </row>
    <row r="586">
      <c r="C586" s="24"/>
      <c r="D586" s="25"/>
    </row>
    <row r="587">
      <c r="C587" s="24"/>
      <c r="D587" s="25"/>
    </row>
    <row r="588">
      <c r="C588" s="24"/>
      <c r="D588" s="25"/>
    </row>
    <row r="589">
      <c r="C589" s="24"/>
      <c r="D589" s="25"/>
    </row>
    <row r="590">
      <c r="C590" s="24"/>
      <c r="D590" s="25"/>
    </row>
    <row r="591">
      <c r="C591" s="24"/>
      <c r="D591" s="25"/>
    </row>
    <row r="592">
      <c r="C592" s="24"/>
      <c r="D592" s="25"/>
    </row>
    <row r="593">
      <c r="C593" s="24"/>
      <c r="D593" s="25"/>
    </row>
    <row r="594">
      <c r="C594" s="24"/>
      <c r="D594" s="25"/>
    </row>
    <row r="595">
      <c r="C595" s="24"/>
      <c r="D595" s="25"/>
    </row>
    <row r="596">
      <c r="C596" s="24"/>
      <c r="D596" s="25"/>
    </row>
    <row r="597">
      <c r="C597" s="24"/>
      <c r="D597" s="25"/>
    </row>
    <row r="598">
      <c r="C598" s="24"/>
      <c r="D598" s="25"/>
    </row>
    <row r="599">
      <c r="C599" s="24"/>
      <c r="D599" s="25"/>
    </row>
    <row r="600">
      <c r="C600" s="24"/>
      <c r="D600" s="25"/>
    </row>
    <row r="601">
      <c r="C601" s="24"/>
      <c r="D601" s="25"/>
    </row>
    <row r="602">
      <c r="C602" s="24"/>
      <c r="D602" s="25"/>
    </row>
    <row r="603">
      <c r="C603" s="24"/>
      <c r="D603" s="25"/>
    </row>
    <row r="604">
      <c r="C604" s="24"/>
      <c r="D604" s="25"/>
    </row>
    <row r="605">
      <c r="C605" s="24"/>
      <c r="D605" s="25"/>
    </row>
    <row r="606">
      <c r="C606" s="24"/>
      <c r="D606" s="25"/>
    </row>
    <row r="607">
      <c r="C607" s="24"/>
      <c r="D607" s="25"/>
    </row>
    <row r="608">
      <c r="C608" s="24"/>
      <c r="D608" s="25"/>
    </row>
    <row r="609">
      <c r="C609" s="24"/>
      <c r="D609" s="25"/>
    </row>
    <row r="610">
      <c r="C610" s="24"/>
      <c r="D610" s="25"/>
    </row>
    <row r="611">
      <c r="C611" s="24"/>
      <c r="D611" s="25"/>
    </row>
    <row r="612">
      <c r="C612" s="24"/>
      <c r="D612" s="25"/>
    </row>
    <row r="613">
      <c r="C613" s="24"/>
      <c r="D613" s="25"/>
    </row>
    <row r="614">
      <c r="C614" s="24"/>
      <c r="D614" s="25"/>
    </row>
    <row r="615">
      <c r="C615" s="24"/>
      <c r="D615" s="25"/>
    </row>
    <row r="616">
      <c r="C616" s="24"/>
      <c r="D616" s="25"/>
    </row>
    <row r="617">
      <c r="C617" s="24"/>
      <c r="D617" s="25"/>
    </row>
    <row r="618">
      <c r="C618" s="24"/>
      <c r="D618" s="25"/>
    </row>
    <row r="619">
      <c r="C619" s="24"/>
      <c r="D619" s="25"/>
    </row>
    <row r="620">
      <c r="C620" s="24"/>
      <c r="D620" s="25"/>
    </row>
    <row r="621">
      <c r="C621" s="24"/>
      <c r="D621" s="25"/>
    </row>
    <row r="622">
      <c r="C622" s="24"/>
      <c r="D622" s="25"/>
    </row>
    <row r="623">
      <c r="C623" s="24"/>
      <c r="D623" s="25"/>
    </row>
    <row r="624">
      <c r="C624" s="24"/>
      <c r="D624" s="25"/>
    </row>
    <row r="625">
      <c r="C625" s="24"/>
      <c r="D625" s="25"/>
    </row>
    <row r="626">
      <c r="C626" s="24"/>
      <c r="D626" s="25"/>
    </row>
    <row r="627">
      <c r="C627" s="24"/>
      <c r="D627" s="25"/>
    </row>
    <row r="628">
      <c r="C628" s="24"/>
      <c r="D628" s="25"/>
    </row>
    <row r="629">
      <c r="C629" s="24"/>
      <c r="D629" s="25"/>
    </row>
    <row r="630">
      <c r="C630" s="24"/>
      <c r="D630" s="25"/>
    </row>
    <row r="631">
      <c r="C631" s="24"/>
      <c r="D631" s="25"/>
    </row>
    <row r="632">
      <c r="C632" s="24"/>
      <c r="D632" s="25"/>
    </row>
    <row r="633">
      <c r="C633" s="24"/>
      <c r="D633" s="25"/>
    </row>
    <row r="634">
      <c r="C634" s="24"/>
      <c r="D634" s="25"/>
    </row>
    <row r="635">
      <c r="C635" s="24"/>
      <c r="D635" s="25"/>
    </row>
    <row r="636">
      <c r="C636" s="24"/>
      <c r="D636" s="25"/>
    </row>
    <row r="637">
      <c r="C637" s="24"/>
      <c r="D637" s="25"/>
    </row>
    <row r="638">
      <c r="C638" s="24"/>
      <c r="D638" s="25"/>
    </row>
    <row r="639">
      <c r="C639" s="24"/>
      <c r="D639" s="25"/>
    </row>
    <row r="640">
      <c r="C640" s="24"/>
      <c r="D640" s="25"/>
    </row>
    <row r="641">
      <c r="C641" s="24"/>
      <c r="D641" s="25"/>
    </row>
    <row r="642">
      <c r="C642" s="24"/>
      <c r="D642" s="25"/>
    </row>
    <row r="643">
      <c r="C643" s="24"/>
      <c r="D643" s="25"/>
    </row>
    <row r="644">
      <c r="C644" s="24"/>
      <c r="D644" s="25"/>
    </row>
    <row r="645">
      <c r="C645" s="24"/>
      <c r="D645" s="25"/>
    </row>
    <row r="646">
      <c r="C646" s="24"/>
      <c r="D646" s="25"/>
    </row>
    <row r="647">
      <c r="C647" s="24"/>
      <c r="D647" s="25"/>
    </row>
    <row r="648">
      <c r="C648" s="24"/>
      <c r="D648" s="25"/>
    </row>
    <row r="649">
      <c r="C649" s="24"/>
      <c r="D649" s="25"/>
    </row>
    <row r="650">
      <c r="C650" s="24"/>
      <c r="D650" s="25"/>
    </row>
    <row r="651">
      <c r="C651" s="24"/>
      <c r="D651" s="25"/>
    </row>
    <row r="652">
      <c r="C652" s="24"/>
      <c r="D652" s="25"/>
    </row>
    <row r="653">
      <c r="C653" s="24"/>
      <c r="D653" s="25"/>
    </row>
    <row r="654">
      <c r="C654" s="24"/>
      <c r="D654" s="25"/>
    </row>
    <row r="655">
      <c r="C655" s="24"/>
      <c r="D655" s="25"/>
    </row>
    <row r="656">
      <c r="C656" s="24"/>
      <c r="D656" s="25"/>
    </row>
    <row r="657">
      <c r="C657" s="24"/>
      <c r="D657" s="25"/>
    </row>
    <row r="658">
      <c r="C658" s="24"/>
      <c r="D658" s="25"/>
    </row>
    <row r="659">
      <c r="C659" s="24"/>
      <c r="D659" s="25"/>
    </row>
    <row r="660">
      <c r="C660" s="24"/>
      <c r="D660" s="25"/>
    </row>
    <row r="661">
      <c r="C661" s="24"/>
      <c r="D661" s="25"/>
    </row>
    <row r="662">
      <c r="C662" s="24"/>
      <c r="D662" s="25"/>
    </row>
    <row r="663">
      <c r="C663" s="24"/>
      <c r="D663" s="25"/>
    </row>
    <row r="664">
      <c r="C664" s="24"/>
      <c r="D664" s="25"/>
    </row>
    <row r="665">
      <c r="C665" s="24"/>
      <c r="D665" s="25"/>
    </row>
    <row r="666">
      <c r="C666" s="24"/>
      <c r="D666" s="25"/>
    </row>
    <row r="667">
      <c r="C667" s="24"/>
      <c r="D667" s="25"/>
    </row>
    <row r="668">
      <c r="C668" s="24"/>
      <c r="D668" s="25"/>
    </row>
    <row r="669">
      <c r="C669" s="24"/>
      <c r="D669" s="25"/>
    </row>
    <row r="670">
      <c r="C670" s="24"/>
      <c r="D670" s="25"/>
    </row>
    <row r="671">
      <c r="C671" s="24"/>
      <c r="D671" s="25"/>
    </row>
    <row r="672">
      <c r="C672" s="24"/>
      <c r="D672" s="25"/>
    </row>
    <row r="673">
      <c r="C673" s="24"/>
      <c r="D673" s="25"/>
    </row>
    <row r="674">
      <c r="C674" s="24"/>
      <c r="D674" s="25"/>
    </row>
    <row r="675">
      <c r="C675" s="24"/>
      <c r="D675" s="25"/>
    </row>
    <row r="676">
      <c r="C676" s="24"/>
      <c r="D676" s="25"/>
    </row>
    <row r="677">
      <c r="C677" s="24"/>
      <c r="D677" s="25"/>
    </row>
    <row r="678">
      <c r="C678" s="24"/>
      <c r="D678" s="25"/>
    </row>
    <row r="679">
      <c r="C679" s="24"/>
      <c r="D679" s="25"/>
    </row>
    <row r="680">
      <c r="C680" s="24"/>
      <c r="D680" s="25"/>
    </row>
    <row r="681">
      <c r="C681" s="24"/>
      <c r="D681" s="25"/>
    </row>
    <row r="682">
      <c r="C682" s="24"/>
      <c r="D682" s="25"/>
    </row>
    <row r="683">
      <c r="C683" s="24"/>
      <c r="D683" s="25"/>
    </row>
    <row r="684">
      <c r="C684" s="24"/>
      <c r="D684" s="25"/>
    </row>
    <row r="685">
      <c r="C685" s="24"/>
      <c r="D685" s="25"/>
    </row>
    <row r="686">
      <c r="C686" s="24"/>
      <c r="D686" s="25"/>
    </row>
    <row r="687">
      <c r="C687" s="24"/>
      <c r="D687" s="25"/>
    </row>
    <row r="688">
      <c r="C688" s="24"/>
      <c r="D688" s="25"/>
    </row>
    <row r="689">
      <c r="C689" s="24"/>
      <c r="D689" s="25"/>
    </row>
    <row r="690">
      <c r="C690" s="24"/>
      <c r="D690" s="25"/>
    </row>
    <row r="691">
      <c r="C691" s="24"/>
      <c r="D691" s="25"/>
    </row>
    <row r="692">
      <c r="C692" s="24"/>
      <c r="D692" s="25"/>
    </row>
    <row r="693">
      <c r="C693" s="24"/>
      <c r="D693" s="25"/>
    </row>
    <row r="694">
      <c r="C694" s="24"/>
      <c r="D694" s="25"/>
    </row>
    <row r="695">
      <c r="C695" s="24"/>
      <c r="D695" s="25"/>
    </row>
    <row r="696">
      <c r="C696" s="24"/>
      <c r="D696" s="25"/>
    </row>
    <row r="697">
      <c r="C697" s="24"/>
      <c r="D697" s="25"/>
    </row>
    <row r="698">
      <c r="C698" s="24"/>
      <c r="D698" s="25"/>
    </row>
    <row r="699">
      <c r="C699" s="24"/>
      <c r="D699" s="25"/>
    </row>
    <row r="700">
      <c r="C700" s="24"/>
      <c r="D700" s="25"/>
    </row>
    <row r="701">
      <c r="C701" s="24"/>
      <c r="D701" s="25"/>
    </row>
    <row r="702">
      <c r="C702" s="24"/>
      <c r="D702" s="25"/>
    </row>
    <row r="703">
      <c r="C703" s="24"/>
      <c r="D703" s="25"/>
    </row>
    <row r="704">
      <c r="C704" s="24"/>
      <c r="D704" s="25"/>
    </row>
    <row r="705">
      <c r="C705" s="24"/>
      <c r="D705" s="25"/>
    </row>
    <row r="706">
      <c r="C706" s="24"/>
      <c r="D706" s="25"/>
    </row>
    <row r="707">
      <c r="C707" s="24"/>
      <c r="D707" s="25"/>
    </row>
    <row r="708">
      <c r="C708" s="24"/>
      <c r="D708" s="25"/>
    </row>
    <row r="709">
      <c r="C709" s="24"/>
      <c r="D709" s="25"/>
    </row>
    <row r="710">
      <c r="C710" s="24"/>
      <c r="D710" s="25"/>
    </row>
    <row r="711">
      <c r="C711" s="24"/>
      <c r="D711" s="25"/>
    </row>
    <row r="712">
      <c r="C712" s="24"/>
      <c r="D712" s="25"/>
    </row>
    <row r="713">
      <c r="C713" s="24"/>
      <c r="D713" s="25"/>
    </row>
    <row r="714">
      <c r="C714" s="24"/>
      <c r="D714" s="25"/>
    </row>
    <row r="715">
      <c r="C715" s="24"/>
      <c r="D715" s="25"/>
    </row>
    <row r="716">
      <c r="C716" s="24"/>
      <c r="D716" s="25"/>
    </row>
    <row r="717">
      <c r="C717" s="24"/>
      <c r="D717" s="25"/>
    </row>
    <row r="718">
      <c r="C718" s="24"/>
      <c r="D718" s="25"/>
    </row>
    <row r="719">
      <c r="C719" s="24"/>
      <c r="D719" s="25"/>
    </row>
    <row r="720">
      <c r="C720" s="24"/>
      <c r="D720" s="25"/>
    </row>
    <row r="721">
      <c r="C721" s="24"/>
      <c r="D721" s="25"/>
    </row>
    <row r="722">
      <c r="C722" s="24"/>
      <c r="D722" s="25"/>
    </row>
    <row r="723">
      <c r="C723" s="24"/>
      <c r="D723" s="25"/>
    </row>
    <row r="724">
      <c r="C724" s="24"/>
      <c r="D724" s="25"/>
    </row>
    <row r="725">
      <c r="C725" s="24"/>
      <c r="D725" s="25"/>
    </row>
    <row r="726">
      <c r="C726" s="24"/>
      <c r="D726" s="25"/>
    </row>
    <row r="727">
      <c r="C727" s="24"/>
      <c r="D727" s="25"/>
    </row>
    <row r="728">
      <c r="C728" s="24"/>
      <c r="D728" s="25"/>
    </row>
    <row r="729">
      <c r="C729" s="24"/>
      <c r="D729" s="25"/>
    </row>
    <row r="730">
      <c r="C730" s="24"/>
      <c r="D730" s="25"/>
    </row>
    <row r="731">
      <c r="C731" s="24"/>
      <c r="D731" s="25"/>
    </row>
    <row r="732">
      <c r="C732" s="24"/>
      <c r="D732" s="25"/>
    </row>
    <row r="733">
      <c r="C733" s="24"/>
      <c r="D733" s="25"/>
    </row>
    <row r="734">
      <c r="C734" s="24"/>
      <c r="D734" s="25"/>
    </row>
    <row r="735">
      <c r="C735" s="24"/>
      <c r="D735" s="25"/>
    </row>
    <row r="736">
      <c r="C736" s="24"/>
      <c r="D736" s="25"/>
    </row>
    <row r="737">
      <c r="C737" s="24"/>
      <c r="D737" s="25"/>
    </row>
    <row r="738">
      <c r="C738" s="24"/>
      <c r="D738" s="25"/>
    </row>
    <row r="739">
      <c r="C739" s="24"/>
      <c r="D739" s="25"/>
    </row>
    <row r="740">
      <c r="C740" s="24"/>
      <c r="D740" s="25"/>
    </row>
    <row r="741">
      <c r="C741" s="24"/>
      <c r="D741" s="25"/>
    </row>
    <row r="742">
      <c r="C742" s="24"/>
      <c r="D742" s="25"/>
    </row>
    <row r="743">
      <c r="C743" s="24"/>
      <c r="D743" s="25"/>
    </row>
    <row r="744">
      <c r="C744" s="24"/>
      <c r="D744" s="25"/>
    </row>
    <row r="745">
      <c r="C745" s="24"/>
      <c r="D745" s="25"/>
    </row>
    <row r="746">
      <c r="C746" s="24"/>
      <c r="D746" s="25"/>
    </row>
    <row r="747">
      <c r="C747" s="24"/>
      <c r="D747" s="25"/>
    </row>
    <row r="748">
      <c r="C748" s="24"/>
      <c r="D748" s="25"/>
    </row>
    <row r="749">
      <c r="C749" s="24"/>
      <c r="D749" s="25"/>
    </row>
    <row r="750">
      <c r="C750" s="24"/>
      <c r="D750" s="25"/>
    </row>
    <row r="751">
      <c r="C751" s="24"/>
      <c r="D751" s="25"/>
    </row>
    <row r="752">
      <c r="C752" s="24"/>
      <c r="D752" s="25"/>
    </row>
    <row r="753">
      <c r="C753" s="24"/>
      <c r="D753" s="25"/>
    </row>
    <row r="754">
      <c r="C754" s="24"/>
      <c r="D754" s="25"/>
    </row>
    <row r="755">
      <c r="C755" s="24"/>
      <c r="D755" s="25"/>
    </row>
    <row r="756">
      <c r="C756" s="24"/>
      <c r="D756" s="25"/>
    </row>
    <row r="757">
      <c r="C757" s="24"/>
      <c r="D757" s="25"/>
    </row>
    <row r="758">
      <c r="C758" s="24"/>
      <c r="D758" s="25"/>
    </row>
    <row r="759">
      <c r="C759" s="24"/>
      <c r="D759" s="25"/>
    </row>
    <row r="760">
      <c r="C760" s="24"/>
      <c r="D760" s="25"/>
    </row>
    <row r="761">
      <c r="C761" s="24"/>
      <c r="D761" s="25"/>
    </row>
    <row r="762">
      <c r="C762" s="24"/>
      <c r="D762" s="25"/>
    </row>
    <row r="763">
      <c r="C763" s="24"/>
      <c r="D763" s="25"/>
    </row>
    <row r="764">
      <c r="C764" s="24"/>
      <c r="D764" s="25"/>
    </row>
    <row r="765">
      <c r="C765" s="24"/>
      <c r="D765" s="25"/>
    </row>
    <row r="766">
      <c r="C766" s="24"/>
      <c r="D766" s="25"/>
    </row>
    <row r="767">
      <c r="C767" s="24"/>
      <c r="D767" s="25"/>
    </row>
    <row r="768">
      <c r="C768" s="24"/>
      <c r="D768" s="25"/>
    </row>
    <row r="769">
      <c r="C769" s="24"/>
      <c r="D769" s="25"/>
    </row>
    <row r="770">
      <c r="C770" s="24"/>
      <c r="D770" s="25"/>
    </row>
    <row r="771">
      <c r="C771" s="24"/>
      <c r="D771" s="25"/>
    </row>
    <row r="772">
      <c r="C772" s="24"/>
      <c r="D772" s="25"/>
    </row>
    <row r="773">
      <c r="C773" s="24"/>
      <c r="D773" s="25"/>
    </row>
    <row r="774">
      <c r="C774" s="24"/>
      <c r="D774" s="25"/>
    </row>
    <row r="775">
      <c r="C775" s="24"/>
      <c r="D775" s="25"/>
    </row>
    <row r="776">
      <c r="C776" s="24"/>
      <c r="D776" s="25"/>
    </row>
    <row r="777">
      <c r="C777" s="24"/>
      <c r="D777" s="25"/>
    </row>
    <row r="778">
      <c r="C778" s="24"/>
      <c r="D778" s="25"/>
    </row>
    <row r="779">
      <c r="C779" s="24"/>
      <c r="D779" s="25"/>
    </row>
    <row r="780">
      <c r="C780" s="24"/>
      <c r="D780" s="25"/>
    </row>
    <row r="781">
      <c r="C781" s="24"/>
      <c r="D781" s="25"/>
    </row>
    <row r="782">
      <c r="C782" s="24"/>
      <c r="D782" s="25"/>
    </row>
    <row r="783">
      <c r="C783" s="24"/>
      <c r="D783" s="25"/>
    </row>
    <row r="784">
      <c r="C784" s="24"/>
      <c r="D784" s="25"/>
    </row>
    <row r="785">
      <c r="C785" s="24"/>
      <c r="D785" s="25"/>
    </row>
    <row r="786">
      <c r="C786" s="24"/>
      <c r="D786" s="25"/>
    </row>
    <row r="787">
      <c r="C787" s="24"/>
      <c r="D787" s="25"/>
    </row>
    <row r="788">
      <c r="C788" s="24"/>
      <c r="D788" s="25"/>
    </row>
    <row r="789">
      <c r="C789" s="24"/>
      <c r="D789" s="25"/>
    </row>
    <row r="790">
      <c r="C790" s="24"/>
      <c r="D790" s="25"/>
    </row>
    <row r="791">
      <c r="C791" s="24"/>
      <c r="D791" s="25"/>
    </row>
    <row r="792">
      <c r="C792" s="24"/>
      <c r="D792" s="25"/>
    </row>
    <row r="793">
      <c r="C793" s="24"/>
      <c r="D793" s="25"/>
    </row>
    <row r="794">
      <c r="C794" s="24"/>
      <c r="D794" s="25"/>
    </row>
    <row r="795">
      <c r="C795" s="24"/>
      <c r="D795" s="25"/>
    </row>
    <row r="796">
      <c r="C796" s="24"/>
      <c r="D796" s="25"/>
    </row>
    <row r="797">
      <c r="C797" s="24"/>
      <c r="D797" s="25"/>
    </row>
    <row r="798">
      <c r="C798" s="24"/>
      <c r="D798" s="25"/>
    </row>
    <row r="799">
      <c r="C799" s="24"/>
      <c r="D799" s="25"/>
    </row>
    <row r="800">
      <c r="C800" s="24"/>
      <c r="D800" s="25"/>
    </row>
    <row r="801">
      <c r="C801" s="24"/>
      <c r="D801" s="25"/>
    </row>
    <row r="802">
      <c r="C802" s="24"/>
      <c r="D802" s="25"/>
    </row>
    <row r="803">
      <c r="C803" s="24"/>
      <c r="D803" s="25"/>
    </row>
    <row r="804">
      <c r="C804" s="24"/>
      <c r="D804" s="25"/>
    </row>
    <row r="805">
      <c r="C805" s="24"/>
      <c r="D805" s="25"/>
    </row>
    <row r="806">
      <c r="C806" s="24"/>
      <c r="D806" s="25"/>
    </row>
    <row r="807">
      <c r="C807" s="24"/>
      <c r="D807" s="25"/>
    </row>
    <row r="808">
      <c r="C808" s="24"/>
      <c r="D808" s="25"/>
    </row>
    <row r="809">
      <c r="C809" s="24"/>
      <c r="D809" s="25"/>
    </row>
    <row r="810">
      <c r="C810" s="24"/>
      <c r="D810" s="25"/>
    </row>
    <row r="811">
      <c r="C811" s="24"/>
      <c r="D811" s="25"/>
    </row>
    <row r="812">
      <c r="C812" s="24"/>
      <c r="D812" s="25"/>
    </row>
    <row r="813">
      <c r="C813" s="24"/>
      <c r="D813" s="25"/>
    </row>
    <row r="814">
      <c r="C814" s="24"/>
      <c r="D814" s="25"/>
    </row>
    <row r="815">
      <c r="C815" s="24"/>
      <c r="D815" s="25"/>
    </row>
    <row r="816">
      <c r="C816" s="24"/>
      <c r="D816" s="25"/>
    </row>
    <row r="817">
      <c r="C817" s="24"/>
      <c r="D817" s="25"/>
    </row>
    <row r="818">
      <c r="C818" s="24"/>
      <c r="D818" s="25"/>
    </row>
    <row r="819">
      <c r="C819" s="24"/>
      <c r="D819" s="25"/>
    </row>
    <row r="820">
      <c r="C820" s="24"/>
      <c r="D820" s="25"/>
    </row>
    <row r="821">
      <c r="C821" s="24"/>
      <c r="D821" s="25"/>
    </row>
    <row r="822">
      <c r="C822" s="24"/>
      <c r="D822" s="25"/>
    </row>
    <row r="823">
      <c r="C823" s="24"/>
      <c r="D823" s="25"/>
    </row>
    <row r="824">
      <c r="C824" s="24"/>
      <c r="D824" s="25"/>
    </row>
    <row r="825">
      <c r="C825" s="24"/>
      <c r="D825" s="25"/>
    </row>
    <row r="826">
      <c r="C826" s="24"/>
      <c r="D826" s="25"/>
    </row>
    <row r="827">
      <c r="C827" s="24"/>
      <c r="D827" s="25"/>
    </row>
    <row r="828">
      <c r="C828" s="24"/>
      <c r="D828" s="25"/>
    </row>
    <row r="829">
      <c r="C829" s="24"/>
      <c r="D829" s="25"/>
    </row>
    <row r="830">
      <c r="C830" s="24"/>
      <c r="D830" s="25"/>
    </row>
    <row r="831">
      <c r="C831" s="24"/>
      <c r="D831" s="25"/>
    </row>
    <row r="832">
      <c r="C832" s="24"/>
      <c r="D832" s="25"/>
    </row>
    <row r="833">
      <c r="C833" s="24"/>
      <c r="D833" s="25"/>
    </row>
    <row r="834">
      <c r="C834" s="24"/>
      <c r="D834" s="25"/>
    </row>
    <row r="835">
      <c r="C835" s="24"/>
      <c r="D835" s="25"/>
    </row>
    <row r="836">
      <c r="C836" s="24"/>
      <c r="D836" s="25"/>
    </row>
    <row r="837">
      <c r="C837" s="24"/>
      <c r="D837" s="25"/>
    </row>
    <row r="838">
      <c r="C838" s="24"/>
      <c r="D838" s="25"/>
    </row>
    <row r="839">
      <c r="C839" s="24"/>
      <c r="D839" s="25"/>
    </row>
    <row r="840">
      <c r="C840" s="24"/>
      <c r="D840" s="25"/>
    </row>
    <row r="841">
      <c r="C841" s="24"/>
      <c r="D841" s="25"/>
    </row>
    <row r="842">
      <c r="C842" s="24"/>
      <c r="D842" s="25"/>
    </row>
    <row r="843">
      <c r="C843" s="24"/>
      <c r="D843" s="25"/>
    </row>
    <row r="844">
      <c r="C844" s="24"/>
      <c r="D844" s="25"/>
    </row>
    <row r="845">
      <c r="C845" s="24"/>
      <c r="D845" s="25"/>
    </row>
    <row r="846">
      <c r="C846" s="24"/>
      <c r="D846" s="25"/>
    </row>
    <row r="847">
      <c r="C847" s="24"/>
      <c r="D847" s="25"/>
    </row>
    <row r="848">
      <c r="C848" s="24"/>
      <c r="D848" s="25"/>
    </row>
    <row r="849">
      <c r="C849" s="24"/>
      <c r="D849" s="25"/>
    </row>
    <row r="850">
      <c r="C850" s="24"/>
      <c r="D850" s="25"/>
    </row>
    <row r="851">
      <c r="C851" s="24"/>
      <c r="D851" s="25"/>
    </row>
    <row r="852">
      <c r="C852" s="24"/>
      <c r="D852" s="25"/>
    </row>
    <row r="853">
      <c r="C853" s="24"/>
      <c r="D853" s="25"/>
    </row>
    <row r="854">
      <c r="C854" s="24"/>
      <c r="D854" s="25"/>
    </row>
    <row r="855">
      <c r="C855" s="24"/>
      <c r="D855" s="25"/>
    </row>
    <row r="856">
      <c r="C856" s="24"/>
      <c r="D856" s="25"/>
    </row>
    <row r="857">
      <c r="C857" s="24"/>
      <c r="D857" s="25"/>
    </row>
    <row r="858">
      <c r="C858" s="24"/>
      <c r="D858" s="25"/>
    </row>
    <row r="859">
      <c r="C859" s="24"/>
      <c r="D859" s="25"/>
    </row>
    <row r="860">
      <c r="C860" s="24"/>
      <c r="D860" s="25"/>
    </row>
    <row r="861">
      <c r="C861" s="24"/>
      <c r="D861" s="25"/>
    </row>
    <row r="862">
      <c r="C862" s="24"/>
      <c r="D862" s="25"/>
    </row>
    <row r="863">
      <c r="C863" s="24"/>
      <c r="D863" s="25"/>
    </row>
    <row r="864">
      <c r="C864" s="24"/>
      <c r="D864" s="25"/>
    </row>
    <row r="865">
      <c r="C865" s="24"/>
      <c r="D865" s="25"/>
    </row>
    <row r="866">
      <c r="C866" s="24"/>
      <c r="D866" s="25"/>
    </row>
    <row r="867">
      <c r="C867" s="24"/>
      <c r="D867" s="25"/>
    </row>
    <row r="868">
      <c r="C868" s="24"/>
      <c r="D868" s="25"/>
    </row>
    <row r="869">
      <c r="C869" s="24"/>
      <c r="D869" s="25"/>
    </row>
    <row r="870">
      <c r="C870" s="24"/>
      <c r="D870" s="25"/>
    </row>
    <row r="871">
      <c r="C871" s="24"/>
      <c r="D871" s="25"/>
    </row>
    <row r="872">
      <c r="C872" s="24"/>
      <c r="D872" s="25"/>
    </row>
    <row r="873">
      <c r="C873" s="24"/>
      <c r="D873" s="25"/>
    </row>
    <row r="874">
      <c r="C874" s="24"/>
      <c r="D874" s="25"/>
    </row>
    <row r="875">
      <c r="C875" s="24"/>
      <c r="D875" s="25"/>
    </row>
    <row r="876">
      <c r="C876" s="24"/>
      <c r="D876" s="25"/>
    </row>
    <row r="877">
      <c r="C877" s="24"/>
      <c r="D877" s="25"/>
    </row>
    <row r="878">
      <c r="C878" s="24"/>
      <c r="D878" s="25"/>
    </row>
    <row r="879">
      <c r="C879" s="24"/>
      <c r="D879" s="25"/>
    </row>
    <row r="880">
      <c r="C880" s="24"/>
      <c r="D880" s="25"/>
    </row>
    <row r="881">
      <c r="C881" s="24"/>
      <c r="D881" s="25"/>
    </row>
    <row r="882">
      <c r="C882" s="24"/>
      <c r="D882" s="25"/>
    </row>
    <row r="883">
      <c r="C883" s="24"/>
      <c r="D883" s="25"/>
    </row>
    <row r="884">
      <c r="C884" s="24"/>
      <c r="D884" s="25"/>
    </row>
    <row r="885">
      <c r="C885" s="24"/>
      <c r="D885" s="25"/>
    </row>
    <row r="886">
      <c r="C886" s="24"/>
      <c r="D886" s="25"/>
    </row>
    <row r="887">
      <c r="C887" s="24"/>
      <c r="D887" s="25"/>
    </row>
    <row r="888">
      <c r="C888" s="24"/>
      <c r="D888" s="25"/>
    </row>
    <row r="889">
      <c r="C889" s="24"/>
      <c r="D889" s="25"/>
    </row>
    <row r="890">
      <c r="C890" s="24"/>
      <c r="D890" s="25"/>
    </row>
    <row r="891">
      <c r="C891" s="24"/>
      <c r="D891" s="25"/>
    </row>
    <row r="892">
      <c r="C892" s="24"/>
      <c r="D892" s="25"/>
    </row>
    <row r="893">
      <c r="C893" s="24"/>
      <c r="D893" s="25"/>
    </row>
    <row r="894">
      <c r="C894" s="24"/>
      <c r="D894" s="25"/>
    </row>
    <row r="895">
      <c r="C895" s="24"/>
      <c r="D895" s="25"/>
    </row>
    <row r="896">
      <c r="C896" s="24"/>
      <c r="D896" s="25"/>
    </row>
    <row r="897">
      <c r="C897" s="24"/>
      <c r="D897" s="25"/>
    </row>
    <row r="898">
      <c r="C898" s="24"/>
      <c r="D898" s="25"/>
    </row>
    <row r="899">
      <c r="C899" s="24"/>
      <c r="D899" s="25"/>
    </row>
    <row r="900">
      <c r="C900" s="24"/>
      <c r="D900" s="25"/>
    </row>
    <row r="901">
      <c r="C901" s="24"/>
      <c r="D901" s="25"/>
    </row>
    <row r="902">
      <c r="C902" s="24"/>
      <c r="D902" s="25"/>
    </row>
    <row r="903">
      <c r="C903" s="24"/>
      <c r="D903" s="25"/>
    </row>
    <row r="904">
      <c r="C904" s="24"/>
      <c r="D904" s="25"/>
    </row>
    <row r="905">
      <c r="C905" s="24"/>
      <c r="D905" s="25"/>
    </row>
    <row r="906">
      <c r="C906" s="24"/>
      <c r="D906" s="25"/>
    </row>
    <row r="907">
      <c r="C907" s="24"/>
      <c r="D907" s="25"/>
    </row>
    <row r="908">
      <c r="C908" s="24"/>
      <c r="D908" s="25"/>
    </row>
    <row r="909">
      <c r="C909" s="24"/>
      <c r="D909" s="25"/>
    </row>
    <row r="910">
      <c r="C910" s="24"/>
      <c r="D910" s="25"/>
    </row>
    <row r="911">
      <c r="C911" s="24"/>
      <c r="D911" s="25"/>
    </row>
    <row r="912">
      <c r="C912" s="24"/>
      <c r="D912" s="25"/>
    </row>
    <row r="913">
      <c r="C913" s="24"/>
      <c r="D913" s="25"/>
    </row>
    <row r="914">
      <c r="C914" s="24"/>
      <c r="D914" s="25"/>
    </row>
    <row r="915">
      <c r="C915" s="24"/>
      <c r="D915" s="25"/>
    </row>
    <row r="916">
      <c r="C916" s="24"/>
      <c r="D916" s="25"/>
    </row>
    <row r="917">
      <c r="C917" s="24"/>
      <c r="D917" s="25"/>
    </row>
    <row r="918">
      <c r="C918" s="24"/>
      <c r="D918" s="25"/>
    </row>
    <row r="919">
      <c r="C919" s="24"/>
      <c r="D919" s="25"/>
    </row>
    <row r="920">
      <c r="C920" s="24"/>
      <c r="D920" s="25"/>
    </row>
    <row r="921">
      <c r="C921" s="24"/>
      <c r="D921" s="25"/>
    </row>
    <row r="922">
      <c r="C922" s="24"/>
      <c r="D922" s="25"/>
    </row>
    <row r="923">
      <c r="C923" s="24"/>
      <c r="D923" s="25"/>
    </row>
    <row r="924">
      <c r="C924" s="24"/>
      <c r="D924" s="25"/>
    </row>
    <row r="925">
      <c r="C925" s="24"/>
      <c r="D925" s="25"/>
    </row>
    <row r="926">
      <c r="C926" s="24"/>
      <c r="D926" s="25"/>
    </row>
    <row r="927">
      <c r="C927" s="24"/>
      <c r="D927" s="25"/>
    </row>
    <row r="928">
      <c r="C928" s="24"/>
      <c r="D928" s="25"/>
    </row>
    <row r="929">
      <c r="C929" s="24"/>
      <c r="D929" s="25"/>
    </row>
    <row r="930">
      <c r="C930" s="24"/>
      <c r="D930" s="25"/>
    </row>
    <row r="931">
      <c r="C931" s="24"/>
      <c r="D931" s="25"/>
    </row>
    <row r="932">
      <c r="C932" s="24"/>
      <c r="D932" s="25"/>
    </row>
    <row r="933">
      <c r="C933" s="24"/>
      <c r="D933" s="25"/>
    </row>
    <row r="934">
      <c r="C934" s="24"/>
      <c r="D934" s="25"/>
    </row>
    <row r="935">
      <c r="C935" s="24"/>
      <c r="D935" s="25"/>
    </row>
    <row r="936">
      <c r="C936" s="24"/>
      <c r="D936" s="25"/>
    </row>
    <row r="937">
      <c r="C937" s="24"/>
      <c r="D937" s="25"/>
    </row>
    <row r="938">
      <c r="C938" s="24"/>
      <c r="D938" s="25"/>
    </row>
    <row r="939">
      <c r="C939" s="24"/>
      <c r="D939" s="25"/>
    </row>
    <row r="940">
      <c r="C940" s="24"/>
      <c r="D940" s="25"/>
    </row>
    <row r="941">
      <c r="C941" s="24"/>
      <c r="D941" s="25"/>
    </row>
    <row r="942">
      <c r="C942" s="24"/>
      <c r="D942" s="25"/>
    </row>
    <row r="943">
      <c r="C943" s="24"/>
      <c r="D943" s="25"/>
    </row>
    <row r="944">
      <c r="C944" s="24"/>
      <c r="D944" s="25"/>
    </row>
    <row r="945">
      <c r="C945" s="24"/>
      <c r="D945" s="25"/>
    </row>
    <row r="946">
      <c r="C946" s="24"/>
      <c r="D946" s="25"/>
    </row>
    <row r="947">
      <c r="C947" s="24"/>
      <c r="D947" s="25"/>
    </row>
    <row r="948">
      <c r="C948" s="24"/>
      <c r="D948" s="25"/>
    </row>
    <row r="949">
      <c r="C949" s="24"/>
      <c r="D949" s="25"/>
    </row>
    <row r="950">
      <c r="C950" s="24"/>
      <c r="D950" s="25"/>
    </row>
    <row r="951">
      <c r="C951" s="24"/>
      <c r="D951" s="25"/>
    </row>
    <row r="952">
      <c r="C952" s="24"/>
      <c r="D952" s="25"/>
    </row>
    <row r="953">
      <c r="C953" s="24"/>
      <c r="D953" s="25"/>
    </row>
    <row r="954">
      <c r="C954" s="24"/>
      <c r="D954" s="25"/>
    </row>
    <row r="955">
      <c r="C955" s="24"/>
      <c r="D955" s="25"/>
    </row>
    <row r="956">
      <c r="C956" s="24"/>
      <c r="D956" s="25"/>
    </row>
    <row r="957">
      <c r="C957" s="24"/>
      <c r="D957" s="25"/>
    </row>
    <row r="958">
      <c r="C958" s="24"/>
      <c r="D958" s="25"/>
    </row>
    <row r="959">
      <c r="C959" s="24"/>
      <c r="D959" s="25"/>
    </row>
    <row r="960">
      <c r="C960" s="24"/>
      <c r="D960" s="25"/>
    </row>
    <row r="961">
      <c r="C961" s="24"/>
      <c r="D961" s="25"/>
    </row>
    <row r="962">
      <c r="C962" s="24"/>
      <c r="D962" s="25"/>
    </row>
    <row r="963">
      <c r="C963" s="24"/>
      <c r="D963" s="25"/>
    </row>
    <row r="964">
      <c r="C964" s="24"/>
      <c r="D964" s="25"/>
    </row>
    <row r="965">
      <c r="C965" s="24"/>
      <c r="D965" s="25"/>
    </row>
    <row r="966">
      <c r="C966" s="24"/>
      <c r="D966" s="25"/>
    </row>
    <row r="967">
      <c r="C967" s="24"/>
      <c r="D967" s="25"/>
    </row>
    <row r="968">
      <c r="C968" s="24"/>
      <c r="D968" s="25"/>
    </row>
    <row r="969">
      <c r="C969" s="24"/>
      <c r="D969" s="25"/>
    </row>
    <row r="970">
      <c r="C970" s="24"/>
      <c r="D970" s="25"/>
    </row>
    <row r="971">
      <c r="C971" s="24"/>
      <c r="D971" s="25"/>
    </row>
    <row r="972">
      <c r="C972" s="24"/>
      <c r="D972" s="25"/>
    </row>
    <row r="973">
      <c r="C973" s="24"/>
      <c r="D973" s="25"/>
    </row>
    <row r="974">
      <c r="C974" s="24"/>
      <c r="D974" s="25"/>
    </row>
    <row r="975">
      <c r="C975" s="24"/>
      <c r="D975" s="25"/>
    </row>
    <row r="976">
      <c r="C976" s="24"/>
      <c r="D976" s="25"/>
    </row>
    <row r="977">
      <c r="C977" s="24"/>
      <c r="D977" s="25"/>
    </row>
    <row r="978">
      <c r="C978" s="24"/>
      <c r="D978" s="25"/>
    </row>
    <row r="979">
      <c r="C979" s="24"/>
      <c r="D979" s="25"/>
    </row>
    <row r="980">
      <c r="C980" s="24"/>
      <c r="D980" s="25"/>
    </row>
    <row r="981">
      <c r="C981" s="24"/>
      <c r="D981" s="25"/>
    </row>
    <row r="982">
      <c r="C982" s="24"/>
      <c r="D982" s="25"/>
    </row>
    <row r="983">
      <c r="C983" s="24"/>
      <c r="D983" s="25"/>
    </row>
    <row r="984">
      <c r="C984" s="24"/>
      <c r="D984" s="25"/>
    </row>
    <row r="985">
      <c r="C985" s="24"/>
      <c r="D985" s="25"/>
    </row>
    <row r="986">
      <c r="C986" s="24"/>
      <c r="D986" s="25"/>
    </row>
    <row r="987">
      <c r="C987" s="24"/>
      <c r="D987" s="25"/>
    </row>
    <row r="988">
      <c r="C988" s="24"/>
      <c r="D988" s="25"/>
    </row>
    <row r="989">
      <c r="C989" s="24"/>
      <c r="D989" s="25"/>
    </row>
    <row r="990">
      <c r="C990" s="24"/>
      <c r="D990" s="25"/>
    </row>
    <row r="991">
      <c r="C991" s="24"/>
      <c r="D991" s="25"/>
    </row>
    <row r="992">
      <c r="C992" s="24"/>
      <c r="D992" s="25"/>
    </row>
    <row r="993">
      <c r="C993" s="24"/>
      <c r="D993" s="25"/>
    </row>
    <row r="994">
      <c r="C994" s="24"/>
      <c r="D994" s="25"/>
    </row>
    <row r="995">
      <c r="C995" s="24"/>
      <c r="D995" s="25"/>
    </row>
    <row r="996">
      <c r="C996" s="24"/>
      <c r="D996" s="25"/>
    </row>
    <row r="997">
      <c r="C997" s="24"/>
      <c r="D997" s="25"/>
    </row>
    <row r="998">
      <c r="C998" s="24"/>
      <c r="D998" s="25"/>
    </row>
    <row r="999">
      <c r="C999" s="24"/>
      <c r="D999" s="25"/>
    </row>
    <row r="1000">
      <c r="C1000" s="24"/>
      <c r="D1000" s="25"/>
    </row>
  </sheetData>
  <dataValidations>
    <dataValidation type="list" allowBlank="1" showErrorMessage="1" sqref="D2:D101">
      <formula1>"TO DO,SDG 7,NOT SDG 7,SKIP"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18" t="s">
        <v>78</v>
      </c>
      <c r="B1" s="18" t="s">
        <v>79</v>
      </c>
      <c r="C1" s="19" t="s">
        <v>80</v>
      </c>
      <c r="D1" s="20" t="s">
        <v>81</v>
      </c>
      <c r="E1" s="13" t="s">
        <v>82</v>
      </c>
    </row>
    <row r="2">
      <c r="A2" s="21" t="s">
        <v>93</v>
      </c>
      <c r="B2" s="21" t="s">
        <v>94</v>
      </c>
      <c r="C2" s="22" t="s">
        <v>95</v>
      </c>
      <c r="D2" s="23" t="s">
        <v>86</v>
      </c>
    </row>
    <row r="3">
      <c r="A3" s="21" t="s">
        <v>177</v>
      </c>
      <c r="B3" s="21" t="s">
        <v>187</v>
      </c>
      <c r="C3" s="22" t="s">
        <v>188</v>
      </c>
      <c r="D3" s="23" t="s">
        <v>86</v>
      </c>
    </row>
    <row r="4">
      <c r="A4" s="21" t="s">
        <v>83</v>
      </c>
      <c r="B4" s="21" t="s">
        <v>84</v>
      </c>
      <c r="C4" s="22" t="s">
        <v>85</v>
      </c>
      <c r="D4" s="23" t="s">
        <v>86</v>
      </c>
    </row>
    <row r="5">
      <c r="A5" s="21" t="s">
        <v>164</v>
      </c>
      <c r="B5" s="21" t="s">
        <v>165</v>
      </c>
      <c r="C5" s="22" t="s">
        <v>166</v>
      </c>
      <c r="D5" s="23" t="s">
        <v>86</v>
      </c>
    </row>
    <row r="6">
      <c r="A6" s="21" t="s">
        <v>265</v>
      </c>
      <c r="B6" s="21" t="s">
        <v>266</v>
      </c>
      <c r="C6" s="22" t="s">
        <v>267</v>
      </c>
      <c r="D6" s="23" t="s">
        <v>86</v>
      </c>
    </row>
    <row r="7">
      <c r="A7" s="21" t="s">
        <v>93</v>
      </c>
      <c r="B7" s="21" t="s">
        <v>245</v>
      </c>
      <c r="C7" s="22" t="s">
        <v>246</v>
      </c>
      <c r="D7" s="23" t="s">
        <v>86</v>
      </c>
    </row>
    <row r="8">
      <c r="A8" s="21" t="s">
        <v>305</v>
      </c>
      <c r="B8" s="21" t="s">
        <v>306</v>
      </c>
      <c r="C8" s="22" t="s">
        <v>307</v>
      </c>
      <c r="D8" s="23" t="s">
        <v>86</v>
      </c>
    </row>
    <row r="9">
      <c r="A9" s="21" t="s">
        <v>119</v>
      </c>
      <c r="B9" s="21" t="s">
        <v>120</v>
      </c>
      <c r="C9" s="22" t="s">
        <v>121</v>
      </c>
      <c r="D9" s="23" t="s">
        <v>86</v>
      </c>
    </row>
    <row r="10">
      <c r="A10" s="21" t="s">
        <v>328</v>
      </c>
      <c r="B10" s="21" t="s">
        <v>329</v>
      </c>
      <c r="C10" s="22" t="s">
        <v>330</v>
      </c>
      <c r="D10" s="23" t="s">
        <v>86</v>
      </c>
    </row>
    <row r="11">
      <c r="A11" s="21" t="s">
        <v>182</v>
      </c>
      <c r="B11" s="21" t="s">
        <v>183</v>
      </c>
      <c r="C11" s="22" t="s">
        <v>184</v>
      </c>
      <c r="D11" s="23" t="s">
        <v>86</v>
      </c>
    </row>
    <row r="12">
      <c r="A12" s="21" t="s">
        <v>102</v>
      </c>
      <c r="B12" s="21" t="s">
        <v>272</v>
      </c>
      <c r="C12" s="22" t="s">
        <v>273</v>
      </c>
      <c r="D12" s="23" t="s">
        <v>86</v>
      </c>
    </row>
    <row r="13">
      <c r="A13" s="21" t="s">
        <v>108</v>
      </c>
      <c r="B13" s="21" t="s">
        <v>109</v>
      </c>
      <c r="C13" s="22" t="s">
        <v>110</v>
      </c>
      <c r="D13" s="23" t="s">
        <v>86</v>
      </c>
    </row>
    <row r="14">
      <c r="A14" s="21" t="s">
        <v>313</v>
      </c>
      <c r="B14" s="21" t="s">
        <v>314</v>
      </c>
      <c r="C14" s="22" t="s">
        <v>315</v>
      </c>
      <c r="D14" s="23" t="s">
        <v>86</v>
      </c>
    </row>
    <row r="15">
      <c r="A15" s="21" t="s">
        <v>127</v>
      </c>
      <c r="B15" s="21" t="s">
        <v>128</v>
      </c>
      <c r="C15" s="22" t="s">
        <v>129</v>
      </c>
      <c r="D15" s="23" t="s">
        <v>86</v>
      </c>
    </row>
    <row r="16">
      <c r="A16" s="21" t="s">
        <v>255</v>
      </c>
      <c r="B16" s="21" t="s">
        <v>256</v>
      </c>
      <c r="C16" s="22" t="s">
        <v>257</v>
      </c>
      <c r="D16" s="23" t="s">
        <v>86</v>
      </c>
    </row>
    <row r="17">
      <c r="A17" s="21" t="s">
        <v>192</v>
      </c>
      <c r="B17" s="21" t="s">
        <v>193</v>
      </c>
      <c r="C17" s="22" t="s">
        <v>194</v>
      </c>
      <c r="D17" s="23" t="s">
        <v>86</v>
      </c>
    </row>
    <row r="18">
      <c r="A18" s="21" t="s">
        <v>90</v>
      </c>
      <c r="B18" s="21" t="s">
        <v>299</v>
      </c>
      <c r="C18" s="22" t="s">
        <v>300</v>
      </c>
      <c r="D18" s="23" t="s">
        <v>86</v>
      </c>
    </row>
    <row r="19">
      <c r="A19" s="21" t="s">
        <v>83</v>
      </c>
      <c r="B19" s="21" t="s">
        <v>247</v>
      </c>
      <c r="C19" s="22" t="s">
        <v>248</v>
      </c>
      <c r="D19" s="23" t="s">
        <v>86</v>
      </c>
    </row>
    <row r="20">
      <c r="A20" s="21" t="s">
        <v>203</v>
      </c>
      <c r="B20" s="21" t="s">
        <v>204</v>
      </c>
      <c r="C20" s="22" t="s">
        <v>205</v>
      </c>
      <c r="D20" s="23" t="s">
        <v>86</v>
      </c>
    </row>
    <row r="21">
      <c r="A21" s="21" t="s">
        <v>124</v>
      </c>
      <c r="B21" s="21" t="s">
        <v>303</v>
      </c>
      <c r="C21" s="22" t="s">
        <v>304</v>
      </c>
      <c r="D21" s="23" t="s">
        <v>86</v>
      </c>
    </row>
    <row r="22">
      <c r="A22" s="21" t="s">
        <v>203</v>
      </c>
      <c r="B22" s="21" t="s">
        <v>260</v>
      </c>
      <c r="C22" s="22" t="s">
        <v>261</v>
      </c>
      <c r="D22" s="23" t="s">
        <v>86</v>
      </c>
    </row>
    <row r="23">
      <c r="A23" s="21" t="s">
        <v>146</v>
      </c>
      <c r="B23" s="21" t="s">
        <v>336</v>
      </c>
      <c r="C23" s="22" t="s">
        <v>337</v>
      </c>
      <c r="D23" s="23" t="s">
        <v>86</v>
      </c>
    </row>
    <row r="24">
      <c r="A24" s="21" t="s">
        <v>87</v>
      </c>
      <c r="B24" s="21" t="s">
        <v>132</v>
      </c>
      <c r="C24" s="22" t="s">
        <v>133</v>
      </c>
      <c r="D24" s="23" t="s">
        <v>86</v>
      </c>
    </row>
    <row r="25">
      <c r="A25" s="21" t="s">
        <v>262</v>
      </c>
      <c r="B25" s="21" t="s">
        <v>263</v>
      </c>
      <c r="C25" s="22" t="s">
        <v>264</v>
      </c>
      <c r="D25" s="23" t="s">
        <v>86</v>
      </c>
    </row>
    <row r="26">
      <c r="A26" s="21" t="s">
        <v>203</v>
      </c>
      <c r="B26" s="21" t="s">
        <v>251</v>
      </c>
      <c r="C26" s="22" t="s">
        <v>252</v>
      </c>
      <c r="D26" s="23" t="s">
        <v>86</v>
      </c>
    </row>
    <row r="27">
      <c r="A27" s="21" t="s">
        <v>96</v>
      </c>
      <c r="B27" s="21" t="s">
        <v>97</v>
      </c>
      <c r="C27" s="22" t="s">
        <v>98</v>
      </c>
      <c r="D27" s="23" t="s">
        <v>86</v>
      </c>
    </row>
    <row r="28">
      <c r="A28" s="21" t="s">
        <v>149</v>
      </c>
      <c r="B28" s="21" t="s">
        <v>150</v>
      </c>
      <c r="C28" s="22" t="s">
        <v>151</v>
      </c>
      <c r="D28" s="23" t="s">
        <v>86</v>
      </c>
    </row>
    <row r="29">
      <c r="A29" s="21" t="s">
        <v>90</v>
      </c>
      <c r="B29" s="21" t="s">
        <v>91</v>
      </c>
      <c r="C29" s="22" t="s">
        <v>92</v>
      </c>
      <c r="D29" s="23" t="s">
        <v>86</v>
      </c>
    </row>
    <row r="30">
      <c r="A30" s="21" t="s">
        <v>105</v>
      </c>
      <c r="B30" s="21" t="s">
        <v>240</v>
      </c>
      <c r="C30" s="22" t="s">
        <v>241</v>
      </c>
      <c r="D30" s="23" t="s">
        <v>86</v>
      </c>
    </row>
    <row r="31">
      <c r="A31" s="21" t="s">
        <v>237</v>
      </c>
      <c r="B31" s="21" t="s">
        <v>238</v>
      </c>
      <c r="C31" s="22" t="s">
        <v>239</v>
      </c>
      <c r="D31" s="23" t="s">
        <v>86</v>
      </c>
    </row>
    <row r="32">
      <c r="A32" s="21" t="s">
        <v>124</v>
      </c>
      <c r="B32" s="21" t="s">
        <v>279</v>
      </c>
      <c r="C32" s="22" t="s">
        <v>280</v>
      </c>
      <c r="D32" s="23" t="s">
        <v>86</v>
      </c>
    </row>
    <row r="33">
      <c r="A33" s="21" t="s">
        <v>223</v>
      </c>
      <c r="B33" s="21" t="s">
        <v>224</v>
      </c>
      <c r="C33" s="22" t="s">
        <v>225</v>
      </c>
      <c r="D33" s="23" t="s">
        <v>86</v>
      </c>
    </row>
    <row r="34">
      <c r="A34" s="21" t="s">
        <v>215</v>
      </c>
      <c r="B34" s="21" t="s">
        <v>216</v>
      </c>
      <c r="C34" s="22" t="s">
        <v>217</v>
      </c>
      <c r="D34" s="23" t="s">
        <v>86</v>
      </c>
    </row>
    <row r="35">
      <c r="A35" s="21" t="s">
        <v>99</v>
      </c>
      <c r="B35" s="21" t="s">
        <v>208</v>
      </c>
      <c r="C35" s="22" t="s">
        <v>209</v>
      </c>
      <c r="D35" s="23" t="s">
        <v>86</v>
      </c>
    </row>
    <row r="36">
      <c r="A36" s="21" t="s">
        <v>140</v>
      </c>
      <c r="B36" s="21" t="s">
        <v>141</v>
      </c>
      <c r="C36" s="22" t="s">
        <v>142</v>
      </c>
      <c r="D36" s="23" t="s">
        <v>86</v>
      </c>
    </row>
    <row r="37">
      <c r="A37" s="21" t="s">
        <v>90</v>
      </c>
      <c r="B37" s="21" t="s">
        <v>210</v>
      </c>
      <c r="C37" s="22" t="s">
        <v>211</v>
      </c>
      <c r="D37" s="23" t="s">
        <v>86</v>
      </c>
    </row>
    <row r="38">
      <c r="A38" s="21" t="s">
        <v>137</v>
      </c>
      <c r="B38" s="21" t="s">
        <v>138</v>
      </c>
      <c r="C38" s="22" t="s">
        <v>139</v>
      </c>
      <c r="D38" s="23" t="s">
        <v>86</v>
      </c>
    </row>
    <row r="39">
      <c r="A39" s="21" t="s">
        <v>212</v>
      </c>
      <c r="B39" s="21" t="s">
        <v>213</v>
      </c>
      <c r="C39" s="22" t="s">
        <v>214</v>
      </c>
      <c r="D39" s="23" t="s">
        <v>86</v>
      </c>
    </row>
    <row r="40">
      <c r="A40" s="21" t="s">
        <v>189</v>
      </c>
      <c r="B40" s="21" t="s">
        <v>268</v>
      </c>
      <c r="C40" s="22" t="s">
        <v>269</v>
      </c>
      <c r="D40" s="23" t="s">
        <v>86</v>
      </c>
    </row>
    <row r="41">
      <c r="A41" s="21" t="s">
        <v>281</v>
      </c>
      <c r="B41" s="21" t="s">
        <v>282</v>
      </c>
      <c r="C41" s="22" t="s">
        <v>283</v>
      </c>
      <c r="D41" s="23" t="s">
        <v>86</v>
      </c>
    </row>
    <row r="42">
      <c r="A42" s="21" t="s">
        <v>158</v>
      </c>
      <c r="B42" s="21" t="s">
        <v>159</v>
      </c>
      <c r="C42" s="22" t="s">
        <v>160</v>
      </c>
      <c r="D42" s="23" t="s">
        <v>86</v>
      </c>
    </row>
    <row r="43">
      <c r="A43" s="21" t="s">
        <v>87</v>
      </c>
      <c r="B43" s="21" t="s">
        <v>258</v>
      </c>
      <c r="C43" s="22" t="s">
        <v>259</v>
      </c>
      <c r="D43" s="23" t="s">
        <v>86</v>
      </c>
    </row>
    <row r="44">
      <c r="A44" s="21" t="s">
        <v>158</v>
      </c>
      <c r="B44" s="21" t="s">
        <v>318</v>
      </c>
      <c r="C44" s="22" t="s">
        <v>319</v>
      </c>
      <c r="D44" s="23" t="s">
        <v>86</v>
      </c>
    </row>
    <row r="45">
      <c r="A45" s="21" t="s">
        <v>137</v>
      </c>
      <c r="B45" s="21" t="s">
        <v>292</v>
      </c>
      <c r="C45" s="22" t="s">
        <v>293</v>
      </c>
      <c r="D45" s="23" t="s">
        <v>86</v>
      </c>
    </row>
    <row r="46">
      <c r="A46" s="21" t="s">
        <v>114</v>
      </c>
      <c r="B46" s="21" t="s">
        <v>167</v>
      </c>
      <c r="C46" s="22" t="s">
        <v>168</v>
      </c>
      <c r="D46" s="23" t="s">
        <v>86</v>
      </c>
    </row>
    <row r="47">
      <c r="A47" s="21" t="s">
        <v>164</v>
      </c>
      <c r="B47" s="21" t="s">
        <v>331</v>
      </c>
      <c r="C47" s="22" t="s">
        <v>332</v>
      </c>
      <c r="D47" s="23" t="s">
        <v>86</v>
      </c>
    </row>
    <row r="48">
      <c r="A48" s="21" t="s">
        <v>99</v>
      </c>
      <c r="B48" s="21" t="s">
        <v>284</v>
      </c>
      <c r="C48" s="22" t="s">
        <v>285</v>
      </c>
      <c r="D48" s="23" t="s">
        <v>86</v>
      </c>
    </row>
    <row r="49">
      <c r="A49" s="21" t="s">
        <v>333</v>
      </c>
      <c r="B49" s="21" t="s">
        <v>334</v>
      </c>
      <c r="C49" s="22" t="s">
        <v>335</v>
      </c>
      <c r="D49" s="23" t="s">
        <v>86</v>
      </c>
    </row>
    <row r="50">
      <c r="A50" s="21" t="s">
        <v>177</v>
      </c>
      <c r="B50" s="21" t="s">
        <v>178</v>
      </c>
      <c r="C50" s="22" t="s">
        <v>179</v>
      </c>
      <c r="D50" s="23" t="s">
        <v>86</v>
      </c>
    </row>
    <row r="51">
      <c r="A51" s="21" t="s">
        <v>124</v>
      </c>
      <c r="B51" s="21" t="s">
        <v>130</v>
      </c>
      <c r="C51" s="22" t="s">
        <v>131</v>
      </c>
      <c r="D51" s="23" t="s">
        <v>86</v>
      </c>
    </row>
    <row r="52">
      <c r="A52" s="21" t="s">
        <v>105</v>
      </c>
      <c r="B52" s="21" t="s">
        <v>106</v>
      </c>
      <c r="C52" s="22" t="s">
        <v>107</v>
      </c>
      <c r="D52" s="23" t="s">
        <v>86</v>
      </c>
    </row>
    <row r="53">
      <c r="A53" s="21" t="s">
        <v>102</v>
      </c>
      <c r="B53" s="21" t="s">
        <v>172</v>
      </c>
      <c r="C53" s="22" t="s">
        <v>173</v>
      </c>
      <c r="D53" s="23" t="s">
        <v>86</v>
      </c>
    </row>
    <row r="54">
      <c r="A54" s="21" t="s">
        <v>87</v>
      </c>
      <c r="B54" s="21" t="s">
        <v>253</v>
      </c>
      <c r="C54" s="22" t="s">
        <v>254</v>
      </c>
      <c r="D54" s="23" t="s">
        <v>86</v>
      </c>
    </row>
    <row r="55">
      <c r="A55" s="21" t="s">
        <v>232</v>
      </c>
      <c r="B55" s="21" t="s">
        <v>233</v>
      </c>
      <c r="C55" s="22" t="s">
        <v>234</v>
      </c>
      <c r="D55" s="23" t="s">
        <v>86</v>
      </c>
    </row>
    <row r="56">
      <c r="A56" s="21" t="s">
        <v>149</v>
      </c>
      <c r="B56" s="21" t="s">
        <v>316</v>
      </c>
      <c r="C56" s="22" t="s">
        <v>317</v>
      </c>
      <c r="D56" s="23" t="s">
        <v>86</v>
      </c>
    </row>
    <row r="57">
      <c r="A57" s="21" t="s">
        <v>229</v>
      </c>
      <c r="B57" s="21" t="s">
        <v>235</v>
      </c>
      <c r="C57" s="22" t="s">
        <v>236</v>
      </c>
      <c r="D57" s="23" t="s">
        <v>86</v>
      </c>
    </row>
    <row r="58">
      <c r="A58" s="21" t="s">
        <v>215</v>
      </c>
      <c r="B58" s="21" t="s">
        <v>323</v>
      </c>
      <c r="C58" s="22" t="s">
        <v>324</v>
      </c>
      <c r="D58" s="23" t="s">
        <v>86</v>
      </c>
    </row>
    <row r="59">
      <c r="A59" s="21" t="s">
        <v>111</v>
      </c>
      <c r="B59" s="21" t="s">
        <v>112</v>
      </c>
      <c r="C59" s="22" t="s">
        <v>113</v>
      </c>
      <c r="D59" s="23" t="s">
        <v>86</v>
      </c>
    </row>
    <row r="60">
      <c r="A60" s="21" t="s">
        <v>90</v>
      </c>
      <c r="B60" s="21" t="s">
        <v>122</v>
      </c>
      <c r="C60" s="22" t="s">
        <v>123</v>
      </c>
      <c r="D60" s="23" t="s">
        <v>86</v>
      </c>
    </row>
    <row r="61">
      <c r="A61" s="21" t="s">
        <v>281</v>
      </c>
      <c r="B61" s="21" t="s">
        <v>340</v>
      </c>
      <c r="C61" s="22" t="s">
        <v>341</v>
      </c>
      <c r="D61" s="23" t="s">
        <v>86</v>
      </c>
    </row>
    <row r="62">
      <c r="A62" s="21" t="s">
        <v>164</v>
      </c>
      <c r="B62" s="21" t="s">
        <v>274</v>
      </c>
      <c r="C62" s="22" t="s">
        <v>275</v>
      </c>
      <c r="D62" s="23" t="s">
        <v>86</v>
      </c>
    </row>
    <row r="63">
      <c r="A63" s="21" t="s">
        <v>200</v>
      </c>
      <c r="B63" s="21" t="s">
        <v>201</v>
      </c>
      <c r="C63" s="22" t="s">
        <v>202</v>
      </c>
      <c r="D63" s="23" t="s">
        <v>86</v>
      </c>
    </row>
    <row r="64">
      <c r="A64" s="21" t="s">
        <v>114</v>
      </c>
      <c r="B64" s="21" t="s">
        <v>115</v>
      </c>
      <c r="C64" s="22" t="s">
        <v>116</v>
      </c>
      <c r="D64" s="23" t="s">
        <v>86</v>
      </c>
    </row>
    <row r="65">
      <c r="A65" s="21" t="s">
        <v>197</v>
      </c>
      <c r="B65" s="21" t="s">
        <v>198</v>
      </c>
      <c r="C65" s="22" t="s">
        <v>199</v>
      </c>
      <c r="D65" s="23" t="s">
        <v>86</v>
      </c>
    </row>
    <row r="66">
      <c r="A66" s="21" t="s">
        <v>105</v>
      </c>
      <c r="B66" s="21" t="s">
        <v>117</v>
      </c>
      <c r="C66" s="22" t="s">
        <v>118</v>
      </c>
      <c r="D66" s="23" t="s">
        <v>86</v>
      </c>
    </row>
    <row r="67">
      <c r="A67" s="21" t="s">
        <v>308</v>
      </c>
      <c r="B67" s="21" t="s">
        <v>309</v>
      </c>
      <c r="C67" s="22" t="s">
        <v>310</v>
      </c>
      <c r="D67" s="23" t="s">
        <v>86</v>
      </c>
    </row>
    <row r="68">
      <c r="A68" s="21" t="s">
        <v>83</v>
      </c>
      <c r="B68" s="21" t="s">
        <v>270</v>
      </c>
      <c r="C68" s="22" t="s">
        <v>271</v>
      </c>
      <c r="D68" s="23" t="s">
        <v>86</v>
      </c>
    </row>
    <row r="69">
      <c r="A69" s="21" t="s">
        <v>276</v>
      </c>
      <c r="B69" s="21" t="s">
        <v>277</v>
      </c>
      <c r="C69" s="22" t="s">
        <v>278</v>
      </c>
      <c r="D69" s="23" t="s">
        <v>86</v>
      </c>
    </row>
    <row r="70">
      <c r="A70" s="21" t="s">
        <v>137</v>
      </c>
      <c r="B70" s="21" t="s">
        <v>195</v>
      </c>
      <c r="C70" s="22" t="s">
        <v>196</v>
      </c>
      <c r="D70" s="23" t="s">
        <v>86</v>
      </c>
    </row>
    <row r="71">
      <c r="A71" s="21" t="s">
        <v>220</v>
      </c>
      <c r="B71" s="21" t="s">
        <v>221</v>
      </c>
      <c r="C71" s="22" t="s">
        <v>222</v>
      </c>
      <c r="D71" s="23" t="s">
        <v>86</v>
      </c>
    </row>
    <row r="72">
      <c r="A72" s="21" t="s">
        <v>93</v>
      </c>
      <c r="B72" s="21" t="s">
        <v>311</v>
      </c>
      <c r="C72" s="22" t="s">
        <v>312</v>
      </c>
      <c r="D72" s="23" t="s">
        <v>86</v>
      </c>
    </row>
    <row r="73">
      <c r="A73" s="21" t="s">
        <v>174</v>
      </c>
      <c r="B73" s="21" t="s">
        <v>175</v>
      </c>
      <c r="C73" s="22" t="s">
        <v>176</v>
      </c>
      <c r="D73" s="23" t="s">
        <v>86</v>
      </c>
    </row>
    <row r="74">
      <c r="A74" s="21" t="s">
        <v>276</v>
      </c>
      <c r="B74" s="21" t="s">
        <v>301</v>
      </c>
      <c r="C74" s="22" t="s">
        <v>302</v>
      </c>
      <c r="D74" s="23" t="s">
        <v>86</v>
      </c>
    </row>
    <row r="75">
      <c r="A75" s="21" t="s">
        <v>320</v>
      </c>
      <c r="B75" s="21" t="s">
        <v>321</v>
      </c>
      <c r="C75" s="22" t="s">
        <v>322</v>
      </c>
      <c r="D75" s="23" t="s">
        <v>86</v>
      </c>
    </row>
    <row r="76">
      <c r="A76" s="21" t="s">
        <v>294</v>
      </c>
      <c r="B76" s="21" t="s">
        <v>295</v>
      </c>
      <c r="C76" s="22" t="s">
        <v>296</v>
      </c>
      <c r="D76" s="23" t="s">
        <v>86</v>
      </c>
    </row>
    <row r="77">
      <c r="A77" s="21" t="s">
        <v>169</v>
      </c>
      <c r="B77" s="21" t="s">
        <v>170</v>
      </c>
      <c r="C77" s="22" t="s">
        <v>171</v>
      </c>
      <c r="D77" s="23" t="s">
        <v>86</v>
      </c>
    </row>
    <row r="78">
      <c r="A78" s="21" t="s">
        <v>174</v>
      </c>
      <c r="B78" s="21" t="s">
        <v>218</v>
      </c>
      <c r="C78" s="22" t="s">
        <v>219</v>
      </c>
      <c r="D78" s="23" t="s">
        <v>86</v>
      </c>
    </row>
    <row r="79">
      <c r="A79" s="21" t="s">
        <v>134</v>
      </c>
      <c r="B79" s="21" t="s">
        <v>135</v>
      </c>
      <c r="C79" s="22" t="s">
        <v>136</v>
      </c>
      <c r="D79" s="23" t="s">
        <v>86</v>
      </c>
    </row>
    <row r="80">
      <c r="A80" s="21" t="s">
        <v>152</v>
      </c>
      <c r="B80" s="21" t="s">
        <v>153</v>
      </c>
      <c r="C80" s="22" t="s">
        <v>154</v>
      </c>
      <c r="D80" s="23" t="s">
        <v>86</v>
      </c>
    </row>
    <row r="81">
      <c r="A81" s="21" t="s">
        <v>102</v>
      </c>
      <c r="B81" s="21" t="s">
        <v>103</v>
      </c>
      <c r="C81" s="22" t="s">
        <v>104</v>
      </c>
      <c r="D81" s="23" t="s">
        <v>86</v>
      </c>
    </row>
    <row r="82">
      <c r="A82" s="21" t="s">
        <v>124</v>
      </c>
      <c r="B82" s="21" t="s">
        <v>125</v>
      </c>
      <c r="C82" s="22" t="s">
        <v>126</v>
      </c>
      <c r="D82" s="23" t="s">
        <v>86</v>
      </c>
    </row>
    <row r="83">
      <c r="A83" s="21" t="s">
        <v>124</v>
      </c>
      <c r="B83" s="21" t="s">
        <v>249</v>
      </c>
      <c r="C83" s="22" t="s">
        <v>250</v>
      </c>
      <c r="D83" s="23" t="s">
        <v>86</v>
      </c>
    </row>
    <row r="84">
      <c r="A84" s="21" t="s">
        <v>286</v>
      </c>
      <c r="B84" s="21" t="s">
        <v>287</v>
      </c>
      <c r="C84" s="22" t="s">
        <v>288</v>
      </c>
      <c r="D84" s="23" t="s">
        <v>86</v>
      </c>
    </row>
    <row r="85">
      <c r="A85" s="21" t="s">
        <v>229</v>
      </c>
      <c r="B85" s="21" t="s">
        <v>230</v>
      </c>
      <c r="C85" s="22" t="s">
        <v>231</v>
      </c>
      <c r="D85" s="23" t="s">
        <v>86</v>
      </c>
    </row>
    <row r="86">
      <c r="A86" s="21" t="s">
        <v>289</v>
      </c>
      <c r="B86" s="21" t="s">
        <v>290</v>
      </c>
      <c r="C86" s="22" t="s">
        <v>291</v>
      </c>
      <c r="D86" s="23" t="s">
        <v>86</v>
      </c>
    </row>
    <row r="87">
      <c r="A87" s="21" t="s">
        <v>87</v>
      </c>
      <c r="B87" s="21" t="s">
        <v>88</v>
      </c>
      <c r="C87" s="22" t="s">
        <v>89</v>
      </c>
      <c r="D87" s="23" t="s">
        <v>86</v>
      </c>
    </row>
    <row r="88">
      <c r="A88" s="21" t="s">
        <v>294</v>
      </c>
      <c r="B88" s="21" t="s">
        <v>297</v>
      </c>
      <c r="C88" s="22" t="s">
        <v>298</v>
      </c>
      <c r="D88" s="23" t="s">
        <v>86</v>
      </c>
    </row>
    <row r="89">
      <c r="A89" s="21" t="s">
        <v>143</v>
      </c>
      <c r="B89" s="21" t="s">
        <v>144</v>
      </c>
      <c r="C89" s="22" t="s">
        <v>145</v>
      </c>
      <c r="D89" s="23" t="s">
        <v>86</v>
      </c>
    </row>
    <row r="90">
      <c r="A90" s="21" t="s">
        <v>99</v>
      </c>
      <c r="B90" s="21" t="s">
        <v>206</v>
      </c>
      <c r="C90" s="22" t="s">
        <v>207</v>
      </c>
      <c r="D90" s="23" t="s">
        <v>86</v>
      </c>
    </row>
    <row r="91">
      <c r="A91" s="21" t="s">
        <v>143</v>
      </c>
      <c r="B91" s="21" t="s">
        <v>180</v>
      </c>
      <c r="C91" s="22" t="s">
        <v>181</v>
      </c>
      <c r="D91" s="23" t="s">
        <v>86</v>
      </c>
    </row>
    <row r="92">
      <c r="A92" s="21" t="s">
        <v>325</v>
      </c>
      <c r="B92" s="21" t="s">
        <v>326</v>
      </c>
      <c r="C92" s="22" t="s">
        <v>327</v>
      </c>
      <c r="D92" s="23" t="s">
        <v>86</v>
      </c>
    </row>
    <row r="93">
      <c r="A93" s="21" t="s">
        <v>93</v>
      </c>
      <c r="B93" s="21" t="s">
        <v>338</v>
      </c>
      <c r="C93" s="22" t="s">
        <v>339</v>
      </c>
      <c r="D93" s="23" t="s">
        <v>86</v>
      </c>
    </row>
    <row r="94">
      <c r="A94" s="21" t="s">
        <v>155</v>
      </c>
      <c r="B94" s="21" t="s">
        <v>156</v>
      </c>
      <c r="C94" s="22" t="s">
        <v>157</v>
      </c>
      <c r="D94" s="23" t="s">
        <v>86</v>
      </c>
    </row>
    <row r="95">
      <c r="A95" s="21" t="s">
        <v>158</v>
      </c>
      <c r="B95" s="21" t="s">
        <v>185</v>
      </c>
      <c r="C95" s="22" t="s">
        <v>186</v>
      </c>
      <c r="D95" s="23" t="s">
        <v>86</v>
      </c>
    </row>
    <row r="96">
      <c r="A96" s="21" t="s">
        <v>146</v>
      </c>
      <c r="B96" s="21" t="s">
        <v>147</v>
      </c>
      <c r="C96" s="22" t="s">
        <v>148</v>
      </c>
      <c r="D96" s="23" t="s">
        <v>86</v>
      </c>
    </row>
    <row r="97">
      <c r="A97" s="21" t="s">
        <v>226</v>
      </c>
      <c r="B97" s="21" t="s">
        <v>227</v>
      </c>
      <c r="C97" s="22" t="s">
        <v>228</v>
      </c>
      <c r="D97" s="23" t="s">
        <v>86</v>
      </c>
    </row>
    <row r="98">
      <c r="A98" s="21" t="s">
        <v>161</v>
      </c>
      <c r="B98" s="21" t="s">
        <v>162</v>
      </c>
      <c r="C98" s="22" t="s">
        <v>163</v>
      </c>
      <c r="D98" s="23" t="s">
        <v>86</v>
      </c>
    </row>
    <row r="99">
      <c r="A99" s="21" t="s">
        <v>99</v>
      </c>
      <c r="B99" s="21" t="s">
        <v>100</v>
      </c>
      <c r="C99" s="22" t="s">
        <v>101</v>
      </c>
      <c r="D99" s="23" t="s">
        <v>86</v>
      </c>
    </row>
    <row r="100">
      <c r="A100" s="21" t="s">
        <v>242</v>
      </c>
      <c r="B100" s="21" t="s">
        <v>243</v>
      </c>
      <c r="C100" s="22" t="s">
        <v>244</v>
      </c>
      <c r="D100" s="23" t="s">
        <v>86</v>
      </c>
    </row>
    <row r="101">
      <c r="A101" s="21" t="s">
        <v>189</v>
      </c>
      <c r="B101" s="21" t="s">
        <v>190</v>
      </c>
      <c r="C101" s="22" t="s">
        <v>191</v>
      </c>
      <c r="D101" s="23" t="s">
        <v>86</v>
      </c>
    </row>
    <row r="102">
      <c r="C102" s="24"/>
      <c r="D102" s="25"/>
    </row>
    <row r="103">
      <c r="C103" s="24"/>
      <c r="D103" s="25"/>
    </row>
    <row r="104">
      <c r="C104" s="24"/>
      <c r="D104" s="25"/>
    </row>
    <row r="105">
      <c r="C105" s="24"/>
      <c r="D105" s="25"/>
    </row>
    <row r="106">
      <c r="C106" s="24"/>
      <c r="D106" s="25"/>
    </row>
    <row r="107">
      <c r="C107" s="24"/>
      <c r="D107" s="25"/>
    </row>
    <row r="108">
      <c r="C108" s="24"/>
      <c r="D108" s="25"/>
    </row>
    <row r="109">
      <c r="C109" s="24"/>
      <c r="D109" s="25"/>
    </row>
    <row r="110">
      <c r="C110" s="24"/>
      <c r="D110" s="25"/>
    </row>
    <row r="111">
      <c r="C111" s="24"/>
      <c r="D111" s="25"/>
    </row>
    <row r="112">
      <c r="C112" s="24"/>
      <c r="D112" s="25"/>
    </row>
    <row r="113">
      <c r="C113" s="24"/>
      <c r="D113" s="25"/>
    </row>
    <row r="114">
      <c r="C114" s="24"/>
      <c r="D114" s="25"/>
    </row>
    <row r="115">
      <c r="C115" s="24"/>
      <c r="D115" s="25"/>
    </row>
    <row r="116">
      <c r="C116" s="24"/>
      <c r="D116" s="25"/>
    </row>
    <row r="117">
      <c r="C117" s="24"/>
      <c r="D117" s="25"/>
    </row>
    <row r="118">
      <c r="C118" s="24"/>
      <c r="D118" s="25"/>
    </row>
    <row r="119">
      <c r="C119" s="24"/>
      <c r="D119" s="25"/>
    </row>
    <row r="120">
      <c r="C120" s="24"/>
      <c r="D120" s="25"/>
    </row>
    <row r="121">
      <c r="C121" s="24"/>
      <c r="D121" s="25"/>
    </row>
    <row r="122">
      <c r="C122" s="24"/>
      <c r="D122" s="25"/>
    </row>
    <row r="123">
      <c r="C123" s="24"/>
      <c r="D123" s="25"/>
    </row>
    <row r="124">
      <c r="C124" s="24"/>
      <c r="D124" s="25"/>
    </row>
    <row r="125">
      <c r="C125" s="24"/>
      <c r="D125" s="25"/>
    </row>
    <row r="126">
      <c r="C126" s="24"/>
      <c r="D126" s="25"/>
    </row>
    <row r="127">
      <c r="C127" s="24"/>
      <c r="D127" s="25"/>
    </row>
    <row r="128">
      <c r="C128" s="24"/>
      <c r="D128" s="25"/>
    </row>
    <row r="129">
      <c r="C129" s="24"/>
      <c r="D129" s="25"/>
    </row>
    <row r="130">
      <c r="C130" s="24"/>
      <c r="D130" s="25"/>
    </row>
    <row r="131">
      <c r="C131" s="24"/>
      <c r="D131" s="25"/>
    </row>
    <row r="132">
      <c r="C132" s="24"/>
      <c r="D132" s="25"/>
    </row>
    <row r="133">
      <c r="C133" s="24"/>
      <c r="D133" s="25"/>
    </row>
    <row r="134">
      <c r="C134" s="24"/>
      <c r="D134" s="25"/>
    </row>
    <row r="135">
      <c r="C135" s="24"/>
      <c r="D135" s="25"/>
    </row>
    <row r="136">
      <c r="C136" s="24"/>
      <c r="D136" s="25"/>
    </row>
    <row r="137">
      <c r="C137" s="24"/>
      <c r="D137" s="25"/>
    </row>
    <row r="138">
      <c r="C138" s="24"/>
      <c r="D138" s="25"/>
    </row>
    <row r="139">
      <c r="C139" s="24"/>
      <c r="D139" s="25"/>
    </row>
    <row r="140">
      <c r="C140" s="24"/>
      <c r="D140" s="25"/>
    </row>
    <row r="141">
      <c r="C141" s="24"/>
      <c r="D141" s="25"/>
    </row>
    <row r="142">
      <c r="C142" s="24"/>
      <c r="D142" s="25"/>
    </row>
    <row r="143">
      <c r="C143" s="24"/>
      <c r="D143" s="25"/>
    </row>
    <row r="144">
      <c r="C144" s="24"/>
      <c r="D144" s="25"/>
    </row>
    <row r="145">
      <c r="C145" s="24"/>
      <c r="D145" s="25"/>
    </row>
    <row r="146">
      <c r="C146" s="24"/>
      <c r="D146" s="25"/>
    </row>
    <row r="147">
      <c r="C147" s="24"/>
      <c r="D147" s="25"/>
    </row>
    <row r="148">
      <c r="C148" s="24"/>
      <c r="D148" s="25"/>
    </row>
    <row r="149">
      <c r="C149" s="24"/>
      <c r="D149" s="25"/>
    </row>
    <row r="150">
      <c r="C150" s="24"/>
      <c r="D150" s="25"/>
    </row>
    <row r="151">
      <c r="C151" s="24"/>
      <c r="D151" s="25"/>
    </row>
    <row r="152">
      <c r="C152" s="24"/>
      <c r="D152" s="25"/>
    </row>
    <row r="153">
      <c r="C153" s="24"/>
      <c r="D153" s="25"/>
    </row>
    <row r="154">
      <c r="C154" s="24"/>
      <c r="D154" s="25"/>
    </row>
    <row r="155">
      <c r="C155" s="24"/>
      <c r="D155" s="25"/>
    </row>
    <row r="156">
      <c r="C156" s="24"/>
      <c r="D156" s="25"/>
    </row>
    <row r="157">
      <c r="C157" s="24"/>
      <c r="D157" s="25"/>
    </row>
    <row r="158">
      <c r="C158" s="24"/>
      <c r="D158" s="25"/>
    </row>
    <row r="159">
      <c r="C159" s="24"/>
      <c r="D159" s="25"/>
    </row>
    <row r="160">
      <c r="C160" s="24"/>
      <c r="D160" s="25"/>
    </row>
    <row r="161">
      <c r="C161" s="24"/>
      <c r="D161" s="25"/>
    </row>
    <row r="162">
      <c r="C162" s="24"/>
      <c r="D162" s="25"/>
    </row>
    <row r="163">
      <c r="C163" s="24"/>
      <c r="D163" s="25"/>
    </row>
    <row r="164">
      <c r="C164" s="24"/>
      <c r="D164" s="25"/>
    </row>
    <row r="165">
      <c r="C165" s="24"/>
      <c r="D165" s="25"/>
    </row>
    <row r="166">
      <c r="C166" s="24"/>
      <c r="D166" s="25"/>
    </row>
    <row r="167">
      <c r="C167" s="24"/>
      <c r="D167" s="25"/>
    </row>
    <row r="168">
      <c r="C168" s="24"/>
      <c r="D168" s="25"/>
    </row>
    <row r="169">
      <c r="C169" s="24"/>
      <c r="D169" s="25"/>
    </row>
    <row r="170">
      <c r="C170" s="24"/>
      <c r="D170" s="25"/>
    </row>
    <row r="171">
      <c r="C171" s="24"/>
      <c r="D171" s="25"/>
    </row>
    <row r="172">
      <c r="C172" s="24"/>
      <c r="D172" s="25"/>
    </row>
    <row r="173">
      <c r="C173" s="24"/>
      <c r="D173" s="25"/>
    </row>
    <row r="174">
      <c r="C174" s="24"/>
      <c r="D174" s="25"/>
    </row>
    <row r="175">
      <c r="C175" s="24"/>
      <c r="D175" s="25"/>
    </row>
    <row r="176">
      <c r="C176" s="24"/>
      <c r="D176" s="25"/>
    </row>
    <row r="177">
      <c r="C177" s="24"/>
      <c r="D177" s="25"/>
    </row>
    <row r="178">
      <c r="C178" s="24"/>
      <c r="D178" s="25"/>
    </row>
    <row r="179">
      <c r="C179" s="24"/>
      <c r="D179" s="25"/>
    </row>
    <row r="180">
      <c r="C180" s="24"/>
      <c r="D180" s="25"/>
    </row>
    <row r="181">
      <c r="C181" s="24"/>
      <c r="D181" s="25"/>
    </row>
    <row r="182">
      <c r="C182" s="24"/>
      <c r="D182" s="25"/>
    </row>
    <row r="183">
      <c r="C183" s="24"/>
      <c r="D183" s="25"/>
    </row>
    <row r="184">
      <c r="C184" s="24"/>
      <c r="D184" s="25"/>
    </row>
    <row r="185">
      <c r="C185" s="24"/>
      <c r="D185" s="25"/>
    </row>
    <row r="186">
      <c r="C186" s="24"/>
      <c r="D186" s="25"/>
    </row>
    <row r="187">
      <c r="C187" s="24"/>
      <c r="D187" s="25"/>
    </row>
    <row r="188">
      <c r="C188" s="24"/>
      <c r="D188" s="25"/>
    </row>
    <row r="189">
      <c r="C189" s="24"/>
      <c r="D189" s="25"/>
    </row>
    <row r="190">
      <c r="C190" s="24"/>
      <c r="D190" s="25"/>
    </row>
    <row r="191">
      <c r="C191" s="24"/>
      <c r="D191" s="25"/>
    </row>
    <row r="192">
      <c r="C192" s="24"/>
      <c r="D192" s="25"/>
    </row>
    <row r="193">
      <c r="C193" s="24"/>
      <c r="D193" s="25"/>
    </row>
    <row r="194">
      <c r="C194" s="24"/>
      <c r="D194" s="25"/>
    </row>
    <row r="195">
      <c r="C195" s="24"/>
      <c r="D195" s="25"/>
    </row>
    <row r="196">
      <c r="C196" s="24"/>
      <c r="D196" s="25"/>
    </row>
    <row r="197">
      <c r="C197" s="24"/>
      <c r="D197" s="25"/>
    </row>
    <row r="198">
      <c r="C198" s="24"/>
      <c r="D198" s="25"/>
    </row>
    <row r="199">
      <c r="C199" s="24"/>
      <c r="D199" s="25"/>
    </row>
    <row r="200">
      <c r="C200" s="24"/>
      <c r="D200" s="25"/>
    </row>
    <row r="201">
      <c r="C201" s="24"/>
      <c r="D201" s="25"/>
    </row>
    <row r="202">
      <c r="C202" s="24"/>
      <c r="D202" s="25"/>
    </row>
    <row r="203">
      <c r="C203" s="24"/>
      <c r="D203" s="25"/>
    </row>
    <row r="204">
      <c r="C204" s="24"/>
      <c r="D204" s="25"/>
    </row>
    <row r="205">
      <c r="C205" s="24"/>
      <c r="D205" s="25"/>
    </row>
    <row r="206">
      <c r="C206" s="24"/>
      <c r="D206" s="25"/>
    </row>
    <row r="207">
      <c r="C207" s="24"/>
      <c r="D207" s="25"/>
    </row>
    <row r="208">
      <c r="C208" s="24"/>
      <c r="D208" s="25"/>
    </row>
    <row r="209">
      <c r="C209" s="24"/>
      <c r="D209" s="25"/>
    </row>
    <row r="210">
      <c r="C210" s="24"/>
      <c r="D210" s="25"/>
    </row>
    <row r="211">
      <c r="C211" s="24"/>
      <c r="D211" s="25"/>
    </row>
    <row r="212">
      <c r="C212" s="24"/>
      <c r="D212" s="25"/>
    </row>
    <row r="213">
      <c r="C213" s="24"/>
      <c r="D213" s="25"/>
    </row>
    <row r="214">
      <c r="C214" s="24"/>
      <c r="D214" s="25"/>
    </row>
    <row r="215">
      <c r="C215" s="24"/>
      <c r="D215" s="25"/>
    </row>
    <row r="216">
      <c r="C216" s="24"/>
      <c r="D216" s="25"/>
    </row>
    <row r="217">
      <c r="C217" s="24"/>
      <c r="D217" s="25"/>
    </row>
    <row r="218">
      <c r="C218" s="24"/>
      <c r="D218" s="25"/>
    </row>
    <row r="219">
      <c r="C219" s="24"/>
      <c r="D219" s="25"/>
    </row>
    <row r="220">
      <c r="C220" s="24"/>
      <c r="D220" s="25"/>
    </row>
    <row r="221">
      <c r="C221" s="24"/>
      <c r="D221" s="25"/>
    </row>
    <row r="222">
      <c r="C222" s="24"/>
      <c r="D222" s="25"/>
    </row>
    <row r="223">
      <c r="C223" s="24"/>
      <c r="D223" s="25"/>
    </row>
    <row r="224">
      <c r="C224" s="24"/>
      <c r="D224" s="25"/>
    </row>
    <row r="225">
      <c r="C225" s="24"/>
      <c r="D225" s="25"/>
    </row>
    <row r="226">
      <c r="C226" s="24"/>
      <c r="D226" s="25"/>
    </row>
    <row r="227">
      <c r="C227" s="24"/>
      <c r="D227" s="25"/>
    </row>
    <row r="228">
      <c r="C228" s="24"/>
      <c r="D228" s="25"/>
    </row>
    <row r="229">
      <c r="C229" s="24"/>
      <c r="D229" s="25"/>
    </row>
    <row r="230">
      <c r="C230" s="24"/>
      <c r="D230" s="25"/>
    </row>
    <row r="231">
      <c r="C231" s="24"/>
      <c r="D231" s="25"/>
    </row>
    <row r="232">
      <c r="C232" s="24"/>
      <c r="D232" s="25"/>
    </row>
    <row r="233">
      <c r="C233" s="24"/>
      <c r="D233" s="25"/>
    </row>
    <row r="234">
      <c r="C234" s="24"/>
      <c r="D234" s="25"/>
    </row>
    <row r="235">
      <c r="C235" s="24"/>
      <c r="D235" s="25"/>
    </row>
    <row r="236">
      <c r="C236" s="24"/>
      <c r="D236" s="25"/>
    </row>
    <row r="237">
      <c r="C237" s="24"/>
      <c r="D237" s="25"/>
    </row>
    <row r="238">
      <c r="C238" s="24"/>
      <c r="D238" s="25"/>
    </row>
    <row r="239">
      <c r="C239" s="24"/>
      <c r="D239" s="25"/>
    </row>
    <row r="240">
      <c r="C240" s="24"/>
      <c r="D240" s="25"/>
    </row>
    <row r="241">
      <c r="C241" s="24"/>
      <c r="D241" s="25"/>
    </row>
    <row r="242">
      <c r="C242" s="24"/>
      <c r="D242" s="25"/>
    </row>
    <row r="243">
      <c r="C243" s="24"/>
      <c r="D243" s="25"/>
    </row>
    <row r="244">
      <c r="C244" s="24"/>
      <c r="D244" s="25"/>
    </row>
    <row r="245">
      <c r="C245" s="24"/>
      <c r="D245" s="25"/>
    </row>
    <row r="246">
      <c r="C246" s="24"/>
      <c r="D246" s="25"/>
    </row>
    <row r="247">
      <c r="C247" s="24"/>
      <c r="D247" s="25"/>
    </row>
    <row r="248">
      <c r="C248" s="24"/>
      <c r="D248" s="25"/>
    </row>
    <row r="249">
      <c r="C249" s="24"/>
      <c r="D249" s="25"/>
    </row>
    <row r="250">
      <c r="C250" s="24"/>
      <c r="D250" s="25"/>
    </row>
    <row r="251">
      <c r="C251" s="24"/>
      <c r="D251" s="25"/>
    </row>
    <row r="252">
      <c r="C252" s="24"/>
      <c r="D252" s="25"/>
    </row>
    <row r="253">
      <c r="C253" s="24"/>
      <c r="D253" s="25"/>
    </row>
    <row r="254">
      <c r="C254" s="24"/>
      <c r="D254" s="25"/>
    </row>
    <row r="255">
      <c r="C255" s="24"/>
      <c r="D255" s="25"/>
    </row>
    <row r="256">
      <c r="C256" s="24"/>
      <c r="D256" s="25"/>
    </row>
    <row r="257">
      <c r="C257" s="24"/>
      <c r="D257" s="25"/>
    </row>
    <row r="258">
      <c r="C258" s="24"/>
      <c r="D258" s="25"/>
    </row>
    <row r="259">
      <c r="C259" s="24"/>
      <c r="D259" s="25"/>
    </row>
    <row r="260">
      <c r="C260" s="24"/>
      <c r="D260" s="25"/>
    </row>
    <row r="261">
      <c r="C261" s="24"/>
      <c r="D261" s="25"/>
    </row>
    <row r="262">
      <c r="C262" s="24"/>
      <c r="D262" s="25"/>
    </row>
    <row r="263">
      <c r="C263" s="24"/>
      <c r="D263" s="25"/>
    </row>
    <row r="264">
      <c r="C264" s="24"/>
      <c r="D264" s="25"/>
    </row>
    <row r="265">
      <c r="C265" s="24"/>
      <c r="D265" s="25"/>
    </row>
    <row r="266">
      <c r="C266" s="24"/>
      <c r="D266" s="25"/>
    </row>
    <row r="267">
      <c r="C267" s="24"/>
      <c r="D267" s="25"/>
    </row>
    <row r="268">
      <c r="C268" s="24"/>
      <c r="D268" s="25"/>
    </row>
    <row r="269">
      <c r="C269" s="24"/>
      <c r="D269" s="25"/>
    </row>
    <row r="270">
      <c r="C270" s="24"/>
      <c r="D270" s="25"/>
    </row>
    <row r="271">
      <c r="C271" s="24"/>
      <c r="D271" s="25"/>
    </row>
    <row r="272">
      <c r="C272" s="24"/>
      <c r="D272" s="25"/>
    </row>
    <row r="273">
      <c r="C273" s="24"/>
      <c r="D273" s="25"/>
    </row>
    <row r="274">
      <c r="C274" s="24"/>
      <c r="D274" s="25"/>
    </row>
    <row r="275">
      <c r="C275" s="24"/>
      <c r="D275" s="25"/>
    </row>
    <row r="276">
      <c r="C276" s="24"/>
      <c r="D276" s="25"/>
    </row>
    <row r="277">
      <c r="C277" s="24"/>
      <c r="D277" s="25"/>
    </row>
    <row r="278">
      <c r="C278" s="24"/>
      <c r="D278" s="25"/>
    </row>
    <row r="279">
      <c r="C279" s="24"/>
      <c r="D279" s="25"/>
    </row>
    <row r="280">
      <c r="C280" s="24"/>
      <c r="D280" s="25"/>
    </row>
    <row r="281">
      <c r="C281" s="24"/>
      <c r="D281" s="25"/>
    </row>
    <row r="282">
      <c r="C282" s="24"/>
      <c r="D282" s="25"/>
    </row>
    <row r="283">
      <c r="C283" s="24"/>
      <c r="D283" s="25"/>
    </row>
    <row r="284">
      <c r="C284" s="24"/>
      <c r="D284" s="25"/>
    </row>
    <row r="285">
      <c r="C285" s="24"/>
      <c r="D285" s="25"/>
    </row>
    <row r="286">
      <c r="C286" s="24"/>
      <c r="D286" s="25"/>
    </row>
    <row r="287">
      <c r="C287" s="24"/>
      <c r="D287" s="25"/>
    </row>
    <row r="288">
      <c r="C288" s="24"/>
      <c r="D288" s="25"/>
    </row>
    <row r="289">
      <c r="C289" s="24"/>
      <c r="D289" s="25"/>
    </row>
    <row r="290">
      <c r="C290" s="24"/>
      <c r="D290" s="25"/>
    </row>
    <row r="291">
      <c r="C291" s="24"/>
      <c r="D291" s="25"/>
    </row>
    <row r="292">
      <c r="C292" s="24"/>
      <c r="D292" s="25"/>
    </row>
    <row r="293">
      <c r="C293" s="24"/>
      <c r="D293" s="25"/>
    </row>
    <row r="294">
      <c r="C294" s="24"/>
      <c r="D294" s="25"/>
    </row>
    <row r="295">
      <c r="C295" s="24"/>
      <c r="D295" s="25"/>
    </row>
    <row r="296">
      <c r="C296" s="24"/>
      <c r="D296" s="25"/>
    </row>
    <row r="297">
      <c r="C297" s="24"/>
      <c r="D297" s="25"/>
    </row>
    <row r="298">
      <c r="C298" s="24"/>
      <c r="D298" s="25"/>
    </row>
    <row r="299">
      <c r="C299" s="24"/>
      <c r="D299" s="25"/>
    </row>
    <row r="300">
      <c r="C300" s="24"/>
      <c r="D300" s="25"/>
    </row>
    <row r="301">
      <c r="C301" s="24"/>
      <c r="D301" s="25"/>
    </row>
    <row r="302">
      <c r="C302" s="24"/>
      <c r="D302" s="25"/>
    </row>
    <row r="303">
      <c r="C303" s="24"/>
      <c r="D303" s="25"/>
    </row>
    <row r="304">
      <c r="C304" s="24"/>
      <c r="D304" s="25"/>
    </row>
    <row r="305">
      <c r="C305" s="24"/>
      <c r="D305" s="25"/>
    </row>
    <row r="306">
      <c r="C306" s="24"/>
      <c r="D306" s="25"/>
    </row>
    <row r="307">
      <c r="C307" s="24"/>
      <c r="D307" s="25"/>
    </row>
    <row r="308">
      <c r="C308" s="24"/>
      <c r="D308" s="25"/>
    </row>
    <row r="309">
      <c r="C309" s="24"/>
      <c r="D309" s="25"/>
    </row>
    <row r="310">
      <c r="C310" s="24"/>
      <c r="D310" s="25"/>
    </row>
    <row r="311">
      <c r="C311" s="24"/>
      <c r="D311" s="25"/>
    </row>
    <row r="312">
      <c r="C312" s="24"/>
      <c r="D312" s="25"/>
    </row>
    <row r="313">
      <c r="C313" s="24"/>
      <c r="D313" s="25"/>
    </row>
    <row r="314">
      <c r="C314" s="24"/>
      <c r="D314" s="25"/>
    </row>
    <row r="315">
      <c r="C315" s="24"/>
      <c r="D315" s="25"/>
    </row>
    <row r="316">
      <c r="C316" s="24"/>
      <c r="D316" s="25"/>
    </row>
    <row r="317">
      <c r="C317" s="24"/>
      <c r="D317" s="25"/>
    </row>
    <row r="318">
      <c r="C318" s="24"/>
      <c r="D318" s="25"/>
    </row>
    <row r="319">
      <c r="C319" s="24"/>
      <c r="D319" s="25"/>
    </row>
    <row r="320">
      <c r="C320" s="24"/>
      <c r="D320" s="25"/>
    </row>
    <row r="321">
      <c r="C321" s="24"/>
      <c r="D321" s="25"/>
    </row>
    <row r="322">
      <c r="C322" s="24"/>
      <c r="D322" s="25"/>
    </row>
    <row r="323">
      <c r="C323" s="24"/>
      <c r="D323" s="25"/>
    </row>
    <row r="324">
      <c r="C324" s="24"/>
      <c r="D324" s="25"/>
    </row>
    <row r="325">
      <c r="C325" s="24"/>
      <c r="D325" s="25"/>
    </row>
    <row r="326">
      <c r="C326" s="24"/>
      <c r="D326" s="25"/>
    </row>
    <row r="327">
      <c r="C327" s="24"/>
      <c r="D327" s="25"/>
    </row>
    <row r="328">
      <c r="C328" s="24"/>
      <c r="D328" s="25"/>
    </row>
    <row r="329">
      <c r="C329" s="24"/>
      <c r="D329" s="25"/>
    </row>
    <row r="330">
      <c r="C330" s="24"/>
      <c r="D330" s="25"/>
    </row>
    <row r="331">
      <c r="C331" s="24"/>
      <c r="D331" s="25"/>
    </row>
    <row r="332">
      <c r="C332" s="24"/>
      <c r="D332" s="25"/>
    </row>
    <row r="333">
      <c r="C333" s="24"/>
      <c r="D333" s="25"/>
    </row>
    <row r="334">
      <c r="C334" s="24"/>
      <c r="D334" s="25"/>
    </row>
    <row r="335">
      <c r="C335" s="24"/>
      <c r="D335" s="25"/>
    </row>
    <row r="336">
      <c r="C336" s="24"/>
      <c r="D336" s="25"/>
    </row>
    <row r="337">
      <c r="C337" s="24"/>
      <c r="D337" s="25"/>
    </row>
    <row r="338">
      <c r="C338" s="24"/>
      <c r="D338" s="25"/>
    </row>
    <row r="339">
      <c r="C339" s="24"/>
      <c r="D339" s="25"/>
    </row>
    <row r="340">
      <c r="C340" s="24"/>
      <c r="D340" s="25"/>
    </row>
    <row r="341">
      <c r="C341" s="24"/>
      <c r="D341" s="25"/>
    </row>
    <row r="342">
      <c r="C342" s="24"/>
      <c r="D342" s="25"/>
    </row>
    <row r="343">
      <c r="C343" s="24"/>
      <c r="D343" s="25"/>
    </row>
    <row r="344">
      <c r="C344" s="24"/>
      <c r="D344" s="25"/>
    </row>
    <row r="345">
      <c r="C345" s="24"/>
      <c r="D345" s="25"/>
    </row>
    <row r="346">
      <c r="C346" s="24"/>
      <c r="D346" s="25"/>
    </row>
    <row r="347">
      <c r="C347" s="24"/>
      <c r="D347" s="25"/>
    </row>
    <row r="348">
      <c r="C348" s="24"/>
      <c r="D348" s="25"/>
    </row>
    <row r="349">
      <c r="C349" s="24"/>
      <c r="D349" s="25"/>
    </row>
    <row r="350">
      <c r="C350" s="24"/>
      <c r="D350" s="25"/>
    </row>
    <row r="351">
      <c r="C351" s="24"/>
      <c r="D351" s="25"/>
    </row>
    <row r="352">
      <c r="C352" s="24"/>
      <c r="D352" s="25"/>
    </row>
    <row r="353">
      <c r="C353" s="24"/>
      <c r="D353" s="25"/>
    </row>
    <row r="354">
      <c r="C354" s="24"/>
      <c r="D354" s="25"/>
    </row>
    <row r="355">
      <c r="C355" s="24"/>
      <c r="D355" s="25"/>
    </row>
    <row r="356">
      <c r="C356" s="24"/>
      <c r="D356" s="25"/>
    </row>
    <row r="357">
      <c r="C357" s="24"/>
      <c r="D357" s="25"/>
    </row>
    <row r="358">
      <c r="C358" s="24"/>
      <c r="D358" s="25"/>
    </row>
    <row r="359">
      <c r="C359" s="24"/>
      <c r="D359" s="25"/>
    </row>
    <row r="360">
      <c r="C360" s="24"/>
      <c r="D360" s="25"/>
    </row>
    <row r="361">
      <c r="C361" s="24"/>
      <c r="D361" s="25"/>
    </row>
    <row r="362">
      <c r="C362" s="24"/>
      <c r="D362" s="25"/>
    </row>
    <row r="363">
      <c r="C363" s="24"/>
      <c r="D363" s="25"/>
    </row>
    <row r="364">
      <c r="C364" s="24"/>
      <c r="D364" s="25"/>
    </row>
    <row r="365">
      <c r="C365" s="24"/>
      <c r="D365" s="25"/>
    </row>
    <row r="366">
      <c r="C366" s="24"/>
      <c r="D366" s="25"/>
    </row>
    <row r="367">
      <c r="C367" s="24"/>
      <c r="D367" s="25"/>
    </row>
    <row r="368">
      <c r="C368" s="24"/>
      <c r="D368" s="25"/>
    </row>
    <row r="369">
      <c r="C369" s="24"/>
      <c r="D369" s="25"/>
    </row>
    <row r="370">
      <c r="C370" s="24"/>
      <c r="D370" s="25"/>
    </row>
    <row r="371">
      <c r="C371" s="24"/>
      <c r="D371" s="25"/>
    </row>
    <row r="372">
      <c r="C372" s="24"/>
      <c r="D372" s="25"/>
    </row>
    <row r="373">
      <c r="C373" s="24"/>
      <c r="D373" s="25"/>
    </row>
    <row r="374">
      <c r="C374" s="24"/>
      <c r="D374" s="25"/>
    </row>
    <row r="375">
      <c r="C375" s="24"/>
      <c r="D375" s="25"/>
    </row>
    <row r="376">
      <c r="C376" s="24"/>
      <c r="D376" s="25"/>
    </row>
    <row r="377">
      <c r="C377" s="24"/>
      <c r="D377" s="25"/>
    </row>
    <row r="378">
      <c r="C378" s="24"/>
      <c r="D378" s="25"/>
    </row>
    <row r="379">
      <c r="C379" s="24"/>
      <c r="D379" s="25"/>
    </row>
    <row r="380">
      <c r="C380" s="24"/>
      <c r="D380" s="25"/>
    </row>
    <row r="381">
      <c r="C381" s="24"/>
      <c r="D381" s="25"/>
    </row>
    <row r="382">
      <c r="C382" s="24"/>
      <c r="D382" s="25"/>
    </row>
    <row r="383">
      <c r="C383" s="24"/>
      <c r="D383" s="25"/>
    </row>
    <row r="384">
      <c r="C384" s="24"/>
      <c r="D384" s="25"/>
    </row>
    <row r="385">
      <c r="C385" s="24"/>
      <c r="D385" s="25"/>
    </row>
    <row r="386">
      <c r="C386" s="24"/>
      <c r="D386" s="25"/>
    </row>
    <row r="387">
      <c r="C387" s="24"/>
      <c r="D387" s="25"/>
    </row>
    <row r="388">
      <c r="C388" s="24"/>
      <c r="D388" s="25"/>
    </row>
    <row r="389">
      <c r="C389" s="24"/>
      <c r="D389" s="25"/>
    </row>
    <row r="390">
      <c r="C390" s="24"/>
      <c r="D390" s="25"/>
    </row>
    <row r="391">
      <c r="C391" s="24"/>
      <c r="D391" s="25"/>
    </row>
    <row r="392">
      <c r="C392" s="24"/>
      <c r="D392" s="25"/>
    </row>
    <row r="393">
      <c r="C393" s="24"/>
      <c r="D393" s="25"/>
    </row>
    <row r="394">
      <c r="C394" s="24"/>
      <c r="D394" s="25"/>
    </row>
    <row r="395">
      <c r="C395" s="24"/>
      <c r="D395" s="25"/>
    </row>
    <row r="396">
      <c r="C396" s="24"/>
      <c r="D396" s="25"/>
    </row>
    <row r="397">
      <c r="C397" s="24"/>
      <c r="D397" s="25"/>
    </row>
    <row r="398">
      <c r="C398" s="24"/>
      <c r="D398" s="25"/>
    </row>
    <row r="399">
      <c r="C399" s="24"/>
      <c r="D399" s="25"/>
    </row>
    <row r="400">
      <c r="C400" s="24"/>
      <c r="D400" s="25"/>
    </row>
    <row r="401">
      <c r="C401" s="24"/>
      <c r="D401" s="25"/>
    </row>
    <row r="402">
      <c r="C402" s="24"/>
      <c r="D402" s="25"/>
    </row>
    <row r="403">
      <c r="C403" s="24"/>
      <c r="D403" s="25"/>
    </row>
    <row r="404">
      <c r="C404" s="24"/>
      <c r="D404" s="25"/>
    </row>
    <row r="405">
      <c r="C405" s="24"/>
      <c r="D405" s="25"/>
    </row>
    <row r="406">
      <c r="C406" s="24"/>
      <c r="D406" s="25"/>
    </row>
    <row r="407">
      <c r="C407" s="24"/>
      <c r="D407" s="25"/>
    </row>
    <row r="408">
      <c r="C408" s="24"/>
      <c r="D408" s="25"/>
    </row>
    <row r="409">
      <c r="C409" s="24"/>
      <c r="D409" s="25"/>
    </row>
    <row r="410">
      <c r="C410" s="24"/>
      <c r="D410" s="25"/>
    </row>
    <row r="411">
      <c r="C411" s="24"/>
      <c r="D411" s="25"/>
    </row>
    <row r="412">
      <c r="C412" s="24"/>
      <c r="D412" s="25"/>
    </row>
    <row r="413">
      <c r="C413" s="24"/>
      <c r="D413" s="25"/>
    </row>
    <row r="414">
      <c r="C414" s="24"/>
      <c r="D414" s="25"/>
    </row>
    <row r="415">
      <c r="C415" s="24"/>
      <c r="D415" s="25"/>
    </row>
    <row r="416">
      <c r="C416" s="24"/>
      <c r="D416" s="25"/>
    </row>
    <row r="417">
      <c r="C417" s="24"/>
      <c r="D417" s="25"/>
    </row>
    <row r="418">
      <c r="C418" s="24"/>
      <c r="D418" s="25"/>
    </row>
    <row r="419">
      <c r="C419" s="24"/>
      <c r="D419" s="25"/>
    </row>
    <row r="420">
      <c r="C420" s="24"/>
      <c r="D420" s="25"/>
    </row>
    <row r="421">
      <c r="C421" s="24"/>
      <c r="D421" s="25"/>
    </row>
    <row r="422">
      <c r="C422" s="24"/>
      <c r="D422" s="25"/>
    </row>
    <row r="423">
      <c r="C423" s="24"/>
      <c r="D423" s="25"/>
    </row>
    <row r="424">
      <c r="C424" s="24"/>
      <c r="D424" s="25"/>
    </row>
    <row r="425">
      <c r="C425" s="24"/>
      <c r="D425" s="25"/>
    </row>
    <row r="426">
      <c r="C426" s="24"/>
      <c r="D426" s="25"/>
    </row>
    <row r="427">
      <c r="C427" s="24"/>
      <c r="D427" s="25"/>
    </row>
    <row r="428">
      <c r="C428" s="24"/>
      <c r="D428" s="25"/>
    </row>
    <row r="429">
      <c r="C429" s="24"/>
      <c r="D429" s="25"/>
    </row>
    <row r="430">
      <c r="C430" s="24"/>
      <c r="D430" s="25"/>
    </row>
    <row r="431">
      <c r="C431" s="24"/>
      <c r="D431" s="25"/>
    </row>
    <row r="432">
      <c r="C432" s="24"/>
      <c r="D432" s="25"/>
    </row>
    <row r="433">
      <c r="C433" s="24"/>
      <c r="D433" s="25"/>
    </row>
    <row r="434">
      <c r="C434" s="24"/>
      <c r="D434" s="25"/>
    </row>
    <row r="435">
      <c r="C435" s="24"/>
      <c r="D435" s="25"/>
    </row>
    <row r="436">
      <c r="C436" s="24"/>
      <c r="D436" s="25"/>
    </row>
    <row r="437">
      <c r="C437" s="24"/>
      <c r="D437" s="25"/>
    </row>
    <row r="438">
      <c r="C438" s="24"/>
      <c r="D438" s="25"/>
    </row>
    <row r="439">
      <c r="C439" s="24"/>
      <c r="D439" s="25"/>
    </row>
    <row r="440">
      <c r="C440" s="24"/>
      <c r="D440" s="25"/>
    </row>
    <row r="441">
      <c r="C441" s="24"/>
      <c r="D441" s="25"/>
    </row>
    <row r="442">
      <c r="C442" s="24"/>
      <c r="D442" s="25"/>
    </row>
    <row r="443">
      <c r="C443" s="24"/>
      <c r="D443" s="25"/>
    </row>
    <row r="444">
      <c r="C444" s="24"/>
      <c r="D444" s="25"/>
    </row>
    <row r="445">
      <c r="C445" s="24"/>
      <c r="D445" s="25"/>
    </row>
    <row r="446">
      <c r="C446" s="24"/>
      <c r="D446" s="25"/>
    </row>
    <row r="447">
      <c r="C447" s="24"/>
      <c r="D447" s="25"/>
    </row>
    <row r="448">
      <c r="C448" s="24"/>
      <c r="D448" s="25"/>
    </row>
    <row r="449">
      <c r="C449" s="24"/>
      <c r="D449" s="25"/>
    </row>
    <row r="450">
      <c r="C450" s="24"/>
      <c r="D450" s="25"/>
    </row>
    <row r="451">
      <c r="C451" s="24"/>
      <c r="D451" s="25"/>
    </row>
    <row r="452">
      <c r="C452" s="24"/>
      <c r="D452" s="25"/>
    </row>
    <row r="453">
      <c r="C453" s="24"/>
      <c r="D453" s="25"/>
    </row>
    <row r="454">
      <c r="C454" s="24"/>
      <c r="D454" s="25"/>
    </row>
    <row r="455">
      <c r="C455" s="24"/>
      <c r="D455" s="25"/>
    </row>
    <row r="456">
      <c r="C456" s="24"/>
      <c r="D456" s="25"/>
    </row>
    <row r="457">
      <c r="C457" s="24"/>
      <c r="D457" s="25"/>
    </row>
    <row r="458">
      <c r="C458" s="24"/>
      <c r="D458" s="25"/>
    </row>
    <row r="459">
      <c r="C459" s="24"/>
      <c r="D459" s="25"/>
    </row>
    <row r="460">
      <c r="C460" s="24"/>
      <c r="D460" s="25"/>
    </row>
    <row r="461">
      <c r="C461" s="24"/>
      <c r="D461" s="25"/>
    </row>
    <row r="462">
      <c r="C462" s="24"/>
      <c r="D462" s="25"/>
    </row>
    <row r="463">
      <c r="C463" s="24"/>
      <c r="D463" s="25"/>
    </row>
    <row r="464">
      <c r="C464" s="24"/>
      <c r="D464" s="25"/>
    </row>
    <row r="465">
      <c r="C465" s="24"/>
      <c r="D465" s="25"/>
    </row>
    <row r="466">
      <c r="C466" s="24"/>
      <c r="D466" s="25"/>
    </row>
    <row r="467">
      <c r="C467" s="24"/>
      <c r="D467" s="25"/>
    </row>
    <row r="468">
      <c r="C468" s="24"/>
      <c r="D468" s="25"/>
    </row>
    <row r="469">
      <c r="C469" s="24"/>
      <c r="D469" s="25"/>
    </row>
    <row r="470">
      <c r="C470" s="24"/>
      <c r="D470" s="25"/>
    </row>
    <row r="471">
      <c r="C471" s="24"/>
      <c r="D471" s="25"/>
    </row>
    <row r="472">
      <c r="C472" s="24"/>
      <c r="D472" s="25"/>
    </row>
    <row r="473">
      <c r="C473" s="24"/>
      <c r="D473" s="25"/>
    </row>
    <row r="474">
      <c r="C474" s="24"/>
      <c r="D474" s="25"/>
    </row>
    <row r="475">
      <c r="C475" s="24"/>
      <c r="D475" s="25"/>
    </row>
    <row r="476">
      <c r="C476" s="24"/>
      <c r="D476" s="25"/>
    </row>
    <row r="477">
      <c r="C477" s="24"/>
      <c r="D477" s="25"/>
    </row>
    <row r="478">
      <c r="C478" s="24"/>
      <c r="D478" s="25"/>
    </row>
    <row r="479">
      <c r="C479" s="24"/>
      <c r="D479" s="25"/>
    </row>
    <row r="480">
      <c r="C480" s="24"/>
      <c r="D480" s="25"/>
    </row>
    <row r="481">
      <c r="C481" s="24"/>
      <c r="D481" s="25"/>
    </row>
    <row r="482">
      <c r="C482" s="24"/>
      <c r="D482" s="25"/>
    </row>
    <row r="483">
      <c r="C483" s="24"/>
      <c r="D483" s="25"/>
    </row>
    <row r="484">
      <c r="C484" s="24"/>
      <c r="D484" s="25"/>
    </row>
    <row r="485">
      <c r="C485" s="24"/>
      <c r="D485" s="25"/>
    </row>
    <row r="486">
      <c r="C486" s="24"/>
      <c r="D486" s="25"/>
    </row>
    <row r="487">
      <c r="C487" s="24"/>
      <c r="D487" s="25"/>
    </row>
    <row r="488">
      <c r="C488" s="24"/>
      <c r="D488" s="25"/>
    </row>
    <row r="489">
      <c r="C489" s="24"/>
      <c r="D489" s="25"/>
    </row>
    <row r="490">
      <c r="C490" s="24"/>
      <c r="D490" s="25"/>
    </row>
    <row r="491">
      <c r="C491" s="24"/>
      <c r="D491" s="25"/>
    </row>
    <row r="492">
      <c r="C492" s="24"/>
      <c r="D492" s="25"/>
    </row>
    <row r="493">
      <c r="C493" s="24"/>
      <c r="D493" s="25"/>
    </row>
    <row r="494">
      <c r="C494" s="24"/>
      <c r="D494" s="25"/>
    </row>
    <row r="495">
      <c r="C495" s="24"/>
      <c r="D495" s="25"/>
    </row>
    <row r="496">
      <c r="C496" s="24"/>
      <c r="D496" s="25"/>
    </row>
    <row r="497">
      <c r="C497" s="24"/>
      <c r="D497" s="25"/>
    </row>
    <row r="498">
      <c r="C498" s="24"/>
      <c r="D498" s="25"/>
    </row>
    <row r="499">
      <c r="C499" s="24"/>
      <c r="D499" s="25"/>
    </row>
    <row r="500">
      <c r="C500" s="24"/>
      <c r="D500" s="25"/>
    </row>
    <row r="501">
      <c r="C501" s="24"/>
      <c r="D501" s="25"/>
    </row>
    <row r="502">
      <c r="C502" s="24"/>
      <c r="D502" s="25"/>
    </row>
    <row r="503">
      <c r="C503" s="24"/>
      <c r="D503" s="25"/>
    </row>
    <row r="504">
      <c r="C504" s="24"/>
      <c r="D504" s="25"/>
    </row>
    <row r="505">
      <c r="C505" s="24"/>
      <c r="D505" s="25"/>
    </row>
    <row r="506">
      <c r="C506" s="24"/>
      <c r="D506" s="25"/>
    </row>
    <row r="507">
      <c r="C507" s="24"/>
      <c r="D507" s="25"/>
    </row>
    <row r="508">
      <c r="C508" s="24"/>
      <c r="D508" s="25"/>
    </row>
    <row r="509">
      <c r="C509" s="24"/>
      <c r="D509" s="25"/>
    </row>
    <row r="510">
      <c r="C510" s="24"/>
      <c r="D510" s="25"/>
    </row>
    <row r="511">
      <c r="C511" s="24"/>
      <c r="D511" s="25"/>
    </row>
    <row r="512">
      <c r="C512" s="24"/>
      <c r="D512" s="25"/>
    </row>
    <row r="513">
      <c r="C513" s="24"/>
      <c r="D513" s="25"/>
    </row>
    <row r="514">
      <c r="C514" s="24"/>
      <c r="D514" s="25"/>
    </row>
    <row r="515">
      <c r="C515" s="24"/>
      <c r="D515" s="25"/>
    </row>
    <row r="516">
      <c r="C516" s="24"/>
      <c r="D516" s="25"/>
    </row>
    <row r="517">
      <c r="C517" s="24"/>
      <c r="D517" s="25"/>
    </row>
    <row r="518">
      <c r="C518" s="24"/>
      <c r="D518" s="25"/>
    </row>
    <row r="519">
      <c r="C519" s="24"/>
      <c r="D519" s="25"/>
    </row>
    <row r="520">
      <c r="C520" s="24"/>
      <c r="D520" s="25"/>
    </row>
    <row r="521">
      <c r="C521" s="24"/>
      <c r="D521" s="25"/>
    </row>
    <row r="522">
      <c r="C522" s="24"/>
      <c r="D522" s="25"/>
    </row>
    <row r="523">
      <c r="C523" s="24"/>
      <c r="D523" s="25"/>
    </row>
    <row r="524">
      <c r="C524" s="24"/>
      <c r="D524" s="25"/>
    </row>
    <row r="525">
      <c r="C525" s="24"/>
      <c r="D525" s="25"/>
    </row>
    <row r="526">
      <c r="C526" s="24"/>
      <c r="D526" s="25"/>
    </row>
    <row r="527">
      <c r="C527" s="24"/>
      <c r="D527" s="25"/>
    </row>
    <row r="528">
      <c r="C528" s="24"/>
      <c r="D528" s="25"/>
    </row>
    <row r="529">
      <c r="C529" s="24"/>
      <c r="D529" s="25"/>
    </row>
    <row r="530">
      <c r="C530" s="24"/>
      <c r="D530" s="25"/>
    </row>
    <row r="531">
      <c r="C531" s="24"/>
      <c r="D531" s="25"/>
    </row>
    <row r="532">
      <c r="C532" s="24"/>
      <c r="D532" s="25"/>
    </row>
    <row r="533">
      <c r="C533" s="24"/>
      <c r="D533" s="25"/>
    </row>
    <row r="534">
      <c r="C534" s="24"/>
      <c r="D534" s="25"/>
    </row>
    <row r="535">
      <c r="C535" s="24"/>
      <c r="D535" s="25"/>
    </row>
    <row r="536">
      <c r="C536" s="24"/>
      <c r="D536" s="25"/>
    </row>
    <row r="537">
      <c r="C537" s="24"/>
      <c r="D537" s="25"/>
    </row>
    <row r="538">
      <c r="C538" s="24"/>
      <c r="D538" s="25"/>
    </row>
    <row r="539">
      <c r="C539" s="24"/>
      <c r="D539" s="25"/>
    </row>
    <row r="540">
      <c r="C540" s="24"/>
      <c r="D540" s="25"/>
    </row>
    <row r="541">
      <c r="C541" s="24"/>
      <c r="D541" s="25"/>
    </row>
    <row r="542">
      <c r="C542" s="24"/>
      <c r="D542" s="25"/>
    </row>
    <row r="543">
      <c r="C543" s="24"/>
      <c r="D543" s="25"/>
    </row>
    <row r="544">
      <c r="C544" s="24"/>
      <c r="D544" s="25"/>
    </row>
    <row r="545">
      <c r="C545" s="24"/>
      <c r="D545" s="25"/>
    </row>
    <row r="546">
      <c r="C546" s="24"/>
      <c r="D546" s="25"/>
    </row>
    <row r="547">
      <c r="C547" s="24"/>
      <c r="D547" s="25"/>
    </row>
    <row r="548">
      <c r="C548" s="24"/>
      <c r="D548" s="25"/>
    </row>
    <row r="549">
      <c r="C549" s="24"/>
      <c r="D549" s="25"/>
    </row>
    <row r="550">
      <c r="C550" s="24"/>
      <c r="D550" s="25"/>
    </row>
    <row r="551">
      <c r="C551" s="24"/>
      <c r="D551" s="25"/>
    </row>
    <row r="552">
      <c r="C552" s="24"/>
      <c r="D552" s="25"/>
    </row>
    <row r="553">
      <c r="C553" s="24"/>
      <c r="D553" s="25"/>
    </row>
    <row r="554">
      <c r="C554" s="24"/>
      <c r="D554" s="25"/>
    </row>
    <row r="555">
      <c r="C555" s="24"/>
      <c r="D555" s="25"/>
    </row>
    <row r="556">
      <c r="C556" s="24"/>
      <c r="D556" s="25"/>
    </row>
    <row r="557">
      <c r="C557" s="24"/>
      <c r="D557" s="25"/>
    </row>
    <row r="558">
      <c r="C558" s="24"/>
      <c r="D558" s="25"/>
    </row>
    <row r="559">
      <c r="C559" s="24"/>
      <c r="D559" s="25"/>
    </row>
    <row r="560">
      <c r="C560" s="24"/>
      <c r="D560" s="25"/>
    </row>
    <row r="561">
      <c r="C561" s="24"/>
      <c r="D561" s="25"/>
    </row>
    <row r="562">
      <c r="C562" s="24"/>
      <c r="D562" s="25"/>
    </row>
    <row r="563">
      <c r="C563" s="24"/>
      <c r="D563" s="25"/>
    </row>
    <row r="564">
      <c r="C564" s="24"/>
      <c r="D564" s="25"/>
    </row>
    <row r="565">
      <c r="C565" s="24"/>
      <c r="D565" s="25"/>
    </row>
    <row r="566">
      <c r="C566" s="24"/>
      <c r="D566" s="25"/>
    </row>
    <row r="567">
      <c r="C567" s="24"/>
      <c r="D567" s="25"/>
    </row>
    <row r="568">
      <c r="C568" s="24"/>
      <c r="D568" s="25"/>
    </row>
    <row r="569">
      <c r="C569" s="24"/>
      <c r="D569" s="25"/>
    </row>
    <row r="570">
      <c r="C570" s="24"/>
      <c r="D570" s="25"/>
    </row>
    <row r="571">
      <c r="C571" s="24"/>
      <c r="D571" s="25"/>
    </row>
    <row r="572">
      <c r="C572" s="24"/>
      <c r="D572" s="25"/>
    </row>
    <row r="573">
      <c r="C573" s="24"/>
      <c r="D573" s="25"/>
    </row>
    <row r="574">
      <c r="C574" s="24"/>
      <c r="D574" s="25"/>
    </row>
    <row r="575">
      <c r="C575" s="24"/>
      <c r="D575" s="25"/>
    </row>
    <row r="576">
      <c r="C576" s="24"/>
      <c r="D576" s="25"/>
    </row>
    <row r="577">
      <c r="C577" s="24"/>
      <c r="D577" s="25"/>
    </row>
    <row r="578">
      <c r="C578" s="24"/>
      <c r="D578" s="25"/>
    </row>
    <row r="579">
      <c r="C579" s="24"/>
      <c r="D579" s="25"/>
    </row>
    <row r="580">
      <c r="C580" s="24"/>
      <c r="D580" s="25"/>
    </row>
    <row r="581">
      <c r="C581" s="24"/>
      <c r="D581" s="25"/>
    </row>
    <row r="582">
      <c r="C582" s="24"/>
      <c r="D582" s="25"/>
    </row>
    <row r="583">
      <c r="C583" s="24"/>
      <c r="D583" s="25"/>
    </row>
    <row r="584">
      <c r="C584" s="24"/>
      <c r="D584" s="25"/>
    </row>
    <row r="585">
      <c r="C585" s="24"/>
      <c r="D585" s="25"/>
    </row>
    <row r="586">
      <c r="C586" s="24"/>
      <c r="D586" s="25"/>
    </row>
    <row r="587">
      <c r="C587" s="24"/>
      <c r="D587" s="25"/>
    </row>
    <row r="588">
      <c r="C588" s="24"/>
      <c r="D588" s="25"/>
    </row>
    <row r="589">
      <c r="C589" s="24"/>
      <c r="D589" s="25"/>
    </row>
    <row r="590">
      <c r="C590" s="24"/>
      <c r="D590" s="25"/>
    </row>
    <row r="591">
      <c r="C591" s="24"/>
      <c r="D591" s="25"/>
    </row>
    <row r="592">
      <c r="C592" s="24"/>
      <c r="D592" s="25"/>
    </row>
    <row r="593">
      <c r="C593" s="24"/>
      <c r="D593" s="25"/>
    </row>
    <row r="594">
      <c r="C594" s="24"/>
      <c r="D594" s="25"/>
    </row>
    <row r="595">
      <c r="C595" s="24"/>
      <c r="D595" s="25"/>
    </row>
    <row r="596">
      <c r="C596" s="24"/>
      <c r="D596" s="25"/>
    </row>
    <row r="597">
      <c r="C597" s="24"/>
      <c r="D597" s="25"/>
    </row>
    <row r="598">
      <c r="C598" s="24"/>
      <c r="D598" s="25"/>
    </row>
    <row r="599">
      <c r="C599" s="24"/>
      <c r="D599" s="25"/>
    </row>
    <row r="600">
      <c r="C600" s="24"/>
      <c r="D600" s="25"/>
    </row>
    <row r="601">
      <c r="C601" s="24"/>
      <c r="D601" s="25"/>
    </row>
    <row r="602">
      <c r="C602" s="24"/>
      <c r="D602" s="25"/>
    </row>
    <row r="603">
      <c r="C603" s="24"/>
      <c r="D603" s="25"/>
    </row>
    <row r="604">
      <c r="C604" s="24"/>
      <c r="D604" s="25"/>
    </row>
    <row r="605">
      <c r="C605" s="24"/>
      <c r="D605" s="25"/>
    </row>
    <row r="606">
      <c r="C606" s="24"/>
      <c r="D606" s="25"/>
    </row>
    <row r="607">
      <c r="C607" s="24"/>
      <c r="D607" s="25"/>
    </row>
    <row r="608">
      <c r="C608" s="24"/>
      <c r="D608" s="25"/>
    </row>
    <row r="609">
      <c r="C609" s="24"/>
      <c r="D609" s="25"/>
    </row>
    <row r="610">
      <c r="C610" s="24"/>
      <c r="D610" s="25"/>
    </row>
    <row r="611">
      <c r="C611" s="24"/>
      <c r="D611" s="25"/>
    </row>
    <row r="612">
      <c r="C612" s="24"/>
      <c r="D612" s="25"/>
    </row>
    <row r="613">
      <c r="C613" s="24"/>
      <c r="D613" s="25"/>
    </row>
    <row r="614">
      <c r="C614" s="24"/>
      <c r="D614" s="25"/>
    </row>
    <row r="615">
      <c r="C615" s="24"/>
      <c r="D615" s="25"/>
    </row>
    <row r="616">
      <c r="C616" s="24"/>
      <c r="D616" s="25"/>
    </row>
    <row r="617">
      <c r="C617" s="24"/>
      <c r="D617" s="25"/>
    </row>
    <row r="618">
      <c r="C618" s="24"/>
      <c r="D618" s="25"/>
    </row>
    <row r="619">
      <c r="C619" s="24"/>
      <c r="D619" s="25"/>
    </row>
    <row r="620">
      <c r="C620" s="24"/>
      <c r="D620" s="25"/>
    </row>
    <row r="621">
      <c r="C621" s="24"/>
      <c r="D621" s="25"/>
    </row>
    <row r="622">
      <c r="C622" s="24"/>
      <c r="D622" s="25"/>
    </row>
    <row r="623">
      <c r="C623" s="24"/>
      <c r="D623" s="25"/>
    </row>
    <row r="624">
      <c r="C624" s="24"/>
      <c r="D624" s="25"/>
    </row>
    <row r="625">
      <c r="C625" s="24"/>
      <c r="D625" s="25"/>
    </row>
    <row r="626">
      <c r="C626" s="24"/>
      <c r="D626" s="25"/>
    </row>
    <row r="627">
      <c r="C627" s="24"/>
      <c r="D627" s="25"/>
    </row>
    <row r="628">
      <c r="C628" s="24"/>
      <c r="D628" s="25"/>
    </row>
    <row r="629">
      <c r="C629" s="24"/>
      <c r="D629" s="25"/>
    </row>
    <row r="630">
      <c r="C630" s="24"/>
      <c r="D630" s="25"/>
    </row>
    <row r="631">
      <c r="C631" s="24"/>
      <c r="D631" s="25"/>
    </row>
    <row r="632">
      <c r="C632" s="24"/>
      <c r="D632" s="25"/>
    </row>
    <row r="633">
      <c r="C633" s="24"/>
      <c r="D633" s="25"/>
    </row>
    <row r="634">
      <c r="C634" s="24"/>
      <c r="D634" s="25"/>
    </row>
    <row r="635">
      <c r="C635" s="24"/>
      <c r="D635" s="25"/>
    </row>
    <row r="636">
      <c r="C636" s="24"/>
      <c r="D636" s="25"/>
    </row>
    <row r="637">
      <c r="C637" s="24"/>
      <c r="D637" s="25"/>
    </row>
    <row r="638">
      <c r="C638" s="24"/>
      <c r="D638" s="25"/>
    </row>
    <row r="639">
      <c r="C639" s="24"/>
      <c r="D639" s="25"/>
    </row>
    <row r="640">
      <c r="C640" s="24"/>
      <c r="D640" s="25"/>
    </row>
    <row r="641">
      <c r="C641" s="24"/>
      <c r="D641" s="25"/>
    </row>
    <row r="642">
      <c r="C642" s="24"/>
      <c r="D642" s="25"/>
    </row>
    <row r="643">
      <c r="C643" s="24"/>
      <c r="D643" s="25"/>
    </row>
    <row r="644">
      <c r="C644" s="24"/>
      <c r="D644" s="25"/>
    </row>
    <row r="645">
      <c r="C645" s="24"/>
      <c r="D645" s="25"/>
    </row>
    <row r="646">
      <c r="C646" s="24"/>
      <c r="D646" s="25"/>
    </row>
    <row r="647">
      <c r="C647" s="24"/>
      <c r="D647" s="25"/>
    </row>
    <row r="648">
      <c r="C648" s="24"/>
      <c r="D648" s="25"/>
    </row>
    <row r="649">
      <c r="C649" s="24"/>
      <c r="D649" s="25"/>
    </row>
    <row r="650">
      <c r="C650" s="24"/>
      <c r="D650" s="25"/>
    </row>
    <row r="651">
      <c r="C651" s="24"/>
      <c r="D651" s="25"/>
    </row>
    <row r="652">
      <c r="C652" s="24"/>
      <c r="D652" s="25"/>
    </row>
    <row r="653">
      <c r="C653" s="24"/>
      <c r="D653" s="25"/>
    </row>
    <row r="654">
      <c r="C654" s="24"/>
      <c r="D654" s="25"/>
    </row>
    <row r="655">
      <c r="C655" s="24"/>
      <c r="D655" s="25"/>
    </row>
    <row r="656">
      <c r="C656" s="24"/>
      <c r="D656" s="25"/>
    </row>
    <row r="657">
      <c r="C657" s="24"/>
      <c r="D657" s="25"/>
    </row>
    <row r="658">
      <c r="C658" s="24"/>
      <c r="D658" s="25"/>
    </row>
    <row r="659">
      <c r="C659" s="24"/>
      <c r="D659" s="25"/>
    </row>
    <row r="660">
      <c r="C660" s="24"/>
      <c r="D660" s="25"/>
    </row>
    <row r="661">
      <c r="C661" s="24"/>
      <c r="D661" s="25"/>
    </row>
    <row r="662">
      <c r="C662" s="24"/>
      <c r="D662" s="25"/>
    </row>
    <row r="663">
      <c r="C663" s="24"/>
      <c r="D663" s="25"/>
    </row>
    <row r="664">
      <c r="C664" s="24"/>
      <c r="D664" s="25"/>
    </row>
    <row r="665">
      <c r="C665" s="24"/>
      <c r="D665" s="25"/>
    </row>
    <row r="666">
      <c r="C666" s="24"/>
      <c r="D666" s="25"/>
    </row>
    <row r="667">
      <c r="C667" s="24"/>
      <c r="D667" s="25"/>
    </row>
    <row r="668">
      <c r="C668" s="24"/>
      <c r="D668" s="25"/>
    </row>
    <row r="669">
      <c r="C669" s="24"/>
      <c r="D669" s="25"/>
    </row>
    <row r="670">
      <c r="C670" s="24"/>
      <c r="D670" s="25"/>
    </row>
    <row r="671">
      <c r="C671" s="24"/>
      <c r="D671" s="25"/>
    </row>
    <row r="672">
      <c r="C672" s="24"/>
      <c r="D672" s="25"/>
    </row>
    <row r="673">
      <c r="C673" s="24"/>
      <c r="D673" s="25"/>
    </row>
    <row r="674">
      <c r="C674" s="24"/>
      <c r="D674" s="25"/>
    </row>
    <row r="675">
      <c r="C675" s="24"/>
      <c r="D675" s="25"/>
    </row>
    <row r="676">
      <c r="C676" s="24"/>
      <c r="D676" s="25"/>
    </row>
    <row r="677">
      <c r="C677" s="24"/>
      <c r="D677" s="25"/>
    </row>
    <row r="678">
      <c r="C678" s="24"/>
      <c r="D678" s="25"/>
    </row>
    <row r="679">
      <c r="C679" s="24"/>
      <c r="D679" s="25"/>
    </row>
    <row r="680">
      <c r="C680" s="24"/>
      <c r="D680" s="25"/>
    </row>
    <row r="681">
      <c r="C681" s="24"/>
      <c r="D681" s="25"/>
    </row>
    <row r="682">
      <c r="C682" s="24"/>
      <c r="D682" s="25"/>
    </row>
    <row r="683">
      <c r="C683" s="24"/>
      <c r="D683" s="25"/>
    </row>
    <row r="684">
      <c r="C684" s="24"/>
      <c r="D684" s="25"/>
    </row>
    <row r="685">
      <c r="C685" s="24"/>
      <c r="D685" s="25"/>
    </row>
    <row r="686">
      <c r="C686" s="24"/>
      <c r="D686" s="25"/>
    </row>
    <row r="687">
      <c r="C687" s="24"/>
      <c r="D687" s="25"/>
    </row>
    <row r="688">
      <c r="C688" s="24"/>
      <c r="D688" s="25"/>
    </row>
    <row r="689">
      <c r="C689" s="24"/>
      <c r="D689" s="25"/>
    </row>
    <row r="690">
      <c r="C690" s="24"/>
      <c r="D690" s="25"/>
    </row>
    <row r="691">
      <c r="C691" s="24"/>
      <c r="D691" s="25"/>
    </row>
    <row r="692">
      <c r="C692" s="24"/>
      <c r="D692" s="25"/>
    </row>
    <row r="693">
      <c r="C693" s="24"/>
      <c r="D693" s="25"/>
    </row>
    <row r="694">
      <c r="C694" s="24"/>
      <c r="D694" s="25"/>
    </row>
    <row r="695">
      <c r="C695" s="24"/>
      <c r="D695" s="25"/>
    </row>
    <row r="696">
      <c r="C696" s="24"/>
      <c r="D696" s="25"/>
    </row>
    <row r="697">
      <c r="C697" s="24"/>
      <c r="D697" s="25"/>
    </row>
    <row r="698">
      <c r="C698" s="24"/>
      <c r="D698" s="25"/>
    </row>
    <row r="699">
      <c r="C699" s="24"/>
      <c r="D699" s="25"/>
    </row>
    <row r="700">
      <c r="C700" s="24"/>
      <c r="D700" s="25"/>
    </row>
    <row r="701">
      <c r="C701" s="24"/>
      <c r="D701" s="25"/>
    </row>
    <row r="702">
      <c r="C702" s="24"/>
      <c r="D702" s="25"/>
    </row>
    <row r="703">
      <c r="C703" s="24"/>
      <c r="D703" s="25"/>
    </row>
    <row r="704">
      <c r="C704" s="24"/>
      <c r="D704" s="25"/>
    </row>
    <row r="705">
      <c r="C705" s="24"/>
      <c r="D705" s="25"/>
    </row>
    <row r="706">
      <c r="C706" s="24"/>
      <c r="D706" s="25"/>
    </row>
    <row r="707">
      <c r="C707" s="24"/>
      <c r="D707" s="25"/>
    </row>
    <row r="708">
      <c r="C708" s="24"/>
      <c r="D708" s="25"/>
    </row>
    <row r="709">
      <c r="C709" s="24"/>
      <c r="D709" s="25"/>
    </row>
    <row r="710">
      <c r="C710" s="24"/>
      <c r="D710" s="25"/>
    </row>
    <row r="711">
      <c r="C711" s="24"/>
      <c r="D711" s="25"/>
    </row>
    <row r="712">
      <c r="C712" s="24"/>
      <c r="D712" s="25"/>
    </row>
    <row r="713">
      <c r="C713" s="24"/>
      <c r="D713" s="25"/>
    </row>
    <row r="714">
      <c r="C714" s="24"/>
      <c r="D714" s="25"/>
    </row>
    <row r="715">
      <c r="C715" s="24"/>
      <c r="D715" s="25"/>
    </row>
    <row r="716">
      <c r="C716" s="24"/>
      <c r="D716" s="25"/>
    </row>
    <row r="717">
      <c r="C717" s="24"/>
      <c r="D717" s="25"/>
    </row>
    <row r="718">
      <c r="C718" s="24"/>
      <c r="D718" s="25"/>
    </row>
    <row r="719">
      <c r="C719" s="24"/>
      <c r="D719" s="25"/>
    </row>
    <row r="720">
      <c r="C720" s="24"/>
      <c r="D720" s="25"/>
    </row>
    <row r="721">
      <c r="C721" s="24"/>
      <c r="D721" s="25"/>
    </row>
    <row r="722">
      <c r="C722" s="24"/>
      <c r="D722" s="25"/>
    </row>
    <row r="723">
      <c r="C723" s="24"/>
      <c r="D723" s="25"/>
    </row>
    <row r="724">
      <c r="C724" s="24"/>
      <c r="D724" s="25"/>
    </row>
    <row r="725">
      <c r="C725" s="24"/>
      <c r="D725" s="25"/>
    </row>
    <row r="726">
      <c r="C726" s="24"/>
      <c r="D726" s="25"/>
    </row>
    <row r="727">
      <c r="C727" s="24"/>
      <c r="D727" s="25"/>
    </row>
    <row r="728">
      <c r="C728" s="24"/>
      <c r="D728" s="25"/>
    </row>
    <row r="729">
      <c r="C729" s="24"/>
      <c r="D729" s="25"/>
    </row>
    <row r="730">
      <c r="C730" s="24"/>
      <c r="D730" s="25"/>
    </row>
    <row r="731">
      <c r="C731" s="24"/>
      <c r="D731" s="25"/>
    </row>
    <row r="732">
      <c r="C732" s="24"/>
      <c r="D732" s="25"/>
    </row>
    <row r="733">
      <c r="C733" s="24"/>
      <c r="D733" s="25"/>
    </row>
    <row r="734">
      <c r="C734" s="24"/>
      <c r="D734" s="25"/>
    </row>
    <row r="735">
      <c r="C735" s="24"/>
      <c r="D735" s="25"/>
    </row>
    <row r="736">
      <c r="C736" s="24"/>
      <c r="D736" s="25"/>
    </row>
    <row r="737">
      <c r="C737" s="24"/>
      <c r="D737" s="25"/>
    </row>
    <row r="738">
      <c r="C738" s="24"/>
      <c r="D738" s="25"/>
    </row>
    <row r="739">
      <c r="C739" s="24"/>
      <c r="D739" s="25"/>
    </row>
    <row r="740">
      <c r="C740" s="24"/>
      <c r="D740" s="25"/>
    </row>
    <row r="741">
      <c r="C741" s="24"/>
      <c r="D741" s="25"/>
    </row>
    <row r="742">
      <c r="C742" s="24"/>
      <c r="D742" s="25"/>
    </row>
    <row r="743">
      <c r="C743" s="24"/>
      <c r="D743" s="25"/>
    </row>
    <row r="744">
      <c r="C744" s="24"/>
      <c r="D744" s="25"/>
    </row>
    <row r="745">
      <c r="C745" s="24"/>
      <c r="D745" s="25"/>
    </row>
    <row r="746">
      <c r="C746" s="24"/>
      <c r="D746" s="25"/>
    </row>
    <row r="747">
      <c r="C747" s="24"/>
      <c r="D747" s="25"/>
    </row>
    <row r="748">
      <c r="C748" s="24"/>
      <c r="D748" s="25"/>
    </row>
    <row r="749">
      <c r="C749" s="24"/>
      <c r="D749" s="25"/>
    </row>
    <row r="750">
      <c r="C750" s="24"/>
      <c r="D750" s="25"/>
    </row>
    <row r="751">
      <c r="C751" s="24"/>
      <c r="D751" s="25"/>
    </row>
    <row r="752">
      <c r="C752" s="24"/>
      <c r="D752" s="25"/>
    </row>
    <row r="753">
      <c r="C753" s="24"/>
      <c r="D753" s="25"/>
    </row>
    <row r="754">
      <c r="C754" s="24"/>
      <c r="D754" s="25"/>
    </row>
    <row r="755">
      <c r="C755" s="24"/>
      <c r="D755" s="25"/>
    </row>
    <row r="756">
      <c r="C756" s="24"/>
      <c r="D756" s="25"/>
    </row>
    <row r="757">
      <c r="C757" s="24"/>
      <c r="D757" s="25"/>
    </row>
    <row r="758">
      <c r="C758" s="24"/>
      <c r="D758" s="25"/>
    </row>
    <row r="759">
      <c r="C759" s="24"/>
      <c r="D759" s="25"/>
    </row>
    <row r="760">
      <c r="C760" s="24"/>
      <c r="D760" s="25"/>
    </row>
    <row r="761">
      <c r="C761" s="24"/>
      <c r="D761" s="25"/>
    </row>
    <row r="762">
      <c r="C762" s="24"/>
      <c r="D762" s="25"/>
    </row>
    <row r="763">
      <c r="C763" s="24"/>
      <c r="D763" s="25"/>
    </row>
    <row r="764">
      <c r="C764" s="24"/>
      <c r="D764" s="25"/>
    </row>
    <row r="765">
      <c r="C765" s="24"/>
      <c r="D765" s="25"/>
    </row>
    <row r="766">
      <c r="C766" s="24"/>
      <c r="D766" s="25"/>
    </row>
    <row r="767">
      <c r="C767" s="24"/>
      <c r="D767" s="25"/>
    </row>
    <row r="768">
      <c r="C768" s="24"/>
      <c r="D768" s="25"/>
    </row>
    <row r="769">
      <c r="C769" s="24"/>
      <c r="D769" s="25"/>
    </row>
    <row r="770">
      <c r="C770" s="24"/>
      <c r="D770" s="25"/>
    </row>
    <row r="771">
      <c r="C771" s="24"/>
      <c r="D771" s="25"/>
    </row>
    <row r="772">
      <c r="C772" s="24"/>
      <c r="D772" s="25"/>
    </row>
    <row r="773">
      <c r="C773" s="24"/>
      <c r="D773" s="25"/>
    </row>
    <row r="774">
      <c r="C774" s="24"/>
      <c r="D774" s="25"/>
    </row>
    <row r="775">
      <c r="C775" s="24"/>
      <c r="D775" s="25"/>
    </row>
    <row r="776">
      <c r="C776" s="24"/>
      <c r="D776" s="25"/>
    </row>
    <row r="777">
      <c r="C777" s="24"/>
      <c r="D777" s="25"/>
    </row>
    <row r="778">
      <c r="C778" s="24"/>
      <c r="D778" s="25"/>
    </row>
    <row r="779">
      <c r="C779" s="24"/>
      <c r="D779" s="25"/>
    </row>
    <row r="780">
      <c r="C780" s="24"/>
      <c r="D780" s="25"/>
    </row>
    <row r="781">
      <c r="C781" s="24"/>
      <c r="D781" s="25"/>
    </row>
    <row r="782">
      <c r="C782" s="24"/>
      <c r="D782" s="25"/>
    </row>
    <row r="783">
      <c r="C783" s="24"/>
      <c r="D783" s="25"/>
    </row>
    <row r="784">
      <c r="C784" s="24"/>
      <c r="D784" s="25"/>
    </row>
    <row r="785">
      <c r="C785" s="24"/>
      <c r="D785" s="25"/>
    </row>
    <row r="786">
      <c r="C786" s="24"/>
      <c r="D786" s="25"/>
    </row>
    <row r="787">
      <c r="C787" s="24"/>
      <c r="D787" s="25"/>
    </row>
    <row r="788">
      <c r="C788" s="24"/>
      <c r="D788" s="25"/>
    </row>
    <row r="789">
      <c r="C789" s="24"/>
      <c r="D789" s="25"/>
    </row>
    <row r="790">
      <c r="C790" s="24"/>
      <c r="D790" s="25"/>
    </row>
    <row r="791">
      <c r="C791" s="24"/>
      <c r="D791" s="25"/>
    </row>
    <row r="792">
      <c r="C792" s="24"/>
      <c r="D792" s="25"/>
    </row>
    <row r="793">
      <c r="C793" s="24"/>
      <c r="D793" s="25"/>
    </row>
    <row r="794">
      <c r="C794" s="24"/>
      <c r="D794" s="25"/>
    </row>
    <row r="795">
      <c r="C795" s="24"/>
      <c r="D795" s="25"/>
    </row>
    <row r="796">
      <c r="C796" s="24"/>
      <c r="D796" s="25"/>
    </row>
    <row r="797">
      <c r="C797" s="24"/>
      <c r="D797" s="25"/>
    </row>
    <row r="798">
      <c r="C798" s="24"/>
      <c r="D798" s="25"/>
    </row>
    <row r="799">
      <c r="C799" s="24"/>
      <c r="D799" s="25"/>
    </row>
    <row r="800">
      <c r="C800" s="24"/>
      <c r="D800" s="25"/>
    </row>
    <row r="801">
      <c r="C801" s="24"/>
      <c r="D801" s="25"/>
    </row>
    <row r="802">
      <c r="C802" s="24"/>
      <c r="D802" s="25"/>
    </row>
    <row r="803">
      <c r="C803" s="24"/>
      <c r="D803" s="25"/>
    </row>
    <row r="804">
      <c r="C804" s="24"/>
      <c r="D804" s="25"/>
    </row>
    <row r="805">
      <c r="C805" s="24"/>
      <c r="D805" s="25"/>
    </row>
    <row r="806">
      <c r="C806" s="24"/>
      <c r="D806" s="25"/>
    </row>
    <row r="807">
      <c r="C807" s="24"/>
      <c r="D807" s="25"/>
    </row>
    <row r="808">
      <c r="C808" s="24"/>
      <c r="D808" s="25"/>
    </row>
    <row r="809">
      <c r="C809" s="24"/>
      <c r="D809" s="25"/>
    </row>
    <row r="810">
      <c r="C810" s="24"/>
      <c r="D810" s="25"/>
    </row>
    <row r="811">
      <c r="C811" s="24"/>
      <c r="D811" s="25"/>
    </row>
    <row r="812">
      <c r="C812" s="24"/>
      <c r="D812" s="25"/>
    </row>
    <row r="813">
      <c r="C813" s="24"/>
      <c r="D813" s="25"/>
    </row>
    <row r="814">
      <c r="C814" s="24"/>
      <c r="D814" s="25"/>
    </row>
    <row r="815">
      <c r="C815" s="24"/>
      <c r="D815" s="25"/>
    </row>
    <row r="816">
      <c r="C816" s="24"/>
      <c r="D816" s="25"/>
    </row>
    <row r="817">
      <c r="C817" s="24"/>
      <c r="D817" s="25"/>
    </row>
    <row r="818">
      <c r="C818" s="24"/>
      <c r="D818" s="25"/>
    </row>
    <row r="819">
      <c r="C819" s="24"/>
      <c r="D819" s="25"/>
    </row>
    <row r="820">
      <c r="C820" s="24"/>
      <c r="D820" s="25"/>
    </row>
    <row r="821">
      <c r="C821" s="24"/>
      <c r="D821" s="25"/>
    </row>
    <row r="822">
      <c r="C822" s="24"/>
      <c r="D822" s="25"/>
    </row>
    <row r="823">
      <c r="C823" s="24"/>
      <c r="D823" s="25"/>
    </row>
    <row r="824">
      <c r="C824" s="24"/>
      <c r="D824" s="25"/>
    </row>
    <row r="825">
      <c r="C825" s="24"/>
      <c r="D825" s="25"/>
    </row>
    <row r="826">
      <c r="C826" s="24"/>
      <c r="D826" s="25"/>
    </row>
    <row r="827">
      <c r="C827" s="24"/>
      <c r="D827" s="25"/>
    </row>
    <row r="828">
      <c r="C828" s="24"/>
      <c r="D828" s="25"/>
    </row>
    <row r="829">
      <c r="C829" s="24"/>
      <c r="D829" s="25"/>
    </row>
    <row r="830">
      <c r="C830" s="24"/>
      <c r="D830" s="25"/>
    </row>
    <row r="831">
      <c r="C831" s="24"/>
      <c r="D831" s="25"/>
    </row>
    <row r="832">
      <c r="C832" s="24"/>
      <c r="D832" s="25"/>
    </row>
    <row r="833">
      <c r="C833" s="24"/>
      <c r="D833" s="25"/>
    </row>
    <row r="834">
      <c r="C834" s="24"/>
      <c r="D834" s="25"/>
    </row>
    <row r="835">
      <c r="C835" s="24"/>
      <c r="D835" s="25"/>
    </row>
    <row r="836">
      <c r="C836" s="24"/>
      <c r="D836" s="25"/>
    </row>
    <row r="837">
      <c r="C837" s="24"/>
      <c r="D837" s="25"/>
    </row>
    <row r="838">
      <c r="C838" s="24"/>
      <c r="D838" s="25"/>
    </row>
    <row r="839">
      <c r="C839" s="24"/>
      <c r="D839" s="25"/>
    </row>
    <row r="840">
      <c r="C840" s="24"/>
      <c r="D840" s="25"/>
    </row>
    <row r="841">
      <c r="C841" s="24"/>
      <c r="D841" s="25"/>
    </row>
    <row r="842">
      <c r="C842" s="24"/>
      <c r="D842" s="25"/>
    </row>
    <row r="843">
      <c r="C843" s="24"/>
      <c r="D843" s="25"/>
    </row>
    <row r="844">
      <c r="C844" s="24"/>
      <c r="D844" s="25"/>
    </row>
    <row r="845">
      <c r="C845" s="24"/>
      <c r="D845" s="25"/>
    </row>
    <row r="846">
      <c r="C846" s="24"/>
      <c r="D846" s="25"/>
    </row>
    <row r="847">
      <c r="C847" s="24"/>
      <c r="D847" s="25"/>
    </row>
    <row r="848">
      <c r="C848" s="24"/>
      <c r="D848" s="25"/>
    </row>
    <row r="849">
      <c r="C849" s="24"/>
      <c r="D849" s="25"/>
    </row>
    <row r="850">
      <c r="C850" s="24"/>
      <c r="D850" s="25"/>
    </row>
    <row r="851">
      <c r="C851" s="24"/>
      <c r="D851" s="25"/>
    </row>
    <row r="852">
      <c r="C852" s="24"/>
      <c r="D852" s="25"/>
    </row>
    <row r="853">
      <c r="C853" s="24"/>
      <c r="D853" s="25"/>
    </row>
    <row r="854">
      <c r="C854" s="24"/>
      <c r="D854" s="25"/>
    </row>
    <row r="855">
      <c r="C855" s="24"/>
      <c r="D855" s="25"/>
    </row>
    <row r="856">
      <c r="C856" s="24"/>
      <c r="D856" s="25"/>
    </row>
    <row r="857">
      <c r="C857" s="24"/>
      <c r="D857" s="25"/>
    </row>
    <row r="858">
      <c r="C858" s="24"/>
      <c r="D858" s="25"/>
    </row>
    <row r="859">
      <c r="C859" s="24"/>
      <c r="D859" s="25"/>
    </row>
    <row r="860">
      <c r="C860" s="24"/>
      <c r="D860" s="25"/>
    </row>
    <row r="861">
      <c r="C861" s="24"/>
      <c r="D861" s="25"/>
    </row>
    <row r="862">
      <c r="C862" s="24"/>
      <c r="D862" s="25"/>
    </row>
    <row r="863">
      <c r="C863" s="24"/>
      <c r="D863" s="25"/>
    </row>
    <row r="864">
      <c r="C864" s="24"/>
      <c r="D864" s="25"/>
    </row>
    <row r="865">
      <c r="C865" s="24"/>
      <c r="D865" s="25"/>
    </row>
    <row r="866">
      <c r="C866" s="24"/>
      <c r="D866" s="25"/>
    </row>
    <row r="867">
      <c r="C867" s="24"/>
      <c r="D867" s="25"/>
    </row>
    <row r="868">
      <c r="C868" s="24"/>
      <c r="D868" s="25"/>
    </row>
    <row r="869">
      <c r="C869" s="24"/>
      <c r="D869" s="25"/>
    </row>
    <row r="870">
      <c r="C870" s="24"/>
      <c r="D870" s="25"/>
    </row>
    <row r="871">
      <c r="C871" s="24"/>
      <c r="D871" s="25"/>
    </row>
    <row r="872">
      <c r="C872" s="24"/>
      <c r="D872" s="25"/>
    </row>
    <row r="873">
      <c r="C873" s="24"/>
      <c r="D873" s="25"/>
    </row>
    <row r="874">
      <c r="C874" s="24"/>
      <c r="D874" s="25"/>
    </row>
    <row r="875">
      <c r="C875" s="24"/>
      <c r="D875" s="25"/>
    </row>
    <row r="876">
      <c r="C876" s="24"/>
      <c r="D876" s="25"/>
    </row>
    <row r="877">
      <c r="C877" s="24"/>
      <c r="D877" s="25"/>
    </row>
    <row r="878">
      <c r="C878" s="24"/>
      <c r="D878" s="25"/>
    </row>
    <row r="879">
      <c r="C879" s="24"/>
      <c r="D879" s="25"/>
    </row>
    <row r="880">
      <c r="C880" s="24"/>
      <c r="D880" s="25"/>
    </row>
    <row r="881">
      <c r="C881" s="24"/>
      <c r="D881" s="25"/>
    </row>
    <row r="882">
      <c r="C882" s="24"/>
      <c r="D882" s="25"/>
    </row>
    <row r="883">
      <c r="C883" s="24"/>
      <c r="D883" s="25"/>
    </row>
    <row r="884">
      <c r="C884" s="24"/>
      <c r="D884" s="25"/>
    </row>
    <row r="885">
      <c r="C885" s="24"/>
      <c r="D885" s="25"/>
    </row>
    <row r="886">
      <c r="C886" s="24"/>
      <c r="D886" s="25"/>
    </row>
    <row r="887">
      <c r="C887" s="24"/>
      <c r="D887" s="25"/>
    </row>
    <row r="888">
      <c r="C888" s="24"/>
      <c r="D888" s="25"/>
    </row>
    <row r="889">
      <c r="C889" s="24"/>
      <c r="D889" s="25"/>
    </row>
    <row r="890">
      <c r="C890" s="24"/>
      <c r="D890" s="25"/>
    </row>
    <row r="891">
      <c r="C891" s="24"/>
      <c r="D891" s="25"/>
    </row>
    <row r="892">
      <c r="C892" s="24"/>
      <c r="D892" s="25"/>
    </row>
    <row r="893">
      <c r="C893" s="24"/>
      <c r="D893" s="25"/>
    </row>
    <row r="894">
      <c r="C894" s="24"/>
      <c r="D894" s="25"/>
    </row>
    <row r="895">
      <c r="C895" s="24"/>
      <c r="D895" s="25"/>
    </row>
    <row r="896">
      <c r="C896" s="24"/>
      <c r="D896" s="25"/>
    </row>
    <row r="897">
      <c r="C897" s="24"/>
      <c r="D897" s="25"/>
    </row>
    <row r="898">
      <c r="C898" s="24"/>
      <c r="D898" s="25"/>
    </row>
    <row r="899">
      <c r="C899" s="24"/>
      <c r="D899" s="25"/>
    </row>
    <row r="900">
      <c r="C900" s="24"/>
      <c r="D900" s="25"/>
    </row>
    <row r="901">
      <c r="C901" s="24"/>
      <c r="D901" s="25"/>
    </row>
    <row r="902">
      <c r="C902" s="24"/>
      <c r="D902" s="25"/>
    </row>
    <row r="903">
      <c r="C903" s="24"/>
      <c r="D903" s="25"/>
    </row>
    <row r="904">
      <c r="C904" s="24"/>
      <c r="D904" s="25"/>
    </row>
    <row r="905">
      <c r="C905" s="24"/>
      <c r="D905" s="25"/>
    </row>
    <row r="906">
      <c r="C906" s="24"/>
      <c r="D906" s="25"/>
    </row>
    <row r="907">
      <c r="C907" s="24"/>
      <c r="D907" s="25"/>
    </row>
    <row r="908">
      <c r="C908" s="24"/>
      <c r="D908" s="25"/>
    </row>
    <row r="909">
      <c r="C909" s="24"/>
      <c r="D909" s="25"/>
    </row>
    <row r="910">
      <c r="C910" s="24"/>
      <c r="D910" s="25"/>
    </row>
    <row r="911">
      <c r="C911" s="24"/>
      <c r="D911" s="25"/>
    </row>
    <row r="912">
      <c r="C912" s="24"/>
      <c r="D912" s="25"/>
    </row>
    <row r="913">
      <c r="C913" s="24"/>
      <c r="D913" s="25"/>
    </row>
    <row r="914">
      <c r="C914" s="24"/>
      <c r="D914" s="25"/>
    </row>
    <row r="915">
      <c r="C915" s="24"/>
      <c r="D915" s="25"/>
    </row>
    <row r="916">
      <c r="C916" s="24"/>
      <c r="D916" s="25"/>
    </row>
    <row r="917">
      <c r="C917" s="24"/>
      <c r="D917" s="25"/>
    </row>
    <row r="918">
      <c r="C918" s="24"/>
      <c r="D918" s="25"/>
    </row>
    <row r="919">
      <c r="C919" s="24"/>
      <c r="D919" s="25"/>
    </row>
    <row r="920">
      <c r="C920" s="24"/>
      <c r="D920" s="25"/>
    </row>
    <row r="921">
      <c r="C921" s="24"/>
      <c r="D921" s="25"/>
    </row>
    <row r="922">
      <c r="C922" s="24"/>
      <c r="D922" s="25"/>
    </row>
    <row r="923">
      <c r="C923" s="24"/>
      <c r="D923" s="25"/>
    </row>
    <row r="924">
      <c r="C924" s="24"/>
      <c r="D924" s="25"/>
    </row>
    <row r="925">
      <c r="C925" s="24"/>
      <c r="D925" s="25"/>
    </row>
    <row r="926">
      <c r="C926" s="24"/>
      <c r="D926" s="25"/>
    </row>
    <row r="927">
      <c r="C927" s="24"/>
      <c r="D927" s="25"/>
    </row>
    <row r="928">
      <c r="C928" s="24"/>
      <c r="D928" s="25"/>
    </row>
    <row r="929">
      <c r="C929" s="24"/>
      <c r="D929" s="25"/>
    </row>
    <row r="930">
      <c r="C930" s="24"/>
      <c r="D930" s="25"/>
    </row>
    <row r="931">
      <c r="C931" s="24"/>
      <c r="D931" s="25"/>
    </row>
    <row r="932">
      <c r="C932" s="24"/>
      <c r="D932" s="25"/>
    </row>
    <row r="933">
      <c r="C933" s="24"/>
      <c r="D933" s="25"/>
    </row>
    <row r="934">
      <c r="C934" s="24"/>
      <c r="D934" s="25"/>
    </row>
    <row r="935">
      <c r="C935" s="24"/>
      <c r="D935" s="25"/>
    </row>
    <row r="936">
      <c r="C936" s="24"/>
      <c r="D936" s="25"/>
    </row>
    <row r="937">
      <c r="C937" s="24"/>
      <c r="D937" s="25"/>
    </row>
    <row r="938">
      <c r="C938" s="24"/>
      <c r="D938" s="25"/>
    </row>
    <row r="939">
      <c r="C939" s="24"/>
      <c r="D939" s="25"/>
    </row>
    <row r="940">
      <c r="C940" s="24"/>
      <c r="D940" s="25"/>
    </row>
    <row r="941">
      <c r="C941" s="24"/>
      <c r="D941" s="25"/>
    </row>
    <row r="942">
      <c r="C942" s="24"/>
      <c r="D942" s="25"/>
    </row>
    <row r="943">
      <c r="C943" s="24"/>
      <c r="D943" s="25"/>
    </row>
    <row r="944">
      <c r="C944" s="24"/>
      <c r="D944" s="25"/>
    </row>
    <row r="945">
      <c r="C945" s="24"/>
      <c r="D945" s="25"/>
    </row>
    <row r="946">
      <c r="C946" s="24"/>
      <c r="D946" s="25"/>
    </row>
    <row r="947">
      <c r="C947" s="24"/>
      <c r="D947" s="25"/>
    </row>
    <row r="948">
      <c r="C948" s="24"/>
      <c r="D948" s="25"/>
    </row>
    <row r="949">
      <c r="C949" s="24"/>
      <c r="D949" s="25"/>
    </row>
    <row r="950">
      <c r="C950" s="24"/>
      <c r="D950" s="25"/>
    </row>
    <row r="951">
      <c r="C951" s="24"/>
      <c r="D951" s="25"/>
    </row>
    <row r="952">
      <c r="C952" s="24"/>
      <c r="D952" s="25"/>
    </row>
    <row r="953">
      <c r="C953" s="24"/>
      <c r="D953" s="25"/>
    </row>
    <row r="954">
      <c r="C954" s="24"/>
      <c r="D954" s="25"/>
    </row>
    <row r="955">
      <c r="C955" s="24"/>
      <c r="D955" s="25"/>
    </row>
    <row r="956">
      <c r="C956" s="24"/>
      <c r="D956" s="25"/>
    </row>
    <row r="957">
      <c r="C957" s="24"/>
      <c r="D957" s="25"/>
    </row>
    <row r="958">
      <c r="C958" s="24"/>
      <c r="D958" s="25"/>
    </row>
    <row r="959">
      <c r="C959" s="24"/>
      <c r="D959" s="25"/>
    </row>
    <row r="960">
      <c r="C960" s="24"/>
      <c r="D960" s="25"/>
    </row>
    <row r="961">
      <c r="C961" s="24"/>
      <c r="D961" s="25"/>
    </row>
    <row r="962">
      <c r="C962" s="24"/>
      <c r="D962" s="25"/>
    </row>
    <row r="963">
      <c r="C963" s="24"/>
      <c r="D963" s="25"/>
    </row>
    <row r="964">
      <c r="C964" s="24"/>
      <c r="D964" s="25"/>
    </row>
    <row r="965">
      <c r="C965" s="24"/>
      <c r="D965" s="25"/>
    </row>
    <row r="966">
      <c r="C966" s="24"/>
      <c r="D966" s="25"/>
    </row>
    <row r="967">
      <c r="C967" s="24"/>
      <c r="D967" s="25"/>
    </row>
    <row r="968">
      <c r="C968" s="24"/>
      <c r="D968" s="25"/>
    </row>
    <row r="969">
      <c r="C969" s="24"/>
      <c r="D969" s="25"/>
    </row>
    <row r="970">
      <c r="C970" s="24"/>
      <c r="D970" s="25"/>
    </row>
    <row r="971">
      <c r="C971" s="24"/>
      <c r="D971" s="25"/>
    </row>
    <row r="972">
      <c r="C972" s="24"/>
      <c r="D972" s="25"/>
    </row>
    <row r="973">
      <c r="C973" s="24"/>
      <c r="D973" s="25"/>
    </row>
    <row r="974">
      <c r="C974" s="24"/>
      <c r="D974" s="25"/>
    </row>
    <row r="975">
      <c r="C975" s="24"/>
      <c r="D975" s="25"/>
    </row>
    <row r="976">
      <c r="C976" s="24"/>
      <c r="D976" s="25"/>
    </row>
    <row r="977">
      <c r="C977" s="24"/>
      <c r="D977" s="25"/>
    </row>
    <row r="978">
      <c r="C978" s="24"/>
      <c r="D978" s="25"/>
    </row>
    <row r="979">
      <c r="C979" s="24"/>
      <c r="D979" s="25"/>
    </row>
    <row r="980">
      <c r="C980" s="24"/>
      <c r="D980" s="25"/>
    </row>
    <row r="981">
      <c r="C981" s="24"/>
      <c r="D981" s="25"/>
    </row>
    <row r="982">
      <c r="C982" s="24"/>
      <c r="D982" s="25"/>
    </row>
    <row r="983">
      <c r="C983" s="24"/>
      <c r="D983" s="25"/>
    </row>
    <row r="984">
      <c r="C984" s="24"/>
      <c r="D984" s="25"/>
    </row>
    <row r="985">
      <c r="C985" s="24"/>
      <c r="D985" s="25"/>
    </row>
    <row r="986">
      <c r="C986" s="24"/>
      <c r="D986" s="25"/>
    </row>
    <row r="987">
      <c r="C987" s="24"/>
      <c r="D987" s="25"/>
    </row>
    <row r="988">
      <c r="C988" s="24"/>
      <c r="D988" s="25"/>
    </row>
    <row r="989">
      <c r="C989" s="24"/>
      <c r="D989" s="25"/>
    </row>
    <row r="990">
      <c r="C990" s="24"/>
      <c r="D990" s="25"/>
    </row>
    <row r="991">
      <c r="C991" s="24"/>
      <c r="D991" s="25"/>
    </row>
    <row r="992">
      <c r="C992" s="24"/>
      <c r="D992" s="25"/>
    </row>
    <row r="993">
      <c r="C993" s="24"/>
      <c r="D993" s="25"/>
    </row>
    <row r="994">
      <c r="C994" s="24"/>
      <c r="D994" s="25"/>
    </row>
    <row r="995">
      <c r="C995" s="24"/>
      <c r="D995" s="25"/>
    </row>
    <row r="996">
      <c r="C996" s="24"/>
      <c r="D996" s="25"/>
    </row>
    <row r="997">
      <c r="C997" s="24"/>
      <c r="D997" s="25"/>
    </row>
    <row r="998">
      <c r="C998" s="24"/>
      <c r="D998" s="25"/>
    </row>
    <row r="999">
      <c r="C999" s="24"/>
      <c r="D999" s="25"/>
    </row>
    <row r="1000">
      <c r="C1000" s="24"/>
      <c r="D1000" s="25"/>
    </row>
  </sheetData>
  <dataValidations>
    <dataValidation type="list" allowBlank="1" showErrorMessage="1" sqref="D2:D101">
      <formula1>"TO DO,SDG 7,NOT SDG 7,SKIP"</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02.63"/>
    <col customWidth="1" min="4" max="4" width="19.75"/>
    <col customWidth="1" min="5" max="5" width="60.63"/>
  </cols>
  <sheetData>
    <row r="1">
      <c r="A1" s="26" t="s">
        <v>78</v>
      </c>
      <c r="B1" s="18" t="s">
        <v>79</v>
      </c>
      <c r="C1" s="19" t="s">
        <v>80</v>
      </c>
      <c r="D1" s="20" t="s">
        <v>81</v>
      </c>
      <c r="E1" s="13" t="s">
        <v>82</v>
      </c>
    </row>
    <row r="2">
      <c r="A2" s="21" t="s">
        <v>276</v>
      </c>
      <c r="B2" s="21" t="s">
        <v>301</v>
      </c>
      <c r="C2" s="22" t="s">
        <v>302</v>
      </c>
      <c r="D2" s="23" t="s">
        <v>12</v>
      </c>
    </row>
    <row r="3">
      <c r="A3" s="21" t="s">
        <v>93</v>
      </c>
      <c r="B3" s="21" t="s">
        <v>311</v>
      </c>
      <c r="C3" s="22" t="s">
        <v>312</v>
      </c>
      <c r="D3" s="23" t="s">
        <v>12</v>
      </c>
    </row>
    <row r="4">
      <c r="A4" s="21" t="s">
        <v>265</v>
      </c>
      <c r="B4" s="21" t="s">
        <v>266</v>
      </c>
      <c r="C4" s="22" t="s">
        <v>267</v>
      </c>
      <c r="D4" s="23" t="s">
        <v>12</v>
      </c>
    </row>
    <row r="5">
      <c r="A5" s="21" t="s">
        <v>99</v>
      </c>
      <c r="B5" s="21" t="s">
        <v>284</v>
      </c>
      <c r="C5" s="22" t="s">
        <v>285</v>
      </c>
      <c r="D5" s="23" t="s">
        <v>12</v>
      </c>
    </row>
    <row r="6">
      <c r="A6" s="21" t="s">
        <v>308</v>
      </c>
      <c r="B6" s="21" t="s">
        <v>309</v>
      </c>
      <c r="C6" s="22" t="s">
        <v>310</v>
      </c>
      <c r="D6" s="23" t="s">
        <v>12</v>
      </c>
    </row>
    <row r="7">
      <c r="A7" s="21" t="s">
        <v>158</v>
      </c>
      <c r="B7" s="21" t="s">
        <v>318</v>
      </c>
      <c r="C7" s="22" t="s">
        <v>319</v>
      </c>
      <c r="D7" s="23" t="s">
        <v>14</v>
      </c>
    </row>
    <row r="8">
      <c r="A8" s="21" t="s">
        <v>289</v>
      </c>
      <c r="B8" s="21" t="s">
        <v>290</v>
      </c>
      <c r="C8" s="22" t="s">
        <v>291</v>
      </c>
      <c r="D8" s="23" t="s">
        <v>14</v>
      </c>
    </row>
    <row r="9">
      <c r="A9" s="21" t="s">
        <v>294</v>
      </c>
      <c r="B9" s="21" t="s">
        <v>295</v>
      </c>
      <c r="C9" s="22" t="s">
        <v>296</v>
      </c>
      <c r="D9" s="23" t="s">
        <v>12</v>
      </c>
    </row>
    <row r="10">
      <c r="A10" s="21" t="s">
        <v>108</v>
      </c>
      <c r="B10" s="21" t="s">
        <v>109</v>
      </c>
      <c r="C10" s="22" t="s">
        <v>110</v>
      </c>
      <c r="D10" s="23" t="s">
        <v>12</v>
      </c>
    </row>
    <row r="11">
      <c r="A11" s="21" t="s">
        <v>87</v>
      </c>
      <c r="B11" s="21" t="s">
        <v>258</v>
      </c>
      <c r="C11" s="22" t="s">
        <v>259</v>
      </c>
      <c r="D11" s="23" t="s">
        <v>14</v>
      </c>
    </row>
    <row r="12">
      <c r="A12" s="21" t="s">
        <v>114</v>
      </c>
      <c r="B12" s="21" t="s">
        <v>167</v>
      </c>
      <c r="C12" s="22" t="s">
        <v>168</v>
      </c>
      <c r="D12" s="23" t="s">
        <v>12</v>
      </c>
    </row>
    <row r="13">
      <c r="A13" s="21" t="s">
        <v>189</v>
      </c>
      <c r="B13" s="21" t="s">
        <v>190</v>
      </c>
      <c r="C13" s="22" t="s">
        <v>191</v>
      </c>
      <c r="D13" s="23" t="s">
        <v>14</v>
      </c>
    </row>
    <row r="14">
      <c r="A14" s="21" t="s">
        <v>124</v>
      </c>
      <c r="B14" s="21" t="s">
        <v>303</v>
      </c>
      <c r="C14" s="22" t="s">
        <v>304</v>
      </c>
      <c r="D14" s="23" t="s">
        <v>14</v>
      </c>
    </row>
    <row r="15">
      <c r="A15" s="21" t="s">
        <v>197</v>
      </c>
      <c r="B15" s="21" t="s">
        <v>198</v>
      </c>
      <c r="C15" s="22" t="s">
        <v>199</v>
      </c>
      <c r="D15" s="23" t="s">
        <v>14</v>
      </c>
    </row>
    <row r="16">
      <c r="A16" s="21" t="s">
        <v>220</v>
      </c>
      <c r="B16" s="21" t="s">
        <v>221</v>
      </c>
      <c r="C16" s="22" t="s">
        <v>222</v>
      </c>
      <c r="D16" s="23" t="s">
        <v>12</v>
      </c>
    </row>
    <row r="17">
      <c r="A17" s="21" t="s">
        <v>146</v>
      </c>
      <c r="B17" s="21" t="s">
        <v>147</v>
      </c>
      <c r="C17" s="22" t="s">
        <v>148</v>
      </c>
      <c r="D17" s="23" t="s">
        <v>14</v>
      </c>
    </row>
    <row r="18">
      <c r="A18" s="21" t="s">
        <v>96</v>
      </c>
      <c r="B18" s="21" t="s">
        <v>97</v>
      </c>
      <c r="C18" s="22" t="s">
        <v>98</v>
      </c>
      <c r="D18" s="23" t="s">
        <v>14</v>
      </c>
    </row>
    <row r="19">
      <c r="A19" s="21" t="s">
        <v>164</v>
      </c>
      <c r="B19" s="21" t="s">
        <v>274</v>
      </c>
      <c r="C19" s="22" t="s">
        <v>275</v>
      </c>
      <c r="D19" s="23" t="s">
        <v>14</v>
      </c>
    </row>
    <row r="20">
      <c r="A20" s="21" t="s">
        <v>313</v>
      </c>
      <c r="B20" s="21" t="s">
        <v>314</v>
      </c>
      <c r="C20" s="22" t="s">
        <v>315</v>
      </c>
      <c r="D20" s="23" t="s">
        <v>14</v>
      </c>
    </row>
    <row r="21">
      <c r="A21" s="21" t="s">
        <v>320</v>
      </c>
      <c r="B21" s="21" t="s">
        <v>321</v>
      </c>
      <c r="C21" s="22" t="s">
        <v>322</v>
      </c>
      <c r="D21" s="23" t="s">
        <v>12</v>
      </c>
    </row>
    <row r="22">
      <c r="A22" s="21" t="s">
        <v>102</v>
      </c>
      <c r="B22" s="21" t="s">
        <v>103</v>
      </c>
      <c r="C22" s="22" t="s">
        <v>104</v>
      </c>
      <c r="D22" s="23" t="s">
        <v>14</v>
      </c>
    </row>
    <row r="23">
      <c r="A23" s="21" t="s">
        <v>124</v>
      </c>
      <c r="B23" s="21" t="s">
        <v>125</v>
      </c>
      <c r="C23" s="22" t="s">
        <v>126</v>
      </c>
      <c r="D23" s="23" t="s">
        <v>14</v>
      </c>
    </row>
    <row r="24">
      <c r="A24" s="21" t="s">
        <v>192</v>
      </c>
      <c r="B24" s="21" t="s">
        <v>193</v>
      </c>
      <c r="C24" s="22" t="s">
        <v>194</v>
      </c>
      <c r="D24" s="23" t="s">
        <v>12</v>
      </c>
    </row>
    <row r="25">
      <c r="A25" s="21" t="s">
        <v>328</v>
      </c>
      <c r="B25" s="21" t="s">
        <v>329</v>
      </c>
      <c r="C25" s="22" t="s">
        <v>330</v>
      </c>
      <c r="D25" s="23" t="s">
        <v>12</v>
      </c>
    </row>
    <row r="26">
      <c r="A26" s="21" t="s">
        <v>294</v>
      </c>
      <c r="B26" s="21" t="s">
        <v>297</v>
      </c>
      <c r="C26" s="22" t="s">
        <v>298</v>
      </c>
      <c r="D26" s="23" t="s">
        <v>12</v>
      </c>
    </row>
    <row r="27">
      <c r="A27" s="21" t="s">
        <v>169</v>
      </c>
      <c r="B27" s="21" t="s">
        <v>170</v>
      </c>
      <c r="C27" s="22" t="s">
        <v>171</v>
      </c>
      <c r="D27" s="23" t="s">
        <v>12</v>
      </c>
    </row>
    <row r="28">
      <c r="A28" s="21" t="s">
        <v>242</v>
      </c>
      <c r="B28" s="21" t="s">
        <v>243</v>
      </c>
      <c r="C28" s="22" t="s">
        <v>244</v>
      </c>
      <c r="D28" s="23" t="s">
        <v>12</v>
      </c>
    </row>
    <row r="29">
      <c r="A29" s="21" t="s">
        <v>83</v>
      </c>
      <c r="B29" s="21" t="s">
        <v>247</v>
      </c>
      <c r="C29" s="22" t="s">
        <v>248</v>
      </c>
      <c r="D29" s="23" t="s">
        <v>14</v>
      </c>
    </row>
    <row r="30">
      <c r="A30" s="21" t="s">
        <v>124</v>
      </c>
      <c r="B30" s="21" t="s">
        <v>249</v>
      </c>
      <c r="C30" s="22" t="s">
        <v>250</v>
      </c>
      <c r="D30" s="23" t="s">
        <v>14</v>
      </c>
    </row>
    <row r="31">
      <c r="A31" s="21" t="s">
        <v>155</v>
      </c>
      <c r="B31" s="21" t="s">
        <v>156</v>
      </c>
      <c r="C31" s="22" t="s">
        <v>157</v>
      </c>
      <c r="D31" s="23" t="s">
        <v>12</v>
      </c>
    </row>
    <row r="32">
      <c r="A32" s="21" t="s">
        <v>102</v>
      </c>
      <c r="B32" s="21" t="s">
        <v>172</v>
      </c>
      <c r="C32" s="22" t="s">
        <v>173</v>
      </c>
      <c r="D32" s="23" t="s">
        <v>12</v>
      </c>
    </row>
    <row r="33">
      <c r="A33" s="21" t="s">
        <v>276</v>
      </c>
      <c r="B33" s="21" t="s">
        <v>277</v>
      </c>
      <c r="C33" s="22" t="s">
        <v>278</v>
      </c>
      <c r="D33" s="23" t="s">
        <v>12</v>
      </c>
    </row>
    <row r="34">
      <c r="A34" s="21" t="s">
        <v>99</v>
      </c>
      <c r="B34" s="21" t="s">
        <v>208</v>
      </c>
      <c r="C34" s="22" t="s">
        <v>209</v>
      </c>
      <c r="D34" s="23" t="s">
        <v>12</v>
      </c>
    </row>
    <row r="35">
      <c r="A35" s="21" t="s">
        <v>87</v>
      </c>
      <c r="B35" s="21" t="s">
        <v>253</v>
      </c>
      <c r="C35" s="22" t="s">
        <v>254</v>
      </c>
      <c r="D35" s="23" t="s">
        <v>14</v>
      </c>
    </row>
    <row r="36">
      <c r="A36" s="21" t="s">
        <v>137</v>
      </c>
      <c r="B36" s="21" t="s">
        <v>195</v>
      </c>
      <c r="C36" s="22" t="s">
        <v>196</v>
      </c>
      <c r="D36" s="23" t="s">
        <v>12</v>
      </c>
    </row>
    <row r="37">
      <c r="A37" s="21" t="s">
        <v>105</v>
      </c>
      <c r="B37" s="21" t="s">
        <v>240</v>
      </c>
      <c r="C37" s="22" t="s">
        <v>241</v>
      </c>
      <c r="D37" s="23" t="s">
        <v>12</v>
      </c>
    </row>
    <row r="38">
      <c r="A38" s="21" t="s">
        <v>149</v>
      </c>
      <c r="B38" s="21" t="s">
        <v>316</v>
      </c>
      <c r="C38" s="22" t="s">
        <v>317</v>
      </c>
      <c r="D38" s="23" t="s">
        <v>14</v>
      </c>
    </row>
    <row r="39">
      <c r="A39" s="21" t="s">
        <v>182</v>
      </c>
      <c r="B39" s="21" t="s">
        <v>183</v>
      </c>
      <c r="C39" s="22" t="s">
        <v>184</v>
      </c>
      <c r="D39" s="23" t="s">
        <v>14</v>
      </c>
    </row>
    <row r="40">
      <c r="A40" s="21" t="s">
        <v>223</v>
      </c>
      <c r="B40" s="21" t="s">
        <v>224</v>
      </c>
      <c r="C40" s="22" t="s">
        <v>225</v>
      </c>
      <c r="D40" s="23" t="s">
        <v>12</v>
      </c>
    </row>
    <row r="41">
      <c r="A41" s="21" t="s">
        <v>137</v>
      </c>
      <c r="B41" s="21" t="s">
        <v>292</v>
      </c>
      <c r="C41" s="22" t="s">
        <v>293</v>
      </c>
      <c r="D41" s="23" t="s">
        <v>12</v>
      </c>
    </row>
    <row r="42">
      <c r="A42" s="21" t="s">
        <v>229</v>
      </c>
      <c r="B42" s="21" t="s">
        <v>235</v>
      </c>
      <c r="C42" s="22" t="s">
        <v>236</v>
      </c>
      <c r="D42" s="23" t="s">
        <v>12</v>
      </c>
    </row>
    <row r="43">
      <c r="A43" s="21" t="s">
        <v>255</v>
      </c>
      <c r="B43" s="21" t="s">
        <v>256</v>
      </c>
      <c r="C43" s="22" t="s">
        <v>257</v>
      </c>
      <c r="D43" s="23" t="s">
        <v>12</v>
      </c>
    </row>
    <row r="44">
      <c r="A44" s="21" t="s">
        <v>203</v>
      </c>
      <c r="B44" s="21" t="s">
        <v>251</v>
      </c>
      <c r="C44" s="22" t="s">
        <v>252</v>
      </c>
      <c r="D44" s="23" t="s">
        <v>12</v>
      </c>
    </row>
    <row r="45">
      <c r="A45" s="21" t="s">
        <v>305</v>
      </c>
      <c r="B45" s="21" t="s">
        <v>306</v>
      </c>
      <c r="C45" s="22" t="s">
        <v>307</v>
      </c>
      <c r="D45" s="23" t="s">
        <v>12</v>
      </c>
    </row>
    <row r="46">
      <c r="A46" s="21" t="s">
        <v>174</v>
      </c>
      <c r="B46" s="21" t="s">
        <v>175</v>
      </c>
      <c r="C46" s="22" t="s">
        <v>176</v>
      </c>
      <c r="D46" s="23" t="s">
        <v>12</v>
      </c>
    </row>
    <row r="47">
      <c r="A47" s="21" t="s">
        <v>87</v>
      </c>
      <c r="B47" s="21" t="s">
        <v>88</v>
      </c>
      <c r="C47" s="22" t="s">
        <v>89</v>
      </c>
      <c r="D47" s="23" t="s">
        <v>14</v>
      </c>
    </row>
    <row r="48">
      <c r="A48" s="21" t="s">
        <v>140</v>
      </c>
      <c r="B48" s="21" t="s">
        <v>141</v>
      </c>
      <c r="C48" s="22" t="s">
        <v>142</v>
      </c>
      <c r="D48" s="23" t="s">
        <v>12</v>
      </c>
    </row>
    <row r="49">
      <c r="A49" s="21" t="s">
        <v>146</v>
      </c>
      <c r="B49" s="21" t="s">
        <v>336</v>
      </c>
      <c r="C49" s="22" t="s">
        <v>337</v>
      </c>
      <c r="D49" s="23" t="s">
        <v>14</v>
      </c>
    </row>
    <row r="50">
      <c r="A50" s="21" t="s">
        <v>325</v>
      </c>
      <c r="B50" s="21" t="s">
        <v>326</v>
      </c>
      <c r="C50" s="22" t="s">
        <v>327</v>
      </c>
      <c r="D50" s="23" t="s">
        <v>12</v>
      </c>
    </row>
    <row r="51">
      <c r="A51" s="21" t="s">
        <v>226</v>
      </c>
      <c r="B51" s="21" t="s">
        <v>227</v>
      </c>
      <c r="C51" s="22" t="s">
        <v>228</v>
      </c>
      <c r="D51" s="23" t="s">
        <v>12</v>
      </c>
    </row>
    <row r="52">
      <c r="A52" s="21" t="s">
        <v>102</v>
      </c>
      <c r="B52" s="21" t="s">
        <v>272</v>
      </c>
      <c r="C52" s="22" t="s">
        <v>273</v>
      </c>
      <c r="D52" s="23" t="s">
        <v>12</v>
      </c>
    </row>
    <row r="53">
      <c r="A53" s="21" t="s">
        <v>127</v>
      </c>
      <c r="B53" s="21" t="s">
        <v>128</v>
      </c>
      <c r="C53" s="22" t="s">
        <v>129</v>
      </c>
      <c r="D53" s="23" t="s">
        <v>14</v>
      </c>
    </row>
    <row r="54">
      <c r="A54" s="21" t="s">
        <v>177</v>
      </c>
      <c r="B54" s="21" t="s">
        <v>187</v>
      </c>
      <c r="C54" s="22" t="s">
        <v>188</v>
      </c>
      <c r="D54" s="23" t="s">
        <v>14</v>
      </c>
    </row>
    <row r="55">
      <c r="A55" s="21" t="s">
        <v>203</v>
      </c>
      <c r="B55" s="21" t="s">
        <v>260</v>
      </c>
      <c r="C55" s="22" t="s">
        <v>261</v>
      </c>
      <c r="D55" s="23" t="s">
        <v>14</v>
      </c>
    </row>
    <row r="56">
      <c r="A56" s="21" t="s">
        <v>215</v>
      </c>
      <c r="B56" s="21" t="s">
        <v>216</v>
      </c>
      <c r="C56" s="22" t="s">
        <v>217</v>
      </c>
      <c r="D56" s="23" t="s">
        <v>12</v>
      </c>
    </row>
    <row r="57">
      <c r="A57" s="21" t="s">
        <v>164</v>
      </c>
      <c r="B57" s="21" t="s">
        <v>165</v>
      </c>
      <c r="C57" s="22" t="s">
        <v>166</v>
      </c>
      <c r="D57" s="23" t="s">
        <v>14</v>
      </c>
    </row>
    <row r="58">
      <c r="A58" s="21" t="s">
        <v>87</v>
      </c>
      <c r="B58" s="21" t="s">
        <v>132</v>
      </c>
      <c r="C58" s="22" t="s">
        <v>133</v>
      </c>
      <c r="D58" s="23" t="s">
        <v>14</v>
      </c>
    </row>
    <row r="59">
      <c r="A59" s="21" t="s">
        <v>111</v>
      </c>
      <c r="B59" s="21" t="s">
        <v>112</v>
      </c>
      <c r="C59" s="22" t="s">
        <v>113</v>
      </c>
      <c r="D59" s="23" t="s">
        <v>12</v>
      </c>
    </row>
    <row r="60">
      <c r="A60" s="21" t="s">
        <v>105</v>
      </c>
      <c r="B60" s="21" t="s">
        <v>117</v>
      </c>
      <c r="C60" s="22" t="s">
        <v>118</v>
      </c>
      <c r="D60" s="23" t="s">
        <v>14</v>
      </c>
    </row>
    <row r="61">
      <c r="A61" s="21" t="s">
        <v>93</v>
      </c>
      <c r="B61" s="21" t="s">
        <v>245</v>
      </c>
      <c r="C61" s="22" t="s">
        <v>246</v>
      </c>
      <c r="D61" s="23" t="s">
        <v>12</v>
      </c>
    </row>
    <row r="62">
      <c r="A62" s="21" t="s">
        <v>119</v>
      </c>
      <c r="B62" s="21" t="s">
        <v>120</v>
      </c>
      <c r="C62" s="22" t="s">
        <v>121</v>
      </c>
      <c r="D62" s="23" t="s">
        <v>12</v>
      </c>
    </row>
    <row r="63">
      <c r="A63" s="21" t="s">
        <v>124</v>
      </c>
      <c r="B63" s="21" t="s">
        <v>279</v>
      </c>
      <c r="C63" s="22" t="s">
        <v>280</v>
      </c>
      <c r="D63" s="23" t="s">
        <v>14</v>
      </c>
    </row>
    <row r="64">
      <c r="A64" s="21" t="s">
        <v>286</v>
      </c>
      <c r="B64" s="21" t="s">
        <v>287</v>
      </c>
      <c r="C64" s="22" t="s">
        <v>288</v>
      </c>
      <c r="D64" s="23" t="s">
        <v>12</v>
      </c>
    </row>
    <row r="65">
      <c r="A65" s="21" t="s">
        <v>333</v>
      </c>
      <c r="B65" s="21" t="s">
        <v>334</v>
      </c>
      <c r="C65" s="22" t="s">
        <v>335</v>
      </c>
      <c r="D65" s="23" t="s">
        <v>12</v>
      </c>
    </row>
    <row r="66">
      <c r="A66" s="21" t="s">
        <v>143</v>
      </c>
      <c r="B66" s="21" t="s">
        <v>180</v>
      </c>
      <c r="C66" s="22" t="s">
        <v>181</v>
      </c>
      <c r="D66" s="23" t="s">
        <v>14</v>
      </c>
    </row>
    <row r="67">
      <c r="A67" s="21" t="s">
        <v>232</v>
      </c>
      <c r="B67" s="21" t="s">
        <v>233</v>
      </c>
      <c r="C67" s="22" t="s">
        <v>234</v>
      </c>
      <c r="D67" s="23" t="s">
        <v>12</v>
      </c>
    </row>
    <row r="68">
      <c r="A68" s="21" t="s">
        <v>99</v>
      </c>
      <c r="B68" s="21" t="s">
        <v>206</v>
      </c>
      <c r="C68" s="22" t="s">
        <v>207</v>
      </c>
      <c r="D68" s="23" t="s">
        <v>12</v>
      </c>
    </row>
    <row r="69">
      <c r="A69" s="21" t="s">
        <v>137</v>
      </c>
      <c r="B69" s="21" t="s">
        <v>138</v>
      </c>
      <c r="C69" s="22" t="s">
        <v>139</v>
      </c>
      <c r="D69" s="23" t="s">
        <v>14</v>
      </c>
    </row>
    <row r="70">
      <c r="A70" s="21" t="s">
        <v>83</v>
      </c>
      <c r="B70" s="21" t="s">
        <v>270</v>
      </c>
      <c r="C70" s="22" t="s">
        <v>271</v>
      </c>
      <c r="D70" s="23" t="s">
        <v>14</v>
      </c>
    </row>
    <row r="71">
      <c r="A71" s="21" t="s">
        <v>164</v>
      </c>
      <c r="B71" s="21" t="s">
        <v>331</v>
      </c>
      <c r="C71" s="22" t="s">
        <v>332</v>
      </c>
      <c r="D71" s="23" t="s">
        <v>14</v>
      </c>
    </row>
    <row r="72">
      <c r="A72" s="21" t="s">
        <v>281</v>
      </c>
      <c r="B72" s="21" t="s">
        <v>282</v>
      </c>
      <c r="C72" s="22" t="s">
        <v>283</v>
      </c>
      <c r="D72" s="23" t="s">
        <v>14</v>
      </c>
    </row>
    <row r="73">
      <c r="A73" s="21" t="s">
        <v>90</v>
      </c>
      <c r="B73" s="21" t="s">
        <v>122</v>
      </c>
      <c r="C73" s="22" t="s">
        <v>123</v>
      </c>
      <c r="D73" s="23" t="s">
        <v>14</v>
      </c>
    </row>
    <row r="74">
      <c r="A74" s="21" t="s">
        <v>177</v>
      </c>
      <c r="B74" s="21" t="s">
        <v>178</v>
      </c>
      <c r="C74" s="22" t="s">
        <v>179</v>
      </c>
      <c r="D74" s="23" t="s">
        <v>14</v>
      </c>
    </row>
    <row r="75">
      <c r="A75" s="21" t="s">
        <v>212</v>
      </c>
      <c r="B75" s="21" t="s">
        <v>213</v>
      </c>
      <c r="C75" s="22" t="s">
        <v>214</v>
      </c>
      <c r="D75" s="23" t="s">
        <v>12</v>
      </c>
    </row>
    <row r="76">
      <c r="A76" s="21" t="s">
        <v>158</v>
      </c>
      <c r="B76" s="21" t="s">
        <v>185</v>
      </c>
      <c r="C76" s="22" t="s">
        <v>186</v>
      </c>
      <c r="D76" s="23" t="s">
        <v>14</v>
      </c>
    </row>
    <row r="77">
      <c r="A77" s="21" t="s">
        <v>174</v>
      </c>
      <c r="B77" s="21" t="s">
        <v>218</v>
      </c>
      <c r="C77" s="22" t="s">
        <v>219</v>
      </c>
      <c r="D77" s="23" t="s">
        <v>14</v>
      </c>
    </row>
    <row r="78">
      <c r="A78" s="21" t="s">
        <v>105</v>
      </c>
      <c r="B78" s="21" t="s">
        <v>106</v>
      </c>
      <c r="C78" s="22" t="s">
        <v>107</v>
      </c>
      <c r="D78" s="23" t="s">
        <v>12</v>
      </c>
    </row>
    <row r="79">
      <c r="A79" s="21" t="s">
        <v>262</v>
      </c>
      <c r="B79" s="21" t="s">
        <v>263</v>
      </c>
      <c r="C79" s="22" t="s">
        <v>264</v>
      </c>
      <c r="D79" s="23" t="s">
        <v>12</v>
      </c>
    </row>
    <row r="80">
      <c r="A80" s="21" t="s">
        <v>143</v>
      </c>
      <c r="B80" s="21" t="s">
        <v>144</v>
      </c>
      <c r="C80" s="22" t="s">
        <v>145</v>
      </c>
      <c r="D80" s="23" t="s">
        <v>14</v>
      </c>
    </row>
    <row r="81">
      <c r="A81" s="21" t="s">
        <v>90</v>
      </c>
      <c r="B81" s="21" t="s">
        <v>91</v>
      </c>
      <c r="C81" s="22" t="s">
        <v>92</v>
      </c>
      <c r="D81" s="23" t="s">
        <v>14</v>
      </c>
    </row>
    <row r="82">
      <c r="A82" s="21" t="s">
        <v>281</v>
      </c>
      <c r="B82" s="21" t="s">
        <v>340</v>
      </c>
      <c r="C82" s="22" t="s">
        <v>341</v>
      </c>
      <c r="D82" s="23" t="s">
        <v>14</v>
      </c>
    </row>
    <row r="83">
      <c r="A83" s="21" t="s">
        <v>149</v>
      </c>
      <c r="B83" s="21" t="s">
        <v>150</v>
      </c>
      <c r="C83" s="22" t="s">
        <v>151</v>
      </c>
      <c r="D83" s="23" t="s">
        <v>14</v>
      </c>
    </row>
    <row r="84">
      <c r="A84" s="21" t="s">
        <v>114</v>
      </c>
      <c r="B84" s="21" t="s">
        <v>115</v>
      </c>
      <c r="C84" s="22" t="s">
        <v>116</v>
      </c>
      <c r="D84" s="23" t="s">
        <v>14</v>
      </c>
    </row>
    <row r="85">
      <c r="A85" s="21" t="s">
        <v>189</v>
      </c>
      <c r="B85" s="21" t="s">
        <v>268</v>
      </c>
      <c r="C85" s="22" t="s">
        <v>269</v>
      </c>
      <c r="D85" s="23" t="s">
        <v>14</v>
      </c>
    </row>
    <row r="86">
      <c r="A86" s="21" t="s">
        <v>203</v>
      </c>
      <c r="B86" s="21" t="s">
        <v>204</v>
      </c>
      <c r="C86" s="22" t="s">
        <v>205</v>
      </c>
      <c r="D86" s="23" t="s">
        <v>12</v>
      </c>
    </row>
    <row r="87">
      <c r="A87" s="21" t="s">
        <v>90</v>
      </c>
      <c r="B87" s="21" t="s">
        <v>299</v>
      </c>
      <c r="C87" s="22" t="s">
        <v>300</v>
      </c>
      <c r="D87" s="23" t="s">
        <v>14</v>
      </c>
    </row>
    <row r="88">
      <c r="A88" s="21" t="s">
        <v>90</v>
      </c>
      <c r="B88" s="21" t="s">
        <v>210</v>
      </c>
      <c r="C88" s="22" t="s">
        <v>211</v>
      </c>
      <c r="D88" s="23" t="s">
        <v>14</v>
      </c>
    </row>
    <row r="89">
      <c r="A89" s="21" t="s">
        <v>229</v>
      </c>
      <c r="B89" s="21" t="s">
        <v>230</v>
      </c>
      <c r="C89" s="22" t="s">
        <v>231</v>
      </c>
      <c r="D89" s="23" t="s">
        <v>14</v>
      </c>
    </row>
    <row r="90">
      <c r="A90" s="21" t="s">
        <v>237</v>
      </c>
      <c r="B90" s="21" t="s">
        <v>238</v>
      </c>
      <c r="C90" s="22" t="s">
        <v>239</v>
      </c>
      <c r="D90" s="23" t="s">
        <v>12</v>
      </c>
    </row>
    <row r="91">
      <c r="A91" s="21" t="s">
        <v>152</v>
      </c>
      <c r="B91" s="21" t="s">
        <v>153</v>
      </c>
      <c r="C91" s="22" t="s">
        <v>154</v>
      </c>
      <c r="D91" s="23" t="s">
        <v>14</v>
      </c>
    </row>
    <row r="92">
      <c r="A92" s="21" t="s">
        <v>158</v>
      </c>
      <c r="B92" s="21" t="s">
        <v>159</v>
      </c>
      <c r="C92" s="22" t="s">
        <v>160</v>
      </c>
      <c r="D92" s="23" t="s">
        <v>14</v>
      </c>
    </row>
    <row r="93">
      <c r="A93" s="21" t="s">
        <v>93</v>
      </c>
      <c r="B93" s="21" t="s">
        <v>338</v>
      </c>
      <c r="C93" s="22" t="s">
        <v>339</v>
      </c>
      <c r="D93" s="23" t="s">
        <v>14</v>
      </c>
    </row>
    <row r="94">
      <c r="A94" s="21" t="s">
        <v>124</v>
      </c>
      <c r="B94" s="21" t="s">
        <v>130</v>
      </c>
      <c r="C94" s="22" t="s">
        <v>131</v>
      </c>
      <c r="D94" s="23" t="s">
        <v>14</v>
      </c>
    </row>
    <row r="95">
      <c r="A95" s="21" t="s">
        <v>200</v>
      </c>
      <c r="B95" s="21" t="s">
        <v>201</v>
      </c>
      <c r="C95" s="22" t="s">
        <v>202</v>
      </c>
      <c r="D95" s="23" t="s">
        <v>12</v>
      </c>
    </row>
    <row r="96">
      <c r="A96" s="21" t="s">
        <v>99</v>
      </c>
      <c r="B96" s="21" t="s">
        <v>100</v>
      </c>
      <c r="C96" s="22" t="s">
        <v>101</v>
      </c>
      <c r="D96" s="23" t="s">
        <v>12</v>
      </c>
    </row>
    <row r="97">
      <c r="A97" s="21" t="s">
        <v>215</v>
      </c>
      <c r="B97" s="21" t="s">
        <v>323</v>
      </c>
      <c r="C97" s="22" t="s">
        <v>324</v>
      </c>
      <c r="D97" s="23" t="s">
        <v>12</v>
      </c>
    </row>
    <row r="98">
      <c r="A98" s="21" t="s">
        <v>134</v>
      </c>
      <c r="B98" s="21" t="s">
        <v>135</v>
      </c>
      <c r="C98" s="22" t="s">
        <v>136</v>
      </c>
      <c r="D98" s="23" t="s">
        <v>14</v>
      </c>
    </row>
    <row r="99">
      <c r="A99" s="21" t="s">
        <v>161</v>
      </c>
      <c r="B99" s="21" t="s">
        <v>162</v>
      </c>
      <c r="C99" s="22" t="s">
        <v>163</v>
      </c>
      <c r="D99" s="23" t="s">
        <v>14</v>
      </c>
    </row>
    <row r="100">
      <c r="A100" s="21" t="s">
        <v>83</v>
      </c>
      <c r="B100" s="21" t="s">
        <v>84</v>
      </c>
      <c r="C100" s="22" t="s">
        <v>85</v>
      </c>
      <c r="D100" s="23" t="s">
        <v>14</v>
      </c>
    </row>
    <row r="101">
      <c r="A101" s="21" t="s">
        <v>93</v>
      </c>
      <c r="B101" s="21" t="s">
        <v>94</v>
      </c>
      <c r="C101" s="22" t="s">
        <v>95</v>
      </c>
      <c r="D101" s="23" t="s">
        <v>12</v>
      </c>
    </row>
    <row r="102">
      <c r="C102" s="24"/>
      <c r="D102" s="25"/>
    </row>
    <row r="103">
      <c r="C103" s="24"/>
      <c r="D103" s="25"/>
    </row>
    <row r="104">
      <c r="C104" s="24"/>
      <c r="D104" s="25"/>
    </row>
    <row r="105">
      <c r="C105" s="24"/>
      <c r="D105" s="25"/>
    </row>
    <row r="106">
      <c r="C106" s="24"/>
      <c r="D106" s="25"/>
    </row>
    <row r="107">
      <c r="C107" s="24"/>
      <c r="D107" s="25"/>
    </row>
    <row r="108">
      <c r="C108" s="24"/>
      <c r="D108" s="25"/>
    </row>
    <row r="109">
      <c r="C109" s="24"/>
      <c r="D109" s="25"/>
    </row>
    <row r="110">
      <c r="C110" s="24"/>
      <c r="D110" s="25"/>
    </row>
    <row r="111">
      <c r="C111" s="24"/>
      <c r="D111" s="25"/>
    </row>
    <row r="112">
      <c r="C112" s="24"/>
      <c r="D112" s="25"/>
    </row>
    <row r="113">
      <c r="C113" s="24"/>
      <c r="D113" s="25"/>
    </row>
    <row r="114">
      <c r="C114" s="24"/>
      <c r="D114" s="25"/>
    </row>
    <row r="115">
      <c r="C115" s="24"/>
      <c r="D115" s="25"/>
    </row>
    <row r="116">
      <c r="C116" s="24"/>
      <c r="D116" s="25"/>
    </row>
    <row r="117">
      <c r="C117" s="24"/>
      <c r="D117" s="25"/>
    </row>
    <row r="118">
      <c r="C118" s="24"/>
      <c r="D118" s="25"/>
    </row>
    <row r="119">
      <c r="C119" s="24"/>
      <c r="D119" s="25"/>
    </row>
    <row r="120">
      <c r="C120" s="24"/>
      <c r="D120" s="25"/>
    </row>
    <row r="121">
      <c r="C121" s="24"/>
      <c r="D121" s="25"/>
    </row>
    <row r="122">
      <c r="C122" s="24"/>
      <c r="D122" s="25"/>
    </row>
    <row r="123">
      <c r="C123" s="24"/>
      <c r="D123" s="25"/>
    </row>
    <row r="124">
      <c r="C124" s="24"/>
      <c r="D124" s="25"/>
    </row>
    <row r="125">
      <c r="C125" s="24"/>
      <c r="D125" s="25"/>
    </row>
    <row r="126">
      <c r="C126" s="24"/>
      <c r="D126" s="25"/>
    </row>
    <row r="127">
      <c r="C127" s="24"/>
      <c r="D127" s="25"/>
    </row>
    <row r="128">
      <c r="C128" s="24"/>
      <c r="D128" s="25"/>
    </row>
    <row r="129">
      <c r="C129" s="24"/>
      <c r="D129" s="25"/>
    </row>
    <row r="130">
      <c r="C130" s="24"/>
      <c r="D130" s="25"/>
    </row>
    <row r="131">
      <c r="C131" s="24"/>
      <c r="D131" s="25"/>
    </row>
    <row r="132">
      <c r="C132" s="24"/>
      <c r="D132" s="25"/>
    </row>
    <row r="133">
      <c r="C133" s="24"/>
      <c r="D133" s="25"/>
    </row>
    <row r="134">
      <c r="C134" s="24"/>
      <c r="D134" s="25"/>
    </row>
    <row r="135">
      <c r="C135" s="24"/>
      <c r="D135" s="25"/>
    </row>
    <row r="136">
      <c r="C136" s="24"/>
      <c r="D136" s="25"/>
    </row>
    <row r="137">
      <c r="C137" s="24"/>
      <c r="D137" s="25"/>
    </row>
    <row r="138">
      <c r="C138" s="24"/>
      <c r="D138" s="25"/>
    </row>
    <row r="139">
      <c r="C139" s="24"/>
      <c r="D139" s="25"/>
    </row>
    <row r="140">
      <c r="C140" s="24"/>
      <c r="D140" s="25"/>
    </row>
    <row r="141">
      <c r="C141" s="24"/>
      <c r="D141" s="25"/>
    </row>
    <row r="142">
      <c r="C142" s="24"/>
      <c r="D142" s="25"/>
    </row>
    <row r="143">
      <c r="C143" s="24"/>
      <c r="D143" s="25"/>
    </row>
    <row r="144">
      <c r="C144" s="24"/>
      <c r="D144" s="25"/>
    </row>
    <row r="145">
      <c r="C145" s="24"/>
      <c r="D145" s="25"/>
    </row>
    <row r="146">
      <c r="C146" s="24"/>
      <c r="D146" s="25"/>
    </row>
    <row r="147">
      <c r="C147" s="24"/>
      <c r="D147" s="25"/>
    </row>
    <row r="148">
      <c r="C148" s="24"/>
      <c r="D148" s="25"/>
    </row>
    <row r="149">
      <c r="C149" s="24"/>
      <c r="D149" s="25"/>
    </row>
    <row r="150">
      <c r="C150" s="24"/>
      <c r="D150" s="25"/>
    </row>
    <row r="151">
      <c r="C151" s="24"/>
      <c r="D151" s="25"/>
    </row>
    <row r="152">
      <c r="C152" s="24"/>
      <c r="D152" s="25"/>
    </row>
    <row r="153">
      <c r="C153" s="24"/>
      <c r="D153" s="25"/>
    </row>
    <row r="154">
      <c r="C154" s="24"/>
      <c r="D154" s="25"/>
    </row>
    <row r="155">
      <c r="C155" s="24"/>
      <c r="D155" s="25"/>
    </row>
    <row r="156">
      <c r="C156" s="24"/>
      <c r="D156" s="25"/>
    </row>
    <row r="157">
      <c r="C157" s="24"/>
      <c r="D157" s="25"/>
    </row>
    <row r="158">
      <c r="C158" s="24"/>
      <c r="D158" s="25"/>
    </row>
    <row r="159">
      <c r="C159" s="24"/>
      <c r="D159" s="25"/>
    </row>
    <row r="160">
      <c r="C160" s="24"/>
      <c r="D160" s="25"/>
    </row>
    <row r="161">
      <c r="C161" s="24"/>
      <c r="D161" s="25"/>
    </row>
    <row r="162">
      <c r="C162" s="24"/>
      <c r="D162" s="25"/>
    </row>
    <row r="163">
      <c r="C163" s="24"/>
      <c r="D163" s="25"/>
    </row>
    <row r="164">
      <c r="C164" s="24"/>
      <c r="D164" s="25"/>
    </row>
    <row r="165">
      <c r="C165" s="24"/>
      <c r="D165" s="25"/>
    </row>
    <row r="166">
      <c r="C166" s="24"/>
      <c r="D166" s="25"/>
    </row>
    <row r="167">
      <c r="C167" s="24"/>
      <c r="D167" s="25"/>
    </row>
    <row r="168">
      <c r="C168" s="24"/>
      <c r="D168" s="25"/>
    </row>
    <row r="169">
      <c r="C169" s="24"/>
      <c r="D169" s="25"/>
    </row>
    <row r="170">
      <c r="C170" s="24"/>
      <c r="D170" s="25"/>
    </row>
    <row r="171">
      <c r="C171" s="24"/>
      <c r="D171" s="25"/>
    </row>
    <row r="172">
      <c r="C172" s="24"/>
      <c r="D172" s="25"/>
    </row>
    <row r="173">
      <c r="C173" s="24"/>
      <c r="D173" s="25"/>
    </row>
    <row r="174">
      <c r="C174" s="24"/>
      <c r="D174" s="25"/>
    </row>
    <row r="175">
      <c r="C175" s="24"/>
      <c r="D175" s="25"/>
    </row>
    <row r="176">
      <c r="C176" s="24"/>
      <c r="D176" s="25"/>
    </row>
    <row r="177">
      <c r="C177" s="24"/>
      <c r="D177" s="25"/>
    </row>
    <row r="178">
      <c r="C178" s="24"/>
      <c r="D178" s="25"/>
    </row>
    <row r="179">
      <c r="C179" s="24"/>
      <c r="D179" s="25"/>
    </row>
    <row r="180">
      <c r="C180" s="24"/>
      <c r="D180" s="25"/>
    </row>
    <row r="181">
      <c r="C181" s="24"/>
      <c r="D181" s="25"/>
    </row>
    <row r="182">
      <c r="C182" s="24"/>
      <c r="D182" s="25"/>
    </row>
    <row r="183">
      <c r="C183" s="24"/>
      <c r="D183" s="25"/>
    </row>
    <row r="184">
      <c r="C184" s="24"/>
      <c r="D184" s="25"/>
    </row>
    <row r="185">
      <c r="C185" s="24"/>
      <c r="D185" s="25"/>
    </row>
    <row r="186">
      <c r="C186" s="24"/>
      <c r="D186" s="25"/>
    </row>
    <row r="187">
      <c r="C187" s="24"/>
      <c r="D187" s="25"/>
    </row>
    <row r="188">
      <c r="C188" s="24"/>
      <c r="D188" s="25"/>
    </row>
    <row r="189">
      <c r="C189" s="24"/>
      <c r="D189" s="25"/>
    </row>
    <row r="190">
      <c r="C190" s="24"/>
      <c r="D190" s="25"/>
    </row>
    <row r="191">
      <c r="C191" s="24"/>
      <c r="D191" s="25"/>
    </row>
    <row r="192">
      <c r="C192" s="24"/>
      <c r="D192" s="25"/>
    </row>
    <row r="193">
      <c r="C193" s="24"/>
      <c r="D193" s="25"/>
    </row>
    <row r="194">
      <c r="C194" s="24"/>
      <c r="D194" s="25"/>
    </row>
    <row r="195">
      <c r="C195" s="24"/>
      <c r="D195" s="25"/>
    </row>
    <row r="196">
      <c r="C196" s="24"/>
      <c r="D196" s="25"/>
    </row>
    <row r="197">
      <c r="C197" s="24"/>
      <c r="D197" s="25"/>
    </row>
    <row r="198">
      <c r="C198" s="24"/>
      <c r="D198" s="25"/>
    </row>
    <row r="199">
      <c r="C199" s="24"/>
      <c r="D199" s="25"/>
    </row>
    <row r="200">
      <c r="C200" s="24"/>
      <c r="D200" s="25"/>
    </row>
    <row r="201">
      <c r="C201" s="24"/>
      <c r="D201" s="25"/>
    </row>
    <row r="202">
      <c r="C202" s="24"/>
      <c r="D202" s="25"/>
    </row>
    <row r="203">
      <c r="C203" s="24"/>
      <c r="D203" s="25"/>
    </row>
    <row r="204">
      <c r="C204" s="24"/>
      <c r="D204" s="25"/>
    </row>
    <row r="205">
      <c r="C205" s="24"/>
      <c r="D205" s="25"/>
    </row>
    <row r="206">
      <c r="C206" s="24"/>
      <c r="D206" s="25"/>
    </row>
    <row r="207">
      <c r="C207" s="24"/>
      <c r="D207" s="25"/>
    </row>
    <row r="208">
      <c r="C208" s="24"/>
      <c r="D208" s="25"/>
    </row>
    <row r="209">
      <c r="C209" s="24"/>
      <c r="D209" s="25"/>
    </row>
    <row r="210">
      <c r="C210" s="24"/>
      <c r="D210" s="25"/>
    </row>
    <row r="211">
      <c r="C211" s="24"/>
      <c r="D211" s="25"/>
    </row>
    <row r="212">
      <c r="C212" s="24"/>
      <c r="D212" s="25"/>
    </row>
    <row r="213">
      <c r="C213" s="24"/>
      <c r="D213" s="25"/>
    </row>
    <row r="214">
      <c r="C214" s="24"/>
      <c r="D214" s="25"/>
    </row>
    <row r="215">
      <c r="C215" s="24"/>
      <c r="D215" s="25"/>
    </row>
    <row r="216">
      <c r="C216" s="24"/>
      <c r="D216" s="25"/>
    </row>
    <row r="217">
      <c r="C217" s="24"/>
      <c r="D217" s="25"/>
    </row>
    <row r="218">
      <c r="C218" s="24"/>
      <c r="D218" s="25"/>
    </row>
    <row r="219">
      <c r="C219" s="24"/>
      <c r="D219" s="25"/>
    </row>
    <row r="220">
      <c r="C220" s="24"/>
      <c r="D220" s="25"/>
    </row>
    <row r="221">
      <c r="C221" s="24"/>
      <c r="D221" s="25"/>
    </row>
    <row r="222">
      <c r="C222" s="24"/>
      <c r="D222" s="25"/>
    </row>
    <row r="223">
      <c r="C223" s="24"/>
      <c r="D223" s="25"/>
    </row>
    <row r="224">
      <c r="C224" s="24"/>
      <c r="D224" s="25"/>
    </row>
    <row r="225">
      <c r="C225" s="24"/>
      <c r="D225" s="25"/>
    </row>
    <row r="226">
      <c r="C226" s="24"/>
      <c r="D226" s="25"/>
    </row>
    <row r="227">
      <c r="C227" s="24"/>
      <c r="D227" s="25"/>
    </row>
    <row r="228">
      <c r="C228" s="24"/>
      <c r="D228" s="25"/>
    </row>
    <row r="229">
      <c r="C229" s="24"/>
      <c r="D229" s="25"/>
    </row>
    <row r="230">
      <c r="C230" s="24"/>
      <c r="D230" s="25"/>
    </row>
    <row r="231">
      <c r="C231" s="24"/>
      <c r="D231" s="25"/>
    </row>
    <row r="232">
      <c r="C232" s="24"/>
      <c r="D232" s="25"/>
    </row>
    <row r="233">
      <c r="C233" s="24"/>
      <c r="D233" s="25"/>
    </row>
    <row r="234">
      <c r="C234" s="24"/>
      <c r="D234" s="25"/>
    </row>
    <row r="235">
      <c r="C235" s="24"/>
      <c r="D235" s="25"/>
    </row>
    <row r="236">
      <c r="C236" s="24"/>
      <c r="D236" s="25"/>
    </row>
    <row r="237">
      <c r="C237" s="24"/>
      <c r="D237" s="25"/>
    </row>
    <row r="238">
      <c r="C238" s="24"/>
      <c r="D238" s="25"/>
    </row>
    <row r="239">
      <c r="C239" s="24"/>
      <c r="D239" s="25"/>
    </row>
    <row r="240">
      <c r="C240" s="24"/>
      <c r="D240" s="25"/>
    </row>
    <row r="241">
      <c r="C241" s="24"/>
      <c r="D241" s="25"/>
    </row>
    <row r="242">
      <c r="C242" s="24"/>
      <c r="D242" s="25"/>
    </row>
    <row r="243">
      <c r="C243" s="24"/>
      <c r="D243" s="25"/>
    </row>
    <row r="244">
      <c r="C244" s="24"/>
      <c r="D244" s="25"/>
    </row>
    <row r="245">
      <c r="C245" s="24"/>
      <c r="D245" s="25"/>
    </row>
    <row r="246">
      <c r="C246" s="24"/>
      <c r="D246" s="25"/>
    </row>
    <row r="247">
      <c r="C247" s="24"/>
      <c r="D247" s="25"/>
    </row>
    <row r="248">
      <c r="C248" s="24"/>
      <c r="D248" s="25"/>
    </row>
    <row r="249">
      <c r="C249" s="24"/>
      <c r="D249" s="25"/>
    </row>
    <row r="250">
      <c r="C250" s="24"/>
      <c r="D250" s="25"/>
    </row>
    <row r="251">
      <c r="C251" s="24"/>
      <c r="D251" s="25"/>
    </row>
    <row r="252">
      <c r="C252" s="24"/>
      <c r="D252" s="25"/>
    </row>
    <row r="253">
      <c r="C253" s="24"/>
      <c r="D253" s="25"/>
    </row>
    <row r="254">
      <c r="C254" s="24"/>
      <c r="D254" s="25"/>
    </row>
    <row r="255">
      <c r="C255" s="24"/>
      <c r="D255" s="25"/>
    </row>
    <row r="256">
      <c r="C256" s="24"/>
      <c r="D256" s="25"/>
    </row>
    <row r="257">
      <c r="C257" s="24"/>
      <c r="D257" s="25"/>
    </row>
    <row r="258">
      <c r="C258" s="24"/>
      <c r="D258" s="25"/>
    </row>
    <row r="259">
      <c r="C259" s="24"/>
      <c r="D259" s="25"/>
    </row>
    <row r="260">
      <c r="C260" s="24"/>
      <c r="D260" s="25"/>
    </row>
    <row r="261">
      <c r="C261" s="24"/>
      <c r="D261" s="25"/>
    </row>
    <row r="262">
      <c r="C262" s="24"/>
      <c r="D262" s="25"/>
    </row>
    <row r="263">
      <c r="C263" s="24"/>
      <c r="D263" s="25"/>
    </row>
    <row r="264">
      <c r="C264" s="24"/>
      <c r="D264" s="25"/>
    </row>
    <row r="265">
      <c r="C265" s="24"/>
      <c r="D265" s="25"/>
    </row>
    <row r="266">
      <c r="C266" s="24"/>
      <c r="D266" s="25"/>
    </row>
    <row r="267">
      <c r="C267" s="24"/>
      <c r="D267" s="25"/>
    </row>
    <row r="268">
      <c r="C268" s="24"/>
      <c r="D268" s="25"/>
    </row>
    <row r="269">
      <c r="C269" s="24"/>
      <c r="D269" s="25"/>
    </row>
    <row r="270">
      <c r="C270" s="24"/>
      <c r="D270" s="25"/>
    </row>
    <row r="271">
      <c r="C271" s="24"/>
      <c r="D271" s="25"/>
    </row>
    <row r="272">
      <c r="C272" s="24"/>
      <c r="D272" s="25"/>
    </row>
    <row r="273">
      <c r="C273" s="24"/>
      <c r="D273" s="25"/>
    </row>
    <row r="274">
      <c r="C274" s="24"/>
      <c r="D274" s="25"/>
    </row>
    <row r="275">
      <c r="C275" s="24"/>
      <c r="D275" s="25"/>
    </row>
    <row r="276">
      <c r="C276" s="24"/>
      <c r="D276" s="25"/>
    </row>
    <row r="277">
      <c r="C277" s="24"/>
      <c r="D277" s="25"/>
    </row>
    <row r="278">
      <c r="C278" s="24"/>
      <c r="D278" s="25"/>
    </row>
    <row r="279">
      <c r="C279" s="24"/>
      <c r="D279" s="25"/>
    </row>
    <row r="280">
      <c r="C280" s="24"/>
      <c r="D280" s="25"/>
    </row>
    <row r="281">
      <c r="C281" s="24"/>
      <c r="D281" s="25"/>
    </row>
    <row r="282">
      <c r="C282" s="24"/>
      <c r="D282" s="25"/>
    </row>
    <row r="283">
      <c r="C283" s="24"/>
      <c r="D283" s="25"/>
    </row>
    <row r="284">
      <c r="C284" s="24"/>
      <c r="D284" s="25"/>
    </row>
    <row r="285">
      <c r="C285" s="24"/>
      <c r="D285" s="25"/>
    </row>
    <row r="286">
      <c r="C286" s="24"/>
      <c r="D286" s="25"/>
    </row>
    <row r="287">
      <c r="C287" s="24"/>
      <c r="D287" s="25"/>
    </row>
    <row r="288">
      <c r="C288" s="24"/>
      <c r="D288" s="25"/>
    </row>
    <row r="289">
      <c r="C289" s="24"/>
      <c r="D289" s="25"/>
    </row>
    <row r="290">
      <c r="C290" s="24"/>
      <c r="D290" s="25"/>
    </row>
    <row r="291">
      <c r="C291" s="24"/>
      <c r="D291" s="25"/>
    </row>
    <row r="292">
      <c r="C292" s="24"/>
      <c r="D292" s="25"/>
    </row>
    <row r="293">
      <c r="C293" s="24"/>
      <c r="D293" s="25"/>
    </row>
    <row r="294">
      <c r="C294" s="24"/>
      <c r="D294" s="25"/>
    </row>
    <row r="295">
      <c r="C295" s="24"/>
      <c r="D295" s="25"/>
    </row>
    <row r="296">
      <c r="C296" s="24"/>
      <c r="D296" s="25"/>
    </row>
    <row r="297">
      <c r="C297" s="24"/>
      <c r="D297" s="25"/>
    </row>
    <row r="298">
      <c r="C298" s="24"/>
      <c r="D298" s="25"/>
    </row>
    <row r="299">
      <c r="C299" s="24"/>
      <c r="D299" s="25"/>
    </row>
    <row r="300">
      <c r="C300" s="24"/>
      <c r="D300" s="25"/>
    </row>
    <row r="301">
      <c r="C301" s="24"/>
      <c r="D301" s="25"/>
    </row>
    <row r="302">
      <c r="C302" s="24"/>
      <c r="D302" s="25"/>
    </row>
    <row r="303">
      <c r="C303" s="24"/>
      <c r="D303" s="25"/>
    </row>
    <row r="304">
      <c r="C304" s="24"/>
      <c r="D304" s="25"/>
    </row>
    <row r="305">
      <c r="C305" s="24"/>
      <c r="D305" s="25"/>
    </row>
    <row r="306">
      <c r="C306" s="24"/>
      <c r="D306" s="25"/>
    </row>
    <row r="307">
      <c r="C307" s="24"/>
      <c r="D307" s="25"/>
    </row>
    <row r="308">
      <c r="C308" s="24"/>
      <c r="D308" s="25"/>
    </row>
    <row r="309">
      <c r="C309" s="24"/>
      <c r="D309" s="25"/>
    </row>
    <row r="310">
      <c r="C310" s="24"/>
      <c r="D310" s="25"/>
    </row>
    <row r="311">
      <c r="C311" s="24"/>
      <c r="D311" s="25"/>
    </row>
    <row r="312">
      <c r="C312" s="24"/>
      <c r="D312" s="25"/>
    </row>
    <row r="313">
      <c r="C313" s="24"/>
      <c r="D313" s="25"/>
    </row>
    <row r="314">
      <c r="C314" s="24"/>
      <c r="D314" s="25"/>
    </row>
    <row r="315">
      <c r="C315" s="24"/>
      <c r="D315" s="25"/>
    </row>
    <row r="316">
      <c r="C316" s="24"/>
      <c r="D316" s="25"/>
    </row>
    <row r="317">
      <c r="C317" s="24"/>
      <c r="D317" s="25"/>
    </row>
    <row r="318">
      <c r="C318" s="24"/>
      <c r="D318" s="25"/>
    </row>
    <row r="319">
      <c r="C319" s="24"/>
      <c r="D319" s="25"/>
    </row>
    <row r="320">
      <c r="C320" s="24"/>
      <c r="D320" s="25"/>
    </row>
    <row r="321">
      <c r="C321" s="24"/>
      <c r="D321" s="25"/>
    </row>
    <row r="322">
      <c r="C322" s="24"/>
      <c r="D322" s="25"/>
    </row>
    <row r="323">
      <c r="C323" s="24"/>
      <c r="D323" s="25"/>
    </row>
    <row r="324">
      <c r="C324" s="24"/>
      <c r="D324" s="25"/>
    </row>
    <row r="325">
      <c r="C325" s="24"/>
      <c r="D325" s="25"/>
    </row>
    <row r="326">
      <c r="C326" s="24"/>
      <c r="D326" s="25"/>
    </row>
    <row r="327">
      <c r="C327" s="24"/>
      <c r="D327" s="25"/>
    </row>
    <row r="328">
      <c r="C328" s="24"/>
      <c r="D328" s="25"/>
    </row>
    <row r="329">
      <c r="C329" s="24"/>
      <c r="D329" s="25"/>
    </row>
    <row r="330">
      <c r="C330" s="24"/>
      <c r="D330" s="25"/>
    </row>
    <row r="331">
      <c r="C331" s="24"/>
      <c r="D331" s="25"/>
    </row>
    <row r="332">
      <c r="C332" s="24"/>
      <c r="D332" s="25"/>
    </row>
    <row r="333">
      <c r="C333" s="24"/>
      <c r="D333" s="25"/>
    </row>
    <row r="334">
      <c r="C334" s="24"/>
      <c r="D334" s="25"/>
    </row>
    <row r="335">
      <c r="C335" s="24"/>
      <c r="D335" s="25"/>
    </row>
    <row r="336">
      <c r="C336" s="24"/>
      <c r="D336" s="25"/>
    </row>
    <row r="337">
      <c r="C337" s="24"/>
      <c r="D337" s="25"/>
    </row>
    <row r="338">
      <c r="C338" s="24"/>
      <c r="D338" s="25"/>
    </row>
    <row r="339">
      <c r="C339" s="24"/>
      <c r="D339" s="25"/>
    </row>
    <row r="340">
      <c r="C340" s="24"/>
      <c r="D340" s="25"/>
    </row>
    <row r="341">
      <c r="C341" s="24"/>
      <c r="D341" s="25"/>
    </row>
    <row r="342">
      <c r="C342" s="24"/>
      <c r="D342" s="25"/>
    </row>
    <row r="343">
      <c r="C343" s="24"/>
      <c r="D343" s="25"/>
    </row>
    <row r="344">
      <c r="C344" s="24"/>
      <c r="D344" s="25"/>
    </row>
    <row r="345">
      <c r="C345" s="24"/>
      <c r="D345" s="25"/>
    </row>
    <row r="346">
      <c r="C346" s="24"/>
      <c r="D346" s="25"/>
    </row>
    <row r="347">
      <c r="C347" s="24"/>
      <c r="D347" s="25"/>
    </row>
    <row r="348">
      <c r="C348" s="24"/>
      <c r="D348" s="25"/>
    </row>
    <row r="349">
      <c r="C349" s="24"/>
      <c r="D349" s="25"/>
    </row>
    <row r="350">
      <c r="C350" s="24"/>
      <c r="D350" s="25"/>
    </row>
    <row r="351">
      <c r="C351" s="24"/>
      <c r="D351" s="25"/>
    </row>
    <row r="352">
      <c r="C352" s="24"/>
      <c r="D352" s="25"/>
    </row>
    <row r="353">
      <c r="C353" s="24"/>
      <c r="D353" s="25"/>
    </row>
    <row r="354">
      <c r="C354" s="24"/>
      <c r="D354" s="25"/>
    </row>
    <row r="355">
      <c r="C355" s="24"/>
      <c r="D355" s="25"/>
    </row>
    <row r="356">
      <c r="C356" s="24"/>
      <c r="D356" s="25"/>
    </row>
    <row r="357">
      <c r="C357" s="24"/>
      <c r="D357" s="25"/>
    </row>
    <row r="358">
      <c r="C358" s="24"/>
      <c r="D358" s="25"/>
    </row>
    <row r="359">
      <c r="C359" s="24"/>
      <c r="D359" s="25"/>
    </row>
    <row r="360">
      <c r="C360" s="24"/>
      <c r="D360" s="25"/>
    </row>
    <row r="361">
      <c r="C361" s="24"/>
      <c r="D361" s="25"/>
    </row>
    <row r="362">
      <c r="C362" s="24"/>
      <c r="D362" s="25"/>
    </row>
    <row r="363">
      <c r="C363" s="24"/>
      <c r="D363" s="25"/>
    </row>
    <row r="364">
      <c r="C364" s="24"/>
      <c r="D364" s="25"/>
    </row>
    <row r="365">
      <c r="C365" s="24"/>
      <c r="D365" s="25"/>
    </row>
    <row r="366">
      <c r="C366" s="24"/>
      <c r="D366" s="25"/>
    </row>
    <row r="367">
      <c r="C367" s="24"/>
      <c r="D367" s="25"/>
    </row>
    <row r="368">
      <c r="C368" s="24"/>
      <c r="D368" s="25"/>
    </row>
    <row r="369">
      <c r="C369" s="24"/>
      <c r="D369" s="25"/>
    </row>
    <row r="370">
      <c r="C370" s="24"/>
      <c r="D370" s="25"/>
    </row>
    <row r="371">
      <c r="C371" s="24"/>
      <c r="D371" s="25"/>
    </row>
    <row r="372">
      <c r="C372" s="24"/>
      <c r="D372" s="25"/>
    </row>
    <row r="373">
      <c r="C373" s="24"/>
      <c r="D373" s="25"/>
    </row>
    <row r="374">
      <c r="C374" s="24"/>
      <c r="D374" s="25"/>
    </row>
    <row r="375">
      <c r="C375" s="24"/>
      <c r="D375" s="25"/>
    </row>
    <row r="376">
      <c r="C376" s="24"/>
      <c r="D376" s="25"/>
    </row>
    <row r="377">
      <c r="C377" s="24"/>
      <c r="D377" s="25"/>
    </row>
    <row r="378">
      <c r="C378" s="24"/>
      <c r="D378" s="25"/>
    </row>
    <row r="379">
      <c r="C379" s="24"/>
      <c r="D379" s="25"/>
    </row>
    <row r="380">
      <c r="C380" s="24"/>
      <c r="D380" s="25"/>
    </row>
    <row r="381">
      <c r="C381" s="24"/>
      <c r="D381" s="25"/>
    </row>
    <row r="382">
      <c r="C382" s="24"/>
      <c r="D382" s="25"/>
    </row>
    <row r="383">
      <c r="C383" s="24"/>
      <c r="D383" s="25"/>
    </row>
    <row r="384">
      <c r="C384" s="24"/>
      <c r="D384" s="25"/>
    </row>
    <row r="385">
      <c r="C385" s="24"/>
      <c r="D385" s="25"/>
    </row>
    <row r="386">
      <c r="C386" s="24"/>
      <c r="D386" s="25"/>
    </row>
    <row r="387">
      <c r="C387" s="24"/>
      <c r="D387" s="25"/>
    </row>
    <row r="388">
      <c r="C388" s="24"/>
      <c r="D388" s="25"/>
    </row>
    <row r="389">
      <c r="C389" s="24"/>
      <c r="D389" s="25"/>
    </row>
    <row r="390">
      <c r="C390" s="24"/>
      <c r="D390" s="25"/>
    </row>
    <row r="391">
      <c r="C391" s="24"/>
      <c r="D391" s="25"/>
    </row>
    <row r="392">
      <c r="C392" s="24"/>
      <c r="D392" s="25"/>
    </row>
    <row r="393">
      <c r="C393" s="24"/>
      <c r="D393" s="25"/>
    </row>
    <row r="394">
      <c r="C394" s="24"/>
      <c r="D394" s="25"/>
    </row>
    <row r="395">
      <c r="C395" s="24"/>
      <c r="D395" s="25"/>
    </row>
    <row r="396">
      <c r="C396" s="24"/>
      <c r="D396" s="25"/>
    </row>
    <row r="397">
      <c r="C397" s="24"/>
      <c r="D397" s="25"/>
    </row>
    <row r="398">
      <c r="C398" s="24"/>
      <c r="D398" s="25"/>
    </row>
    <row r="399">
      <c r="C399" s="24"/>
      <c r="D399" s="25"/>
    </row>
    <row r="400">
      <c r="C400" s="24"/>
      <c r="D400" s="25"/>
    </row>
    <row r="401">
      <c r="C401" s="24"/>
      <c r="D401" s="25"/>
    </row>
    <row r="402">
      <c r="C402" s="24"/>
      <c r="D402" s="25"/>
    </row>
    <row r="403">
      <c r="C403" s="24"/>
      <c r="D403" s="25"/>
    </row>
    <row r="404">
      <c r="C404" s="24"/>
      <c r="D404" s="25"/>
    </row>
    <row r="405">
      <c r="C405" s="24"/>
      <c r="D405" s="25"/>
    </row>
    <row r="406">
      <c r="C406" s="24"/>
      <c r="D406" s="25"/>
    </row>
    <row r="407">
      <c r="C407" s="24"/>
      <c r="D407" s="25"/>
    </row>
    <row r="408">
      <c r="C408" s="24"/>
      <c r="D408" s="25"/>
    </row>
    <row r="409">
      <c r="C409" s="24"/>
      <c r="D409" s="25"/>
    </row>
    <row r="410">
      <c r="C410" s="24"/>
      <c r="D410" s="25"/>
    </row>
    <row r="411">
      <c r="C411" s="24"/>
      <c r="D411" s="25"/>
    </row>
    <row r="412">
      <c r="C412" s="24"/>
      <c r="D412" s="25"/>
    </row>
    <row r="413">
      <c r="C413" s="24"/>
      <c r="D413" s="25"/>
    </row>
    <row r="414">
      <c r="C414" s="24"/>
      <c r="D414" s="25"/>
    </row>
    <row r="415">
      <c r="C415" s="24"/>
      <c r="D415" s="25"/>
    </row>
    <row r="416">
      <c r="C416" s="24"/>
      <c r="D416" s="25"/>
    </row>
    <row r="417">
      <c r="C417" s="24"/>
      <c r="D417" s="25"/>
    </row>
    <row r="418">
      <c r="C418" s="24"/>
      <c r="D418" s="25"/>
    </row>
    <row r="419">
      <c r="C419" s="24"/>
      <c r="D419" s="25"/>
    </row>
    <row r="420">
      <c r="C420" s="24"/>
      <c r="D420" s="25"/>
    </row>
    <row r="421">
      <c r="C421" s="24"/>
      <c r="D421" s="25"/>
    </row>
    <row r="422">
      <c r="C422" s="24"/>
      <c r="D422" s="25"/>
    </row>
    <row r="423">
      <c r="C423" s="24"/>
      <c r="D423" s="25"/>
    </row>
    <row r="424">
      <c r="C424" s="24"/>
      <c r="D424" s="25"/>
    </row>
    <row r="425">
      <c r="C425" s="24"/>
      <c r="D425" s="25"/>
    </row>
    <row r="426">
      <c r="C426" s="24"/>
      <c r="D426" s="25"/>
    </row>
    <row r="427">
      <c r="C427" s="24"/>
      <c r="D427" s="25"/>
    </row>
    <row r="428">
      <c r="C428" s="24"/>
      <c r="D428" s="25"/>
    </row>
    <row r="429">
      <c r="C429" s="24"/>
      <c r="D429" s="25"/>
    </row>
    <row r="430">
      <c r="C430" s="24"/>
      <c r="D430" s="25"/>
    </row>
    <row r="431">
      <c r="C431" s="24"/>
      <c r="D431" s="25"/>
    </row>
    <row r="432">
      <c r="C432" s="24"/>
      <c r="D432" s="25"/>
    </row>
    <row r="433">
      <c r="C433" s="24"/>
      <c r="D433" s="25"/>
    </row>
    <row r="434">
      <c r="C434" s="24"/>
      <c r="D434" s="25"/>
    </row>
    <row r="435">
      <c r="C435" s="24"/>
      <c r="D435" s="25"/>
    </row>
    <row r="436">
      <c r="C436" s="24"/>
      <c r="D436" s="25"/>
    </row>
    <row r="437">
      <c r="C437" s="24"/>
      <c r="D437" s="25"/>
    </row>
    <row r="438">
      <c r="C438" s="24"/>
      <c r="D438" s="25"/>
    </row>
    <row r="439">
      <c r="C439" s="24"/>
      <c r="D439" s="25"/>
    </row>
    <row r="440">
      <c r="C440" s="24"/>
      <c r="D440" s="25"/>
    </row>
    <row r="441">
      <c r="C441" s="24"/>
      <c r="D441" s="25"/>
    </row>
    <row r="442">
      <c r="C442" s="24"/>
      <c r="D442" s="25"/>
    </row>
    <row r="443">
      <c r="C443" s="24"/>
      <c r="D443" s="25"/>
    </row>
    <row r="444">
      <c r="C444" s="24"/>
      <c r="D444" s="25"/>
    </row>
    <row r="445">
      <c r="C445" s="24"/>
      <c r="D445" s="25"/>
    </row>
    <row r="446">
      <c r="C446" s="24"/>
      <c r="D446" s="25"/>
    </row>
    <row r="447">
      <c r="C447" s="24"/>
      <c r="D447" s="25"/>
    </row>
    <row r="448">
      <c r="C448" s="24"/>
      <c r="D448" s="25"/>
    </row>
    <row r="449">
      <c r="C449" s="24"/>
      <c r="D449" s="25"/>
    </row>
    <row r="450">
      <c r="C450" s="24"/>
      <c r="D450" s="25"/>
    </row>
    <row r="451">
      <c r="C451" s="24"/>
      <c r="D451" s="25"/>
    </row>
    <row r="452">
      <c r="C452" s="24"/>
      <c r="D452" s="25"/>
    </row>
    <row r="453">
      <c r="C453" s="24"/>
      <c r="D453" s="25"/>
    </row>
    <row r="454">
      <c r="C454" s="24"/>
      <c r="D454" s="25"/>
    </row>
    <row r="455">
      <c r="C455" s="24"/>
      <c r="D455" s="25"/>
    </row>
    <row r="456">
      <c r="C456" s="24"/>
      <c r="D456" s="25"/>
    </row>
    <row r="457">
      <c r="C457" s="24"/>
      <c r="D457" s="25"/>
    </row>
    <row r="458">
      <c r="C458" s="24"/>
      <c r="D458" s="25"/>
    </row>
    <row r="459">
      <c r="C459" s="24"/>
      <c r="D459" s="25"/>
    </row>
    <row r="460">
      <c r="C460" s="24"/>
      <c r="D460" s="25"/>
    </row>
    <row r="461">
      <c r="C461" s="24"/>
      <c r="D461" s="25"/>
    </row>
    <row r="462">
      <c r="C462" s="24"/>
      <c r="D462" s="25"/>
    </row>
    <row r="463">
      <c r="C463" s="24"/>
      <c r="D463" s="25"/>
    </row>
    <row r="464">
      <c r="C464" s="24"/>
      <c r="D464" s="25"/>
    </row>
    <row r="465">
      <c r="C465" s="24"/>
      <c r="D465" s="25"/>
    </row>
    <row r="466">
      <c r="C466" s="24"/>
      <c r="D466" s="25"/>
    </row>
    <row r="467">
      <c r="C467" s="24"/>
      <c r="D467" s="25"/>
    </row>
    <row r="468">
      <c r="C468" s="24"/>
      <c r="D468" s="25"/>
    </row>
    <row r="469">
      <c r="C469" s="24"/>
      <c r="D469" s="25"/>
    </row>
    <row r="470">
      <c r="C470" s="24"/>
      <c r="D470" s="25"/>
    </row>
    <row r="471">
      <c r="C471" s="24"/>
      <c r="D471" s="25"/>
    </row>
    <row r="472">
      <c r="C472" s="24"/>
      <c r="D472" s="25"/>
    </row>
    <row r="473">
      <c r="C473" s="24"/>
      <c r="D473" s="25"/>
    </row>
    <row r="474">
      <c r="C474" s="24"/>
      <c r="D474" s="25"/>
    </row>
    <row r="475">
      <c r="C475" s="24"/>
      <c r="D475" s="25"/>
    </row>
    <row r="476">
      <c r="C476" s="24"/>
      <c r="D476" s="25"/>
    </row>
    <row r="477">
      <c r="C477" s="24"/>
      <c r="D477" s="25"/>
    </row>
    <row r="478">
      <c r="C478" s="24"/>
      <c r="D478" s="25"/>
    </row>
    <row r="479">
      <c r="C479" s="24"/>
      <c r="D479" s="25"/>
    </row>
    <row r="480">
      <c r="C480" s="24"/>
      <c r="D480" s="25"/>
    </row>
    <row r="481">
      <c r="C481" s="24"/>
      <c r="D481" s="25"/>
    </row>
    <row r="482">
      <c r="C482" s="24"/>
      <c r="D482" s="25"/>
    </row>
    <row r="483">
      <c r="C483" s="24"/>
      <c r="D483" s="25"/>
    </row>
    <row r="484">
      <c r="C484" s="24"/>
      <c r="D484" s="25"/>
    </row>
    <row r="485">
      <c r="C485" s="24"/>
      <c r="D485" s="25"/>
    </row>
    <row r="486">
      <c r="C486" s="24"/>
      <c r="D486" s="25"/>
    </row>
    <row r="487">
      <c r="C487" s="24"/>
      <c r="D487" s="25"/>
    </row>
    <row r="488">
      <c r="C488" s="24"/>
      <c r="D488" s="25"/>
    </row>
    <row r="489">
      <c r="C489" s="24"/>
      <c r="D489" s="25"/>
    </row>
    <row r="490">
      <c r="C490" s="24"/>
      <c r="D490" s="25"/>
    </row>
    <row r="491">
      <c r="C491" s="24"/>
      <c r="D491" s="25"/>
    </row>
    <row r="492">
      <c r="C492" s="24"/>
      <c r="D492" s="25"/>
    </row>
    <row r="493">
      <c r="C493" s="24"/>
      <c r="D493" s="25"/>
    </row>
    <row r="494">
      <c r="C494" s="24"/>
      <c r="D494" s="25"/>
    </row>
    <row r="495">
      <c r="C495" s="24"/>
      <c r="D495" s="25"/>
    </row>
    <row r="496">
      <c r="C496" s="24"/>
      <c r="D496" s="25"/>
    </row>
    <row r="497">
      <c r="C497" s="24"/>
      <c r="D497" s="25"/>
    </row>
    <row r="498">
      <c r="C498" s="24"/>
      <c r="D498" s="25"/>
    </row>
    <row r="499">
      <c r="C499" s="24"/>
      <c r="D499" s="25"/>
    </row>
    <row r="500">
      <c r="C500" s="24"/>
      <c r="D500" s="25"/>
    </row>
    <row r="501">
      <c r="C501" s="24"/>
      <c r="D501" s="25"/>
    </row>
    <row r="502">
      <c r="C502" s="24"/>
      <c r="D502" s="25"/>
    </row>
    <row r="503">
      <c r="C503" s="24"/>
      <c r="D503" s="25"/>
    </row>
    <row r="504">
      <c r="C504" s="24"/>
      <c r="D504" s="25"/>
    </row>
    <row r="505">
      <c r="C505" s="24"/>
      <c r="D505" s="25"/>
    </row>
    <row r="506">
      <c r="C506" s="24"/>
      <c r="D506" s="25"/>
    </row>
    <row r="507">
      <c r="C507" s="24"/>
      <c r="D507" s="25"/>
    </row>
    <row r="508">
      <c r="C508" s="24"/>
      <c r="D508" s="25"/>
    </row>
    <row r="509">
      <c r="C509" s="24"/>
      <c r="D509" s="25"/>
    </row>
    <row r="510">
      <c r="C510" s="24"/>
      <c r="D510" s="25"/>
    </row>
    <row r="511">
      <c r="C511" s="24"/>
      <c r="D511" s="25"/>
    </row>
    <row r="512">
      <c r="C512" s="24"/>
      <c r="D512" s="25"/>
    </row>
    <row r="513">
      <c r="C513" s="24"/>
      <c r="D513" s="25"/>
    </row>
    <row r="514">
      <c r="C514" s="24"/>
      <c r="D514" s="25"/>
    </row>
    <row r="515">
      <c r="C515" s="24"/>
      <c r="D515" s="25"/>
    </row>
    <row r="516">
      <c r="C516" s="24"/>
      <c r="D516" s="25"/>
    </row>
    <row r="517">
      <c r="C517" s="24"/>
      <c r="D517" s="25"/>
    </row>
    <row r="518">
      <c r="C518" s="24"/>
      <c r="D518" s="25"/>
    </row>
    <row r="519">
      <c r="C519" s="24"/>
      <c r="D519" s="25"/>
    </row>
    <row r="520">
      <c r="C520" s="24"/>
      <c r="D520" s="25"/>
    </row>
    <row r="521">
      <c r="C521" s="24"/>
      <c r="D521" s="25"/>
    </row>
    <row r="522">
      <c r="C522" s="24"/>
      <c r="D522" s="25"/>
    </row>
    <row r="523">
      <c r="C523" s="24"/>
      <c r="D523" s="25"/>
    </row>
    <row r="524">
      <c r="C524" s="24"/>
      <c r="D524" s="25"/>
    </row>
    <row r="525">
      <c r="C525" s="24"/>
      <c r="D525" s="25"/>
    </row>
    <row r="526">
      <c r="C526" s="24"/>
      <c r="D526" s="25"/>
    </row>
    <row r="527">
      <c r="C527" s="24"/>
      <c r="D527" s="25"/>
    </row>
    <row r="528">
      <c r="C528" s="24"/>
      <c r="D528" s="25"/>
    </row>
    <row r="529">
      <c r="C529" s="24"/>
      <c r="D529" s="25"/>
    </row>
    <row r="530">
      <c r="C530" s="24"/>
      <c r="D530" s="25"/>
    </row>
    <row r="531">
      <c r="C531" s="24"/>
      <c r="D531" s="25"/>
    </row>
    <row r="532">
      <c r="C532" s="24"/>
      <c r="D532" s="25"/>
    </row>
    <row r="533">
      <c r="C533" s="24"/>
      <c r="D533" s="25"/>
    </row>
    <row r="534">
      <c r="C534" s="24"/>
      <c r="D534" s="25"/>
    </row>
    <row r="535">
      <c r="C535" s="24"/>
      <c r="D535" s="25"/>
    </row>
    <row r="536">
      <c r="C536" s="24"/>
      <c r="D536" s="25"/>
    </row>
    <row r="537">
      <c r="C537" s="24"/>
      <c r="D537" s="25"/>
    </row>
    <row r="538">
      <c r="C538" s="24"/>
      <c r="D538" s="25"/>
    </row>
    <row r="539">
      <c r="C539" s="24"/>
      <c r="D539" s="25"/>
    </row>
    <row r="540">
      <c r="C540" s="24"/>
      <c r="D540" s="25"/>
    </row>
    <row r="541">
      <c r="C541" s="24"/>
      <c r="D541" s="25"/>
    </row>
    <row r="542">
      <c r="C542" s="24"/>
      <c r="D542" s="25"/>
    </row>
    <row r="543">
      <c r="C543" s="24"/>
      <c r="D543" s="25"/>
    </row>
    <row r="544">
      <c r="C544" s="24"/>
      <c r="D544" s="25"/>
    </row>
    <row r="545">
      <c r="C545" s="24"/>
      <c r="D545" s="25"/>
    </row>
    <row r="546">
      <c r="C546" s="24"/>
      <c r="D546" s="25"/>
    </row>
    <row r="547">
      <c r="C547" s="24"/>
      <c r="D547" s="25"/>
    </row>
    <row r="548">
      <c r="C548" s="24"/>
      <c r="D548" s="25"/>
    </row>
    <row r="549">
      <c r="C549" s="24"/>
      <c r="D549" s="25"/>
    </row>
    <row r="550">
      <c r="C550" s="24"/>
      <c r="D550" s="25"/>
    </row>
    <row r="551">
      <c r="C551" s="24"/>
      <c r="D551" s="25"/>
    </row>
    <row r="552">
      <c r="C552" s="24"/>
      <c r="D552" s="25"/>
    </row>
    <row r="553">
      <c r="C553" s="24"/>
      <c r="D553" s="25"/>
    </row>
    <row r="554">
      <c r="C554" s="24"/>
      <c r="D554" s="25"/>
    </row>
    <row r="555">
      <c r="C555" s="24"/>
      <c r="D555" s="25"/>
    </row>
    <row r="556">
      <c r="C556" s="24"/>
      <c r="D556" s="25"/>
    </row>
    <row r="557">
      <c r="C557" s="24"/>
      <c r="D557" s="25"/>
    </row>
    <row r="558">
      <c r="C558" s="24"/>
      <c r="D558" s="25"/>
    </row>
    <row r="559">
      <c r="C559" s="24"/>
      <c r="D559" s="25"/>
    </row>
    <row r="560">
      <c r="C560" s="24"/>
      <c r="D560" s="25"/>
    </row>
    <row r="561">
      <c r="C561" s="24"/>
      <c r="D561" s="25"/>
    </row>
    <row r="562">
      <c r="C562" s="24"/>
      <c r="D562" s="25"/>
    </row>
    <row r="563">
      <c r="C563" s="24"/>
      <c r="D563" s="25"/>
    </row>
    <row r="564">
      <c r="C564" s="24"/>
      <c r="D564" s="25"/>
    </row>
    <row r="565">
      <c r="C565" s="24"/>
      <c r="D565" s="25"/>
    </row>
    <row r="566">
      <c r="C566" s="24"/>
      <c r="D566" s="25"/>
    </row>
    <row r="567">
      <c r="C567" s="24"/>
      <c r="D567" s="25"/>
    </row>
    <row r="568">
      <c r="C568" s="24"/>
      <c r="D568" s="25"/>
    </row>
    <row r="569">
      <c r="C569" s="24"/>
      <c r="D569" s="25"/>
    </row>
    <row r="570">
      <c r="C570" s="24"/>
      <c r="D570" s="25"/>
    </row>
    <row r="571">
      <c r="C571" s="24"/>
      <c r="D571" s="25"/>
    </row>
    <row r="572">
      <c r="C572" s="24"/>
      <c r="D572" s="25"/>
    </row>
    <row r="573">
      <c r="C573" s="24"/>
      <c r="D573" s="25"/>
    </row>
    <row r="574">
      <c r="C574" s="24"/>
      <c r="D574" s="25"/>
    </row>
    <row r="575">
      <c r="C575" s="24"/>
      <c r="D575" s="25"/>
    </row>
    <row r="576">
      <c r="C576" s="24"/>
      <c r="D576" s="25"/>
    </row>
    <row r="577">
      <c r="C577" s="24"/>
      <c r="D577" s="25"/>
    </row>
    <row r="578">
      <c r="C578" s="24"/>
      <c r="D578" s="25"/>
    </row>
    <row r="579">
      <c r="C579" s="24"/>
      <c r="D579" s="25"/>
    </row>
    <row r="580">
      <c r="C580" s="24"/>
      <c r="D580" s="25"/>
    </row>
    <row r="581">
      <c r="C581" s="24"/>
      <c r="D581" s="25"/>
    </row>
    <row r="582">
      <c r="C582" s="24"/>
      <c r="D582" s="25"/>
    </row>
    <row r="583">
      <c r="C583" s="24"/>
      <c r="D583" s="25"/>
    </row>
    <row r="584">
      <c r="C584" s="24"/>
      <c r="D584" s="25"/>
    </row>
    <row r="585">
      <c r="C585" s="24"/>
      <c r="D585" s="25"/>
    </row>
    <row r="586">
      <c r="C586" s="24"/>
      <c r="D586" s="25"/>
    </row>
    <row r="587">
      <c r="C587" s="24"/>
      <c r="D587" s="25"/>
    </row>
    <row r="588">
      <c r="C588" s="24"/>
      <c r="D588" s="25"/>
    </row>
    <row r="589">
      <c r="C589" s="24"/>
      <c r="D589" s="25"/>
    </row>
    <row r="590">
      <c r="C590" s="24"/>
      <c r="D590" s="25"/>
    </row>
    <row r="591">
      <c r="C591" s="24"/>
      <c r="D591" s="25"/>
    </row>
    <row r="592">
      <c r="C592" s="24"/>
      <c r="D592" s="25"/>
    </row>
    <row r="593">
      <c r="C593" s="24"/>
      <c r="D593" s="25"/>
    </row>
    <row r="594">
      <c r="C594" s="24"/>
      <c r="D594" s="25"/>
    </row>
    <row r="595">
      <c r="C595" s="24"/>
      <c r="D595" s="25"/>
    </row>
    <row r="596">
      <c r="C596" s="24"/>
      <c r="D596" s="25"/>
    </row>
    <row r="597">
      <c r="C597" s="24"/>
      <c r="D597" s="25"/>
    </row>
    <row r="598">
      <c r="C598" s="24"/>
      <c r="D598" s="25"/>
    </row>
    <row r="599">
      <c r="C599" s="24"/>
      <c r="D599" s="25"/>
    </row>
    <row r="600">
      <c r="C600" s="24"/>
      <c r="D600" s="25"/>
    </row>
    <row r="601">
      <c r="C601" s="24"/>
      <c r="D601" s="25"/>
    </row>
    <row r="602">
      <c r="C602" s="24"/>
      <c r="D602" s="25"/>
    </row>
    <row r="603">
      <c r="C603" s="24"/>
      <c r="D603" s="25"/>
    </row>
    <row r="604">
      <c r="C604" s="24"/>
      <c r="D604" s="25"/>
    </row>
    <row r="605">
      <c r="C605" s="24"/>
      <c r="D605" s="25"/>
    </row>
    <row r="606">
      <c r="C606" s="24"/>
      <c r="D606" s="25"/>
    </row>
    <row r="607">
      <c r="C607" s="24"/>
      <c r="D607" s="25"/>
    </row>
    <row r="608">
      <c r="C608" s="24"/>
      <c r="D608" s="25"/>
    </row>
    <row r="609">
      <c r="C609" s="24"/>
      <c r="D609" s="25"/>
    </row>
    <row r="610">
      <c r="C610" s="24"/>
      <c r="D610" s="25"/>
    </row>
    <row r="611">
      <c r="C611" s="24"/>
      <c r="D611" s="25"/>
    </row>
    <row r="612">
      <c r="C612" s="24"/>
      <c r="D612" s="25"/>
    </row>
    <row r="613">
      <c r="C613" s="24"/>
      <c r="D613" s="25"/>
    </row>
    <row r="614">
      <c r="C614" s="24"/>
      <c r="D614" s="25"/>
    </row>
    <row r="615">
      <c r="C615" s="24"/>
      <c r="D615" s="25"/>
    </row>
    <row r="616">
      <c r="C616" s="24"/>
      <c r="D616" s="25"/>
    </row>
    <row r="617">
      <c r="C617" s="24"/>
      <c r="D617" s="25"/>
    </row>
    <row r="618">
      <c r="C618" s="24"/>
      <c r="D618" s="25"/>
    </row>
    <row r="619">
      <c r="C619" s="24"/>
      <c r="D619" s="25"/>
    </row>
    <row r="620">
      <c r="C620" s="24"/>
      <c r="D620" s="25"/>
    </row>
    <row r="621">
      <c r="C621" s="24"/>
      <c r="D621" s="25"/>
    </row>
    <row r="622">
      <c r="C622" s="24"/>
      <c r="D622" s="25"/>
    </row>
    <row r="623">
      <c r="C623" s="24"/>
      <c r="D623" s="25"/>
    </row>
    <row r="624">
      <c r="C624" s="24"/>
      <c r="D624" s="25"/>
    </row>
    <row r="625">
      <c r="C625" s="24"/>
      <c r="D625" s="25"/>
    </row>
    <row r="626">
      <c r="C626" s="24"/>
      <c r="D626" s="25"/>
    </row>
    <row r="627">
      <c r="C627" s="24"/>
      <c r="D627" s="25"/>
    </row>
    <row r="628">
      <c r="C628" s="24"/>
      <c r="D628" s="25"/>
    </row>
    <row r="629">
      <c r="C629" s="24"/>
      <c r="D629" s="25"/>
    </row>
    <row r="630">
      <c r="C630" s="24"/>
      <c r="D630" s="25"/>
    </row>
    <row r="631">
      <c r="C631" s="24"/>
      <c r="D631" s="25"/>
    </row>
    <row r="632">
      <c r="C632" s="24"/>
      <c r="D632" s="25"/>
    </row>
    <row r="633">
      <c r="C633" s="24"/>
      <c r="D633" s="25"/>
    </row>
    <row r="634">
      <c r="C634" s="24"/>
      <c r="D634" s="25"/>
    </row>
    <row r="635">
      <c r="C635" s="24"/>
      <c r="D635" s="25"/>
    </row>
    <row r="636">
      <c r="C636" s="24"/>
      <c r="D636" s="25"/>
    </row>
    <row r="637">
      <c r="C637" s="24"/>
      <c r="D637" s="25"/>
    </row>
    <row r="638">
      <c r="C638" s="24"/>
      <c r="D638" s="25"/>
    </row>
    <row r="639">
      <c r="C639" s="24"/>
      <c r="D639" s="25"/>
    </row>
    <row r="640">
      <c r="C640" s="24"/>
      <c r="D640" s="25"/>
    </row>
    <row r="641">
      <c r="C641" s="24"/>
      <c r="D641" s="25"/>
    </row>
    <row r="642">
      <c r="C642" s="24"/>
      <c r="D642" s="25"/>
    </row>
    <row r="643">
      <c r="C643" s="24"/>
      <c r="D643" s="25"/>
    </row>
    <row r="644">
      <c r="C644" s="24"/>
      <c r="D644" s="25"/>
    </row>
    <row r="645">
      <c r="C645" s="24"/>
      <c r="D645" s="25"/>
    </row>
    <row r="646">
      <c r="C646" s="24"/>
      <c r="D646" s="25"/>
    </row>
    <row r="647">
      <c r="C647" s="24"/>
      <c r="D647" s="25"/>
    </row>
    <row r="648">
      <c r="C648" s="24"/>
      <c r="D648" s="25"/>
    </row>
    <row r="649">
      <c r="C649" s="24"/>
      <c r="D649" s="25"/>
    </row>
    <row r="650">
      <c r="C650" s="24"/>
      <c r="D650" s="25"/>
    </row>
    <row r="651">
      <c r="C651" s="24"/>
      <c r="D651" s="25"/>
    </row>
    <row r="652">
      <c r="C652" s="24"/>
      <c r="D652" s="25"/>
    </row>
    <row r="653">
      <c r="C653" s="24"/>
      <c r="D653" s="25"/>
    </row>
    <row r="654">
      <c r="C654" s="24"/>
      <c r="D654" s="25"/>
    </row>
    <row r="655">
      <c r="C655" s="24"/>
      <c r="D655" s="25"/>
    </row>
    <row r="656">
      <c r="C656" s="24"/>
      <c r="D656" s="25"/>
    </row>
    <row r="657">
      <c r="C657" s="24"/>
      <c r="D657" s="25"/>
    </row>
    <row r="658">
      <c r="C658" s="24"/>
      <c r="D658" s="25"/>
    </row>
    <row r="659">
      <c r="C659" s="24"/>
      <c r="D659" s="25"/>
    </row>
    <row r="660">
      <c r="C660" s="24"/>
      <c r="D660" s="25"/>
    </row>
    <row r="661">
      <c r="C661" s="24"/>
      <c r="D661" s="25"/>
    </row>
    <row r="662">
      <c r="C662" s="24"/>
      <c r="D662" s="25"/>
    </row>
    <row r="663">
      <c r="C663" s="24"/>
      <c r="D663" s="25"/>
    </row>
    <row r="664">
      <c r="C664" s="24"/>
      <c r="D664" s="25"/>
    </row>
    <row r="665">
      <c r="C665" s="24"/>
      <c r="D665" s="25"/>
    </row>
    <row r="666">
      <c r="C666" s="24"/>
      <c r="D666" s="25"/>
    </row>
    <row r="667">
      <c r="C667" s="24"/>
      <c r="D667" s="25"/>
    </row>
    <row r="668">
      <c r="C668" s="24"/>
      <c r="D668" s="25"/>
    </row>
    <row r="669">
      <c r="C669" s="24"/>
      <c r="D669" s="25"/>
    </row>
    <row r="670">
      <c r="C670" s="24"/>
      <c r="D670" s="25"/>
    </row>
    <row r="671">
      <c r="C671" s="24"/>
      <c r="D671" s="25"/>
    </row>
    <row r="672">
      <c r="C672" s="24"/>
      <c r="D672" s="25"/>
    </row>
    <row r="673">
      <c r="C673" s="24"/>
      <c r="D673" s="25"/>
    </row>
    <row r="674">
      <c r="C674" s="24"/>
      <c r="D674" s="25"/>
    </row>
    <row r="675">
      <c r="C675" s="24"/>
      <c r="D675" s="25"/>
    </row>
    <row r="676">
      <c r="C676" s="24"/>
      <c r="D676" s="25"/>
    </row>
    <row r="677">
      <c r="C677" s="24"/>
      <c r="D677" s="25"/>
    </row>
    <row r="678">
      <c r="C678" s="24"/>
      <c r="D678" s="25"/>
    </row>
    <row r="679">
      <c r="C679" s="24"/>
      <c r="D679" s="25"/>
    </row>
    <row r="680">
      <c r="C680" s="24"/>
      <c r="D680" s="25"/>
    </row>
    <row r="681">
      <c r="C681" s="24"/>
      <c r="D681" s="25"/>
    </row>
    <row r="682">
      <c r="C682" s="24"/>
      <c r="D682" s="25"/>
    </row>
    <row r="683">
      <c r="C683" s="24"/>
      <c r="D683" s="25"/>
    </row>
    <row r="684">
      <c r="C684" s="24"/>
      <c r="D684" s="25"/>
    </row>
    <row r="685">
      <c r="C685" s="24"/>
      <c r="D685" s="25"/>
    </row>
    <row r="686">
      <c r="C686" s="24"/>
      <c r="D686" s="25"/>
    </row>
    <row r="687">
      <c r="C687" s="24"/>
      <c r="D687" s="25"/>
    </row>
    <row r="688">
      <c r="C688" s="24"/>
      <c r="D688" s="25"/>
    </row>
    <row r="689">
      <c r="C689" s="24"/>
      <c r="D689" s="25"/>
    </row>
    <row r="690">
      <c r="C690" s="24"/>
      <c r="D690" s="25"/>
    </row>
    <row r="691">
      <c r="C691" s="24"/>
      <c r="D691" s="25"/>
    </row>
    <row r="692">
      <c r="C692" s="24"/>
      <c r="D692" s="25"/>
    </row>
    <row r="693">
      <c r="C693" s="24"/>
      <c r="D693" s="25"/>
    </row>
    <row r="694">
      <c r="C694" s="24"/>
      <c r="D694" s="25"/>
    </row>
    <row r="695">
      <c r="C695" s="24"/>
      <c r="D695" s="25"/>
    </row>
    <row r="696">
      <c r="C696" s="24"/>
      <c r="D696" s="25"/>
    </row>
    <row r="697">
      <c r="C697" s="24"/>
      <c r="D697" s="25"/>
    </row>
    <row r="698">
      <c r="C698" s="24"/>
      <c r="D698" s="25"/>
    </row>
    <row r="699">
      <c r="C699" s="24"/>
      <c r="D699" s="25"/>
    </row>
    <row r="700">
      <c r="C700" s="24"/>
      <c r="D700" s="25"/>
    </row>
    <row r="701">
      <c r="C701" s="24"/>
      <c r="D701" s="25"/>
    </row>
    <row r="702">
      <c r="C702" s="24"/>
      <c r="D702" s="25"/>
    </row>
    <row r="703">
      <c r="C703" s="24"/>
      <c r="D703" s="25"/>
    </row>
    <row r="704">
      <c r="C704" s="24"/>
      <c r="D704" s="25"/>
    </row>
    <row r="705">
      <c r="C705" s="24"/>
      <c r="D705" s="25"/>
    </row>
    <row r="706">
      <c r="C706" s="24"/>
      <c r="D706" s="25"/>
    </row>
    <row r="707">
      <c r="C707" s="24"/>
      <c r="D707" s="25"/>
    </row>
    <row r="708">
      <c r="C708" s="24"/>
      <c r="D708" s="25"/>
    </row>
    <row r="709">
      <c r="C709" s="24"/>
      <c r="D709" s="25"/>
    </row>
    <row r="710">
      <c r="C710" s="24"/>
      <c r="D710" s="25"/>
    </row>
    <row r="711">
      <c r="C711" s="24"/>
      <c r="D711" s="25"/>
    </row>
    <row r="712">
      <c r="C712" s="24"/>
      <c r="D712" s="25"/>
    </row>
    <row r="713">
      <c r="C713" s="24"/>
      <c r="D713" s="25"/>
    </row>
    <row r="714">
      <c r="C714" s="24"/>
      <c r="D714" s="25"/>
    </row>
    <row r="715">
      <c r="C715" s="24"/>
      <c r="D715" s="25"/>
    </row>
    <row r="716">
      <c r="C716" s="24"/>
      <c r="D716" s="25"/>
    </row>
    <row r="717">
      <c r="C717" s="24"/>
      <c r="D717" s="25"/>
    </row>
    <row r="718">
      <c r="C718" s="24"/>
      <c r="D718" s="25"/>
    </row>
    <row r="719">
      <c r="C719" s="24"/>
      <c r="D719" s="25"/>
    </row>
    <row r="720">
      <c r="C720" s="24"/>
      <c r="D720" s="25"/>
    </row>
    <row r="721">
      <c r="C721" s="24"/>
      <c r="D721" s="25"/>
    </row>
    <row r="722">
      <c r="C722" s="24"/>
      <c r="D722" s="25"/>
    </row>
    <row r="723">
      <c r="C723" s="24"/>
      <c r="D723" s="25"/>
    </row>
    <row r="724">
      <c r="C724" s="24"/>
      <c r="D724" s="25"/>
    </row>
    <row r="725">
      <c r="C725" s="24"/>
      <c r="D725" s="25"/>
    </row>
    <row r="726">
      <c r="C726" s="24"/>
      <c r="D726" s="25"/>
    </row>
    <row r="727">
      <c r="C727" s="24"/>
      <c r="D727" s="25"/>
    </row>
    <row r="728">
      <c r="C728" s="24"/>
      <c r="D728" s="25"/>
    </row>
    <row r="729">
      <c r="C729" s="24"/>
      <c r="D729" s="25"/>
    </row>
    <row r="730">
      <c r="C730" s="24"/>
      <c r="D730" s="25"/>
    </row>
    <row r="731">
      <c r="C731" s="24"/>
      <c r="D731" s="25"/>
    </row>
    <row r="732">
      <c r="C732" s="24"/>
      <c r="D732" s="25"/>
    </row>
    <row r="733">
      <c r="C733" s="24"/>
      <c r="D733" s="25"/>
    </row>
    <row r="734">
      <c r="C734" s="24"/>
      <c r="D734" s="25"/>
    </row>
    <row r="735">
      <c r="C735" s="24"/>
      <c r="D735" s="25"/>
    </row>
    <row r="736">
      <c r="C736" s="24"/>
      <c r="D736" s="25"/>
    </row>
    <row r="737">
      <c r="C737" s="24"/>
      <c r="D737" s="25"/>
    </row>
    <row r="738">
      <c r="C738" s="24"/>
      <c r="D738" s="25"/>
    </row>
    <row r="739">
      <c r="C739" s="24"/>
      <c r="D739" s="25"/>
    </row>
    <row r="740">
      <c r="C740" s="24"/>
      <c r="D740" s="25"/>
    </row>
    <row r="741">
      <c r="C741" s="24"/>
      <c r="D741" s="25"/>
    </row>
    <row r="742">
      <c r="C742" s="24"/>
      <c r="D742" s="25"/>
    </row>
    <row r="743">
      <c r="C743" s="24"/>
      <c r="D743" s="25"/>
    </row>
    <row r="744">
      <c r="C744" s="24"/>
      <c r="D744" s="25"/>
    </row>
    <row r="745">
      <c r="C745" s="24"/>
      <c r="D745" s="25"/>
    </row>
    <row r="746">
      <c r="C746" s="24"/>
      <c r="D746" s="25"/>
    </row>
    <row r="747">
      <c r="C747" s="24"/>
      <c r="D747" s="25"/>
    </row>
    <row r="748">
      <c r="C748" s="24"/>
      <c r="D748" s="25"/>
    </row>
    <row r="749">
      <c r="C749" s="24"/>
      <c r="D749" s="25"/>
    </row>
    <row r="750">
      <c r="C750" s="24"/>
      <c r="D750" s="25"/>
    </row>
    <row r="751">
      <c r="C751" s="24"/>
      <c r="D751" s="25"/>
    </row>
    <row r="752">
      <c r="C752" s="24"/>
      <c r="D752" s="25"/>
    </row>
    <row r="753">
      <c r="C753" s="24"/>
      <c r="D753" s="25"/>
    </row>
    <row r="754">
      <c r="C754" s="24"/>
      <c r="D754" s="25"/>
    </row>
    <row r="755">
      <c r="C755" s="24"/>
      <c r="D755" s="25"/>
    </row>
    <row r="756">
      <c r="C756" s="24"/>
      <c r="D756" s="25"/>
    </row>
    <row r="757">
      <c r="C757" s="24"/>
      <c r="D757" s="25"/>
    </row>
    <row r="758">
      <c r="C758" s="24"/>
      <c r="D758" s="25"/>
    </row>
    <row r="759">
      <c r="C759" s="24"/>
      <c r="D759" s="25"/>
    </row>
    <row r="760">
      <c r="C760" s="24"/>
      <c r="D760" s="25"/>
    </row>
    <row r="761">
      <c r="C761" s="24"/>
      <c r="D761" s="25"/>
    </row>
    <row r="762">
      <c r="C762" s="24"/>
      <c r="D762" s="25"/>
    </row>
    <row r="763">
      <c r="C763" s="24"/>
      <c r="D763" s="25"/>
    </row>
    <row r="764">
      <c r="C764" s="24"/>
      <c r="D764" s="25"/>
    </row>
    <row r="765">
      <c r="C765" s="24"/>
      <c r="D765" s="25"/>
    </row>
    <row r="766">
      <c r="C766" s="24"/>
      <c r="D766" s="25"/>
    </row>
    <row r="767">
      <c r="C767" s="24"/>
      <c r="D767" s="25"/>
    </row>
    <row r="768">
      <c r="C768" s="24"/>
      <c r="D768" s="25"/>
    </row>
    <row r="769">
      <c r="C769" s="24"/>
      <c r="D769" s="25"/>
    </row>
    <row r="770">
      <c r="C770" s="24"/>
      <c r="D770" s="25"/>
    </row>
    <row r="771">
      <c r="C771" s="24"/>
      <c r="D771" s="25"/>
    </row>
    <row r="772">
      <c r="C772" s="24"/>
      <c r="D772" s="25"/>
    </row>
    <row r="773">
      <c r="C773" s="24"/>
      <c r="D773" s="25"/>
    </row>
    <row r="774">
      <c r="C774" s="24"/>
      <c r="D774" s="25"/>
    </row>
    <row r="775">
      <c r="C775" s="24"/>
      <c r="D775" s="25"/>
    </row>
    <row r="776">
      <c r="C776" s="24"/>
      <c r="D776" s="25"/>
    </row>
    <row r="777">
      <c r="C777" s="24"/>
      <c r="D777" s="25"/>
    </row>
    <row r="778">
      <c r="C778" s="24"/>
      <c r="D778" s="25"/>
    </row>
    <row r="779">
      <c r="C779" s="24"/>
      <c r="D779" s="25"/>
    </row>
    <row r="780">
      <c r="C780" s="24"/>
      <c r="D780" s="25"/>
    </row>
    <row r="781">
      <c r="C781" s="24"/>
      <c r="D781" s="25"/>
    </row>
    <row r="782">
      <c r="C782" s="24"/>
      <c r="D782" s="25"/>
    </row>
    <row r="783">
      <c r="C783" s="24"/>
      <c r="D783" s="25"/>
    </row>
    <row r="784">
      <c r="C784" s="24"/>
      <c r="D784" s="25"/>
    </row>
    <row r="785">
      <c r="C785" s="24"/>
      <c r="D785" s="25"/>
    </row>
    <row r="786">
      <c r="C786" s="24"/>
      <c r="D786" s="25"/>
    </row>
    <row r="787">
      <c r="C787" s="24"/>
      <c r="D787" s="25"/>
    </row>
    <row r="788">
      <c r="C788" s="24"/>
      <c r="D788" s="25"/>
    </row>
    <row r="789">
      <c r="C789" s="24"/>
      <c r="D789" s="25"/>
    </row>
    <row r="790">
      <c r="C790" s="24"/>
      <c r="D790" s="25"/>
    </row>
    <row r="791">
      <c r="C791" s="24"/>
      <c r="D791" s="25"/>
    </row>
    <row r="792">
      <c r="C792" s="24"/>
      <c r="D792" s="25"/>
    </row>
    <row r="793">
      <c r="C793" s="24"/>
      <c r="D793" s="25"/>
    </row>
    <row r="794">
      <c r="C794" s="24"/>
      <c r="D794" s="25"/>
    </row>
    <row r="795">
      <c r="C795" s="24"/>
      <c r="D795" s="25"/>
    </row>
    <row r="796">
      <c r="C796" s="24"/>
      <c r="D796" s="25"/>
    </row>
    <row r="797">
      <c r="C797" s="24"/>
      <c r="D797" s="25"/>
    </row>
    <row r="798">
      <c r="C798" s="24"/>
      <c r="D798" s="25"/>
    </row>
    <row r="799">
      <c r="C799" s="24"/>
      <c r="D799" s="25"/>
    </row>
    <row r="800">
      <c r="C800" s="24"/>
      <c r="D800" s="25"/>
    </row>
    <row r="801">
      <c r="C801" s="24"/>
      <c r="D801" s="25"/>
    </row>
    <row r="802">
      <c r="C802" s="24"/>
      <c r="D802" s="25"/>
    </row>
    <row r="803">
      <c r="C803" s="24"/>
      <c r="D803" s="25"/>
    </row>
    <row r="804">
      <c r="C804" s="24"/>
      <c r="D804" s="25"/>
    </row>
    <row r="805">
      <c r="C805" s="24"/>
      <c r="D805" s="25"/>
    </row>
    <row r="806">
      <c r="C806" s="24"/>
      <c r="D806" s="25"/>
    </row>
    <row r="807">
      <c r="C807" s="24"/>
      <c r="D807" s="25"/>
    </row>
    <row r="808">
      <c r="C808" s="24"/>
      <c r="D808" s="25"/>
    </row>
    <row r="809">
      <c r="C809" s="24"/>
      <c r="D809" s="25"/>
    </row>
    <row r="810">
      <c r="C810" s="24"/>
      <c r="D810" s="25"/>
    </row>
    <row r="811">
      <c r="C811" s="24"/>
      <c r="D811" s="25"/>
    </row>
    <row r="812">
      <c r="C812" s="24"/>
      <c r="D812" s="25"/>
    </row>
    <row r="813">
      <c r="C813" s="24"/>
      <c r="D813" s="25"/>
    </row>
    <row r="814">
      <c r="C814" s="24"/>
      <c r="D814" s="25"/>
    </row>
    <row r="815">
      <c r="C815" s="24"/>
      <c r="D815" s="25"/>
    </row>
    <row r="816">
      <c r="C816" s="24"/>
      <c r="D816" s="25"/>
    </row>
    <row r="817">
      <c r="C817" s="24"/>
      <c r="D817" s="25"/>
    </row>
    <row r="818">
      <c r="C818" s="24"/>
      <c r="D818" s="25"/>
    </row>
    <row r="819">
      <c r="C819" s="24"/>
      <c r="D819" s="25"/>
    </row>
    <row r="820">
      <c r="C820" s="24"/>
      <c r="D820" s="25"/>
    </row>
    <row r="821">
      <c r="C821" s="24"/>
      <c r="D821" s="25"/>
    </row>
    <row r="822">
      <c r="C822" s="24"/>
      <c r="D822" s="25"/>
    </row>
    <row r="823">
      <c r="C823" s="24"/>
      <c r="D823" s="25"/>
    </row>
    <row r="824">
      <c r="C824" s="24"/>
      <c r="D824" s="25"/>
    </row>
    <row r="825">
      <c r="C825" s="24"/>
      <c r="D825" s="25"/>
    </row>
    <row r="826">
      <c r="C826" s="24"/>
      <c r="D826" s="25"/>
    </row>
    <row r="827">
      <c r="C827" s="24"/>
      <c r="D827" s="25"/>
    </row>
    <row r="828">
      <c r="C828" s="24"/>
      <c r="D828" s="25"/>
    </row>
    <row r="829">
      <c r="C829" s="24"/>
      <c r="D829" s="25"/>
    </row>
    <row r="830">
      <c r="C830" s="24"/>
      <c r="D830" s="25"/>
    </row>
    <row r="831">
      <c r="C831" s="24"/>
      <c r="D831" s="25"/>
    </row>
    <row r="832">
      <c r="C832" s="24"/>
      <c r="D832" s="25"/>
    </row>
    <row r="833">
      <c r="C833" s="24"/>
      <c r="D833" s="25"/>
    </row>
    <row r="834">
      <c r="C834" s="24"/>
      <c r="D834" s="25"/>
    </row>
    <row r="835">
      <c r="C835" s="24"/>
      <c r="D835" s="25"/>
    </row>
    <row r="836">
      <c r="C836" s="24"/>
      <c r="D836" s="25"/>
    </row>
    <row r="837">
      <c r="C837" s="24"/>
      <c r="D837" s="25"/>
    </row>
    <row r="838">
      <c r="C838" s="24"/>
      <c r="D838" s="25"/>
    </row>
    <row r="839">
      <c r="C839" s="24"/>
      <c r="D839" s="25"/>
    </row>
    <row r="840">
      <c r="C840" s="24"/>
      <c r="D840" s="25"/>
    </row>
    <row r="841">
      <c r="C841" s="24"/>
      <c r="D841" s="25"/>
    </row>
    <row r="842">
      <c r="C842" s="24"/>
      <c r="D842" s="25"/>
    </row>
    <row r="843">
      <c r="C843" s="24"/>
      <c r="D843" s="25"/>
    </row>
    <row r="844">
      <c r="C844" s="24"/>
      <c r="D844" s="25"/>
    </row>
    <row r="845">
      <c r="C845" s="24"/>
      <c r="D845" s="25"/>
    </row>
    <row r="846">
      <c r="C846" s="24"/>
      <c r="D846" s="25"/>
    </row>
    <row r="847">
      <c r="C847" s="24"/>
      <c r="D847" s="25"/>
    </row>
    <row r="848">
      <c r="C848" s="24"/>
      <c r="D848" s="25"/>
    </row>
    <row r="849">
      <c r="C849" s="24"/>
      <c r="D849" s="25"/>
    </row>
    <row r="850">
      <c r="C850" s="24"/>
      <c r="D850" s="25"/>
    </row>
    <row r="851">
      <c r="C851" s="24"/>
      <c r="D851" s="25"/>
    </row>
    <row r="852">
      <c r="C852" s="24"/>
      <c r="D852" s="25"/>
    </row>
    <row r="853">
      <c r="C853" s="24"/>
      <c r="D853" s="25"/>
    </row>
    <row r="854">
      <c r="C854" s="24"/>
      <c r="D854" s="25"/>
    </row>
    <row r="855">
      <c r="C855" s="24"/>
      <c r="D855" s="25"/>
    </row>
    <row r="856">
      <c r="C856" s="24"/>
      <c r="D856" s="25"/>
    </row>
    <row r="857">
      <c r="C857" s="24"/>
      <c r="D857" s="25"/>
    </row>
    <row r="858">
      <c r="C858" s="24"/>
      <c r="D858" s="25"/>
    </row>
    <row r="859">
      <c r="C859" s="24"/>
      <c r="D859" s="25"/>
    </row>
    <row r="860">
      <c r="C860" s="24"/>
      <c r="D860" s="25"/>
    </row>
    <row r="861">
      <c r="C861" s="24"/>
      <c r="D861" s="25"/>
    </row>
    <row r="862">
      <c r="C862" s="24"/>
      <c r="D862" s="25"/>
    </row>
    <row r="863">
      <c r="C863" s="24"/>
      <c r="D863" s="25"/>
    </row>
    <row r="864">
      <c r="C864" s="24"/>
      <c r="D864" s="25"/>
    </row>
    <row r="865">
      <c r="C865" s="24"/>
      <c r="D865" s="25"/>
    </row>
    <row r="866">
      <c r="C866" s="24"/>
      <c r="D866" s="25"/>
    </row>
    <row r="867">
      <c r="C867" s="24"/>
      <c r="D867" s="25"/>
    </row>
    <row r="868">
      <c r="C868" s="24"/>
      <c r="D868" s="25"/>
    </row>
    <row r="869">
      <c r="C869" s="24"/>
      <c r="D869" s="25"/>
    </row>
    <row r="870">
      <c r="C870" s="24"/>
      <c r="D870" s="25"/>
    </row>
    <row r="871">
      <c r="C871" s="24"/>
      <c r="D871" s="25"/>
    </row>
    <row r="872">
      <c r="C872" s="24"/>
      <c r="D872" s="25"/>
    </row>
    <row r="873">
      <c r="C873" s="24"/>
      <c r="D873" s="25"/>
    </row>
    <row r="874">
      <c r="C874" s="24"/>
      <c r="D874" s="25"/>
    </row>
    <row r="875">
      <c r="C875" s="24"/>
      <c r="D875" s="25"/>
    </row>
    <row r="876">
      <c r="C876" s="24"/>
      <c r="D876" s="25"/>
    </row>
    <row r="877">
      <c r="C877" s="24"/>
      <c r="D877" s="25"/>
    </row>
    <row r="878">
      <c r="C878" s="24"/>
      <c r="D878" s="25"/>
    </row>
    <row r="879">
      <c r="C879" s="24"/>
      <c r="D879" s="25"/>
    </row>
    <row r="880">
      <c r="C880" s="24"/>
      <c r="D880" s="25"/>
    </row>
    <row r="881">
      <c r="C881" s="24"/>
      <c r="D881" s="25"/>
    </row>
    <row r="882">
      <c r="C882" s="24"/>
      <c r="D882" s="25"/>
    </row>
    <row r="883">
      <c r="C883" s="24"/>
      <c r="D883" s="25"/>
    </row>
    <row r="884">
      <c r="C884" s="24"/>
      <c r="D884" s="25"/>
    </row>
    <row r="885">
      <c r="C885" s="24"/>
      <c r="D885" s="25"/>
    </row>
    <row r="886">
      <c r="C886" s="24"/>
      <c r="D886" s="25"/>
    </row>
    <row r="887">
      <c r="C887" s="24"/>
      <c r="D887" s="25"/>
    </row>
    <row r="888">
      <c r="C888" s="24"/>
      <c r="D888" s="25"/>
    </row>
    <row r="889">
      <c r="C889" s="24"/>
      <c r="D889" s="25"/>
    </row>
    <row r="890">
      <c r="C890" s="24"/>
      <c r="D890" s="25"/>
    </row>
    <row r="891">
      <c r="C891" s="24"/>
      <c r="D891" s="25"/>
    </row>
    <row r="892">
      <c r="C892" s="24"/>
      <c r="D892" s="25"/>
    </row>
    <row r="893">
      <c r="C893" s="24"/>
      <c r="D893" s="25"/>
    </row>
    <row r="894">
      <c r="C894" s="24"/>
      <c r="D894" s="25"/>
    </row>
    <row r="895">
      <c r="C895" s="24"/>
      <c r="D895" s="25"/>
    </row>
    <row r="896">
      <c r="C896" s="24"/>
      <c r="D896" s="25"/>
    </row>
    <row r="897">
      <c r="C897" s="24"/>
      <c r="D897" s="25"/>
    </row>
    <row r="898">
      <c r="C898" s="24"/>
      <c r="D898" s="25"/>
    </row>
    <row r="899">
      <c r="C899" s="24"/>
      <c r="D899" s="25"/>
    </row>
    <row r="900">
      <c r="C900" s="24"/>
      <c r="D900" s="25"/>
    </row>
    <row r="901">
      <c r="C901" s="24"/>
      <c r="D901" s="25"/>
    </row>
    <row r="902">
      <c r="C902" s="24"/>
      <c r="D902" s="25"/>
    </row>
    <row r="903">
      <c r="C903" s="24"/>
      <c r="D903" s="25"/>
    </row>
    <row r="904">
      <c r="C904" s="24"/>
      <c r="D904" s="25"/>
    </row>
    <row r="905">
      <c r="C905" s="24"/>
      <c r="D905" s="25"/>
    </row>
    <row r="906">
      <c r="C906" s="24"/>
      <c r="D906" s="25"/>
    </row>
    <row r="907">
      <c r="C907" s="24"/>
      <c r="D907" s="25"/>
    </row>
    <row r="908">
      <c r="C908" s="24"/>
      <c r="D908" s="25"/>
    </row>
    <row r="909">
      <c r="C909" s="24"/>
      <c r="D909" s="25"/>
    </row>
    <row r="910">
      <c r="C910" s="24"/>
      <c r="D910" s="25"/>
    </row>
    <row r="911">
      <c r="C911" s="24"/>
      <c r="D911" s="25"/>
    </row>
    <row r="912">
      <c r="C912" s="24"/>
      <c r="D912" s="25"/>
    </row>
    <row r="913">
      <c r="C913" s="24"/>
      <c r="D913" s="25"/>
    </row>
    <row r="914">
      <c r="C914" s="24"/>
      <c r="D914" s="25"/>
    </row>
    <row r="915">
      <c r="C915" s="24"/>
      <c r="D915" s="25"/>
    </row>
    <row r="916">
      <c r="C916" s="24"/>
      <c r="D916" s="25"/>
    </row>
    <row r="917">
      <c r="C917" s="24"/>
      <c r="D917" s="25"/>
    </row>
    <row r="918">
      <c r="C918" s="24"/>
      <c r="D918" s="25"/>
    </row>
    <row r="919">
      <c r="C919" s="24"/>
      <c r="D919" s="25"/>
    </row>
    <row r="920">
      <c r="C920" s="24"/>
      <c r="D920" s="25"/>
    </row>
    <row r="921">
      <c r="C921" s="24"/>
      <c r="D921" s="25"/>
    </row>
    <row r="922">
      <c r="C922" s="24"/>
      <c r="D922" s="25"/>
    </row>
    <row r="923">
      <c r="C923" s="24"/>
      <c r="D923" s="25"/>
    </row>
    <row r="924">
      <c r="C924" s="24"/>
      <c r="D924" s="25"/>
    </row>
    <row r="925">
      <c r="C925" s="24"/>
      <c r="D925" s="25"/>
    </row>
    <row r="926">
      <c r="C926" s="24"/>
      <c r="D926" s="25"/>
    </row>
    <row r="927">
      <c r="C927" s="24"/>
      <c r="D927" s="25"/>
    </row>
    <row r="928">
      <c r="C928" s="24"/>
      <c r="D928" s="25"/>
    </row>
    <row r="929">
      <c r="C929" s="24"/>
      <c r="D929" s="25"/>
    </row>
    <row r="930">
      <c r="C930" s="24"/>
      <c r="D930" s="25"/>
    </row>
    <row r="931">
      <c r="C931" s="24"/>
      <c r="D931" s="25"/>
    </row>
    <row r="932">
      <c r="C932" s="24"/>
      <c r="D932" s="25"/>
    </row>
    <row r="933">
      <c r="C933" s="24"/>
      <c r="D933" s="25"/>
    </row>
    <row r="934">
      <c r="C934" s="24"/>
      <c r="D934" s="25"/>
    </row>
    <row r="935">
      <c r="C935" s="24"/>
      <c r="D935" s="25"/>
    </row>
    <row r="936">
      <c r="C936" s="24"/>
      <c r="D936" s="25"/>
    </row>
    <row r="937">
      <c r="C937" s="24"/>
      <c r="D937" s="25"/>
    </row>
    <row r="938">
      <c r="C938" s="24"/>
      <c r="D938" s="25"/>
    </row>
    <row r="939">
      <c r="C939" s="24"/>
      <c r="D939" s="25"/>
    </row>
    <row r="940">
      <c r="C940" s="24"/>
      <c r="D940" s="25"/>
    </row>
    <row r="941">
      <c r="C941" s="24"/>
      <c r="D941" s="25"/>
    </row>
    <row r="942">
      <c r="C942" s="24"/>
      <c r="D942" s="25"/>
    </row>
    <row r="943">
      <c r="C943" s="24"/>
      <c r="D943" s="25"/>
    </row>
    <row r="944">
      <c r="C944" s="24"/>
      <c r="D944" s="25"/>
    </row>
    <row r="945">
      <c r="C945" s="24"/>
      <c r="D945" s="25"/>
    </row>
    <row r="946">
      <c r="C946" s="24"/>
      <c r="D946" s="25"/>
    </row>
    <row r="947">
      <c r="C947" s="24"/>
      <c r="D947" s="25"/>
    </row>
    <row r="948">
      <c r="C948" s="24"/>
      <c r="D948" s="25"/>
    </row>
    <row r="949">
      <c r="C949" s="24"/>
      <c r="D949" s="25"/>
    </row>
    <row r="950">
      <c r="C950" s="24"/>
      <c r="D950" s="25"/>
    </row>
    <row r="951">
      <c r="C951" s="24"/>
      <c r="D951" s="25"/>
    </row>
    <row r="952">
      <c r="C952" s="24"/>
      <c r="D952" s="25"/>
    </row>
    <row r="953">
      <c r="C953" s="24"/>
      <c r="D953" s="25"/>
    </row>
    <row r="954">
      <c r="C954" s="24"/>
      <c r="D954" s="25"/>
    </row>
    <row r="955">
      <c r="C955" s="24"/>
      <c r="D955" s="25"/>
    </row>
    <row r="956">
      <c r="C956" s="24"/>
      <c r="D956" s="25"/>
    </row>
    <row r="957">
      <c r="C957" s="24"/>
      <c r="D957" s="25"/>
    </row>
    <row r="958">
      <c r="C958" s="24"/>
      <c r="D958" s="25"/>
    </row>
    <row r="959">
      <c r="C959" s="24"/>
      <c r="D959" s="25"/>
    </row>
    <row r="960">
      <c r="C960" s="24"/>
      <c r="D960" s="25"/>
    </row>
    <row r="961">
      <c r="C961" s="24"/>
      <c r="D961" s="25"/>
    </row>
    <row r="962">
      <c r="C962" s="24"/>
      <c r="D962" s="25"/>
    </row>
    <row r="963">
      <c r="C963" s="24"/>
      <c r="D963" s="25"/>
    </row>
    <row r="964">
      <c r="C964" s="24"/>
      <c r="D964" s="25"/>
    </row>
    <row r="965">
      <c r="C965" s="24"/>
      <c r="D965" s="25"/>
    </row>
    <row r="966">
      <c r="C966" s="24"/>
      <c r="D966" s="25"/>
    </row>
    <row r="967">
      <c r="C967" s="24"/>
      <c r="D967" s="25"/>
    </row>
    <row r="968">
      <c r="C968" s="24"/>
      <c r="D968" s="25"/>
    </row>
    <row r="969">
      <c r="C969" s="24"/>
      <c r="D969" s="25"/>
    </row>
    <row r="970">
      <c r="C970" s="24"/>
      <c r="D970" s="25"/>
    </row>
    <row r="971">
      <c r="C971" s="24"/>
      <c r="D971" s="25"/>
    </row>
    <row r="972">
      <c r="C972" s="24"/>
      <c r="D972" s="25"/>
    </row>
    <row r="973">
      <c r="C973" s="24"/>
      <c r="D973" s="25"/>
    </row>
    <row r="974">
      <c r="C974" s="24"/>
      <c r="D974" s="25"/>
    </row>
    <row r="975">
      <c r="C975" s="24"/>
      <c r="D975" s="25"/>
    </row>
    <row r="976">
      <c r="C976" s="24"/>
      <c r="D976" s="25"/>
    </row>
    <row r="977">
      <c r="C977" s="24"/>
      <c r="D977" s="25"/>
    </row>
    <row r="978">
      <c r="C978" s="24"/>
      <c r="D978" s="25"/>
    </row>
    <row r="979">
      <c r="C979" s="24"/>
      <c r="D979" s="25"/>
    </row>
    <row r="980">
      <c r="C980" s="24"/>
      <c r="D980" s="25"/>
    </row>
    <row r="981">
      <c r="C981" s="24"/>
      <c r="D981" s="25"/>
    </row>
    <row r="982">
      <c r="C982" s="24"/>
      <c r="D982" s="25"/>
    </row>
    <row r="983">
      <c r="C983" s="24"/>
      <c r="D983" s="25"/>
    </row>
    <row r="984">
      <c r="C984" s="24"/>
      <c r="D984" s="25"/>
    </row>
    <row r="985">
      <c r="C985" s="24"/>
      <c r="D985" s="25"/>
    </row>
    <row r="986">
      <c r="C986" s="24"/>
      <c r="D986" s="25"/>
    </row>
    <row r="987">
      <c r="C987" s="24"/>
      <c r="D987" s="25"/>
    </row>
    <row r="988">
      <c r="C988" s="24"/>
      <c r="D988" s="25"/>
    </row>
    <row r="989">
      <c r="C989" s="24"/>
      <c r="D989" s="25"/>
    </row>
    <row r="990">
      <c r="C990" s="24"/>
      <c r="D990" s="25"/>
    </row>
    <row r="991">
      <c r="C991" s="24"/>
      <c r="D991" s="25"/>
    </row>
    <row r="992">
      <c r="C992" s="24"/>
      <c r="D992" s="25"/>
    </row>
    <row r="993">
      <c r="C993" s="24"/>
      <c r="D993" s="25"/>
    </row>
    <row r="994">
      <c r="C994" s="24"/>
      <c r="D994" s="25"/>
    </row>
    <row r="995">
      <c r="C995" s="24"/>
      <c r="D995" s="25"/>
    </row>
    <row r="996">
      <c r="C996" s="24"/>
      <c r="D996" s="25"/>
    </row>
    <row r="997">
      <c r="C997" s="24"/>
      <c r="D997" s="25"/>
    </row>
    <row r="998">
      <c r="C998" s="24"/>
      <c r="D998" s="25"/>
    </row>
    <row r="999">
      <c r="C999" s="24"/>
      <c r="D999" s="25"/>
    </row>
    <row r="1000">
      <c r="C1000" s="24"/>
      <c r="D1000" s="25"/>
    </row>
  </sheetData>
  <dataValidations>
    <dataValidation type="list" allowBlank="1" showErrorMessage="1" sqref="D2:D101">
      <formula1>"TO DO,SDG 7,NOT SDG 7,SKIP"</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s>
  <sheetData>
    <row r="1">
      <c r="A1" s="27" t="s">
        <v>351</v>
      </c>
      <c r="B1" s="27" t="s">
        <v>352</v>
      </c>
      <c r="C1" s="27" t="s">
        <v>353</v>
      </c>
      <c r="D1" s="27" t="s">
        <v>354</v>
      </c>
      <c r="E1" s="27" t="s">
        <v>355</v>
      </c>
      <c r="F1" s="27" t="s">
        <v>356</v>
      </c>
      <c r="G1" s="27" t="s">
        <v>357</v>
      </c>
      <c r="H1" s="27" t="s">
        <v>358</v>
      </c>
      <c r="I1" s="13" t="s">
        <v>359</v>
      </c>
    </row>
    <row r="2">
      <c r="A2" s="21" t="s">
        <v>161</v>
      </c>
      <c r="B2" s="21" t="s">
        <v>162</v>
      </c>
      <c r="C2" s="21" t="s">
        <v>163</v>
      </c>
      <c r="D2" s="28">
        <v>7.0</v>
      </c>
      <c r="E2" s="28">
        <v>10.0</v>
      </c>
      <c r="F2" s="28">
        <v>0.0</v>
      </c>
      <c r="G2" s="28">
        <v>1.0</v>
      </c>
      <c r="H2" s="21" t="str">
        <f t="shared" ref="H2:H101" si="1">CHOOSE(ROUNDDOWN(G2*4.999999,0)+1, "very hard", "hard", "medium", "easy", "very easy")</f>
        <v>very easy</v>
      </c>
      <c r="I2" s="14" t="str">
        <f t="shared" ref="I2:I101" si="2">IF(F2&gt;E2, "SDG 7", IF(E2&gt;F2, "NOT SDG 7", "SKIP"))</f>
        <v>NOT SDG 7</v>
      </c>
    </row>
    <row r="3">
      <c r="A3" s="21" t="s">
        <v>164</v>
      </c>
      <c r="B3" s="21" t="s">
        <v>165</v>
      </c>
      <c r="C3" s="21" t="s">
        <v>166</v>
      </c>
      <c r="D3" s="28">
        <v>7.0</v>
      </c>
      <c r="E3" s="28">
        <v>9.0</v>
      </c>
      <c r="F3" s="28">
        <v>0.0</v>
      </c>
      <c r="G3" s="28">
        <v>1.0</v>
      </c>
      <c r="H3" s="21" t="str">
        <f t="shared" si="1"/>
        <v>very easy</v>
      </c>
      <c r="I3" s="14" t="str">
        <f t="shared" si="2"/>
        <v>NOT SDG 7</v>
      </c>
    </row>
    <row r="4">
      <c r="A4" s="21" t="s">
        <v>124</v>
      </c>
      <c r="B4" s="21" t="s">
        <v>303</v>
      </c>
      <c r="C4" s="21" t="s">
        <v>304</v>
      </c>
      <c r="D4" s="28">
        <v>7.0</v>
      </c>
      <c r="E4" s="28">
        <v>9.0</v>
      </c>
      <c r="F4" s="28">
        <v>0.0</v>
      </c>
      <c r="G4" s="28">
        <v>1.0</v>
      </c>
      <c r="H4" s="21" t="str">
        <f t="shared" si="1"/>
        <v>very easy</v>
      </c>
      <c r="I4" s="14" t="str">
        <f t="shared" si="2"/>
        <v>NOT SDG 7</v>
      </c>
    </row>
    <row r="5">
      <c r="A5" s="21" t="s">
        <v>105</v>
      </c>
      <c r="B5" s="21" t="s">
        <v>117</v>
      </c>
      <c r="C5" s="21" t="s">
        <v>118</v>
      </c>
      <c r="D5" s="28">
        <v>7.0</v>
      </c>
      <c r="E5" s="28">
        <v>5.0</v>
      </c>
      <c r="F5" s="28">
        <v>0.0</v>
      </c>
      <c r="G5" s="28">
        <v>1.0</v>
      </c>
      <c r="H5" s="21" t="str">
        <f t="shared" si="1"/>
        <v>very easy</v>
      </c>
      <c r="I5" s="14" t="str">
        <f t="shared" si="2"/>
        <v>NOT SDG 7</v>
      </c>
    </row>
    <row r="6">
      <c r="A6" s="21" t="s">
        <v>146</v>
      </c>
      <c r="B6" s="21" t="s">
        <v>147</v>
      </c>
      <c r="C6" s="21" t="s">
        <v>148</v>
      </c>
      <c r="D6" s="28">
        <v>7.0</v>
      </c>
      <c r="E6" s="28">
        <v>4.0</v>
      </c>
      <c r="F6" s="28">
        <v>0.0</v>
      </c>
      <c r="G6" s="28">
        <v>1.0</v>
      </c>
      <c r="H6" s="21" t="str">
        <f t="shared" si="1"/>
        <v>very easy</v>
      </c>
      <c r="I6" s="14" t="str">
        <f t="shared" si="2"/>
        <v>NOT SDG 7</v>
      </c>
    </row>
    <row r="7">
      <c r="A7" s="21" t="s">
        <v>158</v>
      </c>
      <c r="B7" s="21" t="s">
        <v>318</v>
      </c>
      <c r="C7" s="21" t="s">
        <v>319</v>
      </c>
      <c r="D7" s="28">
        <v>7.0</v>
      </c>
      <c r="E7" s="28">
        <v>4.0</v>
      </c>
      <c r="F7" s="28">
        <v>0.0</v>
      </c>
      <c r="G7" s="28">
        <v>1.0</v>
      </c>
      <c r="H7" s="21" t="str">
        <f t="shared" si="1"/>
        <v>very easy</v>
      </c>
      <c r="I7" s="14" t="str">
        <f t="shared" si="2"/>
        <v>NOT SDG 7</v>
      </c>
    </row>
    <row r="8">
      <c r="A8" s="21" t="s">
        <v>215</v>
      </c>
      <c r="B8" s="21" t="s">
        <v>323</v>
      </c>
      <c r="C8" s="21" t="s">
        <v>324</v>
      </c>
      <c r="D8" s="28">
        <v>7.0</v>
      </c>
      <c r="E8" s="28">
        <v>3.0</v>
      </c>
      <c r="F8" s="28">
        <v>0.0</v>
      </c>
      <c r="G8" s="28">
        <v>1.0</v>
      </c>
      <c r="H8" s="21" t="str">
        <f t="shared" si="1"/>
        <v>very easy</v>
      </c>
      <c r="I8" s="14" t="str">
        <f t="shared" si="2"/>
        <v>NOT SDG 7</v>
      </c>
    </row>
    <row r="9">
      <c r="A9" s="21" t="s">
        <v>164</v>
      </c>
      <c r="B9" s="21" t="s">
        <v>331</v>
      </c>
      <c r="C9" s="21" t="s">
        <v>332</v>
      </c>
      <c r="D9" s="28">
        <v>7.0</v>
      </c>
      <c r="E9" s="28">
        <v>3.0</v>
      </c>
      <c r="F9" s="28">
        <v>0.0</v>
      </c>
      <c r="G9" s="28">
        <v>1.0</v>
      </c>
      <c r="H9" s="21" t="str">
        <f t="shared" si="1"/>
        <v>very easy</v>
      </c>
      <c r="I9" s="14" t="str">
        <f t="shared" si="2"/>
        <v>NOT SDG 7</v>
      </c>
    </row>
    <row r="10">
      <c r="A10" s="21" t="s">
        <v>124</v>
      </c>
      <c r="B10" s="21" t="s">
        <v>249</v>
      </c>
      <c r="C10" s="21" t="s">
        <v>250</v>
      </c>
      <c r="D10" s="28">
        <v>7.0</v>
      </c>
      <c r="E10" s="28">
        <v>3.0</v>
      </c>
      <c r="F10" s="28">
        <v>0.0</v>
      </c>
      <c r="G10" s="28">
        <v>1.0</v>
      </c>
      <c r="H10" s="21" t="str">
        <f t="shared" si="1"/>
        <v>very easy</v>
      </c>
      <c r="I10" s="14" t="str">
        <f t="shared" si="2"/>
        <v>NOT SDG 7</v>
      </c>
    </row>
    <row r="11">
      <c r="A11" s="21" t="s">
        <v>189</v>
      </c>
      <c r="B11" s="21" t="s">
        <v>190</v>
      </c>
      <c r="C11" s="21" t="s">
        <v>191</v>
      </c>
      <c r="D11" s="28">
        <v>7.0</v>
      </c>
      <c r="E11" s="28">
        <v>3.0</v>
      </c>
      <c r="F11" s="28">
        <v>0.0</v>
      </c>
      <c r="G11" s="28">
        <v>1.0</v>
      </c>
      <c r="H11" s="21" t="str">
        <f t="shared" si="1"/>
        <v>very easy</v>
      </c>
      <c r="I11" s="14" t="str">
        <f t="shared" si="2"/>
        <v>NOT SDG 7</v>
      </c>
    </row>
    <row r="12">
      <c r="A12" s="21" t="s">
        <v>220</v>
      </c>
      <c r="B12" s="21" t="s">
        <v>221</v>
      </c>
      <c r="C12" s="21" t="s">
        <v>222</v>
      </c>
      <c r="D12" s="28">
        <v>7.0</v>
      </c>
      <c r="E12" s="28">
        <v>0.0</v>
      </c>
      <c r="F12" s="28">
        <v>11.0</v>
      </c>
      <c r="G12" s="28">
        <v>1.0</v>
      </c>
      <c r="H12" s="21" t="str">
        <f t="shared" si="1"/>
        <v>very easy</v>
      </c>
      <c r="I12" s="14" t="str">
        <f t="shared" si="2"/>
        <v>SDG 7</v>
      </c>
    </row>
    <row r="13">
      <c r="A13" s="21" t="s">
        <v>192</v>
      </c>
      <c r="B13" s="21" t="s">
        <v>193</v>
      </c>
      <c r="C13" s="21" t="s">
        <v>194</v>
      </c>
      <c r="D13" s="28">
        <v>7.0</v>
      </c>
      <c r="E13" s="28">
        <v>0.0</v>
      </c>
      <c r="F13" s="28">
        <v>10.0</v>
      </c>
      <c r="G13" s="28">
        <v>1.0</v>
      </c>
      <c r="H13" s="21" t="str">
        <f t="shared" si="1"/>
        <v>very easy</v>
      </c>
      <c r="I13" s="14" t="str">
        <f t="shared" si="2"/>
        <v>SDG 7</v>
      </c>
    </row>
    <row r="14">
      <c r="A14" s="21" t="s">
        <v>102</v>
      </c>
      <c r="B14" s="21" t="s">
        <v>172</v>
      </c>
      <c r="C14" s="21" t="s">
        <v>173</v>
      </c>
      <c r="D14" s="28">
        <v>7.0</v>
      </c>
      <c r="E14" s="28">
        <v>0.0</v>
      </c>
      <c r="F14" s="28">
        <v>10.0</v>
      </c>
      <c r="G14" s="28">
        <v>1.0</v>
      </c>
      <c r="H14" s="21" t="str">
        <f t="shared" si="1"/>
        <v>very easy</v>
      </c>
      <c r="I14" s="14" t="str">
        <f t="shared" si="2"/>
        <v>SDG 7</v>
      </c>
    </row>
    <row r="15">
      <c r="A15" s="21" t="s">
        <v>229</v>
      </c>
      <c r="B15" s="21" t="s">
        <v>235</v>
      </c>
      <c r="C15" s="21" t="s">
        <v>236</v>
      </c>
      <c r="D15" s="28">
        <v>7.0</v>
      </c>
      <c r="E15" s="28">
        <v>0.0</v>
      </c>
      <c r="F15" s="28">
        <v>9.0</v>
      </c>
      <c r="G15" s="28">
        <v>1.0</v>
      </c>
      <c r="H15" s="21" t="str">
        <f t="shared" si="1"/>
        <v>very easy</v>
      </c>
      <c r="I15" s="14" t="str">
        <f t="shared" si="2"/>
        <v>SDG 7</v>
      </c>
    </row>
    <row r="16">
      <c r="A16" s="21" t="s">
        <v>308</v>
      </c>
      <c r="B16" s="21" t="s">
        <v>309</v>
      </c>
      <c r="C16" s="21" t="s">
        <v>310</v>
      </c>
      <c r="D16" s="28">
        <v>7.0</v>
      </c>
      <c r="E16" s="28">
        <v>0.0</v>
      </c>
      <c r="F16" s="28">
        <v>9.0</v>
      </c>
      <c r="G16" s="28">
        <v>1.0</v>
      </c>
      <c r="H16" s="21" t="str">
        <f t="shared" si="1"/>
        <v>very easy</v>
      </c>
      <c r="I16" s="14" t="str">
        <f t="shared" si="2"/>
        <v>SDG 7</v>
      </c>
    </row>
    <row r="17">
      <c r="A17" s="21" t="s">
        <v>276</v>
      </c>
      <c r="B17" s="21" t="s">
        <v>301</v>
      </c>
      <c r="C17" s="21" t="s">
        <v>302</v>
      </c>
      <c r="D17" s="28">
        <v>7.0</v>
      </c>
      <c r="E17" s="28">
        <v>0.0</v>
      </c>
      <c r="F17" s="28">
        <v>9.0</v>
      </c>
      <c r="G17" s="28">
        <v>1.0</v>
      </c>
      <c r="H17" s="21" t="str">
        <f t="shared" si="1"/>
        <v>very easy</v>
      </c>
      <c r="I17" s="14" t="str">
        <f t="shared" si="2"/>
        <v>SDG 7</v>
      </c>
    </row>
    <row r="18">
      <c r="A18" s="21" t="s">
        <v>169</v>
      </c>
      <c r="B18" s="21" t="s">
        <v>170</v>
      </c>
      <c r="C18" s="21" t="s">
        <v>171</v>
      </c>
      <c r="D18" s="28">
        <v>7.0</v>
      </c>
      <c r="E18" s="28">
        <v>0.0</v>
      </c>
      <c r="F18" s="28">
        <v>9.0</v>
      </c>
      <c r="G18" s="28">
        <v>1.0</v>
      </c>
      <c r="H18" s="21" t="str">
        <f t="shared" si="1"/>
        <v>very easy</v>
      </c>
      <c r="I18" s="14" t="str">
        <f t="shared" si="2"/>
        <v>SDG 7</v>
      </c>
    </row>
    <row r="19">
      <c r="A19" s="21" t="s">
        <v>232</v>
      </c>
      <c r="B19" s="21" t="s">
        <v>233</v>
      </c>
      <c r="C19" s="21" t="s">
        <v>234</v>
      </c>
      <c r="D19" s="28">
        <v>7.0</v>
      </c>
      <c r="E19" s="28">
        <v>0.0</v>
      </c>
      <c r="F19" s="28">
        <v>9.0</v>
      </c>
      <c r="G19" s="28">
        <v>1.0</v>
      </c>
      <c r="H19" s="21" t="str">
        <f t="shared" si="1"/>
        <v>very easy</v>
      </c>
      <c r="I19" s="14" t="str">
        <f t="shared" si="2"/>
        <v>SDG 7</v>
      </c>
    </row>
    <row r="20">
      <c r="A20" s="21" t="s">
        <v>325</v>
      </c>
      <c r="B20" s="21" t="s">
        <v>326</v>
      </c>
      <c r="C20" s="21" t="s">
        <v>327</v>
      </c>
      <c r="D20" s="28">
        <v>7.0</v>
      </c>
      <c r="E20" s="28">
        <v>0.0</v>
      </c>
      <c r="F20" s="28">
        <v>9.0</v>
      </c>
      <c r="G20" s="28">
        <v>1.0</v>
      </c>
      <c r="H20" s="21" t="str">
        <f t="shared" si="1"/>
        <v>very easy</v>
      </c>
      <c r="I20" s="14" t="str">
        <f t="shared" si="2"/>
        <v>SDG 7</v>
      </c>
    </row>
    <row r="21">
      <c r="A21" s="21" t="s">
        <v>286</v>
      </c>
      <c r="B21" s="21" t="s">
        <v>287</v>
      </c>
      <c r="C21" s="21" t="s">
        <v>288</v>
      </c>
      <c r="D21" s="28">
        <v>7.0</v>
      </c>
      <c r="E21" s="28">
        <v>1.0</v>
      </c>
      <c r="F21" s="28">
        <v>10.0</v>
      </c>
      <c r="G21" s="28">
        <v>0.818181818181818</v>
      </c>
      <c r="H21" s="21" t="str">
        <f t="shared" si="1"/>
        <v>very easy</v>
      </c>
      <c r="I21" s="14" t="str">
        <f t="shared" si="2"/>
        <v>SDG 7</v>
      </c>
    </row>
    <row r="22">
      <c r="A22" s="21" t="s">
        <v>114</v>
      </c>
      <c r="B22" s="21" t="s">
        <v>167</v>
      </c>
      <c r="C22" s="21" t="s">
        <v>168</v>
      </c>
      <c r="D22" s="28">
        <v>7.0</v>
      </c>
      <c r="E22" s="28">
        <v>1.0</v>
      </c>
      <c r="F22" s="28">
        <v>9.0</v>
      </c>
      <c r="G22" s="28">
        <v>0.8</v>
      </c>
      <c r="H22" s="21" t="str">
        <f t="shared" si="1"/>
        <v>easy</v>
      </c>
      <c r="I22" s="14" t="str">
        <f t="shared" si="2"/>
        <v>SDG 7</v>
      </c>
    </row>
    <row r="23">
      <c r="A23" s="21" t="s">
        <v>174</v>
      </c>
      <c r="B23" s="21" t="s">
        <v>218</v>
      </c>
      <c r="C23" s="21" t="s">
        <v>219</v>
      </c>
      <c r="D23" s="28">
        <v>7.0</v>
      </c>
      <c r="E23" s="28">
        <v>8.0</v>
      </c>
      <c r="F23" s="28">
        <v>1.0</v>
      </c>
      <c r="G23" s="28">
        <v>0.777777777777777</v>
      </c>
      <c r="H23" s="21" t="str">
        <f t="shared" si="1"/>
        <v>easy</v>
      </c>
      <c r="I23" s="14" t="str">
        <f t="shared" si="2"/>
        <v>NOT SDG 7</v>
      </c>
    </row>
    <row r="24">
      <c r="A24" s="21" t="s">
        <v>90</v>
      </c>
      <c r="B24" s="21" t="s">
        <v>210</v>
      </c>
      <c r="C24" s="21" t="s">
        <v>211</v>
      </c>
      <c r="D24" s="28">
        <v>7.0</v>
      </c>
      <c r="E24" s="28">
        <v>8.0</v>
      </c>
      <c r="F24" s="28">
        <v>1.0</v>
      </c>
      <c r="G24" s="28">
        <v>0.777777777777777</v>
      </c>
      <c r="H24" s="21" t="str">
        <f t="shared" si="1"/>
        <v>easy</v>
      </c>
      <c r="I24" s="14" t="str">
        <f t="shared" si="2"/>
        <v>NOT SDG 7</v>
      </c>
    </row>
    <row r="25">
      <c r="A25" s="21" t="s">
        <v>96</v>
      </c>
      <c r="B25" s="21" t="s">
        <v>97</v>
      </c>
      <c r="C25" s="21" t="s">
        <v>98</v>
      </c>
      <c r="D25" s="28">
        <v>7.0</v>
      </c>
      <c r="E25" s="28">
        <v>8.0</v>
      </c>
      <c r="F25" s="28">
        <v>1.0</v>
      </c>
      <c r="G25" s="28">
        <v>0.777777777777777</v>
      </c>
      <c r="H25" s="21" t="str">
        <f t="shared" si="1"/>
        <v>easy</v>
      </c>
      <c r="I25" s="14" t="str">
        <f t="shared" si="2"/>
        <v>NOT SDG 7</v>
      </c>
    </row>
    <row r="26">
      <c r="A26" s="21" t="s">
        <v>83</v>
      </c>
      <c r="B26" s="21" t="s">
        <v>247</v>
      </c>
      <c r="C26" s="21" t="s">
        <v>248</v>
      </c>
      <c r="D26" s="28">
        <v>7.0</v>
      </c>
      <c r="E26" s="28">
        <v>8.0</v>
      </c>
      <c r="F26" s="28">
        <v>1.0</v>
      </c>
      <c r="G26" s="28">
        <v>0.777777777777777</v>
      </c>
      <c r="H26" s="21" t="str">
        <f t="shared" si="1"/>
        <v>easy</v>
      </c>
      <c r="I26" s="14" t="str">
        <f t="shared" si="2"/>
        <v>NOT SDG 7</v>
      </c>
    </row>
    <row r="27">
      <c r="A27" s="21" t="s">
        <v>203</v>
      </c>
      <c r="B27" s="21" t="s">
        <v>260</v>
      </c>
      <c r="C27" s="21" t="s">
        <v>261</v>
      </c>
      <c r="D27" s="28">
        <v>7.0</v>
      </c>
      <c r="E27" s="28">
        <v>8.0</v>
      </c>
      <c r="F27" s="28">
        <v>1.0</v>
      </c>
      <c r="G27" s="28">
        <v>0.777777777777777</v>
      </c>
      <c r="H27" s="21" t="str">
        <f t="shared" si="1"/>
        <v>easy</v>
      </c>
      <c r="I27" s="14" t="str">
        <f t="shared" si="2"/>
        <v>NOT SDG 7</v>
      </c>
    </row>
    <row r="28">
      <c r="A28" s="21" t="s">
        <v>102</v>
      </c>
      <c r="B28" s="21" t="s">
        <v>103</v>
      </c>
      <c r="C28" s="21" t="s">
        <v>104</v>
      </c>
      <c r="D28" s="28">
        <v>7.0</v>
      </c>
      <c r="E28" s="28">
        <v>8.0</v>
      </c>
      <c r="F28" s="28">
        <v>1.0</v>
      </c>
      <c r="G28" s="28">
        <v>0.777777777777777</v>
      </c>
      <c r="H28" s="21" t="str">
        <f t="shared" si="1"/>
        <v>easy</v>
      </c>
      <c r="I28" s="14" t="str">
        <f t="shared" si="2"/>
        <v>NOT SDG 7</v>
      </c>
    </row>
    <row r="29">
      <c r="A29" s="21" t="s">
        <v>87</v>
      </c>
      <c r="B29" s="21" t="s">
        <v>132</v>
      </c>
      <c r="C29" s="21" t="s">
        <v>133</v>
      </c>
      <c r="D29" s="28">
        <v>7.0</v>
      </c>
      <c r="E29" s="28">
        <v>8.0</v>
      </c>
      <c r="F29" s="28">
        <v>1.0</v>
      </c>
      <c r="G29" s="28">
        <v>0.777777777777777</v>
      </c>
      <c r="H29" s="21" t="str">
        <f t="shared" si="1"/>
        <v>easy</v>
      </c>
      <c r="I29" s="14" t="str">
        <f t="shared" si="2"/>
        <v>NOT SDG 7</v>
      </c>
    </row>
    <row r="30">
      <c r="A30" s="21" t="s">
        <v>90</v>
      </c>
      <c r="B30" s="21" t="s">
        <v>122</v>
      </c>
      <c r="C30" s="21" t="s">
        <v>123</v>
      </c>
      <c r="D30" s="28">
        <v>7.0</v>
      </c>
      <c r="E30" s="28">
        <v>8.0</v>
      </c>
      <c r="F30" s="28">
        <v>1.0</v>
      </c>
      <c r="G30" s="28">
        <v>0.777777777777777</v>
      </c>
      <c r="H30" s="21" t="str">
        <f t="shared" si="1"/>
        <v>easy</v>
      </c>
      <c r="I30" s="14" t="str">
        <f t="shared" si="2"/>
        <v>NOT SDG 7</v>
      </c>
    </row>
    <row r="31">
      <c r="A31" s="21" t="s">
        <v>158</v>
      </c>
      <c r="B31" s="21" t="s">
        <v>185</v>
      </c>
      <c r="C31" s="21" t="s">
        <v>186</v>
      </c>
      <c r="D31" s="28">
        <v>7.0</v>
      </c>
      <c r="E31" s="28">
        <v>8.0</v>
      </c>
      <c r="F31" s="28">
        <v>1.0</v>
      </c>
      <c r="G31" s="28">
        <v>0.777777777777777</v>
      </c>
      <c r="H31" s="21" t="str">
        <f t="shared" si="1"/>
        <v>easy</v>
      </c>
      <c r="I31" s="14" t="str">
        <f t="shared" si="2"/>
        <v>NOT SDG 7</v>
      </c>
    </row>
    <row r="32">
      <c r="A32" s="21" t="s">
        <v>105</v>
      </c>
      <c r="B32" s="21" t="s">
        <v>240</v>
      </c>
      <c r="C32" s="21" t="s">
        <v>241</v>
      </c>
      <c r="D32" s="28">
        <v>7.0</v>
      </c>
      <c r="E32" s="28">
        <v>1.0</v>
      </c>
      <c r="F32" s="28">
        <v>8.0</v>
      </c>
      <c r="G32" s="28">
        <v>0.777777777777777</v>
      </c>
      <c r="H32" s="21" t="str">
        <f t="shared" si="1"/>
        <v>easy</v>
      </c>
      <c r="I32" s="14" t="str">
        <f t="shared" si="2"/>
        <v>SDG 7</v>
      </c>
    </row>
    <row r="33">
      <c r="A33" s="21" t="s">
        <v>93</v>
      </c>
      <c r="B33" s="21" t="s">
        <v>338</v>
      </c>
      <c r="C33" s="21" t="s">
        <v>339</v>
      </c>
      <c r="D33" s="28">
        <v>7.0</v>
      </c>
      <c r="E33" s="28">
        <v>1.0</v>
      </c>
      <c r="F33" s="28">
        <v>8.0</v>
      </c>
      <c r="G33" s="28">
        <v>0.777777777777777</v>
      </c>
      <c r="H33" s="21" t="str">
        <f t="shared" si="1"/>
        <v>easy</v>
      </c>
      <c r="I33" s="14" t="str">
        <f t="shared" si="2"/>
        <v>SDG 7</v>
      </c>
    </row>
    <row r="34">
      <c r="A34" s="21" t="s">
        <v>93</v>
      </c>
      <c r="B34" s="21" t="s">
        <v>94</v>
      </c>
      <c r="C34" s="21" t="s">
        <v>95</v>
      </c>
      <c r="D34" s="28">
        <v>7.0</v>
      </c>
      <c r="E34" s="28">
        <v>1.0</v>
      </c>
      <c r="F34" s="28">
        <v>8.0</v>
      </c>
      <c r="G34" s="28">
        <v>0.777777777777777</v>
      </c>
      <c r="H34" s="21" t="str">
        <f t="shared" si="1"/>
        <v>easy</v>
      </c>
      <c r="I34" s="14" t="str">
        <f t="shared" si="2"/>
        <v>SDG 7</v>
      </c>
    </row>
    <row r="35">
      <c r="A35" s="21" t="s">
        <v>137</v>
      </c>
      <c r="B35" s="21" t="s">
        <v>138</v>
      </c>
      <c r="C35" s="21" t="s">
        <v>139</v>
      </c>
      <c r="D35" s="28">
        <v>7.0</v>
      </c>
      <c r="E35" s="28">
        <v>1.0</v>
      </c>
      <c r="F35" s="28">
        <v>8.0</v>
      </c>
      <c r="G35" s="28">
        <v>0.777777777777777</v>
      </c>
      <c r="H35" s="21" t="str">
        <f t="shared" si="1"/>
        <v>easy</v>
      </c>
      <c r="I35" s="14" t="str">
        <f t="shared" si="2"/>
        <v>SDG 7</v>
      </c>
    </row>
    <row r="36">
      <c r="A36" s="21" t="s">
        <v>262</v>
      </c>
      <c r="B36" s="21" t="s">
        <v>263</v>
      </c>
      <c r="C36" s="21" t="s">
        <v>264</v>
      </c>
      <c r="D36" s="28">
        <v>7.0</v>
      </c>
      <c r="E36" s="28">
        <v>1.0</v>
      </c>
      <c r="F36" s="28">
        <v>8.0</v>
      </c>
      <c r="G36" s="28">
        <v>0.777777777777777</v>
      </c>
      <c r="H36" s="21" t="str">
        <f t="shared" si="1"/>
        <v>easy</v>
      </c>
      <c r="I36" s="14" t="str">
        <f t="shared" si="2"/>
        <v>SDG 7</v>
      </c>
    </row>
    <row r="37">
      <c r="A37" s="21" t="s">
        <v>119</v>
      </c>
      <c r="B37" s="21" t="s">
        <v>120</v>
      </c>
      <c r="C37" s="21" t="s">
        <v>121</v>
      </c>
      <c r="D37" s="28">
        <v>7.0</v>
      </c>
      <c r="E37" s="28">
        <v>1.0</v>
      </c>
      <c r="F37" s="28">
        <v>8.0</v>
      </c>
      <c r="G37" s="28">
        <v>0.777777777777777</v>
      </c>
      <c r="H37" s="21" t="str">
        <f t="shared" si="1"/>
        <v>easy</v>
      </c>
      <c r="I37" s="14" t="str">
        <f t="shared" si="2"/>
        <v>SDG 7</v>
      </c>
    </row>
    <row r="38">
      <c r="A38" s="21" t="s">
        <v>212</v>
      </c>
      <c r="B38" s="21" t="s">
        <v>213</v>
      </c>
      <c r="C38" s="21" t="s">
        <v>214</v>
      </c>
      <c r="D38" s="28">
        <v>7.0</v>
      </c>
      <c r="E38" s="28">
        <v>1.0</v>
      </c>
      <c r="F38" s="28">
        <v>8.0</v>
      </c>
      <c r="G38" s="28">
        <v>0.777777777777777</v>
      </c>
      <c r="H38" s="21" t="str">
        <f t="shared" si="1"/>
        <v>easy</v>
      </c>
      <c r="I38" s="14" t="str">
        <f t="shared" si="2"/>
        <v>SDG 7</v>
      </c>
    </row>
    <row r="39">
      <c r="A39" s="21" t="s">
        <v>276</v>
      </c>
      <c r="B39" s="21" t="s">
        <v>277</v>
      </c>
      <c r="C39" s="21" t="s">
        <v>278</v>
      </c>
      <c r="D39" s="28">
        <v>7.0</v>
      </c>
      <c r="E39" s="28">
        <v>1.0</v>
      </c>
      <c r="F39" s="28">
        <v>8.0</v>
      </c>
      <c r="G39" s="28">
        <v>0.777777777777777</v>
      </c>
      <c r="H39" s="21" t="str">
        <f t="shared" si="1"/>
        <v>easy</v>
      </c>
      <c r="I39" s="14" t="str">
        <f t="shared" si="2"/>
        <v>SDG 7</v>
      </c>
    </row>
    <row r="40">
      <c r="A40" s="21" t="s">
        <v>226</v>
      </c>
      <c r="B40" s="21" t="s">
        <v>227</v>
      </c>
      <c r="C40" s="21" t="s">
        <v>228</v>
      </c>
      <c r="D40" s="28">
        <v>7.0</v>
      </c>
      <c r="E40" s="28">
        <v>1.0</v>
      </c>
      <c r="F40" s="28">
        <v>8.0</v>
      </c>
      <c r="G40" s="28">
        <v>0.777777777777777</v>
      </c>
      <c r="H40" s="21" t="str">
        <f t="shared" si="1"/>
        <v>easy</v>
      </c>
      <c r="I40" s="14" t="str">
        <f t="shared" si="2"/>
        <v>SDG 7</v>
      </c>
    </row>
    <row r="41">
      <c r="A41" s="21" t="s">
        <v>255</v>
      </c>
      <c r="B41" s="21" t="s">
        <v>256</v>
      </c>
      <c r="C41" s="21" t="s">
        <v>257</v>
      </c>
      <c r="D41" s="28">
        <v>7.0</v>
      </c>
      <c r="E41" s="28">
        <v>1.0</v>
      </c>
      <c r="F41" s="28">
        <v>8.0</v>
      </c>
      <c r="G41" s="28">
        <v>0.777777777777777</v>
      </c>
      <c r="H41" s="21" t="str">
        <f t="shared" si="1"/>
        <v>easy</v>
      </c>
      <c r="I41" s="14" t="str">
        <f t="shared" si="2"/>
        <v>SDG 7</v>
      </c>
    </row>
    <row r="42">
      <c r="A42" s="21" t="s">
        <v>137</v>
      </c>
      <c r="B42" s="21" t="s">
        <v>195</v>
      </c>
      <c r="C42" s="21" t="s">
        <v>196</v>
      </c>
      <c r="D42" s="28">
        <v>7.0</v>
      </c>
      <c r="E42" s="28">
        <v>1.0</v>
      </c>
      <c r="F42" s="28">
        <v>8.0</v>
      </c>
      <c r="G42" s="28">
        <v>0.777777777777777</v>
      </c>
      <c r="H42" s="21" t="str">
        <f t="shared" si="1"/>
        <v>easy</v>
      </c>
      <c r="I42" s="14" t="str">
        <f t="shared" si="2"/>
        <v>SDG 7</v>
      </c>
    </row>
    <row r="43">
      <c r="A43" s="21" t="s">
        <v>99</v>
      </c>
      <c r="B43" s="21" t="s">
        <v>208</v>
      </c>
      <c r="C43" s="21" t="s">
        <v>209</v>
      </c>
      <c r="D43" s="28">
        <v>7.0</v>
      </c>
      <c r="E43" s="28">
        <v>1.0</v>
      </c>
      <c r="F43" s="28">
        <v>7.0</v>
      </c>
      <c r="G43" s="28">
        <v>0.75</v>
      </c>
      <c r="H43" s="21" t="str">
        <f t="shared" si="1"/>
        <v>easy</v>
      </c>
      <c r="I43" s="14" t="str">
        <f t="shared" si="2"/>
        <v>SDG 7</v>
      </c>
    </row>
    <row r="44">
      <c r="A44" s="21" t="s">
        <v>87</v>
      </c>
      <c r="B44" s="21" t="s">
        <v>253</v>
      </c>
      <c r="C44" s="21" t="s">
        <v>254</v>
      </c>
      <c r="D44" s="28">
        <v>7.0</v>
      </c>
      <c r="E44" s="28">
        <v>5.0</v>
      </c>
      <c r="F44" s="28">
        <v>1.0</v>
      </c>
      <c r="G44" s="28">
        <v>0.666666666666666</v>
      </c>
      <c r="H44" s="21" t="str">
        <f t="shared" si="1"/>
        <v>easy</v>
      </c>
      <c r="I44" s="14" t="str">
        <f t="shared" si="2"/>
        <v>NOT SDG 7</v>
      </c>
    </row>
    <row r="45">
      <c r="A45" s="21" t="s">
        <v>164</v>
      </c>
      <c r="B45" s="21" t="s">
        <v>274</v>
      </c>
      <c r="C45" s="21" t="s">
        <v>275</v>
      </c>
      <c r="D45" s="28">
        <v>7.0</v>
      </c>
      <c r="E45" s="28">
        <v>5.0</v>
      </c>
      <c r="F45" s="28">
        <v>1.0</v>
      </c>
      <c r="G45" s="28">
        <v>0.666666666666666</v>
      </c>
      <c r="H45" s="21" t="str">
        <f t="shared" si="1"/>
        <v>easy</v>
      </c>
      <c r="I45" s="14" t="str">
        <f t="shared" si="2"/>
        <v>NOT SDG 7</v>
      </c>
    </row>
    <row r="46">
      <c r="A46" s="21" t="s">
        <v>124</v>
      </c>
      <c r="B46" s="21" t="s">
        <v>279</v>
      </c>
      <c r="C46" s="21" t="s">
        <v>280</v>
      </c>
      <c r="D46" s="28">
        <v>7.0</v>
      </c>
      <c r="E46" s="28">
        <v>4.0</v>
      </c>
      <c r="F46" s="28">
        <v>1.0</v>
      </c>
      <c r="G46" s="28">
        <v>0.6</v>
      </c>
      <c r="H46" s="21" t="str">
        <f t="shared" si="1"/>
        <v>medium</v>
      </c>
      <c r="I46" s="14" t="str">
        <f t="shared" si="2"/>
        <v>NOT SDG 7</v>
      </c>
    </row>
    <row r="47">
      <c r="A47" s="21" t="s">
        <v>313</v>
      </c>
      <c r="B47" s="21" t="s">
        <v>314</v>
      </c>
      <c r="C47" s="21" t="s">
        <v>315</v>
      </c>
      <c r="D47" s="28">
        <v>7.0</v>
      </c>
      <c r="E47" s="28">
        <v>1.0</v>
      </c>
      <c r="F47" s="28">
        <v>4.0</v>
      </c>
      <c r="G47" s="28">
        <v>0.6</v>
      </c>
      <c r="H47" s="21" t="str">
        <f t="shared" si="1"/>
        <v>medium</v>
      </c>
      <c r="I47" s="14" t="str">
        <f t="shared" si="2"/>
        <v>SDG 7</v>
      </c>
    </row>
    <row r="48">
      <c r="A48" s="21" t="s">
        <v>108</v>
      </c>
      <c r="B48" s="21" t="s">
        <v>109</v>
      </c>
      <c r="C48" s="21" t="s">
        <v>110</v>
      </c>
      <c r="D48" s="28">
        <v>7.0</v>
      </c>
      <c r="E48" s="28">
        <v>1.0</v>
      </c>
      <c r="F48" s="28">
        <v>4.0</v>
      </c>
      <c r="G48" s="28">
        <v>0.6</v>
      </c>
      <c r="H48" s="21" t="str">
        <f t="shared" si="1"/>
        <v>medium</v>
      </c>
      <c r="I48" s="14" t="str">
        <f t="shared" si="2"/>
        <v>SDG 7</v>
      </c>
    </row>
    <row r="49">
      <c r="A49" s="21" t="s">
        <v>146</v>
      </c>
      <c r="B49" s="21" t="s">
        <v>336</v>
      </c>
      <c r="C49" s="21" t="s">
        <v>337</v>
      </c>
      <c r="D49" s="28">
        <v>7.0</v>
      </c>
      <c r="E49" s="28">
        <v>1.0</v>
      </c>
      <c r="F49" s="28">
        <v>4.0</v>
      </c>
      <c r="G49" s="28">
        <v>0.6</v>
      </c>
      <c r="H49" s="21" t="str">
        <f t="shared" si="1"/>
        <v>medium</v>
      </c>
      <c r="I49" s="14" t="str">
        <f t="shared" si="2"/>
        <v>SDG 7</v>
      </c>
    </row>
    <row r="50">
      <c r="A50" s="21" t="s">
        <v>155</v>
      </c>
      <c r="B50" s="21" t="s">
        <v>156</v>
      </c>
      <c r="C50" s="21" t="s">
        <v>157</v>
      </c>
      <c r="D50" s="28">
        <v>7.0</v>
      </c>
      <c r="E50" s="28">
        <v>1.0</v>
      </c>
      <c r="F50" s="28">
        <v>4.0</v>
      </c>
      <c r="G50" s="28">
        <v>0.6</v>
      </c>
      <c r="H50" s="21" t="str">
        <f t="shared" si="1"/>
        <v>medium</v>
      </c>
      <c r="I50" s="14" t="str">
        <f t="shared" si="2"/>
        <v>SDG 7</v>
      </c>
    </row>
    <row r="51">
      <c r="A51" s="21" t="s">
        <v>174</v>
      </c>
      <c r="B51" s="21" t="s">
        <v>175</v>
      </c>
      <c r="C51" s="21" t="s">
        <v>176</v>
      </c>
      <c r="D51" s="28">
        <v>7.0</v>
      </c>
      <c r="E51" s="28">
        <v>1.0</v>
      </c>
      <c r="F51" s="28">
        <v>4.0</v>
      </c>
      <c r="G51" s="28">
        <v>0.6</v>
      </c>
      <c r="H51" s="21" t="str">
        <f t="shared" si="1"/>
        <v>medium</v>
      </c>
      <c r="I51" s="14" t="str">
        <f t="shared" si="2"/>
        <v>SDG 7</v>
      </c>
    </row>
    <row r="52">
      <c r="A52" s="21" t="s">
        <v>320</v>
      </c>
      <c r="B52" s="21" t="s">
        <v>321</v>
      </c>
      <c r="C52" s="21" t="s">
        <v>322</v>
      </c>
      <c r="D52" s="28">
        <v>7.0</v>
      </c>
      <c r="E52" s="28">
        <v>1.0</v>
      </c>
      <c r="F52" s="28">
        <v>4.0</v>
      </c>
      <c r="G52" s="28">
        <v>0.6</v>
      </c>
      <c r="H52" s="21" t="str">
        <f t="shared" si="1"/>
        <v>medium</v>
      </c>
      <c r="I52" s="14" t="str">
        <f t="shared" si="2"/>
        <v>SDG 7</v>
      </c>
    </row>
    <row r="53">
      <c r="A53" s="21" t="s">
        <v>294</v>
      </c>
      <c r="B53" s="21" t="s">
        <v>295</v>
      </c>
      <c r="C53" s="21" t="s">
        <v>296</v>
      </c>
      <c r="D53" s="28">
        <v>7.0</v>
      </c>
      <c r="E53" s="28">
        <v>1.0</v>
      </c>
      <c r="F53" s="28">
        <v>4.0</v>
      </c>
      <c r="G53" s="28">
        <v>0.6</v>
      </c>
      <c r="H53" s="21" t="str">
        <f t="shared" si="1"/>
        <v>medium</v>
      </c>
      <c r="I53" s="14" t="str">
        <f t="shared" si="2"/>
        <v>SDG 7</v>
      </c>
    </row>
    <row r="54">
      <c r="A54" s="21" t="s">
        <v>203</v>
      </c>
      <c r="B54" s="21" t="s">
        <v>204</v>
      </c>
      <c r="C54" s="21" t="s">
        <v>205</v>
      </c>
      <c r="D54" s="28">
        <v>7.0</v>
      </c>
      <c r="E54" s="28">
        <v>1.0</v>
      </c>
      <c r="F54" s="28">
        <v>4.0</v>
      </c>
      <c r="G54" s="28">
        <v>0.6</v>
      </c>
      <c r="H54" s="21" t="str">
        <f t="shared" si="1"/>
        <v>medium</v>
      </c>
      <c r="I54" s="14" t="str">
        <f t="shared" si="2"/>
        <v>SDG 7</v>
      </c>
    </row>
    <row r="55">
      <c r="A55" s="21" t="s">
        <v>93</v>
      </c>
      <c r="B55" s="21" t="s">
        <v>311</v>
      </c>
      <c r="C55" s="21" t="s">
        <v>312</v>
      </c>
      <c r="D55" s="28">
        <v>7.0</v>
      </c>
      <c r="E55" s="28">
        <v>2.0</v>
      </c>
      <c r="F55" s="28">
        <v>7.0</v>
      </c>
      <c r="G55" s="28">
        <v>0.555555555555555</v>
      </c>
      <c r="H55" s="21" t="str">
        <f t="shared" si="1"/>
        <v>medium</v>
      </c>
      <c r="I55" s="14" t="str">
        <f t="shared" si="2"/>
        <v>SDG 7</v>
      </c>
    </row>
    <row r="56">
      <c r="A56" s="21" t="s">
        <v>215</v>
      </c>
      <c r="B56" s="21" t="s">
        <v>216</v>
      </c>
      <c r="C56" s="21" t="s">
        <v>217</v>
      </c>
      <c r="D56" s="28">
        <v>7.0</v>
      </c>
      <c r="E56" s="28">
        <v>2.0</v>
      </c>
      <c r="F56" s="28">
        <v>7.0</v>
      </c>
      <c r="G56" s="28">
        <v>0.555555555555555</v>
      </c>
      <c r="H56" s="21" t="str">
        <f t="shared" si="1"/>
        <v>medium</v>
      </c>
      <c r="I56" s="14" t="str">
        <f t="shared" si="2"/>
        <v>SDG 7</v>
      </c>
    </row>
    <row r="57">
      <c r="A57" s="21" t="s">
        <v>305</v>
      </c>
      <c r="B57" s="21" t="s">
        <v>306</v>
      </c>
      <c r="C57" s="21" t="s">
        <v>307</v>
      </c>
      <c r="D57" s="28">
        <v>7.0</v>
      </c>
      <c r="E57" s="28">
        <v>2.0</v>
      </c>
      <c r="F57" s="28">
        <v>7.0</v>
      </c>
      <c r="G57" s="28">
        <v>0.555555555555555</v>
      </c>
      <c r="H57" s="21" t="str">
        <f t="shared" si="1"/>
        <v>medium</v>
      </c>
      <c r="I57" s="14" t="str">
        <f t="shared" si="2"/>
        <v>SDG 7</v>
      </c>
    </row>
    <row r="58">
      <c r="A58" s="21" t="s">
        <v>149</v>
      </c>
      <c r="B58" s="21" t="s">
        <v>150</v>
      </c>
      <c r="C58" s="21" t="s">
        <v>151</v>
      </c>
      <c r="D58" s="28">
        <v>7.0</v>
      </c>
      <c r="E58" s="28">
        <v>2.0</v>
      </c>
      <c r="F58" s="28">
        <v>7.0</v>
      </c>
      <c r="G58" s="28">
        <v>0.555555555555555</v>
      </c>
      <c r="H58" s="21" t="str">
        <f t="shared" si="1"/>
        <v>medium</v>
      </c>
      <c r="I58" s="14" t="str">
        <f t="shared" si="2"/>
        <v>SDG 7</v>
      </c>
    </row>
    <row r="59">
      <c r="A59" s="21" t="s">
        <v>333</v>
      </c>
      <c r="B59" s="21" t="s">
        <v>334</v>
      </c>
      <c r="C59" s="21" t="s">
        <v>335</v>
      </c>
      <c r="D59" s="28">
        <v>7.0</v>
      </c>
      <c r="E59" s="28">
        <v>2.0</v>
      </c>
      <c r="F59" s="28">
        <v>7.0</v>
      </c>
      <c r="G59" s="28">
        <v>0.555555555555555</v>
      </c>
      <c r="H59" s="21" t="str">
        <f t="shared" si="1"/>
        <v>medium</v>
      </c>
      <c r="I59" s="14" t="str">
        <f t="shared" si="2"/>
        <v>SDG 7</v>
      </c>
    </row>
    <row r="60">
      <c r="A60" s="21" t="s">
        <v>289</v>
      </c>
      <c r="B60" s="21" t="s">
        <v>290</v>
      </c>
      <c r="C60" s="21" t="s">
        <v>291</v>
      </c>
      <c r="D60" s="28">
        <v>7.0</v>
      </c>
      <c r="E60" s="28">
        <v>6.0</v>
      </c>
      <c r="F60" s="28">
        <v>2.0</v>
      </c>
      <c r="G60" s="28">
        <v>0.5</v>
      </c>
      <c r="H60" s="21" t="str">
        <f t="shared" si="1"/>
        <v>medium</v>
      </c>
      <c r="I60" s="14" t="str">
        <f t="shared" si="2"/>
        <v>NOT SDG 7</v>
      </c>
    </row>
    <row r="61">
      <c r="A61" s="21" t="s">
        <v>87</v>
      </c>
      <c r="B61" s="21" t="s">
        <v>258</v>
      </c>
      <c r="C61" s="21" t="s">
        <v>259</v>
      </c>
      <c r="D61" s="28">
        <v>7.0</v>
      </c>
      <c r="E61" s="28">
        <v>3.0</v>
      </c>
      <c r="F61" s="28">
        <v>1.0</v>
      </c>
      <c r="G61" s="28">
        <v>0.5</v>
      </c>
      <c r="H61" s="21" t="str">
        <f t="shared" si="1"/>
        <v>medium</v>
      </c>
      <c r="I61" s="14" t="str">
        <f t="shared" si="2"/>
        <v>NOT SDG 7</v>
      </c>
    </row>
    <row r="62">
      <c r="A62" s="21" t="s">
        <v>90</v>
      </c>
      <c r="B62" s="21" t="s">
        <v>299</v>
      </c>
      <c r="C62" s="21" t="s">
        <v>300</v>
      </c>
      <c r="D62" s="28">
        <v>7.0</v>
      </c>
      <c r="E62" s="28">
        <v>1.0</v>
      </c>
      <c r="F62" s="28">
        <v>3.0</v>
      </c>
      <c r="G62" s="28">
        <v>0.5</v>
      </c>
      <c r="H62" s="21" t="str">
        <f t="shared" si="1"/>
        <v>medium</v>
      </c>
      <c r="I62" s="14" t="str">
        <f t="shared" si="2"/>
        <v>SDG 7</v>
      </c>
    </row>
    <row r="63">
      <c r="A63" s="21" t="s">
        <v>124</v>
      </c>
      <c r="B63" s="21" t="s">
        <v>125</v>
      </c>
      <c r="C63" s="21" t="s">
        <v>126</v>
      </c>
      <c r="D63" s="28">
        <v>7.0</v>
      </c>
      <c r="E63" s="28">
        <v>1.0</v>
      </c>
      <c r="F63" s="28">
        <v>3.0</v>
      </c>
      <c r="G63" s="28">
        <v>0.5</v>
      </c>
      <c r="H63" s="21" t="str">
        <f t="shared" si="1"/>
        <v>medium</v>
      </c>
      <c r="I63" s="14" t="str">
        <f t="shared" si="2"/>
        <v>SDG 7</v>
      </c>
    </row>
    <row r="64">
      <c r="A64" s="21" t="s">
        <v>83</v>
      </c>
      <c r="B64" s="21" t="s">
        <v>84</v>
      </c>
      <c r="C64" s="21" t="s">
        <v>85</v>
      </c>
      <c r="D64" s="28">
        <v>7.0</v>
      </c>
      <c r="E64" s="28">
        <v>11.0</v>
      </c>
      <c r="F64" s="28">
        <v>4.0</v>
      </c>
      <c r="G64" s="28">
        <v>0.466666666666666</v>
      </c>
      <c r="H64" s="21" t="str">
        <f t="shared" si="1"/>
        <v>medium</v>
      </c>
      <c r="I64" s="14" t="str">
        <f t="shared" si="2"/>
        <v>NOT SDG 7</v>
      </c>
    </row>
    <row r="65">
      <c r="A65" s="21" t="s">
        <v>182</v>
      </c>
      <c r="B65" s="21" t="s">
        <v>183</v>
      </c>
      <c r="C65" s="21" t="s">
        <v>184</v>
      </c>
      <c r="D65" s="28">
        <v>7.0</v>
      </c>
      <c r="E65" s="28">
        <v>2.0</v>
      </c>
      <c r="F65" s="28">
        <v>5.0</v>
      </c>
      <c r="G65" s="28">
        <v>0.428571428571428</v>
      </c>
      <c r="H65" s="21" t="str">
        <f t="shared" si="1"/>
        <v>medium</v>
      </c>
      <c r="I65" s="14" t="str">
        <f t="shared" si="2"/>
        <v>SDG 7</v>
      </c>
    </row>
    <row r="66">
      <c r="A66" s="21" t="s">
        <v>203</v>
      </c>
      <c r="B66" s="21" t="s">
        <v>251</v>
      </c>
      <c r="C66" s="21" t="s">
        <v>252</v>
      </c>
      <c r="D66" s="28">
        <v>7.0</v>
      </c>
      <c r="E66" s="28">
        <v>3.0</v>
      </c>
      <c r="F66" s="28">
        <v>7.0</v>
      </c>
      <c r="G66" s="28">
        <v>0.4</v>
      </c>
      <c r="H66" s="21" t="str">
        <f t="shared" si="1"/>
        <v>hard</v>
      </c>
      <c r="I66" s="14" t="str">
        <f t="shared" si="2"/>
        <v>SDG 7</v>
      </c>
    </row>
    <row r="67">
      <c r="A67" s="21" t="s">
        <v>134</v>
      </c>
      <c r="B67" s="21" t="s">
        <v>135</v>
      </c>
      <c r="C67" s="21" t="s">
        <v>136</v>
      </c>
      <c r="D67" s="28">
        <v>7.0</v>
      </c>
      <c r="E67" s="28">
        <v>7.0</v>
      </c>
      <c r="F67" s="28">
        <v>3.0</v>
      </c>
      <c r="G67" s="28">
        <v>0.4</v>
      </c>
      <c r="H67" s="21" t="str">
        <f t="shared" si="1"/>
        <v>hard</v>
      </c>
      <c r="I67" s="14" t="str">
        <f t="shared" si="2"/>
        <v>NOT SDG 7</v>
      </c>
    </row>
    <row r="68">
      <c r="A68" s="21" t="s">
        <v>177</v>
      </c>
      <c r="B68" s="21" t="s">
        <v>187</v>
      </c>
      <c r="C68" s="21" t="s">
        <v>188</v>
      </c>
      <c r="D68" s="28">
        <v>7.0</v>
      </c>
      <c r="E68" s="28">
        <v>3.0</v>
      </c>
      <c r="F68" s="28">
        <v>6.0</v>
      </c>
      <c r="G68" s="28">
        <v>0.333333333333333</v>
      </c>
      <c r="H68" s="21" t="str">
        <f t="shared" si="1"/>
        <v>hard</v>
      </c>
      <c r="I68" s="14" t="str">
        <f t="shared" si="2"/>
        <v>SDG 7</v>
      </c>
    </row>
    <row r="69">
      <c r="A69" s="21" t="s">
        <v>281</v>
      </c>
      <c r="B69" s="21" t="s">
        <v>282</v>
      </c>
      <c r="C69" s="21" t="s">
        <v>283</v>
      </c>
      <c r="D69" s="28">
        <v>7.0</v>
      </c>
      <c r="E69" s="28">
        <v>3.0</v>
      </c>
      <c r="F69" s="28">
        <v>6.0</v>
      </c>
      <c r="G69" s="28">
        <v>0.333333333333333</v>
      </c>
      <c r="H69" s="21" t="str">
        <f t="shared" si="1"/>
        <v>hard</v>
      </c>
      <c r="I69" s="14" t="str">
        <f t="shared" si="2"/>
        <v>SDG 7</v>
      </c>
    </row>
    <row r="70">
      <c r="A70" s="21" t="s">
        <v>124</v>
      </c>
      <c r="B70" s="21" t="s">
        <v>130</v>
      </c>
      <c r="C70" s="21" t="s">
        <v>131</v>
      </c>
      <c r="D70" s="28">
        <v>7.0</v>
      </c>
      <c r="E70" s="28">
        <v>3.0</v>
      </c>
      <c r="F70" s="28">
        <v>6.0</v>
      </c>
      <c r="G70" s="28">
        <v>0.333333333333333</v>
      </c>
      <c r="H70" s="21" t="str">
        <f t="shared" si="1"/>
        <v>hard</v>
      </c>
      <c r="I70" s="14" t="str">
        <f t="shared" si="2"/>
        <v>SDG 7</v>
      </c>
    </row>
    <row r="71">
      <c r="A71" s="21" t="s">
        <v>189</v>
      </c>
      <c r="B71" s="21" t="s">
        <v>268</v>
      </c>
      <c r="C71" s="21" t="s">
        <v>269</v>
      </c>
      <c r="D71" s="28">
        <v>7.0</v>
      </c>
      <c r="E71" s="28">
        <v>3.0</v>
      </c>
      <c r="F71" s="28">
        <v>6.0</v>
      </c>
      <c r="G71" s="28">
        <v>0.333333333333333</v>
      </c>
      <c r="H71" s="21" t="str">
        <f t="shared" si="1"/>
        <v>hard</v>
      </c>
      <c r="I71" s="14" t="str">
        <f t="shared" si="2"/>
        <v>SDG 7</v>
      </c>
    </row>
    <row r="72">
      <c r="A72" s="21" t="s">
        <v>143</v>
      </c>
      <c r="B72" s="21" t="s">
        <v>144</v>
      </c>
      <c r="C72" s="21" t="s">
        <v>145</v>
      </c>
      <c r="D72" s="28">
        <v>7.0</v>
      </c>
      <c r="E72" s="28">
        <v>3.0</v>
      </c>
      <c r="F72" s="28">
        <v>6.0</v>
      </c>
      <c r="G72" s="28">
        <v>0.333333333333333</v>
      </c>
      <c r="H72" s="21" t="str">
        <f t="shared" si="1"/>
        <v>hard</v>
      </c>
      <c r="I72" s="14" t="str">
        <f t="shared" si="2"/>
        <v>SDG 7</v>
      </c>
    </row>
    <row r="73">
      <c r="A73" s="21" t="s">
        <v>237</v>
      </c>
      <c r="B73" s="21" t="s">
        <v>238</v>
      </c>
      <c r="C73" s="21" t="s">
        <v>239</v>
      </c>
      <c r="D73" s="28">
        <v>7.0</v>
      </c>
      <c r="E73" s="28">
        <v>3.0</v>
      </c>
      <c r="F73" s="28">
        <v>6.0</v>
      </c>
      <c r="G73" s="28">
        <v>0.333333333333333</v>
      </c>
      <c r="H73" s="21" t="str">
        <f t="shared" si="1"/>
        <v>hard</v>
      </c>
      <c r="I73" s="14" t="str">
        <f t="shared" si="2"/>
        <v>SDG 7</v>
      </c>
    </row>
    <row r="74">
      <c r="A74" s="21" t="s">
        <v>111</v>
      </c>
      <c r="B74" s="21" t="s">
        <v>112</v>
      </c>
      <c r="C74" s="21" t="s">
        <v>113</v>
      </c>
      <c r="D74" s="28">
        <v>7.0</v>
      </c>
      <c r="E74" s="28">
        <v>3.0</v>
      </c>
      <c r="F74" s="28">
        <v>6.0</v>
      </c>
      <c r="G74" s="28">
        <v>0.333333333333333</v>
      </c>
      <c r="H74" s="21" t="str">
        <f t="shared" si="1"/>
        <v>hard</v>
      </c>
      <c r="I74" s="14" t="str">
        <f t="shared" si="2"/>
        <v>SDG 7</v>
      </c>
    </row>
    <row r="75">
      <c r="A75" s="21" t="s">
        <v>87</v>
      </c>
      <c r="B75" s="21" t="s">
        <v>88</v>
      </c>
      <c r="C75" s="21" t="s">
        <v>89</v>
      </c>
      <c r="D75" s="28">
        <v>7.0</v>
      </c>
      <c r="E75" s="28">
        <v>2.0</v>
      </c>
      <c r="F75" s="28">
        <v>4.0</v>
      </c>
      <c r="G75" s="28">
        <v>0.333333333333333</v>
      </c>
      <c r="H75" s="21" t="str">
        <f t="shared" si="1"/>
        <v>hard</v>
      </c>
      <c r="I75" s="14" t="str">
        <f t="shared" si="2"/>
        <v>SDG 7</v>
      </c>
    </row>
    <row r="76">
      <c r="A76" s="21" t="s">
        <v>242</v>
      </c>
      <c r="B76" s="21" t="s">
        <v>243</v>
      </c>
      <c r="C76" s="21" t="s">
        <v>244</v>
      </c>
      <c r="D76" s="28">
        <v>7.0</v>
      </c>
      <c r="E76" s="28">
        <v>2.0</v>
      </c>
      <c r="F76" s="28">
        <v>4.0</v>
      </c>
      <c r="G76" s="28">
        <v>0.333333333333333</v>
      </c>
      <c r="H76" s="21" t="str">
        <f t="shared" si="1"/>
        <v>hard</v>
      </c>
      <c r="I76" s="14" t="str">
        <f t="shared" si="2"/>
        <v>SDG 7</v>
      </c>
    </row>
    <row r="77">
      <c r="A77" s="21" t="s">
        <v>229</v>
      </c>
      <c r="B77" s="21" t="s">
        <v>230</v>
      </c>
      <c r="C77" s="21" t="s">
        <v>231</v>
      </c>
      <c r="D77" s="28">
        <v>7.0</v>
      </c>
      <c r="E77" s="28">
        <v>2.0</v>
      </c>
      <c r="F77" s="28">
        <v>4.0</v>
      </c>
      <c r="G77" s="28">
        <v>0.333333333333333</v>
      </c>
      <c r="H77" s="21" t="str">
        <f t="shared" si="1"/>
        <v>hard</v>
      </c>
      <c r="I77" s="14" t="str">
        <f t="shared" si="2"/>
        <v>SDG 7</v>
      </c>
    </row>
    <row r="78">
      <c r="A78" s="21" t="s">
        <v>223</v>
      </c>
      <c r="B78" s="21" t="s">
        <v>224</v>
      </c>
      <c r="C78" s="21" t="s">
        <v>225</v>
      </c>
      <c r="D78" s="28">
        <v>7.0</v>
      </c>
      <c r="E78" s="28">
        <v>1.0</v>
      </c>
      <c r="F78" s="28">
        <v>2.0</v>
      </c>
      <c r="G78" s="28">
        <v>0.333333333333333</v>
      </c>
      <c r="H78" s="21" t="str">
        <f t="shared" si="1"/>
        <v>hard</v>
      </c>
      <c r="I78" s="14" t="str">
        <f t="shared" si="2"/>
        <v>SDG 7</v>
      </c>
    </row>
    <row r="79">
      <c r="A79" s="21" t="s">
        <v>99</v>
      </c>
      <c r="B79" s="21" t="s">
        <v>100</v>
      </c>
      <c r="C79" s="21" t="s">
        <v>101</v>
      </c>
      <c r="D79" s="28">
        <v>7.0</v>
      </c>
      <c r="E79" s="28">
        <v>1.0</v>
      </c>
      <c r="F79" s="28">
        <v>2.0</v>
      </c>
      <c r="G79" s="28">
        <v>0.333333333333333</v>
      </c>
      <c r="H79" s="21" t="str">
        <f t="shared" si="1"/>
        <v>hard</v>
      </c>
      <c r="I79" s="14" t="str">
        <f t="shared" si="2"/>
        <v>SDG 7</v>
      </c>
    </row>
    <row r="80">
      <c r="A80" s="21" t="s">
        <v>294</v>
      </c>
      <c r="B80" s="21" t="s">
        <v>297</v>
      </c>
      <c r="C80" s="21" t="s">
        <v>298</v>
      </c>
      <c r="D80" s="28">
        <v>7.0</v>
      </c>
      <c r="E80" s="28">
        <v>1.0</v>
      </c>
      <c r="F80" s="28">
        <v>2.0</v>
      </c>
      <c r="G80" s="28">
        <v>0.333333333333333</v>
      </c>
      <c r="H80" s="21" t="str">
        <f t="shared" si="1"/>
        <v>hard</v>
      </c>
      <c r="I80" s="14" t="str">
        <f t="shared" si="2"/>
        <v>SDG 7</v>
      </c>
    </row>
    <row r="81">
      <c r="A81" s="21" t="s">
        <v>143</v>
      </c>
      <c r="B81" s="21" t="s">
        <v>180</v>
      </c>
      <c r="C81" s="21" t="s">
        <v>181</v>
      </c>
      <c r="D81" s="28">
        <v>7.0</v>
      </c>
      <c r="E81" s="28">
        <v>1.0</v>
      </c>
      <c r="F81" s="28">
        <v>2.0</v>
      </c>
      <c r="G81" s="28">
        <v>0.333333333333333</v>
      </c>
      <c r="H81" s="21" t="str">
        <f t="shared" si="1"/>
        <v>hard</v>
      </c>
      <c r="I81" s="14" t="str">
        <f t="shared" si="2"/>
        <v>SDG 7</v>
      </c>
    </row>
    <row r="82">
      <c r="A82" s="21" t="s">
        <v>140</v>
      </c>
      <c r="B82" s="21" t="s">
        <v>141</v>
      </c>
      <c r="C82" s="21" t="s">
        <v>142</v>
      </c>
      <c r="D82" s="28">
        <v>7.0</v>
      </c>
      <c r="E82" s="28">
        <v>1.0</v>
      </c>
      <c r="F82" s="28">
        <v>2.0</v>
      </c>
      <c r="G82" s="28">
        <v>0.333333333333333</v>
      </c>
      <c r="H82" s="21" t="str">
        <f t="shared" si="1"/>
        <v>hard</v>
      </c>
      <c r="I82" s="14" t="str">
        <f t="shared" si="2"/>
        <v>SDG 7</v>
      </c>
    </row>
    <row r="83">
      <c r="A83" s="21" t="s">
        <v>105</v>
      </c>
      <c r="B83" s="21" t="s">
        <v>106</v>
      </c>
      <c r="C83" s="21" t="s">
        <v>107</v>
      </c>
      <c r="D83" s="28">
        <v>7.0</v>
      </c>
      <c r="E83" s="28">
        <v>1.0</v>
      </c>
      <c r="F83" s="28">
        <v>2.0</v>
      </c>
      <c r="G83" s="28">
        <v>0.333333333333333</v>
      </c>
      <c r="H83" s="21" t="str">
        <f t="shared" si="1"/>
        <v>hard</v>
      </c>
      <c r="I83" s="14" t="str">
        <f t="shared" si="2"/>
        <v>SDG 7</v>
      </c>
    </row>
    <row r="84">
      <c r="A84" s="21" t="s">
        <v>90</v>
      </c>
      <c r="B84" s="21" t="s">
        <v>91</v>
      </c>
      <c r="C84" s="21" t="s">
        <v>92</v>
      </c>
      <c r="D84" s="28">
        <v>7.0</v>
      </c>
      <c r="E84" s="28">
        <v>2.0</v>
      </c>
      <c r="F84" s="28">
        <v>1.0</v>
      </c>
      <c r="G84" s="28">
        <v>0.333333333333333</v>
      </c>
      <c r="H84" s="21" t="str">
        <f t="shared" si="1"/>
        <v>hard</v>
      </c>
      <c r="I84" s="14" t="str">
        <f t="shared" si="2"/>
        <v>NOT SDG 7</v>
      </c>
    </row>
    <row r="85">
      <c r="A85" s="21" t="s">
        <v>200</v>
      </c>
      <c r="B85" s="21" t="s">
        <v>201</v>
      </c>
      <c r="C85" s="21" t="s">
        <v>202</v>
      </c>
      <c r="D85" s="28">
        <v>7.0</v>
      </c>
      <c r="E85" s="28">
        <v>5.0</v>
      </c>
      <c r="F85" s="28">
        <v>8.0</v>
      </c>
      <c r="G85" s="28">
        <v>0.23076923076923</v>
      </c>
      <c r="H85" s="21" t="str">
        <f t="shared" si="1"/>
        <v>hard</v>
      </c>
      <c r="I85" s="14" t="str">
        <f t="shared" si="2"/>
        <v>SDG 7</v>
      </c>
    </row>
    <row r="86">
      <c r="A86" s="21" t="s">
        <v>265</v>
      </c>
      <c r="B86" s="21" t="s">
        <v>266</v>
      </c>
      <c r="C86" s="21" t="s">
        <v>267</v>
      </c>
      <c r="D86" s="28">
        <v>7.0</v>
      </c>
      <c r="E86" s="28">
        <v>4.0</v>
      </c>
      <c r="F86" s="28">
        <v>6.0</v>
      </c>
      <c r="G86" s="28">
        <v>0.2</v>
      </c>
      <c r="H86" s="21" t="str">
        <f t="shared" si="1"/>
        <v>very hard</v>
      </c>
      <c r="I86" s="14" t="str">
        <f t="shared" si="2"/>
        <v>SDG 7</v>
      </c>
    </row>
    <row r="87">
      <c r="A87" s="21" t="s">
        <v>328</v>
      </c>
      <c r="B87" s="21" t="s">
        <v>329</v>
      </c>
      <c r="C87" s="21" t="s">
        <v>330</v>
      </c>
      <c r="D87" s="28">
        <v>7.0</v>
      </c>
      <c r="E87" s="28">
        <v>2.0</v>
      </c>
      <c r="F87" s="28">
        <v>3.0</v>
      </c>
      <c r="G87" s="28">
        <v>0.2</v>
      </c>
      <c r="H87" s="21" t="str">
        <f t="shared" si="1"/>
        <v>very hard</v>
      </c>
      <c r="I87" s="14" t="str">
        <f t="shared" si="2"/>
        <v>SDG 7</v>
      </c>
    </row>
    <row r="88">
      <c r="A88" s="21" t="s">
        <v>99</v>
      </c>
      <c r="B88" s="21" t="s">
        <v>284</v>
      </c>
      <c r="C88" s="21" t="s">
        <v>285</v>
      </c>
      <c r="D88" s="28">
        <v>7.0</v>
      </c>
      <c r="E88" s="28">
        <v>2.0</v>
      </c>
      <c r="F88" s="28">
        <v>3.0</v>
      </c>
      <c r="G88" s="28">
        <v>0.2</v>
      </c>
      <c r="H88" s="21" t="str">
        <f t="shared" si="1"/>
        <v>very hard</v>
      </c>
      <c r="I88" s="14" t="str">
        <f t="shared" si="2"/>
        <v>SDG 7</v>
      </c>
    </row>
    <row r="89">
      <c r="A89" s="21" t="s">
        <v>99</v>
      </c>
      <c r="B89" s="21" t="s">
        <v>206</v>
      </c>
      <c r="C89" s="21" t="s">
        <v>207</v>
      </c>
      <c r="D89" s="28">
        <v>7.0</v>
      </c>
      <c r="E89" s="28">
        <v>2.0</v>
      </c>
      <c r="F89" s="28">
        <v>3.0</v>
      </c>
      <c r="G89" s="28">
        <v>0.2</v>
      </c>
      <c r="H89" s="21" t="str">
        <f t="shared" si="1"/>
        <v>very hard</v>
      </c>
      <c r="I89" s="14" t="str">
        <f t="shared" si="2"/>
        <v>SDG 7</v>
      </c>
    </row>
    <row r="90">
      <c r="A90" s="21" t="s">
        <v>127</v>
      </c>
      <c r="B90" s="21" t="s">
        <v>128</v>
      </c>
      <c r="C90" s="21" t="s">
        <v>129</v>
      </c>
      <c r="D90" s="28">
        <v>7.0</v>
      </c>
      <c r="E90" s="28">
        <v>3.0</v>
      </c>
      <c r="F90" s="28">
        <v>2.0</v>
      </c>
      <c r="G90" s="28">
        <v>0.2</v>
      </c>
      <c r="H90" s="21" t="str">
        <f t="shared" si="1"/>
        <v>very hard</v>
      </c>
      <c r="I90" s="14" t="str">
        <f t="shared" si="2"/>
        <v>NOT SDG 7</v>
      </c>
    </row>
    <row r="91">
      <c r="A91" s="21" t="s">
        <v>152</v>
      </c>
      <c r="B91" s="21" t="s">
        <v>153</v>
      </c>
      <c r="C91" s="21" t="s">
        <v>154</v>
      </c>
      <c r="D91" s="28">
        <v>7.0</v>
      </c>
      <c r="E91" s="28">
        <v>4.0</v>
      </c>
      <c r="F91" s="28">
        <v>5.0</v>
      </c>
      <c r="G91" s="28">
        <v>0.111111111111111</v>
      </c>
      <c r="H91" s="21" t="str">
        <f t="shared" si="1"/>
        <v>very hard</v>
      </c>
      <c r="I91" s="14" t="str">
        <f t="shared" si="2"/>
        <v>SDG 7</v>
      </c>
    </row>
    <row r="92">
      <c r="A92" s="21" t="s">
        <v>149</v>
      </c>
      <c r="B92" s="21" t="s">
        <v>316</v>
      </c>
      <c r="C92" s="21" t="s">
        <v>317</v>
      </c>
      <c r="D92" s="28">
        <v>7.0</v>
      </c>
      <c r="E92" s="28">
        <v>4.0</v>
      </c>
      <c r="F92" s="28">
        <v>5.0</v>
      </c>
      <c r="G92" s="28">
        <v>0.111111111111111</v>
      </c>
      <c r="H92" s="21" t="str">
        <f t="shared" si="1"/>
        <v>very hard</v>
      </c>
      <c r="I92" s="14" t="str">
        <f t="shared" si="2"/>
        <v>SDG 7</v>
      </c>
    </row>
    <row r="93">
      <c r="A93" s="21" t="s">
        <v>102</v>
      </c>
      <c r="B93" s="21" t="s">
        <v>272</v>
      </c>
      <c r="C93" s="21" t="s">
        <v>273</v>
      </c>
      <c r="D93" s="28">
        <v>7.0</v>
      </c>
      <c r="E93" s="28">
        <v>4.0</v>
      </c>
      <c r="F93" s="28">
        <v>5.0</v>
      </c>
      <c r="G93" s="28">
        <v>0.111111111111111</v>
      </c>
      <c r="H93" s="21" t="str">
        <f t="shared" si="1"/>
        <v>very hard</v>
      </c>
      <c r="I93" s="14" t="str">
        <f t="shared" si="2"/>
        <v>SDG 7</v>
      </c>
    </row>
    <row r="94">
      <c r="A94" s="21" t="s">
        <v>197</v>
      </c>
      <c r="B94" s="21" t="s">
        <v>198</v>
      </c>
      <c r="C94" s="21" t="s">
        <v>199</v>
      </c>
      <c r="D94" s="28">
        <v>7.0</v>
      </c>
      <c r="E94" s="28">
        <v>5.0</v>
      </c>
      <c r="F94" s="28">
        <v>4.0</v>
      </c>
      <c r="G94" s="28">
        <v>0.111111111111111</v>
      </c>
      <c r="H94" s="21" t="str">
        <f t="shared" si="1"/>
        <v>very hard</v>
      </c>
      <c r="I94" s="14" t="str">
        <f t="shared" si="2"/>
        <v>NOT SDG 7</v>
      </c>
    </row>
    <row r="95">
      <c r="A95" s="21" t="s">
        <v>114</v>
      </c>
      <c r="B95" s="21" t="s">
        <v>115</v>
      </c>
      <c r="C95" s="21" t="s">
        <v>116</v>
      </c>
      <c r="D95" s="28">
        <v>7.0</v>
      </c>
      <c r="E95" s="28">
        <v>4.0</v>
      </c>
      <c r="F95" s="28">
        <v>4.0</v>
      </c>
      <c r="G95" s="28">
        <v>0.0</v>
      </c>
      <c r="H95" s="21" t="str">
        <f t="shared" si="1"/>
        <v>very hard</v>
      </c>
      <c r="I95" s="14" t="str">
        <f t="shared" si="2"/>
        <v>SKIP</v>
      </c>
    </row>
    <row r="96">
      <c r="A96" s="21" t="s">
        <v>158</v>
      </c>
      <c r="B96" s="21" t="s">
        <v>159</v>
      </c>
      <c r="C96" s="21" t="s">
        <v>160</v>
      </c>
      <c r="D96" s="28">
        <v>7.0</v>
      </c>
      <c r="E96" s="28">
        <v>3.0</v>
      </c>
      <c r="F96" s="28">
        <v>3.0</v>
      </c>
      <c r="G96" s="28">
        <v>0.0</v>
      </c>
      <c r="H96" s="21" t="str">
        <f t="shared" si="1"/>
        <v>very hard</v>
      </c>
      <c r="I96" s="14" t="str">
        <f t="shared" si="2"/>
        <v>SKIP</v>
      </c>
    </row>
    <row r="97">
      <c r="A97" s="21" t="s">
        <v>177</v>
      </c>
      <c r="B97" s="21" t="s">
        <v>178</v>
      </c>
      <c r="C97" s="21" t="s">
        <v>179</v>
      </c>
      <c r="D97" s="28">
        <v>7.0</v>
      </c>
      <c r="E97" s="28">
        <v>2.0</v>
      </c>
      <c r="F97" s="28">
        <v>2.0</v>
      </c>
      <c r="G97" s="28">
        <v>0.0</v>
      </c>
      <c r="H97" s="21" t="str">
        <f t="shared" si="1"/>
        <v>very hard</v>
      </c>
      <c r="I97" s="14" t="str">
        <f t="shared" si="2"/>
        <v>SKIP</v>
      </c>
    </row>
    <row r="98">
      <c r="A98" s="21" t="s">
        <v>93</v>
      </c>
      <c r="B98" s="21" t="s">
        <v>245</v>
      </c>
      <c r="C98" s="21" t="s">
        <v>246</v>
      </c>
      <c r="D98" s="28">
        <v>7.0</v>
      </c>
      <c r="E98" s="28">
        <v>2.0</v>
      </c>
      <c r="F98" s="28">
        <v>2.0</v>
      </c>
      <c r="G98" s="28">
        <v>0.0</v>
      </c>
      <c r="H98" s="21" t="str">
        <f t="shared" si="1"/>
        <v>very hard</v>
      </c>
      <c r="I98" s="14" t="str">
        <f t="shared" si="2"/>
        <v>SKIP</v>
      </c>
    </row>
    <row r="99">
      <c r="A99" s="21" t="s">
        <v>83</v>
      </c>
      <c r="B99" s="21" t="s">
        <v>270</v>
      </c>
      <c r="C99" s="21" t="s">
        <v>271</v>
      </c>
      <c r="D99" s="28">
        <v>7.0</v>
      </c>
      <c r="E99" s="28">
        <v>2.0</v>
      </c>
      <c r="F99" s="28">
        <v>2.0</v>
      </c>
      <c r="G99" s="28">
        <v>0.0</v>
      </c>
      <c r="H99" s="21" t="str">
        <f t="shared" si="1"/>
        <v>very hard</v>
      </c>
      <c r="I99" s="14" t="str">
        <f t="shared" si="2"/>
        <v>SKIP</v>
      </c>
    </row>
    <row r="100">
      <c r="A100" s="21" t="s">
        <v>137</v>
      </c>
      <c r="B100" s="21" t="s">
        <v>292</v>
      </c>
      <c r="C100" s="21" t="s">
        <v>293</v>
      </c>
      <c r="D100" s="28">
        <v>7.0</v>
      </c>
      <c r="E100" s="28">
        <v>2.0</v>
      </c>
      <c r="F100" s="28">
        <v>2.0</v>
      </c>
      <c r="G100" s="28">
        <v>0.0</v>
      </c>
      <c r="H100" s="21" t="str">
        <f t="shared" si="1"/>
        <v>very hard</v>
      </c>
      <c r="I100" s="14" t="str">
        <f t="shared" si="2"/>
        <v>SKIP</v>
      </c>
    </row>
    <row r="101">
      <c r="A101" s="21" t="s">
        <v>281</v>
      </c>
      <c r="B101" s="21" t="s">
        <v>340</v>
      </c>
      <c r="C101" s="21" t="s">
        <v>341</v>
      </c>
      <c r="D101" s="28">
        <v>7.0</v>
      </c>
      <c r="E101" s="28">
        <v>2.0</v>
      </c>
      <c r="F101" s="28">
        <v>2.0</v>
      </c>
      <c r="G101" s="28">
        <v>0.0</v>
      </c>
      <c r="H101" s="21" t="str">
        <f t="shared" si="1"/>
        <v>very hard</v>
      </c>
      <c r="I101" s="14" t="str">
        <f t="shared" si="2"/>
        <v>SKIP</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2.63"/>
  </cols>
  <sheetData>
    <row r="1">
      <c r="A1" s="18" t="s">
        <v>79</v>
      </c>
      <c r="B1" s="19" t="s">
        <v>80</v>
      </c>
      <c r="C1" s="29" t="s">
        <v>49</v>
      </c>
      <c r="D1" s="30" t="s">
        <v>47</v>
      </c>
      <c r="E1" s="29" t="s">
        <v>45</v>
      </c>
      <c r="F1" s="29" t="s">
        <v>46</v>
      </c>
      <c r="G1" s="31" t="s">
        <v>360</v>
      </c>
      <c r="H1" s="32" t="s">
        <v>361</v>
      </c>
      <c r="I1" s="13" t="s">
        <v>362</v>
      </c>
    </row>
    <row r="2">
      <c r="A2" s="21" t="s">
        <v>162</v>
      </c>
      <c r="B2" s="21" t="s">
        <v>163</v>
      </c>
      <c r="C2" s="14" t="str">
        <f t="shared" ref="C2:F2" si="1">VLOOKUP($A2, INDIRECT(C$1&amp;"!B:D"), 3, FALSE)</f>
        <v>NOT SDG 7</v>
      </c>
      <c r="D2" s="14" t="str">
        <f t="shared" si="1"/>
        <v>NOT SDG 7</v>
      </c>
      <c r="E2" s="14" t="str">
        <f t="shared" si="1"/>
        <v>NOT SDG 7</v>
      </c>
      <c r="F2" s="14" t="str">
        <f t="shared" si="1"/>
        <v>TO DO</v>
      </c>
      <c r="G2" s="33">
        <f t="shared" ref="G2:G101" si="3">ABS((COUNTIF(C2:F2,"SDG 7")-COUNTIF(C2:F2, "NOT SDG 7")) / (COUNTA(C2:F2)-COUNTIF(C2:F2, "TO DO")))</f>
        <v>1</v>
      </c>
      <c r="H2" s="34" t="s">
        <v>14</v>
      </c>
    </row>
    <row r="3">
      <c r="A3" s="21" t="s">
        <v>165</v>
      </c>
      <c r="B3" s="21" t="s">
        <v>166</v>
      </c>
      <c r="C3" s="14" t="str">
        <f t="shared" ref="C3:F3" si="2">VLOOKUP($A3, INDIRECT(C$1&amp;"!B:D"), 3, FALSE)</f>
        <v>NOT SDG 7</v>
      </c>
      <c r="D3" s="14" t="str">
        <f t="shared" si="2"/>
        <v>NOT SDG 7</v>
      </c>
      <c r="E3" s="14" t="str">
        <f t="shared" si="2"/>
        <v>NOT SDG 7</v>
      </c>
      <c r="F3" s="14" t="str">
        <f t="shared" si="2"/>
        <v>TO DO</v>
      </c>
      <c r="G3" s="33">
        <f t="shared" si="3"/>
        <v>1</v>
      </c>
      <c r="H3" s="34" t="s">
        <v>14</v>
      </c>
    </row>
    <row r="4">
      <c r="A4" s="21" t="s">
        <v>303</v>
      </c>
      <c r="B4" s="21" t="s">
        <v>304</v>
      </c>
      <c r="C4" s="14" t="str">
        <f t="shared" ref="C4:F4" si="4">VLOOKUP($A4, INDIRECT(C$1&amp;"!B:D"), 3, FALSE)</f>
        <v>NOT SDG 7</v>
      </c>
      <c r="D4" s="14" t="str">
        <f t="shared" si="4"/>
        <v>NOT SDG 7</v>
      </c>
      <c r="E4" s="14" t="str">
        <f t="shared" si="4"/>
        <v>NOT SDG 7</v>
      </c>
      <c r="F4" s="14" t="str">
        <f t="shared" si="4"/>
        <v>TO DO</v>
      </c>
      <c r="G4" s="33">
        <f t="shared" si="3"/>
        <v>1</v>
      </c>
      <c r="H4" s="34" t="s">
        <v>14</v>
      </c>
    </row>
    <row r="5">
      <c r="A5" s="21" t="s">
        <v>117</v>
      </c>
      <c r="B5" s="21" t="s">
        <v>118</v>
      </c>
      <c r="C5" s="14" t="str">
        <f t="shared" ref="C5:F5" si="5">VLOOKUP($A5, INDIRECT(C$1&amp;"!B:D"), 3, FALSE)</f>
        <v>NOT SDG 7</v>
      </c>
      <c r="D5" s="14" t="str">
        <f t="shared" si="5"/>
        <v>NOT SDG 7</v>
      </c>
      <c r="E5" s="14" t="str">
        <f t="shared" si="5"/>
        <v>NOT SDG 7</v>
      </c>
      <c r="F5" s="14" t="str">
        <f t="shared" si="5"/>
        <v>TO DO</v>
      </c>
      <c r="G5" s="33">
        <f t="shared" si="3"/>
        <v>1</v>
      </c>
      <c r="H5" s="34" t="s">
        <v>14</v>
      </c>
    </row>
    <row r="6">
      <c r="A6" s="21" t="s">
        <v>147</v>
      </c>
      <c r="B6" s="21" t="s">
        <v>148</v>
      </c>
      <c r="C6" s="14" t="str">
        <f t="shared" ref="C6:F6" si="6">VLOOKUP($A6, INDIRECT(C$1&amp;"!B:D"), 3, FALSE)</f>
        <v>NOT SDG 7</v>
      </c>
      <c r="D6" s="14" t="str">
        <f t="shared" si="6"/>
        <v>NOT SDG 7</v>
      </c>
      <c r="E6" s="14" t="str">
        <f t="shared" si="6"/>
        <v>NOT SDG 7</v>
      </c>
      <c r="F6" s="14" t="str">
        <f t="shared" si="6"/>
        <v>TO DO</v>
      </c>
      <c r="G6" s="33">
        <f t="shared" si="3"/>
        <v>1</v>
      </c>
      <c r="H6" s="34" t="s">
        <v>14</v>
      </c>
    </row>
    <row r="7">
      <c r="A7" s="21" t="s">
        <v>318</v>
      </c>
      <c r="B7" s="21" t="s">
        <v>319</v>
      </c>
      <c r="C7" s="14" t="str">
        <f t="shared" ref="C7:F7" si="7">VLOOKUP($A7, INDIRECT(C$1&amp;"!B:D"), 3, FALSE)</f>
        <v>NOT SDG 7</v>
      </c>
      <c r="D7" s="14" t="str">
        <f t="shared" si="7"/>
        <v>NOT SDG 7</v>
      </c>
      <c r="E7" s="14" t="str">
        <f t="shared" si="7"/>
        <v>NOT SDG 7</v>
      </c>
      <c r="F7" s="14" t="str">
        <f t="shared" si="7"/>
        <v>TO DO</v>
      </c>
      <c r="G7" s="33">
        <f t="shared" si="3"/>
        <v>1</v>
      </c>
      <c r="H7" s="34" t="s">
        <v>14</v>
      </c>
    </row>
    <row r="8">
      <c r="A8" s="21" t="s">
        <v>331</v>
      </c>
      <c r="B8" s="21" t="s">
        <v>332</v>
      </c>
      <c r="C8" s="35" t="str">
        <f t="shared" ref="C8:F8" si="8">VLOOKUP($A8, INDIRECT(C$1&amp;"!B:D"), 3, FALSE)</f>
        <v>NOT SDG 7</v>
      </c>
      <c r="D8" s="35" t="str">
        <f t="shared" si="8"/>
        <v>NOT SDG 7</v>
      </c>
      <c r="E8" s="35" t="str">
        <f t="shared" si="8"/>
        <v>NOT SDG 7</v>
      </c>
      <c r="F8" s="35" t="str">
        <f t="shared" si="8"/>
        <v>TO DO</v>
      </c>
      <c r="G8" s="33">
        <f t="shared" si="3"/>
        <v>1</v>
      </c>
      <c r="H8" s="34" t="s">
        <v>14</v>
      </c>
    </row>
    <row r="9">
      <c r="A9" s="21" t="s">
        <v>249</v>
      </c>
      <c r="B9" s="21" t="s">
        <v>250</v>
      </c>
      <c r="C9" s="35" t="str">
        <f t="shared" ref="C9:F9" si="9">VLOOKUP($A9, INDIRECT(C$1&amp;"!B:D"), 3, FALSE)</f>
        <v>NOT SDG 7</v>
      </c>
      <c r="D9" s="35" t="str">
        <f t="shared" si="9"/>
        <v>NOT SDG 7</v>
      </c>
      <c r="E9" s="35" t="str">
        <f t="shared" si="9"/>
        <v>NOT SDG 7</v>
      </c>
      <c r="F9" s="35" t="str">
        <f t="shared" si="9"/>
        <v>TO DO</v>
      </c>
      <c r="G9" s="33">
        <f t="shared" si="3"/>
        <v>1</v>
      </c>
      <c r="H9" s="34" t="s">
        <v>14</v>
      </c>
    </row>
    <row r="10">
      <c r="A10" s="21" t="s">
        <v>190</v>
      </c>
      <c r="B10" s="21" t="s">
        <v>191</v>
      </c>
      <c r="C10" s="35" t="str">
        <f t="shared" ref="C10:F10" si="10">VLOOKUP($A10, INDIRECT(C$1&amp;"!B:D"), 3, FALSE)</f>
        <v>NOT SDG 7</v>
      </c>
      <c r="D10" s="35" t="str">
        <f t="shared" si="10"/>
        <v>NOT SDG 7</v>
      </c>
      <c r="E10" s="35" t="str">
        <f t="shared" si="10"/>
        <v>NOT SDG 7</v>
      </c>
      <c r="F10" s="35" t="str">
        <f t="shared" si="10"/>
        <v>TO DO</v>
      </c>
      <c r="G10" s="33">
        <f t="shared" si="3"/>
        <v>1</v>
      </c>
      <c r="H10" s="34" t="s">
        <v>14</v>
      </c>
    </row>
    <row r="11">
      <c r="A11" s="21" t="s">
        <v>221</v>
      </c>
      <c r="B11" s="21" t="s">
        <v>222</v>
      </c>
      <c r="C11" s="35" t="str">
        <f t="shared" ref="C11:F11" si="11">VLOOKUP($A11, INDIRECT(C$1&amp;"!B:D"), 3, FALSE)</f>
        <v>SDG 7</v>
      </c>
      <c r="D11" s="35" t="str">
        <f t="shared" si="11"/>
        <v>SDG 7</v>
      </c>
      <c r="E11" s="35" t="str">
        <f t="shared" si="11"/>
        <v>SDG 7</v>
      </c>
      <c r="F11" s="35" t="str">
        <f t="shared" si="11"/>
        <v>SDG 7</v>
      </c>
      <c r="G11" s="33">
        <f t="shared" si="3"/>
        <v>1</v>
      </c>
      <c r="H11" s="34" t="s">
        <v>12</v>
      </c>
    </row>
    <row r="12">
      <c r="A12" s="21" t="s">
        <v>193</v>
      </c>
      <c r="B12" s="21" t="s">
        <v>194</v>
      </c>
      <c r="C12" s="35" t="str">
        <f t="shared" ref="C12:F12" si="12">VLOOKUP($A12, INDIRECT(C$1&amp;"!B:D"), 3, FALSE)</f>
        <v>SDG 7</v>
      </c>
      <c r="D12" s="35" t="str">
        <f t="shared" si="12"/>
        <v>SDG 7</v>
      </c>
      <c r="E12" s="35" t="str">
        <f t="shared" si="12"/>
        <v>SDG 7</v>
      </c>
      <c r="F12" s="35" t="str">
        <f t="shared" si="12"/>
        <v>TO DO</v>
      </c>
      <c r="G12" s="33">
        <f t="shared" si="3"/>
        <v>1</v>
      </c>
      <c r="H12" s="34" t="s">
        <v>12</v>
      </c>
    </row>
    <row r="13">
      <c r="A13" s="21" t="s">
        <v>172</v>
      </c>
      <c r="B13" s="21" t="s">
        <v>173</v>
      </c>
      <c r="C13" s="35" t="str">
        <f t="shared" ref="C13:F13" si="13">VLOOKUP($A13, INDIRECT(C$1&amp;"!B:D"), 3, FALSE)</f>
        <v>SDG 7</v>
      </c>
      <c r="D13" s="35" t="str">
        <f t="shared" si="13"/>
        <v>SDG 7</v>
      </c>
      <c r="E13" s="35" t="str">
        <f t="shared" si="13"/>
        <v>SDG 7</v>
      </c>
      <c r="F13" s="35" t="str">
        <f t="shared" si="13"/>
        <v>TO DO</v>
      </c>
      <c r="G13" s="33">
        <f t="shared" si="3"/>
        <v>1</v>
      </c>
      <c r="H13" s="34" t="s">
        <v>12</v>
      </c>
    </row>
    <row r="14">
      <c r="A14" s="21" t="s">
        <v>235</v>
      </c>
      <c r="B14" s="21" t="s">
        <v>236</v>
      </c>
      <c r="C14" s="35" t="str">
        <f t="shared" ref="C14:F14" si="14">VLOOKUP($A14, INDIRECT(C$1&amp;"!B:D"), 3, FALSE)</f>
        <v>SDG 7</v>
      </c>
      <c r="D14" s="35" t="str">
        <f t="shared" si="14"/>
        <v>SDG 7</v>
      </c>
      <c r="E14" s="35" t="str">
        <f t="shared" si="14"/>
        <v>SDG 7</v>
      </c>
      <c r="F14" s="35" t="str">
        <f t="shared" si="14"/>
        <v>SDG 7</v>
      </c>
      <c r="G14" s="33">
        <f t="shared" si="3"/>
        <v>1</v>
      </c>
      <c r="H14" s="34" t="s">
        <v>12</v>
      </c>
    </row>
    <row r="15">
      <c r="A15" s="21" t="s">
        <v>309</v>
      </c>
      <c r="B15" s="21" t="s">
        <v>310</v>
      </c>
      <c r="C15" s="35" t="str">
        <f t="shared" ref="C15:F15" si="15">VLOOKUP($A15, INDIRECT(C$1&amp;"!B:D"), 3, FALSE)</f>
        <v>SDG 7</v>
      </c>
      <c r="D15" s="35" t="str">
        <f t="shared" si="15"/>
        <v>SDG 7</v>
      </c>
      <c r="E15" s="35" t="str">
        <f t="shared" si="15"/>
        <v>SDG 7</v>
      </c>
      <c r="F15" s="35" t="str">
        <f t="shared" si="15"/>
        <v>TO DO</v>
      </c>
      <c r="G15" s="33">
        <f t="shared" si="3"/>
        <v>1</v>
      </c>
      <c r="H15" s="34" t="s">
        <v>12</v>
      </c>
    </row>
    <row r="16">
      <c r="A16" s="21" t="s">
        <v>301</v>
      </c>
      <c r="B16" s="21" t="s">
        <v>302</v>
      </c>
      <c r="C16" s="35" t="str">
        <f t="shared" ref="C16:F16" si="16">VLOOKUP($A16, INDIRECT(C$1&amp;"!B:D"), 3, FALSE)</f>
        <v>SDG 7</v>
      </c>
      <c r="D16" s="35" t="str">
        <f t="shared" si="16"/>
        <v>SDG 7</v>
      </c>
      <c r="E16" s="35" t="str">
        <f t="shared" si="16"/>
        <v>SDG 7</v>
      </c>
      <c r="F16" s="35" t="str">
        <f t="shared" si="16"/>
        <v>TO DO</v>
      </c>
      <c r="G16" s="33">
        <f t="shared" si="3"/>
        <v>1</v>
      </c>
      <c r="H16" s="34" t="s">
        <v>12</v>
      </c>
    </row>
    <row r="17">
      <c r="A17" s="21" t="s">
        <v>170</v>
      </c>
      <c r="B17" s="21" t="s">
        <v>171</v>
      </c>
      <c r="C17" s="35" t="str">
        <f t="shared" ref="C17:F17" si="17">VLOOKUP($A17, INDIRECT(C$1&amp;"!B:D"), 3, FALSE)</f>
        <v>SDG 7</v>
      </c>
      <c r="D17" s="35" t="str">
        <f t="shared" si="17"/>
        <v>SDG 7</v>
      </c>
      <c r="E17" s="35" t="str">
        <f t="shared" si="17"/>
        <v>SDG 7</v>
      </c>
      <c r="F17" s="35" t="str">
        <f t="shared" si="17"/>
        <v>TO DO</v>
      </c>
      <c r="G17" s="33">
        <f t="shared" si="3"/>
        <v>1</v>
      </c>
      <c r="H17" s="34" t="s">
        <v>12</v>
      </c>
    </row>
    <row r="18">
      <c r="A18" s="21" t="s">
        <v>233</v>
      </c>
      <c r="B18" s="21" t="s">
        <v>234</v>
      </c>
      <c r="C18" s="35" t="str">
        <f t="shared" ref="C18:F18" si="18">VLOOKUP($A18, INDIRECT(C$1&amp;"!B:D"), 3, FALSE)</f>
        <v>SDG 7</v>
      </c>
      <c r="D18" s="35" t="str">
        <f t="shared" si="18"/>
        <v>SDG 7</v>
      </c>
      <c r="E18" s="35" t="str">
        <f t="shared" si="18"/>
        <v>SDG 7</v>
      </c>
      <c r="F18" s="35" t="str">
        <f t="shared" si="18"/>
        <v>TO DO</v>
      </c>
      <c r="G18" s="33">
        <f t="shared" si="3"/>
        <v>1</v>
      </c>
      <c r="H18" s="34" t="s">
        <v>12</v>
      </c>
    </row>
    <row r="19">
      <c r="A19" s="21" t="s">
        <v>326</v>
      </c>
      <c r="B19" s="21" t="s">
        <v>327</v>
      </c>
      <c r="C19" s="35" t="str">
        <f t="shared" ref="C19:F19" si="19">VLOOKUP($A19, INDIRECT(C$1&amp;"!B:D"), 3, FALSE)</f>
        <v>SDG 7</v>
      </c>
      <c r="D19" s="35" t="str">
        <f t="shared" si="19"/>
        <v>SDG 7</v>
      </c>
      <c r="E19" s="35" t="str">
        <f t="shared" si="19"/>
        <v>SDG 7</v>
      </c>
      <c r="F19" s="35" t="str">
        <f t="shared" si="19"/>
        <v>TO DO</v>
      </c>
      <c r="G19" s="33">
        <f t="shared" si="3"/>
        <v>1</v>
      </c>
      <c r="H19" s="34" t="s">
        <v>12</v>
      </c>
    </row>
    <row r="20">
      <c r="A20" s="21" t="s">
        <v>287</v>
      </c>
      <c r="B20" s="21" t="s">
        <v>288</v>
      </c>
      <c r="C20" s="35" t="str">
        <f t="shared" ref="C20:F20" si="20">VLOOKUP($A20, INDIRECT(C$1&amp;"!B:D"), 3, FALSE)</f>
        <v>SDG 7</v>
      </c>
      <c r="D20" s="35" t="str">
        <f t="shared" si="20"/>
        <v>SDG 7</v>
      </c>
      <c r="E20" s="35" t="str">
        <f t="shared" si="20"/>
        <v>SDG 7</v>
      </c>
      <c r="F20" s="35" t="str">
        <f t="shared" si="20"/>
        <v>TO DO</v>
      </c>
      <c r="G20" s="33">
        <f t="shared" si="3"/>
        <v>1</v>
      </c>
      <c r="H20" s="34" t="s">
        <v>12</v>
      </c>
    </row>
    <row r="21">
      <c r="A21" s="21" t="s">
        <v>167</v>
      </c>
      <c r="B21" s="21" t="s">
        <v>168</v>
      </c>
      <c r="C21" s="35" t="str">
        <f t="shared" ref="C21:F21" si="21">VLOOKUP($A21, INDIRECT(C$1&amp;"!B:D"), 3, FALSE)</f>
        <v>SDG 7</v>
      </c>
      <c r="D21" s="35" t="str">
        <f t="shared" si="21"/>
        <v>SDG 7</v>
      </c>
      <c r="E21" s="35" t="str">
        <f t="shared" si="21"/>
        <v>SDG 7</v>
      </c>
      <c r="F21" s="35" t="str">
        <f t="shared" si="21"/>
        <v>TO DO</v>
      </c>
      <c r="G21" s="33">
        <f t="shared" si="3"/>
        <v>1</v>
      </c>
      <c r="H21" s="34" t="s">
        <v>12</v>
      </c>
    </row>
    <row r="22">
      <c r="A22" s="21" t="s">
        <v>218</v>
      </c>
      <c r="B22" s="21" t="s">
        <v>219</v>
      </c>
      <c r="C22" s="35" t="str">
        <f t="shared" ref="C22:F22" si="22">VLOOKUP($A22, INDIRECT(C$1&amp;"!B:D"), 3, FALSE)</f>
        <v>NOT SDG 7</v>
      </c>
      <c r="D22" s="35" t="str">
        <f t="shared" si="22"/>
        <v>NOT SDG 7</v>
      </c>
      <c r="E22" s="35" t="str">
        <f t="shared" si="22"/>
        <v>NOT SDG 7</v>
      </c>
      <c r="F22" s="35" t="str">
        <f t="shared" si="22"/>
        <v>TO DO</v>
      </c>
      <c r="G22" s="33">
        <f t="shared" si="3"/>
        <v>1</v>
      </c>
      <c r="H22" s="34" t="s">
        <v>14</v>
      </c>
    </row>
    <row r="23">
      <c r="A23" s="21" t="s">
        <v>210</v>
      </c>
      <c r="B23" s="21" t="s">
        <v>211</v>
      </c>
      <c r="C23" s="35" t="str">
        <f t="shared" ref="C23:F23" si="23">VLOOKUP($A23, INDIRECT(C$1&amp;"!B:D"), 3, FALSE)</f>
        <v>NOT SDG 7</v>
      </c>
      <c r="D23" s="35" t="str">
        <f t="shared" si="23"/>
        <v>NOT SDG 7</v>
      </c>
      <c r="E23" s="35" t="str">
        <f t="shared" si="23"/>
        <v>NOT SDG 7</v>
      </c>
      <c r="F23" s="35" t="str">
        <f t="shared" si="23"/>
        <v>TO DO</v>
      </c>
      <c r="G23" s="33">
        <f t="shared" si="3"/>
        <v>1</v>
      </c>
      <c r="H23" s="34" t="s">
        <v>14</v>
      </c>
    </row>
    <row r="24">
      <c r="A24" s="21" t="s">
        <v>97</v>
      </c>
      <c r="B24" s="21" t="s">
        <v>98</v>
      </c>
      <c r="C24" s="35" t="str">
        <f t="shared" ref="C24:F24" si="24">VLOOKUP($A24, INDIRECT(C$1&amp;"!B:D"), 3, FALSE)</f>
        <v>NOT SDG 7</v>
      </c>
      <c r="D24" s="35" t="str">
        <f t="shared" si="24"/>
        <v>NOT SDG 7</v>
      </c>
      <c r="E24" s="35" t="str">
        <f t="shared" si="24"/>
        <v>NOT SDG 7</v>
      </c>
      <c r="F24" s="35" t="str">
        <f t="shared" si="24"/>
        <v>TO DO</v>
      </c>
      <c r="G24" s="33">
        <f t="shared" si="3"/>
        <v>1</v>
      </c>
      <c r="H24" s="34" t="s">
        <v>14</v>
      </c>
    </row>
    <row r="25">
      <c r="A25" s="21" t="s">
        <v>247</v>
      </c>
      <c r="B25" s="21" t="s">
        <v>248</v>
      </c>
      <c r="C25" s="35" t="str">
        <f t="shared" ref="C25:F25" si="25">VLOOKUP($A25, INDIRECT(C$1&amp;"!B:D"), 3, FALSE)</f>
        <v>NOT SDG 7</v>
      </c>
      <c r="D25" s="35" t="str">
        <f t="shared" si="25"/>
        <v>NOT SDG 7</v>
      </c>
      <c r="E25" s="35" t="str">
        <f t="shared" si="25"/>
        <v>NOT SDG 7</v>
      </c>
      <c r="F25" s="35" t="str">
        <f t="shared" si="25"/>
        <v>TO DO</v>
      </c>
      <c r="G25" s="33">
        <f t="shared" si="3"/>
        <v>1</v>
      </c>
      <c r="H25" s="34" t="s">
        <v>14</v>
      </c>
    </row>
    <row r="26">
      <c r="A26" s="21" t="s">
        <v>260</v>
      </c>
      <c r="B26" s="21" t="s">
        <v>261</v>
      </c>
      <c r="C26" s="35" t="str">
        <f t="shared" ref="C26:F26" si="26">VLOOKUP($A26, INDIRECT(C$1&amp;"!B:D"), 3, FALSE)</f>
        <v>NOT SDG 7</v>
      </c>
      <c r="D26" s="35" t="str">
        <f t="shared" si="26"/>
        <v>NOT SDG 7</v>
      </c>
      <c r="E26" s="35" t="str">
        <f t="shared" si="26"/>
        <v>NOT SDG 7</v>
      </c>
      <c r="F26" s="35" t="str">
        <f t="shared" si="26"/>
        <v>TO DO</v>
      </c>
      <c r="G26" s="33">
        <f t="shared" si="3"/>
        <v>1</v>
      </c>
      <c r="H26" s="34" t="s">
        <v>14</v>
      </c>
    </row>
    <row r="27">
      <c r="A27" s="21" t="s">
        <v>103</v>
      </c>
      <c r="B27" s="21" t="s">
        <v>104</v>
      </c>
      <c r="C27" s="35" t="str">
        <f t="shared" ref="C27:F27" si="27">VLOOKUP($A27, INDIRECT(C$1&amp;"!B:D"), 3, FALSE)</f>
        <v>NOT SDG 7</v>
      </c>
      <c r="D27" s="35" t="str">
        <f t="shared" si="27"/>
        <v>NOT SDG 7</v>
      </c>
      <c r="E27" s="35" t="str">
        <f t="shared" si="27"/>
        <v>NOT SDG 7</v>
      </c>
      <c r="F27" s="35" t="str">
        <f t="shared" si="27"/>
        <v>TO DO</v>
      </c>
      <c r="G27" s="33">
        <f t="shared" si="3"/>
        <v>1</v>
      </c>
      <c r="H27" s="34" t="s">
        <v>14</v>
      </c>
    </row>
    <row r="28">
      <c r="A28" s="21" t="s">
        <v>132</v>
      </c>
      <c r="B28" s="21" t="s">
        <v>133</v>
      </c>
      <c r="C28" s="35" t="str">
        <f t="shared" ref="C28:F28" si="28">VLOOKUP($A28, INDIRECT(C$1&amp;"!B:D"), 3, FALSE)</f>
        <v>NOT SDG 7</v>
      </c>
      <c r="D28" s="35" t="str">
        <f t="shared" si="28"/>
        <v>NOT SDG 7</v>
      </c>
      <c r="E28" s="35" t="str">
        <f t="shared" si="28"/>
        <v>NOT SDG 7</v>
      </c>
      <c r="F28" s="35" t="str">
        <f t="shared" si="28"/>
        <v>TO DO</v>
      </c>
      <c r="G28" s="33">
        <f t="shared" si="3"/>
        <v>1</v>
      </c>
      <c r="H28" s="34" t="s">
        <v>14</v>
      </c>
    </row>
    <row r="29">
      <c r="A29" s="21" t="s">
        <v>122</v>
      </c>
      <c r="B29" s="21" t="s">
        <v>123</v>
      </c>
      <c r="C29" s="35" t="str">
        <f t="shared" ref="C29:F29" si="29">VLOOKUP($A29, INDIRECT(C$1&amp;"!B:D"), 3, FALSE)</f>
        <v>NOT SDG 7</v>
      </c>
      <c r="D29" s="35" t="str">
        <f t="shared" si="29"/>
        <v>NOT SDG 7</v>
      </c>
      <c r="E29" s="35" t="str">
        <f t="shared" si="29"/>
        <v>NOT SDG 7</v>
      </c>
      <c r="F29" s="35" t="str">
        <f t="shared" si="29"/>
        <v>TO DO</v>
      </c>
      <c r="G29" s="33">
        <f t="shared" si="3"/>
        <v>1</v>
      </c>
      <c r="H29" s="34" t="s">
        <v>14</v>
      </c>
    </row>
    <row r="30">
      <c r="A30" s="21" t="s">
        <v>185</v>
      </c>
      <c r="B30" s="21" t="s">
        <v>186</v>
      </c>
      <c r="C30" s="35" t="str">
        <f t="shared" ref="C30:F30" si="30">VLOOKUP($A30, INDIRECT(C$1&amp;"!B:D"), 3, FALSE)</f>
        <v>NOT SDG 7</v>
      </c>
      <c r="D30" s="35" t="str">
        <f t="shared" si="30"/>
        <v>NOT SDG 7</v>
      </c>
      <c r="E30" s="35" t="str">
        <f t="shared" si="30"/>
        <v>NOT SDG 7</v>
      </c>
      <c r="F30" s="35" t="str">
        <f t="shared" si="30"/>
        <v>NOT SDG 7</v>
      </c>
      <c r="G30" s="33">
        <f t="shared" si="3"/>
        <v>1</v>
      </c>
      <c r="H30" s="34" t="s">
        <v>14</v>
      </c>
    </row>
    <row r="31">
      <c r="A31" s="21" t="s">
        <v>240</v>
      </c>
      <c r="B31" s="21" t="s">
        <v>241</v>
      </c>
      <c r="C31" s="35" t="str">
        <f t="shared" ref="C31:F31" si="31">VLOOKUP($A31, INDIRECT(C$1&amp;"!B:D"), 3, FALSE)</f>
        <v>SDG 7</v>
      </c>
      <c r="D31" s="35" t="str">
        <f t="shared" si="31"/>
        <v>SDG 7</v>
      </c>
      <c r="E31" s="35" t="str">
        <f t="shared" si="31"/>
        <v>SDG 7</v>
      </c>
      <c r="F31" s="35" t="str">
        <f t="shared" si="31"/>
        <v>TO DO</v>
      </c>
      <c r="G31" s="33">
        <f t="shared" si="3"/>
        <v>1</v>
      </c>
      <c r="H31" s="34" t="s">
        <v>12</v>
      </c>
    </row>
    <row r="32">
      <c r="A32" s="21" t="s">
        <v>338</v>
      </c>
      <c r="B32" s="21" t="s">
        <v>339</v>
      </c>
      <c r="C32" s="35" t="str">
        <f t="shared" ref="C32:F32" si="32">VLOOKUP($A32, INDIRECT(C$1&amp;"!B:D"), 3, FALSE)</f>
        <v>NOT SDG 7</v>
      </c>
      <c r="D32" s="35" t="str">
        <f t="shared" si="32"/>
        <v>NOT SDG 7</v>
      </c>
      <c r="E32" s="35" t="str">
        <f t="shared" si="32"/>
        <v>NOT SDG 7</v>
      </c>
      <c r="F32" s="35" t="str">
        <f t="shared" si="32"/>
        <v>TO DO</v>
      </c>
      <c r="G32" s="33">
        <f t="shared" si="3"/>
        <v>1</v>
      </c>
      <c r="H32" s="34" t="s">
        <v>14</v>
      </c>
    </row>
    <row r="33">
      <c r="A33" s="21" t="s">
        <v>94</v>
      </c>
      <c r="B33" s="21" t="s">
        <v>95</v>
      </c>
      <c r="C33" s="35" t="str">
        <f t="shared" ref="C33:F33" si="33">VLOOKUP($A33, INDIRECT(C$1&amp;"!B:D"), 3, FALSE)</f>
        <v>SDG 7</v>
      </c>
      <c r="D33" s="35" t="str">
        <f t="shared" si="33"/>
        <v>SDG 7</v>
      </c>
      <c r="E33" s="35" t="str">
        <f t="shared" si="33"/>
        <v>SDG 7</v>
      </c>
      <c r="F33" s="35" t="str">
        <f t="shared" si="33"/>
        <v>TO DO</v>
      </c>
      <c r="G33" s="33">
        <f t="shared" si="3"/>
        <v>1</v>
      </c>
      <c r="H33" s="34" t="s">
        <v>12</v>
      </c>
    </row>
    <row r="34">
      <c r="A34" s="21" t="s">
        <v>263</v>
      </c>
      <c r="B34" s="21" t="s">
        <v>264</v>
      </c>
      <c r="C34" s="35" t="str">
        <f t="shared" ref="C34:F34" si="34">VLOOKUP($A34, INDIRECT(C$1&amp;"!B:D"), 3, FALSE)</f>
        <v>SDG 7</v>
      </c>
      <c r="D34" s="35" t="str">
        <f t="shared" si="34"/>
        <v>SDG 7</v>
      </c>
      <c r="E34" s="35" t="str">
        <f t="shared" si="34"/>
        <v>SDG 7</v>
      </c>
      <c r="F34" s="35" t="str">
        <f t="shared" si="34"/>
        <v>TO DO</v>
      </c>
      <c r="G34" s="33">
        <f t="shared" si="3"/>
        <v>1</v>
      </c>
      <c r="H34" s="34" t="s">
        <v>12</v>
      </c>
    </row>
    <row r="35">
      <c r="A35" s="21" t="s">
        <v>120</v>
      </c>
      <c r="B35" s="21" t="s">
        <v>121</v>
      </c>
      <c r="C35" s="35" t="str">
        <f t="shared" ref="C35:F35" si="35">VLOOKUP($A35, INDIRECT(C$1&amp;"!B:D"), 3, FALSE)</f>
        <v>SDG 7</v>
      </c>
      <c r="D35" s="35" t="str">
        <f t="shared" si="35"/>
        <v>SDG 7</v>
      </c>
      <c r="E35" s="35" t="str">
        <f t="shared" si="35"/>
        <v>SDG 7</v>
      </c>
      <c r="F35" s="35" t="str">
        <f t="shared" si="35"/>
        <v>TO DO</v>
      </c>
      <c r="G35" s="33">
        <f t="shared" si="3"/>
        <v>1</v>
      </c>
      <c r="H35" s="34" t="s">
        <v>12</v>
      </c>
    </row>
    <row r="36">
      <c r="A36" s="21" t="s">
        <v>213</v>
      </c>
      <c r="B36" s="21" t="s">
        <v>214</v>
      </c>
      <c r="C36" s="35" t="str">
        <f t="shared" ref="C36:F36" si="36">VLOOKUP($A36, INDIRECT(C$1&amp;"!B:D"), 3, FALSE)</f>
        <v>SDG 7</v>
      </c>
      <c r="D36" s="35" t="str">
        <f t="shared" si="36"/>
        <v>SDG 7</v>
      </c>
      <c r="E36" s="35" t="str">
        <f t="shared" si="36"/>
        <v>SDG 7</v>
      </c>
      <c r="F36" s="35" t="str">
        <f t="shared" si="36"/>
        <v>TO DO</v>
      </c>
      <c r="G36" s="33">
        <f t="shared" si="3"/>
        <v>1</v>
      </c>
      <c r="H36" s="34" t="s">
        <v>12</v>
      </c>
    </row>
    <row r="37">
      <c r="A37" s="21" t="s">
        <v>277</v>
      </c>
      <c r="B37" s="21" t="s">
        <v>278</v>
      </c>
      <c r="C37" s="35" t="str">
        <f t="shared" ref="C37:F37" si="37">VLOOKUP($A37, INDIRECT(C$1&amp;"!B:D"), 3, FALSE)</f>
        <v>SDG 7</v>
      </c>
      <c r="D37" s="35" t="str">
        <f t="shared" si="37"/>
        <v>SDG 7</v>
      </c>
      <c r="E37" s="35" t="str">
        <f t="shared" si="37"/>
        <v>SDG 7</v>
      </c>
      <c r="F37" s="35" t="str">
        <f t="shared" si="37"/>
        <v>TO DO</v>
      </c>
      <c r="G37" s="33">
        <f t="shared" si="3"/>
        <v>1</v>
      </c>
      <c r="H37" s="34" t="s">
        <v>12</v>
      </c>
    </row>
    <row r="38">
      <c r="A38" s="21" t="s">
        <v>227</v>
      </c>
      <c r="B38" s="21" t="s">
        <v>228</v>
      </c>
      <c r="C38" s="35" t="str">
        <f t="shared" ref="C38:F38" si="38">VLOOKUP($A38, INDIRECT(C$1&amp;"!B:D"), 3, FALSE)</f>
        <v>SDG 7</v>
      </c>
      <c r="D38" s="35" t="str">
        <f t="shared" si="38"/>
        <v>SDG 7</v>
      </c>
      <c r="E38" s="35" t="str">
        <f t="shared" si="38"/>
        <v>SDG 7</v>
      </c>
      <c r="F38" s="35" t="str">
        <f t="shared" si="38"/>
        <v>TO DO</v>
      </c>
      <c r="G38" s="33">
        <f t="shared" si="3"/>
        <v>1</v>
      </c>
      <c r="H38" s="34" t="s">
        <v>12</v>
      </c>
    </row>
    <row r="39">
      <c r="A39" s="21" t="s">
        <v>256</v>
      </c>
      <c r="B39" s="21" t="s">
        <v>257</v>
      </c>
      <c r="C39" s="35" t="str">
        <f t="shared" ref="C39:F39" si="39">VLOOKUP($A39, INDIRECT(C$1&amp;"!B:D"), 3, FALSE)</f>
        <v>SDG 7</v>
      </c>
      <c r="D39" s="35" t="str">
        <f t="shared" si="39"/>
        <v>SDG 7</v>
      </c>
      <c r="E39" s="35" t="str">
        <f t="shared" si="39"/>
        <v>SDG 7</v>
      </c>
      <c r="F39" s="35" t="str">
        <f t="shared" si="39"/>
        <v>SDG 7</v>
      </c>
      <c r="G39" s="33">
        <f t="shared" si="3"/>
        <v>1</v>
      </c>
      <c r="H39" s="34" t="s">
        <v>12</v>
      </c>
    </row>
    <row r="40">
      <c r="A40" s="21" t="s">
        <v>195</v>
      </c>
      <c r="B40" s="21" t="s">
        <v>196</v>
      </c>
      <c r="C40" s="35" t="str">
        <f t="shared" ref="C40:F40" si="40">VLOOKUP($A40, INDIRECT(C$1&amp;"!B:D"), 3, FALSE)</f>
        <v>SDG 7</v>
      </c>
      <c r="D40" s="35" t="str">
        <f t="shared" si="40"/>
        <v>SDG 7</v>
      </c>
      <c r="E40" s="35" t="str">
        <f t="shared" si="40"/>
        <v>SDG 7</v>
      </c>
      <c r="F40" s="35" t="str">
        <f t="shared" si="40"/>
        <v>TO DO</v>
      </c>
      <c r="G40" s="33">
        <f t="shared" si="3"/>
        <v>1</v>
      </c>
      <c r="H40" s="34" t="s">
        <v>12</v>
      </c>
    </row>
    <row r="41">
      <c r="A41" s="21" t="s">
        <v>208</v>
      </c>
      <c r="B41" s="21" t="s">
        <v>209</v>
      </c>
      <c r="C41" s="35" t="str">
        <f t="shared" ref="C41:F41" si="41">VLOOKUP($A41, INDIRECT(C$1&amp;"!B:D"), 3, FALSE)</f>
        <v>SDG 7</v>
      </c>
      <c r="D41" s="35" t="str">
        <f t="shared" si="41"/>
        <v>SDG 7</v>
      </c>
      <c r="E41" s="35" t="str">
        <f t="shared" si="41"/>
        <v>SDG 7</v>
      </c>
      <c r="F41" s="35" t="str">
        <f t="shared" si="41"/>
        <v>TO DO</v>
      </c>
      <c r="G41" s="33">
        <f t="shared" si="3"/>
        <v>1</v>
      </c>
      <c r="H41" s="34" t="s">
        <v>12</v>
      </c>
    </row>
    <row r="42">
      <c r="A42" s="21" t="s">
        <v>253</v>
      </c>
      <c r="B42" s="21" t="s">
        <v>254</v>
      </c>
      <c r="C42" s="35" t="str">
        <f t="shared" ref="C42:F42" si="42">VLOOKUP($A42, INDIRECT(C$1&amp;"!B:D"), 3, FALSE)</f>
        <v>NOT SDG 7</v>
      </c>
      <c r="D42" s="35" t="str">
        <f t="shared" si="42"/>
        <v>NOT SDG 7</v>
      </c>
      <c r="E42" s="35" t="str">
        <f t="shared" si="42"/>
        <v>NOT SDG 7</v>
      </c>
      <c r="F42" s="35" t="str">
        <f t="shared" si="42"/>
        <v>TO DO</v>
      </c>
      <c r="G42" s="33">
        <f t="shared" si="3"/>
        <v>1</v>
      </c>
      <c r="H42" s="34" t="s">
        <v>14</v>
      </c>
    </row>
    <row r="43">
      <c r="A43" s="21" t="s">
        <v>274</v>
      </c>
      <c r="B43" s="21" t="s">
        <v>275</v>
      </c>
      <c r="C43" s="35" t="str">
        <f t="shared" ref="C43:F43" si="43">VLOOKUP($A43, INDIRECT(C$1&amp;"!B:D"), 3, FALSE)</f>
        <v>NOT SDG 7</v>
      </c>
      <c r="D43" s="35" t="str">
        <f t="shared" si="43"/>
        <v>NOT SDG 7</v>
      </c>
      <c r="E43" s="35" t="str">
        <f t="shared" si="43"/>
        <v>NOT SDG 7</v>
      </c>
      <c r="F43" s="35" t="str">
        <f t="shared" si="43"/>
        <v>TO DO</v>
      </c>
      <c r="G43" s="33">
        <f t="shared" si="3"/>
        <v>1</v>
      </c>
      <c r="H43" s="34" t="s">
        <v>14</v>
      </c>
    </row>
    <row r="44">
      <c r="A44" s="21" t="s">
        <v>279</v>
      </c>
      <c r="B44" s="21" t="s">
        <v>280</v>
      </c>
      <c r="C44" s="35" t="str">
        <f t="shared" ref="C44:F44" si="44">VLOOKUP($A44, INDIRECT(C$1&amp;"!B:D"), 3, FALSE)</f>
        <v>NOT SDG 7</v>
      </c>
      <c r="D44" s="35" t="str">
        <f t="shared" si="44"/>
        <v>NOT SDG 7</v>
      </c>
      <c r="E44" s="35" t="str">
        <f t="shared" si="44"/>
        <v>NOT SDG 7</v>
      </c>
      <c r="F44" s="35" t="str">
        <f t="shared" si="44"/>
        <v>TO DO</v>
      </c>
      <c r="G44" s="33">
        <f t="shared" si="3"/>
        <v>1</v>
      </c>
      <c r="H44" s="34" t="s">
        <v>14</v>
      </c>
    </row>
    <row r="45">
      <c r="A45" s="21" t="s">
        <v>314</v>
      </c>
      <c r="B45" s="21" t="s">
        <v>315</v>
      </c>
      <c r="C45" s="35" t="str">
        <f t="shared" ref="C45:F45" si="45">VLOOKUP($A45, INDIRECT(C$1&amp;"!B:D"), 3, FALSE)</f>
        <v>NOT SDG 7</v>
      </c>
      <c r="D45" s="35" t="str">
        <f t="shared" si="45"/>
        <v>NOT SDG 7</v>
      </c>
      <c r="E45" s="35" t="str">
        <f t="shared" si="45"/>
        <v>NOT SDG 7</v>
      </c>
      <c r="F45" s="35" t="str">
        <f t="shared" si="45"/>
        <v>TO DO</v>
      </c>
      <c r="G45" s="33">
        <f t="shared" si="3"/>
        <v>1</v>
      </c>
      <c r="H45" s="34" t="s">
        <v>14</v>
      </c>
    </row>
    <row r="46">
      <c r="A46" s="21" t="s">
        <v>109</v>
      </c>
      <c r="B46" s="21" t="s">
        <v>110</v>
      </c>
      <c r="C46" s="35" t="str">
        <f t="shared" ref="C46:F46" si="46">VLOOKUP($A46, INDIRECT(C$1&amp;"!B:D"), 3, FALSE)</f>
        <v>SDG 7</v>
      </c>
      <c r="D46" s="35" t="str">
        <f t="shared" si="46"/>
        <v>SDG 7</v>
      </c>
      <c r="E46" s="35" t="str">
        <f t="shared" si="46"/>
        <v>SDG 7</v>
      </c>
      <c r="F46" s="35" t="str">
        <f t="shared" si="46"/>
        <v>TO DO</v>
      </c>
      <c r="G46" s="33">
        <f t="shared" si="3"/>
        <v>1</v>
      </c>
      <c r="H46" s="34" t="s">
        <v>12</v>
      </c>
    </row>
    <row r="47">
      <c r="A47" s="21" t="s">
        <v>336</v>
      </c>
      <c r="B47" s="21" t="s">
        <v>337</v>
      </c>
      <c r="C47" s="35" t="str">
        <f t="shared" ref="C47:F47" si="47">VLOOKUP($A47, INDIRECT(C$1&amp;"!B:D"), 3, FALSE)</f>
        <v>NOT SDG 7</v>
      </c>
      <c r="D47" s="35" t="str">
        <f t="shared" si="47"/>
        <v>NOT SDG 7</v>
      </c>
      <c r="E47" s="35" t="str">
        <f t="shared" si="47"/>
        <v>NOT SDG 7</v>
      </c>
      <c r="F47" s="35" t="str">
        <f t="shared" si="47"/>
        <v>TO DO</v>
      </c>
      <c r="G47" s="33">
        <f t="shared" si="3"/>
        <v>1</v>
      </c>
      <c r="H47" s="34" t="s">
        <v>14</v>
      </c>
    </row>
    <row r="48">
      <c r="A48" s="21" t="s">
        <v>156</v>
      </c>
      <c r="B48" s="21" t="s">
        <v>157</v>
      </c>
      <c r="C48" s="35" t="str">
        <f t="shared" ref="C48:F48" si="48">VLOOKUP($A48, INDIRECT(C$1&amp;"!B:D"), 3, FALSE)</f>
        <v>SDG 7</v>
      </c>
      <c r="D48" s="35" t="str">
        <f t="shared" si="48"/>
        <v>SDG 7</v>
      </c>
      <c r="E48" s="35" t="str">
        <f t="shared" si="48"/>
        <v>SDG 7</v>
      </c>
      <c r="F48" s="35" t="str">
        <f t="shared" si="48"/>
        <v>TO DO</v>
      </c>
      <c r="G48" s="33">
        <f t="shared" si="3"/>
        <v>1</v>
      </c>
      <c r="H48" s="34" t="s">
        <v>12</v>
      </c>
    </row>
    <row r="49">
      <c r="A49" s="21" t="s">
        <v>175</v>
      </c>
      <c r="B49" s="21" t="s">
        <v>176</v>
      </c>
      <c r="C49" s="35" t="str">
        <f t="shared" ref="C49:F49" si="49">VLOOKUP($A49, INDIRECT(C$1&amp;"!B:D"), 3, FALSE)</f>
        <v>SDG 7</v>
      </c>
      <c r="D49" s="35" t="str">
        <f t="shared" si="49"/>
        <v>SDG 7</v>
      </c>
      <c r="E49" s="35" t="str">
        <f t="shared" si="49"/>
        <v>SDG 7</v>
      </c>
      <c r="F49" s="35" t="str">
        <f t="shared" si="49"/>
        <v>TO DO</v>
      </c>
      <c r="G49" s="33">
        <f t="shared" si="3"/>
        <v>1</v>
      </c>
      <c r="H49" s="34" t="s">
        <v>12</v>
      </c>
    </row>
    <row r="50">
      <c r="A50" s="21" t="s">
        <v>321</v>
      </c>
      <c r="B50" s="21" t="s">
        <v>322</v>
      </c>
      <c r="C50" s="35" t="str">
        <f t="shared" ref="C50:F50" si="50">VLOOKUP($A50, INDIRECT(C$1&amp;"!B:D"), 3, FALSE)</f>
        <v>SDG 7</v>
      </c>
      <c r="D50" s="35" t="str">
        <f t="shared" si="50"/>
        <v>SDG 7</v>
      </c>
      <c r="E50" s="35" t="str">
        <f t="shared" si="50"/>
        <v>SDG 7</v>
      </c>
      <c r="F50" s="35" t="str">
        <f t="shared" si="50"/>
        <v>TO DO</v>
      </c>
      <c r="G50" s="33">
        <f t="shared" si="3"/>
        <v>1</v>
      </c>
      <c r="H50" s="34" t="s">
        <v>12</v>
      </c>
    </row>
    <row r="51">
      <c r="A51" s="21" t="s">
        <v>295</v>
      </c>
      <c r="B51" s="21" t="s">
        <v>296</v>
      </c>
      <c r="C51" s="35" t="str">
        <f t="shared" ref="C51:F51" si="51">VLOOKUP($A51, INDIRECT(C$1&amp;"!B:D"), 3, FALSE)</f>
        <v>SDG 7</v>
      </c>
      <c r="D51" s="35" t="str">
        <f t="shared" si="51"/>
        <v>SDG 7</v>
      </c>
      <c r="E51" s="35" t="str">
        <f t="shared" si="51"/>
        <v>SDG 7</v>
      </c>
      <c r="F51" s="35" t="str">
        <f t="shared" si="51"/>
        <v>TO DO</v>
      </c>
      <c r="G51" s="33">
        <f t="shared" si="3"/>
        <v>1</v>
      </c>
      <c r="H51" s="34" t="s">
        <v>12</v>
      </c>
    </row>
    <row r="52">
      <c r="A52" s="21" t="s">
        <v>204</v>
      </c>
      <c r="B52" s="21" t="s">
        <v>205</v>
      </c>
      <c r="C52" s="35" t="str">
        <f t="shared" ref="C52:F52" si="52">VLOOKUP($A52, INDIRECT(C$1&amp;"!B:D"), 3, FALSE)</f>
        <v>SDG 7</v>
      </c>
      <c r="D52" s="35" t="str">
        <f t="shared" si="52"/>
        <v>SDG 7</v>
      </c>
      <c r="E52" s="35" t="str">
        <f t="shared" si="52"/>
        <v>SDG 7</v>
      </c>
      <c r="F52" s="35" t="str">
        <f t="shared" si="52"/>
        <v>TO DO</v>
      </c>
      <c r="G52" s="33">
        <f t="shared" si="3"/>
        <v>1</v>
      </c>
      <c r="H52" s="34" t="s">
        <v>12</v>
      </c>
    </row>
    <row r="53">
      <c r="A53" s="21" t="s">
        <v>311</v>
      </c>
      <c r="B53" s="21" t="s">
        <v>312</v>
      </c>
      <c r="C53" s="35" t="str">
        <f t="shared" ref="C53:F53" si="53">VLOOKUP($A53, INDIRECT(C$1&amp;"!B:D"), 3, FALSE)</f>
        <v>SDG 7</v>
      </c>
      <c r="D53" s="35" t="str">
        <f t="shared" si="53"/>
        <v>SDG 7</v>
      </c>
      <c r="E53" s="35" t="str">
        <f t="shared" si="53"/>
        <v>SDG 7</v>
      </c>
      <c r="F53" s="35" t="str">
        <f t="shared" si="53"/>
        <v>TO DO</v>
      </c>
      <c r="G53" s="33">
        <f t="shared" si="3"/>
        <v>1</v>
      </c>
      <c r="H53" s="34" t="s">
        <v>12</v>
      </c>
    </row>
    <row r="54">
      <c r="A54" s="21" t="s">
        <v>334</v>
      </c>
      <c r="B54" s="21" t="s">
        <v>335</v>
      </c>
      <c r="C54" s="35" t="str">
        <f t="shared" ref="C54:F54" si="54">VLOOKUP($A54, INDIRECT(C$1&amp;"!B:D"), 3, FALSE)</f>
        <v>SDG 7</v>
      </c>
      <c r="D54" s="35" t="str">
        <f t="shared" si="54"/>
        <v>SDG 7</v>
      </c>
      <c r="E54" s="35" t="str">
        <f t="shared" si="54"/>
        <v>SDG 7</v>
      </c>
      <c r="F54" s="35" t="str">
        <f t="shared" si="54"/>
        <v>TO DO</v>
      </c>
      <c r="G54" s="33">
        <f t="shared" si="3"/>
        <v>1</v>
      </c>
      <c r="H54" s="34" t="s">
        <v>12</v>
      </c>
    </row>
    <row r="55">
      <c r="A55" s="21" t="s">
        <v>290</v>
      </c>
      <c r="B55" s="21" t="s">
        <v>291</v>
      </c>
      <c r="C55" s="35" t="str">
        <f t="shared" ref="C55:F55" si="55">VLOOKUP($A55, INDIRECT(C$1&amp;"!B:D"), 3, FALSE)</f>
        <v>NOT SDG 7</v>
      </c>
      <c r="D55" s="35" t="str">
        <f t="shared" si="55"/>
        <v>NOT SDG 7</v>
      </c>
      <c r="E55" s="35" t="str">
        <f t="shared" si="55"/>
        <v>NOT SDG 7</v>
      </c>
      <c r="F55" s="35" t="str">
        <f t="shared" si="55"/>
        <v>TO DO</v>
      </c>
      <c r="G55" s="33">
        <f t="shared" si="3"/>
        <v>1</v>
      </c>
      <c r="H55" s="34" t="s">
        <v>14</v>
      </c>
    </row>
    <row r="56">
      <c r="A56" s="21" t="s">
        <v>258</v>
      </c>
      <c r="B56" s="21" t="s">
        <v>259</v>
      </c>
      <c r="C56" s="35" t="str">
        <f t="shared" ref="C56:F56" si="56">VLOOKUP($A56, INDIRECT(C$1&amp;"!B:D"), 3, FALSE)</f>
        <v>NOT SDG 7</v>
      </c>
      <c r="D56" s="35" t="str">
        <f t="shared" si="56"/>
        <v>NOT SDG 7</v>
      </c>
      <c r="E56" s="35" t="str">
        <f t="shared" si="56"/>
        <v>NOT SDG 7</v>
      </c>
      <c r="F56" s="35" t="str">
        <f t="shared" si="56"/>
        <v>TO DO</v>
      </c>
      <c r="G56" s="33">
        <f t="shared" si="3"/>
        <v>1</v>
      </c>
      <c r="H56" s="34" t="s">
        <v>14</v>
      </c>
    </row>
    <row r="57">
      <c r="A57" s="21" t="s">
        <v>299</v>
      </c>
      <c r="B57" s="21" t="s">
        <v>300</v>
      </c>
      <c r="C57" s="35" t="str">
        <f t="shared" ref="C57:F57" si="57">VLOOKUP($A57, INDIRECT(C$1&amp;"!B:D"), 3, FALSE)</f>
        <v>NOT SDG 7</v>
      </c>
      <c r="D57" s="35" t="str">
        <f t="shared" si="57"/>
        <v>NOT SDG 7</v>
      </c>
      <c r="E57" s="35" t="str">
        <f t="shared" si="57"/>
        <v>NOT SDG 7</v>
      </c>
      <c r="F57" s="35" t="str">
        <f t="shared" si="57"/>
        <v>NOT SDG 7</v>
      </c>
      <c r="G57" s="33">
        <f t="shared" si="3"/>
        <v>1</v>
      </c>
      <c r="H57" s="34" t="s">
        <v>14</v>
      </c>
    </row>
    <row r="58">
      <c r="A58" s="21" t="s">
        <v>125</v>
      </c>
      <c r="B58" s="21" t="s">
        <v>126</v>
      </c>
      <c r="C58" s="35" t="str">
        <f t="shared" ref="C58:F58" si="58">VLOOKUP($A58, INDIRECT(C$1&amp;"!B:D"), 3, FALSE)</f>
        <v>NOT SDG 7</v>
      </c>
      <c r="D58" s="35" t="str">
        <f t="shared" si="58"/>
        <v>NOT SDG 7</v>
      </c>
      <c r="E58" s="35" t="str">
        <f t="shared" si="58"/>
        <v>NOT SDG 7</v>
      </c>
      <c r="F58" s="35" t="str">
        <f t="shared" si="58"/>
        <v>NOT SDG 7</v>
      </c>
      <c r="G58" s="33">
        <f t="shared" si="3"/>
        <v>1</v>
      </c>
      <c r="H58" s="34" t="s">
        <v>14</v>
      </c>
    </row>
    <row r="59">
      <c r="A59" s="21" t="s">
        <v>84</v>
      </c>
      <c r="B59" s="21" t="s">
        <v>85</v>
      </c>
      <c r="C59" s="35" t="str">
        <f t="shared" ref="C59:F59" si="59">VLOOKUP($A59, INDIRECT(C$1&amp;"!B:D"), 3, FALSE)</f>
        <v>NOT SDG 7</v>
      </c>
      <c r="D59" s="35" t="str">
        <f t="shared" si="59"/>
        <v>NOT SDG 7</v>
      </c>
      <c r="E59" s="35" t="str">
        <f t="shared" si="59"/>
        <v>NOT SDG 7</v>
      </c>
      <c r="F59" s="35" t="str">
        <f t="shared" si="59"/>
        <v>TO DO</v>
      </c>
      <c r="G59" s="33">
        <f t="shared" si="3"/>
        <v>1</v>
      </c>
      <c r="H59" s="34" t="s">
        <v>14</v>
      </c>
    </row>
    <row r="60">
      <c r="A60" s="21" t="s">
        <v>183</v>
      </c>
      <c r="B60" s="21" t="s">
        <v>184</v>
      </c>
      <c r="C60" s="35" t="str">
        <f t="shared" ref="C60:F60" si="60">VLOOKUP($A60, INDIRECT(C$1&amp;"!B:D"), 3, FALSE)</f>
        <v>NOT SDG 7</v>
      </c>
      <c r="D60" s="35" t="str">
        <f t="shared" si="60"/>
        <v>NOT SDG 7</v>
      </c>
      <c r="E60" s="35" t="str">
        <f t="shared" si="60"/>
        <v>NOT SDG 7</v>
      </c>
      <c r="F60" s="35" t="str">
        <f t="shared" si="60"/>
        <v>TO DO</v>
      </c>
      <c r="G60" s="33">
        <f t="shared" si="3"/>
        <v>1</v>
      </c>
      <c r="H60" s="34" t="s">
        <v>14</v>
      </c>
    </row>
    <row r="61">
      <c r="A61" s="21" t="s">
        <v>251</v>
      </c>
      <c r="B61" s="21" t="s">
        <v>252</v>
      </c>
      <c r="C61" s="35" t="str">
        <f t="shared" ref="C61:F61" si="61">VLOOKUP($A61, INDIRECT(C$1&amp;"!B:D"), 3, FALSE)</f>
        <v>SDG 7</v>
      </c>
      <c r="D61" s="35" t="str">
        <f t="shared" si="61"/>
        <v>SDG 7</v>
      </c>
      <c r="E61" s="35" t="str">
        <f t="shared" si="61"/>
        <v>SDG 7</v>
      </c>
      <c r="F61" s="35" t="str">
        <f t="shared" si="61"/>
        <v>TO DO</v>
      </c>
      <c r="G61" s="33">
        <f t="shared" si="3"/>
        <v>1</v>
      </c>
      <c r="H61" s="34" t="s">
        <v>12</v>
      </c>
    </row>
    <row r="62">
      <c r="A62" s="21" t="s">
        <v>135</v>
      </c>
      <c r="B62" s="21" t="s">
        <v>136</v>
      </c>
      <c r="C62" s="35" t="str">
        <f t="shared" ref="C62:F62" si="62">VLOOKUP($A62, INDIRECT(C$1&amp;"!B:D"), 3, FALSE)</f>
        <v>NOT SDG 7</v>
      </c>
      <c r="D62" s="35" t="str">
        <f t="shared" si="62"/>
        <v>NOT SDG 7</v>
      </c>
      <c r="E62" s="35" t="str">
        <f t="shared" si="62"/>
        <v>NOT SDG 7</v>
      </c>
      <c r="F62" s="35" t="str">
        <f t="shared" si="62"/>
        <v>TO DO</v>
      </c>
      <c r="G62" s="33">
        <f t="shared" si="3"/>
        <v>1</v>
      </c>
      <c r="H62" s="34" t="s">
        <v>14</v>
      </c>
    </row>
    <row r="63">
      <c r="A63" s="21" t="s">
        <v>187</v>
      </c>
      <c r="B63" s="21" t="s">
        <v>188</v>
      </c>
      <c r="C63" s="35" t="str">
        <f t="shared" ref="C63:F63" si="63">VLOOKUP($A63, INDIRECT(C$1&amp;"!B:D"), 3, FALSE)</f>
        <v>NOT SDG 7</v>
      </c>
      <c r="D63" s="35" t="str">
        <f t="shared" si="63"/>
        <v>NOT SDG 7</v>
      </c>
      <c r="E63" s="35" t="str">
        <f t="shared" si="63"/>
        <v>NOT SDG 7</v>
      </c>
      <c r="F63" s="35" t="str">
        <f t="shared" si="63"/>
        <v>TO DO</v>
      </c>
      <c r="G63" s="33">
        <f t="shared" si="3"/>
        <v>1</v>
      </c>
      <c r="H63" s="34" t="s">
        <v>14</v>
      </c>
    </row>
    <row r="64">
      <c r="A64" s="21" t="s">
        <v>282</v>
      </c>
      <c r="B64" s="21" t="s">
        <v>283</v>
      </c>
      <c r="C64" s="35" t="str">
        <f t="shared" ref="C64:F64" si="64">VLOOKUP($A64, INDIRECT(C$1&amp;"!B:D"), 3, FALSE)</f>
        <v>NOT SDG 7</v>
      </c>
      <c r="D64" s="35" t="str">
        <f t="shared" si="64"/>
        <v>NOT SDG 7</v>
      </c>
      <c r="E64" s="35" t="str">
        <f t="shared" si="64"/>
        <v>NOT SDG 7</v>
      </c>
      <c r="F64" s="35" t="str">
        <f t="shared" si="64"/>
        <v>TO DO</v>
      </c>
      <c r="G64" s="33">
        <f t="shared" si="3"/>
        <v>1</v>
      </c>
      <c r="H64" s="34" t="s">
        <v>14</v>
      </c>
    </row>
    <row r="65">
      <c r="A65" s="21" t="s">
        <v>130</v>
      </c>
      <c r="B65" s="21" t="s">
        <v>131</v>
      </c>
      <c r="C65" s="35" t="str">
        <f t="shared" ref="C65:F65" si="65">VLOOKUP($A65, INDIRECT(C$1&amp;"!B:D"), 3, FALSE)</f>
        <v>NOT SDG 7</v>
      </c>
      <c r="D65" s="35" t="str">
        <f t="shared" si="65"/>
        <v>NOT SDG 7</v>
      </c>
      <c r="E65" s="35" t="str">
        <f t="shared" si="65"/>
        <v>NOT SDG 7</v>
      </c>
      <c r="F65" s="35" t="str">
        <f t="shared" si="65"/>
        <v>TO DO</v>
      </c>
      <c r="G65" s="33">
        <f t="shared" si="3"/>
        <v>1</v>
      </c>
      <c r="H65" s="34" t="s">
        <v>14</v>
      </c>
    </row>
    <row r="66">
      <c r="A66" s="21" t="s">
        <v>268</v>
      </c>
      <c r="B66" s="21" t="s">
        <v>269</v>
      </c>
      <c r="C66" s="35" t="str">
        <f t="shared" ref="C66:F66" si="66">VLOOKUP($A66, INDIRECT(C$1&amp;"!B:D"), 3, FALSE)</f>
        <v>NOT SDG 7</v>
      </c>
      <c r="D66" s="35" t="str">
        <f t="shared" si="66"/>
        <v>NOT SDG 7</v>
      </c>
      <c r="E66" s="35" t="str">
        <f t="shared" si="66"/>
        <v>NOT SDG 7</v>
      </c>
      <c r="F66" s="35" t="str">
        <f t="shared" si="66"/>
        <v>TO DO</v>
      </c>
      <c r="G66" s="33">
        <f t="shared" si="3"/>
        <v>1</v>
      </c>
      <c r="H66" s="34" t="s">
        <v>14</v>
      </c>
    </row>
    <row r="67">
      <c r="A67" s="21" t="s">
        <v>144</v>
      </c>
      <c r="B67" s="21" t="s">
        <v>145</v>
      </c>
      <c r="C67" s="35" t="str">
        <f t="shared" ref="C67:F67" si="67">VLOOKUP($A67, INDIRECT(C$1&amp;"!B:D"), 3, FALSE)</f>
        <v>NOT SDG 7</v>
      </c>
      <c r="D67" s="35" t="str">
        <f t="shared" si="67"/>
        <v>NOT SDG 7</v>
      </c>
      <c r="E67" s="35" t="str">
        <f t="shared" si="67"/>
        <v>NOT SDG 7</v>
      </c>
      <c r="F67" s="35" t="str">
        <f t="shared" si="67"/>
        <v>NOT SDG 7</v>
      </c>
      <c r="G67" s="33">
        <f t="shared" si="3"/>
        <v>1</v>
      </c>
      <c r="H67" s="34" t="s">
        <v>14</v>
      </c>
    </row>
    <row r="68">
      <c r="A68" s="21" t="s">
        <v>112</v>
      </c>
      <c r="B68" s="21" t="s">
        <v>113</v>
      </c>
      <c r="C68" s="35" t="str">
        <f t="shared" ref="C68:F68" si="68">VLOOKUP($A68, INDIRECT(C$1&amp;"!B:D"), 3, FALSE)</f>
        <v>SDG 7</v>
      </c>
      <c r="D68" s="35" t="str">
        <f t="shared" si="68"/>
        <v>SDG 7</v>
      </c>
      <c r="E68" s="35" t="str">
        <f t="shared" si="68"/>
        <v>SDG 7</v>
      </c>
      <c r="F68" s="35" t="str">
        <f t="shared" si="68"/>
        <v>TO DO</v>
      </c>
      <c r="G68" s="33">
        <f t="shared" si="3"/>
        <v>1</v>
      </c>
      <c r="H68" s="34" t="s">
        <v>12</v>
      </c>
    </row>
    <row r="69">
      <c r="A69" s="21" t="s">
        <v>88</v>
      </c>
      <c r="B69" s="21" t="s">
        <v>89</v>
      </c>
      <c r="C69" s="35" t="str">
        <f t="shared" ref="C69:F69" si="69">VLOOKUP($A69, INDIRECT(C$1&amp;"!B:D"), 3, FALSE)</f>
        <v>NOT SDG 7</v>
      </c>
      <c r="D69" s="35" t="str">
        <f t="shared" si="69"/>
        <v>NOT SDG 7</v>
      </c>
      <c r="E69" s="35" t="str">
        <f t="shared" si="69"/>
        <v>NOT SDG 7</v>
      </c>
      <c r="F69" s="35" t="str">
        <f t="shared" si="69"/>
        <v>TO DO</v>
      </c>
      <c r="G69" s="33">
        <f t="shared" si="3"/>
        <v>1</v>
      </c>
      <c r="H69" s="34" t="s">
        <v>14</v>
      </c>
    </row>
    <row r="70">
      <c r="A70" s="21" t="s">
        <v>243</v>
      </c>
      <c r="B70" s="21" t="s">
        <v>244</v>
      </c>
      <c r="C70" s="35" t="str">
        <f t="shared" ref="C70:F70" si="70">VLOOKUP($A70, INDIRECT(C$1&amp;"!B:D"), 3, FALSE)</f>
        <v>SDG 7</v>
      </c>
      <c r="D70" s="35" t="str">
        <f t="shared" si="70"/>
        <v>SDG 7</v>
      </c>
      <c r="E70" s="35" t="str">
        <f t="shared" si="70"/>
        <v>SDG 7</v>
      </c>
      <c r="F70" s="35" t="str">
        <f t="shared" si="70"/>
        <v>TO DO</v>
      </c>
      <c r="G70" s="33">
        <f t="shared" si="3"/>
        <v>1</v>
      </c>
      <c r="H70" s="34" t="s">
        <v>12</v>
      </c>
    </row>
    <row r="71">
      <c r="A71" s="21" t="s">
        <v>230</v>
      </c>
      <c r="B71" s="21" t="s">
        <v>231</v>
      </c>
      <c r="C71" s="35" t="str">
        <f t="shared" ref="C71:F71" si="71">VLOOKUP($A71, INDIRECT(C$1&amp;"!B:D"), 3, FALSE)</f>
        <v>NOT SDG 7</v>
      </c>
      <c r="D71" s="35" t="str">
        <f t="shared" si="71"/>
        <v>NOT SDG 7</v>
      </c>
      <c r="E71" s="35" t="str">
        <f t="shared" si="71"/>
        <v>NOT SDG 7</v>
      </c>
      <c r="F71" s="35" t="str">
        <f t="shared" si="71"/>
        <v>TO DO</v>
      </c>
      <c r="G71" s="33">
        <f t="shared" si="3"/>
        <v>1</v>
      </c>
      <c r="H71" s="34" t="s">
        <v>14</v>
      </c>
    </row>
    <row r="72">
      <c r="A72" s="21" t="s">
        <v>224</v>
      </c>
      <c r="B72" s="21" t="s">
        <v>225</v>
      </c>
      <c r="C72" s="35" t="str">
        <f t="shared" ref="C72:F72" si="72">VLOOKUP($A72, INDIRECT(C$1&amp;"!B:D"), 3, FALSE)</f>
        <v>SDG 7</v>
      </c>
      <c r="D72" s="35" t="str">
        <f t="shared" si="72"/>
        <v>SDG 7</v>
      </c>
      <c r="E72" s="35" t="str">
        <f t="shared" si="72"/>
        <v>SDG 7</v>
      </c>
      <c r="F72" s="35" t="str">
        <f t="shared" si="72"/>
        <v>TO DO</v>
      </c>
      <c r="G72" s="33">
        <f t="shared" si="3"/>
        <v>1</v>
      </c>
      <c r="H72" s="34" t="s">
        <v>12</v>
      </c>
    </row>
    <row r="73">
      <c r="A73" s="21" t="s">
        <v>100</v>
      </c>
      <c r="B73" s="21" t="s">
        <v>101</v>
      </c>
      <c r="C73" s="35" t="str">
        <f t="shared" ref="C73:F73" si="73">VLOOKUP($A73, INDIRECT(C$1&amp;"!B:D"), 3, FALSE)</f>
        <v>SDG 7</v>
      </c>
      <c r="D73" s="35" t="str">
        <f t="shared" si="73"/>
        <v>SDG 7</v>
      </c>
      <c r="E73" s="35" t="str">
        <f t="shared" si="73"/>
        <v>SDG 7</v>
      </c>
      <c r="F73" s="35" t="str">
        <f t="shared" si="73"/>
        <v>TO DO</v>
      </c>
      <c r="G73" s="33">
        <f t="shared" si="3"/>
        <v>1</v>
      </c>
      <c r="H73" s="34" t="s">
        <v>12</v>
      </c>
    </row>
    <row r="74">
      <c r="A74" s="21" t="s">
        <v>297</v>
      </c>
      <c r="B74" s="21" t="s">
        <v>298</v>
      </c>
      <c r="C74" s="35" t="str">
        <f t="shared" ref="C74:F74" si="74">VLOOKUP($A74, INDIRECT(C$1&amp;"!B:D"), 3, FALSE)</f>
        <v>SDG 7</v>
      </c>
      <c r="D74" s="35" t="str">
        <f t="shared" si="74"/>
        <v>SDG 7</v>
      </c>
      <c r="E74" s="35" t="str">
        <f t="shared" si="74"/>
        <v>SDG 7</v>
      </c>
      <c r="F74" s="35" t="str">
        <f t="shared" si="74"/>
        <v>TO DO</v>
      </c>
      <c r="G74" s="33">
        <f t="shared" si="3"/>
        <v>1</v>
      </c>
      <c r="H74" s="34" t="s">
        <v>12</v>
      </c>
    </row>
    <row r="75">
      <c r="A75" s="21" t="s">
        <v>180</v>
      </c>
      <c r="B75" s="21" t="s">
        <v>181</v>
      </c>
      <c r="C75" s="35" t="str">
        <f t="shared" ref="C75:F75" si="75">VLOOKUP($A75, INDIRECT(C$1&amp;"!B:D"), 3, FALSE)</f>
        <v>NOT SDG 7</v>
      </c>
      <c r="D75" s="35" t="str">
        <f t="shared" si="75"/>
        <v>NOT SDG 7</v>
      </c>
      <c r="E75" s="35" t="str">
        <f t="shared" si="75"/>
        <v>NOT SDG 7</v>
      </c>
      <c r="F75" s="35" t="str">
        <f t="shared" si="75"/>
        <v>NOT SDG 7</v>
      </c>
      <c r="G75" s="33">
        <f t="shared" si="3"/>
        <v>1</v>
      </c>
      <c r="H75" s="34" t="s">
        <v>14</v>
      </c>
    </row>
    <row r="76">
      <c r="A76" s="21" t="s">
        <v>141</v>
      </c>
      <c r="B76" s="21" t="s">
        <v>142</v>
      </c>
      <c r="C76" s="35" t="str">
        <f t="shared" ref="C76:F76" si="76">VLOOKUP($A76, INDIRECT(C$1&amp;"!B:D"), 3, FALSE)</f>
        <v>SDG 7</v>
      </c>
      <c r="D76" s="35" t="str">
        <f t="shared" si="76"/>
        <v>SDG 7</v>
      </c>
      <c r="E76" s="35" t="str">
        <f t="shared" si="76"/>
        <v>SDG 7</v>
      </c>
      <c r="F76" s="35" t="str">
        <f t="shared" si="76"/>
        <v>TO DO</v>
      </c>
      <c r="G76" s="33">
        <f t="shared" si="3"/>
        <v>1</v>
      </c>
      <c r="H76" s="34" t="s">
        <v>12</v>
      </c>
    </row>
    <row r="77">
      <c r="A77" s="21" t="s">
        <v>106</v>
      </c>
      <c r="B77" s="21" t="s">
        <v>107</v>
      </c>
      <c r="C77" s="35" t="str">
        <f t="shared" ref="C77:F77" si="77">VLOOKUP($A77, INDIRECT(C$1&amp;"!B:D"), 3, FALSE)</f>
        <v>SDG 7</v>
      </c>
      <c r="D77" s="35" t="str">
        <f t="shared" si="77"/>
        <v>SDG 7</v>
      </c>
      <c r="E77" s="35" t="str">
        <f t="shared" si="77"/>
        <v>SDG 7</v>
      </c>
      <c r="F77" s="35" t="str">
        <f t="shared" si="77"/>
        <v>TO DO</v>
      </c>
      <c r="G77" s="33">
        <f t="shared" si="3"/>
        <v>1</v>
      </c>
      <c r="H77" s="34" t="s">
        <v>12</v>
      </c>
    </row>
    <row r="78">
      <c r="A78" s="21" t="s">
        <v>91</v>
      </c>
      <c r="B78" s="21" t="s">
        <v>92</v>
      </c>
      <c r="C78" s="35" t="str">
        <f t="shared" ref="C78:F78" si="78">VLOOKUP($A78, INDIRECT(C$1&amp;"!B:D"), 3, FALSE)</f>
        <v>NOT SDG 7</v>
      </c>
      <c r="D78" s="35" t="str">
        <f t="shared" si="78"/>
        <v>NOT SDG 7</v>
      </c>
      <c r="E78" s="35" t="str">
        <f t="shared" si="78"/>
        <v>NOT SDG 7</v>
      </c>
      <c r="F78" s="35" t="str">
        <f t="shared" si="78"/>
        <v>TO DO</v>
      </c>
      <c r="G78" s="33">
        <f t="shared" si="3"/>
        <v>1</v>
      </c>
      <c r="H78" s="34" t="s">
        <v>14</v>
      </c>
    </row>
    <row r="79">
      <c r="A79" s="21" t="s">
        <v>201</v>
      </c>
      <c r="B79" s="21" t="s">
        <v>202</v>
      </c>
      <c r="C79" s="35" t="str">
        <f t="shared" ref="C79:F79" si="79">VLOOKUP($A79, INDIRECT(C$1&amp;"!B:D"), 3, FALSE)</f>
        <v>SDG 7</v>
      </c>
      <c r="D79" s="35" t="str">
        <f t="shared" si="79"/>
        <v>SDG 7</v>
      </c>
      <c r="E79" s="35" t="str">
        <f t="shared" si="79"/>
        <v>SDG 7</v>
      </c>
      <c r="F79" s="35" t="str">
        <f t="shared" si="79"/>
        <v>TO DO</v>
      </c>
      <c r="G79" s="33">
        <f t="shared" si="3"/>
        <v>1</v>
      </c>
      <c r="H79" s="34" t="s">
        <v>12</v>
      </c>
    </row>
    <row r="80">
      <c r="A80" s="21" t="s">
        <v>329</v>
      </c>
      <c r="B80" s="21" t="s">
        <v>330</v>
      </c>
      <c r="C80" s="35" t="str">
        <f t="shared" ref="C80:F80" si="80">VLOOKUP($A80, INDIRECT(C$1&amp;"!B:D"), 3, FALSE)</f>
        <v>SDG 7</v>
      </c>
      <c r="D80" s="35" t="str">
        <f t="shared" si="80"/>
        <v>SDG 7</v>
      </c>
      <c r="E80" s="35" t="str">
        <f t="shared" si="80"/>
        <v>SDG 7</v>
      </c>
      <c r="F80" s="35" t="str">
        <f t="shared" si="80"/>
        <v>TO DO</v>
      </c>
      <c r="G80" s="33">
        <f t="shared" si="3"/>
        <v>1</v>
      </c>
      <c r="H80" s="34" t="s">
        <v>12</v>
      </c>
    </row>
    <row r="81">
      <c r="A81" s="21" t="s">
        <v>284</v>
      </c>
      <c r="B81" s="21" t="s">
        <v>285</v>
      </c>
      <c r="C81" s="35" t="str">
        <f t="shared" ref="C81:F81" si="81">VLOOKUP($A81, INDIRECT(C$1&amp;"!B:D"), 3, FALSE)</f>
        <v>SDG 7</v>
      </c>
      <c r="D81" s="35" t="str">
        <f t="shared" si="81"/>
        <v>SDG 7</v>
      </c>
      <c r="E81" s="35" t="str">
        <f t="shared" si="81"/>
        <v>SDG 7</v>
      </c>
      <c r="F81" s="35" t="str">
        <f t="shared" si="81"/>
        <v>SDG 7</v>
      </c>
      <c r="G81" s="33">
        <f t="shared" si="3"/>
        <v>1</v>
      </c>
      <c r="H81" s="34" t="s">
        <v>12</v>
      </c>
    </row>
    <row r="82">
      <c r="A82" s="21" t="s">
        <v>206</v>
      </c>
      <c r="B82" s="21" t="s">
        <v>207</v>
      </c>
      <c r="C82" s="35" t="str">
        <f t="shared" ref="C82:F82" si="82">VLOOKUP($A82, INDIRECT(C$1&amp;"!B:D"), 3, FALSE)</f>
        <v>SDG 7</v>
      </c>
      <c r="D82" s="35" t="str">
        <f t="shared" si="82"/>
        <v>SDG 7</v>
      </c>
      <c r="E82" s="35" t="str">
        <f t="shared" si="82"/>
        <v>SDG 7</v>
      </c>
      <c r="F82" s="35" t="str">
        <f t="shared" si="82"/>
        <v>TO DO</v>
      </c>
      <c r="G82" s="33">
        <f t="shared" si="3"/>
        <v>1</v>
      </c>
      <c r="H82" s="34" t="s">
        <v>12</v>
      </c>
    </row>
    <row r="83">
      <c r="A83" s="21" t="s">
        <v>128</v>
      </c>
      <c r="B83" s="21" t="s">
        <v>129</v>
      </c>
      <c r="C83" s="35" t="str">
        <f t="shared" ref="C83:F83" si="83">VLOOKUP($A83, INDIRECT(C$1&amp;"!B:D"), 3, FALSE)</f>
        <v>NOT SDG 7</v>
      </c>
      <c r="D83" s="35" t="str">
        <f t="shared" si="83"/>
        <v>NOT SDG 7</v>
      </c>
      <c r="E83" s="35" t="str">
        <f t="shared" si="83"/>
        <v>NOT SDG 7</v>
      </c>
      <c r="F83" s="35" t="str">
        <f t="shared" si="83"/>
        <v>TO DO</v>
      </c>
      <c r="G83" s="33">
        <f t="shared" si="3"/>
        <v>1</v>
      </c>
      <c r="H83" s="34" t="s">
        <v>14</v>
      </c>
    </row>
    <row r="84">
      <c r="A84" s="21" t="s">
        <v>153</v>
      </c>
      <c r="B84" s="21" t="s">
        <v>154</v>
      </c>
      <c r="C84" s="35" t="str">
        <f t="shared" ref="C84:F84" si="84">VLOOKUP($A84, INDIRECT(C$1&amp;"!B:D"), 3, FALSE)</f>
        <v>NOT SDG 7</v>
      </c>
      <c r="D84" s="35" t="str">
        <f t="shared" si="84"/>
        <v>NOT SDG 7</v>
      </c>
      <c r="E84" s="35" t="str">
        <f t="shared" si="84"/>
        <v>NOT SDG 7</v>
      </c>
      <c r="F84" s="35" t="str">
        <f t="shared" si="84"/>
        <v>TO DO</v>
      </c>
      <c r="G84" s="33">
        <f t="shared" si="3"/>
        <v>1</v>
      </c>
      <c r="H84" s="34" t="s">
        <v>14</v>
      </c>
    </row>
    <row r="85">
      <c r="A85" s="21" t="s">
        <v>272</v>
      </c>
      <c r="B85" s="21" t="s">
        <v>273</v>
      </c>
      <c r="C85" s="35" t="str">
        <f t="shared" ref="C85:F85" si="85">VLOOKUP($A85, INDIRECT(C$1&amp;"!B:D"), 3, FALSE)</f>
        <v>SDG 7</v>
      </c>
      <c r="D85" s="35" t="str">
        <f t="shared" si="85"/>
        <v>SDG 7</v>
      </c>
      <c r="E85" s="35" t="str">
        <f t="shared" si="85"/>
        <v>SDG 7</v>
      </c>
      <c r="F85" s="35" t="str">
        <f t="shared" si="85"/>
        <v>TO DO</v>
      </c>
      <c r="G85" s="33">
        <f t="shared" si="3"/>
        <v>1</v>
      </c>
      <c r="H85" s="34" t="s">
        <v>12</v>
      </c>
    </row>
    <row r="86">
      <c r="A86" s="21" t="s">
        <v>198</v>
      </c>
      <c r="B86" s="21" t="s">
        <v>199</v>
      </c>
      <c r="C86" s="35" t="str">
        <f t="shared" ref="C86:F86" si="86">VLOOKUP($A86, INDIRECT(C$1&amp;"!B:D"), 3, FALSE)</f>
        <v>NOT SDG 7</v>
      </c>
      <c r="D86" s="35" t="str">
        <f t="shared" si="86"/>
        <v>NOT SDG 7</v>
      </c>
      <c r="E86" s="35" t="str">
        <f t="shared" si="86"/>
        <v>NOT SDG 7</v>
      </c>
      <c r="F86" s="35" t="str">
        <f t="shared" si="86"/>
        <v>TO DO</v>
      </c>
      <c r="G86" s="33">
        <f t="shared" si="3"/>
        <v>1</v>
      </c>
      <c r="H86" s="34" t="s">
        <v>14</v>
      </c>
    </row>
    <row r="87">
      <c r="A87" s="21" t="s">
        <v>115</v>
      </c>
      <c r="B87" s="21" t="s">
        <v>116</v>
      </c>
      <c r="C87" s="35" t="str">
        <f t="shared" ref="C87:F87" si="87">VLOOKUP($A87, INDIRECT(C$1&amp;"!B:D"), 3, FALSE)</f>
        <v>NOT SDG 7</v>
      </c>
      <c r="D87" s="35" t="str">
        <f t="shared" si="87"/>
        <v>NOT SDG 7</v>
      </c>
      <c r="E87" s="35" t="str">
        <f t="shared" si="87"/>
        <v>NOT SDG 7</v>
      </c>
      <c r="F87" s="35" t="str">
        <f t="shared" si="87"/>
        <v>TO DO</v>
      </c>
      <c r="G87" s="33">
        <f t="shared" si="3"/>
        <v>1</v>
      </c>
      <c r="H87" s="34" t="s">
        <v>14</v>
      </c>
    </row>
    <row r="88">
      <c r="A88" s="21" t="s">
        <v>159</v>
      </c>
      <c r="B88" s="21" t="s">
        <v>160</v>
      </c>
      <c r="C88" s="35" t="str">
        <f t="shared" ref="C88:F88" si="88">VLOOKUP($A88, INDIRECT(C$1&amp;"!B:D"), 3, FALSE)</f>
        <v>NOT SDG 7</v>
      </c>
      <c r="D88" s="35" t="str">
        <f t="shared" si="88"/>
        <v>NOT SDG 7</v>
      </c>
      <c r="E88" s="35" t="str">
        <f t="shared" si="88"/>
        <v>NOT SDG 7</v>
      </c>
      <c r="F88" s="35" t="str">
        <f t="shared" si="88"/>
        <v>TO DO</v>
      </c>
      <c r="G88" s="33">
        <f t="shared" si="3"/>
        <v>1</v>
      </c>
      <c r="H88" s="34" t="s">
        <v>14</v>
      </c>
    </row>
    <row r="89">
      <c r="A89" s="21" t="s">
        <v>178</v>
      </c>
      <c r="B89" s="21" t="s">
        <v>179</v>
      </c>
      <c r="C89" s="35" t="str">
        <f t="shared" ref="C89:F89" si="89">VLOOKUP($A89, INDIRECT(C$1&amp;"!B:D"), 3, FALSE)</f>
        <v>NOT SDG 7</v>
      </c>
      <c r="D89" s="35" t="str">
        <f t="shared" si="89"/>
        <v>NOT SDG 7</v>
      </c>
      <c r="E89" s="35" t="str">
        <f t="shared" si="89"/>
        <v>NOT SDG 7</v>
      </c>
      <c r="F89" s="35" t="str">
        <f t="shared" si="89"/>
        <v>TO DO</v>
      </c>
      <c r="G89" s="33">
        <f t="shared" si="3"/>
        <v>1</v>
      </c>
      <c r="H89" s="34" t="s">
        <v>14</v>
      </c>
    </row>
    <row r="90">
      <c r="A90" s="21" t="s">
        <v>245</v>
      </c>
      <c r="B90" s="21" t="s">
        <v>246</v>
      </c>
      <c r="C90" s="35" t="str">
        <f t="shared" ref="C90:F90" si="90">VLOOKUP($A90, INDIRECT(C$1&amp;"!B:D"), 3, FALSE)</f>
        <v>SDG 7</v>
      </c>
      <c r="D90" s="35" t="str">
        <f t="shared" si="90"/>
        <v>SDG 7</v>
      </c>
      <c r="E90" s="35" t="str">
        <f t="shared" si="90"/>
        <v>SDG 7</v>
      </c>
      <c r="F90" s="35" t="str">
        <f t="shared" si="90"/>
        <v>TO DO</v>
      </c>
      <c r="G90" s="33">
        <f t="shared" si="3"/>
        <v>1</v>
      </c>
      <c r="H90" s="34" t="s">
        <v>12</v>
      </c>
    </row>
    <row r="91">
      <c r="A91" s="21" t="s">
        <v>270</v>
      </c>
      <c r="B91" s="21" t="s">
        <v>271</v>
      </c>
      <c r="C91" s="35" t="str">
        <f t="shared" ref="C91:F91" si="91">VLOOKUP($A91, INDIRECT(C$1&amp;"!B:D"), 3, FALSE)</f>
        <v>NOT SDG 7</v>
      </c>
      <c r="D91" s="35" t="str">
        <f t="shared" si="91"/>
        <v>NOT SDG 7</v>
      </c>
      <c r="E91" s="35" t="str">
        <f t="shared" si="91"/>
        <v>NOT SDG 7</v>
      </c>
      <c r="F91" s="35" t="str">
        <f t="shared" si="91"/>
        <v>NOT SDG 7</v>
      </c>
      <c r="G91" s="33">
        <f t="shared" si="3"/>
        <v>1</v>
      </c>
      <c r="H91" s="34" t="s">
        <v>14</v>
      </c>
    </row>
    <row r="92">
      <c r="A92" s="21" t="s">
        <v>292</v>
      </c>
      <c r="B92" s="21" t="s">
        <v>293</v>
      </c>
      <c r="C92" s="35" t="str">
        <f t="shared" ref="C92:F92" si="92">VLOOKUP($A92, INDIRECT(C$1&amp;"!B:D"), 3, FALSE)</f>
        <v>SDG 7</v>
      </c>
      <c r="D92" s="35" t="str">
        <f t="shared" si="92"/>
        <v>SDG 7</v>
      </c>
      <c r="E92" s="35" t="str">
        <f t="shared" si="92"/>
        <v>SDG 7</v>
      </c>
      <c r="F92" s="35" t="str">
        <f t="shared" si="92"/>
        <v>TO DO</v>
      </c>
      <c r="G92" s="33">
        <f t="shared" si="3"/>
        <v>1</v>
      </c>
      <c r="H92" s="34" t="s">
        <v>12</v>
      </c>
    </row>
    <row r="93">
      <c r="A93" s="21" t="s">
        <v>340</v>
      </c>
      <c r="B93" s="21" t="s">
        <v>341</v>
      </c>
      <c r="C93" s="35" t="str">
        <f t="shared" ref="C93:F93" si="93">VLOOKUP($A93, INDIRECT(C$1&amp;"!B:D"), 3, FALSE)</f>
        <v>NOT SDG 7</v>
      </c>
      <c r="D93" s="35" t="str">
        <f t="shared" si="93"/>
        <v>NOT SDG 7</v>
      </c>
      <c r="E93" s="35" t="str">
        <f t="shared" si="93"/>
        <v>NOT SDG 7</v>
      </c>
      <c r="F93" s="35" t="str">
        <f t="shared" si="93"/>
        <v>TO DO</v>
      </c>
      <c r="G93" s="33">
        <f t="shared" si="3"/>
        <v>1</v>
      </c>
      <c r="H93" s="34" t="s">
        <v>14</v>
      </c>
    </row>
    <row r="94">
      <c r="A94" s="21" t="s">
        <v>238</v>
      </c>
      <c r="B94" s="22" t="s">
        <v>239</v>
      </c>
      <c r="C94" s="35" t="str">
        <f t="shared" ref="C94:F94" si="94">VLOOKUP($A94, INDIRECT(C$1&amp;"!B:D"), 3, FALSE)</f>
        <v>SDG 7</v>
      </c>
      <c r="D94" s="35" t="str">
        <f t="shared" si="94"/>
        <v>SDG 7</v>
      </c>
      <c r="E94" s="35" t="str">
        <f t="shared" si="94"/>
        <v>NOT SDG 7</v>
      </c>
      <c r="F94" s="35" t="str">
        <f t="shared" si="94"/>
        <v>TO DO</v>
      </c>
      <c r="G94" s="36">
        <f t="shared" si="3"/>
        <v>0.3333333333</v>
      </c>
      <c r="H94" s="37" t="s">
        <v>12</v>
      </c>
      <c r="I94" s="4" t="s">
        <v>363</v>
      </c>
    </row>
    <row r="95">
      <c r="A95" s="21" t="s">
        <v>216</v>
      </c>
      <c r="B95" s="22" t="s">
        <v>217</v>
      </c>
      <c r="C95" s="35" t="str">
        <f t="shared" ref="C95:F95" si="95">VLOOKUP($A95, INDIRECT(C$1&amp;"!B:D"), 3, FALSE)</f>
        <v>SDG 7</v>
      </c>
      <c r="D95" s="35" t="str">
        <f t="shared" si="95"/>
        <v>NOT SDG 7</v>
      </c>
      <c r="E95" s="35" t="str">
        <f t="shared" si="95"/>
        <v>NOT SDG 7</v>
      </c>
      <c r="F95" s="35" t="str">
        <f t="shared" si="95"/>
        <v>TO DO</v>
      </c>
      <c r="G95" s="36">
        <f t="shared" si="3"/>
        <v>0.3333333333</v>
      </c>
      <c r="H95" s="37" t="s">
        <v>14</v>
      </c>
      <c r="I95" s="4" t="s">
        <v>364</v>
      </c>
    </row>
    <row r="96">
      <c r="A96" s="21" t="s">
        <v>323</v>
      </c>
      <c r="B96" s="22" t="s">
        <v>324</v>
      </c>
      <c r="C96" s="35" t="str">
        <f t="shared" ref="C96:F96" si="96">VLOOKUP($A96, INDIRECT(C$1&amp;"!B:D"), 3, FALSE)</f>
        <v>SDG 7</v>
      </c>
      <c r="D96" s="35" t="str">
        <f t="shared" si="96"/>
        <v>NOT SDG 7</v>
      </c>
      <c r="E96" s="35" t="str">
        <f t="shared" si="96"/>
        <v>NOT SDG 7</v>
      </c>
      <c r="F96" s="35" t="str">
        <f t="shared" si="96"/>
        <v>NOT SDG 7</v>
      </c>
      <c r="G96" s="36">
        <f t="shared" si="3"/>
        <v>0.5</v>
      </c>
      <c r="H96" s="37" t="s">
        <v>14</v>
      </c>
      <c r="I96" s="4" t="s">
        <v>365</v>
      </c>
    </row>
    <row r="97">
      <c r="A97" s="21" t="s">
        <v>138</v>
      </c>
      <c r="B97" s="22" t="s">
        <v>139</v>
      </c>
      <c r="C97" s="35" t="str">
        <f t="shared" ref="C97:F97" si="97">VLOOKUP($A97, INDIRECT(C$1&amp;"!B:D"), 3, FALSE)</f>
        <v>NOT SDG 7</v>
      </c>
      <c r="D97" s="35" t="str">
        <f t="shared" si="97"/>
        <v>SDG 7</v>
      </c>
      <c r="E97" s="35" t="str">
        <f t="shared" si="97"/>
        <v>SDG 7</v>
      </c>
      <c r="F97" s="35" t="str">
        <f t="shared" si="97"/>
        <v>TO DO</v>
      </c>
      <c r="G97" s="36">
        <f t="shared" si="3"/>
        <v>0.3333333333</v>
      </c>
      <c r="H97" s="37" t="s">
        <v>12</v>
      </c>
      <c r="I97" s="4" t="s">
        <v>366</v>
      </c>
    </row>
    <row r="98">
      <c r="A98" s="21" t="s">
        <v>266</v>
      </c>
      <c r="B98" s="22" t="s">
        <v>267</v>
      </c>
      <c r="C98" s="35" t="str">
        <f t="shared" ref="C98:F98" si="98">VLOOKUP($A98, INDIRECT(C$1&amp;"!B:D"), 3, FALSE)</f>
        <v>SDG 7</v>
      </c>
      <c r="D98" s="35" t="str">
        <f t="shared" si="98"/>
        <v>NOT SDG 7</v>
      </c>
      <c r="E98" s="35" t="str">
        <f t="shared" si="98"/>
        <v>SDG 7</v>
      </c>
      <c r="F98" s="35" t="str">
        <f t="shared" si="98"/>
        <v>TO DO</v>
      </c>
      <c r="G98" s="36">
        <f t="shared" si="3"/>
        <v>0.3333333333</v>
      </c>
      <c r="H98" s="37" t="s">
        <v>12</v>
      </c>
      <c r="I98" s="4" t="s">
        <v>367</v>
      </c>
    </row>
    <row r="99">
      <c r="A99" s="21" t="s">
        <v>150</v>
      </c>
      <c r="B99" s="22" t="s">
        <v>151</v>
      </c>
      <c r="C99" s="35" t="str">
        <f t="shared" ref="C99:F99" si="99">VLOOKUP($A99, INDIRECT(C$1&amp;"!B:D"), 3, FALSE)</f>
        <v>NOT SDG 7</v>
      </c>
      <c r="D99" s="35" t="str">
        <f t="shared" si="99"/>
        <v>SDG 7</v>
      </c>
      <c r="E99" s="35" t="str">
        <f t="shared" si="99"/>
        <v>SDG 7</v>
      </c>
      <c r="F99" s="35" t="str">
        <f t="shared" si="99"/>
        <v>TO DO</v>
      </c>
      <c r="G99" s="36">
        <f t="shared" si="3"/>
        <v>0.3333333333</v>
      </c>
      <c r="H99" s="37" t="s">
        <v>12</v>
      </c>
      <c r="I99" s="4" t="s">
        <v>368</v>
      </c>
    </row>
    <row r="100">
      <c r="A100" s="21" t="s">
        <v>316</v>
      </c>
      <c r="B100" s="22" t="s">
        <v>317</v>
      </c>
      <c r="C100" s="35" t="str">
        <f t="shared" ref="C100:F100" si="100">VLOOKUP($A100, INDIRECT(C$1&amp;"!B:D"), 3, FALSE)</f>
        <v>NOT SDG 7</v>
      </c>
      <c r="D100" s="35" t="str">
        <f t="shared" si="100"/>
        <v>SDG 7</v>
      </c>
      <c r="E100" s="35" t="str">
        <f t="shared" si="100"/>
        <v>SDG 7</v>
      </c>
      <c r="F100" s="35" t="str">
        <f t="shared" si="100"/>
        <v>TO DO</v>
      </c>
      <c r="G100" s="36">
        <f t="shared" si="3"/>
        <v>0.3333333333</v>
      </c>
      <c r="H100" s="37" t="s">
        <v>12</v>
      </c>
      <c r="I100" s="4" t="s">
        <v>366</v>
      </c>
    </row>
    <row r="101">
      <c r="A101" s="21" t="s">
        <v>306</v>
      </c>
      <c r="B101" s="22" t="s">
        <v>307</v>
      </c>
      <c r="C101" s="35" t="str">
        <f t="shared" ref="C101:F101" si="101">VLOOKUP($A101, INDIRECT(C$1&amp;"!B:D"), 3, FALSE)</f>
        <v>SDG 7</v>
      </c>
      <c r="D101" s="35" t="str">
        <f t="shared" si="101"/>
        <v>NOT SDG 7</v>
      </c>
      <c r="E101" s="35" t="str">
        <f t="shared" si="101"/>
        <v>SDG 7</v>
      </c>
      <c r="F101" s="35" t="str">
        <f t="shared" si="101"/>
        <v>TO DO</v>
      </c>
      <c r="G101" s="36">
        <f t="shared" si="3"/>
        <v>0.3333333333</v>
      </c>
      <c r="H101" s="37" t="s">
        <v>12</v>
      </c>
      <c r="I101" s="4" t="s">
        <v>369</v>
      </c>
    </row>
    <row r="102">
      <c r="B102" s="24"/>
      <c r="G102" s="38"/>
      <c r="H102" s="34"/>
    </row>
    <row r="103">
      <c r="B103" s="24"/>
      <c r="G103" s="38"/>
      <c r="H103" s="34"/>
    </row>
    <row r="104">
      <c r="B104" s="24"/>
      <c r="G104" s="38"/>
      <c r="H104" s="34"/>
    </row>
    <row r="105">
      <c r="B105" s="24"/>
      <c r="G105" s="38"/>
      <c r="H105" s="34"/>
    </row>
    <row r="106">
      <c r="B106" s="24"/>
      <c r="G106" s="38"/>
      <c r="H106" s="34"/>
    </row>
    <row r="107">
      <c r="B107" s="24"/>
      <c r="G107" s="38"/>
      <c r="H107" s="34"/>
    </row>
    <row r="108">
      <c r="B108" s="24"/>
      <c r="G108" s="38"/>
      <c r="H108" s="34"/>
    </row>
    <row r="109">
      <c r="B109" s="24"/>
      <c r="G109" s="38"/>
      <c r="H109" s="34"/>
    </row>
    <row r="110">
      <c r="B110" s="24"/>
      <c r="G110" s="38"/>
      <c r="H110" s="34"/>
    </row>
    <row r="111">
      <c r="B111" s="24"/>
      <c r="G111" s="38"/>
      <c r="H111" s="34"/>
    </row>
    <row r="112">
      <c r="B112" s="24"/>
      <c r="G112" s="38"/>
      <c r="H112" s="34"/>
    </row>
    <row r="113">
      <c r="B113" s="24"/>
      <c r="G113" s="38"/>
      <c r="H113" s="34"/>
    </row>
    <row r="114">
      <c r="B114" s="24"/>
      <c r="G114" s="38"/>
      <c r="H114" s="34"/>
    </row>
    <row r="115">
      <c r="B115" s="24"/>
      <c r="G115" s="38"/>
      <c r="H115" s="34"/>
    </row>
    <row r="116">
      <c r="B116" s="24"/>
      <c r="G116" s="38"/>
      <c r="H116" s="34"/>
    </row>
    <row r="117">
      <c r="B117" s="24"/>
      <c r="G117" s="38"/>
      <c r="H117" s="34"/>
    </row>
    <row r="118">
      <c r="B118" s="24"/>
      <c r="G118" s="38"/>
      <c r="H118" s="34"/>
    </row>
    <row r="119">
      <c r="B119" s="24"/>
      <c r="G119" s="38"/>
      <c r="H119" s="34"/>
    </row>
    <row r="120">
      <c r="B120" s="24"/>
      <c r="G120" s="38"/>
      <c r="H120" s="34"/>
    </row>
    <row r="121">
      <c r="B121" s="24"/>
      <c r="G121" s="38"/>
      <c r="H121" s="34"/>
    </row>
    <row r="122">
      <c r="B122" s="24"/>
      <c r="G122" s="38"/>
      <c r="H122" s="34"/>
    </row>
    <row r="123">
      <c r="B123" s="24"/>
      <c r="G123" s="38"/>
      <c r="H123" s="34"/>
    </row>
    <row r="124">
      <c r="B124" s="24"/>
      <c r="G124" s="38"/>
      <c r="H124" s="34"/>
    </row>
    <row r="125">
      <c r="B125" s="24"/>
      <c r="G125" s="38"/>
      <c r="H125" s="34"/>
    </row>
    <row r="126">
      <c r="B126" s="24"/>
      <c r="G126" s="38"/>
      <c r="H126" s="34"/>
    </row>
    <row r="127">
      <c r="B127" s="24"/>
      <c r="C127" s="39"/>
      <c r="D127" s="39"/>
      <c r="E127" s="39"/>
      <c r="F127" s="39"/>
      <c r="G127" s="40"/>
      <c r="H127" s="34"/>
    </row>
    <row r="128">
      <c r="B128" s="24"/>
      <c r="C128" s="39"/>
      <c r="D128" s="39"/>
      <c r="E128" s="39"/>
      <c r="F128" s="39"/>
      <c r="G128" s="40"/>
      <c r="H128" s="34"/>
    </row>
    <row r="129">
      <c r="B129" s="24"/>
      <c r="C129" s="39"/>
      <c r="D129" s="39"/>
      <c r="E129" s="39"/>
      <c r="F129" s="39"/>
      <c r="G129" s="40"/>
      <c r="H129" s="34"/>
    </row>
    <row r="130">
      <c r="B130" s="24"/>
      <c r="C130" s="39"/>
      <c r="D130" s="39"/>
      <c r="E130" s="39"/>
      <c r="F130" s="39"/>
      <c r="G130" s="40"/>
      <c r="H130" s="34"/>
    </row>
    <row r="131">
      <c r="B131" s="24"/>
      <c r="C131" s="39"/>
      <c r="D131" s="39"/>
      <c r="E131" s="39"/>
      <c r="F131" s="39"/>
      <c r="G131" s="40"/>
      <c r="H131" s="34"/>
    </row>
    <row r="132">
      <c r="B132" s="24"/>
      <c r="C132" s="39"/>
      <c r="D132" s="39"/>
      <c r="E132" s="39"/>
      <c r="F132" s="39"/>
      <c r="G132" s="40"/>
      <c r="H132" s="34"/>
    </row>
    <row r="133">
      <c r="B133" s="24"/>
      <c r="C133" s="39"/>
      <c r="D133" s="39"/>
      <c r="E133" s="39"/>
      <c r="F133" s="39"/>
      <c r="G133" s="40"/>
      <c r="H133" s="34"/>
    </row>
    <row r="134">
      <c r="B134" s="24"/>
      <c r="C134" s="39"/>
      <c r="D134" s="39"/>
      <c r="E134" s="39"/>
      <c r="F134" s="39"/>
      <c r="G134" s="40"/>
      <c r="H134" s="34"/>
    </row>
    <row r="135">
      <c r="B135" s="24"/>
      <c r="C135" s="39"/>
      <c r="D135" s="39"/>
      <c r="E135" s="39"/>
      <c r="F135" s="39"/>
      <c r="G135" s="40"/>
      <c r="H135" s="34"/>
    </row>
    <row r="136">
      <c r="B136" s="24"/>
      <c r="C136" s="39"/>
      <c r="D136" s="39"/>
      <c r="E136" s="39"/>
      <c r="F136" s="39"/>
      <c r="G136" s="40"/>
      <c r="H136" s="34"/>
    </row>
    <row r="137">
      <c r="B137" s="24"/>
      <c r="C137" s="39"/>
      <c r="D137" s="39"/>
      <c r="E137" s="39"/>
      <c r="F137" s="39"/>
      <c r="G137" s="40"/>
      <c r="H137" s="34"/>
    </row>
    <row r="138">
      <c r="B138" s="24"/>
      <c r="C138" s="39"/>
      <c r="D138" s="39"/>
      <c r="E138" s="39"/>
      <c r="F138" s="39"/>
      <c r="G138" s="40"/>
      <c r="H138" s="34"/>
    </row>
    <row r="139">
      <c r="B139" s="24"/>
      <c r="C139" s="39"/>
      <c r="D139" s="39"/>
      <c r="E139" s="39"/>
      <c r="F139" s="39"/>
      <c r="G139" s="40"/>
      <c r="H139" s="34"/>
    </row>
    <row r="140">
      <c r="B140" s="24"/>
      <c r="C140" s="39"/>
      <c r="D140" s="39"/>
      <c r="E140" s="39"/>
      <c r="F140" s="39"/>
      <c r="G140" s="40"/>
      <c r="H140" s="34"/>
    </row>
    <row r="141">
      <c r="B141" s="24"/>
      <c r="C141" s="39"/>
      <c r="D141" s="39"/>
      <c r="E141" s="39"/>
      <c r="F141" s="39"/>
      <c r="G141" s="40"/>
      <c r="H141" s="34"/>
    </row>
    <row r="142">
      <c r="B142" s="24"/>
      <c r="C142" s="39"/>
      <c r="D142" s="39"/>
      <c r="E142" s="39"/>
      <c r="F142" s="39"/>
      <c r="G142" s="40"/>
      <c r="H142" s="34"/>
    </row>
    <row r="143">
      <c r="B143" s="24"/>
      <c r="C143" s="39"/>
      <c r="D143" s="39"/>
      <c r="E143" s="39"/>
      <c r="F143" s="39"/>
      <c r="G143" s="40"/>
      <c r="H143" s="34"/>
    </row>
    <row r="144">
      <c r="B144" s="24"/>
      <c r="C144" s="39"/>
      <c r="D144" s="39"/>
      <c r="E144" s="39"/>
      <c r="F144" s="39"/>
      <c r="G144" s="40"/>
      <c r="H144" s="34"/>
    </row>
    <row r="145">
      <c r="B145" s="24"/>
      <c r="C145" s="39"/>
      <c r="D145" s="39"/>
      <c r="E145" s="39"/>
      <c r="F145" s="39"/>
      <c r="G145" s="40"/>
      <c r="H145" s="34"/>
    </row>
    <row r="146">
      <c r="B146" s="24"/>
      <c r="C146" s="39"/>
      <c r="D146" s="39"/>
      <c r="E146" s="39"/>
      <c r="F146" s="39"/>
      <c r="G146" s="40"/>
      <c r="H146" s="34"/>
    </row>
    <row r="147">
      <c r="B147" s="24"/>
      <c r="C147" s="39"/>
      <c r="D147" s="39"/>
      <c r="E147" s="39"/>
      <c r="F147" s="39"/>
      <c r="G147" s="40"/>
      <c r="H147" s="34"/>
    </row>
    <row r="148">
      <c r="B148" s="24"/>
      <c r="C148" s="39"/>
      <c r="D148" s="39"/>
      <c r="E148" s="39"/>
      <c r="F148" s="39"/>
      <c r="G148" s="40"/>
      <c r="H148" s="34"/>
    </row>
    <row r="149">
      <c r="B149" s="24"/>
      <c r="C149" s="39"/>
      <c r="D149" s="39"/>
      <c r="E149" s="39"/>
      <c r="F149" s="39"/>
      <c r="G149" s="40"/>
      <c r="H149" s="34"/>
    </row>
    <row r="150">
      <c r="B150" s="24"/>
      <c r="C150" s="39"/>
      <c r="D150" s="39"/>
      <c r="E150" s="39"/>
      <c r="F150" s="39"/>
      <c r="G150" s="40"/>
      <c r="H150" s="34"/>
    </row>
    <row r="151">
      <c r="B151" s="24"/>
      <c r="C151" s="39"/>
      <c r="D151" s="39"/>
      <c r="E151" s="39"/>
      <c r="F151" s="39"/>
      <c r="G151" s="40"/>
      <c r="H151" s="34"/>
    </row>
    <row r="152">
      <c r="B152" s="24"/>
      <c r="C152" s="39"/>
      <c r="D152" s="39"/>
      <c r="E152" s="39"/>
      <c r="F152" s="39"/>
      <c r="G152" s="40"/>
      <c r="H152" s="34"/>
    </row>
    <row r="153">
      <c r="B153" s="24"/>
      <c r="C153" s="39"/>
      <c r="D153" s="39"/>
      <c r="E153" s="39"/>
      <c r="F153" s="39"/>
      <c r="G153" s="40"/>
      <c r="H153" s="34"/>
    </row>
    <row r="154">
      <c r="B154" s="24"/>
      <c r="C154" s="39"/>
      <c r="D154" s="39"/>
      <c r="E154" s="39"/>
      <c r="F154" s="39"/>
      <c r="G154" s="40"/>
      <c r="H154" s="34"/>
    </row>
    <row r="155">
      <c r="B155" s="24"/>
      <c r="C155" s="39"/>
      <c r="D155" s="39"/>
      <c r="E155" s="39"/>
      <c r="F155" s="39"/>
      <c r="G155" s="40"/>
      <c r="H155" s="34"/>
    </row>
    <row r="156">
      <c r="B156" s="24"/>
      <c r="C156" s="39"/>
      <c r="D156" s="39"/>
      <c r="E156" s="39"/>
      <c r="F156" s="39"/>
      <c r="G156" s="40"/>
      <c r="H156" s="34"/>
    </row>
    <row r="157">
      <c r="B157" s="24"/>
      <c r="C157" s="39"/>
      <c r="D157" s="39"/>
      <c r="E157" s="39"/>
      <c r="F157" s="39"/>
      <c r="G157" s="40"/>
      <c r="H157" s="34"/>
    </row>
    <row r="158">
      <c r="B158" s="24"/>
      <c r="C158" s="39"/>
      <c r="D158" s="39"/>
      <c r="E158" s="39"/>
      <c r="F158" s="39"/>
      <c r="G158" s="40"/>
      <c r="H158" s="34"/>
    </row>
    <row r="159">
      <c r="B159" s="24"/>
      <c r="C159" s="39"/>
      <c r="D159" s="39"/>
      <c r="E159" s="39"/>
      <c r="F159" s="39"/>
      <c r="G159" s="40"/>
      <c r="H159" s="34"/>
    </row>
    <row r="160">
      <c r="B160" s="24"/>
      <c r="C160" s="39"/>
      <c r="D160" s="39"/>
      <c r="E160" s="39"/>
      <c r="F160" s="39"/>
      <c r="G160" s="40"/>
      <c r="H160" s="34"/>
    </row>
    <row r="161">
      <c r="B161" s="24"/>
      <c r="C161" s="39"/>
      <c r="D161" s="39"/>
      <c r="E161" s="39"/>
      <c r="F161" s="39"/>
      <c r="G161" s="40"/>
      <c r="H161" s="34"/>
    </row>
    <row r="162">
      <c r="B162" s="24"/>
      <c r="C162" s="39"/>
      <c r="D162" s="39"/>
      <c r="E162" s="39"/>
      <c r="F162" s="39"/>
      <c r="G162" s="40"/>
      <c r="H162" s="34"/>
    </row>
    <row r="163">
      <c r="B163" s="24"/>
      <c r="C163" s="39"/>
      <c r="D163" s="39"/>
      <c r="E163" s="39"/>
      <c r="F163" s="39"/>
      <c r="G163" s="40"/>
      <c r="H163" s="34"/>
    </row>
    <row r="164">
      <c r="B164" s="24"/>
      <c r="C164" s="39"/>
      <c r="D164" s="39"/>
      <c r="E164" s="39"/>
      <c r="F164" s="39"/>
      <c r="G164" s="40"/>
      <c r="H164" s="34"/>
    </row>
    <row r="165">
      <c r="B165" s="24"/>
      <c r="C165" s="39"/>
      <c r="D165" s="39"/>
      <c r="E165" s="39"/>
      <c r="F165" s="39"/>
      <c r="G165" s="40"/>
      <c r="H165" s="34"/>
    </row>
    <row r="166">
      <c r="B166" s="24"/>
      <c r="C166" s="39"/>
      <c r="D166" s="39"/>
      <c r="E166" s="39"/>
      <c r="F166" s="39"/>
      <c r="G166" s="40"/>
      <c r="H166" s="34"/>
    </row>
    <row r="167">
      <c r="B167" s="24"/>
      <c r="C167" s="39"/>
      <c r="D167" s="39"/>
      <c r="E167" s="39"/>
      <c r="F167" s="39"/>
      <c r="G167" s="40"/>
      <c r="H167" s="34"/>
    </row>
    <row r="168">
      <c r="B168" s="24"/>
      <c r="C168" s="39"/>
      <c r="D168" s="39"/>
      <c r="E168" s="39"/>
      <c r="F168" s="39"/>
      <c r="G168" s="40"/>
      <c r="H168" s="34"/>
    </row>
    <row r="169">
      <c r="B169" s="24"/>
      <c r="C169" s="39"/>
      <c r="D169" s="39"/>
      <c r="E169" s="39"/>
      <c r="F169" s="39"/>
      <c r="G169" s="40"/>
      <c r="H169" s="34"/>
    </row>
    <row r="170">
      <c r="B170" s="24"/>
      <c r="C170" s="39"/>
      <c r="D170" s="39"/>
      <c r="E170" s="39"/>
      <c r="F170" s="39"/>
      <c r="G170" s="40"/>
      <c r="H170" s="34"/>
    </row>
    <row r="171">
      <c r="B171" s="24"/>
      <c r="C171" s="39"/>
      <c r="D171" s="39"/>
      <c r="E171" s="39"/>
      <c r="F171" s="39"/>
      <c r="G171" s="40"/>
      <c r="H171" s="34"/>
    </row>
    <row r="172">
      <c r="B172" s="24"/>
      <c r="C172" s="39"/>
      <c r="D172" s="39"/>
      <c r="E172" s="39"/>
      <c r="F172" s="39"/>
      <c r="G172" s="40"/>
      <c r="H172" s="34"/>
    </row>
    <row r="173">
      <c r="B173" s="24"/>
      <c r="C173" s="39"/>
      <c r="D173" s="39"/>
      <c r="E173" s="39"/>
      <c r="F173" s="39"/>
      <c r="G173" s="40"/>
      <c r="H173" s="34"/>
    </row>
    <row r="174">
      <c r="B174" s="24"/>
      <c r="C174" s="39"/>
      <c r="D174" s="39"/>
      <c r="E174" s="39"/>
      <c r="F174" s="39"/>
      <c r="G174" s="40"/>
      <c r="H174" s="34"/>
    </row>
    <row r="175">
      <c r="B175" s="24"/>
      <c r="C175" s="39"/>
      <c r="D175" s="39"/>
      <c r="E175" s="39"/>
      <c r="F175" s="39"/>
      <c r="G175" s="40"/>
      <c r="H175" s="34"/>
    </row>
    <row r="176">
      <c r="B176" s="24"/>
      <c r="C176" s="39"/>
      <c r="D176" s="39"/>
      <c r="E176" s="39"/>
      <c r="F176" s="39"/>
      <c r="G176" s="40"/>
      <c r="H176" s="34"/>
    </row>
    <row r="177">
      <c r="B177" s="24"/>
      <c r="C177" s="39"/>
      <c r="D177" s="39"/>
      <c r="E177" s="39"/>
      <c r="F177" s="39"/>
      <c r="G177" s="40"/>
      <c r="H177" s="34"/>
    </row>
    <row r="178">
      <c r="B178" s="24"/>
      <c r="C178" s="39"/>
      <c r="D178" s="39"/>
      <c r="E178" s="39"/>
      <c r="F178" s="39"/>
      <c r="G178" s="40"/>
      <c r="H178" s="34"/>
    </row>
    <row r="179">
      <c r="B179" s="24"/>
      <c r="C179" s="39"/>
      <c r="D179" s="39"/>
      <c r="E179" s="39"/>
      <c r="F179" s="39"/>
      <c r="G179" s="40"/>
      <c r="H179" s="34"/>
    </row>
    <row r="180">
      <c r="B180" s="24"/>
      <c r="C180" s="39"/>
      <c r="D180" s="39"/>
      <c r="E180" s="39"/>
      <c r="F180" s="39"/>
      <c r="G180" s="40"/>
      <c r="H180" s="34"/>
    </row>
    <row r="181">
      <c r="B181" s="24"/>
      <c r="C181" s="39"/>
      <c r="D181" s="39"/>
      <c r="E181" s="39"/>
      <c r="F181" s="39"/>
      <c r="G181" s="40"/>
      <c r="H181" s="34"/>
    </row>
    <row r="182">
      <c r="B182" s="24"/>
      <c r="C182" s="39"/>
      <c r="D182" s="39"/>
      <c r="E182" s="39"/>
      <c r="F182" s="39"/>
      <c r="G182" s="40"/>
      <c r="H182" s="34"/>
    </row>
    <row r="183">
      <c r="B183" s="24"/>
      <c r="C183" s="39"/>
      <c r="D183" s="39"/>
      <c r="E183" s="39"/>
      <c r="F183" s="39"/>
      <c r="G183" s="40"/>
      <c r="H183" s="34"/>
    </row>
    <row r="184">
      <c r="B184" s="24"/>
      <c r="C184" s="39"/>
      <c r="D184" s="39"/>
      <c r="E184" s="39"/>
      <c r="F184" s="39"/>
      <c r="G184" s="40"/>
      <c r="H184" s="34"/>
    </row>
    <row r="185">
      <c r="B185" s="24"/>
      <c r="C185" s="39"/>
      <c r="D185" s="39"/>
      <c r="E185" s="39"/>
      <c r="F185" s="39"/>
      <c r="G185" s="40"/>
      <c r="H185" s="34"/>
    </row>
    <row r="186">
      <c r="B186" s="24"/>
      <c r="C186" s="39"/>
      <c r="D186" s="39"/>
      <c r="E186" s="39"/>
      <c r="F186" s="39"/>
      <c r="G186" s="40"/>
      <c r="H186" s="34"/>
    </row>
    <row r="187">
      <c r="B187" s="24"/>
      <c r="C187" s="39"/>
      <c r="D187" s="39"/>
      <c r="E187" s="39"/>
      <c r="F187" s="39"/>
      <c r="G187" s="40"/>
      <c r="H187" s="34"/>
    </row>
    <row r="188">
      <c r="B188" s="24"/>
      <c r="C188" s="39"/>
      <c r="D188" s="39"/>
      <c r="E188" s="39"/>
      <c r="F188" s="39"/>
      <c r="G188" s="40"/>
      <c r="H188" s="34"/>
    </row>
    <row r="189">
      <c r="B189" s="24"/>
      <c r="C189" s="39"/>
      <c r="D189" s="39"/>
      <c r="E189" s="39"/>
      <c r="F189" s="39"/>
      <c r="G189" s="40"/>
      <c r="H189" s="34"/>
    </row>
    <row r="190">
      <c r="B190" s="24"/>
      <c r="C190" s="39"/>
      <c r="D190" s="39"/>
      <c r="E190" s="39"/>
      <c r="F190" s="39"/>
      <c r="G190" s="40"/>
      <c r="H190" s="34"/>
    </row>
    <row r="191">
      <c r="B191" s="24"/>
      <c r="C191" s="39"/>
      <c r="D191" s="39"/>
      <c r="E191" s="39"/>
      <c r="F191" s="39"/>
      <c r="G191" s="40"/>
      <c r="H191" s="34"/>
    </row>
    <row r="192">
      <c r="B192" s="24"/>
      <c r="C192" s="39"/>
      <c r="D192" s="39"/>
      <c r="E192" s="39"/>
      <c r="F192" s="39"/>
      <c r="G192" s="40"/>
      <c r="H192" s="34"/>
    </row>
    <row r="193">
      <c r="B193" s="24"/>
      <c r="C193" s="39"/>
      <c r="D193" s="39"/>
      <c r="E193" s="39"/>
      <c r="F193" s="39"/>
      <c r="G193" s="40"/>
      <c r="H193" s="34"/>
    </row>
    <row r="194">
      <c r="B194" s="24"/>
      <c r="C194" s="39"/>
      <c r="D194" s="39"/>
      <c r="E194" s="39"/>
      <c r="F194" s="39"/>
      <c r="G194" s="40"/>
      <c r="H194" s="34"/>
    </row>
    <row r="195">
      <c r="B195" s="24"/>
      <c r="C195" s="39"/>
      <c r="D195" s="39"/>
      <c r="E195" s="39"/>
      <c r="F195" s="39"/>
      <c r="G195" s="40"/>
      <c r="H195" s="34"/>
    </row>
    <row r="196">
      <c r="B196" s="24"/>
      <c r="C196" s="39"/>
      <c r="D196" s="39"/>
      <c r="E196" s="39"/>
      <c r="F196" s="39"/>
      <c r="G196" s="40"/>
      <c r="H196" s="34"/>
    </row>
    <row r="197">
      <c r="B197" s="24"/>
      <c r="C197" s="39"/>
      <c r="D197" s="39"/>
      <c r="E197" s="39"/>
      <c r="F197" s="39"/>
      <c r="G197" s="40"/>
      <c r="H197" s="34"/>
    </row>
    <row r="198">
      <c r="B198" s="24"/>
      <c r="C198" s="39"/>
      <c r="D198" s="39"/>
      <c r="E198" s="39"/>
      <c r="F198" s="39"/>
      <c r="G198" s="40"/>
      <c r="H198" s="34"/>
    </row>
    <row r="199">
      <c r="B199" s="24"/>
      <c r="C199" s="39"/>
      <c r="D199" s="39"/>
      <c r="E199" s="39"/>
      <c r="F199" s="39"/>
      <c r="G199" s="40"/>
      <c r="H199" s="34"/>
    </row>
    <row r="200">
      <c r="B200" s="24"/>
      <c r="C200" s="39"/>
      <c r="D200" s="39"/>
      <c r="E200" s="39"/>
      <c r="F200" s="39"/>
      <c r="G200" s="40"/>
      <c r="H200" s="34"/>
    </row>
    <row r="201">
      <c r="B201" s="24"/>
      <c r="C201" s="39"/>
      <c r="D201" s="39"/>
      <c r="E201" s="39"/>
      <c r="F201" s="39"/>
      <c r="G201" s="40"/>
      <c r="H201" s="34"/>
    </row>
    <row r="202">
      <c r="B202" s="24"/>
      <c r="C202" s="39"/>
      <c r="D202" s="39"/>
      <c r="E202" s="39"/>
      <c r="F202" s="39"/>
      <c r="G202" s="40"/>
      <c r="H202" s="34"/>
    </row>
    <row r="203">
      <c r="B203" s="24"/>
      <c r="C203" s="39"/>
      <c r="D203" s="39"/>
      <c r="E203" s="39"/>
      <c r="F203" s="39"/>
      <c r="G203" s="40"/>
      <c r="H203" s="34"/>
    </row>
    <row r="204">
      <c r="B204" s="24"/>
      <c r="C204" s="39"/>
      <c r="D204" s="39"/>
      <c r="E204" s="39"/>
      <c r="F204" s="39"/>
      <c r="G204" s="40"/>
      <c r="H204" s="34"/>
    </row>
    <row r="205">
      <c r="B205" s="24"/>
      <c r="C205" s="39"/>
      <c r="D205" s="39"/>
      <c r="E205" s="39"/>
      <c r="F205" s="39"/>
      <c r="G205" s="40"/>
      <c r="H205" s="34"/>
    </row>
    <row r="206">
      <c r="B206" s="24"/>
      <c r="C206" s="39"/>
      <c r="D206" s="39"/>
      <c r="E206" s="39"/>
      <c r="F206" s="39"/>
      <c r="G206" s="40"/>
      <c r="H206" s="34"/>
    </row>
    <row r="207">
      <c r="B207" s="24"/>
      <c r="C207" s="39"/>
      <c r="D207" s="39"/>
      <c r="E207" s="39"/>
      <c r="F207" s="39"/>
      <c r="G207" s="40"/>
      <c r="H207" s="34"/>
    </row>
    <row r="208">
      <c r="B208" s="24"/>
      <c r="C208" s="39"/>
      <c r="D208" s="39"/>
      <c r="E208" s="39"/>
      <c r="F208" s="39"/>
      <c r="G208" s="40"/>
      <c r="H208" s="34"/>
    </row>
    <row r="209">
      <c r="B209" s="24"/>
      <c r="C209" s="39"/>
      <c r="D209" s="39"/>
      <c r="E209" s="39"/>
      <c r="F209" s="39"/>
      <c r="G209" s="40"/>
      <c r="H209" s="34"/>
    </row>
    <row r="210">
      <c r="B210" s="24"/>
      <c r="C210" s="39"/>
      <c r="D210" s="39"/>
      <c r="E210" s="39"/>
      <c r="F210" s="39"/>
      <c r="G210" s="40"/>
      <c r="H210" s="34"/>
    </row>
    <row r="211">
      <c r="B211" s="24"/>
      <c r="C211" s="39"/>
      <c r="D211" s="39"/>
      <c r="E211" s="39"/>
      <c r="F211" s="39"/>
      <c r="G211" s="40"/>
      <c r="H211" s="34"/>
    </row>
    <row r="212">
      <c r="B212" s="24"/>
      <c r="C212" s="39"/>
      <c r="D212" s="39"/>
      <c r="E212" s="39"/>
      <c r="F212" s="39"/>
      <c r="G212" s="40"/>
      <c r="H212" s="34"/>
    </row>
    <row r="213">
      <c r="B213" s="24"/>
      <c r="C213" s="39"/>
      <c r="D213" s="39"/>
      <c r="E213" s="39"/>
      <c r="F213" s="39"/>
      <c r="G213" s="40"/>
      <c r="H213" s="34"/>
    </row>
    <row r="214">
      <c r="B214" s="24"/>
      <c r="C214" s="39"/>
      <c r="D214" s="39"/>
      <c r="E214" s="39"/>
      <c r="F214" s="39"/>
      <c r="G214" s="40"/>
      <c r="H214" s="34"/>
    </row>
    <row r="215">
      <c r="B215" s="24"/>
      <c r="C215" s="39"/>
      <c r="D215" s="39"/>
      <c r="E215" s="39"/>
      <c r="F215" s="39"/>
      <c r="G215" s="40"/>
      <c r="H215" s="34"/>
    </row>
    <row r="216">
      <c r="B216" s="24"/>
      <c r="C216" s="39"/>
      <c r="D216" s="39"/>
      <c r="E216" s="39"/>
      <c r="F216" s="39"/>
      <c r="G216" s="40"/>
      <c r="H216" s="34"/>
    </row>
    <row r="217">
      <c r="B217" s="24"/>
      <c r="C217" s="39"/>
      <c r="D217" s="39"/>
      <c r="E217" s="39"/>
      <c r="F217" s="39"/>
      <c r="G217" s="40"/>
      <c r="H217" s="34"/>
    </row>
    <row r="218">
      <c r="B218" s="24"/>
      <c r="C218" s="39"/>
      <c r="D218" s="39"/>
      <c r="E218" s="39"/>
      <c r="F218" s="39"/>
      <c r="G218" s="40"/>
      <c r="H218" s="34"/>
    </row>
    <row r="219">
      <c r="B219" s="24"/>
      <c r="C219" s="39"/>
      <c r="D219" s="39"/>
      <c r="E219" s="39"/>
      <c r="F219" s="39"/>
      <c r="G219" s="40"/>
      <c r="H219" s="34"/>
    </row>
    <row r="220">
      <c r="B220" s="24"/>
      <c r="C220" s="39"/>
      <c r="D220" s="39"/>
      <c r="E220" s="39"/>
      <c r="F220" s="39"/>
      <c r="G220" s="40"/>
      <c r="H220" s="34"/>
    </row>
    <row r="221">
      <c r="B221" s="24"/>
      <c r="C221" s="39"/>
      <c r="D221" s="39"/>
      <c r="E221" s="39"/>
      <c r="F221" s="39"/>
      <c r="G221" s="40"/>
      <c r="H221" s="34"/>
    </row>
    <row r="222">
      <c r="B222" s="24"/>
      <c r="C222" s="39"/>
      <c r="D222" s="39"/>
      <c r="E222" s="39"/>
      <c r="F222" s="39"/>
      <c r="G222" s="40"/>
      <c r="H222" s="34"/>
    </row>
    <row r="223">
      <c r="B223" s="24"/>
      <c r="C223" s="39"/>
      <c r="D223" s="39"/>
      <c r="E223" s="39"/>
      <c r="F223" s="39"/>
      <c r="G223" s="40"/>
      <c r="H223" s="34"/>
    </row>
    <row r="224">
      <c r="B224" s="24"/>
      <c r="C224" s="39"/>
      <c r="D224" s="39"/>
      <c r="E224" s="39"/>
      <c r="F224" s="39"/>
      <c r="G224" s="40"/>
      <c r="H224" s="34"/>
    </row>
    <row r="225">
      <c r="B225" s="24"/>
      <c r="C225" s="39"/>
      <c r="D225" s="39"/>
      <c r="E225" s="39"/>
      <c r="F225" s="39"/>
      <c r="G225" s="40"/>
      <c r="H225" s="34"/>
    </row>
    <row r="226">
      <c r="B226" s="24"/>
      <c r="C226" s="39"/>
      <c r="D226" s="39"/>
      <c r="E226" s="39"/>
      <c r="F226" s="39"/>
      <c r="G226" s="40"/>
      <c r="H226" s="34"/>
    </row>
    <row r="227">
      <c r="B227" s="24"/>
      <c r="C227" s="39"/>
      <c r="D227" s="39"/>
      <c r="E227" s="39"/>
      <c r="F227" s="39"/>
      <c r="G227" s="40"/>
      <c r="H227" s="34"/>
    </row>
    <row r="228">
      <c r="B228" s="24"/>
      <c r="C228" s="39"/>
      <c r="D228" s="39"/>
      <c r="E228" s="39"/>
      <c r="F228" s="39"/>
      <c r="G228" s="40"/>
      <c r="H228" s="34"/>
    </row>
    <row r="229">
      <c r="B229" s="24"/>
      <c r="C229" s="39"/>
      <c r="D229" s="39"/>
      <c r="E229" s="39"/>
      <c r="F229" s="39"/>
      <c r="G229" s="40"/>
      <c r="H229" s="34"/>
    </row>
    <row r="230">
      <c r="B230" s="24"/>
      <c r="C230" s="39"/>
      <c r="D230" s="39"/>
      <c r="E230" s="39"/>
      <c r="F230" s="39"/>
      <c r="G230" s="40"/>
      <c r="H230" s="34"/>
    </row>
    <row r="231">
      <c r="B231" s="24"/>
      <c r="C231" s="39"/>
      <c r="D231" s="39"/>
      <c r="E231" s="39"/>
      <c r="F231" s="39"/>
      <c r="G231" s="40"/>
      <c r="H231" s="34"/>
    </row>
    <row r="232">
      <c r="B232" s="24"/>
      <c r="C232" s="39"/>
      <c r="D232" s="39"/>
      <c r="E232" s="39"/>
      <c r="F232" s="39"/>
      <c r="G232" s="40"/>
      <c r="H232" s="34"/>
    </row>
    <row r="233">
      <c r="B233" s="24"/>
      <c r="C233" s="39"/>
      <c r="D233" s="39"/>
      <c r="E233" s="39"/>
      <c r="F233" s="39"/>
      <c r="G233" s="40"/>
      <c r="H233" s="34"/>
    </row>
    <row r="234">
      <c r="B234" s="24"/>
      <c r="C234" s="39"/>
      <c r="D234" s="39"/>
      <c r="E234" s="39"/>
      <c r="F234" s="39"/>
      <c r="G234" s="40"/>
      <c r="H234" s="34"/>
    </row>
    <row r="235">
      <c r="B235" s="24"/>
      <c r="C235" s="39"/>
      <c r="D235" s="39"/>
      <c r="E235" s="39"/>
      <c r="F235" s="39"/>
      <c r="G235" s="40"/>
      <c r="H235" s="34"/>
    </row>
    <row r="236">
      <c r="B236" s="24"/>
      <c r="C236" s="39"/>
      <c r="D236" s="39"/>
      <c r="E236" s="39"/>
      <c r="F236" s="39"/>
      <c r="G236" s="40"/>
      <c r="H236" s="34"/>
    </row>
    <row r="237">
      <c r="B237" s="24"/>
      <c r="C237" s="39"/>
      <c r="D237" s="39"/>
      <c r="E237" s="39"/>
      <c r="F237" s="39"/>
      <c r="G237" s="40"/>
      <c r="H237" s="34"/>
    </row>
    <row r="238">
      <c r="B238" s="24"/>
      <c r="C238" s="39"/>
      <c r="D238" s="39"/>
      <c r="E238" s="39"/>
      <c r="F238" s="39"/>
      <c r="G238" s="40"/>
      <c r="H238" s="34"/>
    </row>
    <row r="239">
      <c r="B239" s="24"/>
      <c r="C239" s="39"/>
      <c r="D239" s="39"/>
      <c r="E239" s="39"/>
      <c r="F239" s="39"/>
      <c r="G239" s="40"/>
      <c r="H239" s="34"/>
    </row>
    <row r="240">
      <c r="B240" s="24"/>
      <c r="C240" s="39"/>
      <c r="D240" s="39"/>
      <c r="E240" s="39"/>
      <c r="F240" s="39"/>
      <c r="G240" s="40"/>
      <c r="H240" s="34"/>
    </row>
    <row r="241">
      <c r="B241" s="24"/>
      <c r="C241" s="39"/>
      <c r="D241" s="39"/>
      <c r="E241" s="39"/>
      <c r="F241" s="39"/>
      <c r="G241" s="40"/>
      <c r="H241" s="34"/>
    </row>
    <row r="242">
      <c r="B242" s="24"/>
      <c r="C242" s="39"/>
      <c r="D242" s="39"/>
      <c r="E242" s="39"/>
      <c r="F242" s="39"/>
      <c r="G242" s="40"/>
      <c r="H242" s="34"/>
    </row>
    <row r="243">
      <c r="B243" s="24"/>
      <c r="C243" s="39"/>
      <c r="D243" s="39"/>
      <c r="E243" s="39"/>
      <c r="F243" s="39"/>
      <c r="G243" s="40"/>
      <c r="H243" s="34"/>
    </row>
    <row r="244">
      <c r="B244" s="24"/>
      <c r="C244" s="39"/>
      <c r="D244" s="39"/>
      <c r="E244" s="39"/>
      <c r="F244" s="39"/>
      <c r="G244" s="40"/>
      <c r="H244" s="34"/>
    </row>
    <row r="245">
      <c r="B245" s="24"/>
      <c r="C245" s="39"/>
      <c r="D245" s="39"/>
      <c r="E245" s="39"/>
      <c r="F245" s="39"/>
      <c r="G245" s="40"/>
      <c r="H245" s="34"/>
    </row>
    <row r="246">
      <c r="B246" s="24"/>
      <c r="C246" s="39"/>
      <c r="D246" s="39"/>
      <c r="E246" s="39"/>
      <c r="F246" s="39"/>
      <c r="G246" s="40"/>
      <c r="H246" s="34"/>
    </row>
    <row r="247">
      <c r="B247" s="24"/>
      <c r="C247" s="39"/>
      <c r="D247" s="39"/>
      <c r="E247" s="39"/>
      <c r="F247" s="39"/>
      <c r="G247" s="40"/>
      <c r="H247" s="34"/>
    </row>
    <row r="248">
      <c r="B248" s="24"/>
      <c r="C248" s="39"/>
      <c r="D248" s="39"/>
      <c r="E248" s="39"/>
      <c r="F248" s="39"/>
      <c r="G248" s="40"/>
      <c r="H248" s="34"/>
    </row>
    <row r="249">
      <c r="B249" s="24"/>
      <c r="C249" s="39"/>
      <c r="D249" s="39"/>
      <c r="E249" s="39"/>
      <c r="F249" s="39"/>
      <c r="G249" s="40"/>
      <c r="H249" s="34"/>
    </row>
    <row r="250">
      <c r="B250" s="24"/>
      <c r="C250" s="39"/>
      <c r="D250" s="39"/>
      <c r="E250" s="39"/>
      <c r="F250" s="39"/>
      <c r="G250" s="40"/>
      <c r="H250" s="34"/>
    </row>
    <row r="251">
      <c r="B251" s="24"/>
      <c r="C251" s="39"/>
      <c r="D251" s="39"/>
      <c r="E251" s="39"/>
      <c r="F251" s="39"/>
      <c r="G251" s="40"/>
      <c r="H251" s="34"/>
    </row>
    <row r="252">
      <c r="B252" s="24"/>
      <c r="C252" s="39"/>
      <c r="D252" s="39"/>
      <c r="E252" s="39"/>
      <c r="F252" s="39"/>
      <c r="G252" s="40"/>
      <c r="H252" s="34"/>
    </row>
    <row r="253">
      <c r="B253" s="24"/>
      <c r="C253" s="39"/>
      <c r="D253" s="39"/>
      <c r="E253" s="39"/>
      <c r="F253" s="39"/>
      <c r="G253" s="40"/>
      <c r="H253" s="34"/>
    </row>
    <row r="254">
      <c r="B254" s="24"/>
      <c r="C254" s="39"/>
      <c r="D254" s="39"/>
      <c r="E254" s="39"/>
      <c r="F254" s="39"/>
      <c r="G254" s="40"/>
      <c r="H254" s="34"/>
    </row>
    <row r="255">
      <c r="B255" s="24"/>
      <c r="C255" s="39"/>
      <c r="D255" s="39"/>
      <c r="E255" s="39"/>
      <c r="F255" s="39"/>
      <c r="G255" s="40"/>
      <c r="H255" s="34"/>
    </row>
    <row r="256">
      <c r="B256" s="24"/>
      <c r="C256" s="39"/>
      <c r="D256" s="39"/>
      <c r="E256" s="39"/>
      <c r="F256" s="39"/>
      <c r="G256" s="40"/>
      <c r="H256" s="34"/>
    </row>
    <row r="257">
      <c r="B257" s="24"/>
      <c r="C257" s="39"/>
      <c r="D257" s="39"/>
      <c r="E257" s="39"/>
      <c r="F257" s="39"/>
      <c r="G257" s="40"/>
      <c r="H257" s="34"/>
    </row>
    <row r="258">
      <c r="B258" s="24"/>
      <c r="C258" s="39"/>
      <c r="D258" s="39"/>
      <c r="E258" s="39"/>
      <c r="F258" s="39"/>
      <c r="G258" s="40"/>
      <c r="H258" s="34"/>
    </row>
    <row r="259">
      <c r="B259" s="24"/>
      <c r="C259" s="39"/>
      <c r="D259" s="39"/>
      <c r="E259" s="39"/>
      <c r="F259" s="39"/>
      <c r="G259" s="40"/>
      <c r="H259" s="34"/>
    </row>
    <row r="260">
      <c r="B260" s="24"/>
      <c r="C260" s="39"/>
      <c r="D260" s="39"/>
      <c r="E260" s="39"/>
      <c r="F260" s="39"/>
      <c r="G260" s="40"/>
      <c r="H260" s="34"/>
    </row>
    <row r="261">
      <c r="B261" s="24"/>
      <c r="C261" s="39"/>
      <c r="D261" s="39"/>
      <c r="E261" s="39"/>
      <c r="F261" s="39"/>
      <c r="G261" s="40"/>
      <c r="H261" s="34"/>
    </row>
    <row r="262">
      <c r="B262" s="24"/>
      <c r="C262" s="39"/>
      <c r="D262" s="39"/>
      <c r="E262" s="39"/>
      <c r="F262" s="39"/>
      <c r="G262" s="40"/>
      <c r="H262" s="34"/>
    </row>
    <row r="263">
      <c r="B263" s="24"/>
      <c r="C263" s="39"/>
      <c r="D263" s="39"/>
      <c r="E263" s="39"/>
      <c r="F263" s="39"/>
      <c r="G263" s="40"/>
      <c r="H263" s="34"/>
    </row>
    <row r="264">
      <c r="B264" s="24"/>
      <c r="C264" s="39"/>
      <c r="D264" s="39"/>
      <c r="E264" s="39"/>
      <c r="F264" s="39"/>
      <c r="G264" s="40"/>
      <c r="H264" s="34"/>
    </row>
    <row r="265">
      <c r="B265" s="24"/>
      <c r="C265" s="39"/>
      <c r="D265" s="39"/>
      <c r="E265" s="39"/>
      <c r="F265" s="39"/>
      <c r="G265" s="40"/>
      <c r="H265" s="34"/>
    </row>
    <row r="266">
      <c r="B266" s="24"/>
      <c r="C266" s="39"/>
      <c r="D266" s="39"/>
      <c r="E266" s="39"/>
      <c r="F266" s="39"/>
      <c r="G266" s="40"/>
      <c r="H266" s="34"/>
    </row>
    <row r="267">
      <c r="B267" s="24"/>
      <c r="C267" s="39"/>
      <c r="D267" s="39"/>
      <c r="E267" s="39"/>
      <c r="F267" s="39"/>
      <c r="G267" s="40"/>
      <c r="H267" s="34"/>
    </row>
    <row r="268">
      <c r="B268" s="24"/>
      <c r="C268" s="39"/>
      <c r="D268" s="39"/>
      <c r="E268" s="39"/>
      <c r="F268" s="39"/>
      <c r="G268" s="40"/>
      <c r="H268" s="34"/>
    </row>
    <row r="269">
      <c r="B269" s="24"/>
      <c r="C269" s="39"/>
      <c r="D269" s="39"/>
      <c r="E269" s="39"/>
      <c r="F269" s="39"/>
      <c r="G269" s="40"/>
      <c r="H269" s="34"/>
    </row>
    <row r="270">
      <c r="B270" s="24"/>
      <c r="C270" s="39"/>
      <c r="D270" s="39"/>
      <c r="E270" s="39"/>
      <c r="F270" s="39"/>
      <c r="G270" s="40"/>
      <c r="H270" s="34"/>
    </row>
    <row r="271">
      <c r="B271" s="24"/>
      <c r="C271" s="39"/>
      <c r="D271" s="39"/>
      <c r="E271" s="39"/>
      <c r="F271" s="39"/>
      <c r="G271" s="40"/>
      <c r="H271" s="34"/>
    </row>
    <row r="272">
      <c r="B272" s="24"/>
      <c r="C272" s="39"/>
      <c r="D272" s="39"/>
      <c r="E272" s="39"/>
      <c r="F272" s="39"/>
      <c r="G272" s="40"/>
      <c r="H272" s="34"/>
    </row>
    <row r="273">
      <c r="B273" s="24"/>
      <c r="C273" s="39"/>
      <c r="D273" s="39"/>
      <c r="E273" s="39"/>
      <c r="F273" s="39"/>
      <c r="G273" s="40"/>
      <c r="H273" s="34"/>
    </row>
    <row r="274">
      <c r="B274" s="24"/>
      <c r="C274" s="39"/>
      <c r="D274" s="39"/>
      <c r="E274" s="39"/>
      <c r="F274" s="39"/>
      <c r="G274" s="40"/>
      <c r="H274" s="34"/>
    </row>
    <row r="275">
      <c r="B275" s="24"/>
      <c r="C275" s="39"/>
      <c r="D275" s="39"/>
      <c r="E275" s="39"/>
      <c r="F275" s="39"/>
      <c r="G275" s="40"/>
      <c r="H275" s="34"/>
    </row>
    <row r="276">
      <c r="B276" s="24"/>
      <c r="C276" s="39"/>
      <c r="D276" s="39"/>
      <c r="E276" s="39"/>
      <c r="F276" s="39"/>
      <c r="G276" s="40"/>
      <c r="H276" s="34"/>
    </row>
    <row r="277">
      <c r="B277" s="24"/>
      <c r="C277" s="39"/>
      <c r="D277" s="39"/>
      <c r="E277" s="39"/>
      <c r="F277" s="39"/>
      <c r="G277" s="40"/>
      <c r="H277" s="34"/>
    </row>
    <row r="278">
      <c r="B278" s="24"/>
      <c r="C278" s="39"/>
      <c r="D278" s="39"/>
      <c r="E278" s="39"/>
      <c r="F278" s="39"/>
      <c r="G278" s="40"/>
      <c r="H278" s="34"/>
    </row>
    <row r="279">
      <c r="B279" s="24"/>
      <c r="C279" s="39"/>
      <c r="D279" s="39"/>
      <c r="E279" s="39"/>
      <c r="F279" s="39"/>
      <c r="G279" s="40"/>
      <c r="H279" s="34"/>
    </row>
    <row r="280">
      <c r="B280" s="24"/>
      <c r="C280" s="39"/>
      <c r="D280" s="39"/>
      <c r="E280" s="39"/>
      <c r="F280" s="39"/>
      <c r="G280" s="40"/>
      <c r="H280" s="34"/>
    </row>
    <row r="281">
      <c r="B281" s="24"/>
      <c r="C281" s="39"/>
      <c r="D281" s="39"/>
      <c r="E281" s="39"/>
      <c r="F281" s="39"/>
      <c r="G281" s="40"/>
      <c r="H281" s="34"/>
    </row>
    <row r="282">
      <c r="B282" s="24"/>
      <c r="C282" s="39"/>
      <c r="D282" s="39"/>
      <c r="E282" s="39"/>
      <c r="F282" s="39"/>
      <c r="G282" s="40"/>
      <c r="H282" s="34"/>
    </row>
    <row r="283">
      <c r="B283" s="24"/>
      <c r="C283" s="39"/>
      <c r="D283" s="39"/>
      <c r="E283" s="39"/>
      <c r="F283" s="39"/>
      <c r="G283" s="40"/>
      <c r="H283" s="34"/>
    </row>
    <row r="284">
      <c r="B284" s="24"/>
      <c r="C284" s="39"/>
      <c r="D284" s="39"/>
      <c r="E284" s="39"/>
      <c r="F284" s="39"/>
      <c r="G284" s="40"/>
      <c r="H284" s="34"/>
    </row>
    <row r="285">
      <c r="B285" s="24"/>
      <c r="C285" s="39"/>
      <c r="D285" s="39"/>
      <c r="E285" s="39"/>
      <c r="F285" s="39"/>
      <c r="G285" s="40"/>
      <c r="H285" s="34"/>
    </row>
    <row r="286">
      <c r="B286" s="24"/>
      <c r="C286" s="39"/>
      <c r="D286" s="39"/>
      <c r="E286" s="39"/>
      <c r="F286" s="39"/>
      <c r="G286" s="40"/>
      <c r="H286" s="34"/>
    </row>
    <row r="287">
      <c r="B287" s="24"/>
      <c r="C287" s="39"/>
      <c r="D287" s="39"/>
      <c r="E287" s="39"/>
      <c r="F287" s="39"/>
      <c r="G287" s="40"/>
      <c r="H287" s="34"/>
    </row>
    <row r="288">
      <c r="B288" s="24"/>
      <c r="C288" s="39"/>
      <c r="D288" s="39"/>
      <c r="E288" s="39"/>
      <c r="F288" s="39"/>
      <c r="G288" s="40"/>
      <c r="H288" s="34"/>
    </row>
    <row r="289">
      <c r="B289" s="24"/>
      <c r="C289" s="39"/>
      <c r="D289" s="39"/>
      <c r="E289" s="39"/>
      <c r="F289" s="39"/>
      <c r="G289" s="40"/>
      <c r="H289" s="34"/>
    </row>
    <row r="290">
      <c r="B290" s="24"/>
      <c r="C290" s="39"/>
      <c r="D290" s="39"/>
      <c r="E290" s="39"/>
      <c r="F290" s="39"/>
      <c r="G290" s="40"/>
      <c r="H290" s="34"/>
    </row>
    <row r="291">
      <c r="B291" s="24"/>
      <c r="C291" s="39"/>
      <c r="D291" s="39"/>
      <c r="E291" s="39"/>
      <c r="F291" s="39"/>
      <c r="G291" s="40"/>
      <c r="H291" s="34"/>
    </row>
    <row r="292">
      <c r="B292" s="24"/>
      <c r="C292" s="39"/>
      <c r="D292" s="39"/>
      <c r="E292" s="39"/>
      <c r="F292" s="39"/>
      <c r="G292" s="40"/>
      <c r="H292" s="34"/>
    </row>
    <row r="293">
      <c r="B293" s="24"/>
      <c r="C293" s="39"/>
      <c r="D293" s="39"/>
      <c r="E293" s="39"/>
      <c r="F293" s="39"/>
      <c r="G293" s="40"/>
      <c r="H293" s="34"/>
    </row>
    <row r="294">
      <c r="B294" s="24"/>
      <c r="C294" s="39"/>
      <c r="D294" s="39"/>
      <c r="E294" s="39"/>
      <c r="F294" s="39"/>
      <c r="G294" s="40"/>
      <c r="H294" s="34"/>
    </row>
    <row r="295">
      <c r="B295" s="24"/>
      <c r="C295" s="39"/>
      <c r="D295" s="39"/>
      <c r="E295" s="39"/>
      <c r="F295" s="39"/>
      <c r="G295" s="40"/>
      <c r="H295" s="34"/>
    </row>
    <row r="296">
      <c r="B296" s="24"/>
      <c r="C296" s="39"/>
      <c r="D296" s="39"/>
      <c r="E296" s="39"/>
      <c r="F296" s="39"/>
      <c r="G296" s="40"/>
      <c r="H296" s="34"/>
    </row>
    <row r="297">
      <c r="B297" s="24"/>
      <c r="C297" s="39"/>
      <c r="D297" s="39"/>
      <c r="E297" s="39"/>
      <c r="F297" s="39"/>
      <c r="G297" s="40"/>
      <c r="H297" s="34"/>
    </row>
    <row r="298">
      <c r="B298" s="24"/>
      <c r="C298" s="39"/>
      <c r="D298" s="39"/>
      <c r="E298" s="39"/>
      <c r="F298" s="39"/>
      <c r="G298" s="40"/>
      <c r="H298" s="34"/>
    </row>
    <row r="299">
      <c r="B299" s="24"/>
      <c r="C299" s="39"/>
      <c r="D299" s="39"/>
      <c r="E299" s="39"/>
      <c r="F299" s="39"/>
      <c r="G299" s="40"/>
      <c r="H299" s="34"/>
    </row>
    <row r="300">
      <c r="B300" s="24"/>
      <c r="C300" s="39"/>
      <c r="D300" s="39"/>
      <c r="E300" s="39"/>
      <c r="F300" s="39"/>
      <c r="G300" s="40"/>
      <c r="H300" s="34"/>
    </row>
    <row r="301">
      <c r="B301" s="24"/>
      <c r="C301" s="39"/>
      <c r="D301" s="39"/>
      <c r="E301" s="39"/>
      <c r="F301" s="39"/>
      <c r="G301" s="40"/>
      <c r="H301" s="34"/>
    </row>
    <row r="302">
      <c r="B302" s="24"/>
      <c r="C302" s="39"/>
      <c r="D302" s="39"/>
      <c r="E302" s="39"/>
      <c r="F302" s="39"/>
      <c r="G302" s="40"/>
      <c r="H302" s="34"/>
    </row>
    <row r="303">
      <c r="B303" s="24"/>
      <c r="C303" s="39"/>
      <c r="D303" s="39"/>
      <c r="E303" s="39"/>
      <c r="F303" s="39"/>
      <c r="G303" s="40"/>
      <c r="H303" s="34"/>
    </row>
    <row r="304">
      <c r="B304" s="24"/>
      <c r="C304" s="39"/>
      <c r="D304" s="39"/>
      <c r="E304" s="39"/>
      <c r="F304" s="39"/>
      <c r="G304" s="40"/>
      <c r="H304" s="34"/>
    </row>
    <row r="305">
      <c r="B305" s="24"/>
      <c r="C305" s="39"/>
      <c r="D305" s="39"/>
      <c r="E305" s="39"/>
      <c r="F305" s="39"/>
      <c r="G305" s="40"/>
      <c r="H305" s="34"/>
    </row>
    <row r="306">
      <c r="B306" s="24"/>
      <c r="C306" s="39"/>
      <c r="D306" s="39"/>
      <c r="E306" s="39"/>
      <c r="F306" s="39"/>
      <c r="G306" s="40"/>
      <c r="H306" s="34"/>
    </row>
    <row r="307">
      <c r="B307" s="24"/>
      <c r="C307" s="39"/>
      <c r="D307" s="39"/>
      <c r="E307" s="39"/>
      <c r="F307" s="39"/>
      <c r="G307" s="40"/>
      <c r="H307" s="34"/>
    </row>
    <row r="308">
      <c r="B308" s="24"/>
      <c r="C308" s="39"/>
      <c r="D308" s="39"/>
      <c r="E308" s="39"/>
      <c r="F308" s="39"/>
      <c r="G308" s="40"/>
      <c r="H308" s="34"/>
    </row>
    <row r="309">
      <c r="B309" s="24"/>
      <c r="C309" s="39"/>
      <c r="D309" s="39"/>
      <c r="E309" s="39"/>
      <c r="F309" s="39"/>
      <c r="G309" s="40"/>
      <c r="H309" s="34"/>
    </row>
    <row r="310">
      <c r="B310" s="24"/>
      <c r="C310" s="39"/>
      <c r="D310" s="39"/>
      <c r="E310" s="39"/>
      <c r="F310" s="39"/>
      <c r="G310" s="40"/>
      <c r="H310" s="34"/>
    </row>
    <row r="311">
      <c r="B311" s="24"/>
      <c r="C311" s="39"/>
      <c r="D311" s="39"/>
      <c r="E311" s="39"/>
      <c r="F311" s="39"/>
      <c r="G311" s="40"/>
      <c r="H311" s="34"/>
    </row>
    <row r="312">
      <c r="B312" s="24"/>
      <c r="C312" s="39"/>
      <c r="D312" s="39"/>
      <c r="E312" s="39"/>
      <c r="F312" s="39"/>
      <c r="G312" s="40"/>
      <c r="H312" s="34"/>
    </row>
    <row r="313">
      <c r="B313" s="24"/>
      <c r="C313" s="39"/>
      <c r="D313" s="39"/>
      <c r="E313" s="39"/>
      <c r="F313" s="39"/>
      <c r="G313" s="40"/>
      <c r="H313" s="34"/>
    </row>
    <row r="314">
      <c r="B314" s="24"/>
      <c r="C314" s="39"/>
      <c r="D314" s="39"/>
      <c r="E314" s="39"/>
      <c r="F314" s="39"/>
      <c r="G314" s="40"/>
      <c r="H314" s="34"/>
    </row>
    <row r="315">
      <c r="B315" s="24"/>
      <c r="C315" s="39"/>
      <c r="D315" s="39"/>
      <c r="E315" s="39"/>
      <c r="F315" s="39"/>
      <c r="G315" s="40"/>
      <c r="H315" s="34"/>
    </row>
    <row r="316">
      <c r="B316" s="24"/>
      <c r="C316" s="39"/>
      <c r="D316" s="39"/>
      <c r="E316" s="39"/>
      <c r="F316" s="39"/>
      <c r="G316" s="40"/>
      <c r="H316" s="34"/>
    </row>
    <row r="317">
      <c r="B317" s="24"/>
      <c r="C317" s="39"/>
      <c r="D317" s="39"/>
      <c r="E317" s="39"/>
      <c r="F317" s="39"/>
      <c r="G317" s="40"/>
      <c r="H317" s="34"/>
    </row>
    <row r="318">
      <c r="B318" s="24"/>
      <c r="C318" s="39"/>
      <c r="D318" s="39"/>
      <c r="E318" s="39"/>
      <c r="F318" s="39"/>
      <c r="G318" s="40"/>
      <c r="H318" s="34"/>
    </row>
    <row r="319">
      <c r="B319" s="24"/>
      <c r="C319" s="39"/>
      <c r="D319" s="39"/>
      <c r="E319" s="39"/>
      <c r="F319" s="39"/>
      <c r="G319" s="40"/>
      <c r="H319" s="34"/>
    </row>
    <row r="320">
      <c r="B320" s="24"/>
      <c r="C320" s="39"/>
      <c r="D320" s="39"/>
      <c r="E320" s="39"/>
      <c r="F320" s="39"/>
      <c r="G320" s="40"/>
      <c r="H320" s="34"/>
    </row>
    <row r="321">
      <c r="B321" s="24"/>
      <c r="C321" s="39"/>
      <c r="D321" s="39"/>
      <c r="E321" s="39"/>
      <c r="F321" s="39"/>
      <c r="G321" s="40"/>
      <c r="H321" s="34"/>
    </row>
    <row r="322">
      <c r="B322" s="24"/>
      <c r="C322" s="39"/>
      <c r="D322" s="39"/>
      <c r="E322" s="39"/>
      <c r="F322" s="39"/>
      <c r="G322" s="40"/>
      <c r="H322" s="34"/>
    </row>
    <row r="323">
      <c r="B323" s="24"/>
      <c r="C323" s="39"/>
      <c r="D323" s="39"/>
      <c r="E323" s="39"/>
      <c r="F323" s="39"/>
      <c r="G323" s="40"/>
      <c r="H323" s="34"/>
    </row>
    <row r="324">
      <c r="B324" s="24"/>
      <c r="C324" s="39"/>
      <c r="D324" s="39"/>
      <c r="E324" s="39"/>
      <c r="F324" s="39"/>
      <c r="G324" s="40"/>
      <c r="H324" s="34"/>
    </row>
    <row r="325">
      <c r="B325" s="24"/>
      <c r="C325" s="39"/>
      <c r="D325" s="39"/>
      <c r="E325" s="39"/>
      <c r="F325" s="39"/>
      <c r="G325" s="40"/>
      <c r="H325" s="34"/>
    </row>
    <row r="326">
      <c r="B326" s="24"/>
      <c r="C326" s="39"/>
      <c r="D326" s="39"/>
      <c r="E326" s="39"/>
      <c r="F326" s="39"/>
      <c r="G326" s="40"/>
      <c r="H326" s="34"/>
    </row>
    <row r="327">
      <c r="B327" s="24"/>
      <c r="C327" s="39"/>
      <c r="D327" s="39"/>
      <c r="E327" s="39"/>
      <c r="F327" s="39"/>
      <c r="G327" s="40"/>
      <c r="H327" s="34"/>
    </row>
    <row r="328">
      <c r="B328" s="24"/>
      <c r="C328" s="39"/>
      <c r="D328" s="39"/>
      <c r="E328" s="39"/>
      <c r="F328" s="39"/>
      <c r="G328" s="40"/>
      <c r="H328" s="34"/>
    </row>
    <row r="329">
      <c r="B329" s="24"/>
      <c r="C329" s="39"/>
      <c r="D329" s="39"/>
      <c r="E329" s="39"/>
      <c r="F329" s="39"/>
      <c r="G329" s="40"/>
      <c r="H329" s="34"/>
    </row>
    <row r="330">
      <c r="B330" s="24"/>
      <c r="C330" s="39"/>
      <c r="D330" s="39"/>
      <c r="E330" s="39"/>
      <c r="F330" s="39"/>
      <c r="G330" s="40"/>
      <c r="H330" s="34"/>
    </row>
    <row r="331">
      <c r="B331" s="24"/>
      <c r="C331" s="39"/>
      <c r="D331" s="39"/>
      <c r="E331" s="39"/>
      <c r="F331" s="39"/>
      <c r="G331" s="40"/>
      <c r="H331" s="34"/>
    </row>
    <row r="332">
      <c r="B332" s="24"/>
      <c r="C332" s="39"/>
      <c r="D332" s="39"/>
      <c r="E332" s="39"/>
      <c r="F332" s="39"/>
      <c r="G332" s="40"/>
      <c r="H332" s="34"/>
    </row>
    <row r="333">
      <c r="B333" s="24"/>
      <c r="C333" s="39"/>
      <c r="D333" s="39"/>
      <c r="E333" s="39"/>
      <c r="F333" s="39"/>
      <c r="G333" s="40"/>
      <c r="H333" s="34"/>
    </row>
    <row r="334">
      <c r="B334" s="24"/>
      <c r="C334" s="39"/>
      <c r="D334" s="39"/>
      <c r="E334" s="39"/>
      <c r="F334" s="39"/>
      <c r="G334" s="40"/>
      <c r="H334" s="34"/>
    </row>
    <row r="335">
      <c r="B335" s="24"/>
      <c r="C335" s="39"/>
      <c r="D335" s="39"/>
      <c r="E335" s="39"/>
      <c r="F335" s="39"/>
      <c r="G335" s="40"/>
      <c r="H335" s="34"/>
    </row>
    <row r="336">
      <c r="B336" s="24"/>
      <c r="C336" s="39"/>
      <c r="D336" s="39"/>
      <c r="E336" s="39"/>
      <c r="F336" s="39"/>
      <c r="G336" s="40"/>
      <c r="H336" s="34"/>
    </row>
    <row r="337">
      <c r="B337" s="24"/>
      <c r="C337" s="39"/>
      <c r="D337" s="39"/>
      <c r="E337" s="39"/>
      <c r="F337" s="39"/>
      <c r="G337" s="40"/>
      <c r="H337" s="34"/>
    </row>
    <row r="338">
      <c r="B338" s="24"/>
      <c r="C338" s="39"/>
      <c r="D338" s="39"/>
      <c r="E338" s="39"/>
      <c r="F338" s="39"/>
      <c r="G338" s="40"/>
      <c r="H338" s="34"/>
    </row>
    <row r="339">
      <c r="B339" s="24"/>
      <c r="C339" s="39"/>
      <c r="D339" s="39"/>
      <c r="E339" s="39"/>
      <c r="F339" s="39"/>
      <c r="G339" s="40"/>
      <c r="H339" s="34"/>
    </row>
    <row r="340">
      <c r="B340" s="24"/>
      <c r="C340" s="39"/>
      <c r="D340" s="39"/>
      <c r="E340" s="39"/>
      <c r="F340" s="39"/>
      <c r="G340" s="40"/>
      <c r="H340" s="34"/>
    </row>
    <row r="341">
      <c r="B341" s="24"/>
      <c r="C341" s="39"/>
      <c r="D341" s="39"/>
      <c r="E341" s="39"/>
      <c r="F341" s="39"/>
      <c r="G341" s="40"/>
      <c r="H341" s="34"/>
    </row>
    <row r="342">
      <c r="B342" s="24"/>
      <c r="C342" s="39"/>
      <c r="D342" s="39"/>
      <c r="E342" s="39"/>
      <c r="F342" s="39"/>
      <c r="G342" s="40"/>
      <c r="H342" s="34"/>
    </row>
    <row r="343">
      <c r="B343" s="24"/>
      <c r="C343" s="39"/>
      <c r="D343" s="39"/>
      <c r="E343" s="39"/>
      <c r="F343" s="39"/>
      <c r="G343" s="40"/>
      <c r="H343" s="34"/>
    </row>
    <row r="344">
      <c r="B344" s="24"/>
      <c r="C344" s="39"/>
      <c r="D344" s="39"/>
      <c r="E344" s="39"/>
      <c r="F344" s="39"/>
      <c r="G344" s="40"/>
      <c r="H344" s="34"/>
    </row>
    <row r="345">
      <c r="B345" s="24"/>
      <c r="C345" s="39"/>
      <c r="D345" s="39"/>
      <c r="E345" s="39"/>
      <c r="F345" s="39"/>
      <c r="G345" s="40"/>
      <c r="H345" s="34"/>
    </row>
    <row r="346">
      <c r="B346" s="24"/>
      <c r="C346" s="39"/>
      <c r="D346" s="39"/>
      <c r="E346" s="39"/>
      <c r="F346" s="39"/>
      <c r="G346" s="40"/>
      <c r="H346" s="34"/>
    </row>
    <row r="347">
      <c r="B347" s="24"/>
      <c r="C347" s="39"/>
      <c r="D347" s="39"/>
      <c r="E347" s="39"/>
      <c r="F347" s="39"/>
      <c r="G347" s="40"/>
      <c r="H347" s="34"/>
    </row>
    <row r="348">
      <c r="B348" s="24"/>
      <c r="C348" s="39"/>
      <c r="D348" s="39"/>
      <c r="E348" s="39"/>
      <c r="F348" s="39"/>
      <c r="G348" s="40"/>
      <c r="H348" s="34"/>
    </row>
    <row r="349">
      <c r="B349" s="24"/>
      <c r="C349" s="39"/>
      <c r="D349" s="39"/>
      <c r="E349" s="39"/>
      <c r="F349" s="39"/>
      <c r="G349" s="40"/>
      <c r="H349" s="34"/>
    </row>
    <row r="350">
      <c r="B350" s="24"/>
      <c r="C350" s="39"/>
      <c r="D350" s="39"/>
      <c r="E350" s="39"/>
      <c r="F350" s="39"/>
      <c r="G350" s="40"/>
      <c r="H350" s="34"/>
    </row>
    <row r="351">
      <c r="B351" s="24"/>
      <c r="C351" s="39"/>
      <c r="D351" s="39"/>
      <c r="E351" s="39"/>
      <c r="F351" s="39"/>
      <c r="G351" s="40"/>
      <c r="H351" s="34"/>
    </row>
    <row r="352">
      <c r="B352" s="24"/>
      <c r="C352" s="39"/>
      <c r="D352" s="39"/>
      <c r="E352" s="39"/>
      <c r="F352" s="39"/>
      <c r="G352" s="40"/>
      <c r="H352" s="34"/>
    </row>
    <row r="353">
      <c r="B353" s="24"/>
      <c r="C353" s="39"/>
      <c r="D353" s="39"/>
      <c r="E353" s="39"/>
      <c r="F353" s="39"/>
      <c r="G353" s="40"/>
      <c r="H353" s="34"/>
    </row>
    <row r="354">
      <c r="B354" s="24"/>
      <c r="C354" s="39"/>
      <c r="D354" s="39"/>
      <c r="E354" s="39"/>
      <c r="F354" s="39"/>
      <c r="G354" s="40"/>
      <c r="H354" s="34"/>
    </row>
    <row r="355">
      <c r="B355" s="24"/>
      <c r="C355" s="39"/>
      <c r="D355" s="39"/>
      <c r="E355" s="39"/>
      <c r="F355" s="39"/>
      <c r="G355" s="40"/>
      <c r="H355" s="34"/>
    </row>
    <row r="356">
      <c r="B356" s="24"/>
      <c r="C356" s="39"/>
      <c r="D356" s="39"/>
      <c r="E356" s="39"/>
      <c r="F356" s="39"/>
      <c r="G356" s="40"/>
      <c r="H356" s="34"/>
    </row>
    <row r="357">
      <c r="B357" s="24"/>
      <c r="C357" s="39"/>
      <c r="D357" s="39"/>
      <c r="E357" s="39"/>
      <c r="F357" s="39"/>
      <c r="G357" s="40"/>
      <c r="H357" s="34"/>
    </row>
    <row r="358">
      <c r="B358" s="24"/>
      <c r="C358" s="39"/>
      <c r="D358" s="39"/>
      <c r="E358" s="39"/>
      <c r="F358" s="39"/>
      <c r="G358" s="40"/>
      <c r="H358" s="34"/>
    </row>
    <row r="359">
      <c r="B359" s="24"/>
      <c r="C359" s="39"/>
      <c r="D359" s="39"/>
      <c r="E359" s="39"/>
      <c r="F359" s="39"/>
      <c r="G359" s="40"/>
      <c r="H359" s="34"/>
    </row>
    <row r="360">
      <c r="B360" s="24"/>
      <c r="C360" s="39"/>
      <c r="D360" s="39"/>
      <c r="E360" s="39"/>
      <c r="F360" s="39"/>
      <c r="G360" s="40"/>
      <c r="H360" s="34"/>
    </row>
    <row r="361">
      <c r="B361" s="24"/>
      <c r="C361" s="39"/>
      <c r="D361" s="39"/>
      <c r="E361" s="39"/>
      <c r="F361" s="39"/>
      <c r="G361" s="40"/>
      <c r="H361" s="34"/>
    </row>
    <row r="362">
      <c r="B362" s="24"/>
      <c r="C362" s="39"/>
      <c r="D362" s="39"/>
      <c r="E362" s="39"/>
      <c r="F362" s="39"/>
      <c r="G362" s="40"/>
      <c r="H362" s="34"/>
    </row>
    <row r="363">
      <c r="B363" s="24"/>
      <c r="C363" s="39"/>
      <c r="D363" s="39"/>
      <c r="E363" s="39"/>
      <c r="F363" s="39"/>
      <c r="G363" s="40"/>
      <c r="H363" s="34"/>
    </row>
    <row r="364">
      <c r="B364" s="24"/>
      <c r="C364" s="39"/>
      <c r="D364" s="39"/>
      <c r="E364" s="39"/>
      <c r="F364" s="39"/>
      <c r="G364" s="40"/>
      <c r="H364" s="34"/>
    </row>
    <row r="365">
      <c r="B365" s="24"/>
      <c r="C365" s="39"/>
      <c r="D365" s="39"/>
      <c r="E365" s="39"/>
      <c r="F365" s="39"/>
      <c r="G365" s="40"/>
      <c r="H365" s="34"/>
    </row>
    <row r="366">
      <c r="B366" s="24"/>
      <c r="C366" s="39"/>
      <c r="D366" s="39"/>
      <c r="E366" s="39"/>
      <c r="F366" s="39"/>
      <c r="G366" s="40"/>
      <c r="H366" s="34"/>
    </row>
    <row r="367">
      <c r="B367" s="24"/>
      <c r="C367" s="39"/>
      <c r="D367" s="39"/>
      <c r="E367" s="39"/>
      <c r="F367" s="39"/>
      <c r="G367" s="40"/>
      <c r="H367" s="34"/>
    </row>
    <row r="368">
      <c r="B368" s="24"/>
      <c r="C368" s="39"/>
      <c r="D368" s="39"/>
      <c r="E368" s="39"/>
      <c r="F368" s="39"/>
      <c r="G368" s="40"/>
      <c r="H368" s="34"/>
    </row>
    <row r="369">
      <c r="B369" s="24"/>
      <c r="C369" s="39"/>
      <c r="D369" s="39"/>
      <c r="E369" s="39"/>
      <c r="F369" s="39"/>
      <c r="G369" s="40"/>
      <c r="H369" s="34"/>
    </row>
    <row r="370">
      <c r="B370" s="24"/>
      <c r="C370" s="39"/>
      <c r="D370" s="39"/>
      <c r="E370" s="39"/>
      <c r="F370" s="39"/>
      <c r="G370" s="40"/>
      <c r="H370" s="34"/>
    </row>
    <row r="371">
      <c r="B371" s="24"/>
      <c r="C371" s="39"/>
      <c r="D371" s="39"/>
      <c r="E371" s="39"/>
      <c r="F371" s="39"/>
      <c r="G371" s="40"/>
      <c r="H371" s="34"/>
    </row>
    <row r="372">
      <c r="B372" s="24"/>
      <c r="C372" s="39"/>
      <c r="D372" s="39"/>
      <c r="E372" s="39"/>
      <c r="F372" s="39"/>
      <c r="G372" s="40"/>
      <c r="H372" s="34"/>
    </row>
    <row r="373">
      <c r="B373" s="24"/>
      <c r="C373" s="39"/>
      <c r="D373" s="39"/>
      <c r="E373" s="39"/>
      <c r="F373" s="39"/>
      <c r="G373" s="40"/>
      <c r="H373" s="34"/>
    </row>
    <row r="374">
      <c r="B374" s="24"/>
      <c r="C374" s="39"/>
      <c r="D374" s="39"/>
      <c r="E374" s="39"/>
      <c r="F374" s="39"/>
      <c r="G374" s="40"/>
      <c r="H374" s="34"/>
    </row>
    <row r="375">
      <c r="B375" s="24"/>
      <c r="C375" s="39"/>
      <c r="D375" s="39"/>
      <c r="E375" s="39"/>
      <c r="F375" s="39"/>
      <c r="G375" s="40"/>
      <c r="H375" s="34"/>
    </row>
    <row r="376">
      <c r="B376" s="24"/>
      <c r="C376" s="39"/>
      <c r="D376" s="39"/>
      <c r="E376" s="39"/>
      <c r="F376" s="39"/>
      <c r="G376" s="40"/>
      <c r="H376" s="34"/>
    </row>
    <row r="377">
      <c r="B377" s="24"/>
      <c r="C377" s="39"/>
      <c r="D377" s="39"/>
      <c r="E377" s="39"/>
      <c r="F377" s="39"/>
      <c r="G377" s="40"/>
      <c r="H377" s="34"/>
    </row>
    <row r="378">
      <c r="B378" s="24"/>
      <c r="C378" s="39"/>
      <c r="D378" s="39"/>
      <c r="E378" s="39"/>
      <c r="F378" s="39"/>
      <c r="G378" s="40"/>
      <c r="H378" s="34"/>
    </row>
    <row r="379">
      <c r="B379" s="24"/>
      <c r="C379" s="39"/>
      <c r="D379" s="39"/>
      <c r="E379" s="39"/>
      <c r="F379" s="39"/>
      <c r="G379" s="40"/>
      <c r="H379" s="34"/>
    </row>
    <row r="380">
      <c r="B380" s="24"/>
      <c r="C380" s="39"/>
      <c r="D380" s="39"/>
      <c r="E380" s="39"/>
      <c r="F380" s="39"/>
      <c r="G380" s="40"/>
      <c r="H380" s="34"/>
    </row>
    <row r="381">
      <c r="B381" s="24"/>
      <c r="C381" s="39"/>
      <c r="D381" s="39"/>
      <c r="E381" s="39"/>
      <c r="F381" s="39"/>
      <c r="G381" s="40"/>
      <c r="H381" s="34"/>
    </row>
    <row r="382">
      <c r="B382" s="24"/>
      <c r="C382" s="39"/>
      <c r="D382" s="39"/>
      <c r="E382" s="39"/>
      <c r="F382" s="39"/>
      <c r="G382" s="40"/>
      <c r="H382" s="34"/>
    </row>
    <row r="383">
      <c r="B383" s="24"/>
      <c r="C383" s="39"/>
      <c r="D383" s="39"/>
      <c r="E383" s="39"/>
      <c r="F383" s="39"/>
      <c r="G383" s="40"/>
      <c r="H383" s="34"/>
    </row>
    <row r="384">
      <c r="B384" s="24"/>
      <c r="C384" s="39"/>
      <c r="D384" s="39"/>
      <c r="E384" s="39"/>
      <c r="F384" s="39"/>
      <c r="G384" s="40"/>
      <c r="H384" s="34"/>
    </row>
    <row r="385">
      <c r="B385" s="24"/>
      <c r="C385" s="39"/>
      <c r="D385" s="39"/>
      <c r="E385" s="39"/>
      <c r="F385" s="39"/>
      <c r="G385" s="40"/>
      <c r="H385" s="34"/>
    </row>
    <row r="386">
      <c r="B386" s="24"/>
      <c r="C386" s="39"/>
      <c r="D386" s="39"/>
      <c r="E386" s="39"/>
      <c r="F386" s="39"/>
      <c r="G386" s="40"/>
      <c r="H386" s="34"/>
    </row>
    <row r="387">
      <c r="B387" s="24"/>
      <c r="C387" s="39"/>
      <c r="D387" s="39"/>
      <c r="E387" s="39"/>
      <c r="F387" s="39"/>
      <c r="G387" s="40"/>
      <c r="H387" s="34"/>
    </row>
    <row r="388">
      <c r="B388" s="24"/>
      <c r="C388" s="39"/>
      <c r="D388" s="39"/>
      <c r="E388" s="39"/>
      <c r="F388" s="39"/>
      <c r="G388" s="40"/>
      <c r="H388" s="34"/>
    </row>
    <row r="389">
      <c r="B389" s="24"/>
      <c r="C389" s="39"/>
      <c r="D389" s="39"/>
      <c r="E389" s="39"/>
      <c r="F389" s="39"/>
      <c r="G389" s="40"/>
      <c r="H389" s="34"/>
    </row>
    <row r="390">
      <c r="B390" s="24"/>
      <c r="C390" s="39"/>
      <c r="D390" s="39"/>
      <c r="E390" s="39"/>
      <c r="F390" s="39"/>
      <c r="G390" s="40"/>
      <c r="H390" s="34"/>
    </row>
    <row r="391">
      <c r="B391" s="24"/>
      <c r="C391" s="39"/>
      <c r="D391" s="39"/>
      <c r="E391" s="39"/>
      <c r="F391" s="39"/>
      <c r="G391" s="40"/>
      <c r="H391" s="34"/>
    </row>
    <row r="392">
      <c r="B392" s="24"/>
      <c r="C392" s="39"/>
      <c r="D392" s="39"/>
      <c r="E392" s="39"/>
      <c r="F392" s="39"/>
      <c r="G392" s="40"/>
      <c r="H392" s="34"/>
    </row>
    <row r="393">
      <c r="B393" s="24"/>
      <c r="C393" s="39"/>
      <c r="D393" s="39"/>
      <c r="E393" s="39"/>
      <c r="F393" s="39"/>
      <c r="G393" s="40"/>
      <c r="H393" s="34"/>
    </row>
    <row r="394">
      <c r="B394" s="24"/>
      <c r="C394" s="39"/>
      <c r="D394" s="39"/>
      <c r="E394" s="39"/>
      <c r="F394" s="39"/>
      <c r="G394" s="40"/>
      <c r="H394" s="34"/>
    </row>
    <row r="395">
      <c r="B395" s="24"/>
      <c r="C395" s="39"/>
      <c r="D395" s="39"/>
      <c r="E395" s="39"/>
      <c r="F395" s="39"/>
      <c r="G395" s="40"/>
      <c r="H395" s="34"/>
    </row>
    <row r="396">
      <c r="B396" s="24"/>
      <c r="C396" s="39"/>
      <c r="D396" s="39"/>
      <c r="E396" s="39"/>
      <c r="F396" s="39"/>
      <c r="G396" s="40"/>
      <c r="H396" s="34"/>
    </row>
    <row r="397">
      <c r="B397" s="24"/>
      <c r="C397" s="39"/>
      <c r="D397" s="39"/>
      <c r="E397" s="39"/>
      <c r="F397" s="39"/>
      <c r="G397" s="40"/>
      <c r="H397" s="34"/>
    </row>
    <row r="398">
      <c r="B398" s="24"/>
      <c r="C398" s="39"/>
      <c r="D398" s="39"/>
      <c r="E398" s="39"/>
      <c r="F398" s="39"/>
      <c r="G398" s="40"/>
      <c r="H398" s="34"/>
    </row>
    <row r="399">
      <c r="B399" s="24"/>
      <c r="C399" s="39"/>
      <c r="D399" s="39"/>
      <c r="E399" s="39"/>
      <c r="F399" s="39"/>
      <c r="G399" s="40"/>
      <c r="H399" s="34"/>
    </row>
    <row r="400">
      <c r="B400" s="24"/>
      <c r="C400" s="39"/>
      <c r="D400" s="39"/>
      <c r="E400" s="39"/>
      <c r="F400" s="39"/>
      <c r="G400" s="40"/>
      <c r="H400" s="34"/>
    </row>
    <row r="401">
      <c r="B401" s="24"/>
      <c r="C401" s="39"/>
      <c r="D401" s="39"/>
      <c r="E401" s="39"/>
      <c r="F401" s="39"/>
      <c r="G401" s="40"/>
      <c r="H401" s="34"/>
    </row>
    <row r="402">
      <c r="B402" s="24"/>
      <c r="C402" s="39"/>
      <c r="D402" s="39"/>
      <c r="E402" s="39"/>
      <c r="F402" s="39"/>
      <c r="G402" s="40"/>
      <c r="H402" s="34"/>
    </row>
    <row r="403">
      <c r="B403" s="24"/>
      <c r="C403" s="39"/>
      <c r="D403" s="39"/>
      <c r="E403" s="39"/>
      <c r="F403" s="39"/>
      <c r="G403" s="40"/>
      <c r="H403" s="34"/>
    </row>
    <row r="404">
      <c r="B404" s="24"/>
      <c r="C404" s="39"/>
      <c r="D404" s="39"/>
      <c r="E404" s="39"/>
      <c r="F404" s="39"/>
      <c r="G404" s="40"/>
      <c r="H404" s="34"/>
    </row>
    <row r="405">
      <c r="B405" s="24"/>
      <c r="C405" s="39"/>
      <c r="D405" s="39"/>
      <c r="E405" s="39"/>
      <c r="F405" s="39"/>
      <c r="G405" s="40"/>
      <c r="H405" s="34"/>
    </row>
    <row r="406">
      <c r="B406" s="24"/>
      <c r="C406" s="39"/>
      <c r="D406" s="39"/>
      <c r="E406" s="39"/>
      <c r="F406" s="39"/>
      <c r="G406" s="40"/>
      <c r="H406" s="34"/>
    </row>
    <row r="407">
      <c r="B407" s="24"/>
      <c r="C407" s="39"/>
      <c r="D407" s="39"/>
      <c r="E407" s="39"/>
      <c r="F407" s="39"/>
      <c r="G407" s="40"/>
      <c r="H407" s="34"/>
    </row>
    <row r="408">
      <c r="B408" s="24"/>
      <c r="C408" s="39"/>
      <c r="D408" s="39"/>
      <c r="E408" s="39"/>
      <c r="F408" s="39"/>
      <c r="G408" s="40"/>
      <c r="H408" s="34"/>
    </row>
    <row r="409">
      <c r="B409" s="24"/>
      <c r="C409" s="39"/>
      <c r="D409" s="39"/>
      <c r="E409" s="39"/>
      <c r="F409" s="39"/>
      <c r="G409" s="40"/>
      <c r="H409" s="34"/>
    </row>
    <row r="410">
      <c r="B410" s="24"/>
      <c r="C410" s="39"/>
      <c r="D410" s="39"/>
      <c r="E410" s="39"/>
      <c r="F410" s="39"/>
      <c r="G410" s="40"/>
      <c r="H410" s="34"/>
    </row>
    <row r="411">
      <c r="B411" s="24"/>
      <c r="C411" s="39"/>
      <c r="D411" s="39"/>
      <c r="E411" s="39"/>
      <c r="F411" s="39"/>
      <c r="G411" s="40"/>
      <c r="H411" s="34"/>
    </row>
    <row r="412">
      <c r="B412" s="24"/>
      <c r="C412" s="39"/>
      <c r="D412" s="39"/>
      <c r="E412" s="39"/>
      <c r="F412" s="39"/>
      <c r="G412" s="40"/>
      <c r="H412" s="34"/>
    </row>
    <row r="413">
      <c r="B413" s="24"/>
      <c r="C413" s="39"/>
      <c r="D413" s="39"/>
      <c r="E413" s="39"/>
      <c r="F413" s="39"/>
      <c r="G413" s="40"/>
      <c r="H413" s="34"/>
    </row>
    <row r="414">
      <c r="B414" s="24"/>
      <c r="C414" s="39"/>
      <c r="D414" s="39"/>
      <c r="E414" s="39"/>
      <c r="F414" s="39"/>
      <c r="G414" s="40"/>
      <c r="H414" s="34"/>
    </row>
    <row r="415">
      <c r="B415" s="24"/>
      <c r="C415" s="39"/>
      <c r="D415" s="39"/>
      <c r="E415" s="39"/>
      <c r="F415" s="39"/>
      <c r="G415" s="40"/>
      <c r="H415" s="34"/>
    </row>
    <row r="416">
      <c r="B416" s="24"/>
      <c r="C416" s="39"/>
      <c r="D416" s="39"/>
      <c r="E416" s="39"/>
      <c r="F416" s="39"/>
      <c r="G416" s="40"/>
      <c r="H416" s="34"/>
    </row>
    <row r="417">
      <c r="B417" s="24"/>
      <c r="C417" s="39"/>
      <c r="D417" s="39"/>
      <c r="E417" s="39"/>
      <c r="F417" s="39"/>
      <c r="G417" s="40"/>
      <c r="H417" s="34"/>
    </row>
    <row r="418">
      <c r="B418" s="24"/>
      <c r="C418" s="39"/>
      <c r="D418" s="39"/>
      <c r="E418" s="39"/>
      <c r="F418" s="39"/>
      <c r="G418" s="40"/>
      <c r="H418" s="34"/>
    </row>
    <row r="419">
      <c r="B419" s="24"/>
      <c r="C419" s="39"/>
      <c r="D419" s="39"/>
      <c r="E419" s="39"/>
      <c r="F419" s="39"/>
      <c r="G419" s="40"/>
      <c r="H419" s="34"/>
    </row>
    <row r="420">
      <c r="B420" s="24"/>
      <c r="C420" s="39"/>
      <c r="D420" s="39"/>
      <c r="E420" s="39"/>
      <c r="F420" s="39"/>
      <c r="G420" s="40"/>
      <c r="H420" s="34"/>
    </row>
    <row r="421">
      <c r="B421" s="24"/>
      <c r="C421" s="39"/>
      <c r="D421" s="39"/>
      <c r="E421" s="39"/>
      <c r="F421" s="39"/>
      <c r="G421" s="40"/>
      <c r="H421" s="34"/>
    </row>
    <row r="422">
      <c r="B422" s="24"/>
      <c r="C422" s="39"/>
      <c r="D422" s="39"/>
      <c r="E422" s="39"/>
      <c r="F422" s="39"/>
      <c r="G422" s="40"/>
      <c r="H422" s="34"/>
    </row>
    <row r="423">
      <c r="B423" s="24"/>
      <c r="C423" s="39"/>
      <c r="D423" s="39"/>
      <c r="E423" s="39"/>
      <c r="F423" s="39"/>
      <c r="G423" s="40"/>
      <c r="H423" s="34"/>
    </row>
    <row r="424">
      <c r="B424" s="24"/>
      <c r="C424" s="39"/>
      <c r="D424" s="39"/>
      <c r="E424" s="39"/>
      <c r="F424" s="39"/>
      <c r="G424" s="40"/>
      <c r="H424" s="34"/>
    </row>
    <row r="425">
      <c r="B425" s="24"/>
      <c r="C425" s="39"/>
      <c r="D425" s="39"/>
      <c r="E425" s="39"/>
      <c r="F425" s="39"/>
      <c r="G425" s="40"/>
      <c r="H425" s="34"/>
    </row>
    <row r="426">
      <c r="B426" s="24"/>
      <c r="C426" s="39"/>
      <c r="D426" s="39"/>
      <c r="E426" s="39"/>
      <c r="F426" s="39"/>
      <c r="G426" s="40"/>
      <c r="H426" s="34"/>
    </row>
    <row r="427">
      <c r="B427" s="24"/>
      <c r="C427" s="39"/>
      <c r="D427" s="39"/>
      <c r="E427" s="39"/>
      <c r="F427" s="39"/>
      <c r="G427" s="40"/>
      <c r="H427" s="34"/>
    </row>
    <row r="428">
      <c r="B428" s="24"/>
      <c r="C428" s="39"/>
      <c r="D428" s="39"/>
      <c r="E428" s="39"/>
      <c r="F428" s="39"/>
      <c r="G428" s="40"/>
      <c r="H428" s="34"/>
    </row>
    <row r="429">
      <c r="B429" s="24"/>
      <c r="C429" s="39"/>
      <c r="D429" s="39"/>
      <c r="E429" s="39"/>
      <c r="F429" s="39"/>
      <c r="G429" s="40"/>
      <c r="H429" s="34"/>
    </row>
    <row r="430">
      <c r="B430" s="24"/>
      <c r="C430" s="39"/>
      <c r="D430" s="39"/>
      <c r="E430" s="39"/>
      <c r="F430" s="39"/>
      <c r="G430" s="40"/>
      <c r="H430" s="34"/>
    </row>
    <row r="431">
      <c r="B431" s="24"/>
      <c r="C431" s="39"/>
      <c r="D431" s="39"/>
      <c r="E431" s="39"/>
      <c r="F431" s="39"/>
      <c r="G431" s="40"/>
      <c r="H431" s="34"/>
    </row>
    <row r="432">
      <c r="B432" s="24"/>
      <c r="C432" s="39"/>
      <c r="D432" s="39"/>
      <c r="E432" s="39"/>
      <c r="F432" s="39"/>
      <c r="G432" s="40"/>
      <c r="H432" s="34"/>
    </row>
    <row r="433">
      <c r="B433" s="24"/>
      <c r="C433" s="39"/>
      <c r="D433" s="39"/>
      <c r="E433" s="39"/>
      <c r="F433" s="39"/>
      <c r="G433" s="40"/>
      <c r="H433" s="34"/>
    </row>
    <row r="434">
      <c r="B434" s="24"/>
      <c r="C434" s="39"/>
      <c r="D434" s="39"/>
      <c r="E434" s="39"/>
      <c r="F434" s="39"/>
      <c r="G434" s="40"/>
      <c r="H434" s="34"/>
    </row>
    <row r="435">
      <c r="B435" s="24"/>
      <c r="C435" s="39"/>
      <c r="D435" s="39"/>
      <c r="E435" s="39"/>
      <c r="F435" s="39"/>
      <c r="G435" s="40"/>
      <c r="H435" s="34"/>
    </row>
    <row r="436">
      <c r="B436" s="24"/>
      <c r="C436" s="39"/>
      <c r="D436" s="39"/>
      <c r="E436" s="39"/>
      <c r="F436" s="39"/>
      <c r="G436" s="40"/>
      <c r="H436" s="34"/>
    </row>
    <row r="437">
      <c r="B437" s="24"/>
      <c r="C437" s="39"/>
      <c r="D437" s="39"/>
      <c r="E437" s="39"/>
      <c r="F437" s="39"/>
      <c r="G437" s="40"/>
      <c r="H437" s="34"/>
    </row>
    <row r="438">
      <c r="B438" s="24"/>
      <c r="C438" s="39"/>
      <c r="D438" s="39"/>
      <c r="E438" s="39"/>
      <c r="F438" s="39"/>
      <c r="G438" s="40"/>
      <c r="H438" s="34"/>
    </row>
    <row r="439">
      <c r="B439" s="24"/>
      <c r="C439" s="39"/>
      <c r="D439" s="39"/>
      <c r="E439" s="39"/>
      <c r="F439" s="39"/>
      <c r="G439" s="40"/>
      <c r="H439" s="34"/>
    </row>
    <row r="440">
      <c r="B440" s="24"/>
      <c r="C440" s="39"/>
      <c r="D440" s="39"/>
      <c r="E440" s="39"/>
      <c r="F440" s="39"/>
      <c r="G440" s="40"/>
      <c r="H440" s="34"/>
    </row>
    <row r="441">
      <c r="B441" s="24"/>
      <c r="C441" s="39"/>
      <c r="D441" s="39"/>
      <c r="E441" s="39"/>
      <c r="F441" s="39"/>
      <c r="G441" s="40"/>
      <c r="H441" s="34"/>
    </row>
    <row r="442">
      <c r="B442" s="24"/>
      <c r="C442" s="39"/>
      <c r="D442" s="39"/>
      <c r="E442" s="39"/>
      <c r="F442" s="39"/>
      <c r="G442" s="40"/>
      <c r="H442" s="34"/>
    </row>
    <row r="443">
      <c r="B443" s="24"/>
      <c r="C443" s="39"/>
      <c r="D443" s="39"/>
      <c r="E443" s="39"/>
      <c r="F443" s="39"/>
      <c r="G443" s="40"/>
      <c r="H443" s="34"/>
    </row>
    <row r="444">
      <c r="B444" s="24"/>
      <c r="C444" s="39"/>
      <c r="D444" s="39"/>
      <c r="E444" s="39"/>
      <c r="F444" s="39"/>
      <c r="G444" s="40"/>
      <c r="H444" s="34"/>
    </row>
    <row r="445">
      <c r="B445" s="24"/>
      <c r="C445" s="39"/>
      <c r="D445" s="39"/>
      <c r="E445" s="39"/>
      <c r="F445" s="39"/>
      <c r="G445" s="40"/>
      <c r="H445" s="34"/>
    </row>
    <row r="446">
      <c r="B446" s="24"/>
      <c r="C446" s="39"/>
      <c r="D446" s="39"/>
      <c r="E446" s="39"/>
      <c r="F446" s="39"/>
      <c r="G446" s="40"/>
      <c r="H446" s="34"/>
    </row>
    <row r="447">
      <c r="B447" s="24"/>
      <c r="C447" s="39"/>
      <c r="D447" s="39"/>
      <c r="E447" s="39"/>
      <c r="F447" s="39"/>
      <c r="G447" s="40"/>
      <c r="H447" s="34"/>
    </row>
    <row r="448">
      <c r="B448" s="24"/>
      <c r="C448" s="39"/>
      <c r="D448" s="39"/>
      <c r="E448" s="39"/>
      <c r="F448" s="39"/>
      <c r="G448" s="40"/>
      <c r="H448" s="34"/>
    </row>
    <row r="449">
      <c r="B449" s="24"/>
      <c r="C449" s="39"/>
      <c r="D449" s="39"/>
      <c r="E449" s="39"/>
      <c r="F449" s="39"/>
      <c r="G449" s="40"/>
      <c r="H449" s="34"/>
    </row>
    <row r="450">
      <c r="B450" s="24"/>
      <c r="C450" s="39"/>
      <c r="D450" s="39"/>
      <c r="E450" s="39"/>
      <c r="F450" s="39"/>
      <c r="G450" s="40"/>
      <c r="H450" s="34"/>
    </row>
    <row r="451">
      <c r="B451" s="24"/>
      <c r="C451" s="39"/>
      <c r="D451" s="39"/>
      <c r="E451" s="39"/>
      <c r="F451" s="39"/>
      <c r="G451" s="40"/>
      <c r="H451" s="34"/>
    </row>
    <row r="452">
      <c r="B452" s="24"/>
      <c r="C452" s="39"/>
      <c r="D452" s="39"/>
      <c r="E452" s="39"/>
      <c r="F452" s="39"/>
      <c r="G452" s="40"/>
      <c r="H452" s="34"/>
    </row>
    <row r="453">
      <c r="B453" s="24"/>
      <c r="C453" s="39"/>
      <c r="D453" s="39"/>
      <c r="E453" s="39"/>
      <c r="F453" s="39"/>
      <c r="G453" s="40"/>
      <c r="H453" s="34"/>
    </row>
    <row r="454">
      <c r="B454" s="24"/>
      <c r="C454" s="39"/>
      <c r="D454" s="39"/>
      <c r="E454" s="39"/>
      <c r="F454" s="39"/>
      <c r="G454" s="40"/>
      <c r="H454" s="34"/>
    </row>
    <row r="455">
      <c r="B455" s="24"/>
      <c r="C455" s="39"/>
      <c r="D455" s="39"/>
      <c r="E455" s="39"/>
      <c r="F455" s="39"/>
      <c r="G455" s="40"/>
      <c r="H455" s="34"/>
    </row>
    <row r="456">
      <c r="B456" s="24"/>
      <c r="C456" s="39"/>
      <c r="D456" s="39"/>
      <c r="E456" s="39"/>
      <c r="F456" s="39"/>
      <c r="G456" s="40"/>
      <c r="H456" s="34"/>
    </row>
    <row r="457">
      <c r="B457" s="24"/>
      <c r="C457" s="39"/>
      <c r="D457" s="39"/>
      <c r="E457" s="39"/>
      <c r="F457" s="39"/>
      <c r="G457" s="40"/>
      <c r="H457" s="34"/>
    </row>
    <row r="458">
      <c r="B458" s="24"/>
      <c r="C458" s="39"/>
      <c r="D458" s="39"/>
      <c r="E458" s="39"/>
      <c r="F458" s="39"/>
      <c r="G458" s="40"/>
      <c r="H458" s="34"/>
    </row>
    <row r="459">
      <c r="B459" s="24"/>
      <c r="C459" s="39"/>
      <c r="D459" s="39"/>
      <c r="E459" s="39"/>
      <c r="F459" s="39"/>
      <c r="G459" s="40"/>
      <c r="H459" s="34"/>
    </row>
    <row r="460">
      <c r="B460" s="24"/>
      <c r="C460" s="39"/>
      <c r="D460" s="39"/>
      <c r="E460" s="39"/>
      <c r="F460" s="39"/>
      <c r="G460" s="40"/>
      <c r="H460" s="34"/>
    </row>
    <row r="461">
      <c r="B461" s="24"/>
      <c r="C461" s="39"/>
      <c r="D461" s="39"/>
      <c r="E461" s="39"/>
      <c r="F461" s="39"/>
      <c r="G461" s="40"/>
      <c r="H461" s="34"/>
    </row>
    <row r="462">
      <c r="B462" s="24"/>
      <c r="C462" s="39"/>
      <c r="D462" s="39"/>
      <c r="E462" s="39"/>
      <c r="F462" s="39"/>
      <c r="G462" s="40"/>
      <c r="H462" s="34"/>
    </row>
    <row r="463">
      <c r="B463" s="24"/>
      <c r="C463" s="39"/>
      <c r="D463" s="39"/>
      <c r="E463" s="39"/>
      <c r="F463" s="39"/>
      <c r="G463" s="40"/>
      <c r="H463" s="34"/>
    </row>
    <row r="464">
      <c r="B464" s="24"/>
      <c r="C464" s="39"/>
      <c r="D464" s="39"/>
      <c r="E464" s="39"/>
      <c r="F464" s="39"/>
      <c r="G464" s="40"/>
      <c r="H464" s="34"/>
    </row>
    <row r="465">
      <c r="B465" s="24"/>
      <c r="C465" s="39"/>
      <c r="D465" s="39"/>
      <c r="E465" s="39"/>
      <c r="F465" s="39"/>
      <c r="G465" s="40"/>
      <c r="H465" s="34"/>
    </row>
    <row r="466">
      <c r="B466" s="24"/>
      <c r="C466" s="39"/>
      <c r="D466" s="39"/>
      <c r="E466" s="39"/>
      <c r="F466" s="39"/>
      <c r="G466" s="40"/>
      <c r="H466" s="34"/>
    </row>
    <row r="467">
      <c r="B467" s="24"/>
      <c r="C467" s="39"/>
      <c r="D467" s="39"/>
      <c r="E467" s="39"/>
      <c r="F467" s="39"/>
      <c r="G467" s="40"/>
      <c r="H467" s="34"/>
    </row>
    <row r="468">
      <c r="B468" s="24"/>
      <c r="C468" s="39"/>
      <c r="D468" s="39"/>
      <c r="E468" s="39"/>
      <c r="F468" s="39"/>
      <c r="G468" s="40"/>
      <c r="H468" s="34"/>
    </row>
    <row r="469">
      <c r="B469" s="24"/>
      <c r="C469" s="39"/>
      <c r="D469" s="39"/>
      <c r="E469" s="39"/>
      <c r="F469" s="39"/>
      <c r="G469" s="40"/>
      <c r="H469" s="34"/>
    </row>
    <row r="470">
      <c r="B470" s="24"/>
      <c r="C470" s="39"/>
      <c r="D470" s="39"/>
      <c r="E470" s="39"/>
      <c r="F470" s="39"/>
      <c r="G470" s="40"/>
      <c r="H470" s="34"/>
    </row>
    <row r="471">
      <c r="B471" s="24"/>
      <c r="C471" s="39"/>
      <c r="D471" s="39"/>
      <c r="E471" s="39"/>
      <c r="F471" s="39"/>
      <c r="G471" s="40"/>
      <c r="H471" s="34"/>
    </row>
    <row r="472">
      <c r="B472" s="24"/>
      <c r="C472" s="39"/>
      <c r="D472" s="39"/>
      <c r="E472" s="39"/>
      <c r="F472" s="39"/>
      <c r="G472" s="40"/>
      <c r="H472" s="34"/>
    </row>
    <row r="473">
      <c r="B473" s="24"/>
      <c r="C473" s="39"/>
      <c r="D473" s="39"/>
      <c r="E473" s="39"/>
      <c r="F473" s="39"/>
      <c r="G473" s="40"/>
      <c r="H473" s="34"/>
    </row>
    <row r="474">
      <c r="B474" s="24"/>
      <c r="C474" s="39"/>
      <c r="D474" s="39"/>
      <c r="E474" s="39"/>
      <c r="F474" s="39"/>
      <c r="G474" s="40"/>
      <c r="H474" s="34"/>
    </row>
    <row r="475">
      <c r="B475" s="24"/>
      <c r="C475" s="39"/>
      <c r="D475" s="39"/>
      <c r="E475" s="39"/>
      <c r="F475" s="39"/>
      <c r="G475" s="40"/>
      <c r="H475" s="34"/>
    </row>
    <row r="476">
      <c r="B476" s="24"/>
      <c r="C476" s="39"/>
      <c r="D476" s="39"/>
      <c r="E476" s="39"/>
      <c r="F476" s="39"/>
      <c r="G476" s="40"/>
      <c r="H476" s="34"/>
    </row>
    <row r="477">
      <c r="B477" s="24"/>
      <c r="C477" s="39"/>
      <c r="D477" s="39"/>
      <c r="E477" s="39"/>
      <c r="F477" s="39"/>
      <c r="G477" s="40"/>
      <c r="H477" s="34"/>
    </row>
    <row r="478">
      <c r="B478" s="24"/>
      <c r="C478" s="39"/>
      <c r="D478" s="39"/>
      <c r="E478" s="39"/>
      <c r="F478" s="39"/>
      <c r="G478" s="40"/>
      <c r="H478" s="34"/>
    </row>
    <row r="479">
      <c r="B479" s="24"/>
      <c r="C479" s="39"/>
      <c r="D479" s="39"/>
      <c r="E479" s="39"/>
      <c r="F479" s="39"/>
      <c r="G479" s="40"/>
      <c r="H479" s="34"/>
    </row>
    <row r="480">
      <c r="B480" s="24"/>
      <c r="C480" s="39"/>
      <c r="D480" s="39"/>
      <c r="E480" s="39"/>
      <c r="F480" s="39"/>
      <c r="G480" s="40"/>
      <c r="H480" s="34"/>
    </row>
    <row r="481">
      <c r="B481" s="24"/>
      <c r="C481" s="39"/>
      <c r="D481" s="39"/>
      <c r="E481" s="39"/>
      <c r="F481" s="39"/>
      <c r="G481" s="40"/>
      <c r="H481" s="34"/>
    </row>
    <row r="482">
      <c r="B482" s="24"/>
      <c r="C482" s="39"/>
      <c r="D482" s="39"/>
      <c r="E482" s="39"/>
      <c r="F482" s="39"/>
      <c r="G482" s="40"/>
      <c r="H482" s="34"/>
    </row>
    <row r="483">
      <c r="B483" s="24"/>
      <c r="C483" s="39"/>
      <c r="D483" s="39"/>
      <c r="E483" s="39"/>
      <c r="F483" s="39"/>
      <c r="G483" s="40"/>
      <c r="H483" s="34"/>
    </row>
    <row r="484">
      <c r="B484" s="24"/>
      <c r="C484" s="39"/>
      <c r="D484" s="39"/>
      <c r="E484" s="39"/>
      <c r="F484" s="39"/>
      <c r="G484" s="40"/>
      <c r="H484" s="34"/>
    </row>
    <row r="485">
      <c r="B485" s="24"/>
      <c r="C485" s="39"/>
      <c r="D485" s="39"/>
      <c r="E485" s="39"/>
      <c r="F485" s="39"/>
      <c r="G485" s="40"/>
      <c r="H485" s="34"/>
    </row>
    <row r="486">
      <c r="B486" s="24"/>
      <c r="C486" s="39"/>
      <c r="D486" s="39"/>
      <c r="E486" s="39"/>
      <c r="F486" s="39"/>
      <c r="G486" s="40"/>
      <c r="H486" s="34"/>
    </row>
    <row r="487">
      <c r="B487" s="24"/>
      <c r="C487" s="39"/>
      <c r="D487" s="39"/>
      <c r="E487" s="39"/>
      <c r="F487" s="39"/>
      <c r="G487" s="40"/>
      <c r="H487" s="34"/>
    </row>
    <row r="488">
      <c r="B488" s="24"/>
      <c r="C488" s="39"/>
      <c r="D488" s="39"/>
      <c r="E488" s="39"/>
      <c r="F488" s="39"/>
      <c r="G488" s="40"/>
      <c r="H488" s="34"/>
    </row>
    <row r="489">
      <c r="B489" s="24"/>
      <c r="C489" s="39"/>
      <c r="D489" s="39"/>
      <c r="E489" s="39"/>
      <c r="F489" s="39"/>
      <c r="G489" s="40"/>
      <c r="H489" s="34"/>
    </row>
    <row r="490">
      <c r="B490" s="24"/>
      <c r="C490" s="39"/>
      <c r="D490" s="39"/>
      <c r="E490" s="39"/>
      <c r="F490" s="39"/>
      <c r="G490" s="40"/>
      <c r="H490" s="34"/>
    </row>
    <row r="491">
      <c r="B491" s="24"/>
      <c r="C491" s="39"/>
      <c r="D491" s="39"/>
      <c r="E491" s="39"/>
      <c r="F491" s="39"/>
      <c r="G491" s="40"/>
      <c r="H491" s="34"/>
    </row>
    <row r="492">
      <c r="B492" s="24"/>
      <c r="C492" s="39"/>
      <c r="D492" s="39"/>
      <c r="E492" s="39"/>
      <c r="F492" s="39"/>
      <c r="G492" s="40"/>
      <c r="H492" s="34"/>
    </row>
    <row r="493">
      <c r="B493" s="24"/>
      <c r="C493" s="39"/>
      <c r="D493" s="39"/>
      <c r="E493" s="39"/>
      <c r="F493" s="39"/>
      <c r="G493" s="40"/>
      <c r="H493" s="34"/>
    </row>
    <row r="494">
      <c r="B494" s="24"/>
      <c r="C494" s="39"/>
      <c r="D494" s="39"/>
      <c r="E494" s="39"/>
      <c r="F494" s="39"/>
      <c r="G494" s="40"/>
      <c r="H494" s="34"/>
    </row>
    <row r="495">
      <c r="B495" s="24"/>
      <c r="C495" s="39"/>
      <c r="D495" s="39"/>
      <c r="E495" s="39"/>
      <c r="F495" s="39"/>
      <c r="G495" s="40"/>
      <c r="H495" s="34"/>
    </row>
    <row r="496">
      <c r="B496" s="24"/>
      <c r="C496" s="39"/>
      <c r="D496" s="39"/>
      <c r="E496" s="39"/>
      <c r="F496" s="39"/>
      <c r="G496" s="40"/>
      <c r="H496" s="34"/>
    </row>
    <row r="497">
      <c r="B497" s="24"/>
      <c r="C497" s="39"/>
      <c r="D497" s="39"/>
      <c r="E497" s="39"/>
      <c r="F497" s="39"/>
      <c r="G497" s="40"/>
      <c r="H497" s="34"/>
    </row>
    <row r="498">
      <c r="B498" s="24"/>
      <c r="C498" s="39"/>
      <c r="D498" s="39"/>
      <c r="E498" s="39"/>
      <c r="F498" s="39"/>
      <c r="G498" s="40"/>
      <c r="H498" s="34"/>
    </row>
    <row r="499">
      <c r="B499" s="24"/>
      <c r="C499" s="39"/>
      <c r="D499" s="39"/>
      <c r="E499" s="39"/>
      <c r="F499" s="39"/>
      <c r="G499" s="40"/>
      <c r="H499" s="34"/>
    </row>
    <row r="500">
      <c r="B500" s="24"/>
      <c r="C500" s="39"/>
      <c r="D500" s="39"/>
      <c r="E500" s="39"/>
      <c r="F500" s="39"/>
      <c r="G500" s="40"/>
      <c r="H500" s="34"/>
    </row>
    <row r="501">
      <c r="B501" s="24"/>
      <c r="C501" s="39"/>
      <c r="D501" s="39"/>
      <c r="E501" s="39"/>
      <c r="F501" s="39"/>
      <c r="G501" s="40"/>
      <c r="H501" s="34"/>
    </row>
    <row r="502">
      <c r="B502" s="24"/>
      <c r="C502" s="39"/>
      <c r="D502" s="39"/>
      <c r="E502" s="39"/>
      <c r="F502" s="39"/>
      <c r="G502" s="40"/>
      <c r="H502" s="34"/>
    </row>
    <row r="503">
      <c r="B503" s="24"/>
      <c r="C503" s="39"/>
      <c r="D503" s="39"/>
      <c r="E503" s="39"/>
      <c r="F503" s="39"/>
      <c r="G503" s="40"/>
      <c r="H503" s="34"/>
    </row>
    <row r="504">
      <c r="B504" s="24"/>
      <c r="C504" s="39"/>
      <c r="D504" s="39"/>
      <c r="E504" s="39"/>
      <c r="F504" s="39"/>
      <c r="G504" s="40"/>
      <c r="H504" s="34"/>
    </row>
    <row r="505">
      <c r="B505" s="24"/>
      <c r="C505" s="39"/>
      <c r="D505" s="39"/>
      <c r="E505" s="39"/>
      <c r="F505" s="39"/>
      <c r="G505" s="40"/>
      <c r="H505" s="34"/>
    </row>
    <row r="506">
      <c r="B506" s="24"/>
      <c r="C506" s="39"/>
      <c r="D506" s="39"/>
      <c r="E506" s="39"/>
      <c r="F506" s="39"/>
      <c r="G506" s="40"/>
      <c r="H506" s="34"/>
    </row>
    <row r="507">
      <c r="B507" s="24"/>
      <c r="C507" s="39"/>
      <c r="D507" s="39"/>
      <c r="E507" s="39"/>
      <c r="F507" s="39"/>
      <c r="G507" s="40"/>
      <c r="H507" s="34"/>
    </row>
    <row r="508">
      <c r="B508" s="24"/>
      <c r="C508" s="39"/>
      <c r="D508" s="39"/>
      <c r="E508" s="39"/>
      <c r="F508" s="39"/>
      <c r="G508" s="40"/>
      <c r="H508" s="34"/>
    </row>
    <row r="509">
      <c r="B509" s="24"/>
      <c r="C509" s="39"/>
      <c r="D509" s="39"/>
      <c r="E509" s="39"/>
      <c r="F509" s="39"/>
      <c r="G509" s="40"/>
      <c r="H509" s="34"/>
    </row>
    <row r="510">
      <c r="B510" s="24"/>
      <c r="C510" s="39"/>
      <c r="D510" s="39"/>
      <c r="E510" s="39"/>
      <c r="F510" s="39"/>
      <c r="G510" s="40"/>
      <c r="H510" s="34"/>
    </row>
    <row r="511">
      <c r="B511" s="24"/>
      <c r="C511" s="39"/>
      <c r="D511" s="39"/>
      <c r="E511" s="39"/>
      <c r="F511" s="39"/>
      <c r="G511" s="40"/>
      <c r="H511" s="34"/>
    </row>
    <row r="512">
      <c r="B512" s="24"/>
      <c r="C512" s="39"/>
      <c r="D512" s="39"/>
      <c r="E512" s="39"/>
      <c r="F512" s="39"/>
      <c r="G512" s="40"/>
      <c r="H512" s="34"/>
    </row>
    <row r="513">
      <c r="B513" s="24"/>
      <c r="C513" s="39"/>
      <c r="D513" s="39"/>
      <c r="E513" s="39"/>
      <c r="F513" s="39"/>
      <c r="G513" s="40"/>
      <c r="H513" s="34"/>
    </row>
    <row r="514">
      <c r="B514" s="24"/>
      <c r="C514" s="39"/>
      <c r="D514" s="39"/>
      <c r="E514" s="39"/>
      <c r="F514" s="39"/>
      <c r="G514" s="40"/>
      <c r="H514" s="34"/>
    </row>
    <row r="515">
      <c r="B515" s="24"/>
      <c r="C515" s="39"/>
      <c r="D515" s="39"/>
      <c r="E515" s="39"/>
      <c r="F515" s="39"/>
      <c r="G515" s="40"/>
      <c r="H515" s="34"/>
    </row>
    <row r="516">
      <c r="B516" s="24"/>
      <c r="C516" s="39"/>
      <c r="D516" s="39"/>
      <c r="E516" s="39"/>
      <c r="F516" s="39"/>
      <c r="G516" s="40"/>
      <c r="H516" s="34"/>
    </row>
    <row r="517">
      <c r="B517" s="24"/>
      <c r="C517" s="39"/>
      <c r="D517" s="39"/>
      <c r="E517" s="39"/>
      <c r="F517" s="39"/>
      <c r="G517" s="40"/>
      <c r="H517" s="34"/>
    </row>
    <row r="518">
      <c r="B518" s="24"/>
      <c r="C518" s="39"/>
      <c r="D518" s="39"/>
      <c r="E518" s="39"/>
      <c r="F518" s="39"/>
      <c r="G518" s="40"/>
      <c r="H518" s="34"/>
    </row>
    <row r="519">
      <c r="B519" s="24"/>
      <c r="C519" s="39"/>
      <c r="D519" s="39"/>
      <c r="E519" s="39"/>
      <c r="F519" s="39"/>
      <c r="G519" s="40"/>
      <c r="H519" s="34"/>
    </row>
    <row r="520">
      <c r="B520" s="24"/>
      <c r="C520" s="39"/>
      <c r="D520" s="39"/>
      <c r="E520" s="39"/>
      <c r="F520" s="39"/>
      <c r="G520" s="40"/>
      <c r="H520" s="34"/>
    </row>
    <row r="521">
      <c r="B521" s="24"/>
      <c r="C521" s="39"/>
      <c r="D521" s="39"/>
      <c r="E521" s="39"/>
      <c r="F521" s="39"/>
      <c r="G521" s="40"/>
      <c r="H521" s="34"/>
    </row>
    <row r="522">
      <c r="B522" s="24"/>
      <c r="C522" s="39"/>
      <c r="D522" s="39"/>
      <c r="E522" s="39"/>
      <c r="F522" s="39"/>
      <c r="G522" s="40"/>
      <c r="H522" s="34"/>
    </row>
    <row r="523">
      <c r="B523" s="24"/>
      <c r="C523" s="39"/>
      <c r="D523" s="39"/>
      <c r="E523" s="39"/>
      <c r="F523" s="39"/>
      <c r="G523" s="40"/>
      <c r="H523" s="34"/>
    </row>
    <row r="524">
      <c r="B524" s="24"/>
      <c r="C524" s="39"/>
      <c r="D524" s="39"/>
      <c r="E524" s="39"/>
      <c r="F524" s="39"/>
      <c r="G524" s="40"/>
      <c r="H524" s="34"/>
    </row>
    <row r="525">
      <c r="B525" s="24"/>
      <c r="C525" s="39"/>
      <c r="D525" s="39"/>
      <c r="E525" s="39"/>
      <c r="F525" s="39"/>
      <c r="G525" s="40"/>
      <c r="H525" s="34"/>
    </row>
    <row r="526">
      <c r="B526" s="24"/>
      <c r="C526" s="39"/>
      <c r="D526" s="39"/>
      <c r="E526" s="39"/>
      <c r="F526" s="39"/>
      <c r="G526" s="40"/>
      <c r="H526" s="34"/>
    </row>
    <row r="527">
      <c r="B527" s="24"/>
      <c r="C527" s="39"/>
      <c r="D527" s="39"/>
      <c r="E527" s="39"/>
      <c r="F527" s="39"/>
      <c r="G527" s="40"/>
      <c r="H527" s="34"/>
    </row>
    <row r="528">
      <c r="B528" s="24"/>
      <c r="C528" s="39"/>
      <c r="D528" s="39"/>
      <c r="E528" s="39"/>
      <c r="F528" s="39"/>
      <c r="G528" s="40"/>
      <c r="H528" s="34"/>
    </row>
    <row r="529">
      <c r="B529" s="24"/>
      <c r="C529" s="39"/>
      <c r="D529" s="39"/>
      <c r="E529" s="39"/>
      <c r="F529" s="39"/>
      <c r="G529" s="40"/>
      <c r="H529" s="34"/>
    </row>
    <row r="530">
      <c r="B530" s="24"/>
      <c r="C530" s="39"/>
      <c r="D530" s="39"/>
      <c r="E530" s="39"/>
      <c r="F530" s="39"/>
      <c r="G530" s="40"/>
      <c r="H530" s="34"/>
    </row>
    <row r="531">
      <c r="B531" s="24"/>
      <c r="C531" s="39"/>
      <c r="D531" s="39"/>
      <c r="E531" s="39"/>
      <c r="F531" s="39"/>
      <c r="G531" s="40"/>
      <c r="H531" s="34"/>
    </row>
    <row r="532">
      <c r="B532" s="24"/>
      <c r="C532" s="39"/>
      <c r="D532" s="39"/>
      <c r="E532" s="39"/>
      <c r="F532" s="39"/>
      <c r="G532" s="40"/>
      <c r="H532" s="34"/>
    </row>
    <row r="533">
      <c r="B533" s="24"/>
      <c r="C533" s="39"/>
      <c r="D533" s="39"/>
      <c r="E533" s="39"/>
      <c r="F533" s="39"/>
      <c r="G533" s="40"/>
      <c r="H533" s="34"/>
    </row>
    <row r="534">
      <c r="B534" s="24"/>
      <c r="C534" s="39"/>
      <c r="D534" s="39"/>
      <c r="E534" s="39"/>
      <c r="F534" s="39"/>
      <c r="G534" s="40"/>
      <c r="H534" s="34"/>
    </row>
    <row r="535">
      <c r="B535" s="24"/>
      <c r="C535" s="39"/>
      <c r="D535" s="39"/>
      <c r="E535" s="39"/>
      <c r="F535" s="39"/>
      <c r="G535" s="40"/>
      <c r="H535" s="34"/>
    </row>
    <row r="536">
      <c r="B536" s="24"/>
      <c r="C536" s="39"/>
      <c r="D536" s="39"/>
      <c r="E536" s="39"/>
      <c r="F536" s="39"/>
      <c r="G536" s="40"/>
      <c r="H536" s="34"/>
    </row>
    <row r="537">
      <c r="B537" s="24"/>
      <c r="C537" s="39"/>
      <c r="D537" s="39"/>
      <c r="E537" s="39"/>
      <c r="F537" s="39"/>
      <c r="G537" s="40"/>
      <c r="H537" s="34"/>
    </row>
    <row r="538">
      <c r="B538" s="24"/>
      <c r="C538" s="39"/>
      <c r="D538" s="39"/>
      <c r="E538" s="39"/>
      <c r="F538" s="39"/>
      <c r="G538" s="40"/>
      <c r="H538" s="34"/>
    </row>
    <row r="539">
      <c r="B539" s="24"/>
      <c r="C539" s="39"/>
      <c r="D539" s="39"/>
      <c r="E539" s="39"/>
      <c r="F539" s="39"/>
      <c r="G539" s="40"/>
      <c r="H539" s="34"/>
    </row>
    <row r="540">
      <c r="B540" s="24"/>
      <c r="C540" s="39"/>
      <c r="D540" s="39"/>
      <c r="E540" s="39"/>
      <c r="F540" s="39"/>
      <c r="G540" s="40"/>
      <c r="H540" s="34"/>
    </row>
    <row r="541">
      <c r="B541" s="24"/>
      <c r="C541" s="39"/>
      <c r="D541" s="39"/>
      <c r="E541" s="39"/>
      <c r="F541" s="39"/>
      <c r="G541" s="40"/>
      <c r="H541" s="34"/>
    </row>
    <row r="542">
      <c r="B542" s="24"/>
      <c r="C542" s="39"/>
      <c r="D542" s="39"/>
      <c r="E542" s="39"/>
      <c r="F542" s="39"/>
      <c r="G542" s="40"/>
      <c r="H542" s="34"/>
    </row>
    <row r="543">
      <c r="B543" s="24"/>
      <c r="C543" s="39"/>
      <c r="D543" s="39"/>
      <c r="E543" s="39"/>
      <c r="F543" s="39"/>
      <c r="G543" s="40"/>
      <c r="H543" s="34"/>
    </row>
    <row r="544">
      <c r="B544" s="24"/>
      <c r="C544" s="39"/>
      <c r="D544" s="39"/>
      <c r="E544" s="39"/>
      <c r="F544" s="39"/>
      <c r="G544" s="40"/>
      <c r="H544" s="34"/>
    </row>
    <row r="545">
      <c r="B545" s="24"/>
      <c r="C545" s="39"/>
      <c r="D545" s="39"/>
      <c r="E545" s="39"/>
      <c r="F545" s="39"/>
      <c r="G545" s="40"/>
      <c r="H545" s="34"/>
    </row>
    <row r="546">
      <c r="B546" s="24"/>
      <c r="C546" s="39"/>
      <c r="D546" s="39"/>
      <c r="E546" s="39"/>
      <c r="F546" s="39"/>
      <c r="G546" s="40"/>
      <c r="H546" s="34"/>
    </row>
    <row r="547">
      <c r="B547" s="24"/>
      <c r="C547" s="39"/>
      <c r="D547" s="39"/>
      <c r="E547" s="39"/>
      <c r="F547" s="39"/>
      <c r="G547" s="40"/>
      <c r="H547" s="34"/>
    </row>
    <row r="548">
      <c r="B548" s="24"/>
      <c r="C548" s="39"/>
      <c r="D548" s="39"/>
      <c r="E548" s="39"/>
      <c r="F548" s="39"/>
      <c r="G548" s="40"/>
      <c r="H548" s="34"/>
    </row>
    <row r="549">
      <c r="B549" s="24"/>
      <c r="C549" s="39"/>
      <c r="D549" s="39"/>
      <c r="E549" s="39"/>
      <c r="F549" s="39"/>
      <c r="G549" s="40"/>
      <c r="H549" s="34"/>
    </row>
    <row r="550">
      <c r="B550" s="24"/>
      <c r="C550" s="39"/>
      <c r="D550" s="39"/>
      <c r="E550" s="39"/>
      <c r="F550" s="39"/>
      <c r="G550" s="40"/>
      <c r="H550" s="34"/>
    </row>
    <row r="551">
      <c r="B551" s="24"/>
      <c r="C551" s="39"/>
      <c r="D551" s="39"/>
      <c r="E551" s="39"/>
      <c r="F551" s="39"/>
      <c r="G551" s="40"/>
      <c r="H551" s="34"/>
    </row>
    <row r="552">
      <c r="B552" s="24"/>
      <c r="C552" s="39"/>
      <c r="D552" s="39"/>
      <c r="E552" s="39"/>
      <c r="F552" s="39"/>
      <c r="G552" s="40"/>
      <c r="H552" s="34"/>
    </row>
    <row r="553">
      <c r="B553" s="24"/>
      <c r="C553" s="39"/>
      <c r="D553" s="39"/>
      <c r="E553" s="39"/>
      <c r="F553" s="39"/>
      <c r="G553" s="40"/>
      <c r="H553" s="34"/>
    </row>
    <row r="554">
      <c r="B554" s="24"/>
      <c r="C554" s="39"/>
      <c r="D554" s="39"/>
      <c r="E554" s="39"/>
      <c r="F554" s="39"/>
      <c r="G554" s="40"/>
      <c r="H554" s="34"/>
    </row>
    <row r="555">
      <c r="B555" s="24"/>
      <c r="C555" s="39"/>
      <c r="D555" s="39"/>
      <c r="E555" s="39"/>
      <c r="F555" s="39"/>
      <c r="G555" s="40"/>
      <c r="H555" s="34"/>
    </row>
    <row r="556">
      <c r="B556" s="24"/>
      <c r="C556" s="39"/>
      <c r="D556" s="39"/>
      <c r="E556" s="39"/>
      <c r="F556" s="39"/>
      <c r="G556" s="40"/>
      <c r="H556" s="34"/>
    </row>
    <row r="557">
      <c r="B557" s="24"/>
      <c r="C557" s="39"/>
      <c r="D557" s="39"/>
      <c r="E557" s="39"/>
      <c r="F557" s="39"/>
      <c r="G557" s="40"/>
      <c r="H557" s="34"/>
    </row>
    <row r="558">
      <c r="B558" s="24"/>
      <c r="C558" s="39"/>
      <c r="D558" s="39"/>
      <c r="E558" s="39"/>
      <c r="F558" s="39"/>
      <c r="G558" s="40"/>
      <c r="H558" s="34"/>
    </row>
    <row r="559">
      <c r="B559" s="24"/>
      <c r="C559" s="39"/>
      <c r="D559" s="39"/>
      <c r="E559" s="39"/>
      <c r="F559" s="39"/>
      <c r="G559" s="40"/>
      <c r="H559" s="34"/>
    </row>
    <row r="560">
      <c r="B560" s="24"/>
      <c r="C560" s="39"/>
      <c r="D560" s="39"/>
      <c r="E560" s="39"/>
      <c r="F560" s="39"/>
      <c r="G560" s="40"/>
      <c r="H560" s="34"/>
    </row>
    <row r="561">
      <c r="B561" s="24"/>
      <c r="C561" s="39"/>
      <c r="D561" s="39"/>
      <c r="E561" s="39"/>
      <c r="F561" s="39"/>
      <c r="G561" s="40"/>
      <c r="H561" s="34"/>
    </row>
    <row r="562">
      <c r="B562" s="24"/>
      <c r="C562" s="39"/>
      <c r="D562" s="39"/>
      <c r="E562" s="39"/>
      <c r="F562" s="39"/>
      <c r="G562" s="40"/>
      <c r="H562" s="34"/>
    </row>
    <row r="563">
      <c r="B563" s="24"/>
      <c r="C563" s="39"/>
      <c r="D563" s="39"/>
      <c r="E563" s="39"/>
      <c r="F563" s="39"/>
      <c r="G563" s="40"/>
      <c r="H563" s="34"/>
    </row>
    <row r="564">
      <c r="B564" s="24"/>
      <c r="C564" s="39"/>
      <c r="D564" s="39"/>
      <c r="E564" s="39"/>
      <c r="F564" s="39"/>
      <c r="G564" s="40"/>
      <c r="H564" s="34"/>
    </row>
    <row r="565">
      <c r="B565" s="24"/>
      <c r="C565" s="39"/>
      <c r="D565" s="39"/>
      <c r="E565" s="39"/>
      <c r="F565" s="39"/>
      <c r="G565" s="40"/>
      <c r="H565" s="34"/>
    </row>
    <row r="566">
      <c r="B566" s="24"/>
      <c r="C566" s="39"/>
      <c r="D566" s="39"/>
      <c r="E566" s="39"/>
      <c r="F566" s="39"/>
      <c r="G566" s="40"/>
      <c r="H566" s="34"/>
    </row>
    <row r="567">
      <c r="B567" s="24"/>
      <c r="C567" s="39"/>
      <c r="D567" s="39"/>
      <c r="E567" s="39"/>
      <c r="F567" s="39"/>
      <c r="G567" s="40"/>
      <c r="H567" s="34"/>
    </row>
    <row r="568">
      <c r="B568" s="24"/>
      <c r="C568" s="39"/>
      <c r="D568" s="39"/>
      <c r="E568" s="39"/>
      <c r="F568" s="39"/>
      <c r="G568" s="40"/>
      <c r="H568" s="34"/>
    </row>
    <row r="569">
      <c r="B569" s="24"/>
      <c r="C569" s="39"/>
      <c r="D569" s="39"/>
      <c r="E569" s="39"/>
      <c r="F569" s="39"/>
      <c r="G569" s="40"/>
      <c r="H569" s="34"/>
    </row>
    <row r="570">
      <c r="B570" s="24"/>
      <c r="C570" s="39"/>
      <c r="D570" s="39"/>
      <c r="E570" s="39"/>
      <c r="F570" s="39"/>
      <c r="G570" s="40"/>
      <c r="H570" s="34"/>
    </row>
    <row r="571">
      <c r="B571" s="24"/>
      <c r="C571" s="39"/>
      <c r="D571" s="39"/>
      <c r="E571" s="39"/>
      <c r="F571" s="39"/>
      <c r="G571" s="40"/>
      <c r="H571" s="34"/>
    </row>
    <row r="572">
      <c r="B572" s="24"/>
      <c r="C572" s="39"/>
      <c r="D572" s="39"/>
      <c r="E572" s="39"/>
      <c r="F572" s="39"/>
      <c r="G572" s="40"/>
      <c r="H572" s="34"/>
    </row>
    <row r="573">
      <c r="B573" s="24"/>
      <c r="C573" s="39"/>
      <c r="D573" s="39"/>
      <c r="E573" s="39"/>
      <c r="F573" s="39"/>
      <c r="G573" s="40"/>
      <c r="H573" s="34"/>
    </row>
    <row r="574">
      <c r="B574" s="24"/>
      <c r="C574" s="39"/>
      <c r="D574" s="39"/>
      <c r="E574" s="39"/>
      <c r="F574" s="39"/>
      <c r="G574" s="40"/>
      <c r="H574" s="34"/>
    </row>
    <row r="575">
      <c r="B575" s="24"/>
      <c r="C575" s="39"/>
      <c r="D575" s="39"/>
      <c r="E575" s="39"/>
      <c r="F575" s="39"/>
      <c r="G575" s="40"/>
      <c r="H575" s="34"/>
    </row>
    <row r="576">
      <c r="B576" s="24"/>
      <c r="C576" s="39"/>
      <c r="D576" s="39"/>
      <c r="E576" s="39"/>
      <c r="F576" s="39"/>
      <c r="G576" s="40"/>
      <c r="H576" s="34"/>
    </row>
    <row r="577">
      <c r="B577" s="24"/>
      <c r="C577" s="39"/>
      <c r="D577" s="39"/>
      <c r="E577" s="39"/>
      <c r="F577" s="39"/>
      <c r="G577" s="40"/>
      <c r="H577" s="34"/>
    </row>
    <row r="578">
      <c r="B578" s="24"/>
      <c r="C578" s="39"/>
      <c r="D578" s="39"/>
      <c r="E578" s="39"/>
      <c r="F578" s="39"/>
      <c r="G578" s="40"/>
      <c r="H578" s="34"/>
    </row>
    <row r="579">
      <c r="B579" s="24"/>
      <c r="C579" s="39"/>
      <c r="D579" s="39"/>
      <c r="E579" s="39"/>
      <c r="F579" s="39"/>
      <c r="G579" s="40"/>
      <c r="H579" s="34"/>
    </row>
    <row r="580">
      <c r="B580" s="24"/>
      <c r="C580" s="39"/>
      <c r="D580" s="39"/>
      <c r="E580" s="39"/>
      <c r="F580" s="39"/>
      <c r="G580" s="40"/>
      <c r="H580" s="34"/>
    </row>
    <row r="581">
      <c r="B581" s="24"/>
      <c r="C581" s="39"/>
      <c r="D581" s="39"/>
      <c r="E581" s="39"/>
      <c r="F581" s="39"/>
      <c r="G581" s="40"/>
      <c r="H581" s="34"/>
    </row>
    <row r="582">
      <c r="B582" s="24"/>
      <c r="C582" s="39"/>
      <c r="D582" s="39"/>
      <c r="E582" s="39"/>
      <c r="F582" s="39"/>
      <c r="G582" s="40"/>
      <c r="H582" s="34"/>
    </row>
    <row r="583">
      <c r="B583" s="24"/>
      <c r="C583" s="39"/>
      <c r="D583" s="39"/>
      <c r="E583" s="39"/>
      <c r="F583" s="39"/>
      <c r="G583" s="40"/>
      <c r="H583" s="34"/>
    </row>
    <row r="584">
      <c r="B584" s="24"/>
      <c r="C584" s="39"/>
      <c r="D584" s="39"/>
      <c r="E584" s="39"/>
      <c r="F584" s="39"/>
      <c r="G584" s="40"/>
      <c r="H584" s="34"/>
    </row>
    <row r="585">
      <c r="B585" s="24"/>
      <c r="C585" s="39"/>
      <c r="D585" s="39"/>
      <c r="E585" s="39"/>
      <c r="F585" s="39"/>
      <c r="G585" s="40"/>
      <c r="H585" s="34"/>
    </row>
    <row r="586">
      <c r="B586" s="24"/>
      <c r="C586" s="39"/>
      <c r="D586" s="39"/>
      <c r="E586" s="39"/>
      <c r="F586" s="39"/>
      <c r="G586" s="40"/>
      <c r="H586" s="34"/>
    </row>
    <row r="587">
      <c r="B587" s="24"/>
      <c r="C587" s="39"/>
      <c r="D587" s="39"/>
      <c r="E587" s="39"/>
      <c r="F587" s="39"/>
      <c r="G587" s="40"/>
      <c r="H587" s="34"/>
    </row>
    <row r="588">
      <c r="B588" s="24"/>
      <c r="C588" s="39"/>
      <c r="D588" s="39"/>
      <c r="E588" s="39"/>
      <c r="F588" s="39"/>
      <c r="G588" s="40"/>
      <c r="H588" s="34"/>
    </row>
    <row r="589">
      <c r="B589" s="24"/>
      <c r="C589" s="39"/>
      <c r="D589" s="39"/>
      <c r="E589" s="39"/>
      <c r="F589" s="39"/>
      <c r="G589" s="40"/>
      <c r="H589" s="34"/>
    </row>
    <row r="590">
      <c r="B590" s="24"/>
      <c r="C590" s="39"/>
      <c r="D590" s="39"/>
      <c r="E590" s="39"/>
      <c r="F590" s="39"/>
      <c r="G590" s="40"/>
      <c r="H590" s="34"/>
    </row>
    <row r="591">
      <c r="B591" s="24"/>
      <c r="C591" s="39"/>
      <c r="D591" s="39"/>
      <c r="E591" s="39"/>
      <c r="F591" s="39"/>
      <c r="G591" s="40"/>
      <c r="H591" s="34"/>
    </row>
    <row r="592">
      <c r="B592" s="24"/>
      <c r="C592" s="39"/>
      <c r="D592" s="39"/>
      <c r="E592" s="39"/>
      <c r="F592" s="39"/>
      <c r="G592" s="40"/>
      <c r="H592" s="34"/>
    </row>
    <row r="593">
      <c r="B593" s="24"/>
      <c r="C593" s="39"/>
      <c r="D593" s="39"/>
      <c r="E593" s="39"/>
      <c r="F593" s="39"/>
      <c r="G593" s="40"/>
      <c r="H593" s="34"/>
    </row>
    <row r="594">
      <c r="B594" s="24"/>
      <c r="C594" s="39"/>
      <c r="D594" s="39"/>
      <c r="E594" s="39"/>
      <c r="F594" s="39"/>
      <c r="G594" s="40"/>
      <c r="H594" s="34"/>
    </row>
    <row r="595">
      <c r="B595" s="24"/>
      <c r="C595" s="39"/>
      <c r="D595" s="39"/>
      <c r="E595" s="39"/>
      <c r="F595" s="39"/>
      <c r="G595" s="40"/>
      <c r="H595" s="34"/>
    </row>
    <row r="596">
      <c r="B596" s="24"/>
      <c r="C596" s="39"/>
      <c r="D596" s="39"/>
      <c r="E596" s="39"/>
      <c r="F596" s="39"/>
      <c r="G596" s="40"/>
      <c r="H596" s="34"/>
    </row>
    <row r="597">
      <c r="B597" s="24"/>
      <c r="C597" s="39"/>
      <c r="D597" s="39"/>
      <c r="E597" s="39"/>
      <c r="F597" s="39"/>
      <c r="G597" s="40"/>
      <c r="H597" s="34"/>
    </row>
    <row r="598">
      <c r="B598" s="24"/>
      <c r="C598" s="39"/>
      <c r="D598" s="39"/>
      <c r="E598" s="39"/>
      <c r="F598" s="39"/>
      <c r="G598" s="40"/>
      <c r="H598" s="34"/>
    </row>
    <row r="599">
      <c r="B599" s="24"/>
      <c r="C599" s="39"/>
      <c r="D599" s="39"/>
      <c r="E599" s="39"/>
      <c r="F599" s="39"/>
      <c r="G599" s="40"/>
      <c r="H599" s="34"/>
    </row>
    <row r="600">
      <c r="B600" s="24"/>
      <c r="C600" s="39"/>
      <c r="D600" s="39"/>
      <c r="E600" s="39"/>
      <c r="F600" s="39"/>
      <c r="G600" s="40"/>
      <c r="H600" s="34"/>
    </row>
    <row r="601">
      <c r="B601" s="24"/>
      <c r="C601" s="39"/>
      <c r="D601" s="39"/>
      <c r="E601" s="39"/>
      <c r="F601" s="39"/>
      <c r="G601" s="40"/>
      <c r="H601" s="34"/>
    </row>
    <row r="602">
      <c r="B602" s="24"/>
      <c r="C602" s="39"/>
      <c r="D602" s="39"/>
      <c r="E602" s="39"/>
      <c r="F602" s="39"/>
      <c r="G602" s="40"/>
      <c r="H602" s="34"/>
    </row>
    <row r="603">
      <c r="B603" s="24"/>
      <c r="C603" s="39"/>
      <c r="D603" s="39"/>
      <c r="E603" s="39"/>
      <c r="F603" s="39"/>
      <c r="G603" s="40"/>
      <c r="H603" s="34"/>
    </row>
    <row r="604">
      <c r="B604" s="24"/>
      <c r="C604" s="39"/>
      <c r="D604" s="39"/>
      <c r="E604" s="39"/>
      <c r="F604" s="39"/>
      <c r="G604" s="40"/>
      <c r="H604" s="34"/>
    </row>
    <row r="605">
      <c r="B605" s="24"/>
      <c r="C605" s="39"/>
      <c r="D605" s="39"/>
      <c r="E605" s="39"/>
      <c r="F605" s="39"/>
      <c r="G605" s="40"/>
      <c r="H605" s="34"/>
    </row>
    <row r="606">
      <c r="B606" s="24"/>
      <c r="C606" s="39"/>
      <c r="D606" s="39"/>
      <c r="E606" s="39"/>
      <c r="F606" s="39"/>
      <c r="G606" s="40"/>
      <c r="H606" s="34"/>
    </row>
    <row r="607">
      <c r="B607" s="24"/>
      <c r="C607" s="39"/>
      <c r="D607" s="39"/>
      <c r="E607" s="39"/>
      <c r="F607" s="39"/>
      <c r="G607" s="40"/>
      <c r="H607" s="34"/>
    </row>
    <row r="608">
      <c r="B608" s="24"/>
      <c r="C608" s="39"/>
      <c r="D608" s="39"/>
      <c r="E608" s="39"/>
      <c r="F608" s="39"/>
      <c r="G608" s="40"/>
      <c r="H608" s="34"/>
    </row>
    <row r="609">
      <c r="B609" s="24"/>
      <c r="C609" s="39"/>
      <c r="D609" s="39"/>
      <c r="E609" s="39"/>
      <c r="F609" s="39"/>
      <c r="G609" s="40"/>
      <c r="H609" s="34"/>
    </row>
    <row r="610">
      <c r="B610" s="24"/>
      <c r="C610" s="39"/>
      <c r="D610" s="39"/>
      <c r="E610" s="39"/>
      <c r="F610" s="39"/>
      <c r="G610" s="40"/>
      <c r="H610" s="34"/>
    </row>
    <row r="611">
      <c r="B611" s="24"/>
      <c r="C611" s="39"/>
      <c r="D611" s="39"/>
      <c r="E611" s="39"/>
      <c r="F611" s="39"/>
      <c r="G611" s="40"/>
      <c r="H611" s="34"/>
    </row>
    <row r="612">
      <c r="B612" s="24"/>
      <c r="C612" s="39"/>
      <c r="D612" s="39"/>
      <c r="E612" s="39"/>
      <c r="F612" s="39"/>
      <c r="G612" s="40"/>
      <c r="H612" s="34"/>
    </row>
    <row r="613">
      <c r="B613" s="24"/>
      <c r="C613" s="39"/>
      <c r="D613" s="39"/>
      <c r="E613" s="39"/>
      <c r="F613" s="39"/>
      <c r="G613" s="40"/>
      <c r="H613" s="34"/>
    </row>
    <row r="614">
      <c r="B614" s="24"/>
      <c r="C614" s="39"/>
      <c r="D614" s="39"/>
      <c r="E614" s="39"/>
      <c r="F614" s="39"/>
      <c r="G614" s="40"/>
      <c r="H614" s="34"/>
    </row>
    <row r="615">
      <c r="B615" s="24"/>
      <c r="C615" s="39"/>
      <c r="D615" s="39"/>
      <c r="E615" s="39"/>
      <c r="F615" s="39"/>
      <c r="G615" s="40"/>
      <c r="H615" s="34"/>
    </row>
    <row r="616">
      <c r="B616" s="24"/>
      <c r="C616" s="39"/>
      <c r="D616" s="39"/>
      <c r="E616" s="39"/>
      <c r="F616" s="39"/>
      <c r="G616" s="40"/>
      <c r="H616" s="34"/>
    </row>
    <row r="617">
      <c r="B617" s="24"/>
      <c r="C617" s="39"/>
      <c r="D617" s="39"/>
      <c r="E617" s="39"/>
      <c r="F617" s="39"/>
      <c r="G617" s="40"/>
      <c r="H617" s="34"/>
    </row>
    <row r="618">
      <c r="B618" s="24"/>
      <c r="C618" s="39"/>
      <c r="D618" s="39"/>
      <c r="E618" s="39"/>
      <c r="F618" s="39"/>
      <c r="G618" s="40"/>
      <c r="H618" s="34"/>
    </row>
    <row r="619">
      <c r="B619" s="24"/>
      <c r="C619" s="39"/>
      <c r="D619" s="39"/>
      <c r="E619" s="39"/>
      <c r="F619" s="39"/>
      <c r="G619" s="40"/>
      <c r="H619" s="34"/>
    </row>
    <row r="620">
      <c r="B620" s="24"/>
      <c r="C620" s="39"/>
      <c r="D620" s="39"/>
      <c r="E620" s="39"/>
      <c r="F620" s="39"/>
      <c r="G620" s="40"/>
      <c r="H620" s="34"/>
    </row>
    <row r="621">
      <c r="B621" s="24"/>
      <c r="C621" s="39"/>
      <c r="D621" s="39"/>
      <c r="E621" s="39"/>
      <c r="F621" s="39"/>
      <c r="G621" s="40"/>
      <c r="H621" s="34"/>
    </row>
    <row r="622">
      <c r="B622" s="24"/>
      <c r="C622" s="39"/>
      <c r="D622" s="39"/>
      <c r="E622" s="39"/>
      <c r="F622" s="39"/>
      <c r="G622" s="40"/>
      <c r="H622" s="34"/>
    </row>
    <row r="623">
      <c r="B623" s="24"/>
      <c r="C623" s="39"/>
      <c r="D623" s="39"/>
      <c r="E623" s="39"/>
      <c r="F623" s="39"/>
      <c r="G623" s="40"/>
      <c r="H623" s="34"/>
    </row>
    <row r="624">
      <c r="B624" s="24"/>
      <c r="C624" s="39"/>
      <c r="D624" s="39"/>
      <c r="E624" s="39"/>
      <c r="F624" s="39"/>
      <c r="G624" s="40"/>
      <c r="H624" s="34"/>
    </row>
    <row r="625">
      <c r="B625" s="24"/>
      <c r="C625" s="39"/>
      <c r="D625" s="39"/>
      <c r="E625" s="39"/>
      <c r="F625" s="39"/>
      <c r="G625" s="40"/>
      <c r="H625" s="34"/>
    </row>
    <row r="626">
      <c r="B626" s="24"/>
      <c r="C626" s="39"/>
      <c r="D626" s="39"/>
      <c r="E626" s="39"/>
      <c r="F626" s="39"/>
      <c r="G626" s="40"/>
      <c r="H626" s="34"/>
    </row>
    <row r="627">
      <c r="B627" s="24"/>
      <c r="C627" s="39"/>
      <c r="D627" s="39"/>
      <c r="E627" s="39"/>
      <c r="F627" s="39"/>
      <c r="G627" s="40"/>
      <c r="H627" s="34"/>
    </row>
    <row r="628">
      <c r="B628" s="24"/>
      <c r="C628" s="39"/>
      <c r="D628" s="39"/>
      <c r="E628" s="39"/>
      <c r="F628" s="39"/>
      <c r="G628" s="40"/>
      <c r="H628" s="34"/>
    </row>
    <row r="629">
      <c r="B629" s="24"/>
      <c r="C629" s="39"/>
      <c r="D629" s="39"/>
      <c r="E629" s="39"/>
      <c r="F629" s="39"/>
      <c r="G629" s="40"/>
      <c r="H629" s="34"/>
    </row>
    <row r="630">
      <c r="B630" s="24"/>
      <c r="C630" s="39"/>
      <c r="D630" s="39"/>
      <c r="E630" s="39"/>
      <c r="F630" s="39"/>
      <c r="G630" s="40"/>
      <c r="H630" s="34"/>
    </row>
    <row r="631">
      <c r="B631" s="24"/>
      <c r="C631" s="39"/>
      <c r="D631" s="39"/>
      <c r="E631" s="39"/>
      <c r="F631" s="39"/>
      <c r="G631" s="40"/>
      <c r="H631" s="34"/>
    </row>
    <row r="632">
      <c r="B632" s="24"/>
      <c r="C632" s="39"/>
      <c r="D632" s="39"/>
      <c r="E632" s="39"/>
      <c r="F632" s="39"/>
      <c r="G632" s="40"/>
      <c r="H632" s="34"/>
    </row>
    <row r="633">
      <c r="B633" s="24"/>
      <c r="C633" s="39"/>
      <c r="D633" s="39"/>
      <c r="E633" s="39"/>
      <c r="F633" s="39"/>
      <c r="G633" s="40"/>
      <c r="H633" s="34"/>
    </row>
    <row r="634">
      <c r="B634" s="24"/>
      <c r="C634" s="39"/>
      <c r="D634" s="39"/>
      <c r="E634" s="39"/>
      <c r="F634" s="39"/>
      <c r="G634" s="40"/>
      <c r="H634" s="34"/>
    </row>
    <row r="635">
      <c r="B635" s="24"/>
      <c r="C635" s="39"/>
      <c r="D635" s="39"/>
      <c r="E635" s="39"/>
      <c r="F635" s="39"/>
      <c r="G635" s="40"/>
      <c r="H635" s="34"/>
    </row>
    <row r="636">
      <c r="B636" s="24"/>
      <c r="C636" s="39"/>
      <c r="D636" s="39"/>
      <c r="E636" s="39"/>
      <c r="F636" s="39"/>
      <c r="G636" s="40"/>
      <c r="H636" s="34"/>
    </row>
    <row r="637">
      <c r="B637" s="24"/>
      <c r="C637" s="39"/>
      <c r="D637" s="39"/>
      <c r="E637" s="39"/>
      <c r="F637" s="39"/>
      <c r="G637" s="40"/>
      <c r="H637" s="34"/>
    </row>
    <row r="638">
      <c r="B638" s="24"/>
      <c r="C638" s="39"/>
      <c r="D638" s="39"/>
      <c r="E638" s="39"/>
      <c r="F638" s="39"/>
      <c r="G638" s="40"/>
      <c r="H638" s="34"/>
    </row>
    <row r="639">
      <c r="B639" s="24"/>
      <c r="C639" s="39"/>
      <c r="D639" s="39"/>
      <c r="E639" s="39"/>
      <c r="F639" s="39"/>
      <c r="G639" s="40"/>
      <c r="H639" s="34"/>
    </row>
    <row r="640">
      <c r="B640" s="24"/>
      <c r="C640" s="39"/>
      <c r="D640" s="39"/>
      <c r="E640" s="39"/>
      <c r="F640" s="39"/>
      <c r="G640" s="40"/>
      <c r="H640" s="34"/>
    </row>
    <row r="641">
      <c r="B641" s="24"/>
      <c r="C641" s="39"/>
      <c r="D641" s="39"/>
      <c r="E641" s="39"/>
      <c r="F641" s="39"/>
      <c r="G641" s="40"/>
      <c r="H641" s="34"/>
    </row>
    <row r="642">
      <c r="B642" s="24"/>
      <c r="C642" s="39"/>
      <c r="D642" s="39"/>
      <c r="E642" s="39"/>
      <c r="F642" s="39"/>
      <c r="G642" s="40"/>
      <c r="H642" s="34"/>
    </row>
    <row r="643">
      <c r="B643" s="24"/>
      <c r="C643" s="39"/>
      <c r="D643" s="39"/>
      <c r="E643" s="39"/>
      <c r="F643" s="39"/>
      <c r="G643" s="40"/>
      <c r="H643" s="34"/>
    </row>
    <row r="644">
      <c r="B644" s="24"/>
      <c r="C644" s="39"/>
      <c r="D644" s="39"/>
      <c r="E644" s="39"/>
      <c r="F644" s="39"/>
      <c r="G644" s="40"/>
      <c r="H644" s="34"/>
    </row>
    <row r="645">
      <c r="B645" s="24"/>
      <c r="C645" s="39"/>
      <c r="D645" s="39"/>
      <c r="E645" s="39"/>
      <c r="F645" s="39"/>
      <c r="G645" s="40"/>
      <c r="H645" s="34"/>
    </row>
    <row r="646">
      <c r="B646" s="24"/>
      <c r="C646" s="39"/>
      <c r="D646" s="39"/>
      <c r="E646" s="39"/>
      <c r="F646" s="39"/>
      <c r="G646" s="40"/>
      <c r="H646" s="34"/>
    </row>
    <row r="647">
      <c r="B647" s="24"/>
      <c r="C647" s="39"/>
      <c r="D647" s="39"/>
      <c r="E647" s="39"/>
      <c r="F647" s="39"/>
      <c r="G647" s="40"/>
      <c r="H647" s="34"/>
    </row>
    <row r="648">
      <c r="B648" s="24"/>
      <c r="C648" s="39"/>
      <c r="D648" s="39"/>
      <c r="E648" s="39"/>
      <c r="F648" s="39"/>
      <c r="G648" s="40"/>
      <c r="H648" s="34"/>
    </row>
    <row r="649">
      <c r="B649" s="24"/>
      <c r="C649" s="39"/>
      <c r="D649" s="39"/>
      <c r="E649" s="39"/>
      <c r="F649" s="39"/>
      <c r="G649" s="40"/>
      <c r="H649" s="34"/>
    </row>
    <row r="650">
      <c r="B650" s="24"/>
      <c r="C650" s="39"/>
      <c r="D650" s="39"/>
      <c r="E650" s="39"/>
      <c r="F650" s="39"/>
      <c r="G650" s="40"/>
      <c r="H650" s="34"/>
    </row>
    <row r="651">
      <c r="B651" s="24"/>
      <c r="C651" s="39"/>
      <c r="D651" s="39"/>
      <c r="E651" s="39"/>
      <c r="F651" s="39"/>
      <c r="G651" s="40"/>
      <c r="H651" s="34"/>
    </row>
    <row r="652">
      <c r="B652" s="24"/>
      <c r="C652" s="39"/>
      <c r="D652" s="39"/>
      <c r="E652" s="39"/>
      <c r="F652" s="39"/>
      <c r="G652" s="40"/>
      <c r="H652" s="34"/>
    </row>
    <row r="653">
      <c r="B653" s="24"/>
      <c r="C653" s="39"/>
      <c r="D653" s="39"/>
      <c r="E653" s="39"/>
      <c r="F653" s="39"/>
      <c r="G653" s="40"/>
      <c r="H653" s="34"/>
    </row>
    <row r="654">
      <c r="B654" s="24"/>
      <c r="C654" s="39"/>
      <c r="D654" s="39"/>
      <c r="E654" s="39"/>
      <c r="F654" s="39"/>
      <c r="G654" s="40"/>
      <c r="H654" s="34"/>
    </row>
    <row r="655">
      <c r="B655" s="24"/>
      <c r="C655" s="39"/>
      <c r="D655" s="39"/>
      <c r="E655" s="39"/>
      <c r="F655" s="39"/>
      <c r="G655" s="40"/>
      <c r="H655" s="34"/>
    </row>
    <row r="656">
      <c r="B656" s="24"/>
      <c r="C656" s="39"/>
      <c r="D656" s="39"/>
      <c r="E656" s="39"/>
      <c r="F656" s="39"/>
      <c r="G656" s="40"/>
      <c r="H656" s="34"/>
    </row>
    <row r="657">
      <c r="B657" s="24"/>
      <c r="C657" s="39"/>
      <c r="D657" s="39"/>
      <c r="E657" s="39"/>
      <c r="F657" s="39"/>
      <c r="G657" s="40"/>
      <c r="H657" s="34"/>
    </row>
    <row r="658">
      <c r="B658" s="24"/>
      <c r="C658" s="39"/>
      <c r="D658" s="39"/>
      <c r="E658" s="39"/>
      <c r="F658" s="39"/>
      <c r="G658" s="40"/>
      <c r="H658" s="34"/>
    </row>
    <row r="659">
      <c r="B659" s="24"/>
      <c r="C659" s="39"/>
      <c r="D659" s="39"/>
      <c r="E659" s="39"/>
      <c r="F659" s="39"/>
      <c r="G659" s="40"/>
      <c r="H659" s="34"/>
    </row>
    <row r="660">
      <c r="B660" s="24"/>
      <c r="C660" s="39"/>
      <c r="D660" s="39"/>
      <c r="E660" s="39"/>
      <c r="F660" s="39"/>
      <c r="G660" s="40"/>
      <c r="H660" s="34"/>
    </row>
    <row r="661">
      <c r="B661" s="24"/>
      <c r="C661" s="39"/>
      <c r="D661" s="39"/>
      <c r="E661" s="39"/>
      <c r="F661" s="39"/>
      <c r="G661" s="40"/>
      <c r="H661" s="34"/>
    </row>
    <row r="662">
      <c r="B662" s="24"/>
      <c r="C662" s="39"/>
      <c r="D662" s="39"/>
      <c r="E662" s="39"/>
      <c r="F662" s="39"/>
      <c r="G662" s="40"/>
      <c r="H662" s="34"/>
    </row>
    <row r="663">
      <c r="B663" s="24"/>
      <c r="C663" s="39"/>
      <c r="D663" s="39"/>
      <c r="E663" s="39"/>
      <c r="F663" s="39"/>
      <c r="G663" s="40"/>
      <c r="H663" s="34"/>
    </row>
    <row r="664">
      <c r="B664" s="24"/>
      <c r="C664" s="39"/>
      <c r="D664" s="39"/>
      <c r="E664" s="39"/>
      <c r="F664" s="39"/>
      <c r="G664" s="40"/>
      <c r="H664" s="34"/>
    </row>
    <row r="665">
      <c r="B665" s="24"/>
      <c r="C665" s="39"/>
      <c r="D665" s="39"/>
      <c r="E665" s="39"/>
      <c r="F665" s="39"/>
      <c r="G665" s="40"/>
      <c r="H665" s="34"/>
    </row>
    <row r="666">
      <c r="B666" s="24"/>
      <c r="C666" s="39"/>
      <c r="D666" s="39"/>
      <c r="E666" s="39"/>
      <c r="F666" s="39"/>
      <c r="G666" s="40"/>
      <c r="H666" s="34"/>
    </row>
    <row r="667">
      <c r="B667" s="24"/>
      <c r="C667" s="39"/>
      <c r="D667" s="39"/>
      <c r="E667" s="39"/>
      <c r="F667" s="39"/>
      <c r="G667" s="40"/>
      <c r="H667" s="34"/>
    </row>
    <row r="668">
      <c r="B668" s="24"/>
      <c r="C668" s="39"/>
      <c r="D668" s="39"/>
      <c r="E668" s="39"/>
      <c r="F668" s="39"/>
      <c r="G668" s="40"/>
      <c r="H668" s="34"/>
    </row>
    <row r="669">
      <c r="B669" s="24"/>
      <c r="C669" s="39"/>
      <c r="D669" s="39"/>
      <c r="E669" s="39"/>
      <c r="F669" s="39"/>
      <c r="G669" s="40"/>
      <c r="H669" s="34"/>
    </row>
    <row r="670">
      <c r="B670" s="24"/>
      <c r="C670" s="39"/>
      <c r="D670" s="39"/>
      <c r="E670" s="39"/>
      <c r="F670" s="39"/>
      <c r="G670" s="40"/>
      <c r="H670" s="34"/>
    </row>
    <row r="671">
      <c r="B671" s="24"/>
      <c r="C671" s="39"/>
      <c r="D671" s="39"/>
      <c r="E671" s="39"/>
      <c r="F671" s="39"/>
      <c r="G671" s="40"/>
      <c r="H671" s="34"/>
    </row>
    <row r="672">
      <c r="B672" s="24"/>
      <c r="C672" s="39"/>
      <c r="D672" s="39"/>
      <c r="E672" s="39"/>
      <c r="F672" s="39"/>
      <c r="G672" s="40"/>
      <c r="H672" s="34"/>
    </row>
    <row r="673">
      <c r="B673" s="24"/>
      <c r="C673" s="39"/>
      <c r="D673" s="39"/>
      <c r="E673" s="39"/>
      <c r="F673" s="39"/>
      <c r="G673" s="40"/>
      <c r="H673" s="34"/>
    </row>
    <row r="674">
      <c r="B674" s="24"/>
      <c r="C674" s="39"/>
      <c r="D674" s="39"/>
      <c r="E674" s="39"/>
      <c r="F674" s="39"/>
      <c r="G674" s="40"/>
      <c r="H674" s="34"/>
    </row>
    <row r="675">
      <c r="B675" s="24"/>
      <c r="C675" s="39"/>
      <c r="D675" s="39"/>
      <c r="E675" s="39"/>
      <c r="F675" s="39"/>
      <c r="G675" s="40"/>
      <c r="H675" s="34"/>
    </row>
    <row r="676">
      <c r="B676" s="24"/>
      <c r="C676" s="39"/>
      <c r="D676" s="39"/>
      <c r="E676" s="39"/>
      <c r="F676" s="39"/>
      <c r="G676" s="40"/>
      <c r="H676" s="34"/>
    </row>
    <row r="677">
      <c r="B677" s="24"/>
      <c r="C677" s="39"/>
      <c r="D677" s="39"/>
      <c r="E677" s="39"/>
      <c r="F677" s="39"/>
      <c r="G677" s="40"/>
      <c r="H677" s="34"/>
    </row>
    <row r="678">
      <c r="B678" s="24"/>
      <c r="C678" s="39"/>
      <c r="D678" s="39"/>
      <c r="E678" s="39"/>
      <c r="F678" s="39"/>
      <c r="G678" s="40"/>
      <c r="H678" s="34"/>
    </row>
    <row r="679">
      <c r="B679" s="24"/>
      <c r="C679" s="39"/>
      <c r="D679" s="39"/>
      <c r="E679" s="39"/>
      <c r="F679" s="39"/>
      <c r="G679" s="40"/>
      <c r="H679" s="34"/>
    </row>
    <row r="680">
      <c r="B680" s="24"/>
      <c r="C680" s="39"/>
      <c r="D680" s="39"/>
      <c r="E680" s="39"/>
      <c r="F680" s="39"/>
      <c r="G680" s="40"/>
      <c r="H680" s="34"/>
    </row>
    <row r="681">
      <c r="B681" s="24"/>
      <c r="C681" s="39"/>
      <c r="D681" s="39"/>
      <c r="E681" s="39"/>
      <c r="F681" s="39"/>
      <c r="G681" s="40"/>
      <c r="H681" s="34"/>
    </row>
    <row r="682">
      <c r="B682" s="24"/>
      <c r="C682" s="39"/>
      <c r="D682" s="39"/>
      <c r="E682" s="39"/>
      <c r="F682" s="39"/>
      <c r="G682" s="40"/>
      <c r="H682" s="34"/>
    </row>
    <row r="683">
      <c r="B683" s="24"/>
      <c r="C683" s="39"/>
      <c r="D683" s="39"/>
      <c r="E683" s="39"/>
      <c r="F683" s="39"/>
      <c r="G683" s="40"/>
      <c r="H683" s="34"/>
    </row>
    <row r="684">
      <c r="B684" s="24"/>
      <c r="C684" s="39"/>
      <c r="D684" s="39"/>
      <c r="E684" s="39"/>
      <c r="F684" s="39"/>
      <c r="G684" s="40"/>
      <c r="H684" s="34"/>
    </row>
    <row r="685">
      <c r="B685" s="24"/>
      <c r="C685" s="39"/>
      <c r="D685" s="39"/>
      <c r="E685" s="39"/>
      <c r="F685" s="39"/>
      <c r="G685" s="40"/>
      <c r="H685" s="34"/>
    </row>
    <row r="686">
      <c r="B686" s="24"/>
      <c r="C686" s="39"/>
      <c r="D686" s="39"/>
      <c r="E686" s="39"/>
      <c r="F686" s="39"/>
      <c r="G686" s="40"/>
      <c r="H686" s="34"/>
    </row>
    <row r="687">
      <c r="B687" s="24"/>
      <c r="C687" s="39"/>
      <c r="D687" s="39"/>
      <c r="E687" s="39"/>
      <c r="F687" s="39"/>
      <c r="G687" s="40"/>
      <c r="H687" s="34"/>
    </row>
    <row r="688">
      <c r="B688" s="24"/>
      <c r="C688" s="39"/>
      <c r="D688" s="39"/>
      <c r="E688" s="39"/>
      <c r="F688" s="39"/>
      <c r="G688" s="40"/>
      <c r="H688" s="34"/>
    </row>
    <row r="689">
      <c r="B689" s="24"/>
      <c r="C689" s="39"/>
      <c r="D689" s="39"/>
      <c r="E689" s="39"/>
      <c r="F689" s="39"/>
      <c r="G689" s="40"/>
      <c r="H689" s="34"/>
    </row>
    <row r="690">
      <c r="B690" s="24"/>
      <c r="C690" s="39"/>
      <c r="D690" s="39"/>
      <c r="E690" s="39"/>
      <c r="F690" s="39"/>
      <c r="G690" s="40"/>
      <c r="H690" s="34"/>
    </row>
    <row r="691">
      <c r="B691" s="24"/>
      <c r="C691" s="39"/>
      <c r="D691" s="39"/>
      <c r="E691" s="39"/>
      <c r="F691" s="39"/>
      <c r="G691" s="40"/>
      <c r="H691" s="34"/>
    </row>
    <row r="692">
      <c r="B692" s="24"/>
      <c r="C692" s="39"/>
      <c r="D692" s="39"/>
      <c r="E692" s="39"/>
      <c r="F692" s="39"/>
      <c r="G692" s="40"/>
      <c r="H692" s="34"/>
    </row>
    <row r="693">
      <c r="B693" s="24"/>
      <c r="C693" s="39"/>
      <c r="D693" s="39"/>
      <c r="E693" s="39"/>
      <c r="F693" s="39"/>
      <c r="G693" s="40"/>
      <c r="H693" s="34"/>
    </row>
    <row r="694">
      <c r="B694" s="24"/>
      <c r="C694" s="39"/>
      <c r="D694" s="39"/>
      <c r="E694" s="39"/>
      <c r="F694" s="39"/>
      <c r="G694" s="40"/>
      <c r="H694" s="34"/>
    </row>
    <row r="695">
      <c r="B695" s="24"/>
      <c r="C695" s="39"/>
      <c r="D695" s="39"/>
      <c r="E695" s="39"/>
      <c r="F695" s="39"/>
      <c r="G695" s="40"/>
      <c r="H695" s="34"/>
    </row>
    <row r="696">
      <c r="B696" s="24"/>
      <c r="C696" s="39"/>
      <c r="D696" s="39"/>
      <c r="E696" s="39"/>
      <c r="F696" s="39"/>
      <c r="G696" s="40"/>
      <c r="H696" s="34"/>
    </row>
    <row r="697">
      <c r="B697" s="24"/>
      <c r="C697" s="39"/>
      <c r="D697" s="39"/>
      <c r="E697" s="39"/>
      <c r="F697" s="39"/>
      <c r="G697" s="40"/>
      <c r="H697" s="34"/>
    </row>
    <row r="698">
      <c r="B698" s="24"/>
      <c r="C698" s="39"/>
      <c r="D698" s="39"/>
      <c r="E698" s="39"/>
      <c r="F698" s="39"/>
      <c r="G698" s="40"/>
      <c r="H698" s="34"/>
    </row>
    <row r="699">
      <c r="B699" s="24"/>
      <c r="C699" s="39"/>
      <c r="D699" s="39"/>
      <c r="E699" s="39"/>
      <c r="F699" s="39"/>
      <c r="G699" s="40"/>
      <c r="H699" s="34"/>
    </row>
    <row r="700">
      <c r="B700" s="24"/>
      <c r="C700" s="39"/>
      <c r="D700" s="39"/>
      <c r="E700" s="39"/>
      <c r="F700" s="39"/>
      <c r="G700" s="40"/>
      <c r="H700" s="34"/>
    </row>
    <row r="701">
      <c r="B701" s="24"/>
      <c r="C701" s="39"/>
      <c r="D701" s="39"/>
      <c r="E701" s="39"/>
      <c r="F701" s="39"/>
      <c r="G701" s="40"/>
      <c r="H701" s="34"/>
    </row>
    <row r="702">
      <c r="B702" s="24"/>
      <c r="C702" s="39"/>
      <c r="D702" s="39"/>
      <c r="E702" s="39"/>
      <c r="F702" s="39"/>
      <c r="G702" s="40"/>
      <c r="H702" s="34"/>
    </row>
    <row r="703">
      <c r="B703" s="24"/>
      <c r="C703" s="39"/>
      <c r="D703" s="39"/>
      <c r="E703" s="39"/>
      <c r="F703" s="39"/>
      <c r="G703" s="40"/>
      <c r="H703" s="34"/>
    </row>
    <row r="704">
      <c r="B704" s="24"/>
      <c r="C704" s="39"/>
      <c r="D704" s="39"/>
      <c r="E704" s="39"/>
      <c r="F704" s="39"/>
      <c r="G704" s="40"/>
      <c r="H704" s="34"/>
    </row>
    <row r="705">
      <c r="B705" s="24"/>
      <c r="C705" s="39"/>
      <c r="D705" s="39"/>
      <c r="E705" s="39"/>
      <c r="F705" s="39"/>
      <c r="G705" s="40"/>
      <c r="H705" s="34"/>
    </row>
    <row r="706">
      <c r="B706" s="24"/>
      <c r="C706" s="39"/>
      <c r="D706" s="39"/>
      <c r="E706" s="39"/>
      <c r="F706" s="39"/>
      <c r="G706" s="40"/>
      <c r="H706" s="34"/>
    </row>
    <row r="707">
      <c r="B707" s="24"/>
      <c r="C707" s="39"/>
      <c r="D707" s="39"/>
      <c r="E707" s="39"/>
      <c r="F707" s="39"/>
      <c r="G707" s="40"/>
      <c r="H707" s="34"/>
    </row>
    <row r="708">
      <c r="B708" s="24"/>
      <c r="C708" s="39"/>
      <c r="D708" s="39"/>
      <c r="E708" s="39"/>
      <c r="F708" s="39"/>
      <c r="G708" s="40"/>
      <c r="H708" s="34"/>
    </row>
    <row r="709">
      <c r="B709" s="24"/>
      <c r="C709" s="39"/>
      <c r="D709" s="39"/>
      <c r="E709" s="39"/>
      <c r="F709" s="39"/>
      <c r="G709" s="40"/>
      <c r="H709" s="34"/>
    </row>
    <row r="710">
      <c r="B710" s="24"/>
      <c r="C710" s="39"/>
      <c r="D710" s="39"/>
      <c r="E710" s="39"/>
      <c r="F710" s="39"/>
      <c r="G710" s="40"/>
      <c r="H710" s="34"/>
    </row>
    <row r="711">
      <c r="B711" s="24"/>
      <c r="C711" s="39"/>
      <c r="D711" s="39"/>
      <c r="E711" s="39"/>
      <c r="F711" s="39"/>
      <c r="G711" s="40"/>
      <c r="H711" s="34"/>
    </row>
    <row r="712">
      <c r="B712" s="24"/>
      <c r="C712" s="39"/>
      <c r="D712" s="39"/>
      <c r="E712" s="39"/>
      <c r="F712" s="39"/>
      <c r="G712" s="40"/>
      <c r="H712" s="34"/>
    </row>
    <row r="713">
      <c r="B713" s="24"/>
      <c r="C713" s="39"/>
      <c r="D713" s="39"/>
      <c r="E713" s="39"/>
      <c r="F713" s="39"/>
      <c r="G713" s="40"/>
      <c r="H713" s="34"/>
    </row>
    <row r="714">
      <c r="B714" s="24"/>
      <c r="C714" s="39"/>
      <c r="D714" s="39"/>
      <c r="E714" s="39"/>
      <c r="F714" s="39"/>
      <c r="G714" s="40"/>
      <c r="H714" s="34"/>
    </row>
    <row r="715">
      <c r="B715" s="24"/>
      <c r="C715" s="39"/>
      <c r="D715" s="39"/>
      <c r="E715" s="39"/>
      <c r="F715" s="39"/>
      <c r="G715" s="40"/>
      <c r="H715" s="34"/>
    </row>
    <row r="716">
      <c r="B716" s="24"/>
      <c r="C716" s="39"/>
      <c r="D716" s="39"/>
      <c r="E716" s="39"/>
      <c r="F716" s="39"/>
      <c r="G716" s="40"/>
      <c r="H716" s="34"/>
    </row>
    <row r="717">
      <c r="B717" s="24"/>
      <c r="C717" s="39"/>
      <c r="D717" s="39"/>
      <c r="E717" s="39"/>
      <c r="F717" s="39"/>
      <c r="G717" s="40"/>
      <c r="H717" s="34"/>
    </row>
    <row r="718">
      <c r="B718" s="24"/>
      <c r="C718" s="39"/>
      <c r="D718" s="39"/>
      <c r="E718" s="39"/>
      <c r="F718" s="39"/>
      <c r="G718" s="40"/>
      <c r="H718" s="34"/>
    </row>
    <row r="719">
      <c r="B719" s="24"/>
      <c r="C719" s="39"/>
      <c r="D719" s="39"/>
      <c r="E719" s="39"/>
      <c r="F719" s="39"/>
      <c r="G719" s="40"/>
      <c r="H719" s="34"/>
    </row>
    <row r="720">
      <c r="B720" s="24"/>
      <c r="C720" s="39"/>
      <c r="D720" s="39"/>
      <c r="E720" s="39"/>
      <c r="F720" s="39"/>
      <c r="G720" s="40"/>
      <c r="H720" s="34"/>
    </row>
    <row r="721">
      <c r="B721" s="24"/>
      <c r="C721" s="39"/>
      <c r="D721" s="39"/>
      <c r="E721" s="39"/>
      <c r="F721" s="39"/>
      <c r="G721" s="40"/>
      <c r="H721" s="34"/>
    </row>
    <row r="722">
      <c r="B722" s="24"/>
      <c r="C722" s="39"/>
      <c r="D722" s="39"/>
      <c r="E722" s="39"/>
      <c r="F722" s="39"/>
      <c r="G722" s="40"/>
      <c r="H722" s="34"/>
    </row>
    <row r="723">
      <c r="B723" s="24"/>
      <c r="C723" s="39"/>
      <c r="D723" s="39"/>
      <c r="E723" s="39"/>
      <c r="F723" s="39"/>
      <c r="G723" s="40"/>
      <c r="H723" s="34"/>
    </row>
    <row r="724">
      <c r="B724" s="24"/>
      <c r="C724" s="39"/>
      <c r="D724" s="39"/>
      <c r="E724" s="39"/>
      <c r="F724" s="39"/>
      <c r="G724" s="40"/>
      <c r="H724" s="34"/>
    </row>
    <row r="725">
      <c r="B725" s="24"/>
      <c r="C725" s="39"/>
      <c r="D725" s="39"/>
      <c r="E725" s="39"/>
      <c r="F725" s="39"/>
      <c r="G725" s="40"/>
      <c r="H725" s="34"/>
    </row>
    <row r="726">
      <c r="B726" s="24"/>
      <c r="C726" s="39"/>
      <c r="D726" s="39"/>
      <c r="E726" s="39"/>
      <c r="F726" s="39"/>
      <c r="G726" s="40"/>
      <c r="H726" s="34"/>
    </row>
    <row r="727">
      <c r="B727" s="24"/>
      <c r="C727" s="39"/>
      <c r="D727" s="39"/>
      <c r="E727" s="39"/>
      <c r="F727" s="39"/>
      <c r="G727" s="40"/>
      <c r="H727" s="34"/>
    </row>
    <row r="728">
      <c r="B728" s="24"/>
      <c r="C728" s="39"/>
      <c r="D728" s="39"/>
      <c r="E728" s="39"/>
      <c r="F728" s="39"/>
      <c r="G728" s="40"/>
      <c r="H728" s="34"/>
    </row>
    <row r="729">
      <c r="B729" s="24"/>
      <c r="C729" s="39"/>
      <c r="D729" s="39"/>
      <c r="E729" s="39"/>
      <c r="F729" s="39"/>
      <c r="G729" s="40"/>
      <c r="H729" s="34"/>
    </row>
    <row r="730">
      <c r="B730" s="24"/>
      <c r="C730" s="39"/>
      <c r="D730" s="39"/>
      <c r="E730" s="39"/>
      <c r="F730" s="39"/>
      <c r="G730" s="40"/>
      <c r="H730" s="34"/>
    </row>
    <row r="731">
      <c r="B731" s="24"/>
      <c r="C731" s="39"/>
      <c r="D731" s="39"/>
      <c r="E731" s="39"/>
      <c r="F731" s="39"/>
      <c r="G731" s="40"/>
      <c r="H731" s="34"/>
    </row>
    <row r="732">
      <c r="B732" s="24"/>
      <c r="C732" s="39"/>
      <c r="D732" s="39"/>
      <c r="E732" s="39"/>
      <c r="F732" s="39"/>
      <c r="G732" s="40"/>
      <c r="H732" s="34"/>
    </row>
    <row r="733">
      <c r="B733" s="24"/>
      <c r="C733" s="39"/>
      <c r="D733" s="39"/>
      <c r="E733" s="39"/>
      <c r="F733" s="39"/>
      <c r="G733" s="40"/>
      <c r="H733" s="34"/>
    </row>
    <row r="734">
      <c r="B734" s="24"/>
      <c r="C734" s="39"/>
      <c r="D734" s="39"/>
      <c r="E734" s="39"/>
      <c r="F734" s="39"/>
      <c r="G734" s="40"/>
      <c r="H734" s="34"/>
    </row>
    <row r="735">
      <c r="B735" s="24"/>
      <c r="C735" s="39"/>
      <c r="D735" s="39"/>
      <c r="E735" s="39"/>
      <c r="F735" s="39"/>
      <c r="G735" s="40"/>
      <c r="H735" s="34"/>
    </row>
    <row r="736">
      <c r="B736" s="24"/>
      <c r="C736" s="39"/>
      <c r="D736" s="39"/>
      <c r="E736" s="39"/>
      <c r="F736" s="39"/>
      <c r="G736" s="40"/>
      <c r="H736" s="34"/>
    </row>
    <row r="737">
      <c r="B737" s="24"/>
      <c r="C737" s="39"/>
      <c r="D737" s="39"/>
      <c r="E737" s="39"/>
      <c r="F737" s="39"/>
      <c r="G737" s="40"/>
      <c r="H737" s="34"/>
    </row>
    <row r="738">
      <c r="B738" s="24"/>
      <c r="C738" s="39"/>
      <c r="D738" s="39"/>
      <c r="E738" s="39"/>
      <c r="F738" s="39"/>
      <c r="G738" s="40"/>
      <c r="H738" s="34"/>
    </row>
    <row r="739">
      <c r="B739" s="24"/>
      <c r="C739" s="39"/>
      <c r="D739" s="39"/>
      <c r="E739" s="39"/>
      <c r="F739" s="39"/>
      <c r="G739" s="40"/>
      <c r="H739" s="34"/>
    </row>
    <row r="740">
      <c r="B740" s="24"/>
      <c r="C740" s="39"/>
      <c r="D740" s="39"/>
      <c r="E740" s="39"/>
      <c r="F740" s="39"/>
      <c r="G740" s="40"/>
      <c r="H740" s="34"/>
    </row>
    <row r="741">
      <c r="B741" s="24"/>
      <c r="C741" s="39"/>
      <c r="D741" s="39"/>
      <c r="E741" s="39"/>
      <c r="F741" s="39"/>
      <c r="G741" s="40"/>
      <c r="H741" s="34"/>
    </row>
    <row r="742">
      <c r="B742" s="24"/>
      <c r="C742" s="39"/>
      <c r="D742" s="39"/>
      <c r="E742" s="39"/>
      <c r="F742" s="39"/>
      <c r="G742" s="40"/>
      <c r="H742" s="34"/>
    </row>
    <row r="743">
      <c r="B743" s="24"/>
      <c r="C743" s="39"/>
      <c r="D743" s="39"/>
      <c r="E743" s="39"/>
      <c r="F743" s="39"/>
      <c r="G743" s="40"/>
      <c r="H743" s="34"/>
    </row>
    <row r="744">
      <c r="B744" s="24"/>
      <c r="C744" s="39"/>
      <c r="D744" s="39"/>
      <c r="E744" s="39"/>
      <c r="F744" s="39"/>
      <c r="G744" s="40"/>
      <c r="H744" s="34"/>
    </row>
    <row r="745">
      <c r="B745" s="24"/>
      <c r="C745" s="39"/>
      <c r="D745" s="39"/>
      <c r="E745" s="39"/>
      <c r="F745" s="39"/>
      <c r="G745" s="40"/>
      <c r="H745" s="34"/>
    </row>
    <row r="746">
      <c r="B746" s="24"/>
      <c r="C746" s="39"/>
      <c r="D746" s="39"/>
      <c r="E746" s="39"/>
      <c r="F746" s="39"/>
      <c r="G746" s="40"/>
      <c r="H746" s="34"/>
    </row>
    <row r="747">
      <c r="B747" s="24"/>
      <c r="C747" s="39"/>
      <c r="D747" s="39"/>
      <c r="E747" s="39"/>
      <c r="F747" s="39"/>
      <c r="G747" s="40"/>
      <c r="H747" s="34"/>
    </row>
    <row r="748">
      <c r="B748" s="24"/>
      <c r="C748" s="39"/>
      <c r="D748" s="39"/>
      <c r="E748" s="39"/>
      <c r="F748" s="39"/>
      <c r="G748" s="40"/>
      <c r="H748" s="34"/>
    </row>
    <row r="749">
      <c r="B749" s="24"/>
      <c r="C749" s="39"/>
      <c r="D749" s="39"/>
      <c r="E749" s="39"/>
      <c r="F749" s="39"/>
      <c r="G749" s="40"/>
      <c r="H749" s="34"/>
    </row>
    <row r="750">
      <c r="B750" s="24"/>
      <c r="C750" s="39"/>
      <c r="D750" s="39"/>
      <c r="E750" s="39"/>
      <c r="F750" s="39"/>
      <c r="G750" s="40"/>
      <c r="H750" s="34"/>
    </row>
    <row r="751">
      <c r="B751" s="24"/>
      <c r="C751" s="39"/>
      <c r="D751" s="39"/>
      <c r="E751" s="39"/>
      <c r="F751" s="39"/>
      <c r="G751" s="40"/>
      <c r="H751" s="34"/>
    </row>
    <row r="752">
      <c r="B752" s="24"/>
      <c r="C752" s="39"/>
      <c r="D752" s="39"/>
      <c r="E752" s="39"/>
      <c r="F752" s="39"/>
      <c r="G752" s="40"/>
      <c r="H752" s="34"/>
    </row>
    <row r="753">
      <c r="B753" s="24"/>
      <c r="C753" s="39"/>
      <c r="D753" s="39"/>
      <c r="E753" s="39"/>
      <c r="F753" s="39"/>
      <c r="G753" s="40"/>
      <c r="H753" s="34"/>
    </row>
    <row r="754">
      <c r="B754" s="24"/>
      <c r="C754" s="39"/>
      <c r="D754" s="39"/>
      <c r="E754" s="39"/>
      <c r="F754" s="39"/>
      <c r="G754" s="40"/>
      <c r="H754" s="34"/>
    </row>
    <row r="755">
      <c r="B755" s="24"/>
      <c r="C755" s="39"/>
      <c r="D755" s="39"/>
      <c r="E755" s="39"/>
      <c r="F755" s="39"/>
      <c r="G755" s="40"/>
      <c r="H755" s="34"/>
    </row>
    <row r="756">
      <c r="B756" s="24"/>
      <c r="C756" s="39"/>
      <c r="D756" s="39"/>
      <c r="E756" s="39"/>
      <c r="F756" s="39"/>
      <c r="G756" s="40"/>
      <c r="H756" s="34"/>
    </row>
    <row r="757">
      <c r="B757" s="24"/>
      <c r="C757" s="39"/>
      <c r="D757" s="39"/>
      <c r="E757" s="39"/>
      <c r="F757" s="39"/>
      <c r="G757" s="40"/>
      <c r="H757" s="34"/>
    </row>
    <row r="758">
      <c r="B758" s="24"/>
      <c r="C758" s="39"/>
      <c r="D758" s="39"/>
      <c r="E758" s="39"/>
      <c r="F758" s="39"/>
      <c r="G758" s="40"/>
      <c r="H758" s="34"/>
    </row>
    <row r="759">
      <c r="B759" s="24"/>
      <c r="C759" s="39"/>
      <c r="D759" s="39"/>
      <c r="E759" s="39"/>
      <c r="F759" s="39"/>
      <c r="G759" s="40"/>
      <c r="H759" s="34"/>
    </row>
    <row r="760">
      <c r="B760" s="24"/>
      <c r="C760" s="39"/>
      <c r="D760" s="39"/>
      <c r="E760" s="39"/>
      <c r="F760" s="39"/>
      <c r="G760" s="40"/>
      <c r="H760" s="34"/>
    </row>
    <row r="761">
      <c r="B761" s="24"/>
      <c r="C761" s="39"/>
      <c r="D761" s="39"/>
      <c r="E761" s="39"/>
      <c r="F761" s="39"/>
      <c r="G761" s="40"/>
      <c r="H761" s="34"/>
    </row>
    <row r="762">
      <c r="B762" s="24"/>
      <c r="C762" s="39"/>
      <c r="D762" s="39"/>
      <c r="E762" s="39"/>
      <c r="F762" s="39"/>
      <c r="G762" s="40"/>
      <c r="H762" s="34"/>
    </row>
    <row r="763">
      <c r="B763" s="24"/>
      <c r="C763" s="39"/>
      <c r="D763" s="39"/>
      <c r="E763" s="39"/>
      <c r="F763" s="39"/>
      <c r="G763" s="40"/>
      <c r="H763" s="34"/>
    </row>
    <row r="764">
      <c r="B764" s="24"/>
      <c r="C764" s="39"/>
      <c r="D764" s="39"/>
      <c r="E764" s="39"/>
      <c r="F764" s="39"/>
      <c r="G764" s="40"/>
      <c r="H764" s="34"/>
    </row>
    <row r="765">
      <c r="B765" s="24"/>
      <c r="C765" s="39"/>
      <c r="D765" s="39"/>
      <c r="E765" s="39"/>
      <c r="F765" s="39"/>
      <c r="G765" s="40"/>
      <c r="H765" s="34"/>
    </row>
    <row r="766">
      <c r="B766" s="24"/>
      <c r="C766" s="39"/>
      <c r="D766" s="39"/>
      <c r="E766" s="39"/>
      <c r="F766" s="39"/>
      <c r="G766" s="40"/>
      <c r="H766" s="34"/>
    </row>
    <row r="767">
      <c r="B767" s="24"/>
      <c r="C767" s="39"/>
      <c r="D767" s="39"/>
      <c r="E767" s="39"/>
      <c r="F767" s="39"/>
      <c r="G767" s="40"/>
      <c r="H767" s="34"/>
    </row>
    <row r="768">
      <c r="B768" s="24"/>
      <c r="C768" s="39"/>
      <c r="D768" s="39"/>
      <c r="E768" s="39"/>
      <c r="F768" s="39"/>
      <c r="G768" s="40"/>
      <c r="H768" s="34"/>
    </row>
    <row r="769">
      <c r="B769" s="24"/>
      <c r="C769" s="39"/>
      <c r="D769" s="39"/>
      <c r="E769" s="39"/>
      <c r="F769" s="39"/>
      <c r="G769" s="40"/>
      <c r="H769" s="34"/>
    </row>
    <row r="770">
      <c r="B770" s="24"/>
      <c r="C770" s="39"/>
      <c r="D770" s="39"/>
      <c r="E770" s="39"/>
      <c r="F770" s="39"/>
      <c r="G770" s="40"/>
      <c r="H770" s="34"/>
    </row>
    <row r="771">
      <c r="B771" s="24"/>
      <c r="C771" s="39"/>
      <c r="D771" s="39"/>
      <c r="E771" s="39"/>
      <c r="F771" s="39"/>
      <c r="G771" s="40"/>
      <c r="H771" s="34"/>
    </row>
    <row r="772">
      <c r="B772" s="24"/>
      <c r="C772" s="39"/>
      <c r="D772" s="39"/>
      <c r="E772" s="39"/>
      <c r="F772" s="39"/>
      <c r="G772" s="40"/>
      <c r="H772" s="34"/>
    </row>
    <row r="773">
      <c r="B773" s="24"/>
      <c r="C773" s="39"/>
      <c r="D773" s="39"/>
      <c r="E773" s="39"/>
      <c r="F773" s="39"/>
      <c r="G773" s="40"/>
      <c r="H773" s="34"/>
    </row>
    <row r="774">
      <c r="B774" s="24"/>
      <c r="C774" s="39"/>
      <c r="D774" s="39"/>
      <c r="E774" s="39"/>
      <c r="F774" s="39"/>
      <c r="G774" s="40"/>
      <c r="H774" s="34"/>
    </row>
    <row r="775">
      <c r="B775" s="24"/>
      <c r="C775" s="39"/>
      <c r="D775" s="39"/>
      <c r="E775" s="39"/>
      <c r="F775" s="39"/>
      <c r="G775" s="40"/>
      <c r="H775" s="34"/>
    </row>
    <row r="776">
      <c r="B776" s="24"/>
      <c r="C776" s="39"/>
      <c r="D776" s="39"/>
      <c r="E776" s="39"/>
      <c r="F776" s="39"/>
      <c r="G776" s="40"/>
      <c r="H776" s="34"/>
    </row>
    <row r="777">
      <c r="B777" s="24"/>
      <c r="C777" s="39"/>
      <c r="D777" s="39"/>
      <c r="E777" s="39"/>
      <c r="F777" s="39"/>
      <c r="G777" s="40"/>
      <c r="H777" s="34"/>
    </row>
    <row r="778">
      <c r="B778" s="24"/>
      <c r="C778" s="39"/>
      <c r="D778" s="39"/>
      <c r="E778" s="39"/>
      <c r="F778" s="39"/>
      <c r="G778" s="40"/>
      <c r="H778" s="34"/>
    </row>
    <row r="779">
      <c r="B779" s="24"/>
      <c r="C779" s="39"/>
      <c r="D779" s="39"/>
      <c r="E779" s="39"/>
      <c r="F779" s="39"/>
      <c r="G779" s="40"/>
      <c r="H779" s="34"/>
    </row>
    <row r="780">
      <c r="B780" s="24"/>
      <c r="C780" s="39"/>
      <c r="D780" s="39"/>
      <c r="E780" s="39"/>
      <c r="F780" s="39"/>
      <c r="G780" s="40"/>
      <c r="H780" s="34"/>
    </row>
    <row r="781">
      <c r="B781" s="24"/>
      <c r="C781" s="39"/>
      <c r="D781" s="39"/>
      <c r="E781" s="39"/>
      <c r="F781" s="39"/>
      <c r="G781" s="40"/>
      <c r="H781" s="34"/>
    </row>
    <row r="782">
      <c r="B782" s="24"/>
      <c r="C782" s="39"/>
      <c r="D782" s="39"/>
      <c r="E782" s="39"/>
      <c r="F782" s="39"/>
      <c r="G782" s="40"/>
      <c r="H782" s="34"/>
    </row>
    <row r="783">
      <c r="B783" s="24"/>
      <c r="C783" s="39"/>
      <c r="D783" s="39"/>
      <c r="E783" s="39"/>
      <c r="F783" s="39"/>
      <c r="G783" s="40"/>
      <c r="H783" s="34"/>
    </row>
    <row r="784">
      <c r="B784" s="24"/>
      <c r="C784" s="39"/>
      <c r="D784" s="39"/>
      <c r="E784" s="39"/>
      <c r="F784" s="39"/>
      <c r="G784" s="40"/>
      <c r="H784" s="34"/>
    </row>
    <row r="785">
      <c r="B785" s="24"/>
      <c r="C785" s="39"/>
      <c r="D785" s="39"/>
      <c r="E785" s="39"/>
      <c r="F785" s="39"/>
      <c r="G785" s="40"/>
      <c r="H785" s="34"/>
    </row>
    <row r="786">
      <c r="B786" s="24"/>
      <c r="C786" s="39"/>
      <c r="D786" s="39"/>
      <c r="E786" s="39"/>
      <c r="F786" s="39"/>
      <c r="G786" s="40"/>
      <c r="H786" s="34"/>
    </row>
    <row r="787">
      <c r="B787" s="24"/>
      <c r="C787" s="39"/>
      <c r="D787" s="39"/>
      <c r="E787" s="39"/>
      <c r="F787" s="39"/>
      <c r="G787" s="40"/>
      <c r="H787" s="34"/>
    </row>
    <row r="788">
      <c r="B788" s="24"/>
      <c r="C788" s="39"/>
      <c r="D788" s="39"/>
      <c r="E788" s="39"/>
      <c r="F788" s="39"/>
      <c r="G788" s="40"/>
      <c r="H788" s="34"/>
    </row>
    <row r="789">
      <c r="B789" s="24"/>
      <c r="C789" s="39"/>
      <c r="D789" s="39"/>
      <c r="E789" s="39"/>
      <c r="F789" s="39"/>
      <c r="G789" s="40"/>
      <c r="H789" s="34"/>
    </row>
    <row r="790">
      <c r="B790" s="24"/>
      <c r="C790" s="39"/>
      <c r="D790" s="39"/>
      <c r="E790" s="39"/>
      <c r="F790" s="39"/>
      <c r="G790" s="40"/>
      <c r="H790" s="34"/>
    </row>
    <row r="791">
      <c r="B791" s="24"/>
      <c r="C791" s="39"/>
      <c r="D791" s="39"/>
      <c r="E791" s="39"/>
      <c r="F791" s="39"/>
      <c r="G791" s="40"/>
      <c r="H791" s="34"/>
    </row>
    <row r="792">
      <c r="B792" s="24"/>
      <c r="C792" s="39"/>
      <c r="D792" s="39"/>
      <c r="E792" s="39"/>
      <c r="F792" s="39"/>
      <c r="G792" s="40"/>
      <c r="H792" s="34"/>
    </row>
    <row r="793">
      <c r="B793" s="24"/>
      <c r="C793" s="39"/>
      <c r="D793" s="39"/>
      <c r="E793" s="39"/>
      <c r="F793" s="39"/>
      <c r="G793" s="40"/>
      <c r="H793" s="34"/>
    </row>
    <row r="794">
      <c r="B794" s="24"/>
      <c r="C794" s="39"/>
      <c r="D794" s="39"/>
      <c r="E794" s="39"/>
      <c r="F794" s="39"/>
      <c r="G794" s="40"/>
      <c r="H794" s="34"/>
    </row>
    <row r="795">
      <c r="B795" s="24"/>
      <c r="C795" s="39"/>
      <c r="D795" s="39"/>
      <c r="E795" s="39"/>
      <c r="F795" s="39"/>
      <c r="G795" s="40"/>
      <c r="H795" s="34"/>
    </row>
    <row r="796">
      <c r="B796" s="24"/>
      <c r="C796" s="39"/>
      <c r="D796" s="39"/>
      <c r="E796" s="39"/>
      <c r="F796" s="39"/>
      <c r="G796" s="40"/>
      <c r="H796" s="34"/>
    </row>
    <row r="797">
      <c r="B797" s="24"/>
      <c r="C797" s="39"/>
      <c r="D797" s="39"/>
      <c r="E797" s="39"/>
      <c r="F797" s="39"/>
      <c r="G797" s="40"/>
      <c r="H797" s="34"/>
    </row>
    <row r="798">
      <c r="B798" s="24"/>
      <c r="C798" s="39"/>
      <c r="D798" s="39"/>
      <c r="E798" s="39"/>
      <c r="F798" s="39"/>
      <c r="G798" s="40"/>
      <c r="H798" s="34"/>
    </row>
    <row r="799">
      <c r="B799" s="24"/>
      <c r="C799" s="39"/>
      <c r="D799" s="39"/>
      <c r="E799" s="39"/>
      <c r="F799" s="39"/>
      <c r="G799" s="40"/>
      <c r="H799" s="34"/>
    </row>
    <row r="800">
      <c r="B800" s="24"/>
      <c r="C800" s="39"/>
      <c r="D800" s="39"/>
      <c r="E800" s="39"/>
      <c r="F800" s="39"/>
      <c r="G800" s="40"/>
      <c r="H800" s="34"/>
    </row>
    <row r="801">
      <c r="B801" s="24"/>
      <c r="C801" s="39"/>
      <c r="D801" s="39"/>
      <c r="E801" s="39"/>
      <c r="F801" s="39"/>
      <c r="G801" s="40"/>
      <c r="H801" s="34"/>
    </row>
    <row r="802">
      <c r="B802" s="24"/>
      <c r="C802" s="39"/>
      <c r="D802" s="39"/>
      <c r="E802" s="39"/>
      <c r="F802" s="39"/>
      <c r="G802" s="40"/>
      <c r="H802" s="34"/>
    </row>
    <row r="803">
      <c r="B803" s="24"/>
      <c r="C803" s="39"/>
      <c r="D803" s="39"/>
      <c r="E803" s="39"/>
      <c r="F803" s="39"/>
      <c r="G803" s="40"/>
      <c r="H803" s="34"/>
    </row>
    <row r="804">
      <c r="B804" s="24"/>
      <c r="C804" s="39"/>
      <c r="D804" s="39"/>
      <c r="E804" s="39"/>
      <c r="F804" s="39"/>
      <c r="G804" s="40"/>
      <c r="H804" s="34"/>
    </row>
    <row r="805">
      <c r="B805" s="24"/>
      <c r="C805" s="39"/>
      <c r="D805" s="39"/>
      <c r="E805" s="39"/>
      <c r="F805" s="39"/>
      <c r="G805" s="40"/>
      <c r="H805" s="34"/>
    </row>
    <row r="806">
      <c r="B806" s="24"/>
      <c r="C806" s="39"/>
      <c r="D806" s="39"/>
      <c r="E806" s="39"/>
      <c r="F806" s="39"/>
      <c r="G806" s="40"/>
      <c r="H806" s="34"/>
    </row>
    <row r="807">
      <c r="B807" s="24"/>
      <c r="C807" s="39"/>
      <c r="D807" s="39"/>
      <c r="E807" s="39"/>
      <c r="F807" s="39"/>
      <c r="G807" s="40"/>
      <c r="H807" s="34"/>
    </row>
    <row r="808">
      <c r="B808" s="24"/>
      <c r="C808" s="39"/>
      <c r="D808" s="39"/>
      <c r="E808" s="39"/>
      <c r="F808" s="39"/>
      <c r="G808" s="40"/>
      <c r="H808" s="34"/>
    </row>
    <row r="809">
      <c r="B809" s="24"/>
      <c r="C809" s="39"/>
      <c r="D809" s="39"/>
      <c r="E809" s="39"/>
      <c r="F809" s="39"/>
      <c r="G809" s="40"/>
      <c r="H809" s="34"/>
    </row>
    <row r="810">
      <c r="B810" s="24"/>
      <c r="C810" s="39"/>
      <c r="D810" s="39"/>
      <c r="E810" s="39"/>
      <c r="F810" s="39"/>
      <c r="G810" s="40"/>
      <c r="H810" s="34"/>
    </row>
    <row r="811">
      <c r="B811" s="24"/>
      <c r="C811" s="39"/>
      <c r="D811" s="39"/>
      <c r="E811" s="39"/>
      <c r="F811" s="39"/>
      <c r="G811" s="40"/>
      <c r="H811" s="34"/>
    </row>
    <row r="812">
      <c r="B812" s="24"/>
      <c r="C812" s="39"/>
      <c r="D812" s="39"/>
      <c r="E812" s="39"/>
      <c r="F812" s="39"/>
      <c r="G812" s="40"/>
      <c r="H812" s="34"/>
    </row>
    <row r="813">
      <c r="B813" s="24"/>
      <c r="C813" s="39"/>
      <c r="D813" s="39"/>
      <c r="E813" s="39"/>
      <c r="F813" s="39"/>
      <c r="G813" s="40"/>
      <c r="H813" s="34"/>
    </row>
    <row r="814">
      <c r="B814" s="24"/>
      <c r="C814" s="39"/>
      <c r="D814" s="39"/>
      <c r="E814" s="39"/>
      <c r="F814" s="39"/>
      <c r="G814" s="40"/>
      <c r="H814" s="34"/>
    </row>
    <row r="815">
      <c r="B815" s="24"/>
      <c r="C815" s="39"/>
      <c r="D815" s="39"/>
      <c r="E815" s="39"/>
      <c r="F815" s="39"/>
      <c r="G815" s="40"/>
      <c r="H815" s="34"/>
    </row>
    <row r="816">
      <c r="B816" s="24"/>
      <c r="C816" s="39"/>
      <c r="D816" s="39"/>
      <c r="E816" s="39"/>
      <c r="F816" s="39"/>
      <c r="G816" s="40"/>
      <c r="H816" s="34"/>
    </row>
    <row r="817">
      <c r="B817" s="24"/>
      <c r="C817" s="39"/>
      <c r="D817" s="39"/>
      <c r="E817" s="39"/>
      <c r="F817" s="39"/>
      <c r="G817" s="40"/>
      <c r="H817" s="34"/>
    </row>
    <row r="818">
      <c r="B818" s="24"/>
      <c r="C818" s="39"/>
      <c r="D818" s="39"/>
      <c r="E818" s="39"/>
      <c r="F818" s="39"/>
      <c r="G818" s="40"/>
      <c r="H818" s="34"/>
    </row>
    <row r="819">
      <c r="B819" s="24"/>
      <c r="C819" s="39"/>
      <c r="D819" s="39"/>
      <c r="E819" s="39"/>
      <c r="F819" s="39"/>
      <c r="G819" s="40"/>
      <c r="H819" s="34"/>
    </row>
    <row r="820">
      <c r="B820" s="24"/>
      <c r="C820" s="39"/>
      <c r="D820" s="39"/>
      <c r="E820" s="39"/>
      <c r="F820" s="39"/>
      <c r="G820" s="40"/>
      <c r="H820" s="34"/>
    </row>
    <row r="821">
      <c r="B821" s="24"/>
      <c r="C821" s="39"/>
      <c r="D821" s="39"/>
      <c r="E821" s="39"/>
      <c r="F821" s="39"/>
      <c r="G821" s="40"/>
      <c r="H821" s="34"/>
    </row>
    <row r="822">
      <c r="B822" s="24"/>
      <c r="C822" s="39"/>
      <c r="D822" s="39"/>
      <c r="E822" s="39"/>
      <c r="F822" s="39"/>
      <c r="G822" s="40"/>
      <c r="H822" s="34"/>
    </row>
    <row r="823">
      <c r="B823" s="24"/>
      <c r="C823" s="39"/>
      <c r="D823" s="39"/>
      <c r="E823" s="39"/>
      <c r="F823" s="39"/>
      <c r="G823" s="40"/>
      <c r="H823" s="34"/>
    </row>
    <row r="824">
      <c r="B824" s="24"/>
      <c r="C824" s="39"/>
      <c r="D824" s="39"/>
      <c r="E824" s="39"/>
      <c r="F824" s="39"/>
      <c r="G824" s="40"/>
      <c r="H824" s="34"/>
    </row>
    <row r="825">
      <c r="B825" s="24"/>
      <c r="C825" s="39"/>
      <c r="D825" s="39"/>
      <c r="E825" s="39"/>
      <c r="F825" s="39"/>
      <c r="G825" s="40"/>
      <c r="H825" s="34"/>
    </row>
    <row r="826">
      <c r="B826" s="24"/>
      <c r="C826" s="39"/>
      <c r="D826" s="39"/>
      <c r="E826" s="39"/>
      <c r="F826" s="39"/>
      <c r="G826" s="40"/>
      <c r="H826" s="34"/>
    </row>
    <row r="827">
      <c r="B827" s="24"/>
      <c r="C827" s="39"/>
      <c r="D827" s="39"/>
      <c r="E827" s="39"/>
      <c r="F827" s="39"/>
      <c r="G827" s="40"/>
      <c r="H827" s="34"/>
    </row>
    <row r="828">
      <c r="B828" s="24"/>
      <c r="C828" s="39"/>
      <c r="D828" s="39"/>
      <c r="E828" s="39"/>
      <c r="F828" s="39"/>
      <c r="G828" s="40"/>
      <c r="H828" s="34"/>
    </row>
    <row r="829">
      <c r="B829" s="24"/>
      <c r="C829" s="39"/>
      <c r="D829" s="39"/>
      <c r="E829" s="39"/>
      <c r="F829" s="39"/>
      <c r="G829" s="40"/>
      <c r="H829" s="34"/>
    </row>
    <row r="830">
      <c r="B830" s="24"/>
      <c r="C830" s="39"/>
      <c r="D830" s="39"/>
      <c r="E830" s="39"/>
      <c r="F830" s="39"/>
      <c r="G830" s="40"/>
      <c r="H830" s="34"/>
    </row>
    <row r="831">
      <c r="B831" s="24"/>
      <c r="C831" s="39"/>
      <c r="D831" s="39"/>
      <c r="E831" s="39"/>
      <c r="F831" s="39"/>
      <c r="G831" s="40"/>
      <c r="H831" s="34"/>
    </row>
    <row r="832">
      <c r="B832" s="24"/>
      <c r="C832" s="39"/>
      <c r="D832" s="39"/>
      <c r="E832" s="39"/>
      <c r="F832" s="39"/>
      <c r="G832" s="40"/>
      <c r="H832" s="34"/>
    </row>
    <row r="833">
      <c r="B833" s="24"/>
      <c r="C833" s="39"/>
      <c r="D833" s="39"/>
      <c r="E833" s="39"/>
      <c r="F833" s="39"/>
      <c r="G833" s="40"/>
      <c r="H833" s="34"/>
    </row>
    <row r="834">
      <c r="B834" s="24"/>
      <c r="C834" s="39"/>
      <c r="D834" s="39"/>
      <c r="E834" s="39"/>
      <c r="F834" s="39"/>
      <c r="G834" s="40"/>
      <c r="H834" s="34"/>
    </row>
    <row r="835">
      <c r="B835" s="24"/>
      <c r="C835" s="39"/>
      <c r="D835" s="39"/>
      <c r="E835" s="39"/>
      <c r="F835" s="39"/>
      <c r="G835" s="40"/>
      <c r="H835" s="34"/>
    </row>
    <row r="836">
      <c r="B836" s="24"/>
      <c r="C836" s="39"/>
      <c r="D836" s="39"/>
      <c r="E836" s="39"/>
      <c r="F836" s="39"/>
      <c r="G836" s="40"/>
      <c r="H836" s="34"/>
    </row>
    <row r="837">
      <c r="B837" s="24"/>
      <c r="C837" s="39"/>
      <c r="D837" s="39"/>
      <c r="E837" s="39"/>
      <c r="F837" s="39"/>
      <c r="G837" s="40"/>
      <c r="H837" s="34"/>
    </row>
    <row r="838">
      <c r="B838" s="24"/>
      <c r="C838" s="39"/>
      <c r="D838" s="39"/>
      <c r="E838" s="39"/>
      <c r="F838" s="39"/>
      <c r="G838" s="40"/>
      <c r="H838" s="34"/>
    </row>
    <row r="839">
      <c r="B839" s="24"/>
      <c r="C839" s="39"/>
      <c r="D839" s="39"/>
      <c r="E839" s="39"/>
      <c r="F839" s="39"/>
      <c r="G839" s="40"/>
      <c r="H839" s="34"/>
    </row>
    <row r="840">
      <c r="B840" s="24"/>
      <c r="C840" s="39"/>
      <c r="D840" s="39"/>
      <c r="E840" s="39"/>
      <c r="F840" s="39"/>
      <c r="G840" s="40"/>
      <c r="H840" s="34"/>
    </row>
    <row r="841">
      <c r="B841" s="24"/>
      <c r="C841" s="39"/>
      <c r="D841" s="39"/>
      <c r="E841" s="39"/>
      <c r="F841" s="39"/>
      <c r="G841" s="40"/>
      <c r="H841" s="34"/>
    </row>
    <row r="842">
      <c r="B842" s="24"/>
      <c r="C842" s="39"/>
      <c r="D842" s="39"/>
      <c r="E842" s="39"/>
      <c r="F842" s="39"/>
      <c r="G842" s="40"/>
      <c r="H842" s="34"/>
    </row>
    <row r="843">
      <c r="B843" s="24"/>
      <c r="C843" s="39"/>
      <c r="D843" s="39"/>
      <c r="E843" s="39"/>
      <c r="F843" s="39"/>
      <c r="G843" s="40"/>
      <c r="H843" s="34"/>
    </row>
    <row r="844">
      <c r="B844" s="24"/>
      <c r="C844" s="39"/>
      <c r="D844" s="39"/>
      <c r="E844" s="39"/>
      <c r="F844" s="39"/>
      <c r="G844" s="40"/>
      <c r="H844" s="34"/>
    </row>
    <row r="845">
      <c r="B845" s="24"/>
      <c r="C845" s="39"/>
      <c r="D845" s="39"/>
      <c r="E845" s="39"/>
      <c r="F845" s="39"/>
      <c r="G845" s="40"/>
      <c r="H845" s="34"/>
    </row>
    <row r="846">
      <c r="B846" s="24"/>
      <c r="C846" s="39"/>
      <c r="D846" s="39"/>
      <c r="E846" s="39"/>
      <c r="F846" s="39"/>
      <c r="G846" s="40"/>
      <c r="H846" s="34"/>
    </row>
    <row r="847">
      <c r="B847" s="24"/>
      <c r="C847" s="39"/>
      <c r="D847" s="39"/>
      <c r="E847" s="39"/>
      <c r="F847" s="39"/>
      <c r="G847" s="40"/>
      <c r="H847" s="34"/>
    </row>
    <row r="848">
      <c r="B848" s="24"/>
      <c r="C848" s="39"/>
      <c r="D848" s="39"/>
      <c r="E848" s="39"/>
      <c r="F848" s="39"/>
      <c r="G848" s="40"/>
      <c r="H848" s="34"/>
    </row>
    <row r="849">
      <c r="B849" s="24"/>
      <c r="C849" s="39"/>
      <c r="D849" s="39"/>
      <c r="E849" s="39"/>
      <c r="F849" s="39"/>
      <c r="G849" s="40"/>
      <c r="H849" s="34"/>
    </row>
    <row r="850">
      <c r="B850" s="24"/>
      <c r="C850" s="39"/>
      <c r="D850" s="39"/>
      <c r="E850" s="39"/>
      <c r="F850" s="39"/>
      <c r="G850" s="40"/>
      <c r="H850" s="34"/>
    </row>
    <row r="851">
      <c r="B851" s="24"/>
      <c r="C851" s="39"/>
      <c r="D851" s="39"/>
      <c r="E851" s="39"/>
      <c r="F851" s="39"/>
      <c r="G851" s="40"/>
      <c r="H851" s="34"/>
    </row>
    <row r="852">
      <c r="B852" s="24"/>
      <c r="C852" s="39"/>
      <c r="D852" s="39"/>
      <c r="E852" s="39"/>
      <c r="F852" s="39"/>
      <c r="G852" s="40"/>
      <c r="H852" s="34"/>
    </row>
    <row r="853">
      <c r="B853" s="24"/>
      <c r="C853" s="39"/>
      <c r="D853" s="39"/>
      <c r="E853" s="39"/>
      <c r="F853" s="39"/>
      <c r="G853" s="40"/>
      <c r="H853" s="34"/>
    </row>
    <row r="854">
      <c r="B854" s="24"/>
      <c r="C854" s="39"/>
      <c r="D854" s="39"/>
      <c r="E854" s="39"/>
      <c r="F854" s="39"/>
      <c r="G854" s="40"/>
      <c r="H854" s="34"/>
    </row>
    <row r="855">
      <c r="B855" s="24"/>
      <c r="C855" s="39"/>
      <c r="D855" s="39"/>
      <c r="E855" s="39"/>
      <c r="F855" s="39"/>
      <c r="G855" s="40"/>
      <c r="H855" s="34"/>
    </row>
    <row r="856">
      <c r="B856" s="24"/>
      <c r="C856" s="39"/>
      <c r="D856" s="39"/>
      <c r="E856" s="39"/>
      <c r="F856" s="39"/>
      <c r="G856" s="40"/>
      <c r="H856" s="34"/>
    </row>
    <row r="857">
      <c r="B857" s="24"/>
      <c r="C857" s="39"/>
      <c r="D857" s="39"/>
      <c r="E857" s="39"/>
      <c r="F857" s="39"/>
      <c r="G857" s="40"/>
      <c r="H857" s="34"/>
    </row>
    <row r="858">
      <c r="B858" s="24"/>
      <c r="C858" s="39"/>
      <c r="D858" s="39"/>
      <c r="E858" s="39"/>
      <c r="F858" s="39"/>
      <c r="G858" s="40"/>
      <c r="H858" s="34"/>
    </row>
    <row r="859">
      <c r="B859" s="24"/>
      <c r="C859" s="39"/>
      <c r="D859" s="39"/>
      <c r="E859" s="39"/>
      <c r="F859" s="39"/>
      <c r="G859" s="40"/>
      <c r="H859" s="34"/>
    </row>
    <row r="860">
      <c r="B860" s="24"/>
      <c r="C860" s="39"/>
      <c r="D860" s="39"/>
      <c r="E860" s="39"/>
      <c r="F860" s="39"/>
      <c r="G860" s="40"/>
      <c r="H860" s="34"/>
    </row>
    <row r="861">
      <c r="B861" s="24"/>
      <c r="C861" s="39"/>
      <c r="D861" s="39"/>
      <c r="E861" s="39"/>
      <c r="F861" s="39"/>
      <c r="G861" s="40"/>
      <c r="H861" s="34"/>
    </row>
    <row r="862">
      <c r="B862" s="24"/>
      <c r="C862" s="39"/>
      <c r="D862" s="39"/>
      <c r="E862" s="39"/>
      <c r="F862" s="39"/>
      <c r="G862" s="40"/>
      <c r="H862" s="34"/>
    </row>
    <row r="863">
      <c r="B863" s="24"/>
      <c r="C863" s="39"/>
      <c r="D863" s="39"/>
      <c r="E863" s="39"/>
      <c r="F863" s="39"/>
      <c r="G863" s="40"/>
      <c r="H863" s="34"/>
    </row>
    <row r="864">
      <c r="B864" s="24"/>
      <c r="C864" s="39"/>
      <c r="D864" s="39"/>
      <c r="E864" s="39"/>
      <c r="F864" s="39"/>
      <c r="G864" s="40"/>
      <c r="H864" s="34"/>
    </row>
    <row r="865">
      <c r="B865" s="24"/>
      <c r="C865" s="39"/>
      <c r="D865" s="39"/>
      <c r="E865" s="39"/>
      <c r="F865" s="39"/>
      <c r="G865" s="40"/>
      <c r="H865" s="34"/>
    </row>
    <row r="866">
      <c r="B866" s="24"/>
      <c r="C866" s="39"/>
      <c r="D866" s="39"/>
      <c r="E866" s="39"/>
      <c r="F866" s="39"/>
      <c r="G866" s="40"/>
      <c r="H866" s="34"/>
    </row>
    <row r="867">
      <c r="B867" s="24"/>
      <c r="C867" s="39"/>
      <c r="D867" s="39"/>
      <c r="E867" s="39"/>
      <c r="F867" s="39"/>
      <c r="G867" s="40"/>
      <c r="H867" s="34"/>
    </row>
    <row r="868">
      <c r="B868" s="24"/>
      <c r="C868" s="39"/>
      <c r="D868" s="39"/>
      <c r="E868" s="39"/>
      <c r="F868" s="39"/>
      <c r="G868" s="40"/>
      <c r="H868" s="34"/>
    </row>
    <row r="869">
      <c r="B869" s="24"/>
      <c r="C869" s="39"/>
      <c r="D869" s="39"/>
      <c r="E869" s="39"/>
      <c r="F869" s="39"/>
      <c r="G869" s="40"/>
      <c r="H869" s="34"/>
    </row>
    <row r="870">
      <c r="B870" s="24"/>
      <c r="C870" s="39"/>
      <c r="D870" s="39"/>
      <c r="E870" s="39"/>
      <c r="F870" s="39"/>
      <c r="G870" s="40"/>
      <c r="H870" s="34"/>
    </row>
    <row r="871">
      <c r="B871" s="24"/>
      <c r="C871" s="39"/>
      <c r="D871" s="39"/>
      <c r="E871" s="39"/>
      <c r="F871" s="39"/>
      <c r="G871" s="40"/>
      <c r="H871" s="34"/>
    </row>
    <row r="872">
      <c r="B872" s="24"/>
      <c r="C872" s="39"/>
      <c r="D872" s="39"/>
      <c r="E872" s="39"/>
      <c r="F872" s="39"/>
      <c r="G872" s="40"/>
      <c r="H872" s="34"/>
    </row>
    <row r="873">
      <c r="B873" s="24"/>
      <c r="C873" s="39"/>
      <c r="D873" s="39"/>
      <c r="E873" s="39"/>
      <c r="F873" s="39"/>
      <c r="G873" s="40"/>
      <c r="H873" s="34"/>
    </row>
    <row r="874">
      <c r="B874" s="24"/>
      <c r="C874" s="39"/>
      <c r="D874" s="39"/>
      <c r="E874" s="39"/>
      <c r="F874" s="39"/>
      <c r="G874" s="40"/>
      <c r="H874" s="34"/>
    </row>
    <row r="875">
      <c r="B875" s="24"/>
      <c r="C875" s="39"/>
      <c r="D875" s="39"/>
      <c r="E875" s="39"/>
      <c r="F875" s="39"/>
      <c r="G875" s="40"/>
      <c r="H875" s="34"/>
    </row>
    <row r="876">
      <c r="B876" s="24"/>
      <c r="C876" s="39"/>
      <c r="D876" s="39"/>
      <c r="E876" s="39"/>
      <c r="F876" s="39"/>
      <c r="G876" s="40"/>
      <c r="H876" s="34"/>
    </row>
    <row r="877">
      <c r="B877" s="24"/>
      <c r="C877" s="39"/>
      <c r="D877" s="39"/>
      <c r="E877" s="39"/>
      <c r="F877" s="39"/>
      <c r="G877" s="40"/>
      <c r="H877" s="34"/>
    </row>
    <row r="878">
      <c r="B878" s="24"/>
      <c r="C878" s="39"/>
      <c r="D878" s="39"/>
      <c r="E878" s="39"/>
      <c r="F878" s="39"/>
      <c r="G878" s="40"/>
      <c r="H878" s="34"/>
    </row>
    <row r="879">
      <c r="B879" s="24"/>
      <c r="C879" s="39"/>
      <c r="D879" s="39"/>
      <c r="E879" s="39"/>
      <c r="F879" s="39"/>
      <c r="G879" s="40"/>
      <c r="H879" s="34"/>
    </row>
    <row r="880">
      <c r="B880" s="24"/>
      <c r="C880" s="39"/>
      <c r="D880" s="39"/>
      <c r="E880" s="39"/>
      <c r="F880" s="39"/>
      <c r="G880" s="40"/>
      <c r="H880" s="34"/>
    </row>
    <row r="881">
      <c r="B881" s="24"/>
      <c r="C881" s="39"/>
      <c r="D881" s="39"/>
      <c r="E881" s="39"/>
      <c r="F881" s="39"/>
      <c r="G881" s="40"/>
      <c r="H881" s="34"/>
    </row>
    <row r="882">
      <c r="B882" s="24"/>
      <c r="C882" s="39"/>
      <c r="D882" s="39"/>
      <c r="E882" s="39"/>
      <c r="F882" s="39"/>
      <c r="G882" s="40"/>
      <c r="H882" s="34"/>
    </row>
    <row r="883">
      <c r="B883" s="24"/>
      <c r="C883" s="39"/>
      <c r="D883" s="39"/>
      <c r="E883" s="39"/>
      <c r="F883" s="39"/>
      <c r="G883" s="40"/>
      <c r="H883" s="34"/>
    </row>
    <row r="884">
      <c r="B884" s="24"/>
      <c r="C884" s="39"/>
      <c r="D884" s="39"/>
      <c r="E884" s="39"/>
      <c r="F884" s="39"/>
      <c r="G884" s="40"/>
      <c r="H884" s="34"/>
    </row>
    <row r="885">
      <c r="B885" s="24"/>
      <c r="C885" s="39"/>
      <c r="D885" s="39"/>
      <c r="E885" s="39"/>
      <c r="F885" s="39"/>
      <c r="G885" s="40"/>
      <c r="H885" s="34"/>
    </row>
    <row r="886">
      <c r="B886" s="24"/>
      <c r="C886" s="39"/>
      <c r="D886" s="39"/>
      <c r="E886" s="39"/>
      <c r="F886" s="39"/>
      <c r="G886" s="40"/>
      <c r="H886" s="34"/>
    </row>
    <row r="887">
      <c r="B887" s="24"/>
      <c r="C887" s="39"/>
      <c r="D887" s="39"/>
      <c r="E887" s="39"/>
      <c r="F887" s="39"/>
      <c r="G887" s="40"/>
      <c r="H887" s="34"/>
    </row>
    <row r="888">
      <c r="B888" s="24"/>
      <c r="C888" s="39"/>
      <c r="D888" s="39"/>
      <c r="E888" s="39"/>
      <c r="F888" s="39"/>
      <c r="G888" s="40"/>
      <c r="H888" s="34"/>
    </row>
    <row r="889">
      <c r="B889" s="24"/>
      <c r="C889" s="39"/>
      <c r="D889" s="39"/>
      <c r="E889" s="39"/>
      <c r="F889" s="39"/>
      <c r="G889" s="40"/>
      <c r="H889" s="34"/>
    </row>
    <row r="890">
      <c r="B890" s="24"/>
      <c r="C890" s="39"/>
      <c r="D890" s="39"/>
      <c r="E890" s="39"/>
      <c r="F890" s="39"/>
      <c r="G890" s="40"/>
      <c r="H890" s="34"/>
    </row>
    <row r="891">
      <c r="B891" s="24"/>
      <c r="C891" s="39"/>
      <c r="D891" s="39"/>
      <c r="E891" s="39"/>
      <c r="F891" s="39"/>
      <c r="G891" s="40"/>
      <c r="H891" s="34"/>
    </row>
    <row r="892">
      <c r="B892" s="24"/>
      <c r="C892" s="39"/>
      <c r="D892" s="39"/>
      <c r="E892" s="39"/>
      <c r="F892" s="39"/>
      <c r="G892" s="40"/>
      <c r="H892" s="34"/>
    </row>
    <row r="893">
      <c r="B893" s="24"/>
      <c r="C893" s="39"/>
      <c r="D893" s="39"/>
      <c r="E893" s="39"/>
      <c r="F893" s="39"/>
      <c r="G893" s="40"/>
      <c r="H893" s="34"/>
    </row>
    <row r="894">
      <c r="B894" s="24"/>
      <c r="C894" s="39"/>
      <c r="D894" s="39"/>
      <c r="E894" s="39"/>
      <c r="F894" s="39"/>
      <c r="G894" s="40"/>
      <c r="H894" s="34"/>
    </row>
    <row r="895">
      <c r="B895" s="24"/>
      <c r="C895" s="39"/>
      <c r="D895" s="39"/>
      <c r="E895" s="39"/>
      <c r="F895" s="39"/>
      <c r="G895" s="40"/>
      <c r="H895" s="34"/>
    </row>
    <row r="896">
      <c r="B896" s="24"/>
      <c r="C896" s="39"/>
      <c r="D896" s="39"/>
      <c r="E896" s="39"/>
      <c r="F896" s="39"/>
      <c r="G896" s="40"/>
      <c r="H896" s="34"/>
    </row>
    <row r="897">
      <c r="B897" s="24"/>
      <c r="C897" s="39"/>
      <c r="D897" s="39"/>
      <c r="E897" s="39"/>
      <c r="F897" s="39"/>
      <c r="G897" s="40"/>
      <c r="H897" s="34"/>
    </row>
    <row r="898">
      <c r="B898" s="24"/>
      <c r="C898" s="39"/>
      <c r="D898" s="39"/>
      <c r="E898" s="39"/>
      <c r="F898" s="39"/>
      <c r="G898" s="40"/>
      <c r="H898" s="34"/>
    </row>
    <row r="899">
      <c r="B899" s="24"/>
      <c r="C899" s="39"/>
      <c r="D899" s="39"/>
      <c r="E899" s="39"/>
      <c r="F899" s="39"/>
      <c r="G899" s="40"/>
      <c r="H899" s="34"/>
    </row>
    <row r="900">
      <c r="B900" s="24"/>
      <c r="C900" s="39"/>
      <c r="D900" s="39"/>
      <c r="E900" s="39"/>
      <c r="F900" s="39"/>
      <c r="G900" s="40"/>
      <c r="H900" s="34"/>
    </row>
    <row r="901">
      <c r="B901" s="24"/>
      <c r="C901" s="39"/>
      <c r="D901" s="39"/>
      <c r="E901" s="39"/>
      <c r="F901" s="39"/>
      <c r="G901" s="40"/>
      <c r="H901" s="34"/>
    </row>
    <row r="902">
      <c r="B902" s="24"/>
      <c r="C902" s="39"/>
      <c r="D902" s="39"/>
      <c r="E902" s="39"/>
      <c r="F902" s="39"/>
      <c r="G902" s="40"/>
      <c r="H902" s="34"/>
    </row>
    <row r="903">
      <c r="B903" s="24"/>
      <c r="C903" s="39"/>
      <c r="D903" s="39"/>
      <c r="E903" s="39"/>
      <c r="F903" s="39"/>
      <c r="G903" s="40"/>
      <c r="H903" s="34"/>
    </row>
    <row r="904">
      <c r="B904" s="24"/>
      <c r="C904" s="39"/>
      <c r="D904" s="39"/>
      <c r="E904" s="39"/>
      <c r="F904" s="39"/>
      <c r="G904" s="40"/>
      <c r="H904" s="34"/>
    </row>
    <row r="905">
      <c r="B905" s="24"/>
      <c r="C905" s="39"/>
      <c r="D905" s="39"/>
      <c r="E905" s="39"/>
      <c r="F905" s="39"/>
      <c r="G905" s="40"/>
      <c r="H905" s="34"/>
    </row>
    <row r="906">
      <c r="B906" s="24"/>
      <c r="C906" s="39"/>
      <c r="D906" s="39"/>
      <c r="E906" s="39"/>
      <c r="F906" s="39"/>
      <c r="G906" s="40"/>
      <c r="H906" s="34"/>
    </row>
    <row r="907">
      <c r="B907" s="24"/>
      <c r="C907" s="39"/>
      <c r="D907" s="39"/>
      <c r="E907" s="39"/>
      <c r="F907" s="39"/>
      <c r="G907" s="40"/>
      <c r="H907" s="34"/>
    </row>
    <row r="908">
      <c r="B908" s="24"/>
      <c r="C908" s="39"/>
      <c r="D908" s="39"/>
      <c r="E908" s="39"/>
      <c r="F908" s="39"/>
      <c r="G908" s="40"/>
      <c r="H908" s="34"/>
    </row>
    <row r="909">
      <c r="B909" s="24"/>
      <c r="G909" s="38"/>
      <c r="H909" s="34"/>
    </row>
    <row r="910">
      <c r="B910" s="24"/>
      <c r="G910" s="38"/>
      <c r="H910" s="34"/>
    </row>
    <row r="911">
      <c r="B911" s="24"/>
      <c r="G911" s="38"/>
      <c r="H911" s="34"/>
    </row>
    <row r="912">
      <c r="B912" s="24"/>
      <c r="G912" s="38"/>
      <c r="H912" s="34"/>
    </row>
    <row r="913">
      <c r="B913" s="24"/>
      <c r="G913" s="38"/>
      <c r="H913" s="34"/>
    </row>
    <row r="914">
      <c r="B914" s="24"/>
      <c r="G914" s="38"/>
      <c r="H914" s="34"/>
    </row>
    <row r="915">
      <c r="B915" s="24"/>
      <c r="G915" s="38"/>
      <c r="H915" s="34"/>
    </row>
    <row r="916">
      <c r="B916" s="24"/>
      <c r="G916" s="38"/>
      <c r="H916" s="34"/>
    </row>
    <row r="917">
      <c r="B917" s="24"/>
      <c r="G917" s="38"/>
      <c r="H917" s="34"/>
    </row>
    <row r="918">
      <c r="B918" s="24"/>
      <c r="G918" s="38"/>
      <c r="H918" s="34"/>
    </row>
    <row r="919">
      <c r="B919" s="24"/>
      <c r="G919" s="38"/>
      <c r="H919" s="34"/>
    </row>
    <row r="920">
      <c r="B920" s="24"/>
      <c r="G920" s="38"/>
      <c r="H920" s="34"/>
    </row>
    <row r="921">
      <c r="B921" s="24"/>
      <c r="G921" s="38"/>
      <c r="H921" s="34"/>
    </row>
    <row r="922">
      <c r="B922" s="24"/>
      <c r="G922" s="38"/>
      <c r="H922" s="34"/>
    </row>
    <row r="923">
      <c r="B923" s="24"/>
      <c r="G923" s="38"/>
      <c r="H923" s="34"/>
    </row>
    <row r="924">
      <c r="B924" s="24"/>
      <c r="G924" s="38"/>
      <c r="H924" s="34"/>
    </row>
    <row r="925">
      <c r="B925" s="24"/>
      <c r="G925" s="38"/>
      <c r="H925" s="34"/>
    </row>
    <row r="926">
      <c r="B926" s="24"/>
      <c r="G926" s="38"/>
      <c r="H926" s="34"/>
    </row>
    <row r="927">
      <c r="B927" s="24"/>
      <c r="G927" s="38"/>
      <c r="H927" s="34"/>
    </row>
    <row r="928">
      <c r="B928" s="24"/>
      <c r="G928" s="38"/>
      <c r="H928" s="34"/>
    </row>
    <row r="929">
      <c r="B929" s="24"/>
      <c r="G929" s="38"/>
      <c r="H929" s="34"/>
    </row>
    <row r="930">
      <c r="B930" s="24"/>
      <c r="G930" s="38"/>
      <c r="H930" s="34"/>
    </row>
    <row r="931">
      <c r="B931" s="24"/>
      <c r="G931" s="38"/>
      <c r="H931" s="34"/>
    </row>
    <row r="932">
      <c r="B932" s="24"/>
      <c r="G932" s="38"/>
      <c r="H932" s="34"/>
    </row>
    <row r="933">
      <c r="B933" s="24"/>
      <c r="G933" s="38"/>
      <c r="H933" s="34"/>
    </row>
    <row r="934">
      <c r="B934" s="24"/>
      <c r="G934" s="38"/>
      <c r="H934" s="34"/>
    </row>
    <row r="935">
      <c r="B935" s="24"/>
      <c r="G935" s="38"/>
      <c r="H935" s="34"/>
    </row>
    <row r="936">
      <c r="B936" s="24"/>
      <c r="G936" s="38"/>
      <c r="H936" s="34"/>
    </row>
    <row r="937">
      <c r="B937" s="24"/>
      <c r="G937" s="38"/>
      <c r="H937" s="34"/>
    </row>
    <row r="938">
      <c r="B938" s="24"/>
      <c r="G938" s="38"/>
      <c r="H938" s="34"/>
    </row>
    <row r="939">
      <c r="B939" s="24"/>
      <c r="G939" s="38"/>
      <c r="H939" s="34"/>
    </row>
    <row r="940">
      <c r="B940" s="24"/>
      <c r="G940" s="38"/>
      <c r="H940" s="34"/>
    </row>
    <row r="941">
      <c r="B941" s="24"/>
      <c r="G941" s="38"/>
      <c r="H941" s="34"/>
    </row>
    <row r="942">
      <c r="B942" s="24"/>
      <c r="G942" s="38"/>
      <c r="H942" s="34"/>
    </row>
    <row r="943">
      <c r="B943" s="24"/>
      <c r="G943" s="38"/>
      <c r="H943" s="34"/>
    </row>
    <row r="944">
      <c r="B944" s="24"/>
      <c r="G944" s="38"/>
      <c r="H944" s="34"/>
    </row>
    <row r="945">
      <c r="B945" s="24"/>
      <c r="G945" s="38"/>
      <c r="H945" s="34"/>
    </row>
    <row r="946">
      <c r="B946" s="24"/>
      <c r="G946" s="38"/>
      <c r="H946" s="34"/>
    </row>
    <row r="947">
      <c r="B947" s="24"/>
      <c r="G947" s="38"/>
      <c r="H947" s="34"/>
    </row>
    <row r="948">
      <c r="B948" s="24"/>
      <c r="G948" s="38"/>
      <c r="H948" s="34"/>
    </row>
    <row r="949">
      <c r="B949" s="24"/>
      <c r="G949" s="38"/>
      <c r="H949" s="34"/>
    </row>
    <row r="950">
      <c r="B950" s="24"/>
      <c r="G950" s="38"/>
      <c r="H950" s="34"/>
    </row>
    <row r="951">
      <c r="B951" s="24"/>
      <c r="G951" s="38"/>
      <c r="H951" s="34"/>
    </row>
    <row r="952">
      <c r="B952" s="24"/>
      <c r="G952" s="38"/>
      <c r="H952" s="34"/>
    </row>
    <row r="953">
      <c r="B953" s="24"/>
      <c r="G953" s="38"/>
      <c r="H953" s="34"/>
    </row>
    <row r="954">
      <c r="B954" s="24"/>
      <c r="G954" s="38"/>
      <c r="H954" s="34"/>
    </row>
    <row r="955">
      <c r="B955" s="24"/>
      <c r="G955" s="38"/>
      <c r="H955" s="34"/>
    </row>
    <row r="956">
      <c r="B956" s="24"/>
      <c r="G956" s="38"/>
      <c r="H956" s="34"/>
    </row>
    <row r="957">
      <c r="B957" s="24"/>
      <c r="G957" s="38"/>
      <c r="H957" s="34"/>
    </row>
    <row r="958">
      <c r="B958" s="24"/>
      <c r="G958" s="38"/>
      <c r="H958" s="34"/>
    </row>
    <row r="959">
      <c r="B959" s="24"/>
      <c r="G959" s="38"/>
      <c r="H959" s="34"/>
    </row>
    <row r="960">
      <c r="B960" s="24"/>
      <c r="G960" s="38"/>
      <c r="H960" s="34"/>
    </row>
    <row r="961">
      <c r="B961" s="24"/>
      <c r="G961" s="38"/>
      <c r="H961" s="34"/>
    </row>
    <row r="962">
      <c r="B962" s="24"/>
      <c r="G962" s="38"/>
      <c r="H962" s="34"/>
    </row>
    <row r="963">
      <c r="B963" s="24"/>
      <c r="G963" s="38"/>
      <c r="H963" s="34"/>
    </row>
    <row r="964">
      <c r="B964" s="24"/>
      <c r="G964" s="38"/>
      <c r="H964" s="34"/>
    </row>
    <row r="965">
      <c r="B965" s="24"/>
      <c r="G965" s="38"/>
      <c r="H965" s="34"/>
    </row>
    <row r="966">
      <c r="B966" s="24"/>
      <c r="G966" s="38"/>
      <c r="H966" s="34"/>
    </row>
    <row r="967">
      <c r="B967" s="24"/>
      <c r="G967" s="38"/>
      <c r="H967" s="34"/>
    </row>
    <row r="968">
      <c r="B968" s="24"/>
      <c r="G968" s="38"/>
      <c r="H968" s="34"/>
    </row>
    <row r="969">
      <c r="B969" s="24"/>
      <c r="G969" s="38"/>
      <c r="H969" s="34"/>
    </row>
    <row r="970">
      <c r="B970" s="24"/>
      <c r="G970" s="38"/>
      <c r="H970" s="34"/>
    </row>
    <row r="971">
      <c r="B971" s="24"/>
      <c r="G971" s="38"/>
      <c r="H971" s="34"/>
    </row>
    <row r="972">
      <c r="B972" s="24"/>
      <c r="G972" s="38"/>
      <c r="H972" s="34"/>
    </row>
    <row r="973">
      <c r="B973" s="24"/>
      <c r="G973" s="38"/>
      <c r="H973" s="34"/>
    </row>
    <row r="974">
      <c r="B974" s="24"/>
      <c r="G974" s="38"/>
      <c r="H974" s="34"/>
    </row>
    <row r="975">
      <c r="B975" s="24"/>
      <c r="G975" s="38"/>
      <c r="H975" s="34"/>
    </row>
    <row r="976">
      <c r="B976" s="24"/>
      <c r="G976" s="38"/>
      <c r="H976" s="34"/>
    </row>
    <row r="977">
      <c r="B977" s="24"/>
      <c r="G977" s="38"/>
      <c r="H977" s="34"/>
    </row>
    <row r="978">
      <c r="B978" s="24"/>
      <c r="G978" s="38"/>
      <c r="H978" s="34"/>
    </row>
    <row r="979">
      <c r="B979" s="24"/>
      <c r="G979" s="38"/>
      <c r="H979" s="34"/>
    </row>
    <row r="980">
      <c r="B980" s="24"/>
      <c r="G980" s="38"/>
      <c r="H980" s="34"/>
    </row>
    <row r="981">
      <c r="B981" s="24"/>
      <c r="G981" s="38"/>
      <c r="H981" s="34"/>
    </row>
    <row r="982">
      <c r="B982" s="24"/>
      <c r="G982" s="38"/>
      <c r="H982" s="34"/>
    </row>
    <row r="983">
      <c r="B983" s="24"/>
      <c r="G983" s="38"/>
      <c r="H983" s="34"/>
    </row>
    <row r="984">
      <c r="B984" s="24"/>
      <c r="G984" s="38"/>
      <c r="H984" s="34"/>
    </row>
    <row r="985">
      <c r="B985" s="24"/>
      <c r="G985" s="38"/>
      <c r="H985" s="34"/>
    </row>
    <row r="986">
      <c r="B986" s="24"/>
      <c r="G986" s="38"/>
      <c r="H986" s="34"/>
    </row>
    <row r="987">
      <c r="B987" s="24"/>
      <c r="G987" s="38"/>
      <c r="H987" s="34"/>
    </row>
    <row r="988">
      <c r="B988" s="24"/>
      <c r="G988" s="38"/>
      <c r="H988" s="34"/>
    </row>
    <row r="989">
      <c r="B989" s="24"/>
      <c r="G989" s="38"/>
      <c r="H989" s="34"/>
    </row>
    <row r="990">
      <c r="B990" s="24"/>
      <c r="G990" s="38"/>
      <c r="H990" s="34"/>
    </row>
    <row r="991">
      <c r="B991" s="24"/>
      <c r="G991" s="38"/>
      <c r="H991" s="34"/>
    </row>
    <row r="992">
      <c r="B992" s="24"/>
      <c r="G992" s="38"/>
      <c r="H992" s="34"/>
    </row>
    <row r="993">
      <c r="B993" s="24"/>
      <c r="G993" s="38"/>
      <c r="H993" s="34"/>
    </row>
    <row r="994">
      <c r="B994" s="24"/>
      <c r="G994" s="38"/>
      <c r="H994" s="34"/>
    </row>
    <row r="995">
      <c r="B995" s="24"/>
      <c r="G995" s="38"/>
      <c r="H995" s="34"/>
    </row>
    <row r="996">
      <c r="B996" s="24"/>
      <c r="G996" s="38"/>
      <c r="H996" s="34"/>
    </row>
    <row r="997">
      <c r="B997" s="24"/>
      <c r="G997" s="38"/>
      <c r="H997" s="34"/>
    </row>
    <row r="998">
      <c r="B998" s="24"/>
      <c r="G998" s="38"/>
      <c r="H998" s="34"/>
    </row>
    <row r="999">
      <c r="B999" s="24"/>
      <c r="G999" s="38"/>
      <c r="H999" s="34"/>
    </row>
    <row r="1000">
      <c r="B1000" s="24"/>
      <c r="G1000" s="38"/>
      <c r="H1000" s="34"/>
    </row>
  </sheetData>
  <conditionalFormatting sqref="C2:G126">
    <cfRule type="cellIs" dxfId="0" priority="1" operator="equal">
      <formula>"SDG 7"</formula>
    </cfRule>
  </conditionalFormatting>
  <conditionalFormatting sqref="C2:G126">
    <cfRule type="cellIs" dxfId="1" priority="2" operator="equal">
      <formula>"NOT SDG 7"</formula>
    </cfRule>
  </conditionalFormatting>
  <conditionalFormatting sqref="C2:G126">
    <cfRule type="cellIs" dxfId="2" priority="3" operator="equal">
      <formula>"TO DO"</formula>
    </cfRule>
  </conditionalFormatting>
  <conditionalFormatting sqref="C2:G126">
    <cfRule type="cellIs" dxfId="3" priority="4" operator="equal">
      <formula>"SKIP"</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s>
  <sheetData>
    <row r="1">
      <c r="A1" s="13" t="s">
        <v>370</v>
      </c>
      <c r="B1" s="13" t="s">
        <v>353</v>
      </c>
      <c r="C1" s="13" t="s">
        <v>354</v>
      </c>
      <c r="D1" s="13" t="s">
        <v>359</v>
      </c>
      <c r="E1" s="13" t="s">
        <v>371</v>
      </c>
      <c r="F1" s="13" t="s">
        <v>351</v>
      </c>
      <c r="G1" s="13" t="s">
        <v>372</v>
      </c>
    </row>
    <row r="2">
      <c r="A2" s="14" t="str">
        <f t="shared" ref="A2:A101" si="1">LEFT(MD5(B2), 7)</f>
        <v>#NAME?</v>
      </c>
      <c r="B2" s="14" t="s">
        <v>271</v>
      </c>
      <c r="C2" s="4">
        <v>7.0</v>
      </c>
      <c r="D2" s="4" t="b">
        <v>0</v>
      </c>
      <c r="E2" s="14" t="s">
        <v>270</v>
      </c>
      <c r="F2" s="14" t="s">
        <v>83</v>
      </c>
    </row>
    <row r="3">
      <c r="A3" s="14" t="str">
        <f t="shared" si="1"/>
        <v>#NAME?</v>
      </c>
      <c r="B3" s="14" t="s">
        <v>219</v>
      </c>
      <c r="C3" s="4">
        <v>7.0</v>
      </c>
      <c r="D3" s="4" t="b">
        <v>0</v>
      </c>
      <c r="E3" s="14" t="s">
        <v>218</v>
      </c>
      <c r="F3" s="14" t="s">
        <v>174</v>
      </c>
    </row>
    <row r="4">
      <c r="A4" s="14" t="str">
        <f t="shared" si="1"/>
        <v>#NAME?</v>
      </c>
      <c r="B4" s="4" t="s">
        <v>264</v>
      </c>
      <c r="C4" s="4">
        <v>7.0</v>
      </c>
      <c r="D4" s="4" t="b">
        <v>1</v>
      </c>
      <c r="E4" s="14" t="s">
        <v>263</v>
      </c>
      <c r="F4" s="14" t="s">
        <v>262</v>
      </c>
    </row>
    <row r="5">
      <c r="A5" s="14" t="str">
        <f t="shared" si="1"/>
        <v>#NAME?</v>
      </c>
      <c r="B5" s="14" t="s">
        <v>214</v>
      </c>
      <c r="C5" s="4">
        <v>7.0</v>
      </c>
      <c r="D5" s="4" t="b">
        <v>1</v>
      </c>
      <c r="E5" s="14" t="s">
        <v>213</v>
      </c>
      <c r="F5" s="14" t="s">
        <v>212</v>
      </c>
    </row>
    <row r="6">
      <c r="A6" s="14" t="str">
        <f t="shared" si="1"/>
        <v>#NAME?</v>
      </c>
      <c r="B6" s="4" t="s">
        <v>373</v>
      </c>
      <c r="C6" s="4">
        <v>7.0</v>
      </c>
      <c r="D6" s="4" t="b">
        <v>0</v>
      </c>
      <c r="E6" s="14" t="s">
        <v>216</v>
      </c>
      <c r="F6" s="14" t="s">
        <v>215</v>
      </c>
      <c r="G6" s="4" t="s">
        <v>374</v>
      </c>
    </row>
    <row r="7">
      <c r="A7" s="14" t="str">
        <f t="shared" si="1"/>
        <v>#NAME?</v>
      </c>
      <c r="B7" s="14" t="s">
        <v>116</v>
      </c>
      <c r="C7" s="4">
        <v>7.0</v>
      </c>
      <c r="D7" s="4" t="b">
        <v>0</v>
      </c>
      <c r="E7" s="14" t="s">
        <v>115</v>
      </c>
      <c r="F7" s="14" t="s">
        <v>114</v>
      </c>
    </row>
    <row r="8">
      <c r="A8" s="14" t="str">
        <f t="shared" si="1"/>
        <v>#NAME?</v>
      </c>
      <c r="B8" s="14" t="s">
        <v>181</v>
      </c>
      <c r="C8" s="4">
        <v>7.0</v>
      </c>
      <c r="D8" s="4" t="b">
        <v>0</v>
      </c>
      <c r="E8" s="14" t="s">
        <v>180</v>
      </c>
      <c r="F8" s="14" t="s">
        <v>143</v>
      </c>
    </row>
    <row r="9">
      <c r="A9" s="14" t="str">
        <f t="shared" si="1"/>
        <v>#NAME?</v>
      </c>
      <c r="B9" s="14" t="s">
        <v>184</v>
      </c>
      <c r="C9" s="4">
        <v>7.0</v>
      </c>
      <c r="D9" s="4" t="b">
        <v>0</v>
      </c>
      <c r="E9" s="14" t="s">
        <v>183</v>
      </c>
      <c r="F9" s="14" t="s">
        <v>182</v>
      </c>
    </row>
    <row r="10">
      <c r="A10" s="14" t="str">
        <f t="shared" si="1"/>
        <v>#NAME?</v>
      </c>
      <c r="B10" s="14" t="s">
        <v>317</v>
      </c>
      <c r="C10" s="4">
        <v>7.0</v>
      </c>
      <c r="D10" s="4" t="b">
        <v>1</v>
      </c>
      <c r="E10" s="14" t="s">
        <v>316</v>
      </c>
      <c r="F10" s="14" t="s">
        <v>149</v>
      </c>
    </row>
    <row r="11">
      <c r="A11" s="14" t="str">
        <f t="shared" si="1"/>
        <v>#NAME?</v>
      </c>
      <c r="B11" s="4" t="s">
        <v>375</v>
      </c>
      <c r="C11" s="4">
        <v>7.0</v>
      </c>
      <c r="D11" s="4" t="b">
        <v>0</v>
      </c>
      <c r="E11" s="14" t="s">
        <v>122</v>
      </c>
      <c r="F11" s="14" t="s">
        <v>90</v>
      </c>
      <c r="G11" s="4" t="s">
        <v>376</v>
      </c>
    </row>
    <row r="12">
      <c r="A12" s="14" t="str">
        <f t="shared" si="1"/>
        <v>#NAME?</v>
      </c>
      <c r="B12" s="4" t="s">
        <v>377</v>
      </c>
      <c r="C12" s="4">
        <v>7.0</v>
      </c>
      <c r="D12" s="4" t="b">
        <v>1</v>
      </c>
      <c r="E12" s="14" t="s">
        <v>112</v>
      </c>
      <c r="F12" s="14" t="s">
        <v>111</v>
      </c>
      <c r="G12" s="4" t="s">
        <v>376</v>
      </c>
    </row>
    <row r="13">
      <c r="A13" s="14" t="str">
        <f t="shared" si="1"/>
        <v>#NAME?</v>
      </c>
      <c r="B13" s="14" t="s">
        <v>173</v>
      </c>
      <c r="C13" s="4">
        <v>7.0</v>
      </c>
      <c r="D13" s="4" t="b">
        <v>1</v>
      </c>
      <c r="E13" s="14" t="s">
        <v>172</v>
      </c>
      <c r="F13" s="14" t="s">
        <v>102</v>
      </c>
    </row>
    <row r="14">
      <c r="A14" s="14" t="str">
        <f t="shared" si="1"/>
        <v>#NAME?</v>
      </c>
      <c r="B14" s="14" t="s">
        <v>285</v>
      </c>
      <c r="C14" s="4">
        <v>7.0</v>
      </c>
      <c r="D14" s="4" t="b">
        <v>1</v>
      </c>
      <c r="E14" s="14" t="s">
        <v>284</v>
      </c>
      <c r="F14" s="14" t="s">
        <v>99</v>
      </c>
    </row>
    <row r="15">
      <c r="A15" s="14" t="str">
        <f t="shared" si="1"/>
        <v>#NAME?</v>
      </c>
      <c r="B15" s="14" t="s">
        <v>291</v>
      </c>
      <c r="C15" s="4">
        <v>7.0</v>
      </c>
      <c r="D15" s="4" t="b">
        <v>0</v>
      </c>
      <c r="E15" s="14" t="s">
        <v>290</v>
      </c>
      <c r="F15" s="14" t="s">
        <v>289</v>
      </c>
    </row>
    <row r="16">
      <c r="A16" s="14" t="str">
        <f t="shared" si="1"/>
        <v>#NAME?</v>
      </c>
      <c r="B16" s="14" t="s">
        <v>228</v>
      </c>
      <c r="C16" s="4">
        <v>7.0</v>
      </c>
      <c r="D16" s="4" t="b">
        <v>1</v>
      </c>
      <c r="E16" s="14" t="s">
        <v>227</v>
      </c>
      <c r="F16" s="14" t="s">
        <v>226</v>
      </c>
    </row>
    <row r="17">
      <c r="A17" s="14" t="str">
        <f t="shared" si="1"/>
        <v>#NAME?</v>
      </c>
      <c r="B17" s="14" t="s">
        <v>293</v>
      </c>
      <c r="C17" s="4">
        <v>7.0</v>
      </c>
      <c r="D17" s="4" t="b">
        <v>1</v>
      </c>
      <c r="E17" s="14" t="s">
        <v>292</v>
      </c>
      <c r="F17" s="14" t="s">
        <v>137</v>
      </c>
    </row>
    <row r="18">
      <c r="A18" s="14" t="str">
        <f t="shared" si="1"/>
        <v>#NAME?</v>
      </c>
      <c r="B18" s="14" t="s">
        <v>335</v>
      </c>
      <c r="C18" s="4">
        <v>7.0</v>
      </c>
      <c r="D18" s="4" t="b">
        <v>1</v>
      </c>
      <c r="E18" s="14" t="s">
        <v>334</v>
      </c>
      <c r="F18" s="14" t="s">
        <v>333</v>
      </c>
    </row>
    <row r="19">
      <c r="A19" s="14" t="str">
        <f t="shared" si="1"/>
        <v>#NAME?</v>
      </c>
      <c r="B19" s="14" t="s">
        <v>168</v>
      </c>
      <c r="C19" s="4">
        <v>7.0</v>
      </c>
      <c r="D19" s="4" t="b">
        <v>1</v>
      </c>
      <c r="E19" s="14" t="s">
        <v>167</v>
      </c>
      <c r="F19" s="14" t="s">
        <v>114</v>
      </c>
    </row>
    <row r="20">
      <c r="A20" s="14" t="str">
        <f t="shared" si="1"/>
        <v>#NAME?</v>
      </c>
      <c r="B20" s="14" t="s">
        <v>186</v>
      </c>
      <c r="C20" s="4">
        <v>7.0</v>
      </c>
      <c r="D20" s="4" t="b">
        <v>0</v>
      </c>
      <c r="E20" s="14" t="s">
        <v>185</v>
      </c>
      <c r="F20" s="14" t="s">
        <v>158</v>
      </c>
    </row>
    <row r="21">
      <c r="A21" s="14" t="str">
        <f t="shared" si="1"/>
        <v>#NAME?</v>
      </c>
      <c r="B21" s="14" t="s">
        <v>176</v>
      </c>
      <c r="C21" s="4">
        <v>7.0</v>
      </c>
      <c r="D21" s="4" t="b">
        <v>1</v>
      </c>
      <c r="E21" s="14" t="s">
        <v>175</v>
      </c>
      <c r="F21" s="14" t="s">
        <v>174</v>
      </c>
    </row>
    <row r="22">
      <c r="A22" s="14" t="str">
        <f t="shared" si="1"/>
        <v>#NAME?</v>
      </c>
      <c r="B22" s="14" t="s">
        <v>202</v>
      </c>
      <c r="C22" s="4">
        <v>7.0</v>
      </c>
      <c r="D22" s="4" t="b">
        <v>1</v>
      </c>
      <c r="E22" s="14" t="s">
        <v>201</v>
      </c>
      <c r="F22" s="14" t="s">
        <v>200</v>
      </c>
    </row>
    <row r="23">
      <c r="A23" s="14" t="str">
        <f t="shared" si="1"/>
        <v>#NAME?</v>
      </c>
      <c r="B23" s="14" t="s">
        <v>231</v>
      </c>
      <c r="C23" s="4">
        <v>7.0</v>
      </c>
      <c r="D23" s="4" t="b">
        <v>0</v>
      </c>
      <c r="E23" s="14" t="s">
        <v>230</v>
      </c>
      <c r="F23" s="14" t="s">
        <v>229</v>
      </c>
    </row>
    <row r="24">
      <c r="A24" s="14" t="str">
        <f t="shared" si="1"/>
        <v>#NAME?</v>
      </c>
      <c r="B24" s="14" t="s">
        <v>257</v>
      </c>
      <c r="C24" s="4">
        <v>7.0</v>
      </c>
      <c r="D24" s="4" t="b">
        <v>1</v>
      </c>
      <c r="E24" s="14" t="s">
        <v>256</v>
      </c>
      <c r="F24" s="14" t="s">
        <v>255</v>
      </c>
    </row>
    <row r="25">
      <c r="A25" s="14" t="str">
        <f t="shared" si="1"/>
        <v>#NAME?</v>
      </c>
      <c r="B25" s="4" t="s">
        <v>378</v>
      </c>
      <c r="C25" s="4">
        <v>7.0</v>
      </c>
      <c r="D25" s="4" t="b">
        <v>1</v>
      </c>
      <c r="E25" s="14" t="s">
        <v>150</v>
      </c>
      <c r="F25" s="14" t="s">
        <v>149</v>
      </c>
      <c r="G25" s="4" t="s">
        <v>379</v>
      </c>
    </row>
    <row r="26">
      <c r="A26" s="14" t="str">
        <f t="shared" si="1"/>
        <v>#NAME?</v>
      </c>
      <c r="B26" s="14" t="s">
        <v>89</v>
      </c>
      <c r="C26" s="4">
        <v>7.0</v>
      </c>
      <c r="D26" s="4" t="b">
        <v>0</v>
      </c>
      <c r="E26" s="14" t="s">
        <v>88</v>
      </c>
      <c r="F26" s="14" t="s">
        <v>87</v>
      </c>
    </row>
    <row r="27">
      <c r="A27" s="14" t="str">
        <f t="shared" si="1"/>
        <v>#NAME?</v>
      </c>
      <c r="B27" s="14" t="s">
        <v>142</v>
      </c>
      <c r="C27" s="4">
        <v>7.0</v>
      </c>
      <c r="D27" s="4" t="b">
        <v>1</v>
      </c>
      <c r="E27" s="14" t="s">
        <v>141</v>
      </c>
      <c r="F27" s="14" t="s">
        <v>140</v>
      </c>
    </row>
    <row r="28">
      <c r="A28" s="14" t="str">
        <f t="shared" si="1"/>
        <v>#NAME?</v>
      </c>
      <c r="B28" s="14" t="s">
        <v>211</v>
      </c>
      <c r="C28" s="4">
        <v>7.0</v>
      </c>
      <c r="D28" s="4" t="b">
        <v>0</v>
      </c>
      <c r="E28" s="14" t="s">
        <v>210</v>
      </c>
      <c r="F28" s="14" t="s">
        <v>90</v>
      </c>
    </row>
    <row r="29">
      <c r="A29" s="14" t="str">
        <f t="shared" si="1"/>
        <v>#NAME?</v>
      </c>
      <c r="B29" s="14" t="s">
        <v>300</v>
      </c>
      <c r="C29" s="4">
        <v>7.0</v>
      </c>
      <c r="D29" s="4" t="b">
        <v>0</v>
      </c>
      <c r="E29" s="14" t="s">
        <v>299</v>
      </c>
      <c r="F29" s="14" t="s">
        <v>90</v>
      </c>
    </row>
    <row r="30">
      <c r="A30" s="14" t="str">
        <f t="shared" si="1"/>
        <v>#NAME?</v>
      </c>
      <c r="B30" s="14" t="s">
        <v>92</v>
      </c>
      <c r="C30" s="4">
        <v>7.0</v>
      </c>
      <c r="D30" s="4" t="b">
        <v>0</v>
      </c>
      <c r="E30" s="14" t="s">
        <v>91</v>
      </c>
      <c r="F30" s="14" t="s">
        <v>90</v>
      </c>
    </row>
    <row r="31">
      <c r="A31" s="14" t="str">
        <f t="shared" si="1"/>
        <v>#NAME?</v>
      </c>
      <c r="B31" s="14" t="s">
        <v>330</v>
      </c>
      <c r="C31" s="4">
        <v>7.0</v>
      </c>
      <c r="D31" s="4" t="b">
        <v>1</v>
      </c>
      <c r="E31" s="14" t="s">
        <v>329</v>
      </c>
      <c r="F31" s="14" t="s">
        <v>328</v>
      </c>
    </row>
    <row r="32">
      <c r="A32" s="14" t="str">
        <f t="shared" si="1"/>
        <v>#NAME?</v>
      </c>
      <c r="B32" s="14" t="s">
        <v>145</v>
      </c>
      <c r="C32" s="4">
        <v>7.0</v>
      </c>
      <c r="D32" s="4" t="b">
        <v>0</v>
      </c>
      <c r="E32" s="14" t="s">
        <v>144</v>
      </c>
      <c r="F32" s="14" t="s">
        <v>143</v>
      </c>
    </row>
    <row r="33">
      <c r="A33" s="14" t="str">
        <f t="shared" si="1"/>
        <v>#NAME?</v>
      </c>
      <c r="B33" s="14" t="s">
        <v>179</v>
      </c>
      <c r="C33" s="4">
        <v>7.0</v>
      </c>
      <c r="D33" s="4" t="b">
        <v>0</v>
      </c>
      <c r="E33" s="14" t="s">
        <v>178</v>
      </c>
      <c r="F33" s="14" t="s">
        <v>177</v>
      </c>
    </row>
    <row r="34">
      <c r="A34" s="14" t="str">
        <f t="shared" si="1"/>
        <v>#NAME?</v>
      </c>
      <c r="B34" s="14" t="s">
        <v>283</v>
      </c>
      <c r="C34" s="4">
        <v>7.0</v>
      </c>
      <c r="D34" s="4" t="b">
        <v>0</v>
      </c>
      <c r="E34" s="14" t="s">
        <v>282</v>
      </c>
      <c r="F34" s="14" t="s">
        <v>281</v>
      </c>
    </row>
    <row r="35">
      <c r="A35" s="14" t="str">
        <f t="shared" si="1"/>
        <v>#NAME?</v>
      </c>
      <c r="B35" s="14" t="s">
        <v>332</v>
      </c>
      <c r="C35" s="4">
        <v>7.0</v>
      </c>
      <c r="D35" s="4" t="b">
        <v>0</v>
      </c>
      <c r="E35" s="14" t="s">
        <v>331</v>
      </c>
      <c r="F35" s="14" t="s">
        <v>164</v>
      </c>
    </row>
    <row r="36">
      <c r="A36" s="14" t="str">
        <f t="shared" si="1"/>
        <v>#NAME?</v>
      </c>
      <c r="B36" s="14" t="s">
        <v>118</v>
      </c>
      <c r="C36" s="4">
        <v>7.0</v>
      </c>
      <c r="D36" s="4" t="b">
        <v>0</v>
      </c>
      <c r="E36" s="14" t="s">
        <v>117</v>
      </c>
      <c r="F36" s="14" t="s">
        <v>105</v>
      </c>
    </row>
    <row r="37">
      <c r="A37" s="14" t="str">
        <f t="shared" si="1"/>
        <v>#NAME?</v>
      </c>
      <c r="B37" s="14" t="s">
        <v>246</v>
      </c>
      <c r="C37" s="4">
        <v>7.0</v>
      </c>
      <c r="D37" s="4" t="b">
        <v>1</v>
      </c>
      <c r="E37" s="14" t="s">
        <v>245</v>
      </c>
      <c r="F37" s="14" t="s">
        <v>93</v>
      </c>
    </row>
    <row r="38">
      <c r="A38" s="14" t="str">
        <f t="shared" si="1"/>
        <v>#NAME?</v>
      </c>
      <c r="B38" s="14" t="s">
        <v>302</v>
      </c>
      <c r="C38" s="4">
        <v>7.0</v>
      </c>
      <c r="D38" s="4" t="b">
        <v>1</v>
      </c>
      <c r="E38" s="14" t="s">
        <v>301</v>
      </c>
      <c r="F38" s="14" t="s">
        <v>276</v>
      </c>
    </row>
    <row r="39">
      <c r="A39" s="14" t="str">
        <f t="shared" si="1"/>
        <v>#NAME?</v>
      </c>
      <c r="B39" s="14" t="s">
        <v>278</v>
      </c>
      <c r="C39" s="4">
        <v>7.0</v>
      </c>
      <c r="D39" s="4" t="b">
        <v>1</v>
      </c>
      <c r="E39" s="14" t="s">
        <v>277</v>
      </c>
      <c r="F39" s="14" t="s">
        <v>276</v>
      </c>
    </row>
    <row r="40">
      <c r="A40" s="14" t="str">
        <f t="shared" si="1"/>
        <v>#NAME?</v>
      </c>
      <c r="B40" s="14" t="s">
        <v>273</v>
      </c>
      <c r="C40" s="4">
        <v>7.0</v>
      </c>
      <c r="D40" s="4" t="b">
        <v>1</v>
      </c>
      <c r="E40" s="14" t="s">
        <v>272</v>
      </c>
      <c r="F40" s="14" t="s">
        <v>102</v>
      </c>
    </row>
    <row r="41">
      <c r="A41" s="14" t="str">
        <f t="shared" si="1"/>
        <v>#NAME?</v>
      </c>
      <c r="B41" s="14" t="s">
        <v>110</v>
      </c>
      <c r="C41" s="4">
        <v>7.0</v>
      </c>
      <c r="D41" s="4" t="b">
        <v>1</v>
      </c>
      <c r="E41" s="14" t="s">
        <v>109</v>
      </c>
      <c r="F41" s="14" t="s">
        <v>108</v>
      </c>
    </row>
    <row r="42">
      <c r="A42" s="14" t="str">
        <f t="shared" si="1"/>
        <v>#NAME?</v>
      </c>
      <c r="B42" s="14" t="s">
        <v>261</v>
      </c>
      <c r="C42" s="4">
        <v>7.0</v>
      </c>
      <c r="D42" s="4" t="b">
        <v>0</v>
      </c>
      <c r="E42" s="14" t="s">
        <v>260</v>
      </c>
      <c r="F42" s="14" t="s">
        <v>203</v>
      </c>
    </row>
    <row r="43">
      <c r="A43" s="14" t="str">
        <f t="shared" si="1"/>
        <v>#NAME?</v>
      </c>
      <c r="B43" s="14" t="s">
        <v>319</v>
      </c>
      <c r="C43" s="4">
        <v>7.0</v>
      </c>
      <c r="D43" s="4" t="b">
        <v>0</v>
      </c>
      <c r="E43" s="14" t="s">
        <v>318</v>
      </c>
      <c r="F43" s="14" t="s">
        <v>158</v>
      </c>
    </row>
    <row r="44">
      <c r="A44" s="14" t="str">
        <f t="shared" si="1"/>
        <v>#NAME?</v>
      </c>
      <c r="B44" s="14" t="s">
        <v>166</v>
      </c>
      <c r="C44" s="4">
        <v>7.0</v>
      </c>
      <c r="D44" s="4" t="b">
        <v>0</v>
      </c>
      <c r="E44" s="14" t="s">
        <v>165</v>
      </c>
      <c r="F44" s="14" t="s">
        <v>164</v>
      </c>
    </row>
    <row r="45">
      <c r="A45" s="14" t="str">
        <f t="shared" si="1"/>
        <v>#NAME?</v>
      </c>
      <c r="B45" s="14" t="s">
        <v>148</v>
      </c>
      <c r="C45" s="4">
        <v>7.0</v>
      </c>
      <c r="D45" s="4" t="b">
        <v>0</v>
      </c>
      <c r="E45" s="14" t="s">
        <v>147</v>
      </c>
      <c r="F45" s="14" t="s">
        <v>146</v>
      </c>
    </row>
    <row r="46">
      <c r="A46" s="14" t="str">
        <f t="shared" si="1"/>
        <v>#NAME?</v>
      </c>
      <c r="B46" s="14" t="s">
        <v>250</v>
      </c>
      <c r="C46" s="4">
        <v>7.0</v>
      </c>
      <c r="D46" s="4" t="b">
        <v>0</v>
      </c>
      <c r="E46" s="14" t="s">
        <v>249</v>
      </c>
      <c r="F46" s="14" t="s">
        <v>124</v>
      </c>
    </row>
    <row r="47">
      <c r="A47" s="14" t="str">
        <f t="shared" si="1"/>
        <v>#NAME?</v>
      </c>
      <c r="B47" s="14" t="s">
        <v>98</v>
      </c>
      <c r="C47" s="4">
        <v>7.0</v>
      </c>
      <c r="D47" s="4" t="b">
        <v>0</v>
      </c>
      <c r="E47" s="14" t="s">
        <v>97</v>
      </c>
      <c r="F47" s="14" t="s">
        <v>96</v>
      </c>
    </row>
    <row r="48">
      <c r="A48" s="14" t="str">
        <f t="shared" si="1"/>
        <v>#NAME?</v>
      </c>
      <c r="B48" s="14" t="s">
        <v>196</v>
      </c>
      <c r="C48" s="4">
        <v>7.0</v>
      </c>
      <c r="D48" s="4" t="b">
        <v>1</v>
      </c>
      <c r="E48" s="14" t="s">
        <v>195</v>
      </c>
      <c r="F48" s="14" t="s">
        <v>137</v>
      </c>
    </row>
    <row r="49">
      <c r="A49" s="14" t="str">
        <f t="shared" si="1"/>
        <v>#NAME?</v>
      </c>
      <c r="B49" s="14" t="s">
        <v>259</v>
      </c>
      <c r="C49" s="4">
        <v>7.0</v>
      </c>
      <c r="D49" s="4" t="b">
        <v>0</v>
      </c>
      <c r="E49" s="14" t="s">
        <v>258</v>
      </c>
      <c r="F49" s="14" t="s">
        <v>87</v>
      </c>
    </row>
    <row r="50">
      <c r="A50" s="14" t="str">
        <f t="shared" si="1"/>
        <v>#NAME?</v>
      </c>
      <c r="B50" s="4" t="s">
        <v>380</v>
      </c>
      <c r="C50" s="4">
        <v>7.0</v>
      </c>
      <c r="D50" s="4" t="b">
        <v>1</v>
      </c>
      <c r="E50" s="14" t="s">
        <v>193</v>
      </c>
      <c r="F50" s="14" t="s">
        <v>192</v>
      </c>
      <c r="G50" s="4" t="s">
        <v>381</v>
      </c>
    </row>
    <row r="51">
      <c r="A51" s="14" t="str">
        <f t="shared" si="1"/>
        <v>#NAME?</v>
      </c>
      <c r="B51" s="14" t="s">
        <v>248</v>
      </c>
      <c r="C51" s="4">
        <v>7.0</v>
      </c>
      <c r="D51" s="4" t="b">
        <v>0</v>
      </c>
      <c r="E51" s="14" t="s">
        <v>247</v>
      </c>
      <c r="F51" s="14" t="s">
        <v>83</v>
      </c>
    </row>
    <row r="52">
      <c r="A52" s="14" t="str">
        <f t="shared" si="1"/>
        <v>#NAME?</v>
      </c>
      <c r="B52" s="4" t="s">
        <v>382</v>
      </c>
      <c r="C52" s="4">
        <v>7.0</v>
      </c>
      <c r="D52" s="4" t="b">
        <v>1</v>
      </c>
      <c r="E52" s="14" t="s">
        <v>306</v>
      </c>
      <c r="F52" s="14" t="s">
        <v>305</v>
      </c>
      <c r="G52" s="4" t="s">
        <v>383</v>
      </c>
    </row>
    <row r="53">
      <c r="A53" s="14" t="str">
        <f t="shared" si="1"/>
        <v>#NAME?</v>
      </c>
      <c r="B53" s="14" t="s">
        <v>304</v>
      </c>
      <c r="C53" s="4">
        <v>7.0</v>
      </c>
      <c r="D53" s="4" t="b">
        <v>0</v>
      </c>
      <c r="E53" s="14" t="s">
        <v>303</v>
      </c>
      <c r="F53" s="14" t="s">
        <v>124</v>
      </c>
    </row>
    <row r="54">
      <c r="A54" s="14" t="str">
        <f t="shared" si="1"/>
        <v>#NAME?</v>
      </c>
      <c r="B54" s="14" t="s">
        <v>139</v>
      </c>
      <c r="C54" s="4">
        <v>7.0</v>
      </c>
      <c r="D54" s="4" t="b">
        <v>1</v>
      </c>
      <c r="E54" s="14" t="s">
        <v>138</v>
      </c>
      <c r="F54" s="14" t="s">
        <v>137</v>
      </c>
    </row>
    <row r="55">
      <c r="A55" s="14" t="str">
        <f t="shared" si="1"/>
        <v>#NAME?</v>
      </c>
      <c r="B55" s="14" t="s">
        <v>104</v>
      </c>
      <c r="C55" s="4">
        <v>7.0</v>
      </c>
      <c r="D55" s="4" t="b">
        <v>0</v>
      </c>
      <c r="E55" s="14" t="s">
        <v>103</v>
      </c>
      <c r="F55" s="14" t="s">
        <v>102</v>
      </c>
    </row>
    <row r="56">
      <c r="A56" s="14" t="str">
        <f t="shared" si="1"/>
        <v>#NAME?</v>
      </c>
      <c r="B56" s="14" t="s">
        <v>129</v>
      </c>
      <c r="C56" s="4">
        <v>7.0</v>
      </c>
      <c r="D56" s="4" t="b">
        <v>0</v>
      </c>
      <c r="E56" s="14" t="s">
        <v>128</v>
      </c>
      <c r="F56" s="14" t="s">
        <v>127</v>
      </c>
    </row>
    <row r="57">
      <c r="A57" s="14" t="str">
        <f t="shared" si="1"/>
        <v>#NAME?</v>
      </c>
      <c r="B57" s="14" t="s">
        <v>288</v>
      </c>
      <c r="C57" s="4">
        <v>7.0</v>
      </c>
      <c r="D57" s="4" t="b">
        <v>1</v>
      </c>
      <c r="E57" s="14" t="s">
        <v>287</v>
      </c>
      <c r="F57" s="14" t="s">
        <v>286</v>
      </c>
    </row>
    <row r="58">
      <c r="A58" s="14" t="str">
        <f t="shared" si="1"/>
        <v>#NAME?</v>
      </c>
      <c r="B58" s="4" t="s">
        <v>384</v>
      </c>
      <c r="C58" s="4">
        <v>7.0</v>
      </c>
      <c r="D58" s="4" t="b">
        <v>1</v>
      </c>
      <c r="E58" s="14" t="s">
        <v>326</v>
      </c>
      <c r="F58" s="14" t="s">
        <v>325</v>
      </c>
      <c r="G58" s="4" t="s">
        <v>376</v>
      </c>
    </row>
    <row r="59">
      <c r="A59" s="14" t="str">
        <f t="shared" si="1"/>
        <v>#NAME?</v>
      </c>
      <c r="B59" s="14" t="s">
        <v>236</v>
      </c>
      <c r="C59" s="4">
        <v>7.0</v>
      </c>
      <c r="D59" s="4" t="b">
        <v>1</v>
      </c>
      <c r="E59" s="14" t="s">
        <v>235</v>
      </c>
      <c r="F59" s="14" t="s">
        <v>229</v>
      </c>
    </row>
    <row r="60">
      <c r="A60" s="14" t="str">
        <f t="shared" si="1"/>
        <v>#NAME?</v>
      </c>
      <c r="B60" s="14" t="s">
        <v>337</v>
      </c>
      <c r="C60" s="4">
        <v>7.0</v>
      </c>
      <c r="D60" s="4" t="b">
        <v>0</v>
      </c>
      <c r="E60" s="14" t="s">
        <v>336</v>
      </c>
      <c r="F60" s="14" t="s">
        <v>146</v>
      </c>
    </row>
    <row r="61">
      <c r="A61" s="14" t="str">
        <f t="shared" si="1"/>
        <v>#NAME?</v>
      </c>
      <c r="B61" s="14" t="s">
        <v>131</v>
      </c>
      <c r="C61" s="4">
        <v>7.0</v>
      </c>
      <c r="D61" s="4" t="b">
        <v>0</v>
      </c>
      <c r="E61" s="14" t="s">
        <v>130</v>
      </c>
      <c r="F61" s="14" t="s">
        <v>124</v>
      </c>
    </row>
    <row r="62">
      <c r="A62" s="14" t="str">
        <f t="shared" si="1"/>
        <v>#NAME?</v>
      </c>
      <c r="B62" s="14" t="s">
        <v>280</v>
      </c>
      <c r="C62" s="4">
        <v>7.0</v>
      </c>
      <c r="D62" s="4" t="b">
        <v>0</v>
      </c>
      <c r="E62" s="14" t="s">
        <v>279</v>
      </c>
      <c r="F62" s="14" t="s">
        <v>124</v>
      </c>
    </row>
    <row r="63">
      <c r="A63" s="14" t="str">
        <f t="shared" si="1"/>
        <v>#NAME?</v>
      </c>
      <c r="B63" s="14" t="s">
        <v>315</v>
      </c>
      <c r="C63" s="4">
        <v>7.0</v>
      </c>
      <c r="D63" s="4" t="b">
        <v>0</v>
      </c>
      <c r="E63" s="14" t="s">
        <v>314</v>
      </c>
      <c r="F63" s="14" t="s">
        <v>313</v>
      </c>
    </row>
    <row r="64">
      <c r="A64" s="14" t="str">
        <f t="shared" si="1"/>
        <v>#NAME?</v>
      </c>
      <c r="B64" s="14" t="s">
        <v>296</v>
      </c>
      <c r="C64" s="4">
        <v>7.0</v>
      </c>
      <c r="D64" s="4" t="b">
        <v>1</v>
      </c>
      <c r="E64" s="14" t="s">
        <v>295</v>
      </c>
      <c r="F64" s="14" t="s">
        <v>294</v>
      </c>
    </row>
    <row r="65">
      <c r="A65" s="14" t="str">
        <f t="shared" si="1"/>
        <v>#NAME?</v>
      </c>
      <c r="B65" s="14" t="s">
        <v>188</v>
      </c>
      <c r="C65" s="4">
        <v>7.0</v>
      </c>
      <c r="D65" s="4" t="b">
        <v>0</v>
      </c>
      <c r="E65" s="14" t="s">
        <v>187</v>
      </c>
      <c r="F65" s="14" t="s">
        <v>177</v>
      </c>
    </row>
    <row r="66">
      <c r="A66" s="14" t="str">
        <f t="shared" si="1"/>
        <v>#NAME?</v>
      </c>
      <c r="B66" s="14" t="s">
        <v>244</v>
      </c>
      <c r="C66" s="4">
        <v>7.0</v>
      </c>
      <c r="D66" s="4" t="b">
        <v>1</v>
      </c>
      <c r="E66" s="14" t="s">
        <v>243</v>
      </c>
      <c r="F66" s="14" t="s">
        <v>242</v>
      </c>
    </row>
    <row r="67">
      <c r="A67" s="14" t="str">
        <f t="shared" si="1"/>
        <v>#NAME?</v>
      </c>
      <c r="B67" s="14" t="s">
        <v>154</v>
      </c>
      <c r="C67" s="4">
        <v>7.0</v>
      </c>
      <c r="D67" s="4" t="b">
        <v>0</v>
      </c>
      <c r="E67" s="14" t="s">
        <v>153</v>
      </c>
      <c r="F67" s="14" t="s">
        <v>152</v>
      </c>
    </row>
    <row r="68">
      <c r="A68" s="14" t="str">
        <f t="shared" si="1"/>
        <v>#NAME?</v>
      </c>
      <c r="B68" s="14" t="s">
        <v>254</v>
      </c>
      <c r="C68" s="4">
        <v>7.0</v>
      </c>
      <c r="D68" s="4" t="b">
        <v>0</v>
      </c>
      <c r="E68" s="14" t="s">
        <v>253</v>
      </c>
      <c r="F68" s="14" t="s">
        <v>87</v>
      </c>
    </row>
    <row r="69">
      <c r="A69" s="14" t="str">
        <f t="shared" si="1"/>
        <v>#NAME?</v>
      </c>
      <c r="B69" s="14" t="s">
        <v>101</v>
      </c>
      <c r="C69" s="4">
        <v>7.0</v>
      </c>
      <c r="D69" s="4" t="b">
        <v>1</v>
      </c>
      <c r="E69" s="14" t="s">
        <v>100</v>
      </c>
      <c r="F69" s="14" t="s">
        <v>99</v>
      </c>
    </row>
    <row r="70">
      <c r="A70" s="14" t="str">
        <f t="shared" si="1"/>
        <v>#NAME?</v>
      </c>
      <c r="B70" s="14" t="s">
        <v>225</v>
      </c>
      <c r="C70" s="4">
        <v>7.0</v>
      </c>
      <c r="D70" s="4" t="b">
        <v>1</v>
      </c>
      <c r="E70" s="14" t="s">
        <v>224</v>
      </c>
      <c r="F70" s="14" t="s">
        <v>223</v>
      </c>
    </row>
    <row r="71">
      <c r="A71" s="14" t="str">
        <f t="shared" si="1"/>
        <v>#NAME?</v>
      </c>
      <c r="B71" s="14" t="s">
        <v>160</v>
      </c>
      <c r="C71" s="4">
        <v>7.0</v>
      </c>
      <c r="D71" s="4" t="b">
        <v>0</v>
      </c>
      <c r="E71" s="14" t="s">
        <v>159</v>
      </c>
      <c r="F71" s="14" t="s">
        <v>158</v>
      </c>
    </row>
    <row r="72">
      <c r="A72" s="14" t="str">
        <f t="shared" si="1"/>
        <v>#NAME?</v>
      </c>
      <c r="B72" s="14" t="s">
        <v>312</v>
      </c>
      <c r="C72" s="4">
        <v>7.0</v>
      </c>
      <c r="D72" s="4" t="b">
        <v>1</v>
      </c>
      <c r="E72" s="14" t="s">
        <v>311</v>
      </c>
      <c r="F72" s="14" t="s">
        <v>93</v>
      </c>
    </row>
    <row r="73">
      <c r="A73" s="14" t="str">
        <f t="shared" si="1"/>
        <v>#NAME?</v>
      </c>
      <c r="B73" s="4" t="s">
        <v>385</v>
      </c>
      <c r="C73" s="4">
        <v>7.0</v>
      </c>
      <c r="D73" s="4" t="b">
        <v>0</v>
      </c>
      <c r="E73" s="14" t="s">
        <v>84</v>
      </c>
      <c r="F73" s="14" t="s">
        <v>83</v>
      </c>
      <c r="G73" s="4" t="s">
        <v>376</v>
      </c>
    </row>
    <row r="74">
      <c r="A74" s="14" t="str">
        <f t="shared" si="1"/>
        <v>#NAME?</v>
      </c>
      <c r="B74" s="14" t="s">
        <v>171</v>
      </c>
      <c r="C74" s="4">
        <v>7.0</v>
      </c>
      <c r="D74" s="4" t="b">
        <v>1</v>
      </c>
      <c r="E74" s="14" t="s">
        <v>170</v>
      </c>
      <c r="F74" s="14" t="s">
        <v>169</v>
      </c>
    </row>
    <row r="75">
      <c r="A75" s="14" t="str">
        <f t="shared" si="1"/>
        <v>#NAME?</v>
      </c>
      <c r="B75" s="14" t="s">
        <v>252</v>
      </c>
      <c r="C75" s="4">
        <v>7.0</v>
      </c>
      <c r="D75" s="4" t="b">
        <v>1</v>
      </c>
      <c r="E75" s="14" t="s">
        <v>251</v>
      </c>
      <c r="F75" s="14" t="s">
        <v>203</v>
      </c>
    </row>
    <row r="76">
      <c r="A76" s="14" t="str">
        <f t="shared" si="1"/>
        <v>#NAME?</v>
      </c>
      <c r="B76" s="14" t="s">
        <v>339</v>
      </c>
      <c r="C76" s="4">
        <v>7.0</v>
      </c>
      <c r="D76" s="4" t="b">
        <v>0</v>
      </c>
      <c r="E76" s="14" t="s">
        <v>338</v>
      </c>
      <c r="F76" s="14" t="s">
        <v>93</v>
      </c>
    </row>
    <row r="77">
      <c r="A77" s="14" t="str">
        <f t="shared" si="1"/>
        <v>#NAME?</v>
      </c>
      <c r="B77" s="14" t="s">
        <v>205</v>
      </c>
      <c r="C77" s="4">
        <v>7.0</v>
      </c>
      <c r="D77" s="4" t="b">
        <v>1</v>
      </c>
      <c r="E77" s="14" t="s">
        <v>204</v>
      </c>
      <c r="F77" s="14" t="s">
        <v>203</v>
      </c>
    </row>
    <row r="78">
      <c r="A78" s="14" t="str">
        <f t="shared" si="1"/>
        <v>#NAME?</v>
      </c>
      <c r="B78" s="14" t="s">
        <v>310</v>
      </c>
      <c r="C78" s="4">
        <v>7.0</v>
      </c>
      <c r="D78" s="4" t="b">
        <v>1</v>
      </c>
      <c r="E78" s="14" t="s">
        <v>309</v>
      </c>
      <c r="F78" s="14" t="s">
        <v>308</v>
      </c>
    </row>
    <row r="79">
      <c r="A79" s="14" t="str">
        <f t="shared" si="1"/>
        <v>#NAME?</v>
      </c>
      <c r="B79" s="14" t="s">
        <v>163</v>
      </c>
      <c r="C79" s="4">
        <v>7.0</v>
      </c>
      <c r="D79" s="4" t="b">
        <v>0</v>
      </c>
      <c r="E79" s="14" t="s">
        <v>162</v>
      </c>
      <c r="F79" s="14" t="s">
        <v>161</v>
      </c>
    </row>
    <row r="80">
      <c r="A80" s="14" t="str">
        <f t="shared" si="1"/>
        <v>#NAME?</v>
      </c>
      <c r="B80" s="14" t="s">
        <v>126</v>
      </c>
      <c r="C80" s="4">
        <v>7.0</v>
      </c>
      <c r="D80" s="4" t="b">
        <v>0</v>
      </c>
      <c r="E80" s="14" t="s">
        <v>125</v>
      </c>
      <c r="F80" s="14" t="s">
        <v>124</v>
      </c>
    </row>
    <row r="81">
      <c r="A81" s="14" t="str">
        <f t="shared" si="1"/>
        <v>#NAME?</v>
      </c>
      <c r="B81" s="14" t="s">
        <v>324</v>
      </c>
      <c r="C81" s="4">
        <v>7.0</v>
      </c>
      <c r="D81" s="4" t="b">
        <v>0</v>
      </c>
      <c r="E81" s="14" t="s">
        <v>323</v>
      </c>
      <c r="F81" s="14" t="s">
        <v>215</v>
      </c>
      <c r="G81" s="4" t="s">
        <v>386</v>
      </c>
    </row>
    <row r="82">
      <c r="A82" s="14" t="str">
        <f t="shared" si="1"/>
        <v>#NAME?</v>
      </c>
      <c r="B82" s="4" t="s">
        <v>387</v>
      </c>
      <c r="C82" s="4">
        <v>7.0</v>
      </c>
      <c r="D82" s="4" t="b">
        <v>1</v>
      </c>
      <c r="E82" s="14" t="s">
        <v>266</v>
      </c>
      <c r="F82" s="14" t="s">
        <v>265</v>
      </c>
      <c r="G82" s="4" t="s">
        <v>376</v>
      </c>
    </row>
    <row r="83">
      <c r="A83" s="14" t="str">
        <f t="shared" si="1"/>
        <v>#NAME?</v>
      </c>
      <c r="B83" s="14" t="s">
        <v>341</v>
      </c>
      <c r="C83" s="4">
        <v>7.0</v>
      </c>
      <c r="D83" s="4" t="b">
        <v>0</v>
      </c>
      <c r="E83" s="14" t="s">
        <v>340</v>
      </c>
      <c r="F83" s="14" t="s">
        <v>281</v>
      </c>
    </row>
    <row r="84">
      <c r="A84" s="14" t="str">
        <f t="shared" si="1"/>
        <v>#NAME?</v>
      </c>
      <c r="B84" s="14" t="s">
        <v>191</v>
      </c>
      <c r="C84" s="4">
        <v>7.0</v>
      </c>
      <c r="D84" s="4" t="b">
        <v>0</v>
      </c>
      <c r="E84" s="14" t="s">
        <v>190</v>
      </c>
      <c r="F84" s="14" t="s">
        <v>189</v>
      </c>
    </row>
    <row r="85">
      <c r="A85" s="14" t="str">
        <f t="shared" si="1"/>
        <v>#NAME?</v>
      </c>
      <c r="B85" s="14" t="s">
        <v>157</v>
      </c>
      <c r="C85" s="4">
        <v>7.0</v>
      </c>
      <c r="D85" s="4" t="b">
        <v>1</v>
      </c>
      <c r="E85" s="14" t="s">
        <v>156</v>
      </c>
      <c r="F85" s="14" t="s">
        <v>155</v>
      </c>
    </row>
    <row r="86">
      <c r="A86" s="14" t="str">
        <f t="shared" si="1"/>
        <v>#NAME?</v>
      </c>
      <c r="B86" s="14" t="s">
        <v>239</v>
      </c>
      <c r="C86" s="4">
        <v>7.0</v>
      </c>
      <c r="D86" s="4" t="b">
        <v>1</v>
      </c>
      <c r="E86" s="14" t="s">
        <v>238</v>
      </c>
      <c r="F86" s="14" t="s">
        <v>237</v>
      </c>
      <c r="G86" s="14" t="s">
        <v>363</v>
      </c>
    </row>
    <row r="87">
      <c r="A87" s="14" t="str">
        <f t="shared" si="1"/>
        <v>#NAME?</v>
      </c>
      <c r="B87" s="14" t="s">
        <v>322</v>
      </c>
      <c r="C87" s="4">
        <v>7.0</v>
      </c>
      <c r="D87" s="4" t="b">
        <v>1</v>
      </c>
      <c r="E87" s="14" t="s">
        <v>321</v>
      </c>
      <c r="F87" s="14" t="s">
        <v>320</v>
      </c>
    </row>
    <row r="88">
      <c r="A88" s="14" t="str">
        <f t="shared" si="1"/>
        <v>#NAME?</v>
      </c>
      <c r="B88" s="14" t="s">
        <v>95</v>
      </c>
      <c r="C88" s="4">
        <v>7.0</v>
      </c>
      <c r="D88" s="4" t="b">
        <v>1</v>
      </c>
      <c r="E88" s="14" t="s">
        <v>94</v>
      </c>
      <c r="F88" s="14" t="s">
        <v>93</v>
      </c>
    </row>
    <row r="89">
      <c r="A89" s="14" t="str">
        <f t="shared" si="1"/>
        <v>#NAME?</v>
      </c>
      <c r="B89" s="14" t="s">
        <v>222</v>
      </c>
      <c r="C89" s="4">
        <v>7.0</v>
      </c>
      <c r="D89" s="4" t="b">
        <v>1</v>
      </c>
      <c r="E89" s="14" t="s">
        <v>221</v>
      </c>
      <c r="F89" s="14" t="s">
        <v>220</v>
      </c>
    </row>
    <row r="90">
      <c r="A90" s="14" t="str">
        <f t="shared" si="1"/>
        <v>#NAME?</v>
      </c>
      <c r="B90" s="14" t="s">
        <v>275</v>
      </c>
      <c r="C90" s="4">
        <v>7.0</v>
      </c>
      <c r="D90" s="4" t="b">
        <v>0</v>
      </c>
      <c r="E90" s="14" t="s">
        <v>274</v>
      </c>
      <c r="F90" s="14" t="s">
        <v>164</v>
      </c>
    </row>
    <row r="91">
      <c r="A91" s="14" t="str">
        <f t="shared" si="1"/>
        <v>#NAME?</v>
      </c>
      <c r="B91" s="14" t="s">
        <v>269</v>
      </c>
      <c r="C91" s="4">
        <v>7.0</v>
      </c>
      <c r="D91" s="4" t="b">
        <v>0</v>
      </c>
      <c r="E91" s="14" t="s">
        <v>268</v>
      </c>
      <c r="F91" s="14" t="s">
        <v>189</v>
      </c>
    </row>
    <row r="92">
      <c r="A92" s="14" t="str">
        <f t="shared" si="1"/>
        <v>#NAME?</v>
      </c>
      <c r="B92" s="14" t="s">
        <v>133</v>
      </c>
      <c r="C92" s="4">
        <v>7.0</v>
      </c>
      <c r="D92" s="4" t="b">
        <v>0</v>
      </c>
      <c r="E92" s="14" t="s">
        <v>132</v>
      </c>
      <c r="F92" s="14" t="s">
        <v>87</v>
      </c>
    </row>
    <row r="93">
      <c r="A93" s="14" t="str">
        <f t="shared" si="1"/>
        <v>#NAME?</v>
      </c>
      <c r="B93" s="14" t="s">
        <v>199</v>
      </c>
      <c r="C93" s="4">
        <v>7.0</v>
      </c>
      <c r="D93" s="4" t="b">
        <v>0</v>
      </c>
      <c r="E93" s="14" t="s">
        <v>198</v>
      </c>
      <c r="F93" s="14" t="s">
        <v>197</v>
      </c>
    </row>
    <row r="94">
      <c r="A94" s="14" t="str">
        <f t="shared" si="1"/>
        <v>#NAME?</v>
      </c>
      <c r="B94" s="14" t="s">
        <v>136</v>
      </c>
      <c r="C94" s="4">
        <v>7.0</v>
      </c>
      <c r="D94" s="4" t="b">
        <v>0</v>
      </c>
      <c r="E94" s="14" t="s">
        <v>135</v>
      </c>
      <c r="F94" s="14" t="s">
        <v>134</v>
      </c>
    </row>
    <row r="95">
      <c r="A95" s="14" t="str">
        <f t="shared" si="1"/>
        <v>#NAME?</v>
      </c>
      <c r="B95" s="14" t="s">
        <v>209</v>
      </c>
      <c r="C95" s="4">
        <v>7.0</v>
      </c>
      <c r="D95" s="4" t="b">
        <v>1</v>
      </c>
      <c r="E95" s="14" t="s">
        <v>208</v>
      </c>
      <c r="F95" s="14" t="s">
        <v>99</v>
      </c>
    </row>
    <row r="96">
      <c r="A96" s="14" t="str">
        <f t="shared" si="1"/>
        <v>#NAME?</v>
      </c>
      <c r="B96" s="14" t="s">
        <v>121</v>
      </c>
      <c r="C96" s="4">
        <v>7.0</v>
      </c>
      <c r="D96" s="4" t="b">
        <v>1</v>
      </c>
      <c r="E96" s="14" t="s">
        <v>120</v>
      </c>
      <c r="F96" s="14" t="s">
        <v>119</v>
      </c>
    </row>
    <row r="97">
      <c r="A97" s="14" t="str">
        <f t="shared" si="1"/>
        <v>#NAME?</v>
      </c>
      <c r="B97" s="14" t="s">
        <v>207</v>
      </c>
      <c r="C97" s="4">
        <v>7.0</v>
      </c>
      <c r="D97" s="4" t="b">
        <v>1</v>
      </c>
      <c r="E97" s="14" t="s">
        <v>206</v>
      </c>
      <c r="F97" s="14" t="s">
        <v>99</v>
      </c>
    </row>
    <row r="98">
      <c r="A98" s="14" t="str">
        <f t="shared" si="1"/>
        <v>#NAME?</v>
      </c>
      <c r="B98" s="4" t="s">
        <v>388</v>
      </c>
      <c r="C98" s="4">
        <v>7.0</v>
      </c>
      <c r="D98" s="4" t="b">
        <v>1</v>
      </c>
      <c r="E98" s="14" t="s">
        <v>106</v>
      </c>
      <c r="F98" s="14" t="s">
        <v>105</v>
      </c>
      <c r="G98" s="4" t="s">
        <v>376</v>
      </c>
    </row>
    <row r="99">
      <c r="A99" s="14" t="str">
        <f t="shared" si="1"/>
        <v>#NAME?</v>
      </c>
      <c r="B99" s="14" t="s">
        <v>298</v>
      </c>
      <c r="C99" s="4">
        <v>7.0</v>
      </c>
      <c r="D99" s="4" t="b">
        <v>1</v>
      </c>
      <c r="E99" s="14" t="s">
        <v>297</v>
      </c>
      <c r="F99" s="14" t="s">
        <v>294</v>
      </c>
    </row>
    <row r="100">
      <c r="A100" s="14" t="str">
        <f t="shared" si="1"/>
        <v>#NAME?</v>
      </c>
      <c r="B100" s="14" t="s">
        <v>241</v>
      </c>
      <c r="C100" s="4">
        <v>7.0</v>
      </c>
      <c r="D100" s="4" t="b">
        <v>1</v>
      </c>
      <c r="E100" s="14" t="s">
        <v>240</v>
      </c>
      <c r="F100" s="14" t="s">
        <v>105</v>
      </c>
    </row>
    <row r="101">
      <c r="A101" s="14" t="str">
        <f t="shared" si="1"/>
        <v>#NAME?</v>
      </c>
      <c r="B101" s="14" t="s">
        <v>234</v>
      </c>
      <c r="C101" s="4">
        <v>7.0</v>
      </c>
      <c r="D101" s="4" t="b">
        <v>1</v>
      </c>
      <c r="E101" s="14" t="s">
        <v>233</v>
      </c>
      <c r="F101" s="14" t="s">
        <v>232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8.13"/>
    <col customWidth="1" min="9" max="9" width="15.88"/>
    <col customWidth="1" hidden="1" min="10" max="15" width="12.63"/>
    <col customWidth="1" hidden="1" min="16" max="16" width="13.88"/>
    <col customWidth="1" min="17" max="17" width="18.25"/>
    <col customWidth="1" min="18" max="19" width="15.88"/>
  </cols>
  <sheetData>
    <row r="1" ht="15.75" customHeight="1">
      <c r="A1" s="18" t="s">
        <v>79</v>
      </c>
      <c r="B1" s="41" t="s">
        <v>80</v>
      </c>
      <c r="C1" s="13" t="s">
        <v>44</v>
      </c>
      <c r="D1" s="13" t="s">
        <v>45</v>
      </c>
      <c r="E1" s="13" t="s">
        <v>46</v>
      </c>
      <c r="F1" s="13" t="s">
        <v>47</v>
      </c>
      <c r="G1" s="13" t="s">
        <v>48</v>
      </c>
      <c r="H1" s="13" t="s">
        <v>49</v>
      </c>
      <c r="I1" s="32" t="s">
        <v>360</v>
      </c>
      <c r="J1" s="13" t="s">
        <v>44</v>
      </c>
      <c r="K1" s="13" t="s">
        <v>45</v>
      </c>
      <c r="L1" s="13" t="s">
        <v>46</v>
      </c>
      <c r="M1" s="13" t="s">
        <v>47</v>
      </c>
      <c r="N1" s="13" t="s">
        <v>48</v>
      </c>
      <c r="O1" s="13" t="s">
        <v>49</v>
      </c>
      <c r="P1" s="13" t="s">
        <v>389</v>
      </c>
      <c r="Q1" s="42" t="str">
        <f t="array" ref="Q1:Q1000">P:P</f>
        <v>Comments</v>
      </c>
      <c r="R1" s="13" t="s">
        <v>390</v>
      </c>
      <c r="S1" s="13" t="s">
        <v>391</v>
      </c>
      <c r="T1" s="13" t="s">
        <v>392</v>
      </c>
      <c r="U1" s="13" t="s">
        <v>393</v>
      </c>
      <c r="V1" s="43"/>
      <c r="W1" s="43"/>
      <c r="X1" s="43"/>
      <c r="Y1" s="43"/>
      <c r="Z1" s="43"/>
      <c r="AA1" s="43"/>
      <c r="AB1" s="43"/>
      <c r="AC1" s="43"/>
      <c r="AD1" s="43"/>
      <c r="AE1" s="43"/>
      <c r="AF1" s="43"/>
      <c r="AG1" s="43"/>
      <c r="AH1" s="43"/>
    </row>
    <row r="2" ht="15.75" customHeight="1">
      <c r="A2" s="21" t="s">
        <v>270</v>
      </c>
      <c r="B2" s="44" t="s">
        <v>271</v>
      </c>
      <c r="C2" s="14" t="str">
        <f t="shared" ref="C2:H2" si="1">VLOOKUP($A2, INDIRECT(C$1&amp;"!B:D"), 3, FALSE)</f>
        <v>TO DO</v>
      </c>
      <c r="D2" s="14" t="str">
        <f t="shared" si="1"/>
        <v>NOT SDG 7</v>
      </c>
      <c r="E2" s="14" t="str">
        <f t="shared" si="1"/>
        <v>NOT SDG 7</v>
      </c>
      <c r="F2" s="14" t="str">
        <f t="shared" si="1"/>
        <v>NOT SDG 7</v>
      </c>
      <c r="G2" s="14" t="str">
        <f t="shared" si="1"/>
        <v>TO DO</v>
      </c>
      <c r="H2" s="14" t="str">
        <f t="shared" si="1"/>
        <v>NOT SDG 7</v>
      </c>
      <c r="I2" s="45">
        <f t="shared" ref="I2:I101" si="4">ABS((COUNTIF(C2:H2,"SDG 7")-COUNTIF(C2:H2, "NOT SDG 7")) / (COUNTA(C2:H2)-COUNTIF(C2:H2, "TO DO")))</f>
        <v>1</v>
      </c>
      <c r="J2" s="14" t="str">
        <f t="shared" ref="J2:O2" si="2">VLOOKUP($A2, INDIRECT(C$1&amp;"!B:E"), 4, FALSE)</f>
        <v/>
      </c>
      <c r="K2" s="14" t="str">
        <f t="shared" si="2"/>
        <v/>
      </c>
      <c r="L2" s="14" t="str">
        <f t="shared" si="2"/>
        <v/>
      </c>
      <c r="M2" s="14" t="str">
        <f t="shared" si="2"/>
        <v/>
      </c>
      <c r="N2" s="14" t="str">
        <f t="shared" si="2"/>
        <v/>
      </c>
      <c r="O2" s="14" t="str">
        <f t="shared" si="2"/>
        <v/>
      </c>
      <c r="P2" s="14" t="str">
        <f t="shared" ref="P2:P101" si="6">IF(COUNTA(J2:O2)=0, "", "- "&amp;TEXTJOIN(char(10)&amp;"- ", TRUE, J2:O2))</f>
        <v/>
      </c>
      <c r="Q2" s="46" t="s">
        <v>394</v>
      </c>
      <c r="R2" s="14" t="str">
        <f t="shared" ref="R2:R101" si="7">IF(I2=1, H2, "UNDECIDED")</f>
        <v>NOT SDG 7</v>
      </c>
      <c r="S2" s="14" t="str">
        <f>VLOOKUP($A2, Source!B:I, 8, FALSE)</f>
        <v>SKIP</v>
      </c>
      <c r="T2" s="14" t="str">
        <f>VLOOKUP(A2,Source!B:H, 7, FALSE)</f>
        <v>very hard</v>
      </c>
      <c r="U2" s="14" t="str">
        <f t="shared" ref="U2:U101" si="8">IF(COUNTIF(R2:S2, "*SDG 7")&lt;2, "Unclear", IF(R2=S2, "Yes", "No"))</f>
        <v>Unclear</v>
      </c>
    </row>
    <row r="3" ht="15.75" customHeight="1">
      <c r="A3" s="21" t="s">
        <v>221</v>
      </c>
      <c r="B3" s="44" t="s">
        <v>222</v>
      </c>
      <c r="C3" s="14" t="str">
        <f t="shared" ref="C3:H3" si="3">VLOOKUP($A3, INDIRECT(C$1&amp;"!B:D"), 3, FALSE)</f>
        <v>TO DO</v>
      </c>
      <c r="D3" s="14" t="str">
        <f t="shared" si="3"/>
        <v>SDG 7</v>
      </c>
      <c r="E3" s="14" t="str">
        <f t="shared" si="3"/>
        <v>SDG 7</v>
      </c>
      <c r="F3" s="14" t="str">
        <f t="shared" si="3"/>
        <v>SDG 7</v>
      </c>
      <c r="G3" s="14" t="str">
        <f t="shared" si="3"/>
        <v>TO DO</v>
      </c>
      <c r="H3" s="14" t="str">
        <f t="shared" si="3"/>
        <v>SDG 7</v>
      </c>
      <c r="I3" s="45">
        <f t="shared" si="4"/>
        <v>1</v>
      </c>
      <c r="J3" s="14" t="str">
        <f t="shared" ref="J3:O3" si="5">VLOOKUP($A3, INDIRECT(C$1&amp;"!B:E"), 4, FALSE)</f>
        <v/>
      </c>
      <c r="K3" s="14" t="str">
        <f t="shared" si="5"/>
        <v/>
      </c>
      <c r="L3" s="14" t="str">
        <f t="shared" si="5"/>
        <v/>
      </c>
      <c r="M3" s="14" t="str">
        <f t="shared" si="5"/>
        <v/>
      </c>
      <c r="N3" s="14" t="str">
        <f t="shared" si="5"/>
        <v/>
      </c>
      <c r="O3" s="14" t="str">
        <f t="shared" si="5"/>
        <v/>
      </c>
      <c r="P3" s="14" t="str">
        <f t="shared" si="6"/>
        <v/>
      </c>
      <c r="Q3" s="46" t="s">
        <v>394</v>
      </c>
      <c r="R3" s="14" t="str">
        <f t="shared" si="7"/>
        <v>SDG 7</v>
      </c>
      <c r="S3" s="14" t="str">
        <f>VLOOKUP($A3, Source!B:I, 8, FALSE)</f>
        <v>SDG 7</v>
      </c>
      <c r="T3" s="14" t="str">
        <f>VLOOKUP(A3,Source!B:H, 7, FALSE)</f>
        <v>very easy</v>
      </c>
      <c r="U3" s="14" t="str">
        <f t="shared" si="8"/>
        <v>Yes</v>
      </c>
    </row>
    <row r="4" ht="15.75" customHeight="1">
      <c r="A4" s="21" t="s">
        <v>132</v>
      </c>
      <c r="B4" s="44" t="s">
        <v>133</v>
      </c>
      <c r="C4" s="14" t="str">
        <f t="shared" ref="C4:H4" si="9">VLOOKUP($A4, INDIRECT(C$1&amp;"!B:D"), 3, FALSE)</f>
        <v>TO DO</v>
      </c>
      <c r="D4" s="14" t="str">
        <f t="shared" si="9"/>
        <v>NOT SDG 7</v>
      </c>
      <c r="E4" s="14" t="str">
        <f t="shared" si="9"/>
        <v>TO DO</v>
      </c>
      <c r="F4" s="14" t="str">
        <f t="shared" si="9"/>
        <v>NOT SDG 7</v>
      </c>
      <c r="G4" s="14" t="str">
        <f t="shared" si="9"/>
        <v>TO DO</v>
      </c>
      <c r="H4" s="14" t="str">
        <f t="shared" si="9"/>
        <v>NOT SDG 7</v>
      </c>
      <c r="I4" s="45">
        <f t="shared" si="4"/>
        <v>1</v>
      </c>
      <c r="J4" s="14" t="str">
        <f t="shared" ref="J4:O4" si="10">VLOOKUP($A4, INDIRECT(C$1&amp;"!B:E"), 4, FALSE)</f>
        <v/>
      </c>
      <c r="K4" s="14" t="str">
        <f t="shared" si="10"/>
        <v/>
      </c>
      <c r="L4" s="14" t="str">
        <f t="shared" si="10"/>
        <v/>
      </c>
      <c r="M4" s="14" t="str">
        <f t="shared" si="10"/>
        <v/>
      </c>
      <c r="N4" s="14" t="str">
        <f t="shared" si="10"/>
        <v/>
      </c>
      <c r="O4" s="14" t="str">
        <f t="shared" si="10"/>
        <v/>
      </c>
      <c r="P4" s="14" t="str">
        <f t="shared" si="6"/>
        <v/>
      </c>
      <c r="Q4" s="46" t="s">
        <v>394</v>
      </c>
      <c r="R4" s="14" t="str">
        <f t="shared" si="7"/>
        <v>NOT SDG 7</v>
      </c>
      <c r="S4" s="14" t="str">
        <f>VLOOKUP($A4, Source!B:I, 8, FALSE)</f>
        <v>NOT SDG 7</v>
      </c>
      <c r="T4" s="14" t="str">
        <f>VLOOKUP(A4,Source!B:H, 7, FALSE)</f>
        <v>easy</v>
      </c>
      <c r="U4" s="14" t="str">
        <f t="shared" si="8"/>
        <v>Yes</v>
      </c>
    </row>
    <row r="5" ht="15.75" customHeight="1">
      <c r="A5" s="21" t="s">
        <v>227</v>
      </c>
      <c r="B5" s="44" t="s">
        <v>228</v>
      </c>
      <c r="C5" s="14" t="str">
        <f t="shared" ref="C5:H5" si="11">VLOOKUP($A5, INDIRECT(C$1&amp;"!B:D"), 3, FALSE)</f>
        <v>TO DO</v>
      </c>
      <c r="D5" s="14" t="str">
        <f t="shared" si="11"/>
        <v>SDG 7</v>
      </c>
      <c r="E5" s="14" t="str">
        <f t="shared" si="11"/>
        <v>TO DO</v>
      </c>
      <c r="F5" s="14" t="str">
        <f t="shared" si="11"/>
        <v>SDG 7</v>
      </c>
      <c r="G5" s="14" t="str">
        <f t="shared" si="11"/>
        <v>TO DO</v>
      </c>
      <c r="H5" s="14" t="str">
        <f t="shared" si="11"/>
        <v>SDG 7</v>
      </c>
      <c r="I5" s="45">
        <f t="shared" si="4"/>
        <v>1</v>
      </c>
      <c r="J5" s="14" t="str">
        <f t="shared" ref="J5:O5" si="12">VLOOKUP($A5, INDIRECT(C$1&amp;"!B:E"), 4, FALSE)</f>
        <v/>
      </c>
      <c r="K5" s="14" t="str">
        <f t="shared" si="12"/>
        <v/>
      </c>
      <c r="L5" s="14" t="str">
        <f t="shared" si="12"/>
        <v/>
      </c>
      <c r="M5" s="14" t="str">
        <f t="shared" si="12"/>
        <v/>
      </c>
      <c r="N5" s="14" t="str">
        <f t="shared" si="12"/>
        <v/>
      </c>
      <c r="O5" s="14" t="str">
        <f t="shared" si="12"/>
        <v/>
      </c>
      <c r="P5" s="14" t="str">
        <f t="shared" si="6"/>
        <v/>
      </c>
      <c r="Q5" s="46" t="s">
        <v>394</v>
      </c>
      <c r="R5" s="14" t="str">
        <f t="shared" si="7"/>
        <v>SDG 7</v>
      </c>
      <c r="S5" s="14" t="str">
        <f>VLOOKUP($A5, Source!B:I, 8, FALSE)</f>
        <v>SDG 7</v>
      </c>
      <c r="T5" s="14" t="str">
        <f>VLOOKUP(A5,Source!B:H, 7, FALSE)</f>
        <v>easy</v>
      </c>
      <c r="U5" s="14" t="str">
        <f t="shared" si="8"/>
        <v>Yes</v>
      </c>
    </row>
    <row r="6" ht="15.75" customHeight="1">
      <c r="A6" s="21" t="s">
        <v>297</v>
      </c>
      <c r="B6" s="44" t="s">
        <v>298</v>
      </c>
      <c r="C6" s="14" t="str">
        <f t="shared" ref="C6:H6" si="13">VLOOKUP($A6, INDIRECT(C$1&amp;"!B:D"), 3, FALSE)</f>
        <v>TO DO</v>
      </c>
      <c r="D6" s="14" t="str">
        <f t="shared" si="13"/>
        <v>SDG 7</v>
      </c>
      <c r="E6" s="14" t="str">
        <f t="shared" si="13"/>
        <v>TO DO</v>
      </c>
      <c r="F6" s="14" t="str">
        <f t="shared" si="13"/>
        <v>SDG 7</v>
      </c>
      <c r="G6" s="14" t="str">
        <f t="shared" si="13"/>
        <v>TO DO</v>
      </c>
      <c r="H6" s="14" t="str">
        <f t="shared" si="13"/>
        <v>SDG 7</v>
      </c>
      <c r="I6" s="45">
        <f t="shared" si="4"/>
        <v>1</v>
      </c>
      <c r="J6" s="14" t="str">
        <f t="shared" ref="J6:O6" si="14">VLOOKUP($A6, INDIRECT(C$1&amp;"!B:E"), 4, FALSE)</f>
        <v/>
      </c>
      <c r="K6" s="14" t="str">
        <f t="shared" si="14"/>
        <v/>
      </c>
      <c r="L6" s="14" t="str">
        <f t="shared" si="14"/>
        <v/>
      </c>
      <c r="M6" s="14" t="str">
        <f t="shared" si="14"/>
        <v/>
      </c>
      <c r="N6" s="14" t="str">
        <f t="shared" si="14"/>
        <v/>
      </c>
      <c r="O6" s="14" t="str">
        <f t="shared" si="14"/>
        <v/>
      </c>
      <c r="P6" s="14" t="str">
        <f t="shared" si="6"/>
        <v/>
      </c>
      <c r="Q6" s="46" t="s">
        <v>394</v>
      </c>
      <c r="R6" s="14" t="str">
        <f t="shared" si="7"/>
        <v>SDG 7</v>
      </c>
      <c r="S6" s="14" t="str">
        <f>VLOOKUP($A6, Source!B:I, 8, FALSE)</f>
        <v>SDG 7</v>
      </c>
      <c r="T6" s="14" t="str">
        <f>VLOOKUP(A6,Source!B:H, 7, FALSE)</f>
        <v>hard</v>
      </c>
      <c r="U6" s="14" t="str">
        <f t="shared" si="8"/>
        <v>Yes</v>
      </c>
    </row>
    <row r="7" ht="15.75" customHeight="1">
      <c r="A7" s="21" t="s">
        <v>117</v>
      </c>
      <c r="B7" s="44" t="s">
        <v>118</v>
      </c>
      <c r="C7" s="14" t="str">
        <f t="shared" ref="C7:H7" si="15">VLOOKUP($A7, INDIRECT(C$1&amp;"!B:D"), 3, FALSE)</f>
        <v>TO DO</v>
      </c>
      <c r="D7" s="14" t="str">
        <f t="shared" si="15"/>
        <v>NOT SDG 7</v>
      </c>
      <c r="E7" s="14" t="str">
        <f t="shared" si="15"/>
        <v>TO DO</v>
      </c>
      <c r="F7" s="14" t="str">
        <f t="shared" si="15"/>
        <v>NOT SDG 7</v>
      </c>
      <c r="G7" s="14" t="str">
        <f t="shared" si="15"/>
        <v>TO DO</v>
      </c>
      <c r="H7" s="14" t="str">
        <f t="shared" si="15"/>
        <v>NOT SDG 7</v>
      </c>
      <c r="I7" s="45">
        <f t="shared" si="4"/>
        <v>1</v>
      </c>
      <c r="J7" s="14" t="str">
        <f t="shared" ref="J7:O7" si="16">VLOOKUP($A7, INDIRECT(C$1&amp;"!B:E"), 4, FALSE)</f>
        <v/>
      </c>
      <c r="K7" s="14" t="str">
        <f t="shared" si="16"/>
        <v/>
      </c>
      <c r="L7" s="14" t="str">
        <f t="shared" si="16"/>
        <v/>
      </c>
      <c r="M7" s="14" t="str">
        <f t="shared" si="16"/>
        <v/>
      </c>
      <c r="N7" s="14" t="str">
        <f t="shared" si="16"/>
        <v/>
      </c>
      <c r="O7" s="14" t="str">
        <f t="shared" si="16"/>
        <v/>
      </c>
      <c r="P7" s="14" t="str">
        <f t="shared" si="6"/>
        <v/>
      </c>
      <c r="Q7" s="46" t="s">
        <v>394</v>
      </c>
      <c r="R7" s="14" t="str">
        <f t="shared" si="7"/>
        <v>NOT SDG 7</v>
      </c>
      <c r="S7" s="14" t="str">
        <f>VLOOKUP($A7, Source!B:I, 8, FALSE)</f>
        <v>NOT SDG 7</v>
      </c>
      <c r="T7" s="14" t="str">
        <f>VLOOKUP(A7,Source!B:H, 7, FALSE)</f>
        <v>very easy</v>
      </c>
      <c r="U7" s="14" t="str">
        <f t="shared" si="8"/>
        <v>Yes</v>
      </c>
    </row>
    <row r="8" ht="15.75" customHeight="1">
      <c r="A8" s="21" t="s">
        <v>195</v>
      </c>
      <c r="B8" s="44" t="s">
        <v>196</v>
      </c>
      <c r="C8" s="14" t="str">
        <f t="shared" ref="C8:H8" si="17">VLOOKUP($A8, INDIRECT(C$1&amp;"!B:D"), 3, FALSE)</f>
        <v>TO DO</v>
      </c>
      <c r="D8" s="14" t="str">
        <f t="shared" si="17"/>
        <v>SDG 7</v>
      </c>
      <c r="E8" s="14" t="str">
        <f t="shared" si="17"/>
        <v>TO DO</v>
      </c>
      <c r="F8" s="14" t="str">
        <f t="shared" si="17"/>
        <v>SDG 7</v>
      </c>
      <c r="G8" s="14" t="str">
        <f t="shared" si="17"/>
        <v>TO DO</v>
      </c>
      <c r="H8" s="14" t="str">
        <f t="shared" si="17"/>
        <v>SDG 7</v>
      </c>
      <c r="I8" s="45">
        <f t="shared" si="4"/>
        <v>1</v>
      </c>
      <c r="J8" s="14" t="str">
        <f t="shared" ref="J8:O8" si="18">VLOOKUP($A8, INDIRECT(C$1&amp;"!B:E"), 4, FALSE)</f>
        <v/>
      </c>
      <c r="K8" s="14" t="str">
        <f t="shared" si="18"/>
        <v/>
      </c>
      <c r="L8" s="14" t="str">
        <f t="shared" si="18"/>
        <v/>
      </c>
      <c r="M8" s="14" t="str">
        <f t="shared" si="18"/>
        <v/>
      </c>
      <c r="N8" s="14" t="str">
        <f t="shared" si="18"/>
        <v/>
      </c>
      <c r="O8" s="14" t="str">
        <f t="shared" si="18"/>
        <v/>
      </c>
      <c r="P8" s="14" t="str">
        <f t="shared" si="6"/>
        <v/>
      </c>
      <c r="Q8" s="46" t="s">
        <v>394</v>
      </c>
      <c r="R8" s="14" t="str">
        <f t="shared" si="7"/>
        <v>SDG 7</v>
      </c>
      <c r="S8" s="14" t="str">
        <f>VLOOKUP($A8, Source!B:I, 8, FALSE)</f>
        <v>SDG 7</v>
      </c>
      <c r="T8" s="14" t="str">
        <f>VLOOKUP(A8,Source!B:H, 7, FALSE)</f>
        <v>easy</v>
      </c>
      <c r="U8" s="14" t="str">
        <f t="shared" si="8"/>
        <v>Yes</v>
      </c>
    </row>
    <row r="9" ht="15.75" customHeight="1">
      <c r="A9" s="21" t="s">
        <v>208</v>
      </c>
      <c r="B9" s="44" t="s">
        <v>209</v>
      </c>
      <c r="C9" s="14" t="str">
        <f t="shared" ref="C9:H9" si="19">VLOOKUP($A9, INDIRECT(C$1&amp;"!B:D"), 3, FALSE)</f>
        <v>TO DO</v>
      </c>
      <c r="D9" s="14" t="str">
        <f t="shared" si="19"/>
        <v>SDG 7</v>
      </c>
      <c r="E9" s="14" t="str">
        <f t="shared" si="19"/>
        <v>TO DO</v>
      </c>
      <c r="F9" s="14" t="str">
        <f t="shared" si="19"/>
        <v>SDG 7</v>
      </c>
      <c r="G9" s="14" t="str">
        <f t="shared" si="19"/>
        <v>TO DO</v>
      </c>
      <c r="H9" s="14" t="str">
        <f t="shared" si="19"/>
        <v>SDG 7</v>
      </c>
      <c r="I9" s="45">
        <f t="shared" si="4"/>
        <v>1</v>
      </c>
      <c r="J9" s="14" t="str">
        <f t="shared" ref="J9:O9" si="20">VLOOKUP($A9, INDIRECT(C$1&amp;"!B:E"), 4, FALSE)</f>
        <v/>
      </c>
      <c r="K9" s="14" t="str">
        <f t="shared" si="20"/>
        <v/>
      </c>
      <c r="L9" s="14" t="str">
        <f t="shared" si="20"/>
        <v/>
      </c>
      <c r="M9" s="14" t="str">
        <f t="shared" si="20"/>
        <v/>
      </c>
      <c r="N9" s="14" t="str">
        <f t="shared" si="20"/>
        <v/>
      </c>
      <c r="O9" s="14" t="str">
        <f t="shared" si="20"/>
        <v/>
      </c>
      <c r="P9" s="14" t="str">
        <f t="shared" si="6"/>
        <v/>
      </c>
      <c r="Q9" s="46" t="s">
        <v>394</v>
      </c>
      <c r="R9" s="14" t="str">
        <f t="shared" si="7"/>
        <v>SDG 7</v>
      </c>
      <c r="S9" s="14" t="str">
        <f>VLOOKUP($A9, Source!B:I, 8, FALSE)</f>
        <v>SDG 7</v>
      </c>
      <c r="T9" s="14" t="str">
        <f>VLOOKUP(A9,Source!B:H, 7, FALSE)</f>
        <v>easy</v>
      </c>
      <c r="U9" s="14" t="str">
        <f t="shared" si="8"/>
        <v>Yes</v>
      </c>
    </row>
    <row r="10" ht="15.75" customHeight="1">
      <c r="A10" s="21" t="s">
        <v>130</v>
      </c>
      <c r="B10" s="44" t="s">
        <v>131</v>
      </c>
      <c r="C10" s="14" t="str">
        <f t="shared" ref="C10:H10" si="21">VLOOKUP($A10, INDIRECT(C$1&amp;"!B:D"), 3, FALSE)</f>
        <v>TO DO</v>
      </c>
      <c r="D10" s="14" t="str">
        <f t="shared" si="21"/>
        <v>NOT SDG 7</v>
      </c>
      <c r="E10" s="14" t="str">
        <f t="shared" si="21"/>
        <v>TO DO</v>
      </c>
      <c r="F10" s="14" t="str">
        <f t="shared" si="21"/>
        <v>NOT SDG 7</v>
      </c>
      <c r="G10" s="14" t="str">
        <f t="shared" si="21"/>
        <v>TO DO</v>
      </c>
      <c r="H10" s="14" t="str">
        <f t="shared" si="21"/>
        <v>NOT SDG 7</v>
      </c>
      <c r="I10" s="45">
        <f t="shared" si="4"/>
        <v>1</v>
      </c>
      <c r="J10" s="14" t="str">
        <f t="shared" ref="J10:O10" si="22">VLOOKUP($A10, INDIRECT(C$1&amp;"!B:E"), 4, FALSE)</f>
        <v/>
      </c>
      <c r="K10" s="14" t="str">
        <f t="shared" si="22"/>
        <v/>
      </c>
      <c r="L10" s="14" t="str">
        <f t="shared" si="22"/>
        <v/>
      </c>
      <c r="M10" s="14" t="str">
        <f t="shared" si="22"/>
        <v/>
      </c>
      <c r="N10" s="14" t="str">
        <f t="shared" si="22"/>
        <v/>
      </c>
      <c r="O10" s="14" t="str">
        <f t="shared" si="22"/>
        <v/>
      </c>
      <c r="P10" s="14" t="str">
        <f t="shared" si="6"/>
        <v/>
      </c>
      <c r="Q10" s="46" t="s">
        <v>394</v>
      </c>
      <c r="R10" s="14" t="str">
        <f t="shared" si="7"/>
        <v>NOT SDG 7</v>
      </c>
      <c r="S10" s="14" t="str">
        <f>VLOOKUP($A10, Source!B:I, 8, FALSE)</f>
        <v>SDG 7</v>
      </c>
      <c r="T10" s="14" t="str">
        <f>VLOOKUP(A10,Source!B:H, 7, FALSE)</f>
        <v>hard</v>
      </c>
      <c r="U10" s="14" t="str">
        <f t="shared" si="8"/>
        <v>No</v>
      </c>
    </row>
    <row r="11" ht="15.75" customHeight="1">
      <c r="A11" s="21" t="s">
        <v>284</v>
      </c>
      <c r="B11" s="44" t="s">
        <v>285</v>
      </c>
      <c r="C11" s="14" t="str">
        <f t="shared" ref="C11:H11" si="23">VLOOKUP($A11, INDIRECT(C$1&amp;"!B:D"), 3, FALSE)</f>
        <v>TO DO</v>
      </c>
      <c r="D11" s="14" t="str">
        <f t="shared" si="23"/>
        <v>SDG 7</v>
      </c>
      <c r="E11" s="14" t="str">
        <f t="shared" si="23"/>
        <v>SDG 7</v>
      </c>
      <c r="F11" s="14" t="str">
        <f t="shared" si="23"/>
        <v>SDG 7</v>
      </c>
      <c r="G11" s="14" t="str">
        <f t="shared" si="23"/>
        <v>TO DO</v>
      </c>
      <c r="H11" s="14" t="str">
        <f t="shared" si="23"/>
        <v>SDG 7</v>
      </c>
      <c r="I11" s="45">
        <f t="shared" si="4"/>
        <v>1</v>
      </c>
      <c r="J11" s="14" t="str">
        <f t="shared" ref="J11:O11" si="24">VLOOKUP($A11, INDIRECT(C$1&amp;"!B:E"), 4, FALSE)</f>
        <v/>
      </c>
      <c r="K11" s="14" t="str">
        <f t="shared" si="24"/>
        <v/>
      </c>
      <c r="L11" s="14" t="str">
        <f t="shared" si="24"/>
        <v/>
      </c>
      <c r="M11" s="14" t="str">
        <f t="shared" si="24"/>
        <v/>
      </c>
      <c r="N11" s="14" t="str">
        <f t="shared" si="24"/>
        <v/>
      </c>
      <c r="O11" s="14" t="str">
        <f t="shared" si="24"/>
        <v/>
      </c>
      <c r="P11" s="14" t="str">
        <f t="shared" si="6"/>
        <v/>
      </c>
      <c r="Q11" s="46" t="s">
        <v>394</v>
      </c>
      <c r="R11" s="14" t="str">
        <f t="shared" si="7"/>
        <v>SDG 7</v>
      </c>
      <c r="S11" s="14" t="str">
        <f>VLOOKUP($A11, Source!B:I, 8, FALSE)</f>
        <v>SDG 7</v>
      </c>
      <c r="T11" s="14" t="str">
        <f>VLOOKUP(A11,Source!B:H, 7, FALSE)</f>
        <v>very hard</v>
      </c>
      <c r="U11" s="14" t="str">
        <f t="shared" si="8"/>
        <v>Yes</v>
      </c>
    </row>
    <row r="12" ht="15.75" customHeight="1">
      <c r="A12" s="21" t="s">
        <v>253</v>
      </c>
      <c r="B12" s="44" t="s">
        <v>254</v>
      </c>
      <c r="C12" s="14" t="str">
        <f t="shared" ref="C12:H12" si="25">VLOOKUP($A12, INDIRECT(C$1&amp;"!B:D"), 3, FALSE)</f>
        <v>TO DO</v>
      </c>
      <c r="D12" s="14" t="str">
        <f t="shared" si="25"/>
        <v>NOT SDG 7</v>
      </c>
      <c r="E12" s="14" t="str">
        <f t="shared" si="25"/>
        <v>TO DO</v>
      </c>
      <c r="F12" s="14" t="str">
        <f t="shared" si="25"/>
        <v>NOT SDG 7</v>
      </c>
      <c r="G12" s="14" t="str">
        <f t="shared" si="25"/>
        <v>TO DO</v>
      </c>
      <c r="H12" s="14" t="str">
        <f t="shared" si="25"/>
        <v>NOT SDG 7</v>
      </c>
      <c r="I12" s="45">
        <f t="shared" si="4"/>
        <v>1</v>
      </c>
      <c r="J12" s="14" t="str">
        <f t="shared" ref="J12:O12" si="26">VLOOKUP($A12, INDIRECT(C$1&amp;"!B:E"), 4, FALSE)</f>
        <v/>
      </c>
      <c r="K12" s="14" t="str">
        <f t="shared" si="26"/>
        <v/>
      </c>
      <c r="L12" s="14" t="str">
        <f t="shared" si="26"/>
        <v/>
      </c>
      <c r="M12" s="14" t="str">
        <f t="shared" si="26"/>
        <v/>
      </c>
      <c r="N12" s="14" t="str">
        <f t="shared" si="26"/>
        <v/>
      </c>
      <c r="O12" s="14" t="str">
        <f t="shared" si="26"/>
        <v/>
      </c>
      <c r="P12" s="14" t="str">
        <f t="shared" si="6"/>
        <v/>
      </c>
      <c r="Q12" s="46" t="s">
        <v>394</v>
      </c>
      <c r="R12" s="14" t="str">
        <f t="shared" si="7"/>
        <v>NOT SDG 7</v>
      </c>
      <c r="S12" s="14" t="str">
        <f>VLOOKUP($A12, Source!B:I, 8, FALSE)</f>
        <v>NOT SDG 7</v>
      </c>
      <c r="T12" s="14" t="str">
        <f>VLOOKUP(A12,Source!B:H, 7, FALSE)</f>
        <v>easy</v>
      </c>
      <c r="U12" s="14" t="str">
        <f t="shared" si="8"/>
        <v>Yes</v>
      </c>
    </row>
    <row r="13" ht="15.75" customHeight="1">
      <c r="A13" s="21" t="s">
        <v>128</v>
      </c>
      <c r="B13" s="44" t="s">
        <v>129</v>
      </c>
      <c r="C13" s="14" t="str">
        <f t="shared" ref="C13:H13" si="27">VLOOKUP($A13, INDIRECT(C$1&amp;"!B:D"), 3, FALSE)</f>
        <v>TO DO</v>
      </c>
      <c r="D13" s="14" t="str">
        <f t="shared" si="27"/>
        <v>NOT SDG 7</v>
      </c>
      <c r="E13" s="14" t="str">
        <f t="shared" si="27"/>
        <v>TO DO</v>
      </c>
      <c r="F13" s="14" t="str">
        <f t="shared" si="27"/>
        <v>NOT SDG 7</v>
      </c>
      <c r="G13" s="14" t="str">
        <f t="shared" si="27"/>
        <v>TO DO</v>
      </c>
      <c r="H13" s="14" t="str">
        <f t="shared" si="27"/>
        <v>NOT SDG 7</v>
      </c>
      <c r="I13" s="45">
        <f t="shared" si="4"/>
        <v>1</v>
      </c>
      <c r="J13" s="14" t="str">
        <f t="shared" ref="J13:O13" si="28">VLOOKUP($A13, INDIRECT(C$1&amp;"!B:E"), 4, FALSE)</f>
        <v/>
      </c>
      <c r="K13" s="14" t="str">
        <f t="shared" si="28"/>
        <v/>
      </c>
      <c r="L13" s="14" t="str">
        <f t="shared" si="28"/>
        <v/>
      </c>
      <c r="M13" s="14" t="str">
        <f t="shared" si="28"/>
        <v/>
      </c>
      <c r="N13" s="14" t="str">
        <f t="shared" si="28"/>
        <v/>
      </c>
      <c r="O13" s="14" t="str">
        <f t="shared" si="28"/>
        <v/>
      </c>
      <c r="P13" s="14" t="str">
        <f t="shared" si="6"/>
        <v/>
      </c>
      <c r="Q13" s="46" t="s">
        <v>394</v>
      </c>
      <c r="R13" s="14" t="str">
        <f t="shared" si="7"/>
        <v>NOT SDG 7</v>
      </c>
      <c r="S13" s="14" t="str">
        <f>VLOOKUP($A13, Source!B:I, 8, FALSE)</f>
        <v>NOT SDG 7</v>
      </c>
      <c r="T13" s="14" t="str">
        <f>VLOOKUP(A13,Source!B:H, 7, FALSE)</f>
        <v>very hard</v>
      </c>
      <c r="U13" s="14" t="str">
        <f t="shared" si="8"/>
        <v>Yes</v>
      </c>
    </row>
    <row r="14" ht="15.75" customHeight="1">
      <c r="A14" s="21" t="s">
        <v>238</v>
      </c>
      <c r="B14" s="44" t="s">
        <v>239</v>
      </c>
      <c r="C14" s="14" t="str">
        <f t="shared" ref="C14:H14" si="29">VLOOKUP($A14, INDIRECT(C$1&amp;"!B:D"), 3, FALSE)</f>
        <v>TO DO</v>
      </c>
      <c r="D14" s="14" t="str">
        <f t="shared" si="29"/>
        <v>NOT SDG 7</v>
      </c>
      <c r="E14" s="14" t="str">
        <f t="shared" si="29"/>
        <v>TO DO</v>
      </c>
      <c r="F14" s="14" t="str">
        <f t="shared" si="29"/>
        <v>SDG 7</v>
      </c>
      <c r="G14" s="14" t="str">
        <f t="shared" si="29"/>
        <v>TO DO</v>
      </c>
      <c r="H14" s="14" t="str">
        <f t="shared" si="29"/>
        <v>SDG 7</v>
      </c>
      <c r="I14" s="45">
        <f t="shared" si="4"/>
        <v>0.3333333333</v>
      </c>
      <c r="J14" s="14" t="str">
        <f t="shared" ref="J14:O14" si="30">VLOOKUP($A14, INDIRECT(C$1&amp;"!B:E"), 4, FALSE)</f>
        <v/>
      </c>
      <c r="K14" s="14" t="str">
        <f t="shared" si="30"/>
        <v>This text is clearly about energy — but is specific to the objectives of SDG 7?</v>
      </c>
      <c r="L14" s="14" t="str">
        <f t="shared" si="30"/>
        <v/>
      </c>
      <c r="M14" s="14" t="str">
        <f t="shared" si="30"/>
        <v/>
      </c>
      <c r="N14" s="14" t="str">
        <f t="shared" si="30"/>
        <v/>
      </c>
      <c r="O14" s="14" t="str">
        <f t="shared" si="30"/>
        <v/>
      </c>
      <c r="P14" s="14" t="str">
        <f t="shared" si="6"/>
        <v>- This text is clearly about energy — but is specific to the objectives of SDG 7?</v>
      </c>
      <c r="Q14" s="46" t="s">
        <v>395</v>
      </c>
      <c r="R14" s="14" t="str">
        <f t="shared" si="7"/>
        <v>UNDECIDED</v>
      </c>
      <c r="S14" s="14" t="str">
        <f>VLOOKUP($A14, Source!B:I, 8, FALSE)</f>
        <v>SDG 7</v>
      </c>
      <c r="T14" s="14" t="str">
        <f>VLOOKUP(A14,Source!B:H, 7, FALSE)</f>
        <v>hard</v>
      </c>
      <c r="U14" s="14" t="str">
        <f t="shared" si="8"/>
        <v>Unclear</v>
      </c>
    </row>
    <row r="15" ht="15.75" customHeight="1">
      <c r="A15" s="21" t="s">
        <v>249</v>
      </c>
      <c r="B15" s="44" t="s">
        <v>250</v>
      </c>
      <c r="C15" s="14" t="str">
        <f t="shared" ref="C15:H15" si="31">VLOOKUP($A15, INDIRECT(C$1&amp;"!B:D"), 3, FALSE)</f>
        <v>TO DO</v>
      </c>
      <c r="D15" s="14" t="str">
        <f t="shared" si="31"/>
        <v>NOT SDG 7</v>
      </c>
      <c r="E15" s="14" t="str">
        <f t="shared" si="31"/>
        <v>TO DO</v>
      </c>
      <c r="F15" s="14" t="str">
        <f t="shared" si="31"/>
        <v>NOT SDG 7</v>
      </c>
      <c r="G15" s="14" t="str">
        <f t="shared" si="31"/>
        <v>TO DO</v>
      </c>
      <c r="H15" s="14" t="str">
        <f t="shared" si="31"/>
        <v>NOT SDG 7</v>
      </c>
      <c r="I15" s="45">
        <f t="shared" si="4"/>
        <v>1</v>
      </c>
      <c r="J15" s="14" t="str">
        <f t="shared" ref="J15:O15" si="32">VLOOKUP($A15, INDIRECT(C$1&amp;"!B:E"), 4, FALSE)</f>
        <v/>
      </c>
      <c r="K15" s="14" t="str">
        <f t="shared" si="32"/>
        <v/>
      </c>
      <c r="L15" s="14" t="str">
        <f t="shared" si="32"/>
        <v/>
      </c>
      <c r="M15" s="14" t="str">
        <f t="shared" si="32"/>
        <v/>
      </c>
      <c r="N15" s="14" t="str">
        <f t="shared" si="32"/>
        <v/>
      </c>
      <c r="O15" s="14" t="str">
        <f t="shared" si="32"/>
        <v/>
      </c>
      <c r="P15" s="14" t="str">
        <f t="shared" si="6"/>
        <v/>
      </c>
      <c r="Q15" s="46" t="s">
        <v>394</v>
      </c>
      <c r="R15" s="14" t="str">
        <f t="shared" si="7"/>
        <v>NOT SDG 7</v>
      </c>
      <c r="S15" s="14" t="str">
        <f>VLOOKUP($A15, Source!B:I, 8, FALSE)</f>
        <v>NOT SDG 7</v>
      </c>
      <c r="T15" s="14" t="str">
        <f>VLOOKUP(A15,Source!B:H, 7, FALSE)</f>
        <v>very easy</v>
      </c>
      <c r="U15" s="14" t="str">
        <f t="shared" si="8"/>
        <v>Yes</v>
      </c>
    </row>
    <row r="16" ht="15.75" customHeight="1">
      <c r="A16" s="21" t="s">
        <v>299</v>
      </c>
      <c r="B16" s="44" t="s">
        <v>300</v>
      </c>
      <c r="C16" s="14" t="str">
        <f t="shared" ref="C16:H16" si="33">VLOOKUP($A16, INDIRECT(C$1&amp;"!B:D"), 3, FALSE)</f>
        <v>TO DO</v>
      </c>
      <c r="D16" s="14" t="str">
        <f t="shared" si="33"/>
        <v>NOT SDG 7</v>
      </c>
      <c r="E16" s="14" t="str">
        <f t="shared" si="33"/>
        <v>NOT SDG 7</v>
      </c>
      <c r="F16" s="14" t="str">
        <f t="shared" si="33"/>
        <v>NOT SDG 7</v>
      </c>
      <c r="G16" s="14" t="str">
        <f t="shared" si="33"/>
        <v>TO DO</v>
      </c>
      <c r="H16" s="14" t="str">
        <f t="shared" si="33"/>
        <v>NOT SDG 7</v>
      </c>
      <c r="I16" s="45">
        <f t="shared" si="4"/>
        <v>1</v>
      </c>
      <c r="J16" s="14" t="str">
        <f t="shared" ref="J16:O16" si="34">VLOOKUP($A16, INDIRECT(C$1&amp;"!B:E"), 4, FALSE)</f>
        <v/>
      </c>
      <c r="K16" s="14" t="str">
        <f t="shared" si="34"/>
        <v/>
      </c>
      <c r="L16" s="14" t="str">
        <f t="shared" si="34"/>
        <v/>
      </c>
      <c r="M16" s="14" t="str">
        <f t="shared" si="34"/>
        <v/>
      </c>
      <c r="N16" s="14" t="str">
        <f t="shared" si="34"/>
        <v/>
      </c>
      <c r="O16" s="14" t="str">
        <f t="shared" si="34"/>
        <v/>
      </c>
      <c r="P16" s="14" t="str">
        <f t="shared" si="6"/>
        <v/>
      </c>
      <c r="Q16" s="46" t="s">
        <v>394</v>
      </c>
      <c r="R16" s="14" t="str">
        <f t="shared" si="7"/>
        <v>NOT SDG 7</v>
      </c>
      <c r="S16" s="14" t="str">
        <f>VLOOKUP($A16, Source!B:I, 8, FALSE)</f>
        <v>SDG 7</v>
      </c>
      <c r="T16" s="14" t="str">
        <f>VLOOKUP(A16,Source!B:H, 7, FALSE)</f>
        <v>medium</v>
      </c>
      <c r="U16" s="14" t="str">
        <f t="shared" si="8"/>
        <v>No</v>
      </c>
    </row>
    <row r="17" ht="15.75" customHeight="1">
      <c r="A17" s="21" t="s">
        <v>272</v>
      </c>
      <c r="B17" s="44" t="s">
        <v>273</v>
      </c>
      <c r="C17" s="14" t="str">
        <f t="shared" ref="C17:H17" si="35">VLOOKUP($A17, INDIRECT(C$1&amp;"!B:D"), 3, FALSE)</f>
        <v>TO DO</v>
      </c>
      <c r="D17" s="14" t="str">
        <f t="shared" si="35"/>
        <v>SDG 7</v>
      </c>
      <c r="E17" s="14" t="str">
        <f t="shared" si="35"/>
        <v>TO DO</v>
      </c>
      <c r="F17" s="14" t="str">
        <f t="shared" si="35"/>
        <v>SDG 7</v>
      </c>
      <c r="G17" s="14" t="str">
        <f t="shared" si="35"/>
        <v>TO DO</v>
      </c>
      <c r="H17" s="14" t="str">
        <f t="shared" si="35"/>
        <v>SDG 7</v>
      </c>
      <c r="I17" s="45">
        <f t="shared" si="4"/>
        <v>1</v>
      </c>
      <c r="J17" s="14" t="str">
        <f t="shared" ref="J17:O17" si="36">VLOOKUP($A17, INDIRECT(C$1&amp;"!B:E"), 4, FALSE)</f>
        <v/>
      </c>
      <c r="K17" s="14" t="str">
        <f t="shared" si="36"/>
        <v/>
      </c>
      <c r="L17" s="14" t="str">
        <f t="shared" si="36"/>
        <v/>
      </c>
      <c r="M17" s="14" t="str">
        <f t="shared" si="36"/>
        <v/>
      </c>
      <c r="N17" s="14" t="str">
        <f t="shared" si="36"/>
        <v/>
      </c>
      <c r="O17" s="14" t="str">
        <f t="shared" si="36"/>
        <v/>
      </c>
      <c r="P17" s="14" t="str">
        <f t="shared" si="6"/>
        <v/>
      </c>
      <c r="Q17" s="46" t="s">
        <v>394</v>
      </c>
      <c r="R17" s="14" t="str">
        <f t="shared" si="7"/>
        <v>SDG 7</v>
      </c>
      <c r="S17" s="14" t="str">
        <f>VLOOKUP($A17, Source!B:I, 8, FALSE)</f>
        <v>SDG 7</v>
      </c>
      <c r="T17" s="14" t="str">
        <f>VLOOKUP(A17,Source!B:H, 7, FALSE)</f>
        <v>very hard</v>
      </c>
      <c r="U17" s="14" t="str">
        <f t="shared" si="8"/>
        <v>Yes</v>
      </c>
    </row>
    <row r="18" ht="15.75" customHeight="1">
      <c r="A18" s="21" t="s">
        <v>156</v>
      </c>
      <c r="B18" s="44" t="s">
        <v>157</v>
      </c>
      <c r="C18" s="14" t="str">
        <f t="shared" ref="C18:H18" si="37">VLOOKUP($A18, INDIRECT(C$1&amp;"!B:D"), 3, FALSE)</f>
        <v>TO DO</v>
      </c>
      <c r="D18" s="14" t="str">
        <f t="shared" si="37"/>
        <v>SDG 7</v>
      </c>
      <c r="E18" s="14" t="str">
        <f t="shared" si="37"/>
        <v>TO DO</v>
      </c>
      <c r="F18" s="14" t="str">
        <f t="shared" si="37"/>
        <v>SDG 7</v>
      </c>
      <c r="G18" s="14" t="str">
        <f t="shared" si="37"/>
        <v>TO DO</v>
      </c>
      <c r="H18" s="14" t="str">
        <f t="shared" si="37"/>
        <v>SDG 7</v>
      </c>
      <c r="I18" s="45">
        <f t="shared" si="4"/>
        <v>1</v>
      </c>
      <c r="J18" s="14" t="str">
        <f t="shared" ref="J18:O18" si="38">VLOOKUP($A18, INDIRECT(C$1&amp;"!B:E"), 4, FALSE)</f>
        <v/>
      </c>
      <c r="K18" s="14" t="str">
        <f t="shared" si="38"/>
        <v/>
      </c>
      <c r="L18" s="14" t="str">
        <f t="shared" si="38"/>
        <v/>
      </c>
      <c r="M18" s="14" t="str">
        <f t="shared" si="38"/>
        <v/>
      </c>
      <c r="N18" s="14" t="str">
        <f t="shared" si="38"/>
        <v/>
      </c>
      <c r="O18" s="14" t="str">
        <f t="shared" si="38"/>
        <v/>
      </c>
      <c r="P18" s="14" t="str">
        <f t="shared" si="6"/>
        <v/>
      </c>
      <c r="Q18" s="46" t="s">
        <v>394</v>
      </c>
      <c r="R18" s="14" t="str">
        <f t="shared" si="7"/>
        <v>SDG 7</v>
      </c>
      <c r="S18" s="14" t="str">
        <f>VLOOKUP($A18, Source!B:I, 8, FALSE)</f>
        <v>SDG 7</v>
      </c>
      <c r="T18" s="14" t="str">
        <f>VLOOKUP(A18,Source!B:H, 7, FALSE)</f>
        <v>medium</v>
      </c>
      <c r="U18" s="14" t="str">
        <f t="shared" si="8"/>
        <v>Yes</v>
      </c>
    </row>
    <row r="19" ht="15.75" customHeight="1">
      <c r="A19" s="21" t="s">
        <v>309</v>
      </c>
      <c r="B19" s="44" t="s">
        <v>310</v>
      </c>
      <c r="C19" s="14" t="str">
        <f t="shared" ref="C19:H19" si="39">VLOOKUP($A19, INDIRECT(C$1&amp;"!B:D"), 3, FALSE)</f>
        <v>TO DO</v>
      </c>
      <c r="D19" s="14" t="str">
        <f t="shared" si="39"/>
        <v>SDG 7</v>
      </c>
      <c r="E19" s="14" t="str">
        <f t="shared" si="39"/>
        <v>TO DO</v>
      </c>
      <c r="F19" s="14" t="str">
        <f t="shared" si="39"/>
        <v>SDG 7</v>
      </c>
      <c r="G19" s="14" t="str">
        <f t="shared" si="39"/>
        <v>TO DO</v>
      </c>
      <c r="H19" s="14" t="str">
        <f t="shared" si="39"/>
        <v>SDG 7</v>
      </c>
      <c r="I19" s="45">
        <f t="shared" si="4"/>
        <v>1</v>
      </c>
      <c r="J19" s="14" t="str">
        <f t="shared" ref="J19:O19" si="40">VLOOKUP($A19, INDIRECT(C$1&amp;"!B:E"), 4, FALSE)</f>
        <v/>
      </c>
      <c r="K19" s="14" t="str">
        <f t="shared" si="40"/>
        <v/>
      </c>
      <c r="L19" s="14" t="str">
        <f t="shared" si="40"/>
        <v/>
      </c>
      <c r="M19" s="14" t="str">
        <f t="shared" si="40"/>
        <v/>
      </c>
      <c r="N19" s="14" t="str">
        <f t="shared" si="40"/>
        <v/>
      </c>
      <c r="O19" s="14" t="str">
        <f t="shared" si="40"/>
        <v/>
      </c>
      <c r="P19" s="14" t="str">
        <f t="shared" si="6"/>
        <v/>
      </c>
      <c r="Q19" s="46" t="s">
        <v>394</v>
      </c>
      <c r="R19" s="14" t="str">
        <f t="shared" si="7"/>
        <v>SDG 7</v>
      </c>
      <c r="S19" s="14" t="str">
        <f>VLOOKUP($A19, Source!B:I, 8, FALSE)</f>
        <v>SDG 7</v>
      </c>
      <c r="T19" s="14" t="str">
        <f>VLOOKUP(A19,Source!B:H, 7, FALSE)</f>
        <v>very easy</v>
      </c>
      <c r="U19" s="14" t="str">
        <f t="shared" si="8"/>
        <v>Yes</v>
      </c>
    </row>
    <row r="20" ht="15.75" customHeight="1">
      <c r="A20" s="21" t="s">
        <v>170</v>
      </c>
      <c r="B20" s="44" t="s">
        <v>171</v>
      </c>
      <c r="C20" s="14" t="str">
        <f t="shared" ref="C20:H20" si="41">VLOOKUP($A20, INDIRECT(C$1&amp;"!B:D"), 3, FALSE)</f>
        <v>TO DO</v>
      </c>
      <c r="D20" s="14" t="str">
        <f t="shared" si="41"/>
        <v>SDG 7</v>
      </c>
      <c r="E20" s="14" t="str">
        <f t="shared" si="41"/>
        <v>TO DO</v>
      </c>
      <c r="F20" s="14" t="str">
        <f t="shared" si="41"/>
        <v>SDG 7</v>
      </c>
      <c r="G20" s="14" t="str">
        <f t="shared" si="41"/>
        <v>TO DO</v>
      </c>
      <c r="H20" s="14" t="str">
        <f t="shared" si="41"/>
        <v>SDG 7</v>
      </c>
      <c r="I20" s="45">
        <f t="shared" si="4"/>
        <v>1</v>
      </c>
      <c r="J20" s="14" t="str">
        <f t="shared" ref="J20:O20" si="42">VLOOKUP($A20, INDIRECT(C$1&amp;"!B:E"), 4, FALSE)</f>
        <v/>
      </c>
      <c r="K20" s="14" t="str">
        <f t="shared" si="42"/>
        <v/>
      </c>
      <c r="L20" s="14" t="str">
        <f t="shared" si="42"/>
        <v/>
      </c>
      <c r="M20" s="14" t="str">
        <f t="shared" si="42"/>
        <v/>
      </c>
      <c r="N20" s="14" t="str">
        <f t="shared" si="42"/>
        <v/>
      </c>
      <c r="O20" s="14" t="str">
        <f t="shared" si="42"/>
        <v/>
      </c>
      <c r="P20" s="14" t="str">
        <f t="shared" si="6"/>
        <v/>
      </c>
      <c r="Q20" s="46" t="s">
        <v>394</v>
      </c>
      <c r="R20" s="14" t="str">
        <f t="shared" si="7"/>
        <v>SDG 7</v>
      </c>
      <c r="S20" s="14" t="str">
        <f>VLOOKUP($A20, Source!B:I, 8, FALSE)</f>
        <v>SDG 7</v>
      </c>
      <c r="T20" s="14" t="str">
        <f>VLOOKUP(A20,Source!B:H, 7, FALSE)</f>
        <v>very easy</v>
      </c>
      <c r="U20" s="14" t="str">
        <f t="shared" si="8"/>
        <v>Yes</v>
      </c>
    </row>
    <row r="21" ht="15.75" customHeight="1">
      <c r="A21" s="21" t="s">
        <v>287</v>
      </c>
      <c r="B21" s="44" t="s">
        <v>288</v>
      </c>
      <c r="C21" s="14" t="str">
        <f t="shared" ref="C21:H21" si="43">VLOOKUP($A21, INDIRECT(C$1&amp;"!B:D"), 3, FALSE)</f>
        <v>TO DO</v>
      </c>
      <c r="D21" s="14" t="str">
        <f t="shared" si="43"/>
        <v>SDG 7</v>
      </c>
      <c r="E21" s="14" t="str">
        <f t="shared" si="43"/>
        <v>TO DO</v>
      </c>
      <c r="F21" s="14" t="str">
        <f t="shared" si="43"/>
        <v>SDG 7</v>
      </c>
      <c r="G21" s="14" t="str">
        <f t="shared" si="43"/>
        <v>TO DO</v>
      </c>
      <c r="H21" s="14" t="str">
        <f t="shared" si="43"/>
        <v>SDG 7</v>
      </c>
      <c r="I21" s="45">
        <f t="shared" si="4"/>
        <v>1</v>
      </c>
      <c r="J21" s="14" t="str">
        <f t="shared" ref="J21:O21" si="44">VLOOKUP($A21, INDIRECT(C$1&amp;"!B:E"), 4, FALSE)</f>
        <v/>
      </c>
      <c r="K21" s="14" t="str">
        <f t="shared" si="44"/>
        <v/>
      </c>
      <c r="L21" s="14" t="str">
        <f t="shared" si="44"/>
        <v/>
      </c>
      <c r="M21" s="14" t="str">
        <f t="shared" si="44"/>
        <v/>
      </c>
      <c r="N21" s="14" t="str">
        <f t="shared" si="44"/>
        <v/>
      </c>
      <c r="O21" s="14" t="str">
        <f t="shared" si="44"/>
        <v/>
      </c>
      <c r="P21" s="14" t="str">
        <f t="shared" si="6"/>
        <v/>
      </c>
      <c r="Q21" s="46" t="s">
        <v>394</v>
      </c>
      <c r="R21" s="14" t="str">
        <f t="shared" si="7"/>
        <v>SDG 7</v>
      </c>
      <c r="S21" s="14" t="str">
        <f>VLOOKUP($A21, Source!B:I, 8, FALSE)</f>
        <v>SDG 7</v>
      </c>
      <c r="T21" s="14" t="str">
        <f>VLOOKUP(A21,Source!B:H, 7, FALSE)</f>
        <v>very easy</v>
      </c>
      <c r="U21" s="14" t="str">
        <f t="shared" si="8"/>
        <v>Yes</v>
      </c>
    </row>
    <row r="22" ht="15.75" customHeight="1">
      <c r="A22" s="21" t="s">
        <v>216</v>
      </c>
      <c r="B22" s="44" t="s">
        <v>217</v>
      </c>
      <c r="C22" s="14" t="str">
        <f t="shared" ref="C22:H22" si="45">VLOOKUP($A22, INDIRECT(C$1&amp;"!B:D"), 3, FALSE)</f>
        <v>TO DO</v>
      </c>
      <c r="D22" s="14" t="str">
        <f t="shared" si="45"/>
        <v>NOT SDG 7</v>
      </c>
      <c r="E22" s="14" t="str">
        <f t="shared" si="45"/>
        <v>TO DO</v>
      </c>
      <c r="F22" s="14" t="str">
        <f t="shared" si="45"/>
        <v>NOT SDG 7</v>
      </c>
      <c r="G22" s="14" t="str">
        <f t="shared" si="45"/>
        <v>TO DO</v>
      </c>
      <c r="H22" s="14" t="str">
        <f t="shared" si="45"/>
        <v>SDG 7</v>
      </c>
      <c r="I22" s="45">
        <f t="shared" si="4"/>
        <v>0.3333333333</v>
      </c>
      <c r="J22" s="14" t="str">
        <f t="shared" ref="J22:O22" si="46">VLOOKUP($A22, INDIRECT(C$1&amp;"!B:E"), 4, FALSE)</f>
        <v/>
      </c>
      <c r="K22" s="14" t="str">
        <f t="shared" si="46"/>
        <v/>
      </c>
      <c r="L22" s="14" t="str">
        <f t="shared" si="46"/>
        <v/>
      </c>
      <c r="M22" s="14" t="str">
        <f t="shared" si="46"/>
        <v/>
      </c>
      <c r="N22" s="14" t="str">
        <f t="shared" si="46"/>
        <v/>
      </c>
      <c r="O22" s="14" t="str">
        <f t="shared" si="46"/>
        <v/>
      </c>
      <c r="P22" s="14" t="str">
        <f t="shared" si="6"/>
        <v/>
      </c>
      <c r="Q22" s="46" t="s">
        <v>394</v>
      </c>
      <c r="R22" s="14" t="str">
        <f t="shared" si="7"/>
        <v>UNDECIDED</v>
      </c>
      <c r="S22" s="14" t="str">
        <f>VLOOKUP($A22, Source!B:I, 8, FALSE)</f>
        <v>SDG 7</v>
      </c>
      <c r="T22" s="14" t="str">
        <f>VLOOKUP(A22,Source!B:H, 7, FALSE)</f>
        <v>medium</v>
      </c>
      <c r="U22" s="14" t="str">
        <f t="shared" si="8"/>
        <v>Unclear</v>
      </c>
    </row>
    <row r="23" ht="15.75" customHeight="1">
      <c r="A23" s="21" t="s">
        <v>314</v>
      </c>
      <c r="B23" s="44" t="s">
        <v>315</v>
      </c>
      <c r="C23" s="14" t="str">
        <f t="shared" ref="C23:H23" si="47">VLOOKUP($A23, INDIRECT(C$1&amp;"!B:D"), 3, FALSE)</f>
        <v>TO DO</v>
      </c>
      <c r="D23" s="14" t="str">
        <f t="shared" si="47"/>
        <v>NOT SDG 7</v>
      </c>
      <c r="E23" s="14" t="str">
        <f t="shared" si="47"/>
        <v>TO DO</v>
      </c>
      <c r="F23" s="14" t="str">
        <f t="shared" si="47"/>
        <v>NOT SDG 7</v>
      </c>
      <c r="G23" s="14" t="str">
        <f t="shared" si="47"/>
        <v>TO DO</v>
      </c>
      <c r="H23" s="14" t="str">
        <f t="shared" si="47"/>
        <v>NOT SDG 7</v>
      </c>
      <c r="I23" s="45">
        <f t="shared" si="4"/>
        <v>1</v>
      </c>
      <c r="J23" s="14" t="str">
        <f t="shared" ref="J23:O23" si="48">VLOOKUP($A23, INDIRECT(C$1&amp;"!B:E"), 4, FALSE)</f>
        <v/>
      </c>
      <c r="K23" s="14" t="str">
        <f t="shared" si="48"/>
        <v/>
      </c>
      <c r="L23" s="14" t="str">
        <f t="shared" si="48"/>
        <v/>
      </c>
      <c r="M23" s="14" t="str">
        <f t="shared" si="48"/>
        <v/>
      </c>
      <c r="N23" s="14" t="str">
        <f t="shared" si="48"/>
        <v/>
      </c>
      <c r="O23" s="14" t="str">
        <f t="shared" si="48"/>
        <v/>
      </c>
      <c r="P23" s="14" t="str">
        <f t="shared" si="6"/>
        <v/>
      </c>
      <c r="Q23" s="46" t="s">
        <v>394</v>
      </c>
      <c r="R23" s="14" t="str">
        <f t="shared" si="7"/>
        <v>NOT SDG 7</v>
      </c>
      <c r="S23" s="14" t="str">
        <f>VLOOKUP($A23, Source!B:I, 8, FALSE)</f>
        <v>SDG 7</v>
      </c>
      <c r="T23" s="14" t="str">
        <f>VLOOKUP(A23,Source!B:H, 7, FALSE)</f>
        <v>medium</v>
      </c>
      <c r="U23" s="14" t="str">
        <f t="shared" si="8"/>
        <v>No</v>
      </c>
    </row>
    <row r="24" ht="15.75" customHeight="1">
      <c r="A24" s="21" t="s">
        <v>112</v>
      </c>
      <c r="B24" s="44" t="s">
        <v>113</v>
      </c>
      <c r="C24" s="14" t="str">
        <f t="shared" ref="C24:H24" si="49">VLOOKUP($A24, INDIRECT(C$1&amp;"!B:D"), 3, FALSE)</f>
        <v>TO DO</v>
      </c>
      <c r="D24" s="14" t="str">
        <f t="shared" si="49"/>
        <v>SDG 7</v>
      </c>
      <c r="E24" s="14" t="str">
        <f t="shared" si="49"/>
        <v>TO DO</v>
      </c>
      <c r="F24" s="14" t="str">
        <f t="shared" si="49"/>
        <v>SDG 7</v>
      </c>
      <c r="G24" s="14" t="str">
        <f t="shared" si="49"/>
        <v>TO DO</v>
      </c>
      <c r="H24" s="14" t="str">
        <f t="shared" si="49"/>
        <v>SDG 7</v>
      </c>
      <c r="I24" s="45">
        <f t="shared" si="4"/>
        <v>1</v>
      </c>
      <c r="J24" s="14" t="str">
        <f t="shared" ref="J24:O24" si="50">VLOOKUP($A24, INDIRECT(C$1&amp;"!B:E"), 4, FALSE)</f>
        <v/>
      </c>
      <c r="K24" s="14" t="str">
        <f t="shared" si="50"/>
        <v>Typos in text</v>
      </c>
      <c r="L24" s="14" t="str">
        <f t="shared" si="50"/>
        <v/>
      </c>
      <c r="M24" s="14" t="str">
        <f t="shared" si="50"/>
        <v/>
      </c>
      <c r="N24" s="14" t="str">
        <f t="shared" si="50"/>
        <v/>
      </c>
      <c r="O24" s="14" t="str">
        <f t="shared" si="50"/>
        <v/>
      </c>
      <c r="P24" s="14" t="str">
        <f t="shared" si="6"/>
        <v>- Typos in text</v>
      </c>
      <c r="Q24" s="46" t="s">
        <v>396</v>
      </c>
      <c r="R24" s="14" t="str">
        <f t="shared" si="7"/>
        <v>SDG 7</v>
      </c>
      <c r="S24" s="14" t="str">
        <f>VLOOKUP($A24, Source!B:I, 8, FALSE)</f>
        <v>SDG 7</v>
      </c>
      <c r="T24" s="14" t="str">
        <f>VLOOKUP(A24,Source!B:H, 7, FALSE)</f>
        <v>hard</v>
      </c>
      <c r="U24" s="14" t="str">
        <f t="shared" si="8"/>
        <v>Yes</v>
      </c>
    </row>
    <row r="25" ht="15.75" customHeight="1">
      <c r="A25" s="21" t="s">
        <v>109</v>
      </c>
      <c r="B25" s="44" t="s">
        <v>110</v>
      </c>
      <c r="C25" s="14" t="str">
        <f t="shared" ref="C25:H25" si="51">VLOOKUP($A25, INDIRECT(C$1&amp;"!B:D"), 3, FALSE)</f>
        <v>TO DO</v>
      </c>
      <c r="D25" s="14" t="str">
        <f t="shared" si="51"/>
        <v>SDG 7</v>
      </c>
      <c r="E25" s="14" t="str">
        <f t="shared" si="51"/>
        <v>TO DO</v>
      </c>
      <c r="F25" s="14" t="str">
        <f t="shared" si="51"/>
        <v>SDG 7</v>
      </c>
      <c r="G25" s="14" t="str">
        <f t="shared" si="51"/>
        <v>TO DO</v>
      </c>
      <c r="H25" s="14" t="str">
        <f t="shared" si="51"/>
        <v>SDG 7</v>
      </c>
      <c r="I25" s="45">
        <f t="shared" si="4"/>
        <v>1</v>
      </c>
      <c r="J25" s="14" t="str">
        <f t="shared" ref="J25:O25" si="52">VLOOKUP($A25, INDIRECT(C$1&amp;"!B:E"), 4, FALSE)</f>
        <v/>
      </c>
      <c r="K25" s="14" t="str">
        <f t="shared" si="52"/>
        <v/>
      </c>
      <c r="L25" s="14" t="str">
        <f t="shared" si="52"/>
        <v/>
      </c>
      <c r="M25" s="14" t="str">
        <f t="shared" si="52"/>
        <v/>
      </c>
      <c r="N25" s="14" t="str">
        <f t="shared" si="52"/>
        <v/>
      </c>
      <c r="O25" s="14" t="str">
        <f t="shared" si="52"/>
        <v/>
      </c>
      <c r="P25" s="14" t="str">
        <f t="shared" si="6"/>
        <v/>
      </c>
      <c r="Q25" s="46" t="s">
        <v>394</v>
      </c>
      <c r="R25" s="14" t="str">
        <f t="shared" si="7"/>
        <v>SDG 7</v>
      </c>
      <c r="S25" s="14" t="str">
        <f>VLOOKUP($A25, Source!B:I, 8, FALSE)</f>
        <v>SDG 7</v>
      </c>
      <c r="T25" s="14" t="str">
        <f>VLOOKUP(A25,Source!B:H, 7, FALSE)</f>
        <v>medium</v>
      </c>
      <c r="U25" s="14" t="str">
        <f t="shared" si="8"/>
        <v>Yes</v>
      </c>
    </row>
    <row r="26" ht="15.75" customHeight="1">
      <c r="A26" s="21" t="s">
        <v>201</v>
      </c>
      <c r="B26" s="44" t="s">
        <v>202</v>
      </c>
      <c r="C26" s="14" t="str">
        <f t="shared" ref="C26:H26" si="53">VLOOKUP($A26, INDIRECT(C$1&amp;"!B:D"), 3, FALSE)</f>
        <v>TO DO</v>
      </c>
      <c r="D26" s="14" t="str">
        <f t="shared" si="53"/>
        <v>SDG 7</v>
      </c>
      <c r="E26" s="14" t="str">
        <f t="shared" si="53"/>
        <v>TO DO</v>
      </c>
      <c r="F26" s="14" t="str">
        <f t="shared" si="53"/>
        <v>SDG 7</v>
      </c>
      <c r="G26" s="14" t="str">
        <f t="shared" si="53"/>
        <v>TO DO</v>
      </c>
      <c r="H26" s="14" t="str">
        <f t="shared" si="53"/>
        <v>SDG 7</v>
      </c>
      <c r="I26" s="45">
        <f t="shared" si="4"/>
        <v>1</v>
      </c>
      <c r="J26" s="14" t="str">
        <f t="shared" ref="J26:O26" si="54">VLOOKUP($A26, INDIRECT(C$1&amp;"!B:E"), 4, FALSE)</f>
        <v/>
      </c>
      <c r="K26" s="14" t="str">
        <f t="shared" si="54"/>
        <v/>
      </c>
      <c r="L26" s="14" t="str">
        <f t="shared" si="54"/>
        <v/>
      </c>
      <c r="M26" s="14" t="str">
        <f t="shared" si="54"/>
        <v/>
      </c>
      <c r="N26" s="14" t="str">
        <f t="shared" si="54"/>
        <v/>
      </c>
      <c r="O26" s="14" t="str">
        <f t="shared" si="54"/>
        <v/>
      </c>
      <c r="P26" s="14" t="str">
        <f t="shared" si="6"/>
        <v/>
      </c>
      <c r="Q26" s="46" t="s">
        <v>394</v>
      </c>
      <c r="R26" s="14" t="str">
        <f t="shared" si="7"/>
        <v>SDG 7</v>
      </c>
      <c r="S26" s="14" t="str">
        <f>VLOOKUP($A26, Source!B:I, 8, FALSE)</f>
        <v>SDG 7</v>
      </c>
      <c r="T26" s="14" t="str">
        <f>VLOOKUP(A26,Source!B:H, 7, FALSE)</f>
        <v>hard</v>
      </c>
      <c r="U26" s="14" t="str">
        <f t="shared" si="8"/>
        <v>Yes</v>
      </c>
    </row>
    <row r="27" ht="15.75" customHeight="1">
      <c r="A27" s="21" t="s">
        <v>279</v>
      </c>
      <c r="B27" s="44" t="s">
        <v>280</v>
      </c>
      <c r="C27" s="14" t="str">
        <f t="shared" ref="C27:H27" si="55">VLOOKUP($A27, INDIRECT(C$1&amp;"!B:D"), 3, FALSE)</f>
        <v>TO DO</v>
      </c>
      <c r="D27" s="14" t="str">
        <f t="shared" si="55"/>
        <v>NOT SDG 7</v>
      </c>
      <c r="E27" s="14" t="str">
        <f t="shared" si="55"/>
        <v>TO DO</v>
      </c>
      <c r="F27" s="14" t="str">
        <f t="shared" si="55"/>
        <v>NOT SDG 7</v>
      </c>
      <c r="G27" s="14" t="str">
        <f t="shared" si="55"/>
        <v>TO DO</v>
      </c>
      <c r="H27" s="14" t="str">
        <f t="shared" si="55"/>
        <v>NOT SDG 7</v>
      </c>
      <c r="I27" s="45">
        <f t="shared" si="4"/>
        <v>1</v>
      </c>
      <c r="J27" s="14" t="str">
        <f t="shared" ref="J27:O27" si="56">VLOOKUP($A27, INDIRECT(C$1&amp;"!B:E"), 4, FALSE)</f>
        <v/>
      </c>
      <c r="K27" s="14" t="str">
        <f t="shared" si="56"/>
        <v/>
      </c>
      <c r="L27" s="14" t="str">
        <f t="shared" si="56"/>
        <v/>
      </c>
      <c r="M27" s="14" t="str">
        <f t="shared" si="56"/>
        <v/>
      </c>
      <c r="N27" s="14" t="str">
        <f t="shared" si="56"/>
        <v/>
      </c>
      <c r="O27" s="14" t="str">
        <f t="shared" si="56"/>
        <v/>
      </c>
      <c r="P27" s="14" t="str">
        <f t="shared" si="6"/>
        <v/>
      </c>
      <c r="Q27" s="46" t="s">
        <v>394</v>
      </c>
      <c r="R27" s="14" t="str">
        <f t="shared" si="7"/>
        <v>NOT SDG 7</v>
      </c>
      <c r="S27" s="14" t="str">
        <f>VLOOKUP($A27, Source!B:I, 8, FALSE)</f>
        <v>NOT SDG 7</v>
      </c>
      <c r="T27" s="14" t="str">
        <f>VLOOKUP(A27,Source!B:H, 7, FALSE)</f>
        <v>medium</v>
      </c>
      <c r="U27" s="14" t="str">
        <f t="shared" si="8"/>
        <v>Yes</v>
      </c>
    </row>
    <row r="28" ht="15.75" customHeight="1">
      <c r="A28" s="21" t="s">
        <v>224</v>
      </c>
      <c r="B28" s="44" t="s">
        <v>225</v>
      </c>
      <c r="C28" s="14" t="str">
        <f t="shared" ref="C28:H28" si="57">VLOOKUP($A28, INDIRECT(C$1&amp;"!B:D"), 3, FALSE)</f>
        <v>TO DO</v>
      </c>
      <c r="D28" s="14" t="str">
        <f t="shared" si="57"/>
        <v>SDG 7</v>
      </c>
      <c r="E28" s="14" t="str">
        <f t="shared" si="57"/>
        <v>TO DO</v>
      </c>
      <c r="F28" s="14" t="str">
        <f t="shared" si="57"/>
        <v>SDG 7</v>
      </c>
      <c r="G28" s="14" t="str">
        <f t="shared" si="57"/>
        <v>TO DO</v>
      </c>
      <c r="H28" s="14" t="str">
        <f t="shared" si="57"/>
        <v>SDG 7</v>
      </c>
      <c r="I28" s="45">
        <f t="shared" si="4"/>
        <v>1</v>
      </c>
      <c r="J28" s="14" t="str">
        <f t="shared" ref="J28:O28" si="58">VLOOKUP($A28, INDIRECT(C$1&amp;"!B:E"), 4, FALSE)</f>
        <v/>
      </c>
      <c r="K28" s="14" t="str">
        <f t="shared" si="58"/>
        <v/>
      </c>
      <c r="L28" s="14" t="str">
        <f t="shared" si="58"/>
        <v/>
      </c>
      <c r="M28" s="14" t="str">
        <f t="shared" si="58"/>
        <v/>
      </c>
      <c r="N28" s="14" t="str">
        <f t="shared" si="58"/>
        <v/>
      </c>
      <c r="O28" s="14" t="str">
        <f t="shared" si="58"/>
        <v/>
      </c>
      <c r="P28" s="14" t="str">
        <f t="shared" si="6"/>
        <v/>
      </c>
      <c r="Q28" s="46" t="s">
        <v>394</v>
      </c>
      <c r="R28" s="14" t="str">
        <f t="shared" si="7"/>
        <v>SDG 7</v>
      </c>
      <c r="S28" s="14" t="str">
        <f>VLOOKUP($A28, Source!B:I, 8, FALSE)</f>
        <v>SDG 7</v>
      </c>
      <c r="T28" s="14" t="str">
        <f>VLOOKUP(A28,Source!B:H, 7, FALSE)</f>
        <v>hard</v>
      </c>
      <c r="U28" s="14" t="str">
        <f t="shared" si="8"/>
        <v>Yes</v>
      </c>
    </row>
    <row r="29" ht="15.75" customHeight="1">
      <c r="A29" s="21" t="s">
        <v>193</v>
      </c>
      <c r="B29" s="44" t="s">
        <v>194</v>
      </c>
      <c r="C29" s="14" t="str">
        <f t="shared" ref="C29:H29" si="59">VLOOKUP($A29, INDIRECT(C$1&amp;"!B:D"), 3, FALSE)</f>
        <v>TO DO</v>
      </c>
      <c r="D29" s="14" t="str">
        <f t="shared" si="59"/>
        <v>SDG 7</v>
      </c>
      <c r="E29" s="14" t="str">
        <f t="shared" si="59"/>
        <v>TO DO</v>
      </c>
      <c r="F29" s="14" t="str">
        <f t="shared" si="59"/>
        <v>SDG 7</v>
      </c>
      <c r="G29" s="14" t="str">
        <f t="shared" si="59"/>
        <v>TO DO</v>
      </c>
      <c r="H29" s="14" t="str">
        <f t="shared" si="59"/>
        <v>SDG 7</v>
      </c>
      <c r="I29" s="45">
        <f t="shared" si="4"/>
        <v>1</v>
      </c>
      <c r="J29" s="14" t="str">
        <f t="shared" ref="J29:O29" si="60">VLOOKUP($A29, INDIRECT(C$1&amp;"!B:E"), 4, FALSE)</f>
        <v/>
      </c>
      <c r="K29" s="14" t="str">
        <f t="shared" si="60"/>
        <v/>
      </c>
      <c r="L29" s="14" t="str">
        <f t="shared" si="60"/>
        <v/>
      </c>
      <c r="M29" s="14" t="str">
        <f t="shared" si="60"/>
        <v/>
      </c>
      <c r="N29" s="14" t="str">
        <f t="shared" si="60"/>
        <v/>
      </c>
      <c r="O29" s="14" t="str">
        <f t="shared" si="60"/>
        <v/>
      </c>
      <c r="P29" s="14" t="str">
        <f t="shared" si="6"/>
        <v/>
      </c>
      <c r="Q29" s="46" t="s">
        <v>394</v>
      </c>
      <c r="R29" s="14" t="str">
        <f t="shared" si="7"/>
        <v>SDG 7</v>
      </c>
      <c r="S29" s="14" t="str">
        <f>VLOOKUP($A29, Source!B:I, 8, FALSE)</f>
        <v>SDG 7</v>
      </c>
      <c r="T29" s="14" t="str">
        <f>VLOOKUP(A29,Source!B:H, 7, FALSE)</f>
        <v>very easy</v>
      </c>
      <c r="U29" s="14" t="str">
        <f t="shared" si="8"/>
        <v>Yes</v>
      </c>
    </row>
    <row r="30" ht="15.75" customHeight="1">
      <c r="A30" s="21" t="s">
        <v>256</v>
      </c>
      <c r="B30" s="44" t="s">
        <v>257</v>
      </c>
      <c r="C30" s="14" t="str">
        <f t="shared" ref="C30:H30" si="61">VLOOKUP($A30, INDIRECT(C$1&amp;"!B:D"), 3, FALSE)</f>
        <v>TO DO</v>
      </c>
      <c r="D30" s="14" t="str">
        <f t="shared" si="61"/>
        <v>SDG 7</v>
      </c>
      <c r="E30" s="14" t="str">
        <f t="shared" si="61"/>
        <v>SDG 7</v>
      </c>
      <c r="F30" s="14" t="str">
        <f t="shared" si="61"/>
        <v>SDG 7</v>
      </c>
      <c r="G30" s="14" t="str">
        <f t="shared" si="61"/>
        <v>TO DO</v>
      </c>
      <c r="H30" s="14" t="str">
        <f t="shared" si="61"/>
        <v>SDG 7</v>
      </c>
      <c r="I30" s="45">
        <f t="shared" si="4"/>
        <v>1</v>
      </c>
      <c r="J30" s="14" t="str">
        <f t="shared" ref="J30:O30" si="62">VLOOKUP($A30, INDIRECT(C$1&amp;"!B:E"), 4, FALSE)</f>
        <v/>
      </c>
      <c r="K30" s="14" t="str">
        <f t="shared" si="62"/>
        <v/>
      </c>
      <c r="L30" s="14" t="str">
        <f t="shared" si="62"/>
        <v/>
      </c>
      <c r="M30" s="14" t="str">
        <f t="shared" si="62"/>
        <v/>
      </c>
      <c r="N30" s="14" t="str">
        <f t="shared" si="62"/>
        <v/>
      </c>
      <c r="O30" s="14" t="str">
        <f t="shared" si="62"/>
        <v/>
      </c>
      <c r="P30" s="14" t="str">
        <f t="shared" si="6"/>
        <v/>
      </c>
      <c r="Q30" s="46" t="s">
        <v>394</v>
      </c>
      <c r="R30" s="14" t="str">
        <f t="shared" si="7"/>
        <v>SDG 7</v>
      </c>
      <c r="S30" s="14" t="str">
        <f>VLOOKUP($A30, Source!B:I, 8, FALSE)</f>
        <v>SDG 7</v>
      </c>
      <c r="T30" s="14" t="str">
        <f>VLOOKUP(A30,Source!B:H, 7, FALSE)</f>
        <v>easy</v>
      </c>
      <c r="U30" s="14" t="str">
        <f t="shared" si="8"/>
        <v>Yes</v>
      </c>
    </row>
    <row r="31" ht="15.75" customHeight="1">
      <c r="A31" s="21" t="s">
        <v>240</v>
      </c>
      <c r="B31" s="44" t="s">
        <v>241</v>
      </c>
      <c r="C31" s="14" t="str">
        <f t="shared" ref="C31:H31" si="63">VLOOKUP($A31, INDIRECT(C$1&amp;"!B:D"), 3, FALSE)</f>
        <v>TO DO</v>
      </c>
      <c r="D31" s="14" t="str">
        <f t="shared" si="63"/>
        <v>SDG 7</v>
      </c>
      <c r="E31" s="14" t="str">
        <f t="shared" si="63"/>
        <v>TO DO</v>
      </c>
      <c r="F31" s="14" t="str">
        <f t="shared" si="63"/>
        <v>SDG 7</v>
      </c>
      <c r="G31" s="14" t="str">
        <f t="shared" si="63"/>
        <v>TO DO</v>
      </c>
      <c r="H31" s="14" t="str">
        <f t="shared" si="63"/>
        <v>SDG 7</v>
      </c>
      <c r="I31" s="45">
        <f t="shared" si="4"/>
        <v>1</v>
      </c>
      <c r="J31" s="14" t="str">
        <f t="shared" ref="J31:O31" si="64">VLOOKUP($A31, INDIRECT(C$1&amp;"!B:E"), 4, FALSE)</f>
        <v/>
      </c>
      <c r="K31" s="14" t="str">
        <f t="shared" si="64"/>
        <v/>
      </c>
      <c r="L31" s="14" t="str">
        <f t="shared" si="64"/>
        <v/>
      </c>
      <c r="M31" s="14" t="str">
        <f t="shared" si="64"/>
        <v/>
      </c>
      <c r="N31" s="14" t="str">
        <f t="shared" si="64"/>
        <v/>
      </c>
      <c r="O31" s="14" t="str">
        <f t="shared" si="64"/>
        <v/>
      </c>
      <c r="P31" s="14" t="str">
        <f t="shared" si="6"/>
        <v/>
      </c>
      <c r="Q31" s="46" t="s">
        <v>394</v>
      </c>
      <c r="R31" s="14" t="str">
        <f t="shared" si="7"/>
        <v>SDG 7</v>
      </c>
      <c r="S31" s="14" t="str">
        <f>VLOOKUP($A31, Source!B:I, 8, FALSE)</f>
        <v>SDG 7</v>
      </c>
      <c r="T31" s="14" t="str">
        <f>VLOOKUP(A31,Source!B:H, 7, FALSE)</f>
        <v>easy</v>
      </c>
      <c r="U31" s="14" t="str">
        <f t="shared" si="8"/>
        <v>Yes</v>
      </c>
    </row>
    <row r="32" ht="15.75" customHeight="1">
      <c r="A32" s="21" t="s">
        <v>180</v>
      </c>
      <c r="B32" s="44" t="s">
        <v>181</v>
      </c>
      <c r="C32" s="14" t="str">
        <f t="shared" ref="C32:H32" si="65">VLOOKUP($A32, INDIRECT(C$1&amp;"!B:D"), 3, FALSE)</f>
        <v>TO DO</v>
      </c>
      <c r="D32" s="14" t="str">
        <f t="shared" si="65"/>
        <v>NOT SDG 7</v>
      </c>
      <c r="E32" s="14" t="str">
        <f t="shared" si="65"/>
        <v>NOT SDG 7</v>
      </c>
      <c r="F32" s="14" t="str">
        <f t="shared" si="65"/>
        <v>NOT SDG 7</v>
      </c>
      <c r="G32" s="14" t="str">
        <f t="shared" si="65"/>
        <v>TO DO</v>
      </c>
      <c r="H32" s="14" t="str">
        <f t="shared" si="65"/>
        <v>NOT SDG 7</v>
      </c>
      <c r="I32" s="45">
        <f t="shared" si="4"/>
        <v>1</v>
      </c>
      <c r="J32" s="14" t="str">
        <f t="shared" ref="J32:O32" si="66">VLOOKUP($A32, INDIRECT(C$1&amp;"!B:E"), 4, FALSE)</f>
        <v/>
      </c>
      <c r="K32" s="14" t="str">
        <f t="shared" si="66"/>
        <v/>
      </c>
      <c r="L32" s="14" t="str">
        <f t="shared" si="66"/>
        <v/>
      </c>
      <c r="M32" s="14" t="str">
        <f t="shared" si="66"/>
        <v/>
      </c>
      <c r="N32" s="14" t="str">
        <f t="shared" si="66"/>
        <v/>
      </c>
      <c r="O32" s="14" t="str">
        <f t="shared" si="66"/>
        <v/>
      </c>
      <c r="P32" s="14" t="str">
        <f t="shared" si="6"/>
        <v/>
      </c>
      <c r="Q32" s="46" t="s">
        <v>394</v>
      </c>
      <c r="R32" s="14" t="str">
        <f t="shared" si="7"/>
        <v>NOT SDG 7</v>
      </c>
      <c r="S32" s="14" t="str">
        <f>VLOOKUP($A32, Source!B:I, 8, FALSE)</f>
        <v>SDG 7</v>
      </c>
      <c r="T32" s="14" t="str">
        <f>VLOOKUP(A32,Source!B:H, 7, FALSE)</f>
        <v>hard</v>
      </c>
      <c r="U32" s="14" t="str">
        <f t="shared" si="8"/>
        <v>No</v>
      </c>
    </row>
    <row r="33" ht="15.75" customHeight="1">
      <c r="A33" s="21" t="s">
        <v>323</v>
      </c>
      <c r="B33" s="44" t="s">
        <v>324</v>
      </c>
      <c r="C33" s="14" t="str">
        <f t="shared" ref="C33:H33" si="67">VLOOKUP($A33, INDIRECT(C$1&amp;"!B:D"), 3, FALSE)</f>
        <v>TO DO</v>
      </c>
      <c r="D33" s="14" t="str">
        <f t="shared" si="67"/>
        <v>NOT SDG 7</v>
      </c>
      <c r="E33" s="14" t="str">
        <f t="shared" si="67"/>
        <v>NOT SDG 7</v>
      </c>
      <c r="F33" s="14" t="str">
        <f t="shared" si="67"/>
        <v>NOT SDG 7</v>
      </c>
      <c r="G33" s="14" t="str">
        <f t="shared" si="67"/>
        <v>TO DO</v>
      </c>
      <c r="H33" s="14" t="str">
        <f t="shared" si="67"/>
        <v>SDG 7</v>
      </c>
      <c r="I33" s="45">
        <f t="shared" si="4"/>
        <v>0.5</v>
      </c>
      <c r="J33" s="14" t="str">
        <f t="shared" ref="J33:O33" si="68">VLOOKUP($A33, INDIRECT(C$1&amp;"!B:E"), 4, FALSE)</f>
        <v/>
      </c>
      <c r="K33" s="14" t="str">
        <f t="shared" si="68"/>
        <v/>
      </c>
      <c r="L33" s="14" t="str">
        <f t="shared" si="68"/>
        <v/>
      </c>
      <c r="M33" s="14" t="str">
        <f t="shared" si="68"/>
        <v/>
      </c>
      <c r="N33" s="14" t="str">
        <f t="shared" si="68"/>
        <v/>
      </c>
      <c r="O33" s="14" t="str">
        <f t="shared" si="68"/>
        <v/>
      </c>
      <c r="P33" s="14" t="str">
        <f t="shared" si="6"/>
        <v/>
      </c>
      <c r="Q33" s="46" t="s">
        <v>394</v>
      </c>
      <c r="R33" s="14" t="str">
        <f t="shared" si="7"/>
        <v>UNDECIDED</v>
      </c>
      <c r="S33" s="14" t="str">
        <f>VLOOKUP($A33, Source!B:I, 8, FALSE)</f>
        <v>NOT SDG 7</v>
      </c>
      <c r="T33" s="14" t="str">
        <f>VLOOKUP(A33,Source!B:H, 7, FALSE)</f>
        <v>very easy</v>
      </c>
      <c r="U33" s="14" t="str">
        <f t="shared" si="8"/>
        <v>Unclear</v>
      </c>
    </row>
    <row r="34" ht="15.75" customHeight="1">
      <c r="A34" s="21" t="s">
        <v>318</v>
      </c>
      <c r="B34" s="44" t="s">
        <v>319</v>
      </c>
      <c r="C34" s="14" t="str">
        <f t="shared" ref="C34:H34" si="69">VLOOKUP($A34, INDIRECT(C$1&amp;"!B:D"), 3, FALSE)</f>
        <v>TO DO</v>
      </c>
      <c r="D34" s="14" t="str">
        <f t="shared" si="69"/>
        <v>NOT SDG 7</v>
      </c>
      <c r="E34" s="14" t="str">
        <f t="shared" si="69"/>
        <v>TO DO</v>
      </c>
      <c r="F34" s="14" t="str">
        <f t="shared" si="69"/>
        <v>NOT SDG 7</v>
      </c>
      <c r="G34" s="14" t="str">
        <f t="shared" si="69"/>
        <v>TO DO</v>
      </c>
      <c r="H34" s="14" t="str">
        <f t="shared" si="69"/>
        <v>NOT SDG 7</v>
      </c>
      <c r="I34" s="45">
        <f t="shared" si="4"/>
        <v>1</v>
      </c>
      <c r="J34" s="14" t="str">
        <f t="shared" ref="J34:O34" si="70">VLOOKUP($A34, INDIRECT(C$1&amp;"!B:E"), 4, FALSE)</f>
        <v/>
      </c>
      <c r="K34" s="14" t="str">
        <f t="shared" si="70"/>
        <v/>
      </c>
      <c r="L34" s="14" t="str">
        <f t="shared" si="70"/>
        <v/>
      </c>
      <c r="M34" s="14" t="str">
        <f t="shared" si="70"/>
        <v/>
      </c>
      <c r="N34" s="14" t="str">
        <f t="shared" si="70"/>
        <v/>
      </c>
      <c r="O34" s="14" t="str">
        <f t="shared" si="70"/>
        <v/>
      </c>
      <c r="P34" s="14" t="str">
        <f t="shared" si="6"/>
        <v/>
      </c>
      <c r="Q34" s="46" t="s">
        <v>394</v>
      </c>
      <c r="R34" s="14" t="str">
        <f t="shared" si="7"/>
        <v>NOT SDG 7</v>
      </c>
      <c r="S34" s="14" t="str">
        <f>VLOOKUP($A34, Source!B:I, 8, FALSE)</f>
        <v>NOT SDG 7</v>
      </c>
      <c r="T34" s="14" t="str">
        <f>VLOOKUP(A34,Source!B:H, 7, FALSE)</f>
        <v>very easy</v>
      </c>
      <c r="U34" s="14" t="str">
        <f t="shared" si="8"/>
        <v>Yes</v>
      </c>
    </row>
    <row r="35" ht="15.75" customHeight="1">
      <c r="A35" s="21" t="s">
        <v>198</v>
      </c>
      <c r="B35" s="44" t="s">
        <v>199</v>
      </c>
      <c r="C35" s="14" t="str">
        <f t="shared" ref="C35:H35" si="71">VLOOKUP($A35, INDIRECT(C$1&amp;"!B:D"), 3, FALSE)</f>
        <v>TO DO</v>
      </c>
      <c r="D35" s="14" t="str">
        <f t="shared" si="71"/>
        <v>NOT SDG 7</v>
      </c>
      <c r="E35" s="14" t="str">
        <f t="shared" si="71"/>
        <v>TO DO</v>
      </c>
      <c r="F35" s="14" t="str">
        <f t="shared" si="71"/>
        <v>NOT SDG 7</v>
      </c>
      <c r="G35" s="14" t="str">
        <f t="shared" si="71"/>
        <v>TO DO</v>
      </c>
      <c r="H35" s="14" t="str">
        <f t="shared" si="71"/>
        <v>NOT SDG 7</v>
      </c>
      <c r="I35" s="45">
        <f t="shared" si="4"/>
        <v>1</v>
      </c>
      <c r="J35" s="14" t="str">
        <f t="shared" ref="J35:O35" si="72">VLOOKUP($A35, INDIRECT(C$1&amp;"!B:E"), 4, FALSE)</f>
        <v/>
      </c>
      <c r="K35" s="14" t="str">
        <f t="shared" si="72"/>
        <v/>
      </c>
      <c r="L35" s="14" t="str">
        <f t="shared" si="72"/>
        <v/>
      </c>
      <c r="M35" s="14" t="str">
        <f t="shared" si="72"/>
        <v/>
      </c>
      <c r="N35" s="14" t="str">
        <f t="shared" si="72"/>
        <v/>
      </c>
      <c r="O35" s="14" t="str">
        <f t="shared" si="72"/>
        <v/>
      </c>
      <c r="P35" s="14" t="str">
        <f t="shared" si="6"/>
        <v/>
      </c>
      <c r="Q35" s="46" t="s">
        <v>394</v>
      </c>
      <c r="R35" s="14" t="str">
        <f t="shared" si="7"/>
        <v>NOT SDG 7</v>
      </c>
      <c r="S35" s="14" t="str">
        <f>VLOOKUP($A35, Source!B:I, 8, FALSE)</f>
        <v>NOT SDG 7</v>
      </c>
      <c r="T35" s="14" t="str">
        <f>VLOOKUP(A35,Source!B:H, 7, FALSE)</f>
        <v>very hard</v>
      </c>
      <c r="U35" s="14" t="str">
        <f t="shared" si="8"/>
        <v>Yes</v>
      </c>
    </row>
    <row r="36" ht="15.75" customHeight="1">
      <c r="A36" s="21" t="s">
        <v>258</v>
      </c>
      <c r="B36" s="44" t="s">
        <v>259</v>
      </c>
      <c r="C36" s="14" t="str">
        <f t="shared" ref="C36:H36" si="73">VLOOKUP($A36, INDIRECT(C$1&amp;"!B:D"), 3, FALSE)</f>
        <v>TO DO</v>
      </c>
      <c r="D36" s="14" t="str">
        <f t="shared" si="73"/>
        <v>NOT SDG 7</v>
      </c>
      <c r="E36" s="14" t="str">
        <f t="shared" si="73"/>
        <v>TO DO</v>
      </c>
      <c r="F36" s="14" t="str">
        <f t="shared" si="73"/>
        <v>NOT SDG 7</v>
      </c>
      <c r="G36" s="14" t="str">
        <f t="shared" si="73"/>
        <v>TO DO</v>
      </c>
      <c r="H36" s="14" t="str">
        <f t="shared" si="73"/>
        <v>NOT SDG 7</v>
      </c>
      <c r="I36" s="45">
        <f t="shared" si="4"/>
        <v>1</v>
      </c>
      <c r="J36" s="14" t="str">
        <f t="shared" ref="J36:O36" si="74">VLOOKUP($A36, INDIRECT(C$1&amp;"!B:E"), 4, FALSE)</f>
        <v/>
      </c>
      <c r="K36" s="14" t="str">
        <f t="shared" si="74"/>
        <v/>
      </c>
      <c r="L36" s="14" t="str">
        <f t="shared" si="74"/>
        <v/>
      </c>
      <c r="M36" s="14" t="str">
        <f t="shared" si="74"/>
        <v/>
      </c>
      <c r="N36" s="14" t="str">
        <f t="shared" si="74"/>
        <v/>
      </c>
      <c r="O36" s="14" t="str">
        <f t="shared" si="74"/>
        <v/>
      </c>
      <c r="P36" s="14" t="str">
        <f t="shared" si="6"/>
        <v/>
      </c>
      <c r="Q36" s="46" t="s">
        <v>394</v>
      </c>
      <c r="R36" s="14" t="str">
        <f t="shared" si="7"/>
        <v>NOT SDG 7</v>
      </c>
      <c r="S36" s="14" t="str">
        <f>VLOOKUP($A36, Source!B:I, 8, FALSE)</f>
        <v>NOT SDG 7</v>
      </c>
      <c r="T36" s="14" t="str">
        <f>VLOOKUP(A36,Source!B:H, 7, FALSE)</f>
        <v>medium</v>
      </c>
      <c r="U36" s="14" t="str">
        <f t="shared" si="8"/>
        <v>Yes</v>
      </c>
    </row>
    <row r="37" ht="15.75" customHeight="1">
      <c r="A37" s="21" t="s">
        <v>185</v>
      </c>
      <c r="B37" s="44" t="s">
        <v>186</v>
      </c>
      <c r="C37" s="14" t="str">
        <f t="shared" ref="C37:H37" si="75">VLOOKUP($A37, INDIRECT(C$1&amp;"!B:D"), 3, FALSE)</f>
        <v>TO DO</v>
      </c>
      <c r="D37" s="14" t="str">
        <f t="shared" si="75"/>
        <v>NOT SDG 7</v>
      </c>
      <c r="E37" s="14" t="str">
        <f t="shared" si="75"/>
        <v>NOT SDG 7</v>
      </c>
      <c r="F37" s="14" t="str">
        <f t="shared" si="75"/>
        <v>NOT SDG 7</v>
      </c>
      <c r="G37" s="14" t="str">
        <f t="shared" si="75"/>
        <v>TO DO</v>
      </c>
      <c r="H37" s="14" t="str">
        <f t="shared" si="75"/>
        <v>NOT SDG 7</v>
      </c>
      <c r="I37" s="45">
        <f t="shared" si="4"/>
        <v>1</v>
      </c>
      <c r="J37" s="14" t="str">
        <f t="shared" ref="J37:O37" si="76">VLOOKUP($A37, INDIRECT(C$1&amp;"!B:E"), 4, FALSE)</f>
        <v/>
      </c>
      <c r="K37" s="14" t="str">
        <f t="shared" si="76"/>
        <v/>
      </c>
      <c r="L37" s="14" t="str">
        <f t="shared" si="76"/>
        <v/>
      </c>
      <c r="M37" s="14" t="str">
        <f t="shared" si="76"/>
        <v/>
      </c>
      <c r="N37" s="14" t="str">
        <f t="shared" si="76"/>
        <v/>
      </c>
      <c r="O37" s="14" t="str">
        <f t="shared" si="76"/>
        <v/>
      </c>
      <c r="P37" s="14" t="str">
        <f t="shared" si="6"/>
        <v/>
      </c>
      <c r="Q37" s="46" t="s">
        <v>394</v>
      </c>
      <c r="R37" s="14" t="str">
        <f t="shared" si="7"/>
        <v>NOT SDG 7</v>
      </c>
      <c r="S37" s="14" t="str">
        <f>VLOOKUP($A37, Source!B:I, 8, FALSE)</f>
        <v>NOT SDG 7</v>
      </c>
      <c r="T37" s="14" t="str">
        <f>VLOOKUP(A37,Source!B:H, 7, FALSE)</f>
        <v>easy</v>
      </c>
      <c r="U37" s="14" t="str">
        <f t="shared" si="8"/>
        <v>Yes</v>
      </c>
    </row>
    <row r="38" ht="15.75" customHeight="1">
      <c r="A38" s="21" t="s">
        <v>178</v>
      </c>
      <c r="B38" s="44" t="s">
        <v>179</v>
      </c>
      <c r="C38" s="14" t="str">
        <f t="shared" ref="C38:H38" si="77">VLOOKUP($A38, INDIRECT(C$1&amp;"!B:D"), 3, FALSE)</f>
        <v>TO DO</v>
      </c>
      <c r="D38" s="14" t="str">
        <f t="shared" si="77"/>
        <v>NOT SDG 7</v>
      </c>
      <c r="E38" s="14" t="str">
        <f t="shared" si="77"/>
        <v>TO DO</v>
      </c>
      <c r="F38" s="14" t="str">
        <f t="shared" si="77"/>
        <v>NOT SDG 7</v>
      </c>
      <c r="G38" s="14" t="str">
        <f t="shared" si="77"/>
        <v>TO DO</v>
      </c>
      <c r="H38" s="14" t="str">
        <f t="shared" si="77"/>
        <v>NOT SDG 7</v>
      </c>
      <c r="I38" s="45">
        <f t="shared" si="4"/>
        <v>1</v>
      </c>
      <c r="J38" s="14" t="str">
        <f t="shared" ref="J38:O38" si="78">VLOOKUP($A38, INDIRECT(C$1&amp;"!B:E"), 4, FALSE)</f>
        <v/>
      </c>
      <c r="K38" s="14" t="str">
        <f t="shared" si="78"/>
        <v/>
      </c>
      <c r="L38" s="14" t="str">
        <f t="shared" si="78"/>
        <v/>
      </c>
      <c r="M38" s="14" t="str">
        <f t="shared" si="78"/>
        <v/>
      </c>
      <c r="N38" s="14" t="str">
        <f t="shared" si="78"/>
        <v/>
      </c>
      <c r="O38" s="14" t="str">
        <f t="shared" si="78"/>
        <v/>
      </c>
      <c r="P38" s="14" t="str">
        <f t="shared" si="6"/>
        <v/>
      </c>
      <c r="Q38" s="46" t="s">
        <v>394</v>
      </c>
      <c r="R38" s="14" t="str">
        <f t="shared" si="7"/>
        <v>NOT SDG 7</v>
      </c>
      <c r="S38" s="14" t="str">
        <f>VLOOKUP($A38, Source!B:I, 8, FALSE)</f>
        <v>SKIP</v>
      </c>
      <c r="T38" s="14" t="str">
        <f>VLOOKUP(A38,Source!B:H, 7, FALSE)</f>
        <v>very hard</v>
      </c>
      <c r="U38" s="14" t="str">
        <f t="shared" si="8"/>
        <v>Unclear</v>
      </c>
    </row>
    <row r="39" ht="15.75" customHeight="1">
      <c r="A39" s="21" t="s">
        <v>331</v>
      </c>
      <c r="B39" s="44" t="s">
        <v>332</v>
      </c>
      <c r="C39" s="14" t="str">
        <f t="shared" ref="C39:H39" si="79">VLOOKUP($A39, INDIRECT(C$1&amp;"!B:D"), 3, FALSE)</f>
        <v>TO DO</v>
      </c>
      <c r="D39" s="14" t="str">
        <f t="shared" si="79"/>
        <v>NOT SDG 7</v>
      </c>
      <c r="E39" s="14" t="str">
        <f t="shared" si="79"/>
        <v>TO DO</v>
      </c>
      <c r="F39" s="14" t="str">
        <f t="shared" si="79"/>
        <v>NOT SDG 7</v>
      </c>
      <c r="G39" s="14" t="str">
        <f t="shared" si="79"/>
        <v>TO DO</v>
      </c>
      <c r="H39" s="14" t="str">
        <f t="shared" si="79"/>
        <v>NOT SDG 7</v>
      </c>
      <c r="I39" s="45">
        <f t="shared" si="4"/>
        <v>1</v>
      </c>
      <c r="J39" s="14" t="str">
        <f t="shared" ref="J39:O39" si="80">VLOOKUP($A39, INDIRECT(C$1&amp;"!B:E"), 4, FALSE)</f>
        <v/>
      </c>
      <c r="K39" s="14" t="str">
        <f t="shared" si="80"/>
        <v/>
      </c>
      <c r="L39" s="14" t="str">
        <f t="shared" si="80"/>
        <v/>
      </c>
      <c r="M39" s="14" t="str">
        <f t="shared" si="80"/>
        <v/>
      </c>
      <c r="N39" s="14" t="str">
        <f t="shared" si="80"/>
        <v/>
      </c>
      <c r="O39" s="14" t="str">
        <f t="shared" si="80"/>
        <v/>
      </c>
      <c r="P39" s="14" t="str">
        <f t="shared" si="6"/>
        <v/>
      </c>
      <c r="Q39" s="46" t="s">
        <v>394</v>
      </c>
      <c r="R39" s="14" t="str">
        <f t="shared" si="7"/>
        <v>NOT SDG 7</v>
      </c>
      <c r="S39" s="14" t="str">
        <f>VLOOKUP($A39, Source!B:I, 8, FALSE)</f>
        <v>NOT SDG 7</v>
      </c>
      <c r="T39" s="14" t="str">
        <f>VLOOKUP(A39,Source!B:H, 7, FALSE)</f>
        <v>very easy</v>
      </c>
      <c r="U39" s="14" t="str">
        <f t="shared" si="8"/>
        <v>Yes</v>
      </c>
    </row>
    <row r="40" ht="15.75" customHeight="1">
      <c r="A40" s="21" t="s">
        <v>159</v>
      </c>
      <c r="B40" s="44" t="s">
        <v>160</v>
      </c>
      <c r="C40" s="14" t="str">
        <f t="shared" ref="C40:H40" si="81">VLOOKUP($A40, INDIRECT(C$1&amp;"!B:D"), 3, FALSE)</f>
        <v>TO DO</v>
      </c>
      <c r="D40" s="14" t="str">
        <f t="shared" si="81"/>
        <v>NOT SDG 7</v>
      </c>
      <c r="E40" s="14" t="str">
        <f t="shared" si="81"/>
        <v>TO DO</v>
      </c>
      <c r="F40" s="14" t="str">
        <f t="shared" si="81"/>
        <v>NOT SDG 7</v>
      </c>
      <c r="G40" s="14" t="str">
        <f t="shared" si="81"/>
        <v>TO DO</v>
      </c>
      <c r="H40" s="14" t="str">
        <f t="shared" si="81"/>
        <v>NOT SDG 7</v>
      </c>
      <c r="I40" s="45">
        <f t="shared" si="4"/>
        <v>1</v>
      </c>
      <c r="J40" s="14" t="str">
        <f t="shared" ref="J40:O40" si="82">VLOOKUP($A40, INDIRECT(C$1&amp;"!B:E"), 4, FALSE)</f>
        <v/>
      </c>
      <c r="K40" s="14" t="str">
        <f t="shared" si="82"/>
        <v/>
      </c>
      <c r="L40" s="14" t="str">
        <f t="shared" si="82"/>
        <v/>
      </c>
      <c r="M40" s="14" t="str">
        <f t="shared" si="82"/>
        <v/>
      </c>
      <c r="N40" s="14" t="str">
        <f t="shared" si="82"/>
        <v/>
      </c>
      <c r="O40" s="14" t="str">
        <f t="shared" si="82"/>
        <v/>
      </c>
      <c r="P40" s="14" t="str">
        <f t="shared" si="6"/>
        <v/>
      </c>
      <c r="Q40" s="46" t="s">
        <v>394</v>
      </c>
      <c r="R40" s="14" t="str">
        <f t="shared" si="7"/>
        <v>NOT SDG 7</v>
      </c>
      <c r="S40" s="14" t="str">
        <f>VLOOKUP($A40, Source!B:I, 8, FALSE)</f>
        <v>SKIP</v>
      </c>
      <c r="T40" s="14" t="str">
        <f>VLOOKUP(A40,Source!B:H, 7, FALSE)</f>
        <v>very hard</v>
      </c>
      <c r="U40" s="14" t="str">
        <f t="shared" si="8"/>
        <v>Unclear</v>
      </c>
    </row>
    <row r="41" ht="15.75" customHeight="1">
      <c r="A41" s="21" t="s">
        <v>84</v>
      </c>
      <c r="B41" s="44" t="s">
        <v>85</v>
      </c>
      <c r="C41" s="14" t="str">
        <f t="shared" ref="C41:H41" si="83">VLOOKUP($A41, INDIRECT(C$1&amp;"!B:D"), 3, FALSE)</f>
        <v>TO DO</v>
      </c>
      <c r="D41" s="14" t="str">
        <f t="shared" si="83"/>
        <v>NOT SDG 7</v>
      </c>
      <c r="E41" s="14" t="str">
        <f t="shared" si="83"/>
        <v>TO DO</v>
      </c>
      <c r="F41" s="14" t="str">
        <f t="shared" si="83"/>
        <v>NOT SDG 7</v>
      </c>
      <c r="G41" s="14" t="str">
        <f t="shared" si="83"/>
        <v>TO DO</v>
      </c>
      <c r="H41" s="14" t="str">
        <f t="shared" si="83"/>
        <v>NOT SDG 7</v>
      </c>
      <c r="I41" s="45">
        <f t="shared" si="4"/>
        <v>1</v>
      </c>
      <c r="J41" s="14" t="str">
        <f t="shared" ref="J41:O41" si="84">VLOOKUP($A41, INDIRECT(C$1&amp;"!B:E"), 4, FALSE)</f>
        <v/>
      </c>
      <c r="K41" s="14" t="str">
        <f t="shared" si="84"/>
        <v/>
      </c>
      <c r="L41" s="14" t="str">
        <f t="shared" si="84"/>
        <v/>
      </c>
      <c r="M41" s="14" t="str">
        <f t="shared" si="84"/>
        <v/>
      </c>
      <c r="N41" s="14" t="str">
        <f t="shared" si="84"/>
        <v/>
      </c>
      <c r="O41" s="14" t="str">
        <f t="shared" si="84"/>
        <v/>
      </c>
      <c r="P41" s="14" t="str">
        <f t="shared" si="6"/>
        <v/>
      </c>
      <c r="Q41" s="46" t="s">
        <v>394</v>
      </c>
      <c r="R41" s="14" t="str">
        <f t="shared" si="7"/>
        <v>NOT SDG 7</v>
      </c>
      <c r="S41" s="14" t="str">
        <f>VLOOKUP($A41, Source!B:I, 8, FALSE)</f>
        <v>NOT SDG 7</v>
      </c>
      <c r="T41" s="14" t="str">
        <f>VLOOKUP(A41,Source!B:H, 7, FALSE)</f>
        <v>medium</v>
      </c>
      <c r="U41" s="14" t="str">
        <f t="shared" si="8"/>
        <v>Yes</v>
      </c>
    </row>
    <row r="42" ht="15.75" customHeight="1">
      <c r="A42" s="21" t="s">
        <v>165</v>
      </c>
      <c r="B42" s="44" t="s">
        <v>166</v>
      </c>
      <c r="C42" s="14" t="str">
        <f t="shared" ref="C42:H42" si="85">VLOOKUP($A42, INDIRECT(C$1&amp;"!B:D"), 3, FALSE)</f>
        <v>TO DO</v>
      </c>
      <c r="D42" s="14" t="str">
        <f t="shared" si="85"/>
        <v>NOT SDG 7</v>
      </c>
      <c r="E42" s="14" t="str">
        <f t="shared" si="85"/>
        <v>TO DO</v>
      </c>
      <c r="F42" s="14" t="str">
        <f t="shared" si="85"/>
        <v>NOT SDG 7</v>
      </c>
      <c r="G42" s="14" t="str">
        <f t="shared" si="85"/>
        <v>TO DO</v>
      </c>
      <c r="H42" s="14" t="str">
        <f t="shared" si="85"/>
        <v>NOT SDG 7</v>
      </c>
      <c r="I42" s="45">
        <f t="shared" si="4"/>
        <v>1</v>
      </c>
      <c r="J42" s="14" t="str">
        <f t="shared" ref="J42:O42" si="86">VLOOKUP($A42, INDIRECT(C$1&amp;"!B:E"), 4, FALSE)</f>
        <v/>
      </c>
      <c r="K42" s="14" t="str">
        <f t="shared" si="86"/>
        <v/>
      </c>
      <c r="L42" s="14" t="str">
        <f t="shared" si="86"/>
        <v/>
      </c>
      <c r="M42" s="14" t="str">
        <f t="shared" si="86"/>
        <v/>
      </c>
      <c r="N42" s="14" t="str">
        <f t="shared" si="86"/>
        <v/>
      </c>
      <c r="O42" s="14" t="str">
        <f t="shared" si="86"/>
        <v/>
      </c>
      <c r="P42" s="14" t="str">
        <f t="shared" si="6"/>
        <v/>
      </c>
      <c r="Q42" s="46" t="s">
        <v>394</v>
      </c>
      <c r="R42" s="14" t="str">
        <f t="shared" si="7"/>
        <v>NOT SDG 7</v>
      </c>
      <c r="S42" s="14" t="str">
        <f>VLOOKUP($A42, Source!B:I, 8, FALSE)</f>
        <v>NOT SDG 7</v>
      </c>
      <c r="T42" s="14" t="str">
        <f>VLOOKUP(A42,Source!B:H, 7, FALSE)</f>
        <v>very easy</v>
      </c>
      <c r="U42" s="14" t="str">
        <f t="shared" si="8"/>
        <v>Yes</v>
      </c>
    </row>
    <row r="43" ht="15.75" customHeight="1">
      <c r="A43" s="21" t="s">
        <v>260</v>
      </c>
      <c r="B43" s="44" t="s">
        <v>261</v>
      </c>
      <c r="C43" s="14" t="str">
        <f t="shared" ref="C43:H43" si="87">VLOOKUP($A43, INDIRECT(C$1&amp;"!B:D"), 3, FALSE)</f>
        <v>TO DO</v>
      </c>
      <c r="D43" s="14" t="str">
        <f t="shared" si="87"/>
        <v>NOT SDG 7</v>
      </c>
      <c r="E43" s="14" t="str">
        <f t="shared" si="87"/>
        <v>TO DO</v>
      </c>
      <c r="F43" s="14" t="str">
        <f t="shared" si="87"/>
        <v>NOT SDG 7</v>
      </c>
      <c r="G43" s="14" t="str">
        <f t="shared" si="87"/>
        <v>TO DO</v>
      </c>
      <c r="H43" s="14" t="str">
        <f t="shared" si="87"/>
        <v>NOT SDG 7</v>
      </c>
      <c r="I43" s="45">
        <f t="shared" si="4"/>
        <v>1</v>
      </c>
      <c r="J43" s="14" t="str">
        <f t="shared" ref="J43:O43" si="88">VLOOKUP($A43, INDIRECT(C$1&amp;"!B:E"), 4, FALSE)</f>
        <v/>
      </c>
      <c r="K43" s="14" t="str">
        <f t="shared" si="88"/>
        <v/>
      </c>
      <c r="L43" s="14" t="str">
        <f t="shared" si="88"/>
        <v/>
      </c>
      <c r="M43" s="14" t="str">
        <f t="shared" si="88"/>
        <v/>
      </c>
      <c r="N43" s="14" t="str">
        <f t="shared" si="88"/>
        <v/>
      </c>
      <c r="O43" s="14" t="str">
        <f t="shared" si="88"/>
        <v/>
      </c>
      <c r="P43" s="14" t="str">
        <f t="shared" si="6"/>
        <v/>
      </c>
      <c r="Q43" s="46" t="s">
        <v>394</v>
      </c>
      <c r="R43" s="14" t="str">
        <f t="shared" si="7"/>
        <v>NOT SDG 7</v>
      </c>
      <c r="S43" s="14" t="str">
        <f>VLOOKUP($A43, Source!B:I, 8, FALSE)</f>
        <v>NOT SDG 7</v>
      </c>
      <c r="T43" s="14" t="str">
        <f>VLOOKUP(A43,Source!B:H, 7, FALSE)</f>
        <v>easy</v>
      </c>
      <c r="U43" s="14" t="str">
        <f t="shared" si="8"/>
        <v>Yes</v>
      </c>
    </row>
    <row r="44" ht="15.75" customHeight="1">
      <c r="A44" s="21" t="s">
        <v>263</v>
      </c>
      <c r="B44" s="44" t="s">
        <v>264</v>
      </c>
      <c r="C44" s="14" t="str">
        <f t="shared" ref="C44:H44" si="89">VLOOKUP($A44, INDIRECT(C$1&amp;"!B:D"), 3, FALSE)</f>
        <v>TO DO</v>
      </c>
      <c r="D44" s="14" t="str">
        <f t="shared" si="89"/>
        <v>SDG 7</v>
      </c>
      <c r="E44" s="14" t="str">
        <f t="shared" si="89"/>
        <v>TO DO</v>
      </c>
      <c r="F44" s="14" t="str">
        <f t="shared" si="89"/>
        <v>SDG 7</v>
      </c>
      <c r="G44" s="14" t="str">
        <f t="shared" si="89"/>
        <v>TO DO</v>
      </c>
      <c r="H44" s="14" t="str">
        <f t="shared" si="89"/>
        <v>SDG 7</v>
      </c>
      <c r="I44" s="45">
        <f t="shared" si="4"/>
        <v>1</v>
      </c>
      <c r="J44" s="14" t="str">
        <f t="shared" ref="J44:O44" si="90">VLOOKUP($A44, INDIRECT(C$1&amp;"!B:E"), 4, FALSE)</f>
        <v/>
      </c>
      <c r="K44" s="14" t="str">
        <f t="shared" si="90"/>
        <v/>
      </c>
      <c r="L44" s="14" t="str">
        <f t="shared" si="90"/>
        <v/>
      </c>
      <c r="M44" s="14" t="str">
        <f t="shared" si="90"/>
        <v/>
      </c>
      <c r="N44" s="14" t="str">
        <f t="shared" si="90"/>
        <v/>
      </c>
      <c r="O44" s="14" t="str">
        <f t="shared" si="90"/>
        <v/>
      </c>
      <c r="P44" s="14" t="str">
        <f t="shared" si="6"/>
        <v/>
      </c>
      <c r="Q44" s="46" t="s">
        <v>394</v>
      </c>
      <c r="R44" s="14" t="str">
        <f t="shared" si="7"/>
        <v>SDG 7</v>
      </c>
      <c r="S44" s="14" t="str">
        <f>VLOOKUP($A44, Source!B:I, 8, FALSE)</f>
        <v>SDG 7</v>
      </c>
      <c r="T44" s="14" t="str">
        <f>VLOOKUP(A44,Source!B:H, 7, FALSE)</f>
        <v>easy</v>
      </c>
      <c r="U44" s="14" t="str">
        <f t="shared" si="8"/>
        <v>Yes</v>
      </c>
    </row>
    <row r="45" ht="15.75" customHeight="1">
      <c r="A45" s="21" t="s">
        <v>295</v>
      </c>
      <c r="B45" s="44" t="s">
        <v>296</v>
      </c>
      <c r="C45" s="14" t="str">
        <f t="shared" ref="C45:H45" si="91">VLOOKUP($A45, INDIRECT(C$1&amp;"!B:D"), 3, FALSE)</f>
        <v>TO DO</v>
      </c>
      <c r="D45" s="14" t="str">
        <f t="shared" si="91"/>
        <v>SDG 7</v>
      </c>
      <c r="E45" s="14" t="str">
        <f t="shared" si="91"/>
        <v>TO DO</v>
      </c>
      <c r="F45" s="14" t="str">
        <f t="shared" si="91"/>
        <v>SDG 7</v>
      </c>
      <c r="G45" s="14" t="str">
        <f t="shared" si="91"/>
        <v>TO DO</v>
      </c>
      <c r="H45" s="14" t="str">
        <f t="shared" si="91"/>
        <v>SDG 7</v>
      </c>
      <c r="I45" s="45">
        <f t="shared" si="4"/>
        <v>1</v>
      </c>
      <c r="J45" s="14" t="str">
        <f t="shared" ref="J45:O45" si="92">VLOOKUP($A45, INDIRECT(C$1&amp;"!B:E"), 4, FALSE)</f>
        <v/>
      </c>
      <c r="K45" s="14" t="str">
        <f t="shared" si="92"/>
        <v/>
      </c>
      <c r="L45" s="14" t="str">
        <f t="shared" si="92"/>
        <v/>
      </c>
      <c r="M45" s="14" t="str">
        <f t="shared" si="92"/>
        <v/>
      </c>
      <c r="N45" s="14" t="str">
        <f t="shared" si="92"/>
        <v/>
      </c>
      <c r="O45" s="14" t="str">
        <f t="shared" si="92"/>
        <v/>
      </c>
      <c r="P45" s="14" t="str">
        <f t="shared" si="6"/>
        <v/>
      </c>
      <c r="Q45" s="46" t="s">
        <v>394</v>
      </c>
      <c r="R45" s="14" t="str">
        <f t="shared" si="7"/>
        <v>SDG 7</v>
      </c>
      <c r="S45" s="14" t="str">
        <f>VLOOKUP($A45, Source!B:I, 8, FALSE)</f>
        <v>SDG 7</v>
      </c>
      <c r="T45" s="14" t="str">
        <f>VLOOKUP(A45,Source!B:H, 7, FALSE)</f>
        <v>medium</v>
      </c>
      <c r="U45" s="14" t="str">
        <f t="shared" si="8"/>
        <v>Yes</v>
      </c>
    </row>
    <row r="46" ht="15.75" customHeight="1">
      <c r="A46" s="21" t="s">
        <v>144</v>
      </c>
      <c r="B46" s="44" t="s">
        <v>145</v>
      </c>
      <c r="C46" s="14" t="str">
        <f t="shared" ref="C46:H46" si="93">VLOOKUP($A46, INDIRECT(C$1&amp;"!B:D"), 3, FALSE)</f>
        <v>TO DO</v>
      </c>
      <c r="D46" s="14" t="str">
        <f t="shared" si="93"/>
        <v>NOT SDG 7</v>
      </c>
      <c r="E46" s="14" t="str">
        <f t="shared" si="93"/>
        <v>NOT SDG 7</v>
      </c>
      <c r="F46" s="14" t="str">
        <f t="shared" si="93"/>
        <v>NOT SDG 7</v>
      </c>
      <c r="G46" s="14" t="str">
        <f t="shared" si="93"/>
        <v>TO DO</v>
      </c>
      <c r="H46" s="14" t="str">
        <f t="shared" si="93"/>
        <v>NOT SDG 7</v>
      </c>
      <c r="I46" s="45">
        <f t="shared" si="4"/>
        <v>1</v>
      </c>
      <c r="J46" s="14" t="str">
        <f t="shared" ref="J46:O46" si="94">VLOOKUP($A46, INDIRECT(C$1&amp;"!B:E"), 4, FALSE)</f>
        <v/>
      </c>
      <c r="K46" s="14" t="str">
        <f t="shared" si="94"/>
        <v/>
      </c>
      <c r="L46" s="14" t="str">
        <f t="shared" si="94"/>
        <v/>
      </c>
      <c r="M46" s="14" t="str">
        <f t="shared" si="94"/>
        <v/>
      </c>
      <c r="N46" s="14" t="str">
        <f t="shared" si="94"/>
        <v/>
      </c>
      <c r="O46" s="14" t="str">
        <f t="shared" si="94"/>
        <v/>
      </c>
      <c r="P46" s="14" t="str">
        <f t="shared" si="6"/>
        <v/>
      </c>
      <c r="Q46" s="46" t="s">
        <v>394</v>
      </c>
      <c r="R46" s="14" t="str">
        <f t="shared" si="7"/>
        <v>NOT SDG 7</v>
      </c>
      <c r="S46" s="14" t="str">
        <f>VLOOKUP($A46, Source!B:I, 8, FALSE)</f>
        <v>SDG 7</v>
      </c>
      <c r="T46" s="14" t="str">
        <f>VLOOKUP(A46,Source!B:H, 7, FALSE)</f>
        <v>hard</v>
      </c>
      <c r="U46" s="14" t="str">
        <f t="shared" si="8"/>
        <v>No</v>
      </c>
    </row>
    <row r="47" ht="15.75" customHeight="1">
      <c r="A47" s="21" t="s">
        <v>94</v>
      </c>
      <c r="B47" s="44" t="s">
        <v>95</v>
      </c>
      <c r="C47" s="14" t="str">
        <f t="shared" ref="C47:H47" si="95">VLOOKUP($A47, INDIRECT(C$1&amp;"!B:D"), 3, FALSE)</f>
        <v>TO DO</v>
      </c>
      <c r="D47" s="14" t="str">
        <f t="shared" si="95"/>
        <v>SDG 7</v>
      </c>
      <c r="E47" s="14" t="str">
        <f t="shared" si="95"/>
        <v>TO DO</v>
      </c>
      <c r="F47" s="14" t="str">
        <f t="shared" si="95"/>
        <v>SDG 7</v>
      </c>
      <c r="G47" s="14" t="str">
        <f t="shared" si="95"/>
        <v>TO DO</v>
      </c>
      <c r="H47" s="14" t="str">
        <f t="shared" si="95"/>
        <v>SDG 7</v>
      </c>
      <c r="I47" s="45">
        <f t="shared" si="4"/>
        <v>1</v>
      </c>
      <c r="J47" s="14" t="str">
        <f t="shared" ref="J47:O47" si="96">VLOOKUP($A47, INDIRECT(C$1&amp;"!B:E"), 4, FALSE)</f>
        <v/>
      </c>
      <c r="K47" s="14" t="str">
        <f t="shared" si="96"/>
        <v/>
      </c>
      <c r="L47" s="14" t="str">
        <f t="shared" si="96"/>
        <v/>
      </c>
      <c r="M47" s="14" t="str">
        <f t="shared" si="96"/>
        <v/>
      </c>
      <c r="N47" s="14" t="str">
        <f t="shared" si="96"/>
        <v/>
      </c>
      <c r="O47" s="14" t="str">
        <f t="shared" si="96"/>
        <v/>
      </c>
      <c r="P47" s="14" t="str">
        <f t="shared" si="6"/>
        <v/>
      </c>
      <c r="Q47" s="46" t="s">
        <v>394</v>
      </c>
      <c r="R47" s="14" t="str">
        <f t="shared" si="7"/>
        <v>SDG 7</v>
      </c>
      <c r="S47" s="14" t="str">
        <f>VLOOKUP($A47, Source!B:I, 8, FALSE)</f>
        <v>SDG 7</v>
      </c>
      <c r="T47" s="14" t="str">
        <f>VLOOKUP(A47,Source!B:H, 7, FALSE)</f>
        <v>easy</v>
      </c>
      <c r="U47" s="14" t="str">
        <f t="shared" si="8"/>
        <v>Yes</v>
      </c>
    </row>
    <row r="48" ht="15.75" customHeight="1">
      <c r="A48" s="21" t="s">
        <v>210</v>
      </c>
      <c r="B48" s="44" t="s">
        <v>211</v>
      </c>
      <c r="C48" s="14" t="str">
        <f t="shared" ref="C48:H48" si="97">VLOOKUP($A48, INDIRECT(C$1&amp;"!B:D"), 3, FALSE)</f>
        <v>TO DO</v>
      </c>
      <c r="D48" s="14" t="str">
        <f t="shared" si="97"/>
        <v>NOT SDG 7</v>
      </c>
      <c r="E48" s="14" t="str">
        <f t="shared" si="97"/>
        <v>TO DO</v>
      </c>
      <c r="F48" s="14" t="str">
        <f t="shared" si="97"/>
        <v>NOT SDG 7</v>
      </c>
      <c r="G48" s="14" t="str">
        <f t="shared" si="97"/>
        <v>TO DO</v>
      </c>
      <c r="H48" s="14" t="str">
        <f t="shared" si="97"/>
        <v>NOT SDG 7</v>
      </c>
      <c r="I48" s="45">
        <f t="shared" si="4"/>
        <v>1</v>
      </c>
      <c r="J48" s="14" t="str">
        <f t="shared" ref="J48:O48" si="98">VLOOKUP($A48, INDIRECT(C$1&amp;"!B:E"), 4, FALSE)</f>
        <v/>
      </c>
      <c r="K48" s="14" t="str">
        <f t="shared" si="98"/>
        <v/>
      </c>
      <c r="L48" s="14" t="str">
        <f t="shared" si="98"/>
        <v/>
      </c>
      <c r="M48" s="14" t="str">
        <f t="shared" si="98"/>
        <v/>
      </c>
      <c r="N48" s="14" t="str">
        <f t="shared" si="98"/>
        <v/>
      </c>
      <c r="O48" s="14" t="str">
        <f t="shared" si="98"/>
        <v/>
      </c>
      <c r="P48" s="14" t="str">
        <f t="shared" si="6"/>
        <v/>
      </c>
      <c r="Q48" s="46" t="s">
        <v>394</v>
      </c>
      <c r="R48" s="14" t="str">
        <f t="shared" si="7"/>
        <v>NOT SDG 7</v>
      </c>
      <c r="S48" s="14" t="str">
        <f>VLOOKUP($A48, Source!B:I, 8, FALSE)</f>
        <v>NOT SDG 7</v>
      </c>
      <c r="T48" s="14" t="str">
        <f>VLOOKUP(A48,Source!B:H, 7, FALSE)</f>
        <v>easy</v>
      </c>
      <c r="U48" s="14" t="str">
        <f t="shared" si="8"/>
        <v>Yes</v>
      </c>
    </row>
    <row r="49" ht="15.75" customHeight="1">
      <c r="A49" s="21" t="s">
        <v>245</v>
      </c>
      <c r="B49" s="44" t="s">
        <v>246</v>
      </c>
      <c r="C49" s="14" t="str">
        <f t="shared" ref="C49:H49" si="99">VLOOKUP($A49, INDIRECT(C$1&amp;"!B:D"), 3, FALSE)</f>
        <v>TO DO</v>
      </c>
      <c r="D49" s="14" t="str">
        <f t="shared" si="99"/>
        <v>SDG 7</v>
      </c>
      <c r="E49" s="14" t="str">
        <f t="shared" si="99"/>
        <v>TO DO</v>
      </c>
      <c r="F49" s="14" t="str">
        <f t="shared" si="99"/>
        <v>SDG 7</v>
      </c>
      <c r="G49" s="14" t="str">
        <f t="shared" si="99"/>
        <v>TO DO</v>
      </c>
      <c r="H49" s="14" t="str">
        <f t="shared" si="99"/>
        <v>SDG 7</v>
      </c>
      <c r="I49" s="45">
        <f t="shared" si="4"/>
        <v>1</v>
      </c>
      <c r="J49" s="14" t="str">
        <f t="shared" ref="J49:O49" si="100">VLOOKUP($A49, INDIRECT(C$1&amp;"!B:E"), 4, FALSE)</f>
        <v/>
      </c>
      <c r="K49" s="14" t="str">
        <f t="shared" si="100"/>
        <v/>
      </c>
      <c r="L49" s="14" t="str">
        <f t="shared" si="100"/>
        <v/>
      </c>
      <c r="M49" s="14" t="str">
        <f t="shared" si="100"/>
        <v/>
      </c>
      <c r="N49" s="14" t="str">
        <f t="shared" si="100"/>
        <v/>
      </c>
      <c r="O49" s="14" t="str">
        <f t="shared" si="100"/>
        <v/>
      </c>
      <c r="P49" s="14" t="str">
        <f t="shared" si="6"/>
        <v/>
      </c>
      <c r="Q49" s="46" t="s">
        <v>394</v>
      </c>
      <c r="R49" s="14" t="str">
        <f t="shared" si="7"/>
        <v>SDG 7</v>
      </c>
      <c r="S49" s="14" t="str">
        <f>VLOOKUP($A49, Source!B:I, 8, FALSE)</f>
        <v>SKIP</v>
      </c>
      <c r="T49" s="14" t="str">
        <f>VLOOKUP(A49,Source!B:H, 7, FALSE)</f>
        <v>very hard</v>
      </c>
      <c r="U49" s="14" t="str">
        <f t="shared" si="8"/>
        <v>Unclear</v>
      </c>
    </row>
    <row r="50" ht="15.75" customHeight="1">
      <c r="A50" s="21" t="s">
        <v>336</v>
      </c>
      <c r="B50" s="44" t="s">
        <v>337</v>
      </c>
      <c r="C50" s="14" t="str">
        <f t="shared" ref="C50:H50" si="101">VLOOKUP($A50, INDIRECT(C$1&amp;"!B:D"), 3, FALSE)</f>
        <v>TO DO</v>
      </c>
      <c r="D50" s="14" t="str">
        <f t="shared" si="101"/>
        <v>NOT SDG 7</v>
      </c>
      <c r="E50" s="14" t="str">
        <f t="shared" si="101"/>
        <v>TO DO</v>
      </c>
      <c r="F50" s="14" t="str">
        <f t="shared" si="101"/>
        <v>NOT SDG 7</v>
      </c>
      <c r="G50" s="14" t="str">
        <f t="shared" si="101"/>
        <v>TO DO</v>
      </c>
      <c r="H50" s="14" t="str">
        <f t="shared" si="101"/>
        <v>NOT SDG 7</v>
      </c>
      <c r="I50" s="45">
        <f t="shared" si="4"/>
        <v>1</v>
      </c>
      <c r="J50" s="14" t="str">
        <f t="shared" ref="J50:O50" si="102">VLOOKUP($A50, INDIRECT(C$1&amp;"!B:E"), 4, FALSE)</f>
        <v/>
      </c>
      <c r="K50" s="14" t="str">
        <f t="shared" si="102"/>
        <v/>
      </c>
      <c r="L50" s="14" t="str">
        <f t="shared" si="102"/>
        <v/>
      </c>
      <c r="M50" s="14" t="str">
        <f t="shared" si="102"/>
        <v/>
      </c>
      <c r="N50" s="14" t="str">
        <f t="shared" si="102"/>
        <v/>
      </c>
      <c r="O50" s="14" t="str">
        <f t="shared" si="102"/>
        <v/>
      </c>
      <c r="P50" s="14" t="str">
        <f t="shared" si="6"/>
        <v/>
      </c>
      <c r="Q50" s="46" t="s">
        <v>394</v>
      </c>
      <c r="R50" s="14" t="str">
        <f t="shared" si="7"/>
        <v>NOT SDG 7</v>
      </c>
      <c r="S50" s="14" t="str">
        <f>VLOOKUP($A50, Source!B:I, 8, FALSE)</f>
        <v>SDG 7</v>
      </c>
      <c r="T50" s="14" t="str">
        <f>VLOOKUP(A50,Source!B:H, 7, FALSE)</f>
        <v>medium</v>
      </c>
      <c r="U50" s="14" t="str">
        <f t="shared" si="8"/>
        <v>No</v>
      </c>
    </row>
    <row r="51" ht="15.75" customHeight="1">
      <c r="A51" s="21" t="s">
        <v>103</v>
      </c>
      <c r="B51" s="44" t="s">
        <v>104</v>
      </c>
      <c r="C51" s="14" t="str">
        <f t="shared" ref="C51:H51" si="103">VLOOKUP($A51, INDIRECT(C$1&amp;"!B:D"), 3, FALSE)</f>
        <v>TO DO</v>
      </c>
      <c r="D51" s="14" t="str">
        <f t="shared" si="103"/>
        <v>NOT SDG 7</v>
      </c>
      <c r="E51" s="14" t="str">
        <f t="shared" si="103"/>
        <v>TO DO</v>
      </c>
      <c r="F51" s="14" t="str">
        <f t="shared" si="103"/>
        <v>NOT SDG 7</v>
      </c>
      <c r="G51" s="14" t="str">
        <f t="shared" si="103"/>
        <v>TO DO</v>
      </c>
      <c r="H51" s="14" t="str">
        <f t="shared" si="103"/>
        <v>NOT SDG 7</v>
      </c>
      <c r="I51" s="45">
        <f t="shared" si="4"/>
        <v>1</v>
      </c>
      <c r="J51" s="14" t="str">
        <f t="shared" ref="J51:O51" si="104">VLOOKUP($A51, INDIRECT(C$1&amp;"!B:E"), 4, FALSE)</f>
        <v/>
      </c>
      <c r="K51" s="14" t="str">
        <f t="shared" si="104"/>
        <v/>
      </c>
      <c r="L51" s="14" t="str">
        <f t="shared" si="104"/>
        <v/>
      </c>
      <c r="M51" s="14" t="str">
        <f t="shared" si="104"/>
        <v/>
      </c>
      <c r="N51" s="14" t="str">
        <f t="shared" si="104"/>
        <v/>
      </c>
      <c r="O51" s="14" t="str">
        <f t="shared" si="104"/>
        <v/>
      </c>
      <c r="P51" s="14" t="str">
        <f t="shared" si="6"/>
        <v/>
      </c>
      <c r="Q51" s="46" t="s">
        <v>394</v>
      </c>
      <c r="R51" s="14" t="str">
        <f t="shared" si="7"/>
        <v>NOT SDG 7</v>
      </c>
      <c r="S51" s="14" t="str">
        <f>VLOOKUP($A51, Source!B:I, 8, FALSE)</f>
        <v>NOT SDG 7</v>
      </c>
      <c r="T51" s="14" t="str">
        <f>VLOOKUP(A51,Source!B:H, 7, FALSE)</f>
        <v>easy</v>
      </c>
      <c r="U51" s="14" t="str">
        <f t="shared" si="8"/>
        <v>Yes</v>
      </c>
    </row>
    <row r="52" ht="15.75" customHeight="1">
      <c r="A52" s="21" t="s">
        <v>138</v>
      </c>
      <c r="B52" s="44" t="s">
        <v>139</v>
      </c>
      <c r="C52" s="14" t="str">
        <f t="shared" ref="C52:H52" si="105">VLOOKUP($A52, INDIRECT(C$1&amp;"!B:D"), 3, FALSE)</f>
        <v>TO DO</v>
      </c>
      <c r="D52" s="14" t="str">
        <f t="shared" si="105"/>
        <v>SDG 7</v>
      </c>
      <c r="E52" s="14" t="str">
        <f t="shared" si="105"/>
        <v>TO DO</v>
      </c>
      <c r="F52" s="14" t="str">
        <f t="shared" si="105"/>
        <v>SDG 7</v>
      </c>
      <c r="G52" s="14" t="str">
        <f t="shared" si="105"/>
        <v>TO DO</v>
      </c>
      <c r="H52" s="14" t="str">
        <f t="shared" si="105"/>
        <v>NOT SDG 7</v>
      </c>
      <c r="I52" s="45">
        <f t="shared" si="4"/>
        <v>0.3333333333</v>
      </c>
      <c r="J52" s="14" t="str">
        <f t="shared" ref="J52:O52" si="106">VLOOKUP($A52, INDIRECT(C$1&amp;"!B:E"), 4, FALSE)</f>
        <v/>
      </c>
      <c r="K52" s="14" t="str">
        <f t="shared" si="106"/>
        <v/>
      </c>
      <c r="L52" s="14" t="str">
        <f t="shared" si="106"/>
        <v/>
      </c>
      <c r="M52" s="14" t="str">
        <f t="shared" si="106"/>
        <v/>
      </c>
      <c r="N52" s="14" t="str">
        <f t="shared" si="106"/>
        <v/>
      </c>
      <c r="O52" s="14" t="str">
        <f t="shared" si="106"/>
        <v/>
      </c>
      <c r="P52" s="14" t="str">
        <f t="shared" si="6"/>
        <v/>
      </c>
      <c r="Q52" s="46" t="s">
        <v>394</v>
      </c>
      <c r="R52" s="14" t="str">
        <f t="shared" si="7"/>
        <v>UNDECIDED</v>
      </c>
      <c r="S52" s="14" t="str">
        <f>VLOOKUP($A52, Source!B:I, 8, FALSE)</f>
        <v>SDG 7</v>
      </c>
      <c r="T52" s="14" t="str">
        <f>VLOOKUP(A52,Source!B:H, 7, FALSE)</f>
        <v>easy</v>
      </c>
      <c r="U52" s="14" t="str">
        <f t="shared" si="8"/>
        <v>Unclear</v>
      </c>
    </row>
    <row r="53" ht="15.75" customHeight="1">
      <c r="A53" s="21" t="s">
        <v>183</v>
      </c>
      <c r="B53" s="44" t="s">
        <v>184</v>
      </c>
      <c r="C53" s="14" t="str">
        <f t="shared" ref="C53:H53" si="107">VLOOKUP($A53, INDIRECT(C$1&amp;"!B:D"), 3, FALSE)</f>
        <v>TO DO</v>
      </c>
      <c r="D53" s="14" t="str">
        <f t="shared" si="107"/>
        <v>NOT SDG 7</v>
      </c>
      <c r="E53" s="14" t="str">
        <f t="shared" si="107"/>
        <v>TO DO</v>
      </c>
      <c r="F53" s="14" t="str">
        <f t="shared" si="107"/>
        <v>NOT SDG 7</v>
      </c>
      <c r="G53" s="14" t="str">
        <f t="shared" si="107"/>
        <v>TO DO</v>
      </c>
      <c r="H53" s="14" t="str">
        <f t="shared" si="107"/>
        <v>NOT SDG 7</v>
      </c>
      <c r="I53" s="45">
        <f t="shared" si="4"/>
        <v>1</v>
      </c>
      <c r="J53" s="14" t="str">
        <f t="shared" ref="J53:O53" si="108">VLOOKUP($A53, INDIRECT(C$1&amp;"!B:E"), 4, FALSE)</f>
        <v/>
      </c>
      <c r="K53" s="14" t="str">
        <f t="shared" si="108"/>
        <v/>
      </c>
      <c r="L53" s="14" t="str">
        <f t="shared" si="108"/>
        <v/>
      </c>
      <c r="M53" s="14" t="str">
        <f t="shared" si="108"/>
        <v/>
      </c>
      <c r="N53" s="14" t="str">
        <f t="shared" si="108"/>
        <v/>
      </c>
      <c r="O53" s="14" t="str">
        <f t="shared" si="108"/>
        <v/>
      </c>
      <c r="P53" s="14" t="str">
        <f t="shared" si="6"/>
        <v/>
      </c>
      <c r="Q53" s="46" t="s">
        <v>394</v>
      </c>
      <c r="R53" s="14" t="str">
        <f t="shared" si="7"/>
        <v>NOT SDG 7</v>
      </c>
      <c r="S53" s="14" t="str">
        <f>VLOOKUP($A53, Source!B:I, 8, FALSE)</f>
        <v>SDG 7</v>
      </c>
      <c r="T53" s="14" t="str">
        <f>VLOOKUP(A53,Source!B:H, 7, FALSE)</f>
        <v>medium</v>
      </c>
      <c r="U53" s="14" t="str">
        <f t="shared" si="8"/>
        <v>No</v>
      </c>
    </row>
    <row r="54" ht="15.75" customHeight="1">
      <c r="A54" s="21" t="s">
        <v>290</v>
      </c>
      <c r="B54" s="44" t="s">
        <v>291</v>
      </c>
      <c r="C54" s="14" t="str">
        <f t="shared" ref="C54:H54" si="109">VLOOKUP($A54, INDIRECT(C$1&amp;"!B:D"), 3, FALSE)</f>
        <v>TO DO</v>
      </c>
      <c r="D54" s="14" t="str">
        <f t="shared" si="109"/>
        <v>NOT SDG 7</v>
      </c>
      <c r="E54" s="14" t="str">
        <f t="shared" si="109"/>
        <v>TO DO</v>
      </c>
      <c r="F54" s="14" t="str">
        <f t="shared" si="109"/>
        <v>NOT SDG 7</v>
      </c>
      <c r="G54" s="14" t="str">
        <f t="shared" si="109"/>
        <v>TO DO</v>
      </c>
      <c r="H54" s="14" t="str">
        <f t="shared" si="109"/>
        <v>NOT SDG 7</v>
      </c>
      <c r="I54" s="45">
        <f t="shared" si="4"/>
        <v>1</v>
      </c>
      <c r="J54" s="14" t="str">
        <f t="shared" ref="J54:O54" si="110">VLOOKUP($A54, INDIRECT(C$1&amp;"!B:E"), 4, FALSE)</f>
        <v/>
      </c>
      <c r="K54" s="14" t="str">
        <f t="shared" si="110"/>
        <v/>
      </c>
      <c r="L54" s="14" t="str">
        <f t="shared" si="110"/>
        <v/>
      </c>
      <c r="M54" s="14" t="str">
        <f t="shared" si="110"/>
        <v/>
      </c>
      <c r="N54" s="14" t="str">
        <f t="shared" si="110"/>
        <v/>
      </c>
      <c r="O54" s="14" t="str">
        <f t="shared" si="110"/>
        <v/>
      </c>
      <c r="P54" s="14" t="str">
        <f t="shared" si="6"/>
        <v/>
      </c>
      <c r="Q54" s="46" t="s">
        <v>394</v>
      </c>
      <c r="R54" s="14" t="str">
        <f t="shared" si="7"/>
        <v>NOT SDG 7</v>
      </c>
      <c r="S54" s="14" t="str">
        <f>VLOOKUP($A54, Source!B:I, 8, FALSE)</f>
        <v>NOT SDG 7</v>
      </c>
      <c r="T54" s="14" t="str">
        <f>VLOOKUP(A54,Source!B:H, 7, FALSE)</f>
        <v>medium</v>
      </c>
      <c r="U54" s="14" t="str">
        <f t="shared" si="8"/>
        <v>Yes</v>
      </c>
    </row>
    <row r="55" ht="15.75" customHeight="1">
      <c r="A55" s="21" t="s">
        <v>175</v>
      </c>
      <c r="B55" s="44" t="s">
        <v>176</v>
      </c>
      <c r="C55" s="14" t="str">
        <f t="shared" ref="C55:H55" si="111">VLOOKUP($A55, INDIRECT(C$1&amp;"!B:D"), 3, FALSE)</f>
        <v>TO DO</v>
      </c>
      <c r="D55" s="14" t="str">
        <f t="shared" si="111"/>
        <v>SDG 7</v>
      </c>
      <c r="E55" s="14" t="str">
        <f t="shared" si="111"/>
        <v>TO DO</v>
      </c>
      <c r="F55" s="14" t="str">
        <f t="shared" si="111"/>
        <v>SDG 7</v>
      </c>
      <c r="G55" s="14" t="str">
        <f t="shared" si="111"/>
        <v>TO DO</v>
      </c>
      <c r="H55" s="14" t="str">
        <f t="shared" si="111"/>
        <v>SDG 7</v>
      </c>
      <c r="I55" s="45">
        <f t="shared" si="4"/>
        <v>1</v>
      </c>
      <c r="J55" s="14" t="str">
        <f t="shared" ref="J55:O55" si="112">VLOOKUP($A55, INDIRECT(C$1&amp;"!B:E"), 4, FALSE)</f>
        <v/>
      </c>
      <c r="K55" s="14" t="str">
        <f t="shared" si="112"/>
        <v/>
      </c>
      <c r="L55" s="14" t="str">
        <f t="shared" si="112"/>
        <v/>
      </c>
      <c r="M55" s="14" t="str">
        <f t="shared" si="112"/>
        <v/>
      </c>
      <c r="N55" s="14" t="str">
        <f t="shared" si="112"/>
        <v/>
      </c>
      <c r="O55" s="14" t="str">
        <f t="shared" si="112"/>
        <v/>
      </c>
      <c r="P55" s="14" t="str">
        <f t="shared" si="6"/>
        <v/>
      </c>
      <c r="Q55" s="46" t="s">
        <v>394</v>
      </c>
      <c r="R55" s="14" t="str">
        <f t="shared" si="7"/>
        <v>SDG 7</v>
      </c>
      <c r="S55" s="14" t="str">
        <f>VLOOKUP($A55, Source!B:I, 8, FALSE)</f>
        <v>SDG 7</v>
      </c>
      <c r="T55" s="14" t="str">
        <f>VLOOKUP(A55,Source!B:H, 7, FALSE)</f>
        <v>medium</v>
      </c>
      <c r="U55" s="14" t="str">
        <f t="shared" si="8"/>
        <v>Yes</v>
      </c>
    </row>
    <row r="56" ht="15.75" customHeight="1">
      <c r="A56" s="21" t="s">
        <v>326</v>
      </c>
      <c r="B56" s="44" t="s">
        <v>327</v>
      </c>
      <c r="C56" s="14" t="str">
        <f t="shared" ref="C56:H56" si="113">VLOOKUP($A56, INDIRECT(C$1&amp;"!B:D"), 3, FALSE)</f>
        <v>TO DO</v>
      </c>
      <c r="D56" s="14" t="str">
        <f t="shared" si="113"/>
        <v>SDG 7</v>
      </c>
      <c r="E56" s="14" t="str">
        <f t="shared" si="113"/>
        <v>TO DO</v>
      </c>
      <c r="F56" s="14" t="str">
        <f t="shared" si="113"/>
        <v>SDG 7</v>
      </c>
      <c r="G56" s="14" t="str">
        <f t="shared" si="113"/>
        <v>TO DO</v>
      </c>
      <c r="H56" s="14" t="str">
        <f t="shared" si="113"/>
        <v>SDG 7</v>
      </c>
      <c r="I56" s="45">
        <f t="shared" si="4"/>
        <v>1</v>
      </c>
      <c r="J56" s="14" t="str">
        <f t="shared" ref="J56:O56" si="114">VLOOKUP($A56, INDIRECT(C$1&amp;"!B:E"), 4, FALSE)</f>
        <v/>
      </c>
      <c r="K56" s="14" t="str">
        <f t="shared" si="114"/>
        <v/>
      </c>
      <c r="L56" s="14" t="str">
        <f t="shared" si="114"/>
        <v/>
      </c>
      <c r="M56" s="14" t="str">
        <f t="shared" si="114"/>
        <v/>
      </c>
      <c r="N56" s="14" t="str">
        <f t="shared" si="114"/>
        <v/>
      </c>
      <c r="O56" s="14" t="str">
        <f t="shared" si="114"/>
        <v/>
      </c>
      <c r="P56" s="14" t="str">
        <f t="shared" si="6"/>
        <v/>
      </c>
      <c r="Q56" s="46" t="s">
        <v>394</v>
      </c>
      <c r="R56" s="14" t="str">
        <f t="shared" si="7"/>
        <v>SDG 7</v>
      </c>
      <c r="S56" s="14" t="str">
        <f>VLOOKUP($A56, Source!B:I, 8, FALSE)</f>
        <v>SDG 7</v>
      </c>
      <c r="T56" s="14" t="str">
        <f>VLOOKUP(A56,Source!B:H, 7, FALSE)</f>
        <v>very easy</v>
      </c>
      <c r="U56" s="14" t="str">
        <f t="shared" si="8"/>
        <v>Yes</v>
      </c>
    </row>
    <row r="57" ht="15.75" customHeight="1">
      <c r="A57" s="21" t="s">
        <v>190</v>
      </c>
      <c r="B57" s="44" t="s">
        <v>191</v>
      </c>
      <c r="C57" s="14" t="str">
        <f t="shared" ref="C57:H57" si="115">VLOOKUP($A57, INDIRECT(C$1&amp;"!B:D"), 3, FALSE)</f>
        <v>TO DO</v>
      </c>
      <c r="D57" s="14" t="str">
        <f t="shared" si="115"/>
        <v>NOT SDG 7</v>
      </c>
      <c r="E57" s="14" t="str">
        <f t="shared" si="115"/>
        <v>TO DO</v>
      </c>
      <c r="F57" s="14" t="str">
        <f t="shared" si="115"/>
        <v>NOT SDG 7</v>
      </c>
      <c r="G57" s="14" t="str">
        <f t="shared" si="115"/>
        <v>TO DO</v>
      </c>
      <c r="H57" s="14" t="str">
        <f t="shared" si="115"/>
        <v>NOT SDG 7</v>
      </c>
      <c r="I57" s="45">
        <f t="shared" si="4"/>
        <v>1</v>
      </c>
      <c r="J57" s="14" t="str">
        <f t="shared" ref="J57:O57" si="116">VLOOKUP($A57, INDIRECT(C$1&amp;"!B:E"), 4, FALSE)</f>
        <v/>
      </c>
      <c r="K57" s="14" t="str">
        <f t="shared" si="116"/>
        <v>"savings of 40 per cent in energy" → SDG 7 or not?</v>
      </c>
      <c r="L57" s="14" t="str">
        <f t="shared" si="116"/>
        <v/>
      </c>
      <c r="M57" s="14" t="str">
        <f t="shared" si="116"/>
        <v/>
      </c>
      <c r="N57" s="14" t="str">
        <f t="shared" si="116"/>
        <v/>
      </c>
      <c r="O57" s="14" t="str">
        <f t="shared" si="116"/>
        <v/>
      </c>
      <c r="P57" s="14" t="str">
        <f t="shared" si="6"/>
        <v>- "savings of 40 per cent in energy" → SDG 7 or not?</v>
      </c>
      <c r="Q57" s="46" t="s">
        <v>397</v>
      </c>
      <c r="R57" s="14" t="str">
        <f t="shared" si="7"/>
        <v>NOT SDG 7</v>
      </c>
      <c r="S57" s="14" t="str">
        <f>VLOOKUP($A57, Source!B:I, 8, FALSE)</f>
        <v>NOT SDG 7</v>
      </c>
      <c r="T57" s="14" t="str">
        <f>VLOOKUP(A57,Source!B:H, 7, FALSE)</f>
        <v>very easy</v>
      </c>
      <c r="U57" s="14" t="str">
        <f t="shared" si="8"/>
        <v>Yes</v>
      </c>
    </row>
    <row r="58" ht="15.75" customHeight="1">
      <c r="A58" s="21" t="s">
        <v>321</v>
      </c>
      <c r="B58" s="44" t="s">
        <v>322</v>
      </c>
      <c r="C58" s="14" t="str">
        <f t="shared" ref="C58:H58" si="117">VLOOKUP($A58, INDIRECT(C$1&amp;"!B:D"), 3, FALSE)</f>
        <v>TO DO</v>
      </c>
      <c r="D58" s="14" t="str">
        <f t="shared" si="117"/>
        <v>SDG 7</v>
      </c>
      <c r="E58" s="14" t="str">
        <f t="shared" si="117"/>
        <v>TO DO</v>
      </c>
      <c r="F58" s="14" t="str">
        <f t="shared" si="117"/>
        <v>SDG 7</v>
      </c>
      <c r="G58" s="14" t="str">
        <f t="shared" si="117"/>
        <v>TO DO</v>
      </c>
      <c r="H58" s="14" t="str">
        <f t="shared" si="117"/>
        <v>SDG 7</v>
      </c>
      <c r="I58" s="45">
        <f t="shared" si="4"/>
        <v>1</v>
      </c>
      <c r="J58" s="14" t="str">
        <f t="shared" ref="J58:O58" si="118">VLOOKUP($A58, INDIRECT(C$1&amp;"!B:E"), 4, FALSE)</f>
        <v/>
      </c>
      <c r="K58" s="14" t="str">
        <f t="shared" si="118"/>
        <v/>
      </c>
      <c r="L58" s="14" t="str">
        <f t="shared" si="118"/>
        <v/>
      </c>
      <c r="M58" s="14" t="str">
        <f t="shared" si="118"/>
        <v/>
      </c>
      <c r="N58" s="14" t="str">
        <f t="shared" si="118"/>
        <v/>
      </c>
      <c r="O58" s="14" t="str">
        <f t="shared" si="118"/>
        <v/>
      </c>
      <c r="P58" s="14" t="str">
        <f t="shared" si="6"/>
        <v/>
      </c>
      <c r="Q58" s="46" t="s">
        <v>394</v>
      </c>
      <c r="R58" s="14" t="str">
        <f t="shared" si="7"/>
        <v>SDG 7</v>
      </c>
      <c r="S58" s="14" t="str">
        <f>VLOOKUP($A58, Source!B:I, 8, FALSE)</f>
        <v>SDG 7</v>
      </c>
      <c r="T58" s="14" t="str">
        <f>VLOOKUP(A58,Source!B:H, 7, FALSE)</f>
        <v>medium</v>
      </c>
      <c r="U58" s="14" t="str">
        <f t="shared" si="8"/>
        <v>Yes</v>
      </c>
    </row>
    <row r="59" ht="15.75" customHeight="1">
      <c r="A59" s="21" t="s">
        <v>233</v>
      </c>
      <c r="B59" s="44" t="s">
        <v>234</v>
      </c>
      <c r="C59" s="14" t="str">
        <f t="shared" ref="C59:H59" si="119">VLOOKUP($A59, INDIRECT(C$1&amp;"!B:D"), 3, FALSE)</f>
        <v>TO DO</v>
      </c>
      <c r="D59" s="14" t="str">
        <f t="shared" si="119"/>
        <v>SDG 7</v>
      </c>
      <c r="E59" s="14" t="str">
        <f t="shared" si="119"/>
        <v>TO DO</v>
      </c>
      <c r="F59" s="14" t="str">
        <f t="shared" si="119"/>
        <v>SDG 7</v>
      </c>
      <c r="G59" s="14" t="str">
        <f t="shared" si="119"/>
        <v>TO DO</v>
      </c>
      <c r="H59" s="14" t="str">
        <f t="shared" si="119"/>
        <v>SDG 7</v>
      </c>
      <c r="I59" s="45">
        <f t="shared" si="4"/>
        <v>1</v>
      </c>
      <c r="J59" s="14" t="str">
        <f t="shared" ref="J59:O59" si="120">VLOOKUP($A59, INDIRECT(C$1&amp;"!B:E"), 4, FALSE)</f>
        <v/>
      </c>
      <c r="K59" s="14" t="str">
        <f t="shared" si="120"/>
        <v/>
      </c>
      <c r="L59" s="14" t="str">
        <f t="shared" si="120"/>
        <v/>
      </c>
      <c r="M59" s="14" t="str">
        <f t="shared" si="120"/>
        <v/>
      </c>
      <c r="N59" s="14" t="str">
        <f t="shared" si="120"/>
        <v/>
      </c>
      <c r="O59" s="14" t="str">
        <f t="shared" si="120"/>
        <v/>
      </c>
      <c r="P59" s="14" t="str">
        <f t="shared" si="6"/>
        <v/>
      </c>
      <c r="Q59" s="46" t="s">
        <v>394</v>
      </c>
      <c r="R59" s="14" t="str">
        <f t="shared" si="7"/>
        <v>SDG 7</v>
      </c>
      <c r="S59" s="14" t="str">
        <f>VLOOKUP($A59, Source!B:I, 8, FALSE)</f>
        <v>SDG 7</v>
      </c>
      <c r="T59" s="14" t="str">
        <f>VLOOKUP(A59,Source!B:H, 7, FALSE)</f>
        <v>very easy</v>
      </c>
      <c r="U59" s="14" t="str">
        <f t="shared" si="8"/>
        <v>Yes</v>
      </c>
    </row>
    <row r="60" ht="15.75" customHeight="1">
      <c r="A60" s="21" t="s">
        <v>88</v>
      </c>
      <c r="B60" s="44" t="s">
        <v>89</v>
      </c>
      <c r="C60" s="14" t="str">
        <f t="shared" ref="C60:H60" si="121">VLOOKUP($A60, INDIRECT(C$1&amp;"!B:D"), 3, FALSE)</f>
        <v>TO DO</v>
      </c>
      <c r="D60" s="14" t="str">
        <f t="shared" si="121"/>
        <v>NOT SDG 7</v>
      </c>
      <c r="E60" s="14" t="str">
        <f t="shared" si="121"/>
        <v>TO DO</v>
      </c>
      <c r="F60" s="14" t="str">
        <f t="shared" si="121"/>
        <v>NOT SDG 7</v>
      </c>
      <c r="G60" s="14" t="str">
        <f t="shared" si="121"/>
        <v>TO DO</v>
      </c>
      <c r="H60" s="14" t="str">
        <f t="shared" si="121"/>
        <v>NOT SDG 7</v>
      </c>
      <c r="I60" s="45">
        <f t="shared" si="4"/>
        <v>1</v>
      </c>
      <c r="J60" s="14" t="str">
        <f t="shared" ref="J60:O60" si="122">VLOOKUP($A60, INDIRECT(C$1&amp;"!B:E"), 4, FALSE)</f>
        <v/>
      </c>
      <c r="K60" s="14" t="str">
        <f t="shared" si="122"/>
        <v/>
      </c>
      <c r="L60" s="14" t="str">
        <f t="shared" si="122"/>
        <v/>
      </c>
      <c r="M60" s="14" t="str">
        <f t="shared" si="122"/>
        <v/>
      </c>
      <c r="N60" s="14" t="str">
        <f t="shared" si="122"/>
        <v/>
      </c>
      <c r="O60" s="14" t="str">
        <f t="shared" si="122"/>
        <v/>
      </c>
      <c r="P60" s="14" t="str">
        <f t="shared" si="6"/>
        <v/>
      </c>
      <c r="Q60" s="46" t="s">
        <v>394</v>
      </c>
      <c r="R60" s="14" t="str">
        <f t="shared" si="7"/>
        <v>NOT SDG 7</v>
      </c>
      <c r="S60" s="14" t="str">
        <f>VLOOKUP($A60, Source!B:I, 8, FALSE)</f>
        <v>SDG 7</v>
      </c>
      <c r="T60" s="14" t="str">
        <f>VLOOKUP(A60,Source!B:H, 7, FALSE)</f>
        <v>hard</v>
      </c>
      <c r="U60" s="14" t="str">
        <f t="shared" si="8"/>
        <v>No</v>
      </c>
    </row>
    <row r="61" ht="15.75" customHeight="1">
      <c r="A61" s="21" t="s">
        <v>266</v>
      </c>
      <c r="B61" s="44" t="s">
        <v>267</v>
      </c>
      <c r="C61" s="14" t="str">
        <f t="shared" ref="C61:H61" si="123">VLOOKUP($A61, INDIRECT(C$1&amp;"!B:D"), 3, FALSE)</f>
        <v>TO DO</v>
      </c>
      <c r="D61" s="14" t="str">
        <f t="shared" si="123"/>
        <v>SDG 7</v>
      </c>
      <c r="E61" s="14" t="str">
        <f t="shared" si="123"/>
        <v>TO DO</v>
      </c>
      <c r="F61" s="14" t="str">
        <f t="shared" si="123"/>
        <v>NOT SDG 7</v>
      </c>
      <c r="G61" s="14" t="str">
        <f t="shared" si="123"/>
        <v>TO DO</v>
      </c>
      <c r="H61" s="14" t="str">
        <f t="shared" si="123"/>
        <v>SDG 7</v>
      </c>
      <c r="I61" s="45">
        <f t="shared" si="4"/>
        <v>0.3333333333</v>
      </c>
      <c r="J61" s="14" t="str">
        <f t="shared" ref="J61:O61" si="124">VLOOKUP($A61, INDIRECT(C$1&amp;"!B:E"), 4, FALSE)</f>
        <v/>
      </c>
      <c r="K61" s="14" t="str">
        <f t="shared" si="124"/>
        <v/>
      </c>
      <c r="L61" s="14" t="str">
        <f t="shared" si="124"/>
        <v/>
      </c>
      <c r="M61" s="14" t="str">
        <f t="shared" si="124"/>
        <v>Could be labelled SDG 7 but there is a spelling mistake in "eneigy"</v>
      </c>
      <c r="N61" s="14" t="str">
        <f t="shared" si="124"/>
        <v/>
      </c>
      <c r="O61" s="14" t="str">
        <f t="shared" si="124"/>
        <v/>
      </c>
      <c r="P61" s="14" t="str">
        <f t="shared" si="6"/>
        <v>- Could be labelled SDG 7 but there is a spelling mistake in "eneigy"</v>
      </c>
      <c r="Q61" s="46" t="s">
        <v>398</v>
      </c>
      <c r="R61" s="14" t="str">
        <f t="shared" si="7"/>
        <v>UNDECIDED</v>
      </c>
      <c r="S61" s="14" t="str">
        <f>VLOOKUP($A61, Source!B:I, 8, FALSE)</f>
        <v>SDG 7</v>
      </c>
      <c r="T61" s="14" t="str">
        <f>VLOOKUP(A61,Source!B:H, 7, FALSE)</f>
        <v>very hard</v>
      </c>
      <c r="U61" s="14" t="str">
        <f t="shared" si="8"/>
        <v>Unclear</v>
      </c>
    </row>
    <row r="62" ht="15.75" customHeight="1">
      <c r="A62" s="21" t="s">
        <v>187</v>
      </c>
      <c r="B62" s="44" t="s">
        <v>188</v>
      </c>
      <c r="C62" s="14" t="str">
        <f t="shared" ref="C62:H62" si="125">VLOOKUP($A62, INDIRECT(C$1&amp;"!B:D"), 3, FALSE)</f>
        <v>TO DO</v>
      </c>
      <c r="D62" s="14" t="str">
        <f t="shared" si="125"/>
        <v>NOT SDG 7</v>
      </c>
      <c r="E62" s="14" t="str">
        <f t="shared" si="125"/>
        <v>TO DO</v>
      </c>
      <c r="F62" s="14" t="str">
        <f t="shared" si="125"/>
        <v>NOT SDG 7</v>
      </c>
      <c r="G62" s="14" t="str">
        <f t="shared" si="125"/>
        <v>TO DO</v>
      </c>
      <c r="H62" s="14" t="str">
        <f t="shared" si="125"/>
        <v>NOT SDG 7</v>
      </c>
      <c r="I62" s="45">
        <f t="shared" si="4"/>
        <v>1</v>
      </c>
      <c r="J62" s="14" t="str">
        <f t="shared" ref="J62:O62" si="126">VLOOKUP($A62, INDIRECT(C$1&amp;"!B:E"), 4, FALSE)</f>
        <v/>
      </c>
      <c r="K62" s="14" t="str">
        <f t="shared" si="126"/>
        <v/>
      </c>
      <c r="L62" s="14" t="str">
        <f t="shared" si="126"/>
        <v/>
      </c>
      <c r="M62" s="14" t="str">
        <f t="shared" si="126"/>
        <v/>
      </c>
      <c r="N62" s="14" t="str">
        <f t="shared" si="126"/>
        <v/>
      </c>
      <c r="O62" s="14" t="str">
        <f t="shared" si="126"/>
        <v/>
      </c>
      <c r="P62" s="14" t="str">
        <f t="shared" si="6"/>
        <v/>
      </c>
      <c r="Q62" s="46" t="s">
        <v>394</v>
      </c>
      <c r="R62" s="14" t="str">
        <f t="shared" si="7"/>
        <v>NOT SDG 7</v>
      </c>
      <c r="S62" s="14" t="str">
        <f>VLOOKUP($A62, Source!B:I, 8, FALSE)</f>
        <v>SDG 7</v>
      </c>
      <c r="T62" s="14" t="str">
        <f>VLOOKUP(A62,Source!B:H, 7, FALSE)</f>
        <v>hard</v>
      </c>
      <c r="U62" s="14" t="str">
        <f t="shared" si="8"/>
        <v>No</v>
      </c>
    </row>
    <row r="63" ht="15.75" customHeight="1">
      <c r="A63" s="21" t="s">
        <v>243</v>
      </c>
      <c r="B63" s="44" t="s">
        <v>244</v>
      </c>
      <c r="C63" s="14" t="str">
        <f t="shared" ref="C63:H63" si="127">VLOOKUP($A63, INDIRECT(C$1&amp;"!B:D"), 3, FALSE)</f>
        <v>TO DO</v>
      </c>
      <c r="D63" s="14" t="str">
        <f t="shared" si="127"/>
        <v>SDG 7</v>
      </c>
      <c r="E63" s="14" t="str">
        <f t="shared" si="127"/>
        <v>TO DO</v>
      </c>
      <c r="F63" s="14" t="str">
        <f t="shared" si="127"/>
        <v>SDG 7</v>
      </c>
      <c r="G63" s="14" t="str">
        <f t="shared" si="127"/>
        <v>TO DO</v>
      </c>
      <c r="H63" s="14" t="str">
        <f t="shared" si="127"/>
        <v>SDG 7</v>
      </c>
      <c r="I63" s="45">
        <f t="shared" si="4"/>
        <v>1</v>
      </c>
      <c r="J63" s="14" t="str">
        <f t="shared" ref="J63:O63" si="128">VLOOKUP($A63, INDIRECT(C$1&amp;"!B:E"), 4, FALSE)</f>
        <v/>
      </c>
      <c r="K63" s="14" t="str">
        <f t="shared" si="128"/>
        <v>Energy conservation is not explicitly part of SDG 7, but should be considered SDG 7 for all intents and purposes?</v>
      </c>
      <c r="L63" s="14" t="str">
        <f t="shared" si="128"/>
        <v/>
      </c>
      <c r="M63" s="14" t="str">
        <f t="shared" si="128"/>
        <v>See 7.3.</v>
      </c>
      <c r="N63" s="14" t="str">
        <f t="shared" si="128"/>
        <v/>
      </c>
      <c r="O63" s="14" t="str">
        <f t="shared" si="128"/>
        <v/>
      </c>
      <c r="P63" s="14" t="str">
        <f t="shared" si="6"/>
        <v>- Energy conservation is not explicitly part of SDG 7, but should be considered SDG 7 for all intents and purposes?
- See 7.3.</v>
      </c>
      <c r="Q63" s="46" t="s">
        <v>399</v>
      </c>
      <c r="R63" s="14" t="str">
        <f t="shared" si="7"/>
        <v>SDG 7</v>
      </c>
      <c r="S63" s="14" t="str">
        <f>VLOOKUP($A63, Source!B:I, 8, FALSE)</f>
        <v>SDG 7</v>
      </c>
      <c r="T63" s="14" t="str">
        <f>VLOOKUP(A63,Source!B:H, 7, FALSE)</f>
        <v>hard</v>
      </c>
      <c r="U63" s="14" t="str">
        <f t="shared" si="8"/>
        <v>Yes</v>
      </c>
    </row>
    <row r="64" ht="15.75" customHeight="1">
      <c r="A64" s="21" t="s">
        <v>218</v>
      </c>
      <c r="B64" s="44" t="s">
        <v>219</v>
      </c>
      <c r="C64" s="14" t="str">
        <f t="shared" ref="C64:H64" si="129">VLOOKUP($A64, INDIRECT(C$1&amp;"!B:D"), 3, FALSE)</f>
        <v>TO DO</v>
      </c>
      <c r="D64" s="14" t="str">
        <f t="shared" si="129"/>
        <v>NOT SDG 7</v>
      </c>
      <c r="E64" s="14" t="str">
        <f t="shared" si="129"/>
        <v>TO DO</v>
      </c>
      <c r="F64" s="14" t="str">
        <f t="shared" si="129"/>
        <v>NOT SDG 7</v>
      </c>
      <c r="G64" s="14" t="str">
        <f t="shared" si="129"/>
        <v>TO DO</v>
      </c>
      <c r="H64" s="14" t="str">
        <f t="shared" si="129"/>
        <v>NOT SDG 7</v>
      </c>
      <c r="I64" s="45">
        <f t="shared" si="4"/>
        <v>1</v>
      </c>
      <c r="J64" s="14" t="str">
        <f t="shared" ref="J64:O64" si="130">VLOOKUP($A64, INDIRECT(C$1&amp;"!B:E"), 4, FALSE)</f>
        <v/>
      </c>
      <c r="K64" s="14" t="str">
        <f t="shared" si="130"/>
        <v/>
      </c>
      <c r="L64" s="14" t="str">
        <f t="shared" si="130"/>
        <v/>
      </c>
      <c r="M64" s="14" t="str">
        <f t="shared" si="130"/>
        <v/>
      </c>
      <c r="N64" s="14" t="str">
        <f t="shared" si="130"/>
        <v/>
      </c>
      <c r="O64" s="14" t="str">
        <f t="shared" si="130"/>
        <v/>
      </c>
      <c r="P64" s="14" t="str">
        <f t="shared" si="6"/>
        <v/>
      </c>
      <c r="Q64" s="46" t="s">
        <v>394</v>
      </c>
      <c r="R64" s="14" t="str">
        <f t="shared" si="7"/>
        <v>NOT SDG 7</v>
      </c>
      <c r="S64" s="14" t="str">
        <f>VLOOKUP($A64, Source!B:I, 8, FALSE)</f>
        <v>NOT SDG 7</v>
      </c>
      <c r="T64" s="14" t="str">
        <f>VLOOKUP(A64,Source!B:H, 7, FALSE)</f>
        <v>easy</v>
      </c>
      <c r="U64" s="14" t="str">
        <f t="shared" si="8"/>
        <v>Yes</v>
      </c>
    </row>
    <row r="65" ht="15.75" customHeight="1">
      <c r="A65" s="21" t="s">
        <v>91</v>
      </c>
      <c r="B65" s="44" t="s">
        <v>92</v>
      </c>
      <c r="C65" s="14" t="str">
        <f t="shared" ref="C65:H65" si="131">VLOOKUP($A65, INDIRECT(C$1&amp;"!B:D"), 3, FALSE)</f>
        <v>TO DO</v>
      </c>
      <c r="D65" s="14" t="str">
        <f t="shared" si="131"/>
        <v>NOT SDG 7</v>
      </c>
      <c r="E65" s="14" t="str">
        <f t="shared" si="131"/>
        <v>TO DO</v>
      </c>
      <c r="F65" s="14" t="str">
        <f t="shared" si="131"/>
        <v>NOT SDG 7</v>
      </c>
      <c r="G65" s="14" t="str">
        <f t="shared" si="131"/>
        <v>TO DO</v>
      </c>
      <c r="H65" s="14" t="str">
        <f t="shared" si="131"/>
        <v>NOT SDG 7</v>
      </c>
      <c r="I65" s="45">
        <f t="shared" si="4"/>
        <v>1</v>
      </c>
      <c r="J65" s="14" t="str">
        <f t="shared" ref="J65:O65" si="132">VLOOKUP($A65, INDIRECT(C$1&amp;"!B:E"), 4, FALSE)</f>
        <v/>
      </c>
      <c r="K65" s="14" t="str">
        <f t="shared" si="132"/>
        <v/>
      </c>
      <c r="L65" s="14" t="str">
        <f t="shared" si="132"/>
        <v/>
      </c>
      <c r="M65" s="14" t="str">
        <f t="shared" si="132"/>
        <v/>
      </c>
      <c r="N65" s="14" t="str">
        <f t="shared" si="132"/>
        <v/>
      </c>
      <c r="O65" s="14" t="str">
        <f t="shared" si="132"/>
        <v/>
      </c>
      <c r="P65" s="14" t="str">
        <f t="shared" si="6"/>
        <v/>
      </c>
      <c r="Q65" s="46" t="s">
        <v>394</v>
      </c>
      <c r="R65" s="14" t="str">
        <f t="shared" si="7"/>
        <v>NOT SDG 7</v>
      </c>
      <c r="S65" s="14" t="str">
        <f>VLOOKUP($A65, Source!B:I, 8, FALSE)</f>
        <v>NOT SDG 7</v>
      </c>
      <c r="T65" s="14" t="str">
        <f>VLOOKUP(A65,Source!B:H, 7, FALSE)</f>
        <v>hard</v>
      </c>
      <c r="U65" s="14" t="str">
        <f t="shared" si="8"/>
        <v>Yes</v>
      </c>
    </row>
    <row r="66" ht="15.75" customHeight="1">
      <c r="A66" s="21" t="s">
        <v>213</v>
      </c>
      <c r="B66" s="44" t="s">
        <v>214</v>
      </c>
      <c r="C66" s="14" t="str">
        <f t="shared" ref="C66:H66" si="133">VLOOKUP($A66, INDIRECT(C$1&amp;"!B:D"), 3, FALSE)</f>
        <v>TO DO</v>
      </c>
      <c r="D66" s="14" t="str">
        <f t="shared" si="133"/>
        <v>SDG 7</v>
      </c>
      <c r="E66" s="14" t="str">
        <f t="shared" si="133"/>
        <v>TO DO</v>
      </c>
      <c r="F66" s="14" t="str">
        <f t="shared" si="133"/>
        <v>SDG 7</v>
      </c>
      <c r="G66" s="14" t="str">
        <f t="shared" si="133"/>
        <v>TO DO</v>
      </c>
      <c r="H66" s="14" t="str">
        <f t="shared" si="133"/>
        <v>SDG 7</v>
      </c>
      <c r="I66" s="45">
        <f t="shared" si="4"/>
        <v>1</v>
      </c>
      <c r="J66" s="14" t="str">
        <f t="shared" ref="J66:O66" si="134">VLOOKUP($A66, INDIRECT(C$1&amp;"!B:E"), 4, FALSE)</f>
        <v/>
      </c>
      <c r="K66" s="14" t="str">
        <f t="shared" si="134"/>
        <v/>
      </c>
      <c r="L66" s="14" t="str">
        <f t="shared" si="134"/>
        <v/>
      </c>
      <c r="M66" s="14" t="str">
        <f t="shared" si="134"/>
        <v>SDG 12 also relevant</v>
      </c>
      <c r="N66" s="14" t="str">
        <f t="shared" si="134"/>
        <v/>
      </c>
      <c r="O66" s="14" t="str">
        <f t="shared" si="134"/>
        <v/>
      </c>
      <c r="P66" s="14" t="str">
        <f t="shared" si="6"/>
        <v>- SDG 12 also relevant</v>
      </c>
      <c r="Q66" s="46" t="s">
        <v>400</v>
      </c>
      <c r="R66" s="14" t="str">
        <f t="shared" si="7"/>
        <v>SDG 7</v>
      </c>
      <c r="S66" s="14" t="str">
        <f>VLOOKUP($A66, Source!B:I, 8, FALSE)</f>
        <v>SDG 7</v>
      </c>
      <c r="T66" s="14" t="str">
        <f>VLOOKUP(A66,Source!B:H, 7, FALSE)</f>
        <v>easy</v>
      </c>
      <c r="U66" s="14" t="str">
        <f t="shared" si="8"/>
        <v>Yes</v>
      </c>
    </row>
    <row r="67" ht="15.75" customHeight="1">
      <c r="A67" s="21" t="s">
        <v>153</v>
      </c>
      <c r="B67" s="44" t="s">
        <v>154</v>
      </c>
      <c r="C67" s="14" t="str">
        <f t="shared" ref="C67:H67" si="135">VLOOKUP($A67, INDIRECT(C$1&amp;"!B:D"), 3, FALSE)</f>
        <v>TO DO</v>
      </c>
      <c r="D67" s="14" t="str">
        <f t="shared" si="135"/>
        <v>NOT SDG 7</v>
      </c>
      <c r="E67" s="14" t="str">
        <f t="shared" si="135"/>
        <v>TO DO</v>
      </c>
      <c r="F67" s="14" t="str">
        <f t="shared" si="135"/>
        <v>NOT SDG 7</v>
      </c>
      <c r="G67" s="14" t="str">
        <f t="shared" si="135"/>
        <v>TO DO</v>
      </c>
      <c r="H67" s="14" t="str">
        <f t="shared" si="135"/>
        <v>NOT SDG 7</v>
      </c>
      <c r="I67" s="45">
        <f t="shared" si="4"/>
        <v>1</v>
      </c>
      <c r="J67" s="14" t="str">
        <f t="shared" ref="J67:O67" si="136">VLOOKUP($A67, INDIRECT(C$1&amp;"!B:E"), 4, FALSE)</f>
        <v/>
      </c>
      <c r="K67" s="14" t="str">
        <f t="shared" si="136"/>
        <v/>
      </c>
      <c r="L67" s="14" t="str">
        <f t="shared" si="136"/>
        <v/>
      </c>
      <c r="M67" s="14" t="str">
        <f t="shared" si="136"/>
        <v/>
      </c>
      <c r="N67" s="14" t="str">
        <f t="shared" si="136"/>
        <v/>
      </c>
      <c r="O67" s="14" t="str">
        <f t="shared" si="136"/>
        <v/>
      </c>
      <c r="P67" s="14" t="str">
        <f t="shared" si="6"/>
        <v/>
      </c>
      <c r="Q67" s="46" t="s">
        <v>394</v>
      </c>
      <c r="R67" s="14" t="str">
        <f t="shared" si="7"/>
        <v>NOT SDG 7</v>
      </c>
      <c r="S67" s="14" t="str">
        <f>VLOOKUP($A67, Source!B:I, 8, FALSE)</f>
        <v>SDG 7</v>
      </c>
      <c r="T67" s="14" t="str">
        <f>VLOOKUP(A67,Source!B:H, 7, FALSE)</f>
        <v>very hard</v>
      </c>
      <c r="U67" s="14" t="str">
        <f t="shared" si="8"/>
        <v>No</v>
      </c>
    </row>
    <row r="68" ht="15.75" customHeight="1">
      <c r="A68" s="21" t="s">
        <v>206</v>
      </c>
      <c r="B68" s="44" t="s">
        <v>207</v>
      </c>
      <c r="C68" s="14" t="str">
        <f t="shared" ref="C68:H68" si="137">VLOOKUP($A68, INDIRECT(C$1&amp;"!B:D"), 3, FALSE)</f>
        <v>TO DO</v>
      </c>
      <c r="D68" s="14" t="str">
        <f t="shared" si="137"/>
        <v>SDG 7</v>
      </c>
      <c r="E68" s="14" t="str">
        <f t="shared" si="137"/>
        <v>TO DO</v>
      </c>
      <c r="F68" s="14" t="str">
        <f t="shared" si="137"/>
        <v>SDG 7</v>
      </c>
      <c r="G68" s="14" t="str">
        <f t="shared" si="137"/>
        <v>TO DO</v>
      </c>
      <c r="H68" s="14" t="str">
        <f t="shared" si="137"/>
        <v>SDG 7</v>
      </c>
      <c r="I68" s="45">
        <f t="shared" si="4"/>
        <v>1</v>
      </c>
      <c r="J68" s="14" t="str">
        <f t="shared" ref="J68:O68" si="138">VLOOKUP($A68, INDIRECT(C$1&amp;"!B:E"), 4, FALSE)</f>
        <v/>
      </c>
      <c r="K68" s="14" t="str">
        <f t="shared" si="138"/>
        <v/>
      </c>
      <c r="L68" s="14" t="str">
        <f t="shared" si="138"/>
        <v/>
      </c>
      <c r="M68" s="14" t="str">
        <f t="shared" si="138"/>
        <v/>
      </c>
      <c r="N68" s="14" t="str">
        <f t="shared" si="138"/>
        <v/>
      </c>
      <c r="O68" s="14" t="str">
        <f t="shared" si="138"/>
        <v/>
      </c>
      <c r="P68" s="14" t="str">
        <f t="shared" si="6"/>
        <v/>
      </c>
      <c r="Q68" s="46" t="s">
        <v>394</v>
      </c>
      <c r="R68" s="14" t="str">
        <f t="shared" si="7"/>
        <v>SDG 7</v>
      </c>
      <c r="S68" s="14" t="str">
        <f>VLOOKUP($A68, Source!B:I, 8, FALSE)</f>
        <v>SDG 7</v>
      </c>
      <c r="T68" s="14" t="str">
        <f>VLOOKUP(A68,Source!B:H, 7, FALSE)</f>
        <v>very hard</v>
      </c>
      <c r="U68" s="14" t="str">
        <f t="shared" si="8"/>
        <v>Yes</v>
      </c>
    </row>
    <row r="69" ht="15.75" customHeight="1">
      <c r="A69" s="21" t="s">
        <v>282</v>
      </c>
      <c r="B69" s="44" t="s">
        <v>283</v>
      </c>
      <c r="C69" s="14" t="str">
        <f t="shared" ref="C69:H69" si="139">VLOOKUP($A69, INDIRECT(C$1&amp;"!B:D"), 3, FALSE)</f>
        <v>TO DO</v>
      </c>
      <c r="D69" s="14" t="str">
        <f t="shared" si="139"/>
        <v>NOT SDG 7</v>
      </c>
      <c r="E69" s="14" t="str">
        <f t="shared" si="139"/>
        <v>TO DO</v>
      </c>
      <c r="F69" s="14" t="str">
        <f t="shared" si="139"/>
        <v>NOT SDG 7</v>
      </c>
      <c r="G69" s="14" t="str">
        <f t="shared" si="139"/>
        <v>TO DO</v>
      </c>
      <c r="H69" s="14" t="str">
        <f t="shared" si="139"/>
        <v>NOT SDG 7</v>
      </c>
      <c r="I69" s="45">
        <f t="shared" si="4"/>
        <v>1</v>
      </c>
      <c r="J69" s="14" t="str">
        <f t="shared" ref="J69:O69" si="140">VLOOKUP($A69, INDIRECT(C$1&amp;"!B:E"), 4, FALSE)</f>
        <v/>
      </c>
      <c r="K69" s="14" t="str">
        <f t="shared" si="140"/>
        <v/>
      </c>
      <c r="L69" s="14" t="str">
        <f t="shared" si="140"/>
        <v/>
      </c>
      <c r="M69" s="14" t="str">
        <f t="shared" si="140"/>
        <v/>
      </c>
      <c r="N69" s="14" t="str">
        <f t="shared" si="140"/>
        <v/>
      </c>
      <c r="O69" s="14" t="str">
        <f t="shared" si="140"/>
        <v/>
      </c>
      <c r="P69" s="14" t="str">
        <f t="shared" si="6"/>
        <v/>
      </c>
      <c r="Q69" s="46" t="s">
        <v>394</v>
      </c>
      <c r="R69" s="14" t="str">
        <f t="shared" si="7"/>
        <v>NOT SDG 7</v>
      </c>
      <c r="S69" s="14" t="str">
        <f>VLOOKUP($A69, Source!B:I, 8, FALSE)</f>
        <v>SDG 7</v>
      </c>
      <c r="T69" s="14" t="str">
        <f>VLOOKUP(A69,Source!B:H, 7, FALSE)</f>
        <v>hard</v>
      </c>
      <c r="U69" s="14" t="str">
        <f t="shared" si="8"/>
        <v>No</v>
      </c>
    </row>
    <row r="70" ht="15.75" customHeight="1">
      <c r="A70" s="21" t="s">
        <v>167</v>
      </c>
      <c r="B70" s="44" t="s">
        <v>168</v>
      </c>
      <c r="C70" s="14" t="str">
        <f t="shared" ref="C70:H70" si="141">VLOOKUP($A70, INDIRECT(C$1&amp;"!B:D"), 3, FALSE)</f>
        <v>TO DO</v>
      </c>
      <c r="D70" s="14" t="str">
        <f t="shared" si="141"/>
        <v>SDG 7</v>
      </c>
      <c r="E70" s="14" t="str">
        <f t="shared" si="141"/>
        <v>TO DO</v>
      </c>
      <c r="F70" s="14" t="str">
        <f t="shared" si="141"/>
        <v>SDG 7</v>
      </c>
      <c r="G70" s="14" t="str">
        <f t="shared" si="141"/>
        <v>TO DO</v>
      </c>
      <c r="H70" s="14" t="str">
        <f t="shared" si="141"/>
        <v>SDG 7</v>
      </c>
      <c r="I70" s="45">
        <f t="shared" si="4"/>
        <v>1</v>
      </c>
      <c r="J70" s="14" t="str">
        <f t="shared" ref="J70:O70" si="142">VLOOKUP($A70, INDIRECT(C$1&amp;"!B:E"), 4, FALSE)</f>
        <v/>
      </c>
      <c r="K70" s="14" t="str">
        <f t="shared" si="142"/>
        <v/>
      </c>
      <c r="L70" s="14" t="str">
        <f t="shared" si="142"/>
        <v/>
      </c>
      <c r="M70" s="14" t="str">
        <f t="shared" si="142"/>
        <v/>
      </c>
      <c r="N70" s="14" t="str">
        <f t="shared" si="142"/>
        <v/>
      </c>
      <c r="O70" s="14" t="str">
        <f t="shared" si="142"/>
        <v/>
      </c>
      <c r="P70" s="14" t="str">
        <f t="shared" si="6"/>
        <v/>
      </c>
      <c r="Q70" s="46" t="s">
        <v>394</v>
      </c>
      <c r="R70" s="14" t="str">
        <f t="shared" si="7"/>
        <v>SDG 7</v>
      </c>
      <c r="S70" s="14" t="str">
        <f>VLOOKUP($A70, Source!B:I, 8, FALSE)</f>
        <v>SDG 7</v>
      </c>
      <c r="T70" s="14" t="str">
        <f>VLOOKUP(A70,Source!B:H, 7, FALSE)</f>
        <v>easy</v>
      </c>
      <c r="U70" s="14" t="str">
        <f t="shared" si="8"/>
        <v>Yes</v>
      </c>
    </row>
    <row r="71" ht="15.75" customHeight="1">
      <c r="A71" s="21" t="s">
        <v>311</v>
      </c>
      <c r="B71" s="44" t="s">
        <v>312</v>
      </c>
      <c r="C71" s="14" t="str">
        <f t="shared" ref="C71:H71" si="143">VLOOKUP($A71, INDIRECT(C$1&amp;"!B:D"), 3, FALSE)</f>
        <v>TO DO</v>
      </c>
      <c r="D71" s="14" t="str">
        <f t="shared" si="143"/>
        <v>SDG 7</v>
      </c>
      <c r="E71" s="14" t="str">
        <f t="shared" si="143"/>
        <v>TO DO</v>
      </c>
      <c r="F71" s="14" t="str">
        <f t="shared" si="143"/>
        <v>SDG 7</v>
      </c>
      <c r="G71" s="14" t="str">
        <f t="shared" si="143"/>
        <v>TO DO</v>
      </c>
      <c r="H71" s="14" t="str">
        <f t="shared" si="143"/>
        <v>SDG 7</v>
      </c>
      <c r="I71" s="45">
        <f t="shared" si="4"/>
        <v>1</v>
      </c>
      <c r="J71" s="14" t="str">
        <f t="shared" ref="J71:O71" si="144">VLOOKUP($A71, INDIRECT(C$1&amp;"!B:E"), 4, FALSE)</f>
        <v/>
      </c>
      <c r="K71" s="14" t="str">
        <f t="shared" si="144"/>
        <v/>
      </c>
      <c r="L71" s="14" t="str">
        <f t="shared" si="144"/>
        <v/>
      </c>
      <c r="M71" s="14" t="str">
        <f t="shared" si="144"/>
        <v/>
      </c>
      <c r="N71" s="14" t="str">
        <f t="shared" si="144"/>
        <v/>
      </c>
      <c r="O71" s="14" t="str">
        <f t="shared" si="144"/>
        <v/>
      </c>
      <c r="P71" s="14" t="str">
        <f t="shared" si="6"/>
        <v/>
      </c>
      <c r="Q71" s="46" t="s">
        <v>394</v>
      </c>
      <c r="R71" s="14" t="str">
        <f t="shared" si="7"/>
        <v>SDG 7</v>
      </c>
      <c r="S71" s="14" t="str">
        <f>VLOOKUP($A71, Source!B:I, 8, FALSE)</f>
        <v>SDG 7</v>
      </c>
      <c r="T71" s="14" t="str">
        <f>VLOOKUP(A71,Source!B:H, 7, FALSE)</f>
        <v>medium</v>
      </c>
      <c r="U71" s="14" t="str">
        <f t="shared" si="8"/>
        <v>Yes</v>
      </c>
    </row>
    <row r="72" ht="15.75" customHeight="1">
      <c r="A72" s="21" t="s">
        <v>135</v>
      </c>
      <c r="B72" s="44" t="s">
        <v>136</v>
      </c>
      <c r="C72" s="14" t="str">
        <f t="shared" ref="C72:H72" si="145">VLOOKUP($A72, INDIRECT(C$1&amp;"!B:D"), 3, FALSE)</f>
        <v>TO DO</v>
      </c>
      <c r="D72" s="14" t="str">
        <f t="shared" si="145"/>
        <v>NOT SDG 7</v>
      </c>
      <c r="E72" s="14" t="str">
        <f t="shared" si="145"/>
        <v>TO DO</v>
      </c>
      <c r="F72" s="14" t="str">
        <f t="shared" si="145"/>
        <v>NOT SDG 7</v>
      </c>
      <c r="G72" s="14" t="str">
        <f t="shared" si="145"/>
        <v>TO DO</v>
      </c>
      <c r="H72" s="14" t="str">
        <f t="shared" si="145"/>
        <v>NOT SDG 7</v>
      </c>
      <c r="I72" s="45">
        <f t="shared" si="4"/>
        <v>1</v>
      </c>
      <c r="J72" s="14" t="str">
        <f t="shared" ref="J72:O72" si="146">VLOOKUP($A72, INDIRECT(C$1&amp;"!B:E"), 4, FALSE)</f>
        <v/>
      </c>
      <c r="K72" s="14" t="str">
        <f t="shared" si="146"/>
        <v/>
      </c>
      <c r="L72" s="14" t="str">
        <f t="shared" si="146"/>
        <v/>
      </c>
      <c r="M72" s="14" t="str">
        <f t="shared" si="146"/>
        <v/>
      </c>
      <c r="N72" s="14" t="str">
        <f t="shared" si="146"/>
        <v/>
      </c>
      <c r="O72" s="14" t="str">
        <f t="shared" si="146"/>
        <v/>
      </c>
      <c r="P72" s="14" t="str">
        <f t="shared" si="6"/>
        <v/>
      </c>
      <c r="Q72" s="46" t="s">
        <v>394</v>
      </c>
      <c r="R72" s="14" t="str">
        <f t="shared" si="7"/>
        <v>NOT SDG 7</v>
      </c>
      <c r="S72" s="14" t="str">
        <f>VLOOKUP($A72, Source!B:I, 8, FALSE)</f>
        <v>NOT SDG 7</v>
      </c>
      <c r="T72" s="14" t="str">
        <f>VLOOKUP(A72,Source!B:H, 7, FALSE)</f>
        <v>hard</v>
      </c>
      <c r="U72" s="14" t="str">
        <f t="shared" si="8"/>
        <v>Yes</v>
      </c>
    </row>
    <row r="73" ht="15.75" customHeight="1">
      <c r="A73" s="21" t="s">
        <v>340</v>
      </c>
      <c r="B73" s="44" t="s">
        <v>341</v>
      </c>
      <c r="C73" s="14" t="str">
        <f t="shared" ref="C73:H73" si="147">VLOOKUP($A73, INDIRECT(C$1&amp;"!B:D"), 3, FALSE)</f>
        <v>TO DO</v>
      </c>
      <c r="D73" s="14" t="str">
        <f t="shared" si="147"/>
        <v>NOT SDG 7</v>
      </c>
      <c r="E73" s="14" t="str">
        <f t="shared" si="147"/>
        <v>TO DO</v>
      </c>
      <c r="F73" s="14" t="str">
        <f t="shared" si="147"/>
        <v>NOT SDG 7</v>
      </c>
      <c r="G73" s="14" t="str">
        <f t="shared" si="147"/>
        <v>TO DO</v>
      </c>
      <c r="H73" s="14" t="str">
        <f t="shared" si="147"/>
        <v>NOT SDG 7</v>
      </c>
      <c r="I73" s="45">
        <f t="shared" si="4"/>
        <v>1</v>
      </c>
      <c r="J73" s="14" t="str">
        <f t="shared" ref="J73:O73" si="148">VLOOKUP($A73, INDIRECT(C$1&amp;"!B:E"), 4, FALSE)</f>
        <v/>
      </c>
      <c r="K73" s="14" t="str">
        <f t="shared" si="148"/>
        <v/>
      </c>
      <c r="L73" s="14" t="str">
        <f t="shared" si="148"/>
        <v/>
      </c>
      <c r="M73" s="14" t="str">
        <f t="shared" si="148"/>
        <v/>
      </c>
      <c r="N73" s="14" t="str">
        <f t="shared" si="148"/>
        <v/>
      </c>
      <c r="O73" s="14" t="str">
        <f t="shared" si="148"/>
        <v/>
      </c>
      <c r="P73" s="14" t="str">
        <f t="shared" si="6"/>
        <v/>
      </c>
      <c r="Q73" s="46" t="s">
        <v>394</v>
      </c>
      <c r="R73" s="14" t="str">
        <f t="shared" si="7"/>
        <v>NOT SDG 7</v>
      </c>
      <c r="S73" s="14" t="str">
        <f>VLOOKUP($A73, Source!B:I, 8, FALSE)</f>
        <v>SKIP</v>
      </c>
      <c r="T73" s="14" t="str">
        <f>VLOOKUP(A73,Source!B:H, 7, FALSE)</f>
        <v>very hard</v>
      </c>
      <c r="U73" s="14" t="str">
        <f t="shared" si="8"/>
        <v>Unclear</v>
      </c>
    </row>
    <row r="74" ht="15.75" customHeight="1">
      <c r="A74" s="21" t="s">
        <v>292</v>
      </c>
      <c r="B74" s="44" t="s">
        <v>293</v>
      </c>
      <c r="C74" s="14" t="str">
        <f t="shared" ref="C74:H74" si="149">VLOOKUP($A74, INDIRECT(C$1&amp;"!B:D"), 3, FALSE)</f>
        <v>TO DO</v>
      </c>
      <c r="D74" s="14" t="str">
        <f t="shared" si="149"/>
        <v>SDG 7</v>
      </c>
      <c r="E74" s="14" t="str">
        <f t="shared" si="149"/>
        <v>TO DO</v>
      </c>
      <c r="F74" s="14" t="str">
        <f t="shared" si="149"/>
        <v>SDG 7</v>
      </c>
      <c r="G74" s="14" t="str">
        <f t="shared" si="149"/>
        <v>TO DO</v>
      </c>
      <c r="H74" s="14" t="str">
        <f t="shared" si="149"/>
        <v>SDG 7</v>
      </c>
      <c r="I74" s="45">
        <f t="shared" si="4"/>
        <v>1</v>
      </c>
      <c r="J74" s="14" t="str">
        <f t="shared" ref="J74:O74" si="150">VLOOKUP($A74, INDIRECT(C$1&amp;"!B:E"), 4, FALSE)</f>
        <v/>
      </c>
      <c r="K74" s="14" t="str">
        <f t="shared" si="150"/>
        <v/>
      </c>
      <c r="L74" s="14" t="str">
        <f t="shared" si="150"/>
        <v/>
      </c>
      <c r="M74" s="14" t="str">
        <f t="shared" si="150"/>
        <v/>
      </c>
      <c r="N74" s="14" t="str">
        <f t="shared" si="150"/>
        <v/>
      </c>
      <c r="O74" s="14" t="str">
        <f t="shared" si="150"/>
        <v/>
      </c>
      <c r="P74" s="14" t="str">
        <f t="shared" si="6"/>
        <v/>
      </c>
      <c r="Q74" s="46" t="s">
        <v>394</v>
      </c>
      <c r="R74" s="14" t="str">
        <f t="shared" si="7"/>
        <v>SDG 7</v>
      </c>
      <c r="S74" s="14" t="str">
        <f>VLOOKUP($A74, Source!B:I, 8, FALSE)</f>
        <v>SKIP</v>
      </c>
      <c r="T74" s="14" t="str">
        <f>VLOOKUP(A74,Source!B:H, 7, FALSE)</f>
        <v>very hard</v>
      </c>
      <c r="U74" s="14" t="str">
        <f t="shared" si="8"/>
        <v>Unclear</v>
      </c>
    </row>
    <row r="75" ht="15.75" customHeight="1">
      <c r="A75" s="21" t="s">
        <v>106</v>
      </c>
      <c r="B75" s="44" t="s">
        <v>107</v>
      </c>
      <c r="C75" s="14" t="str">
        <f t="shared" ref="C75:H75" si="151">VLOOKUP($A75, INDIRECT(C$1&amp;"!B:D"), 3, FALSE)</f>
        <v>TO DO</v>
      </c>
      <c r="D75" s="14" t="str">
        <f t="shared" si="151"/>
        <v>SDG 7</v>
      </c>
      <c r="E75" s="14" t="str">
        <f t="shared" si="151"/>
        <v>TO DO</v>
      </c>
      <c r="F75" s="14" t="str">
        <f t="shared" si="151"/>
        <v>SDG 7</v>
      </c>
      <c r="G75" s="14" t="str">
        <f t="shared" si="151"/>
        <v>TO DO</v>
      </c>
      <c r="H75" s="14" t="str">
        <f t="shared" si="151"/>
        <v>SDG 7</v>
      </c>
      <c r="I75" s="45">
        <f t="shared" si="4"/>
        <v>1</v>
      </c>
      <c r="J75" s="14" t="str">
        <f t="shared" ref="J75:O75" si="152">VLOOKUP($A75, INDIRECT(C$1&amp;"!B:E"), 4, FALSE)</f>
        <v/>
      </c>
      <c r="K75" s="14" t="str">
        <f t="shared" si="152"/>
        <v>typos in text</v>
      </c>
      <c r="L75" s="14" t="str">
        <f t="shared" si="152"/>
        <v/>
      </c>
      <c r="M75" s="14" t="str">
        <f t="shared" si="152"/>
        <v/>
      </c>
      <c r="N75" s="14" t="str">
        <f t="shared" si="152"/>
        <v/>
      </c>
      <c r="O75" s="14" t="str">
        <f t="shared" si="152"/>
        <v/>
      </c>
      <c r="P75" s="14" t="str">
        <f t="shared" si="6"/>
        <v>- typos in text</v>
      </c>
      <c r="Q75" s="46" t="s">
        <v>401</v>
      </c>
      <c r="R75" s="14" t="str">
        <f t="shared" si="7"/>
        <v>SDG 7</v>
      </c>
      <c r="S75" s="14" t="str">
        <f>VLOOKUP($A75, Source!B:I, 8, FALSE)</f>
        <v>SDG 7</v>
      </c>
      <c r="T75" s="14" t="str">
        <f>VLOOKUP(A75,Source!B:H, 7, FALSE)</f>
        <v>hard</v>
      </c>
      <c r="U75" s="14" t="str">
        <f t="shared" si="8"/>
        <v>Yes</v>
      </c>
    </row>
    <row r="76" ht="15.75" customHeight="1">
      <c r="A76" s="21" t="s">
        <v>204</v>
      </c>
      <c r="B76" s="44" t="s">
        <v>205</v>
      </c>
      <c r="C76" s="14" t="str">
        <f t="shared" ref="C76:H76" si="153">VLOOKUP($A76, INDIRECT(C$1&amp;"!B:D"), 3, FALSE)</f>
        <v>TO DO</v>
      </c>
      <c r="D76" s="14" t="str">
        <f t="shared" si="153"/>
        <v>SDG 7</v>
      </c>
      <c r="E76" s="14" t="str">
        <f t="shared" si="153"/>
        <v>TO DO</v>
      </c>
      <c r="F76" s="14" t="str">
        <f t="shared" si="153"/>
        <v>SDG 7</v>
      </c>
      <c r="G76" s="14" t="str">
        <f t="shared" si="153"/>
        <v>TO DO</v>
      </c>
      <c r="H76" s="14" t="str">
        <f t="shared" si="153"/>
        <v>SDG 7</v>
      </c>
      <c r="I76" s="45">
        <f t="shared" si="4"/>
        <v>1</v>
      </c>
      <c r="J76" s="14" t="str">
        <f t="shared" ref="J76:O76" si="154">VLOOKUP($A76, INDIRECT(C$1&amp;"!B:E"), 4, FALSE)</f>
        <v/>
      </c>
      <c r="K76" s="14" t="str">
        <f t="shared" si="154"/>
        <v/>
      </c>
      <c r="L76" s="14" t="str">
        <f t="shared" si="154"/>
        <v/>
      </c>
      <c r="M76" s="14" t="str">
        <f t="shared" si="154"/>
        <v/>
      </c>
      <c r="N76" s="14" t="str">
        <f t="shared" si="154"/>
        <v/>
      </c>
      <c r="O76" s="14" t="str">
        <f t="shared" si="154"/>
        <v/>
      </c>
      <c r="P76" s="14" t="str">
        <f t="shared" si="6"/>
        <v/>
      </c>
      <c r="Q76" s="46" t="s">
        <v>394</v>
      </c>
      <c r="R76" s="14" t="str">
        <f t="shared" si="7"/>
        <v>SDG 7</v>
      </c>
      <c r="S76" s="14" t="str">
        <f>VLOOKUP($A76, Source!B:I, 8, FALSE)</f>
        <v>SDG 7</v>
      </c>
      <c r="T76" s="14" t="str">
        <f>VLOOKUP(A76,Source!B:H, 7, FALSE)</f>
        <v>medium</v>
      </c>
      <c r="U76" s="14" t="str">
        <f t="shared" si="8"/>
        <v>Yes</v>
      </c>
    </row>
    <row r="77" ht="15.75" customHeight="1">
      <c r="A77" s="21" t="s">
        <v>251</v>
      </c>
      <c r="B77" s="44" t="s">
        <v>252</v>
      </c>
      <c r="C77" s="14" t="str">
        <f t="shared" ref="C77:H77" si="155">VLOOKUP($A77, INDIRECT(C$1&amp;"!B:D"), 3, FALSE)</f>
        <v>TO DO</v>
      </c>
      <c r="D77" s="14" t="str">
        <f t="shared" si="155"/>
        <v>SDG 7</v>
      </c>
      <c r="E77" s="14" t="str">
        <f t="shared" si="155"/>
        <v>TO DO</v>
      </c>
      <c r="F77" s="14" t="str">
        <f t="shared" si="155"/>
        <v>SDG 7</v>
      </c>
      <c r="G77" s="14" t="str">
        <f t="shared" si="155"/>
        <v>TO DO</v>
      </c>
      <c r="H77" s="14" t="str">
        <f t="shared" si="155"/>
        <v>SDG 7</v>
      </c>
      <c r="I77" s="45">
        <f t="shared" si="4"/>
        <v>1</v>
      </c>
      <c r="J77" s="14" t="str">
        <f t="shared" ref="J77:O77" si="156">VLOOKUP($A77, INDIRECT(C$1&amp;"!B:E"), 4, FALSE)</f>
        <v/>
      </c>
      <c r="K77" s="14" t="str">
        <f t="shared" si="156"/>
        <v/>
      </c>
      <c r="L77" s="14" t="str">
        <f t="shared" si="156"/>
        <v/>
      </c>
      <c r="M77" s="14" t="str">
        <f t="shared" si="156"/>
        <v/>
      </c>
      <c r="N77" s="14" t="str">
        <f t="shared" si="156"/>
        <v/>
      </c>
      <c r="O77" s="14" t="str">
        <f t="shared" si="156"/>
        <v/>
      </c>
      <c r="P77" s="14" t="str">
        <f t="shared" si="6"/>
        <v/>
      </c>
      <c r="Q77" s="46" t="s">
        <v>394</v>
      </c>
      <c r="R77" s="14" t="str">
        <f t="shared" si="7"/>
        <v>SDG 7</v>
      </c>
      <c r="S77" s="14" t="str">
        <f>VLOOKUP($A77, Source!B:I, 8, FALSE)</f>
        <v>SDG 7</v>
      </c>
      <c r="T77" s="14" t="str">
        <f>VLOOKUP(A77,Source!B:H, 7, FALSE)</f>
        <v>hard</v>
      </c>
      <c r="U77" s="14" t="str">
        <f t="shared" si="8"/>
        <v>Yes</v>
      </c>
    </row>
    <row r="78" ht="15.75" customHeight="1">
      <c r="A78" s="21" t="s">
        <v>115</v>
      </c>
      <c r="B78" s="44" t="s">
        <v>116</v>
      </c>
      <c r="C78" s="14" t="str">
        <f t="shared" ref="C78:H78" si="157">VLOOKUP($A78, INDIRECT(C$1&amp;"!B:D"), 3, FALSE)</f>
        <v>TO DO</v>
      </c>
      <c r="D78" s="14" t="str">
        <f t="shared" si="157"/>
        <v>NOT SDG 7</v>
      </c>
      <c r="E78" s="14" t="str">
        <f t="shared" si="157"/>
        <v>TO DO</v>
      </c>
      <c r="F78" s="14" t="str">
        <f t="shared" si="157"/>
        <v>NOT SDG 7</v>
      </c>
      <c r="G78" s="14" t="str">
        <f t="shared" si="157"/>
        <v>TO DO</v>
      </c>
      <c r="H78" s="14" t="str">
        <f t="shared" si="157"/>
        <v>NOT SDG 7</v>
      </c>
      <c r="I78" s="45">
        <f t="shared" si="4"/>
        <v>1</v>
      </c>
      <c r="J78" s="14" t="str">
        <f t="shared" ref="J78:O78" si="158">VLOOKUP($A78, INDIRECT(C$1&amp;"!B:E"), 4, FALSE)</f>
        <v/>
      </c>
      <c r="K78" s="14" t="str">
        <f t="shared" si="158"/>
        <v/>
      </c>
      <c r="L78" s="14" t="str">
        <f t="shared" si="158"/>
        <v/>
      </c>
      <c r="M78" s="14" t="str">
        <f t="shared" si="158"/>
        <v/>
      </c>
      <c r="N78" s="14" t="str">
        <f t="shared" si="158"/>
        <v/>
      </c>
      <c r="O78" s="14" t="str">
        <f t="shared" si="158"/>
        <v/>
      </c>
      <c r="P78" s="14" t="str">
        <f t="shared" si="6"/>
        <v/>
      </c>
      <c r="Q78" s="46" t="s">
        <v>394</v>
      </c>
      <c r="R78" s="14" t="str">
        <f t="shared" si="7"/>
        <v>NOT SDG 7</v>
      </c>
      <c r="S78" s="14" t="str">
        <f>VLOOKUP($A78, Source!B:I, 8, FALSE)</f>
        <v>SKIP</v>
      </c>
      <c r="T78" s="14" t="str">
        <f>VLOOKUP(A78,Source!B:H, 7, FALSE)</f>
        <v>very hard</v>
      </c>
      <c r="U78" s="14" t="str">
        <f t="shared" si="8"/>
        <v>Unclear</v>
      </c>
    </row>
    <row r="79" ht="15.75" customHeight="1">
      <c r="A79" s="21" t="s">
        <v>100</v>
      </c>
      <c r="B79" s="44" t="s">
        <v>101</v>
      </c>
      <c r="C79" s="14" t="str">
        <f t="shared" ref="C79:H79" si="159">VLOOKUP($A79, INDIRECT(C$1&amp;"!B:D"), 3, FALSE)</f>
        <v>TO DO</v>
      </c>
      <c r="D79" s="14" t="str">
        <f t="shared" si="159"/>
        <v>SDG 7</v>
      </c>
      <c r="E79" s="14" t="str">
        <f t="shared" si="159"/>
        <v>TO DO</v>
      </c>
      <c r="F79" s="14" t="str">
        <f t="shared" si="159"/>
        <v>SDG 7</v>
      </c>
      <c r="G79" s="14" t="str">
        <f t="shared" si="159"/>
        <v>TO DO</v>
      </c>
      <c r="H79" s="14" t="str">
        <f t="shared" si="159"/>
        <v>SDG 7</v>
      </c>
      <c r="I79" s="45">
        <f t="shared" si="4"/>
        <v>1</v>
      </c>
      <c r="J79" s="14" t="str">
        <f t="shared" ref="J79:O79" si="160">VLOOKUP($A79, INDIRECT(C$1&amp;"!B:E"), 4, FALSE)</f>
        <v/>
      </c>
      <c r="K79" s="14" t="str">
        <f t="shared" si="160"/>
        <v/>
      </c>
      <c r="L79" s="14" t="str">
        <f t="shared" si="160"/>
        <v/>
      </c>
      <c r="M79" s="14" t="str">
        <f t="shared" si="160"/>
        <v/>
      </c>
      <c r="N79" s="14" t="str">
        <f t="shared" si="160"/>
        <v/>
      </c>
      <c r="O79" s="14" t="str">
        <f t="shared" si="160"/>
        <v/>
      </c>
      <c r="P79" s="14" t="str">
        <f t="shared" si="6"/>
        <v/>
      </c>
      <c r="Q79" s="46" t="s">
        <v>394</v>
      </c>
      <c r="R79" s="14" t="str">
        <f t="shared" si="7"/>
        <v>SDG 7</v>
      </c>
      <c r="S79" s="14" t="str">
        <f>VLOOKUP($A79, Source!B:I, 8, FALSE)</f>
        <v>SDG 7</v>
      </c>
      <c r="T79" s="14" t="str">
        <f>VLOOKUP(A79,Source!B:H, 7, FALSE)</f>
        <v>hard</v>
      </c>
      <c r="U79" s="14" t="str">
        <f t="shared" si="8"/>
        <v>Yes</v>
      </c>
    </row>
    <row r="80" ht="15.75" customHeight="1">
      <c r="A80" s="21" t="s">
        <v>268</v>
      </c>
      <c r="B80" s="44" t="s">
        <v>269</v>
      </c>
      <c r="C80" s="14" t="str">
        <f t="shared" ref="C80:H80" si="161">VLOOKUP($A80, INDIRECT(C$1&amp;"!B:D"), 3, FALSE)</f>
        <v>TO DO</v>
      </c>
      <c r="D80" s="14" t="str">
        <f t="shared" si="161"/>
        <v>NOT SDG 7</v>
      </c>
      <c r="E80" s="14" t="str">
        <f t="shared" si="161"/>
        <v>TO DO</v>
      </c>
      <c r="F80" s="14" t="str">
        <f t="shared" si="161"/>
        <v>NOT SDG 7</v>
      </c>
      <c r="G80" s="14" t="str">
        <f t="shared" si="161"/>
        <v>TO DO</v>
      </c>
      <c r="H80" s="14" t="str">
        <f t="shared" si="161"/>
        <v>NOT SDG 7</v>
      </c>
      <c r="I80" s="45">
        <f t="shared" si="4"/>
        <v>1</v>
      </c>
      <c r="J80" s="14" t="str">
        <f t="shared" ref="J80:O80" si="162">VLOOKUP($A80, INDIRECT(C$1&amp;"!B:E"), 4, FALSE)</f>
        <v/>
      </c>
      <c r="K80" s="14" t="str">
        <f t="shared" si="162"/>
        <v/>
      </c>
      <c r="L80" s="14" t="str">
        <f t="shared" si="162"/>
        <v/>
      </c>
      <c r="M80" s="14" t="str">
        <f t="shared" si="162"/>
        <v/>
      </c>
      <c r="N80" s="14" t="str">
        <f t="shared" si="162"/>
        <v/>
      </c>
      <c r="O80" s="14" t="str">
        <f t="shared" si="162"/>
        <v/>
      </c>
      <c r="P80" s="14" t="str">
        <f t="shared" si="6"/>
        <v/>
      </c>
      <c r="Q80" s="46" t="s">
        <v>394</v>
      </c>
      <c r="R80" s="14" t="str">
        <f t="shared" si="7"/>
        <v>NOT SDG 7</v>
      </c>
      <c r="S80" s="14" t="str">
        <f>VLOOKUP($A80, Source!B:I, 8, FALSE)</f>
        <v>SDG 7</v>
      </c>
      <c r="T80" s="14" t="str">
        <f>VLOOKUP(A80,Source!B:H, 7, FALSE)</f>
        <v>hard</v>
      </c>
      <c r="U80" s="14" t="str">
        <f t="shared" si="8"/>
        <v>No</v>
      </c>
    </row>
    <row r="81" ht="15.75" customHeight="1">
      <c r="A81" s="21" t="s">
        <v>125</v>
      </c>
      <c r="B81" s="44" t="s">
        <v>126</v>
      </c>
      <c r="C81" s="14" t="str">
        <f t="shared" ref="C81:H81" si="163">VLOOKUP($A81, INDIRECT(C$1&amp;"!B:D"), 3, FALSE)</f>
        <v>TO DO</v>
      </c>
      <c r="D81" s="14" t="str">
        <f t="shared" si="163"/>
        <v>NOT SDG 7</v>
      </c>
      <c r="E81" s="14" t="str">
        <f t="shared" si="163"/>
        <v>NOT SDG 7</v>
      </c>
      <c r="F81" s="14" t="str">
        <f t="shared" si="163"/>
        <v>NOT SDG 7</v>
      </c>
      <c r="G81" s="14" t="str">
        <f t="shared" si="163"/>
        <v>TO DO</v>
      </c>
      <c r="H81" s="14" t="str">
        <f t="shared" si="163"/>
        <v>NOT SDG 7</v>
      </c>
      <c r="I81" s="45">
        <f t="shared" si="4"/>
        <v>1</v>
      </c>
      <c r="J81" s="14" t="str">
        <f t="shared" ref="J81:O81" si="164">VLOOKUP($A81, INDIRECT(C$1&amp;"!B:E"), 4, FALSE)</f>
        <v/>
      </c>
      <c r="K81" s="14" t="str">
        <f t="shared" si="164"/>
        <v/>
      </c>
      <c r="L81" s="14" t="str">
        <f t="shared" si="164"/>
        <v/>
      </c>
      <c r="M81" s="14" t="str">
        <f t="shared" si="164"/>
        <v/>
      </c>
      <c r="N81" s="14" t="str">
        <f t="shared" si="164"/>
        <v/>
      </c>
      <c r="O81" s="14" t="str">
        <f t="shared" si="164"/>
        <v/>
      </c>
      <c r="P81" s="14" t="str">
        <f t="shared" si="6"/>
        <v/>
      </c>
      <c r="Q81" s="46" t="s">
        <v>394</v>
      </c>
      <c r="R81" s="14" t="str">
        <f t="shared" si="7"/>
        <v>NOT SDG 7</v>
      </c>
      <c r="S81" s="14" t="str">
        <f>VLOOKUP($A81, Source!B:I, 8, FALSE)</f>
        <v>SDG 7</v>
      </c>
      <c r="T81" s="14" t="str">
        <f>VLOOKUP(A81,Source!B:H, 7, FALSE)</f>
        <v>medium</v>
      </c>
      <c r="U81" s="14" t="str">
        <f t="shared" si="8"/>
        <v>No</v>
      </c>
    </row>
    <row r="82" ht="15.75" customHeight="1">
      <c r="A82" s="21" t="s">
        <v>162</v>
      </c>
      <c r="B82" s="44" t="s">
        <v>163</v>
      </c>
      <c r="C82" s="14" t="str">
        <f t="shared" ref="C82:H82" si="165">VLOOKUP($A82, INDIRECT(C$1&amp;"!B:D"), 3, FALSE)</f>
        <v>TO DO</v>
      </c>
      <c r="D82" s="14" t="str">
        <f t="shared" si="165"/>
        <v>NOT SDG 7</v>
      </c>
      <c r="E82" s="14" t="str">
        <f t="shared" si="165"/>
        <v>TO DO</v>
      </c>
      <c r="F82" s="14" t="str">
        <f t="shared" si="165"/>
        <v>NOT SDG 7</v>
      </c>
      <c r="G82" s="14" t="str">
        <f t="shared" si="165"/>
        <v>TO DO</v>
      </c>
      <c r="H82" s="14" t="str">
        <f t="shared" si="165"/>
        <v>NOT SDG 7</v>
      </c>
      <c r="I82" s="45">
        <f t="shared" si="4"/>
        <v>1</v>
      </c>
      <c r="J82" s="14" t="str">
        <f t="shared" ref="J82:O82" si="166">VLOOKUP($A82, INDIRECT(C$1&amp;"!B:E"), 4, FALSE)</f>
        <v/>
      </c>
      <c r="K82" s="14" t="str">
        <f t="shared" si="166"/>
        <v/>
      </c>
      <c r="L82" s="14" t="str">
        <f t="shared" si="166"/>
        <v/>
      </c>
      <c r="M82" s="14" t="str">
        <f t="shared" si="166"/>
        <v/>
      </c>
      <c r="N82" s="14" t="str">
        <f t="shared" si="166"/>
        <v/>
      </c>
      <c r="O82" s="14" t="str">
        <f t="shared" si="166"/>
        <v/>
      </c>
      <c r="P82" s="14" t="str">
        <f t="shared" si="6"/>
        <v/>
      </c>
      <c r="Q82" s="46" t="s">
        <v>394</v>
      </c>
      <c r="R82" s="14" t="str">
        <f t="shared" si="7"/>
        <v>NOT SDG 7</v>
      </c>
      <c r="S82" s="14" t="str">
        <f>VLOOKUP($A82, Source!B:I, 8, FALSE)</f>
        <v>NOT SDG 7</v>
      </c>
      <c r="T82" s="14" t="str">
        <f>VLOOKUP(A82,Source!B:H, 7, FALSE)</f>
        <v>very easy</v>
      </c>
      <c r="U82" s="14" t="str">
        <f t="shared" si="8"/>
        <v>Yes</v>
      </c>
    </row>
    <row r="83" ht="15.75" customHeight="1">
      <c r="A83" s="21" t="s">
        <v>97</v>
      </c>
      <c r="B83" s="44" t="s">
        <v>98</v>
      </c>
      <c r="C83" s="14" t="str">
        <f t="shared" ref="C83:H83" si="167">VLOOKUP($A83, INDIRECT(C$1&amp;"!B:D"), 3, FALSE)</f>
        <v>TO DO</v>
      </c>
      <c r="D83" s="14" t="str">
        <f t="shared" si="167"/>
        <v>NOT SDG 7</v>
      </c>
      <c r="E83" s="14" t="str">
        <f t="shared" si="167"/>
        <v>TO DO</v>
      </c>
      <c r="F83" s="14" t="str">
        <f t="shared" si="167"/>
        <v>NOT SDG 7</v>
      </c>
      <c r="G83" s="14" t="str">
        <f t="shared" si="167"/>
        <v>TO DO</v>
      </c>
      <c r="H83" s="14" t="str">
        <f t="shared" si="167"/>
        <v>NOT SDG 7</v>
      </c>
      <c r="I83" s="45">
        <f t="shared" si="4"/>
        <v>1</v>
      </c>
      <c r="J83" s="14" t="str">
        <f t="shared" ref="J83:O83" si="168">VLOOKUP($A83, INDIRECT(C$1&amp;"!B:E"), 4, FALSE)</f>
        <v/>
      </c>
      <c r="K83" s="14" t="str">
        <f t="shared" si="168"/>
        <v/>
      </c>
      <c r="L83" s="14" t="str">
        <f t="shared" si="168"/>
        <v/>
      </c>
      <c r="M83" s="14" t="str">
        <f t="shared" si="168"/>
        <v/>
      </c>
      <c r="N83" s="14" t="str">
        <f t="shared" si="168"/>
        <v/>
      </c>
      <c r="O83" s="14" t="str">
        <f t="shared" si="168"/>
        <v/>
      </c>
      <c r="P83" s="14" t="str">
        <f t="shared" si="6"/>
        <v/>
      </c>
      <c r="Q83" s="46" t="s">
        <v>394</v>
      </c>
      <c r="R83" s="14" t="str">
        <f t="shared" si="7"/>
        <v>NOT SDG 7</v>
      </c>
      <c r="S83" s="14" t="str">
        <f>VLOOKUP($A83, Source!B:I, 8, FALSE)</f>
        <v>NOT SDG 7</v>
      </c>
      <c r="T83" s="14" t="str">
        <f>VLOOKUP(A83,Source!B:H, 7, FALSE)</f>
        <v>easy</v>
      </c>
      <c r="U83" s="14" t="str">
        <f t="shared" si="8"/>
        <v>Yes</v>
      </c>
    </row>
    <row r="84" ht="15.75" customHeight="1">
      <c r="A84" s="21" t="s">
        <v>301</v>
      </c>
      <c r="B84" s="44" t="s">
        <v>302</v>
      </c>
      <c r="C84" s="14" t="str">
        <f t="shared" ref="C84:H84" si="169">VLOOKUP($A84, INDIRECT(C$1&amp;"!B:D"), 3, FALSE)</f>
        <v>TO DO</v>
      </c>
      <c r="D84" s="14" t="str">
        <f t="shared" si="169"/>
        <v>SDG 7</v>
      </c>
      <c r="E84" s="14" t="str">
        <f t="shared" si="169"/>
        <v>TO DO</v>
      </c>
      <c r="F84" s="14" t="str">
        <f t="shared" si="169"/>
        <v>SDG 7</v>
      </c>
      <c r="G84" s="14" t="str">
        <f t="shared" si="169"/>
        <v>TO DO</v>
      </c>
      <c r="H84" s="14" t="str">
        <f t="shared" si="169"/>
        <v>SDG 7</v>
      </c>
      <c r="I84" s="45">
        <f t="shared" si="4"/>
        <v>1</v>
      </c>
      <c r="J84" s="14" t="str">
        <f t="shared" ref="J84:O84" si="170">VLOOKUP($A84, INDIRECT(C$1&amp;"!B:E"), 4, FALSE)</f>
        <v/>
      </c>
      <c r="K84" s="14" t="str">
        <f t="shared" si="170"/>
        <v/>
      </c>
      <c r="L84" s="14" t="str">
        <f t="shared" si="170"/>
        <v/>
      </c>
      <c r="M84" s="14" t="str">
        <f t="shared" si="170"/>
        <v/>
      </c>
      <c r="N84" s="14" t="str">
        <f t="shared" si="170"/>
        <v/>
      </c>
      <c r="O84" s="14" t="str">
        <f t="shared" si="170"/>
        <v/>
      </c>
      <c r="P84" s="14" t="str">
        <f t="shared" si="6"/>
        <v/>
      </c>
      <c r="Q84" s="46" t="s">
        <v>394</v>
      </c>
      <c r="R84" s="14" t="str">
        <f t="shared" si="7"/>
        <v>SDG 7</v>
      </c>
      <c r="S84" s="14" t="str">
        <f>VLOOKUP($A84, Source!B:I, 8, FALSE)</f>
        <v>SDG 7</v>
      </c>
      <c r="T84" s="14" t="str">
        <f>VLOOKUP(A84,Source!B:H, 7, FALSE)</f>
        <v>very easy</v>
      </c>
      <c r="U84" s="14" t="str">
        <f t="shared" si="8"/>
        <v>Yes</v>
      </c>
    </row>
    <row r="85" ht="15.75" customHeight="1">
      <c r="A85" s="21" t="s">
        <v>338</v>
      </c>
      <c r="B85" s="44" t="s">
        <v>339</v>
      </c>
      <c r="C85" s="14" t="str">
        <f t="shared" ref="C85:H85" si="171">VLOOKUP($A85, INDIRECT(C$1&amp;"!B:D"), 3, FALSE)</f>
        <v>TO DO</v>
      </c>
      <c r="D85" s="14" t="str">
        <f t="shared" si="171"/>
        <v>NOT SDG 7</v>
      </c>
      <c r="E85" s="14" t="str">
        <f t="shared" si="171"/>
        <v>TO DO</v>
      </c>
      <c r="F85" s="14" t="str">
        <f t="shared" si="171"/>
        <v>NOT SDG 7</v>
      </c>
      <c r="G85" s="14" t="str">
        <f t="shared" si="171"/>
        <v>TO DO</v>
      </c>
      <c r="H85" s="14" t="str">
        <f t="shared" si="171"/>
        <v>NOT SDG 7</v>
      </c>
      <c r="I85" s="45">
        <f t="shared" si="4"/>
        <v>1</v>
      </c>
      <c r="J85" s="14" t="str">
        <f t="shared" ref="J85:O85" si="172">VLOOKUP($A85, INDIRECT(C$1&amp;"!B:E"), 4, FALSE)</f>
        <v/>
      </c>
      <c r="K85" s="14" t="str">
        <f t="shared" si="172"/>
        <v/>
      </c>
      <c r="L85" s="14" t="str">
        <f t="shared" si="172"/>
        <v/>
      </c>
      <c r="M85" s="14" t="str">
        <f t="shared" si="172"/>
        <v/>
      </c>
      <c r="N85" s="14" t="str">
        <f t="shared" si="172"/>
        <v/>
      </c>
      <c r="O85" s="14" t="str">
        <f t="shared" si="172"/>
        <v/>
      </c>
      <c r="P85" s="14" t="str">
        <f t="shared" si="6"/>
        <v/>
      </c>
      <c r="Q85" s="46" t="s">
        <v>394</v>
      </c>
      <c r="R85" s="14" t="str">
        <f t="shared" si="7"/>
        <v>NOT SDG 7</v>
      </c>
      <c r="S85" s="14" t="str">
        <f>VLOOKUP($A85, Source!B:I, 8, FALSE)</f>
        <v>SDG 7</v>
      </c>
      <c r="T85" s="14" t="str">
        <f>VLOOKUP(A85,Source!B:H, 7, FALSE)</f>
        <v>easy</v>
      </c>
      <c r="U85" s="14" t="str">
        <f t="shared" si="8"/>
        <v>No</v>
      </c>
    </row>
    <row r="86" ht="15.75" customHeight="1">
      <c r="A86" s="21" t="s">
        <v>334</v>
      </c>
      <c r="B86" s="44" t="s">
        <v>335</v>
      </c>
      <c r="C86" s="14" t="str">
        <f t="shared" ref="C86:H86" si="173">VLOOKUP($A86, INDIRECT(C$1&amp;"!B:D"), 3, FALSE)</f>
        <v>TO DO</v>
      </c>
      <c r="D86" s="14" t="str">
        <f t="shared" si="173"/>
        <v>SDG 7</v>
      </c>
      <c r="E86" s="14" t="str">
        <f t="shared" si="173"/>
        <v>TO DO</v>
      </c>
      <c r="F86" s="14" t="str">
        <f t="shared" si="173"/>
        <v>SDG 7</v>
      </c>
      <c r="G86" s="14" t="str">
        <f t="shared" si="173"/>
        <v>TO DO</v>
      </c>
      <c r="H86" s="14" t="str">
        <f t="shared" si="173"/>
        <v>SDG 7</v>
      </c>
      <c r="I86" s="45">
        <f t="shared" si="4"/>
        <v>1</v>
      </c>
      <c r="J86" s="14" t="str">
        <f t="shared" ref="J86:O86" si="174">VLOOKUP($A86, INDIRECT(C$1&amp;"!B:E"), 4, FALSE)</f>
        <v/>
      </c>
      <c r="K86" s="14" t="str">
        <f t="shared" si="174"/>
        <v>tricky: quality of supply + low cost vs fossil fuels</v>
      </c>
      <c r="L86" s="14" t="str">
        <f t="shared" si="174"/>
        <v/>
      </c>
      <c r="M86" s="14" t="str">
        <f t="shared" si="174"/>
        <v/>
      </c>
      <c r="N86" s="14" t="str">
        <f t="shared" si="174"/>
        <v/>
      </c>
      <c r="O86" s="14" t="str">
        <f t="shared" si="174"/>
        <v/>
      </c>
      <c r="P86" s="14" t="str">
        <f t="shared" si="6"/>
        <v>- tricky: quality of supply + low cost vs fossil fuels</v>
      </c>
      <c r="Q86" s="46" t="s">
        <v>402</v>
      </c>
      <c r="R86" s="14" t="str">
        <f t="shared" si="7"/>
        <v>SDG 7</v>
      </c>
      <c r="S86" s="14" t="str">
        <f>VLOOKUP($A86, Source!B:I, 8, FALSE)</f>
        <v>SDG 7</v>
      </c>
      <c r="T86" s="14" t="str">
        <f>VLOOKUP(A86,Source!B:H, 7, FALSE)</f>
        <v>medium</v>
      </c>
      <c r="U86" s="14" t="str">
        <f t="shared" si="8"/>
        <v>Yes</v>
      </c>
    </row>
    <row r="87" ht="15.75" customHeight="1">
      <c r="A87" s="21" t="s">
        <v>150</v>
      </c>
      <c r="B87" s="44" t="s">
        <v>151</v>
      </c>
      <c r="C87" s="14" t="str">
        <f t="shared" ref="C87:H87" si="175">VLOOKUP($A87, INDIRECT(C$1&amp;"!B:D"), 3, FALSE)</f>
        <v>TO DO</v>
      </c>
      <c r="D87" s="14" t="str">
        <f t="shared" si="175"/>
        <v>SDG 7</v>
      </c>
      <c r="E87" s="14" t="str">
        <f t="shared" si="175"/>
        <v>TO DO</v>
      </c>
      <c r="F87" s="14" t="str">
        <f t="shared" si="175"/>
        <v>SDG 7</v>
      </c>
      <c r="G87" s="14" t="str">
        <f t="shared" si="175"/>
        <v>TO DO</v>
      </c>
      <c r="H87" s="14" t="str">
        <f t="shared" si="175"/>
        <v>NOT SDG 7</v>
      </c>
      <c r="I87" s="45">
        <f t="shared" si="4"/>
        <v>0.3333333333</v>
      </c>
      <c r="J87" s="14" t="str">
        <f t="shared" ref="J87:O87" si="176">VLOOKUP($A87, INDIRECT(C$1&amp;"!B:E"), 4, FALSE)</f>
        <v/>
      </c>
      <c r="K87" s="14" t="str">
        <f t="shared" si="176"/>
        <v/>
      </c>
      <c r="L87" s="14" t="str">
        <f t="shared" si="176"/>
        <v/>
      </c>
      <c r="M87" s="14" t="str">
        <f t="shared" si="176"/>
        <v/>
      </c>
      <c r="N87" s="14" t="str">
        <f t="shared" si="176"/>
        <v/>
      </c>
      <c r="O87" s="14" t="str">
        <f t="shared" si="176"/>
        <v/>
      </c>
      <c r="P87" s="14" t="str">
        <f t="shared" si="6"/>
        <v/>
      </c>
      <c r="Q87" s="46" t="s">
        <v>394</v>
      </c>
      <c r="R87" s="14" t="str">
        <f t="shared" si="7"/>
        <v>UNDECIDED</v>
      </c>
      <c r="S87" s="14" t="str">
        <f>VLOOKUP($A87, Source!B:I, 8, FALSE)</f>
        <v>SDG 7</v>
      </c>
      <c r="T87" s="14" t="str">
        <f>VLOOKUP(A87,Source!B:H, 7, FALSE)</f>
        <v>medium</v>
      </c>
      <c r="U87" s="14" t="str">
        <f t="shared" si="8"/>
        <v>Unclear</v>
      </c>
    </row>
    <row r="88" ht="15.75" customHeight="1">
      <c r="A88" s="21" t="s">
        <v>147</v>
      </c>
      <c r="B88" s="44" t="s">
        <v>148</v>
      </c>
      <c r="C88" s="14" t="str">
        <f t="shared" ref="C88:H88" si="177">VLOOKUP($A88, INDIRECT(C$1&amp;"!B:D"), 3, FALSE)</f>
        <v>TO DO</v>
      </c>
      <c r="D88" s="14" t="str">
        <f t="shared" si="177"/>
        <v>NOT SDG 7</v>
      </c>
      <c r="E88" s="14" t="str">
        <f t="shared" si="177"/>
        <v>TO DO</v>
      </c>
      <c r="F88" s="14" t="str">
        <f t="shared" si="177"/>
        <v>NOT SDG 7</v>
      </c>
      <c r="G88" s="14" t="str">
        <f t="shared" si="177"/>
        <v>TO DO</v>
      </c>
      <c r="H88" s="14" t="str">
        <f t="shared" si="177"/>
        <v>NOT SDG 7</v>
      </c>
      <c r="I88" s="45">
        <f t="shared" si="4"/>
        <v>1</v>
      </c>
      <c r="J88" s="14" t="str">
        <f t="shared" ref="J88:O88" si="178">VLOOKUP($A88, INDIRECT(C$1&amp;"!B:E"), 4, FALSE)</f>
        <v/>
      </c>
      <c r="K88" s="14" t="str">
        <f t="shared" si="178"/>
        <v/>
      </c>
      <c r="L88" s="14" t="str">
        <f t="shared" si="178"/>
        <v/>
      </c>
      <c r="M88" s="14" t="str">
        <f t="shared" si="178"/>
        <v/>
      </c>
      <c r="N88" s="14" t="str">
        <f t="shared" si="178"/>
        <v/>
      </c>
      <c r="O88" s="14" t="str">
        <f t="shared" si="178"/>
        <v/>
      </c>
      <c r="P88" s="14" t="str">
        <f t="shared" si="6"/>
        <v/>
      </c>
      <c r="Q88" s="46" t="s">
        <v>394</v>
      </c>
      <c r="R88" s="14" t="str">
        <f t="shared" si="7"/>
        <v>NOT SDG 7</v>
      </c>
      <c r="S88" s="14" t="str">
        <f>VLOOKUP($A88, Source!B:I, 8, FALSE)</f>
        <v>NOT SDG 7</v>
      </c>
      <c r="T88" s="14" t="str">
        <f>VLOOKUP(A88,Source!B:H, 7, FALSE)</f>
        <v>very easy</v>
      </c>
      <c r="U88" s="14" t="str">
        <f t="shared" si="8"/>
        <v>Yes</v>
      </c>
    </row>
    <row r="89" ht="15.75" customHeight="1">
      <c r="A89" s="21" t="s">
        <v>141</v>
      </c>
      <c r="B89" s="44" t="s">
        <v>142</v>
      </c>
      <c r="C89" s="14" t="str">
        <f t="shared" ref="C89:H89" si="179">VLOOKUP($A89, INDIRECT(C$1&amp;"!B:D"), 3, FALSE)</f>
        <v>TO DO</v>
      </c>
      <c r="D89" s="14" t="str">
        <f t="shared" si="179"/>
        <v>SDG 7</v>
      </c>
      <c r="E89" s="14" t="str">
        <f t="shared" si="179"/>
        <v>TO DO</v>
      </c>
      <c r="F89" s="14" t="str">
        <f t="shared" si="179"/>
        <v>SDG 7</v>
      </c>
      <c r="G89" s="14" t="str">
        <f t="shared" si="179"/>
        <v>TO DO</v>
      </c>
      <c r="H89" s="14" t="str">
        <f t="shared" si="179"/>
        <v>SDG 7</v>
      </c>
      <c r="I89" s="45">
        <f t="shared" si="4"/>
        <v>1</v>
      </c>
      <c r="J89" s="14" t="str">
        <f t="shared" ref="J89:O89" si="180">VLOOKUP($A89, INDIRECT(C$1&amp;"!B:E"), 4, FALSE)</f>
        <v/>
      </c>
      <c r="K89" s="14" t="str">
        <f t="shared" si="180"/>
        <v/>
      </c>
      <c r="L89" s="14" t="str">
        <f t="shared" si="180"/>
        <v/>
      </c>
      <c r="M89" s="14" t="str">
        <f t="shared" si="180"/>
        <v/>
      </c>
      <c r="N89" s="14" t="str">
        <f t="shared" si="180"/>
        <v/>
      </c>
      <c r="O89" s="14" t="str">
        <f t="shared" si="180"/>
        <v/>
      </c>
      <c r="P89" s="14" t="str">
        <f t="shared" si="6"/>
        <v/>
      </c>
      <c r="Q89" s="46" t="s">
        <v>394</v>
      </c>
      <c r="R89" s="14" t="str">
        <f t="shared" si="7"/>
        <v>SDG 7</v>
      </c>
      <c r="S89" s="14" t="str">
        <f>VLOOKUP($A89, Source!B:I, 8, FALSE)</f>
        <v>SDG 7</v>
      </c>
      <c r="T89" s="14" t="str">
        <f>VLOOKUP(A89,Source!B:H, 7, FALSE)</f>
        <v>hard</v>
      </c>
      <c r="U89" s="14" t="str">
        <f t="shared" si="8"/>
        <v>Yes</v>
      </c>
    </row>
    <row r="90" ht="15.75" customHeight="1">
      <c r="A90" s="21" t="s">
        <v>316</v>
      </c>
      <c r="B90" s="44" t="s">
        <v>317</v>
      </c>
      <c r="C90" s="14" t="str">
        <f t="shared" ref="C90:H90" si="181">VLOOKUP($A90, INDIRECT(C$1&amp;"!B:D"), 3, FALSE)</f>
        <v>TO DO</v>
      </c>
      <c r="D90" s="14" t="str">
        <f t="shared" si="181"/>
        <v>SDG 7</v>
      </c>
      <c r="E90" s="14" t="str">
        <f t="shared" si="181"/>
        <v>TO DO</v>
      </c>
      <c r="F90" s="14" t="str">
        <f t="shared" si="181"/>
        <v>SDG 7</v>
      </c>
      <c r="G90" s="14" t="str">
        <f t="shared" si="181"/>
        <v>TO DO</v>
      </c>
      <c r="H90" s="14" t="str">
        <f t="shared" si="181"/>
        <v>NOT SDG 7</v>
      </c>
      <c r="I90" s="45">
        <f t="shared" si="4"/>
        <v>0.3333333333</v>
      </c>
      <c r="J90" s="14" t="str">
        <f t="shared" ref="J90:O90" si="182">VLOOKUP($A90, INDIRECT(C$1&amp;"!B:E"), 4, FALSE)</f>
        <v/>
      </c>
      <c r="K90" s="14" t="str">
        <f t="shared" si="182"/>
        <v/>
      </c>
      <c r="L90" s="14" t="str">
        <f t="shared" si="182"/>
        <v/>
      </c>
      <c r="M90" s="14" t="str">
        <f t="shared" si="182"/>
        <v/>
      </c>
      <c r="N90" s="14" t="str">
        <f t="shared" si="182"/>
        <v/>
      </c>
      <c r="O90" s="14" t="str">
        <f t="shared" si="182"/>
        <v/>
      </c>
      <c r="P90" s="14" t="str">
        <f t="shared" si="6"/>
        <v/>
      </c>
      <c r="Q90" s="46" t="s">
        <v>394</v>
      </c>
      <c r="R90" s="14" t="str">
        <f t="shared" si="7"/>
        <v>UNDECIDED</v>
      </c>
      <c r="S90" s="14" t="str">
        <f>VLOOKUP($A90, Source!B:I, 8, FALSE)</f>
        <v>SDG 7</v>
      </c>
      <c r="T90" s="14" t="str">
        <f>VLOOKUP(A90,Source!B:H, 7, FALSE)</f>
        <v>very hard</v>
      </c>
      <c r="U90" s="14" t="str">
        <f t="shared" si="8"/>
        <v>Unclear</v>
      </c>
    </row>
    <row r="91" ht="15.75" customHeight="1">
      <c r="A91" s="21" t="s">
        <v>306</v>
      </c>
      <c r="B91" s="44" t="s">
        <v>307</v>
      </c>
      <c r="C91" s="14" t="str">
        <f t="shared" ref="C91:H91" si="183">VLOOKUP($A91, INDIRECT(C$1&amp;"!B:D"), 3, FALSE)</f>
        <v>TO DO</v>
      </c>
      <c r="D91" s="14" t="str">
        <f t="shared" si="183"/>
        <v>SDG 7</v>
      </c>
      <c r="E91" s="14" t="str">
        <f t="shared" si="183"/>
        <v>TO DO</v>
      </c>
      <c r="F91" s="14" t="str">
        <f t="shared" si="183"/>
        <v>NOT SDG 7</v>
      </c>
      <c r="G91" s="14" t="str">
        <f t="shared" si="183"/>
        <v>TO DO</v>
      </c>
      <c r="H91" s="14" t="str">
        <f t="shared" si="183"/>
        <v>SDG 7</v>
      </c>
      <c r="I91" s="45">
        <f t="shared" si="4"/>
        <v>0.3333333333</v>
      </c>
      <c r="J91" s="14" t="str">
        <f t="shared" ref="J91:O91" si="184">VLOOKUP($A91, INDIRECT(C$1&amp;"!B:E"), 4, FALSE)</f>
        <v/>
      </c>
      <c r="K91" s="14" t="str">
        <f t="shared" si="184"/>
        <v/>
      </c>
      <c r="L91" s="14" t="str">
        <f t="shared" si="184"/>
        <v/>
      </c>
      <c r="M91" s="14" t="str">
        <f t="shared" si="184"/>
        <v/>
      </c>
      <c r="N91" s="14" t="str">
        <f t="shared" si="184"/>
        <v/>
      </c>
      <c r="O91" s="14" t="str">
        <f t="shared" si="184"/>
        <v/>
      </c>
      <c r="P91" s="14" t="str">
        <f t="shared" si="6"/>
        <v/>
      </c>
      <c r="Q91" s="46" t="s">
        <v>394</v>
      </c>
      <c r="R91" s="14" t="str">
        <f t="shared" si="7"/>
        <v>UNDECIDED</v>
      </c>
      <c r="S91" s="14" t="str">
        <f>VLOOKUP($A91, Source!B:I, 8, FALSE)</f>
        <v>SDG 7</v>
      </c>
      <c r="T91" s="14" t="str">
        <f>VLOOKUP(A91,Source!B:H, 7, FALSE)</f>
        <v>medium</v>
      </c>
      <c r="U91" s="14" t="str">
        <f t="shared" si="8"/>
        <v>Unclear</v>
      </c>
    </row>
    <row r="92" ht="15.75" customHeight="1">
      <c r="A92" s="21" t="s">
        <v>247</v>
      </c>
      <c r="B92" s="44" t="s">
        <v>248</v>
      </c>
      <c r="C92" s="14" t="str">
        <f t="shared" ref="C92:H92" si="185">VLOOKUP($A92, INDIRECT(C$1&amp;"!B:D"), 3, FALSE)</f>
        <v>TO DO</v>
      </c>
      <c r="D92" s="14" t="str">
        <f t="shared" si="185"/>
        <v>NOT SDG 7</v>
      </c>
      <c r="E92" s="14" t="str">
        <f t="shared" si="185"/>
        <v>TO DO</v>
      </c>
      <c r="F92" s="14" t="str">
        <f t="shared" si="185"/>
        <v>NOT SDG 7</v>
      </c>
      <c r="G92" s="14" t="str">
        <f t="shared" si="185"/>
        <v>TO DO</v>
      </c>
      <c r="H92" s="14" t="str">
        <f t="shared" si="185"/>
        <v>NOT SDG 7</v>
      </c>
      <c r="I92" s="45">
        <f t="shared" si="4"/>
        <v>1</v>
      </c>
      <c r="J92" s="14" t="str">
        <f t="shared" ref="J92:O92" si="186">VLOOKUP($A92, INDIRECT(C$1&amp;"!B:E"), 4, FALSE)</f>
        <v/>
      </c>
      <c r="K92" s="14" t="str">
        <f t="shared" si="186"/>
        <v/>
      </c>
      <c r="L92" s="14" t="str">
        <f t="shared" si="186"/>
        <v/>
      </c>
      <c r="M92" s="14" t="str">
        <f t="shared" si="186"/>
        <v/>
      </c>
      <c r="N92" s="14" t="str">
        <f t="shared" si="186"/>
        <v/>
      </c>
      <c r="O92" s="14" t="str">
        <f t="shared" si="186"/>
        <v/>
      </c>
      <c r="P92" s="14" t="str">
        <f t="shared" si="6"/>
        <v/>
      </c>
      <c r="Q92" s="46" t="s">
        <v>394</v>
      </c>
      <c r="R92" s="14" t="str">
        <f t="shared" si="7"/>
        <v>NOT SDG 7</v>
      </c>
      <c r="S92" s="14" t="str">
        <f>VLOOKUP($A92, Source!B:I, 8, FALSE)</f>
        <v>NOT SDG 7</v>
      </c>
      <c r="T92" s="14" t="str">
        <f>VLOOKUP(A92,Source!B:H, 7, FALSE)</f>
        <v>easy</v>
      </c>
      <c r="U92" s="14" t="str">
        <f t="shared" si="8"/>
        <v>Yes</v>
      </c>
    </row>
    <row r="93" ht="15.75" customHeight="1">
      <c r="A93" s="21" t="s">
        <v>329</v>
      </c>
      <c r="B93" s="44" t="s">
        <v>330</v>
      </c>
      <c r="C93" s="14" t="str">
        <f t="shared" ref="C93:H93" si="187">VLOOKUP($A93, INDIRECT(C$1&amp;"!B:D"), 3, FALSE)</f>
        <v>TO DO</v>
      </c>
      <c r="D93" s="14" t="str">
        <f t="shared" si="187"/>
        <v>SDG 7</v>
      </c>
      <c r="E93" s="14" t="str">
        <f t="shared" si="187"/>
        <v>TO DO</v>
      </c>
      <c r="F93" s="14" t="str">
        <f t="shared" si="187"/>
        <v>SDG 7</v>
      </c>
      <c r="G93" s="14" t="str">
        <f t="shared" si="187"/>
        <v>TO DO</v>
      </c>
      <c r="H93" s="14" t="str">
        <f t="shared" si="187"/>
        <v>SDG 7</v>
      </c>
      <c r="I93" s="45">
        <f t="shared" si="4"/>
        <v>1</v>
      </c>
      <c r="J93" s="14" t="str">
        <f t="shared" ref="J93:O93" si="188">VLOOKUP($A93, INDIRECT(C$1&amp;"!B:E"), 4, FALSE)</f>
        <v/>
      </c>
      <c r="K93" s="14" t="str">
        <f t="shared" si="188"/>
        <v/>
      </c>
      <c r="L93" s="14" t="str">
        <f t="shared" si="188"/>
        <v/>
      </c>
      <c r="M93" s="14" t="str">
        <f t="shared" si="188"/>
        <v/>
      </c>
      <c r="N93" s="14" t="str">
        <f t="shared" si="188"/>
        <v/>
      </c>
      <c r="O93" s="14" t="str">
        <f t="shared" si="188"/>
        <v/>
      </c>
      <c r="P93" s="14" t="str">
        <f t="shared" si="6"/>
        <v/>
      </c>
      <c r="Q93" s="46" t="s">
        <v>394</v>
      </c>
      <c r="R93" s="14" t="str">
        <f t="shared" si="7"/>
        <v>SDG 7</v>
      </c>
      <c r="S93" s="14" t="str">
        <f>VLOOKUP($A93, Source!B:I, 8, FALSE)</f>
        <v>SDG 7</v>
      </c>
      <c r="T93" s="14" t="str">
        <f>VLOOKUP(A93,Source!B:H, 7, FALSE)</f>
        <v>very hard</v>
      </c>
      <c r="U93" s="14" t="str">
        <f t="shared" si="8"/>
        <v>Yes</v>
      </c>
    </row>
    <row r="94" ht="15.75" customHeight="1">
      <c r="A94" s="21" t="s">
        <v>303</v>
      </c>
      <c r="B94" s="44" t="s">
        <v>304</v>
      </c>
      <c r="C94" s="14" t="str">
        <f t="shared" ref="C94:H94" si="189">VLOOKUP($A94, INDIRECT(C$1&amp;"!B:D"), 3, FALSE)</f>
        <v>TO DO</v>
      </c>
      <c r="D94" s="14" t="str">
        <f t="shared" si="189"/>
        <v>NOT SDG 7</v>
      </c>
      <c r="E94" s="14" t="str">
        <f t="shared" si="189"/>
        <v>TO DO</v>
      </c>
      <c r="F94" s="14" t="str">
        <f t="shared" si="189"/>
        <v>NOT SDG 7</v>
      </c>
      <c r="G94" s="14" t="str">
        <f t="shared" si="189"/>
        <v>TO DO</v>
      </c>
      <c r="H94" s="14" t="str">
        <f t="shared" si="189"/>
        <v>NOT SDG 7</v>
      </c>
      <c r="I94" s="45">
        <f t="shared" si="4"/>
        <v>1</v>
      </c>
      <c r="J94" s="14" t="str">
        <f t="shared" ref="J94:O94" si="190">VLOOKUP($A94, INDIRECT(C$1&amp;"!B:E"), 4, FALSE)</f>
        <v/>
      </c>
      <c r="K94" s="14" t="str">
        <f t="shared" si="190"/>
        <v/>
      </c>
      <c r="L94" s="14" t="str">
        <f t="shared" si="190"/>
        <v/>
      </c>
      <c r="M94" s="14" t="str">
        <f t="shared" si="190"/>
        <v/>
      </c>
      <c r="N94" s="14" t="str">
        <f t="shared" si="190"/>
        <v/>
      </c>
      <c r="O94" s="14" t="str">
        <f t="shared" si="190"/>
        <v/>
      </c>
      <c r="P94" s="14" t="str">
        <f t="shared" si="6"/>
        <v/>
      </c>
      <c r="Q94" s="46" t="s">
        <v>394</v>
      </c>
      <c r="R94" s="14" t="str">
        <f t="shared" si="7"/>
        <v>NOT SDG 7</v>
      </c>
      <c r="S94" s="14" t="str">
        <f>VLOOKUP($A94, Source!B:I, 8, FALSE)</f>
        <v>NOT SDG 7</v>
      </c>
      <c r="T94" s="14" t="str">
        <f>VLOOKUP(A94,Source!B:H, 7, FALSE)</f>
        <v>very easy</v>
      </c>
      <c r="U94" s="14" t="str">
        <f t="shared" si="8"/>
        <v>Yes</v>
      </c>
    </row>
    <row r="95" ht="15.75" customHeight="1">
      <c r="A95" s="21" t="s">
        <v>122</v>
      </c>
      <c r="B95" s="44" t="s">
        <v>123</v>
      </c>
      <c r="C95" s="14" t="str">
        <f t="shared" ref="C95:H95" si="191">VLOOKUP($A95, INDIRECT(C$1&amp;"!B:D"), 3, FALSE)</f>
        <v>TO DO</v>
      </c>
      <c r="D95" s="14" t="str">
        <f t="shared" si="191"/>
        <v>NOT SDG 7</v>
      </c>
      <c r="E95" s="14" t="str">
        <f t="shared" si="191"/>
        <v>TO DO</v>
      </c>
      <c r="F95" s="14" t="str">
        <f t="shared" si="191"/>
        <v>NOT SDG 7</v>
      </c>
      <c r="G95" s="14" t="str">
        <f t="shared" si="191"/>
        <v>TO DO</v>
      </c>
      <c r="H95" s="14" t="str">
        <f t="shared" si="191"/>
        <v>NOT SDG 7</v>
      </c>
      <c r="I95" s="45">
        <f t="shared" si="4"/>
        <v>1</v>
      </c>
      <c r="J95" s="14" t="str">
        <f t="shared" ref="J95:O95" si="192">VLOOKUP($A95, INDIRECT(C$1&amp;"!B:E"), 4, FALSE)</f>
        <v/>
      </c>
      <c r="K95" s="14" t="str">
        <f t="shared" si="192"/>
        <v/>
      </c>
      <c r="L95" s="14" t="str">
        <f t="shared" si="192"/>
        <v/>
      </c>
      <c r="M95" s="14" t="str">
        <f t="shared" si="192"/>
        <v/>
      </c>
      <c r="N95" s="14" t="str">
        <f t="shared" si="192"/>
        <v/>
      </c>
      <c r="O95" s="14" t="str">
        <f t="shared" si="192"/>
        <v/>
      </c>
      <c r="P95" s="14" t="str">
        <f t="shared" si="6"/>
        <v/>
      </c>
      <c r="Q95" s="46" t="s">
        <v>394</v>
      </c>
      <c r="R95" s="14" t="str">
        <f t="shared" si="7"/>
        <v>NOT SDG 7</v>
      </c>
      <c r="S95" s="14" t="str">
        <f>VLOOKUP($A95, Source!B:I, 8, FALSE)</f>
        <v>NOT SDG 7</v>
      </c>
      <c r="T95" s="14" t="str">
        <f>VLOOKUP(A95,Source!B:H, 7, FALSE)</f>
        <v>easy</v>
      </c>
      <c r="U95" s="14" t="str">
        <f t="shared" si="8"/>
        <v>Yes</v>
      </c>
    </row>
    <row r="96" ht="15.75" customHeight="1">
      <c r="A96" s="21" t="s">
        <v>235</v>
      </c>
      <c r="B96" s="44" t="s">
        <v>236</v>
      </c>
      <c r="C96" s="14" t="str">
        <f t="shared" ref="C96:H96" si="193">VLOOKUP($A96, INDIRECT(C$1&amp;"!B:D"), 3, FALSE)</f>
        <v>TO DO</v>
      </c>
      <c r="D96" s="14" t="str">
        <f t="shared" si="193"/>
        <v>SDG 7</v>
      </c>
      <c r="E96" s="14" t="str">
        <f t="shared" si="193"/>
        <v>SDG 7</v>
      </c>
      <c r="F96" s="14" t="str">
        <f t="shared" si="193"/>
        <v>SDG 7</v>
      </c>
      <c r="G96" s="14" t="str">
        <f t="shared" si="193"/>
        <v>TO DO</v>
      </c>
      <c r="H96" s="14" t="str">
        <f t="shared" si="193"/>
        <v>SDG 7</v>
      </c>
      <c r="I96" s="45">
        <f t="shared" si="4"/>
        <v>1</v>
      </c>
      <c r="J96" s="14" t="str">
        <f t="shared" ref="J96:O96" si="194">VLOOKUP($A96, INDIRECT(C$1&amp;"!B:E"), 4, FALSE)</f>
        <v/>
      </c>
      <c r="K96" s="14" t="str">
        <f t="shared" si="194"/>
        <v/>
      </c>
      <c r="L96" s="14" t="str">
        <f t="shared" si="194"/>
        <v/>
      </c>
      <c r="M96" s="14" t="str">
        <f t="shared" si="194"/>
        <v/>
      </c>
      <c r="N96" s="14" t="str">
        <f t="shared" si="194"/>
        <v/>
      </c>
      <c r="O96" s="14" t="str">
        <f t="shared" si="194"/>
        <v/>
      </c>
      <c r="P96" s="14" t="str">
        <f t="shared" si="6"/>
        <v/>
      </c>
      <c r="Q96" s="46" t="s">
        <v>394</v>
      </c>
      <c r="R96" s="14" t="str">
        <f t="shared" si="7"/>
        <v>SDG 7</v>
      </c>
      <c r="S96" s="14" t="str">
        <f>VLOOKUP($A96, Source!B:I, 8, FALSE)</f>
        <v>SDG 7</v>
      </c>
      <c r="T96" s="14" t="str">
        <f>VLOOKUP(A96,Source!B:H, 7, FALSE)</f>
        <v>very easy</v>
      </c>
      <c r="U96" s="14" t="str">
        <f t="shared" si="8"/>
        <v>Yes</v>
      </c>
    </row>
    <row r="97" ht="15.75" customHeight="1">
      <c r="A97" s="21" t="s">
        <v>230</v>
      </c>
      <c r="B97" s="44" t="s">
        <v>231</v>
      </c>
      <c r="C97" s="14" t="str">
        <f t="shared" ref="C97:H97" si="195">VLOOKUP($A97, INDIRECT(C$1&amp;"!B:D"), 3, FALSE)</f>
        <v>TO DO</v>
      </c>
      <c r="D97" s="14" t="str">
        <f t="shared" si="195"/>
        <v>NOT SDG 7</v>
      </c>
      <c r="E97" s="14" t="str">
        <f t="shared" si="195"/>
        <v>TO DO</v>
      </c>
      <c r="F97" s="14" t="str">
        <f t="shared" si="195"/>
        <v>NOT SDG 7</v>
      </c>
      <c r="G97" s="14" t="str">
        <f t="shared" si="195"/>
        <v>TO DO</v>
      </c>
      <c r="H97" s="14" t="str">
        <f t="shared" si="195"/>
        <v>NOT SDG 7</v>
      </c>
      <c r="I97" s="45">
        <f t="shared" si="4"/>
        <v>1</v>
      </c>
      <c r="J97" s="14" t="str">
        <f t="shared" ref="J97:O97" si="196">VLOOKUP($A97, INDIRECT(C$1&amp;"!B:E"), 4, FALSE)</f>
        <v/>
      </c>
      <c r="K97" s="14" t="str">
        <f t="shared" si="196"/>
        <v/>
      </c>
      <c r="L97" s="14" t="str">
        <f t="shared" si="196"/>
        <v/>
      </c>
      <c r="M97" s="14" t="str">
        <f t="shared" si="196"/>
        <v/>
      </c>
      <c r="N97" s="14" t="str">
        <f t="shared" si="196"/>
        <v/>
      </c>
      <c r="O97" s="14" t="str">
        <f t="shared" si="196"/>
        <v/>
      </c>
      <c r="P97" s="14" t="str">
        <f t="shared" si="6"/>
        <v/>
      </c>
      <c r="Q97" s="46" t="s">
        <v>394</v>
      </c>
      <c r="R97" s="14" t="str">
        <f t="shared" si="7"/>
        <v>NOT SDG 7</v>
      </c>
      <c r="S97" s="14" t="str">
        <f>VLOOKUP($A97, Source!B:I, 8, FALSE)</f>
        <v>SDG 7</v>
      </c>
      <c r="T97" s="14" t="str">
        <f>VLOOKUP(A97,Source!B:H, 7, FALSE)</f>
        <v>hard</v>
      </c>
      <c r="U97" s="14" t="str">
        <f t="shared" si="8"/>
        <v>No</v>
      </c>
    </row>
    <row r="98" ht="15.75" customHeight="1">
      <c r="A98" s="21" t="s">
        <v>120</v>
      </c>
      <c r="B98" s="44" t="s">
        <v>121</v>
      </c>
      <c r="C98" s="14" t="str">
        <f t="shared" ref="C98:H98" si="197">VLOOKUP($A98, INDIRECT(C$1&amp;"!B:D"), 3, FALSE)</f>
        <v>TO DO</v>
      </c>
      <c r="D98" s="14" t="str">
        <f t="shared" si="197"/>
        <v>SDG 7</v>
      </c>
      <c r="E98" s="14" t="str">
        <f t="shared" si="197"/>
        <v>TO DO</v>
      </c>
      <c r="F98" s="14" t="str">
        <f t="shared" si="197"/>
        <v>SDG 7</v>
      </c>
      <c r="G98" s="14" t="str">
        <f t="shared" si="197"/>
        <v>TO DO</v>
      </c>
      <c r="H98" s="14" t="str">
        <f t="shared" si="197"/>
        <v>SDG 7</v>
      </c>
      <c r="I98" s="45">
        <f t="shared" si="4"/>
        <v>1</v>
      </c>
      <c r="J98" s="14" t="str">
        <f t="shared" ref="J98:O98" si="198">VLOOKUP($A98, INDIRECT(C$1&amp;"!B:E"), 4, FALSE)</f>
        <v/>
      </c>
      <c r="K98" s="14" t="str">
        <f t="shared" si="198"/>
        <v/>
      </c>
      <c r="L98" s="14" t="str">
        <f t="shared" si="198"/>
        <v/>
      </c>
      <c r="M98" s="14" t="str">
        <f t="shared" si="198"/>
        <v/>
      </c>
      <c r="N98" s="14" t="str">
        <f t="shared" si="198"/>
        <v/>
      </c>
      <c r="O98" s="14" t="str">
        <f t="shared" si="198"/>
        <v/>
      </c>
      <c r="P98" s="14" t="str">
        <f t="shared" si="6"/>
        <v/>
      </c>
      <c r="Q98" s="46" t="s">
        <v>394</v>
      </c>
      <c r="R98" s="14" t="str">
        <f t="shared" si="7"/>
        <v>SDG 7</v>
      </c>
      <c r="S98" s="14" t="str">
        <f>VLOOKUP($A98, Source!B:I, 8, FALSE)</f>
        <v>SDG 7</v>
      </c>
      <c r="T98" s="14" t="str">
        <f>VLOOKUP(A98,Source!B:H, 7, FALSE)</f>
        <v>easy</v>
      </c>
      <c r="U98" s="14" t="str">
        <f t="shared" si="8"/>
        <v>Yes</v>
      </c>
    </row>
    <row r="99" ht="15.75" customHeight="1">
      <c r="A99" s="21" t="s">
        <v>274</v>
      </c>
      <c r="B99" s="44" t="s">
        <v>275</v>
      </c>
      <c r="C99" s="14" t="str">
        <f t="shared" ref="C99:H99" si="199">VLOOKUP($A99, INDIRECT(C$1&amp;"!B:D"), 3, FALSE)</f>
        <v>TO DO</v>
      </c>
      <c r="D99" s="14" t="str">
        <f t="shared" si="199"/>
        <v>NOT SDG 7</v>
      </c>
      <c r="E99" s="14" t="str">
        <f t="shared" si="199"/>
        <v>TO DO</v>
      </c>
      <c r="F99" s="14" t="str">
        <f t="shared" si="199"/>
        <v>NOT SDG 7</v>
      </c>
      <c r="G99" s="14" t="str">
        <f t="shared" si="199"/>
        <v>TO DO</v>
      </c>
      <c r="H99" s="14" t="str">
        <f t="shared" si="199"/>
        <v>NOT SDG 7</v>
      </c>
      <c r="I99" s="45">
        <f t="shared" si="4"/>
        <v>1</v>
      </c>
      <c r="J99" s="14" t="str">
        <f t="shared" ref="J99:O99" si="200">VLOOKUP($A99, INDIRECT(C$1&amp;"!B:E"), 4, FALSE)</f>
        <v/>
      </c>
      <c r="K99" s="14" t="str">
        <f t="shared" si="200"/>
        <v/>
      </c>
      <c r="L99" s="14" t="str">
        <f t="shared" si="200"/>
        <v/>
      </c>
      <c r="M99" s="14" t="str">
        <f t="shared" si="200"/>
        <v/>
      </c>
      <c r="N99" s="14" t="str">
        <f t="shared" si="200"/>
        <v/>
      </c>
      <c r="O99" s="14" t="str">
        <f t="shared" si="200"/>
        <v/>
      </c>
      <c r="P99" s="14" t="str">
        <f t="shared" si="6"/>
        <v/>
      </c>
      <c r="Q99" s="46" t="s">
        <v>394</v>
      </c>
      <c r="R99" s="14" t="str">
        <f t="shared" si="7"/>
        <v>NOT SDG 7</v>
      </c>
      <c r="S99" s="14" t="str">
        <f>VLOOKUP($A99, Source!B:I, 8, FALSE)</f>
        <v>NOT SDG 7</v>
      </c>
      <c r="T99" s="14" t="str">
        <f>VLOOKUP(A99,Source!B:H, 7, FALSE)</f>
        <v>easy</v>
      </c>
      <c r="U99" s="14" t="str">
        <f t="shared" si="8"/>
        <v>Yes</v>
      </c>
    </row>
    <row r="100" ht="15.75" customHeight="1">
      <c r="A100" s="21" t="s">
        <v>277</v>
      </c>
      <c r="B100" s="44" t="s">
        <v>278</v>
      </c>
      <c r="C100" s="14" t="str">
        <f t="shared" ref="C100:H100" si="201">VLOOKUP($A100, INDIRECT(C$1&amp;"!B:D"), 3, FALSE)</f>
        <v>TO DO</v>
      </c>
      <c r="D100" s="14" t="str">
        <f t="shared" si="201"/>
        <v>SDG 7</v>
      </c>
      <c r="E100" s="14" t="str">
        <f t="shared" si="201"/>
        <v>TO DO</v>
      </c>
      <c r="F100" s="14" t="str">
        <f t="shared" si="201"/>
        <v>SDG 7</v>
      </c>
      <c r="G100" s="14" t="str">
        <f t="shared" si="201"/>
        <v>TO DO</v>
      </c>
      <c r="H100" s="14" t="str">
        <f t="shared" si="201"/>
        <v>SDG 7</v>
      </c>
      <c r="I100" s="45">
        <f t="shared" si="4"/>
        <v>1</v>
      </c>
      <c r="J100" s="14" t="str">
        <f t="shared" ref="J100:O100" si="202">VLOOKUP($A100, INDIRECT(C$1&amp;"!B:E"), 4, FALSE)</f>
        <v/>
      </c>
      <c r="K100" s="14" t="str">
        <f t="shared" si="202"/>
        <v/>
      </c>
      <c r="L100" s="14" t="str">
        <f t="shared" si="202"/>
        <v/>
      </c>
      <c r="M100" s="14" t="str">
        <f t="shared" si="202"/>
        <v/>
      </c>
      <c r="N100" s="14" t="str">
        <f t="shared" si="202"/>
        <v/>
      </c>
      <c r="O100" s="14" t="str">
        <f t="shared" si="202"/>
        <v/>
      </c>
      <c r="P100" s="14" t="str">
        <f t="shared" si="6"/>
        <v/>
      </c>
      <c r="Q100" s="46" t="s">
        <v>394</v>
      </c>
      <c r="R100" s="14" t="str">
        <f t="shared" si="7"/>
        <v>SDG 7</v>
      </c>
      <c r="S100" s="14" t="str">
        <f>VLOOKUP($A100, Source!B:I, 8, FALSE)</f>
        <v>SDG 7</v>
      </c>
      <c r="T100" s="14" t="str">
        <f>VLOOKUP(A100,Source!B:H, 7, FALSE)</f>
        <v>easy</v>
      </c>
      <c r="U100" s="14" t="str">
        <f t="shared" si="8"/>
        <v>Yes</v>
      </c>
    </row>
    <row r="101" ht="15.75" customHeight="1">
      <c r="A101" s="21" t="s">
        <v>172</v>
      </c>
      <c r="B101" s="44" t="s">
        <v>173</v>
      </c>
      <c r="C101" s="14" t="str">
        <f t="shared" ref="C101:H101" si="203">VLOOKUP($A101, INDIRECT(C$1&amp;"!B:D"), 3, FALSE)</f>
        <v>TO DO</v>
      </c>
      <c r="D101" s="14" t="str">
        <f t="shared" si="203"/>
        <v>SDG 7</v>
      </c>
      <c r="E101" s="14" t="str">
        <f t="shared" si="203"/>
        <v>TO DO</v>
      </c>
      <c r="F101" s="14" t="str">
        <f t="shared" si="203"/>
        <v>SDG 7</v>
      </c>
      <c r="G101" s="14" t="str">
        <f t="shared" si="203"/>
        <v>TO DO</v>
      </c>
      <c r="H101" s="14" t="str">
        <f t="shared" si="203"/>
        <v>SDG 7</v>
      </c>
      <c r="I101" s="45">
        <f t="shared" si="4"/>
        <v>1</v>
      </c>
      <c r="J101" s="14" t="str">
        <f t="shared" ref="J101:O101" si="204">VLOOKUP($A101, INDIRECT(C$1&amp;"!B:E"), 4, FALSE)</f>
        <v/>
      </c>
      <c r="K101" s="14" t="str">
        <f t="shared" si="204"/>
        <v/>
      </c>
      <c r="L101" s="14" t="str">
        <f t="shared" si="204"/>
        <v/>
      </c>
      <c r="M101" s="14" t="str">
        <f t="shared" si="204"/>
        <v/>
      </c>
      <c r="N101" s="14" t="str">
        <f t="shared" si="204"/>
        <v/>
      </c>
      <c r="O101" s="14" t="str">
        <f t="shared" si="204"/>
        <v/>
      </c>
      <c r="P101" s="14" t="str">
        <f t="shared" si="6"/>
        <v/>
      </c>
      <c r="Q101" s="46" t="s">
        <v>394</v>
      </c>
      <c r="R101" s="14" t="str">
        <f t="shared" si="7"/>
        <v>SDG 7</v>
      </c>
      <c r="S101" s="14" t="str">
        <f>VLOOKUP($A101, Source!B:I, 8, FALSE)</f>
        <v>SDG 7</v>
      </c>
      <c r="T101" s="14" t="str">
        <f>VLOOKUP(A101,Source!B:H, 7, FALSE)</f>
        <v>very easy</v>
      </c>
      <c r="U101" s="14" t="str">
        <f t="shared" si="8"/>
        <v>Yes</v>
      </c>
    </row>
    <row r="102">
      <c r="B102" s="47"/>
      <c r="I102" s="34"/>
      <c r="Q102" s="46"/>
    </row>
    <row r="103">
      <c r="B103" s="47"/>
      <c r="I103" s="34"/>
      <c r="Q103" s="46"/>
    </row>
    <row r="104">
      <c r="B104" s="47"/>
      <c r="I104" s="34"/>
      <c r="Q104" s="46"/>
    </row>
    <row r="105">
      <c r="B105" s="47"/>
      <c r="I105" s="34"/>
      <c r="Q105" s="46"/>
    </row>
    <row r="106">
      <c r="B106" s="47"/>
      <c r="I106" s="34"/>
      <c r="Q106" s="46"/>
    </row>
    <row r="107">
      <c r="B107" s="47"/>
      <c r="I107" s="34"/>
      <c r="Q107" s="46"/>
    </row>
    <row r="108">
      <c r="B108" s="47"/>
      <c r="I108" s="34"/>
      <c r="Q108" s="46"/>
    </row>
    <row r="109">
      <c r="B109" s="47"/>
      <c r="I109" s="34"/>
      <c r="Q109" s="46"/>
    </row>
    <row r="110">
      <c r="B110" s="47"/>
      <c r="I110" s="34"/>
      <c r="Q110" s="46"/>
    </row>
    <row r="111">
      <c r="B111" s="47"/>
      <c r="I111" s="34"/>
      <c r="Q111" s="46"/>
    </row>
    <row r="112">
      <c r="B112" s="47"/>
      <c r="I112" s="34"/>
      <c r="Q112" s="46"/>
    </row>
    <row r="113">
      <c r="B113" s="47"/>
      <c r="I113" s="34"/>
      <c r="Q113" s="46"/>
    </row>
    <row r="114">
      <c r="B114" s="47"/>
      <c r="I114" s="34"/>
      <c r="Q114" s="46"/>
    </row>
    <row r="115">
      <c r="B115" s="47"/>
      <c r="I115" s="34"/>
      <c r="Q115" s="46"/>
    </row>
    <row r="116">
      <c r="B116" s="47"/>
      <c r="I116" s="34"/>
      <c r="Q116" s="46"/>
    </row>
    <row r="117">
      <c r="B117" s="47"/>
      <c r="I117" s="34"/>
      <c r="Q117" s="46"/>
    </row>
    <row r="118">
      <c r="B118" s="47"/>
      <c r="I118" s="34"/>
      <c r="Q118" s="46"/>
    </row>
    <row r="119">
      <c r="B119" s="47"/>
      <c r="I119" s="34"/>
      <c r="Q119" s="46"/>
    </row>
    <row r="120">
      <c r="B120" s="47"/>
      <c r="I120" s="34"/>
      <c r="Q120" s="46"/>
    </row>
    <row r="121">
      <c r="B121" s="47"/>
      <c r="I121" s="34"/>
      <c r="Q121" s="46"/>
    </row>
    <row r="122">
      <c r="B122" s="47"/>
      <c r="I122" s="34"/>
      <c r="Q122" s="46"/>
    </row>
    <row r="123">
      <c r="B123" s="47"/>
      <c r="I123" s="34"/>
      <c r="Q123" s="46"/>
    </row>
    <row r="124">
      <c r="B124" s="47"/>
      <c r="I124" s="34"/>
      <c r="Q124" s="46"/>
    </row>
    <row r="125">
      <c r="B125" s="47"/>
      <c r="I125" s="34"/>
      <c r="Q125" s="46"/>
    </row>
    <row r="126">
      <c r="B126" s="47"/>
      <c r="I126" s="34"/>
      <c r="Q126" s="46"/>
    </row>
    <row r="127">
      <c r="B127" s="47"/>
      <c r="I127" s="34"/>
      <c r="Q127" s="46"/>
    </row>
    <row r="128">
      <c r="B128" s="47"/>
      <c r="I128" s="34"/>
      <c r="Q128" s="46"/>
    </row>
    <row r="129">
      <c r="B129" s="47"/>
      <c r="I129" s="34"/>
      <c r="Q129" s="46"/>
    </row>
    <row r="130">
      <c r="B130" s="47"/>
      <c r="I130" s="34"/>
      <c r="Q130" s="46"/>
    </row>
    <row r="131">
      <c r="B131" s="47"/>
      <c r="I131" s="34"/>
      <c r="Q131" s="46"/>
    </row>
    <row r="132">
      <c r="B132" s="47"/>
      <c r="I132" s="34"/>
      <c r="Q132" s="46"/>
    </row>
    <row r="133">
      <c r="B133" s="47"/>
      <c r="I133" s="34"/>
      <c r="Q133" s="46"/>
    </row>
    <row r="134">
      <c r="B134" s="47"/>
      <c r="I134" s="34"/>
      <c r="Q134" s="46"/>
    </row>
    <row r="135">
      <c r="B135" s="47"/>
      <c r="I135" s="34"/>
      <c r="Q135" s="46"/>
    </row>
    <row r="136">
      <c r="B136" s="47"/>
      <c r="I136" s="34"/>
      <c r="Q136" s="46"/>
    </row>
    <row r="137">
      <c r="B137" s="47"/>
      <c r="I137" s="34"/>
      <c r="Q137" s="46"/>
    </row>
    <row r="138">
      <c r="B138" s="47"/>
      <c r="I138" s="34"/>
      <c r="Q138" s="46"/>
    </row>
    <row r="139">
      <c r="B139" s="47"/>
      <c r="I139" s="34"/>
      <c r="Q139" s="46"/>
    </row>
    <row r="140">
      <c r="B140" s="47"/>
      <c r="I140" s="34"/>
      <c r="Q140" s="46"/>
    </row>
    <row r="141">
      <c r="B141" s="47"/>
      <c r="I141" s="34"/>
      <c r="Q141" s="46"/>
    </row>
    <row r="142">
      <c r="B142" s="47"/>
      <c r="I142" s="34"/>
      <c r="Q142" s="46"/>
    </row>
    <row r="143">
      <c r="B143" s="47"/>
      <c r="I143" s="34"/>
      <c r="Q143" s="46"/>
    </row>
    <row r="144">
      <c r="B144" s="47"/>
      <c r="I144" s="34"/>
      <c r="Q144" s="46"/>
    </row>
    <row r="145">
      <c r="B145" s="47"/>
      <c r="I145" s="34"/>
      <c r="Q145" s="46"/>
    </row>
    <row r="146">
      <c r="B146" s="47"/>
      <c r="I146" s="34"/>
      <c r="Q146" s="46"/>
    </row>
    <row r="147">
      <c r="B147" s="47"/>
      <c r="I147" s="34"/>
      <c r="Q147" s="46"/>
    </row>
    <row r="148">
      <c r="B148" s="47"/>
      <c r="I148" s="34"/>
      <c r="Q148" s="46"/>
    </row>
    <row r="149">
      <c r="B149" s="47"/>
      <c r="I149" s="34"/>
      <c r="Q149" s="46"/>
    </row>
    <row r="150">
      <c r="B150" s="47"/>
      <c r="I150" s="34"/>
      <c r="Q150" s="46"/>
    </row>
    <row r="151">
      <c r="B151" s="47"/>
      <c r="I151" s="34"/>
      <c r="Q151" s="46"/>
    </row>
    <row r="152">
      <c r="B152" s="47"/>
      <c r="I152" s="34"/>
      <c r="Q152" s="46"/>
    </row>
    <row r="153">
      <c r="B153" s="47"/>
      <c r="I153" s="34"/>
      <c r="Q153" s="46"/>
    </row>
    <row r="154">
      <c r="B154" s="47"/>
      <c r="I154" s="34"/>
      <c r="Q154" s="46"/>
    </row>
    <row r="155">
      <c r="B155" s="47"/>
      <c r="I155" s="34"/>
      <c r="Q155" s="46"/>
    </row>
    <row r="156">
      <c r="B156" s="47"/>
      <c r="I156" s="34"/>
      <c r="Q156" s="46"/>
    </row>
    <row r="157">
      <c r="B157" s="47"/>
      <c r="I157" s="34"/>
      <c r="Q157" s="46"/>
    </row>
    <row r="158">
      <c r="B158" s="47"/>
      <c r="I158" s="34"/>
      <c r="Q158" s="46"/>
    </row>
    <row r="159">
      <c r="B159" s="47"/>
      <c r="I159" s="34"/>
      <c r="Q159" s="46"/>
    </row>
    <row r="160">
      <c r="B160" s="47"/>
      <c r="I160" s="34"/>
      <c r="Q160" s="46"/>
    </row>
    <row r="161">
      <c r="B161" s="47"/>
      <c r="I161" s="34"/>
      <c r="Q161" s="46"/>
    </row>
    <row r="162">
      <c r="B162" s="47"/>
      <c r="I162" s="34"/>
      <c r="Q162" s="46"/>
    </row>
    <row r="163">
      <c r="B163" s="47"/>
      <c r="I163" s="34"/>
      <c r="Q163" s="46"/>
    </row>
    <row r="164">
      <c r="B164" s="47"/>
      <c r="I164" s="34"/>
      <c r="Q164" s="46"/>
    </row>
    <row r="165">
      <c r="B165" s="47"/>
      <c r="I165" s="34"/>
      <c r="Q165" s="46"/>
    </row>
    <row r="166">
      <c r="B166" s="47"/>
      <c r="I166" s="34"/>
      <c r="Q166" s="46"/>
    </row>
    <row r="167">
      <c r="B167" s="47"/>
      <c r="I167" s="34"/>
      <c r="Q167" s="46"/>
    </row>
    <row r="168">
      <c r="B168" s="47"/>
      <c r="I168" s="34"/>
      <c r="Q168" s="46"/>
    </row>
    <row r="169">
      <c r="B169" s="47"/>
      <c r="I169" s="34"/>
      <c r="Q169" s="46"/>
    </row>
    <row r="170">
      <c r="B170" s="47"/>
      <c r="I170" s="34"/>
      <c r="Q170" s="46"/>
    </row>
    <row r="171">
      <c r="B171" s="47"/>
      <c r="I171" s="34"/>
      <c r="Q171" s="46"/>
    </row>
    <row r="172">
      <c r="B172" s="47"/>
      <c r="I172" s="34"/>
      <c r="Q172" s="46"/>
    </row>
    <row r="173">
      <c r="B173" s="47"/>
      <c r="I173" s="34"/>
      <c r="Q173" s="46"/>
    </row>
    <row r="174">
      <c r="B174" s="47"/>
      <c r="I174" s="34"/>
      <c r="Q174" s="46"/>
    </row>
    <row r="175">
      <c r="B175" s="47"/>
      <c r="I175" s="34"/>
      <c r="Q175" s="46"/>
    </row>
    <row r="176">
      <c r="B176" s="47"/>
      <c r="I176" s="34"/>
      <c r="Q176" s="46"/>
    </row>
    <row r="177">
      <c r="B177" s="47"/>
      <c r="I177" s="34"/>
      <c r="Q177" s="46"/>
    </row>
    <row r="178">
      <c r="B178" s="47"/>
      <c r="I178" s="34"/>
      <c r="Q178" s="46"/>
    </row>
    <row r="179">
      <c r="B179" s="47"/>
      <c r="I179" s="34"/>
      <c r="Q179" s="46"/>
    </row>
    <row r="180">
      <c r="B180" s="47"/>
      <c r="I180" s="34"/>
      <c r="Q180" s="46"/>
    </row>
    <row r="181">
      <c r="B181" s="47"/>
      <c r="I181" s="34"/>
      <c r="Q181" s="46"/>
    </row>
    <row r="182">
      <c r="B182" s="47"/>
      <c r="I182" s="34"/>
      <c r="Q182" s="46"/>
    </row>
    <row r="183">
      <c r="B183" s="47"/>
      <c r="I183" s="34"/>
      <c r="Q183" s="46"/>
    </row>
    <row r="184">
      <c r="B184" s="47"/>
      <c r="I184" s="34"/>
      <c r="Q184" s="46"/>
    </row>
    <row r="185">
      <c r="B185" s="47"/>
      <c r="I185" s="34"/>
      <c r="Q185" s="46"/>
    </row>
    <row r="186">
      <c r="B186" s="47"/>
      <c r="I186" s="34"/>
      <c r="Q186" s="46"/>
    </row>
    <row r="187">
      <c r="B187" s="47"/>
      <c r="I187" s="34"/>
      <c r="Q187" s="46"/>
    </row>
    <row r="188">
      <c r="B188" s="47"/>
      <c r="I188" s="34"/>
      <c r="Q188" s="46"/>
    </row>
    <row r="189">
      <c r="B189" s="47"/>
      <c r="I189" s="34"/>
      <c r="Q189" s="46"/>
    </row>
    <row r="190">
      <c r="B190" s="47"/>
      <c r="I190" s="34"/>
      <c r="Q190" s="46"/>
    </row>
    <row r="191">
      <c r="B191" s="47"/>
      <c r="I191" s="34"/>
      <c r="Q191" s="46"/>
    </row>
    <row r="192">
      <c r="B192" s="47"/>
      <c r="I192" s="34"/>
      <c r="Q192" s="46"/>
    </row>
    <row r="193">
      <c r="B193" s="47"/>
      <c r="I193" s="34"/>
      <c r="Q193" s="46"/>
    </row>
    <row r="194">
      <c r="B194" s="47"/>
      <c r="I194" s="34"/>
      <c r="Q194" s="46"/>
    </row>
    <row r="195">
      <c r="B195" s="47"/>
      <c r="I195" s="34"/>
      <c r="Q195" s="46"/>
    </row>
    <row r="196">
      <c r="B196" s="47"/>
      <c r="I196" s="34"/>
      <c r="Q196" s="46"/>
    </row>
    <row r="197">
      <c r="B197" s="47"/>
      <c r="I197" s="34"/>
      <c r="Q197" s="46"/>
    </row>
    <row r="198">
      <c r="B198" s="47"/>
      <c r="I198" s="34"/>
      <c r="Q198" s="46"/>
    </row>
    <row r="199">
      <c r="B199" s="47"/>
      <c r="I199" s="34"/>
      <c r="Q199" s="46"/>
    </row>
    <row r="200">
      <c r="B200" s="47"/>
      <c r="I200" s="34"/>
      <c r="Q200" s="46"/>
    </row>
    <row r="201">
      <c r="B201" s="47"/>
      <c r="I201" s="34"/>
      <c r="Q201" s="46"/>
    </row>
    <row r="202">
      <c r="B202" s="47"/>
      <c r="I202" s="34"/>
      <c r="Q202" s="46"/>
    </row>
    <row r="203">
      <c r="B203" s="47"/>
      <c r="I203" s="34"/>
      <c r="Q203" s="46"/>
    </row>
    <row r="204">
      <c r="B204" s="47"/>
      <c r="I204" s="34"/>
      <c r="Q204" s="46"/>
    </row>
    <row r="205">
      <c r="B205" s="47"/>
      <c r="I205" s="34"/>
      <c r="Q205" s="46"/>
    </row>
    <row r="206">
      <c r="B206" s="47"/>
      <c r="I206" s="34"/>
      <c r="Q206" s="46"/>
    </row>
    <row r="207">
      <c r="B207" s="47"/>
      <c r="I207" s="34"/>
      <c r="Q207" s="46"/>
    </row>
    <row r="208">
      <c r="B208" s="47"/>
      <c r="I208" s="34"/>
      <c r="Q208" s="46"/>
    </row>
    <row r="209">
      <c r="B209" s="47"/>
      <c r="I209" s="34"/>
      <c r="Q209" s="46"/>
    </row>
    <row r="210">
      <c r="B210" s="47"/>
      <c r="I210" s="34"/>
      <c r="Q210" s="46"/>
    </row>
    <row r="211">
      <c r="B211" s="47"/>
      <c r="I211" s="34"/>
      <c r="Q211" s="46"/>
    </row>
    <row r="212">
      <c r="B212" s="47"/>
      <c r="I212" s="34"/>
      <c r="Q212" s="46"/>
    </row>
    <row r="213">
      <c r="B213" s="47"/>
      <c r="I213" s="34"/>
      <c r="Q213" s="46"/>
    </row>
    <row r="214">
      <c r="B214" s="47"/>
      <c r="I214" s="34"/>
      <c r="Q214" s="46"/>
    </row>
    <row r="215">
      <c r="B215" s="47"/>
      <c r="I215" s="34"/>
      <c r="Q215" s="46"/>
    </row>
    <row r="216">
      <c r="B216" s="47"/>
      <c r="I216" s="34"/>
      <c r="Q216" s="46"/>
    </row>
    <row r="217">
      <c r="B217" s="47"/>
      <c r="I217" s="34"/>
      <c r="Q217" s="46"/>
    </row>
    <row r="218">
      <c r="B218" s="47"/>
      <c r="I218" s="34"/>
      <c r="Q218" s="46"/>
    </row>
    <row r="219">
      <c r="B219" s="47"/>
      <c r="I219" s="34"/>
      <c r="Q219" s="46"/>
    </row>
    <row r="220">
      <c r="B220" s="47"/>
      <c r="I220" s="34"/>
      <c r="Q220" s="46"/>
    </row>
    <row r="221">
      <c r="B221" s="47"/>
      <c r="I221" s="34"/>
      <c r="Q221" s="46"/>
    </row>
    <row r="222">
      <c r="B222" s="47"/>
      <c r="I222" s="34"/>
      <c r="Q222" s="46"/>
    </row>
    <row r="223">
      <c r="B223" s="47"/>
      <c r="I223" s="34"/>
      <c r="Q223" s="46"/>
    </row>
    <row r="224">
      <c r="B224" s="47"/>
      <c r="I224" s="34"/>
      <c r="Q224" s="46"/>
    </row>
    <row r="225">
      <c r="B225" s="47"/>
      <c r="I225" s="34"/>
      <c r="Q225" s="46"/>
    </row>
    <row r="226">
      <c r="B226" s="47"/>
      <c r="I226" s="34"/>
      <c r="Q226" s="46"/>
    </row>
    <row r="227">
      <c r="B227" s="47"/>
      <c r="I227" s="34"/>
      <c r="Q227" s="46"/>
    </row>
    <row r="228">
      <c r="B228" s="47"/>
      <c r="I228" s="34"/>
      <c r="Q228" s="46"/>
    </row>
    <row r="229">
      <c r="B229" s="47"/>
      <c r="I229" s="34"/>
      <c r="Q229" s="46"/>
    </row>
    <row r="230">
      <c r="B230" s="47"/>
      <c r="I230" s="34"/>
      <c r="Q230" s="46"/>
    </row>
    <row r="231">
      <c r="B231" s="47"/>
      <c r="I231" s="34"/>
      <c r="Q231" s="46"/>
    </row>
    <row r="232">
      <c r="B232" s="47"/>
      <c r="I232" s="34"/>
      <c r="Q232" s="46"/>
    </row>
    <row r="233">
      <c r="B233" s="47"/>
      <c r="I233" s="34"/>
      <c r="Q233" s="46"/>
    </row>
    <row r="234">
      <c r="B234" s="47"/>
      <c r="I234" s="34"/>
      <c r="Q234" s="46"/>
    </row>
    <row r="235">
      <c r="B235" s="47"/>
      <c r="I235" s="34"/>
      <c r="Q235" s="46"/>
    </row>
    <row r="236">
      <c r="B236" s="47"/>
      <c r="I236" s="34"/>
      <c r="Q236" s="46"/>
    </row>
    <row r="237">
      <c r="B237" s="47"/>
      <c r="I237" s="34"/>
      <c r="Q237" s="46"/>
    </row>
    <row r="238">
      <c r="B238" s="47"/>
      <c r="I238" s="34"/>
      <c r="Q238" s="46"/>
    </row>
    <row r="239">
      <c r="B239" s="47"/>
      <c r="I239" s="34"/>
      <c r="Q239" s="46"/>
    </row>
    <row r="240">
      <c r="B240" s="47"/>
      <c r="I240" s="34"/>
      <c r="Q240" s="46"/>
    </row>
    <row r="241">
      <c r="B241" s="47"/>
      <c r="I241" s="34"/>
      <c r="Q241" s="46"/>
    </row>
    <row r="242">
      <c r="B242" s="47"/>
      <c r="I242" s="34"/>
      <c r="Q242" s="46"/>
    </row>
    <row r="243">
      <c r="B243" s="47"/>
      <c r="I243" s="34"/>
      <c r="Q243" s="46"/>
    </row>
    <row r="244">
      <c r="B244" s="47"/>
      <c r="I244" s="34"/>
      <c r="Q244" s="46"/>
    </row>
    <row r="245">
      <c r="B245" s="47"/>
      <c r="I245" s="34"/>
      <c r="Q245" s="46"/>
    </row>
    <row r="246">
      <c r="B246" s="47"/>
      <c r="I246" s="34"/>
      <c r="Q246" s="46"/>
    </row>
    <row r="247">
      <c r="B247" s="47"/>
      <c r="I247" s="34"/>
      <c r="Q247" s="46"/>
    </row>
    <row r="248">
      <c r="B248" s="47"/>
      <c r="I248" s="34"/>
      <c r="Q248" s="46"/>
    </row>
    <row r="249">
      <c r="B249" s="47"/>
      <c r="I249" s="34"/>
      <c r="Q249" s="46"/>
    </row>
    <row r="250">
      <c r="B250" s="47"/>
      <c r="I250" s="34"/>
      <c r="Q250" s="46"/>
    </row>
    <row r="251">
      <c r="B251" s="47"/>
      <c r="I251" s="34"/>
      <c r="Q251" s="46"/>
    </row>
    <row r="252">
      <c r="B252" s="47"/>
      <c r="I252" s="34"/>
      <c r="Q252" s="46"/>
    </row>
    <row r="253">
      <c r="B253" s="47"/>
      <c r="I253" s="34"/>
      <c r="Q253" s="46"/>
    </row>
    <row r="254">
      <c r="B254" s="47"/>
      <c r="I254" s="34"/>
      <c r="Q254" s="46"/>
    </row>
    <row r="255">
      <c r="B255" s="47"/>
      <c r="I255" s="34"/>
      <c r="Q255" s="46"/>
    </row>
    <row r="256">
      <c r="B256" s="47"/>
      <c r="I256" s="34"/>
      <c r="Q256" s="46"/>
    </row>
    <row r="257">
      <c r="B257" s="47"/>
      <c r="I257" s="34"/>
      <c r="Q257" s="46"/>
    </row>
    <row r="258">
      <c r="B258" s="47"/>
      <c r="I258" s="34"/>
      <c r="Q258" s="46"/>
    </row>
    <row r="259">
      <c r="B259" s="47"/>
      <c r="I259" s="34"/>
      <c r="Q259" s="46"/>
    </row>
    <row r="260">
      <c r="B260" s="47"/>
      <c r="I260" s="34"/>
      <c r="Q260" s="46"/>
    </row>
    <row r="261">
      <c r="B261" s="47"/>
      <c r="I261" s="34"/>
      <c r="Q261" s="46"/>
    </row>
    <row r="262">
      <c r="B262" s="47"/>
      <c r="I262" s="34"/>
      <c r="Q262" s="46"/>
    </row>
    <row r="263">
      <c r="B263" s="47"/>
      <c r="I263" s="34"/>
      <c r="Q263" s="46"/>
    </row>
    <row r="264">
      <c r="B264" s="47"/>
      <c r="I264" s="34"/>
      <c r="Q264" s="46"/>
    </row>
    <row r="265">
      <c r="B265" s="47"/>
      <c r="I265" s="34"/>
      <c r="Q265" s="46"/>
    </row>
    <row r="266">
      <c r="B266" s="47"/>
      <c r="I266" s="34"/>
      <c r="Q266" s="46"/>
    </row>
    <row r="267">
      <c r="B267" s="47"/>
      <c r="I267" s="34"/>
      <c r="Q267" s="46"/>
    </row>
    <row r="268">
      <c r="B268" s="47"/>
      <c r="I268" s="34"/>
      <c r="Q268" s="46"/>
    </row>
    <row r="269">
      <c r="B269" s="47"/>
      <c r="I269" s="34"/>
      <c r="Q269" s="46"/>
    </row>
    <row r="270">
      <c r="B270" s="47"/>
      <c r="I270" s="34"/>
      <c r="Q270" s="46"/>
    </row>
    <row r="271">
      <c r="B271" s="47"/>
      <c r="I271" s="34"/>
      <c r="Q271" s="46"/>
    </row>
    <row r="272">
      <c r="B272" s="47"/>
      <c r="I272" s="34"/>
      <c r="Q272" s="46"/>
    </row>
    <row r="273">
      <c r="B273" s="47"/>
      <c r="I273" s="34"/>
      <c r="Q273" s="46"/>
    </row>
    <row r="274">
      <c r="B274" s="47"/>
      <c r="I274" s="34"/>
      <c r="Q274" s="46"/>
    </row>
    <row r="275">
      <c r="B275" s="47"/>
      <c r="I275" s="34"/>
      <c r="Q275" s="46"/>
    </row>
    <row r="276">
      <c r="B276" s="47"/>
      <c r="I276" s="34"/>
      <c r="Q276" s="46"/>
    </row>
    <row r="277">
      <c r="B277" s="47"/>
      <c r="I277" s="34"/>
      <c r="Q277" s="46"/>
    </row>
    <row r="278">
      <c r="B278" s="47"/>
      <c r="I278" s="34"/>
      <c r="Q278" s="46"/>
    </row>
    <row r="279">
      <c r="B279" s="47"/>
      <c r="I279" s="34"/>
      <c r="Q279" s="46"/>
    </row>
    <row r="280">
      <c r="B280" s="47"/>
      <c r="I280" s="34"/>
      <c r="Q280" s="46"/>
    </row>
    <row r="281">
      <c r="B281" s="47"/>
      <c r="I281" s="34"/>
      <c r="Q281" s="46"/>
    </row>
    <row r="282">
      <c r="B282" s="47"/>
      <c r="I282" s="34"/>
      <c r="Q282" s="46"/>
    </row>
    <row r="283">
      <c r="B283" s="47"/>
      <c r="I283" s="34"/>
      <c r="Q283" s="46"/>
    </row>
    <row r="284">
      <c r="B284" s="47"/>
      <c r="I284" s="34"/>
      <c r="Q284" s="46"/>
    </row>
    <row r="285">
      <c r="B285" s="47"/>
      <c r="I285" s="34"/>
      <c r="Q285" s="46"/>
    </row>
    <row r="286">
      <c r="B286" s="47"/>
      <c r="I286" s="34"/>
      <c r="Q286" s="46"/>
    </row>
    <row r="287">
      <c r="B287" s="47"/>
      <c r="I287" s="34"/>
      <c r="Q287" s="46"/>
    </row>
    <row r="288">
      <c r="B288" s="47"/>
      <c r="I288" s="34"/>
      <c r="Q288" s="46"/>
    </row>
    <row r="289">
      <c r="B289" s="47"/>
      <c r="I289" s="34"/>
      <c r="Q289" s="46"/>
    </row>
    <row r="290">
      <c r="B290" s="47"/>
      <c r="I290" s="34"/>
      <c r="Q290" s="46"/>
    </row>
    <row r="291">
      <c r="B291" s="47"/>
      <c r="I291" s="34"/>
      <c r="Q291" s="46"/>
    </row>
    <row r="292">
      <c r="B292" s="47"/>
      <c r="I292" s="34"/>
      <c r="Q292" s="46"/>
    </row>
    <row r="293">
      <c r="B293" s="47"/>
      <c r="I293" s="34"/>
      <c r="Q293" s="46"/>
    </row>
    <row r="294">
      <c r="B294" s="47"/>
      <c r="I294" s="34"/>
      <c r="Q294" s="46"/>
    </row>
    <row r="295">
      <c r="B295" s="47"/>
      <c r="I295" s="34"/>
      <c r="Q295" s="46"/>
    </row>
    <row r="296">
      <c r="B296" s="47"/>
      <c r="I296" s="34"/>
      <c r="Q296" s="46"/>
    </row>
    <row r="297">
      <c r="B297" s="47"/>
      <c r="I297" s="34"/>
      <c r="Q297" s="46"/>
    </row>
    <row r="298">
      <c r="B298" s="47"/>
      <c r="I298" s="34"/>
      <c r="Q298" s="46"/>
    </row>
    <row r="299">
      <c r="B299" s="47"/>
      <c r="I299" s="34"/>
      <c r="Q299" s="46"/>
    </row>
    <row r="300">
      <c r="B300" s="47"/>
      <c r="I300" s="34"/>
      <c r="Q300" s="46"/>
    </row>
    <row r="301">
      <c r="B301" s="47"/>
      <c r="I301" s="34"/>
      <c r="Q301" s="46"/>
    </row>
    <row r="302">
      <c r="B302" s="47"/>
      <c r="I302" s="34"/>
      <c r="Q302" s="46"/>
    </row>
    <row r="303">
      <c r="B303" s="47"/>
      <c r="I303" s="34"/>
      <c r="Q303" s="46"/>
    </row>
    <row r="304">
      <c r="B304" s="47"/>
      <c r="I304" s="34"/>
      <c r="Q304" s="46"/>
    </row>
    <row r="305">
      <c r="B305" s="47"/>
      <c r="I305" s="34"/>
      <c r="Q305" s="46"/>
    </row>
    <row r="306">
      <c r="B306" s="47"/>
      <c r="I306" s="34"/>
      <c r="Q306" s="46"/>
    </row>
    <row r="307">
      <c r="B307" s="47"/>
      <c r="I307" s="34"/>
      <c r="Q307" s="46"/>
    </row>
    <row r="308">
      <c r="B308" s="47"/>
      <c r="I308" s="34"/>
      <c r="Q308" s="46"/>
    </row>
    <row r="309">
      <c r="B309" s="47"/>
      <c r="I309" s="34"/>
      <c r="Q309" s="46"/>
    </row>
    <row r="310">
      <c r="B310" s="47"/>
      <c r="I310" s="34"/>
      <c r="Q310" s="46"/>
    </row>
    <row r="311">
      <c r="B311" s="47"/>
      <c r="I311" s="34"/>
      <c r="Q311" s="46"/>
    </row>
    <row r="312">
      <c r="B312" s="47"/>
      <c r="I312" s="34"/>
      <c r="Q312" s="46"/>
    </row>
    <row r="313">
      <c r="B313" s="47"/>
      <c r="I313" s="34"/>
      <c r="Q313" s="46"/>
    </row>
    <row r="314">
      <c r="B314" s="47"/>
      <c r="I314" s="34"/>
      <c r="Q314" s="46"/>
    </row>
    <row r="315">
      <c r="B315" s="47"/>
      <c r="I315" s="34"/>
      <c r="Q315" s="46"/>
    </row>
    <row r="316">
      <c r="B316" s="47"/>
      <c r="I316" s="34"/>
      <c r="Q316" s="46"/>
    </row>
    <row r="317">
      <c r="B317" s="47"/>
      <c r="I317" s="34"/>
      <c r="Q317" s="46"/>
    </row>
    <row r="318">
      <c r="B318" s="47"/>
      <c r="I318" s="34"/>
      <c r="Q318" s="46"/>
    </row>
    <row r="319">
      <c r="B319" s="47"/>
      <c r="I319" s="34"/>
      <c r="Q319" s="46"/>
    </row>
    <row r="320">
      <c r="B320" s="47"/>
      <c r="I320" s="34"/>
      <c r="Q320" s="46"/>
    </row>
    <row r="321">
      <c r="B321" s="47"/>
      <c r="I321" s="34"/>
      <c r="Q321" s="46"/>
    </row>
    <row r="322">
      <c r="B322" s="47"/>
      <c r="I322" s="34"/>
      <c r="Q322" s="46"/>
    </row>
    <row r="323">
      <c r="B323" s="47"/>
      <c r="I323" s="34"/>
      <c r="Q323" s="46"/>
    </row>
    <row r="324">
      <c r="B324" s="47"/>
      <c r="I324" s="34"/>
      <c r="Q324" s="46"/>
    </row>
    <row r="325">
      <c r="B325" s="47"/>
      <c r="I325" s="34"/>
      <c r="Q325" s="46"/>
    </row>
    <row r="326">
      <c r="B326" s="47"/>
      <c r="I326" s="34"/>
      <c r="Q326" s="46"/>
    </row>
    <row r="327">
      <c r="B327" s="47"/>
      <c r="I327" s="34"/>
      <c r="Q327" s="46"/>
    </row>
    <row r="328">
      <c r="B328" s="47"/>
      <c r="I328" s="34"/>
      <c r="Q328" s="46"/>
    </row>
    <row r="329">
      <c r="B329" s="47"/>
      <c r="I329" s="34"/>
      <c r="Q329" s="46"/>
    </row>
    <row r="330">
      <c r="B330" s="47"/>
      <c r="I330" s="34"/>
      <c r="Q330" s="46"/>
    </row>
    <row r="331">
      <c r="B331" s="47"/>
      <c r="I331" s="34"/>
      <c r="Q331" s="46"/>
    </row>
    <row r="332">
      <c r="B332" s="47"/>
      <c r="I332" s="34"/>
      <c r="Q332" s="46"/>
    </row>
    <row r="333">
      <c r="B333" s="47"/>
      <c r="I333" s="34"/>
      <c r="Q333" s="46"/>
    </row>
    <row r="334">
      <c r="B334" s="47"/>
      <c r="I334" s="34"/>
      <c r="Q334" s="46"/>
    </row>
    <row r="335">
      <c r="B335" s="47"/>
      <c r="I335" s="34"/>
      <c r="Q335" s="46"/>
    </row>
    <row r="336">
      <c r="B336" s="47"/>
      <c r="I336" s="34"/>
      <c r="Q336" s="46"/>
    </row>
    <row r="337">
      <c r="B337" s="47"/>
      <c r="I337" s="34"/>
      <c r="Q337" s="46"/>
    </row>
    <row r="338">
      <c r="B338" s="47"/>
      <c r="I338" s="34"/>
      <c r="Q338" s="46"/>
    </row>
    <row r="339">
      <c r="B339" s="47"/>
      <c r="I339" s="34"/>
      <c r="Q339" s="46"/>
    </row>
    <row r="340">
      <c r="B340" s="47"/>
      <c r="I340" s="34"/>
      <c r="Q340" s="46"/>
    </row>
    <row r="341">
      <c r="B341" s="47"/>
      <c r="I341" s="34"/>
      <c r="Q341" s="46"/>
    </row>
    <row r="342">
      <c r="B342" s="47"/>
      <c r="I342" s="34"/>
      <c r="Q342" s="46"/>
    </row>
    <row r="343">
      <c r="B343" s="47"/>
      <c r="I343" s="34"/>
      <c r="Q343" s="46"/>
    </row>
    <row r="344">
      <c r="B344" s="47"/>
      <c r="I344" s="34"/>
      <c r="Q344" s="46"/>
    </row>
    <row r="345">
      <c r="B345" s="47"/>
      <c r="I345" s="34"/>
      <c r="Q345" s="46"/>
    </row>
    <row r="346">
      <c r="B346" s="47"/>
      <c r="I346" s="34"/>
      <c r="Q346" s="46"/>
    </row>
    <row r="347">
      <c r="B347" s="47"/>
      <c r="I347" s="34"/>
      <c r="Q347" s="46"/>
    </row>
    <row r="348">
      <c r="B348" s="47"/>
      <c r="I348" s="34"/>
      <c r="Q348" s="46"/>
    </row>
    <row r="349">
      <c r="B349" s="47"/>
      <c r="I349" s="34"/>
      <c r="Q349" s="46"/>
    </row>
    <row r="350">
      <c r="B350" s="47"/>
      <c r="I350" s="34"/>
      <c r="Q350" s="46"/>
    </row>
    <row r="351">
      <c r="B351" s="47"/>
      <c r="I351" s="34"/>
      <c r="Q351" s="46"/>
    </row>
    <row r="352">
      <c r="B352" s="47"/>
      <c r="I352" s="34"/>
      <c r="Q352" s="46"/>
    </row>
    <row r="353">
      <c r="B353" s="47"/>
      <c r="I353" s="34"/>
      <c r="Q353" s="46"/>
    </row>
    <row r="354">
      <c r="B354" s="47"/>
      <c r="I354" s="34"/>
      <c r="Q354" s="46"/>
    </row>
    <row r="355">
      <c r="B355" s="47"/>
      <c r="I355" s="34"/>
      <c r="Q355" s="46"/>
    </row>
    <row r="356">
      <c r="B356" s="47"/>
      <c r="I356" s="34"/>
      <c r="Q356" s="46"/>
    </row>
    <row r="357">
      <c r="B357" s="47"/>
      <c r="I357" s="34"/>
      <c r="Q357" s="46"/>
    </row>
    <row r="358">
      <c r="B358" s="47"/>
      <c r="I358" s="34"/>
      <c r="Q358" s="46"/>
    </row>
    <row r="359">
      <c r="B359" s="47"/>
      <c r="I359" s="34"/>
      <c r="Q359" s="46"/>
    </row>
    <row r="360">
      <c r="B360" s="47"/>
      <c r="I360" s="34"/>
      <c r="Q360" s="46"/>
    </row>
    <row r="361">
      <c r="B361" s="47"/>
      <c r="I361" s="34"/>
      <c r="Q361" s="46"/>
    </row>
    <row r="362">
      <c r="B362" s="47"/>
      <c r="I362" s="34"/>
      <c r="Q362" s="46"/>
    </row>
    <row r="363">
      <c r="B363" s="47"/>
      <c r="I363" s="34"/>
      <c r="Q363" s="46"/>
    </row>
    <row r="364">
      <c r="B364" s="47"/>
      <c r="I364" s="34"/>
      <c r="Q364" s="46"/>
    </row>
    <row r="365">
      <c r="B365" s="47"/>
      <c r="I365" s="34"/>
      <c r="Q365" s="46"/>
    </row>
    <row r="366">
      <c r="B366" s="47"/>
      <c r="I366" s="34"/>
      <c r="Q366" s="46"/>
    </row>
    <row r="367">
      <c r="B367" s="47"/>
      <c r="I367" s="34"/>
      <c r="Q367" s="46"/>
    </row>
    <row r="368">
      <c r="B368" s="47"/>
      <c r="I368" s="34"/>
      <c r="Q368" s="46"/>
    </row>
    <row r="369">
      <c r="B369" s="47"/>
      <c r="I369" s="34"/>
      <c r="Q369" s="46"/>
    </row>
    <row r="370">
      <c r="B370" s="47"/>
      <c r="I370" s="34"/>
      <c r="Q370" s="46"/>
    </row>
    <row r="371">
      <c r="B371" s="47"/>
      <c r="I371" s="34"/>
      <c r="Q371" s="46"/>
    </row>
    <row r="372">
      <c r="B372" s="47"/>
      <c r="I372" s="34"/>
      <c r="Q372" s="46"/>
    </row>
    <row r="373">
      <c r="B373" s="47"/>
      <c r="I373" s="34"/>
      <c r="Q373" s="46"/>
    </row>
    <row r="374">
      <c r="B374" s="47"/>
      <c r="I374" s="34"/>
      <c r="Q374" s="46"/>
    </row>
    <row r="375">
      <c r="B375" s="47"/>
      <c r="I375" s="34"/>
      <c r="Q375" s="46"/>
    </row>
    <row r="376">
      <c r="B376" s="47"/>
      <c r="I376" s="34"/>
      <c r="Q376" s="46"/>
    </row>
    <row r="377">
      <c r="B377" s="47"/>
      <c r="I377" s="34"/>
      <c r="Q377" s="46"/>
    </row>
    <row r="378">
      <c r="B378" s="47"/>
      <c r="I378" s="34"/>
      <c r="Q378" s="46"/>
    </row>
    <row r="379">
      <c r="B379" s="47"/>
      <c r="I379" s="34"/>
      <c r="Q379" s="46"/>
    </row>
    <row r="380">
      <c r="B380" s="47"/>
      <c r="I380" s="34"/>
      <c r="Q380" s="46"/>
    </row>
    <row r="381">
      <c r="B381" s="47"/>
      <c r="I381" s="34"/>
      <c r="Q381" s="46"/>
    </row>
    <row r="382">
      <c r="B382" s="47"/>
      <c r="I382" s="34"/>
      <c r="Q382" s="46"/>
    </row>
    <row r="383">
      <c r="B383" s="47"/>
      <c r="I383" s="34"/>
      <c r="Q383" s="46"/>
    </row>
    <row r="384">
      <c r="B384" s="47"/>
      <c r="I384" s="34"/>
      <c r="Q384" s="46"/>
    </row>
    <row r="385">
      <c r="B385" s="47"/>
      <c r="I385" s="34"/>
      <c r="Q385" s="46"/>
    </row>
    <row r="386">
      <c r="B386" s="47"/>
      <c r="I386" s="34"/>
      <c r="Q386" s="46"/>
    </row>
    <row r="387">
      <c r="B387" s="47"/>
      <c r="I387" s="34"/>
      <c r="Q387" s="46"/>
    </row>
    <row r="388">
      <c r="B388" s="47"/>
      <c r="I388" s="34"/>
      <c r="Q388" s="46"/>
    </row>
    <row r="389">
      <c r="B389" s="47"/>
      <c r="I389" s="34"/>
      <c r="Q389" s="46"/>
    </row>
    <row r="390">
      <c r="B390" s="47"/>
      <c r="I390" s="34"/>
      <c r="Q390" s="46"/>
    </row>
    <row r="391">
      <c r="B391" s="47"/>
      <c r="I391" s="34"/>
      <c r="Q391" s="46"/>
    </row>
    <row r="392">
      <c r="B392" s="47"/>
      <c r="I392" s="34"/>
      <c r="Q392" s="46"/>
    </row>
    <row r="393">
      <c r="B393" s="47"/>
      <c r="I393" s="34"/>
      <c r="Q393" s="46"/>
    </row>
    <row r="394">
      <c r="B394" s="47"/>
      <c r="I394" s="34"/>
      <c r="Q394" s="46"/>
    </row>
    <row r="395">
      <c r="B395" s="47"/>
      <c r="I395" s="34"/>
      <c r="Q395" s="46"/>
    </row>
    <row r="396">
      <c r="B396" s="47"/>
      <c r="I396" s="34"/>
      <c r="Q396" s="46"/>
    </row>
    <row r="397">
      <c r="B397" s="47"/>
      <c r="I397" s="34"/>
      <c r="Q397" s="46"/>
    </row>
    <row r="398">
      <c r="B398" s="47"/>
      <c r="I398" s="34"/>
      <c r="Q398" s="46"/>
    </row>
    <row r="399">
      <c r="B399" s="47"/>
      <c r="I399" s="34"/>
      <c r="Q399" s="46"/>
    </row>
    <row r="400">
      <c r="B400" s="47"/>
      <c r="I400" s="34"/>
      <c r="Q400" s="46"/>
    </row>
    <row r="401">
      <c r="B401" s="47"/>
      <c r="I401" s="34"/>
      <c r="Q401" s="46"/>
    </row>
    <row r="402">
      <c r="B402" s="47"/>
      <c r="I402" s="34"/>
      <c r="Q402" s="46"/>
    </row>
    <row r="403">
      <c r="B403" s="47"/>
      <c r="I403" s="34"/>
      <c r="Q403" s="46"/>
    </row>
    <row r="404">
      <c r="B404" s="47"/>
      <c r="I404" s="34"/>
      <c r="Q404" s="46"/>
    </row>
    <row r="405">
      <c r="B405" s="47"/>
      <c r="I405" s="34"/>
      <c r="Q405" s="46"/>
    </row>
    <row r="406">
      <c r="B406" s="47"/>
      <c r="I406" s="34"/>
      <c r="Q406" s="46"/>
    </row>
    <row r="407">
      <c r="B407" s="47"/>
      <c r="I407" s="34"/>
      <c r="Q407" s="46"/>
    </row>
    <row r="408">
      <c r="B408" s="47"/>
      <c r="I408" s="34"/>
      <c r="Q408" s="46"/>
    </row>
    <row r="409">
      <c r="B409" s="47"/>
      <c r="I409" s="34"/>
      <c r="Q409" s="46"/>
    </row>
    <row r="410">
      <c r="B410" s="47"/>
      <c r="I410" s="34"/>
      <c r="Q410" s="46"/>
    </row>
    <row r="411">
      <c r="B411" s="47"/>
      <c r="I411" s="34"/>
      <c r="Q411" s="46"/>
    </row>
    <row r="412">
      <c r="B412" s="47"/>
      <c r="I412" s="34"/>
      <c r="Q412" s="46"/>
    </row>
    <row r="413">
      <c r="B413" s="47"/>
      <c r="I413" s="34"/>
      <c r="Q413" s="46"/>
    </row>
    <row r="414">
      <c r="B414" s="47"/>
      <c r="I414" s="34"/>
      <c r="Q414" s="46"/>
    </row>
    <row r="415">
      <c r="B415" s="47"/>
      <c r="I415" s="34"/>
      <c r="Q415" s="46"/>
    </row>
    <row r="416">
      <c r="B416" s="47"/>
      <c r="I416" s="34"/>
      <c r="Q416" s="46"/>
    </row>
    <row r="417">
      <c r="B417" s="47"/>
      <c r="I417" s="34"/>
      <c r="Q417" s="46"/>
    </row>
    <row r="418">
      <c r="B418" s="47"/>
      <c r="I418" s="34"/>
      <c r="Q418" s="46"/>
    </row>
    <row r="419">
      <c r="B419" s="47"/>
      <c r="I419" s="34"/>
      <c r="Q419" s="46"/>
    </row>
    <row r="420">
      <c r="B420" s="47"/>
      <c r="I420" s="34"/>
      <c r="Q420" s="46"/>
    </row>
    <row r="421">
      <c r="B421" s="47"/>
      <c r="I421" s="34"/>
      <c r="Q421" s="46"/>
    </row>
    <row r="422">
      <c r="B422" s="47"/>
      <c r="I422" s="34"/>
      <c r="Q422" s="46"/>
    </row>
    <row r="423">
      <c r="B423" s="47"/>
      <c r="I423" s="34"/>
      <c r="Q423" s="46"/>
    </row>
    <row r="424">
      <c r="B424" s="47"/>
      <c r="I424" s="34"/>
      <c r="Q424" s="46"/>
    </row>
    <row r="425">
      <c r="B425" s="47"/>
      <c r="I425" s="34"/>
      <c r="Q425" s="46"/>
    </row>
    <row r="426">
      <c r="B426" s="47"/>
      <c r="I426" s="34"/>
      <c r="Q426" s="46"/>
    </row>
    <row r="427">
      <c r="B427" s="47"/>
      <c r="I427" s="34"/>
      <c r="Q427" s="46"/>
    </row>
    <row r="428">
      <c r="B428" s="47"/>
      <c r="I428" s="34"/>
      <c r="Q428" s="46"/>
    </row>
    <row r="429">
      <c r="B429" s="47"/>
      <c r="I429" s="34"/>
      <c r="Q429" s="46"/>
    </row>
    <row r="430">
      <c r="B430" s="47"/>
      <c r="I430" s="34"/>
      <c r="Q430" s="46"/>
    </row>
    <row r="431">
      <c r="B431" s="47"/>
      <c r="I431" s="34"/>
      <c r="Q431" s="46"/>
    </row>
    <row r="432">
      <c r="B432" s="47"/>
      <c r="I432" s="34"/>
      <c r="Q432" s="46"/>
    </row>
    <row r="433">
      <c r="B433" s="47"/>
      <c r="I433" s="34"/>
      <c r="Q433" s="46"/>
    </row>
    <row r="434">
      <c r="B434" s="47"/>
      <c r="I434" s="34"/>
      <c r="Q434" s="46"/>
    </row>
    <row r="435">
      <c r="B435" s="47"/>
      <c r="I435" s="34"/>
      <c r="Q435" s="46"/>
    </row>
    <row r="436">
      <c r="B436" s="47"/>
      <c r="I436" s="34"/>
      <c r="Q436" s="46"/>
    </row>
    <row r="437">
      <c r="B437" s="47"/>
      <c r="I437" s="34"/>
      <c r="Q437" s="46"/>
    </row>
    <row r="438">
      <c r="B438" s="47"/>
      <c r="I438" s="34"/>
      <c r="Q438" s="46"/>
    </row>
    <row r="439">
      <c r="B439" s="47"/>
      <c r="I439" s="34"/>
      <c r="Q439" s="46"/>
    </row>
    <row r="440">
      <c r="B440" s="47"/>
      <c r="I440" s="34"/>
      <c r="Q440" s="46"/>
    </row>
    <row r="441">
      <c r="B441" s="47"/>
      <c r="I441" s="34"/>
      <c r="Q441" s="46"/>
    </row>
    <row r="442">
      <c r="B442" s="47"/>
      <c r="I442" s="34"/>
      <c r="Q442" s="46"/>
    </row>
    <row r="443">
      <c r="B443" s="47"/>
      <c r="I443" s="34"/>
      <c r="Q443" s="46"/>
    </row>
    <row r="444">
      <c r="B444" s="47"/>
      <c r="I444" s="34"/>
      <c r="Q444" s="46"/>
    </row>
    <row r="445">
      <c r="B445" s="47"/>
      <c r="I445" s="34"/>
      <c r="Q445" s="46"/>
    </row>
    <row r="446">
      <c r="B446" s="47"/>
      <c r="I446" s="34"/>
      <c r="Q446" s="46"/>
    </row>
    <row r="447">
      <c r="B447" s="47"/>
      <c r="I447" s="34"/>
      <c r="Q447" s="46"/>
    </row>
    <row r="448">
      <c r="B448" s="47"/>
      <c r="I448" s="34"/>
      <c r="Q448" s="46"/>
    </row>
    <row r="449">
      <c r="B449" s="47"/>
      <c r="I449" s="34"/>
      <c r="Q449" s="46"/>
    </row>
    <row r="450">
      <c r="B450" s="47"/>
      <c r="I450" s="34"/>
      <c r="Q450" s="46"/>
    </row>
    <row r="451">
      <c r="B451" s="47"/>
      <c r="I451" s="34"/>
      <c r="Q451" s="46"/>
    </row>
    <row r="452">
      <c r="B452" s="47"/>
      <c r="I452" s="34"/>
      <c r="Q452" s="46"/>
    </row>
    <row r="453">
      <c r="B453" s="47"/>
      <c r="I453" s="34"/>
      <c r="Q453" s="46"/>
    </row>
    <row r="454">
      <c r="B454" s="47"/>
      <c r="I454" s="34"/>
      <c r="Q454" s="46"/>
    </row>
    <row r="455">
      <c r="B455" s="47"/>
      <c r="I455" s="34"/>
      <c r="Q455" s="46"/>
    </row>
    <row r="456">
      <c r="B456" s="47"/>
      <c r="I456" s="34"/>
      <c r="Q456" s="46"/>
    </row>
    <row r="457">
      <c r="B457" s="47"/>
      <c r="I457" s="34"/>
      <c r="Q457" s="46"/>
    </row>
    <row r="458">
      <c r="B458" s="47"/>
      <c r="I458" s="34"/>
      <c r="Q458" s="46"/>
    </row>
    <row r="459">
      <c r="B459" s="47"/>
      <c r="I459" s="34"/>
      <c r="Q459" s="46"/>
    </row>
    <row r="460">
      <c r="B460" s="47"/>
      <c r="I460" s="34"/>
      <c r="Q460" s="46"/>
    </row>
    <row r="461">
      <c r="B461" s="47"/>
      <c r="I461" s="34"/>
      <c r="Q461" s="46"/>
    </row>
    <row r="462">
      <c r="B462" s="47"/>
      <c r="I462" s="34"/>
      <c r="Q462" s="46"/>
    </row>
    <row r="463">
      <c r="B463" s="47"/>
      <c r="I463" s="34"/>
      <c r="Q463" s="46"/>
    </row>
    <row r="464">
      <c r="B464" s="47"/>
      <c r="I464" s="34"/>
      <c r="Q464" s="46"/>
    </row>
    <row r="465">
      <c r="B465" s="47"/>
      <c r="I465" s="34"/>
      <c r="Q465" s="46"/>
    </row>
    <row r="466">
      <c r="B466" s="47"/>
      <c r="I466" s="34"/>
      <c r="Q466" s="46"/>
    </row>
    <row r="467">
      <c r="B467" s="47"/>
      <c r="I467" s="34"/>
      <c r="Q467" s="46"/>
    </row>
    <row r="468">
      <c r="B468" s="47"/>
      <c r="I468" s="34"/>
      <c r="Q468" s="46"/>
    </row>
    <row r="469">
      <c r="B469" s="47"/>
      <c r="I469" s="34"/>
      <c r="Q469" s="46"/>
    </row>
    <row r="470">
      <c r="B470" s="47"/>
      <c r="I470" s="34"/>
      <c r="Q470" s="46"/>
    </row>
    <row r="471">
      <c r="B471" s="47"/>
      <c r="I471" s="34"/>
      <c r="Q471" s="46"/>
    </row>
    <row r="472">
      <c r="B472" s="47"/>
      <c r="I472" s="34"/>
      <c r="Q472" s="46"/>
    </row>
    <row r="473">
      <c r="B473" s="47"/>
      <c r="I473" s="34"/>
      <c r="Q473" s="46"/>
    </row>
    <row r="474">
      <c r="B474" s="47"/>
      <c r="I474" s="34"/>
      <c r="Q474" s="46"/>
    </row>
    <row r="475">
      <c r="B475" s="47"/>
      <c r="I475" s="34"/>
      <c r="Q475" s="46"/>
    </row>
    <row r="476">
      <c r="B476" s="47"/>
      <c r="I476" s="34"/>
      <c r="Q476" s="46"/>
    </row>
    <row r="477">
      <c r="B477" s="47"/>
      <c r="I477" s="34"/>
      <c r="Q477" s="46"/>
    </row>
    <row r="478">
      <c r="B478" s="47"/>
      <c r="I478" s="34"/>
      <c r="Q478" s="46"/>
    </row>
    <row r="479">
      <c r="B479" s="47"/>
      <c r="I479" s="34"/>
      <c r="Q479" s="46"/>
    </row>
    <row r="480">
      <c r="B480" s="47"/>
      <c r="I480" s="34"/>
      <c r="Q480" s="46"/>
    </row>
    <row r="481">
      <c r="B481" s="47"/>
      <c r="I481" s="34"/>
      <c r="Q481" s="46"/>
    </row>
    <row r="482">
      <c r="B482" s="47"/>
      <c r="I482" s="34"/>
      <c r="Q482" s="46"/>
    </row>
    <row r="483">
      <c r="B483" s="47"/>
      <c r="I483" s="34"/>
      <c r="Q483" s="46"/>
    </row>
    <row r="484">
      <c r="B484" s="47"/>
      <c r="I484" s="34"/>
      <c r="Q484" s="46"/>
    </row>
    <row r="485">
      <c r="B485" s="47"/>
      <c r="I485" s="34"/>
      <c r="Q485" s="46"/>
    </row>
    <row r="486">
      <c r="B486" s="47"/>
      <c r="I486" s="34"/>
      <c r="Q486" s="46"/>
    </row>
    <row r="487">
      <c r="B487" s="47"/>
      <c r="I487" s="34"/>
      <c r="Q487" s="46"/>
    </row>
    <row r="488">
      <c r="B488" s="47"/>
      <c r="I488" s="34"/>
      <c r="Q488" s="46"/>
    </row>
    <row r="489">
      <c r="B489" s="47"/>
      <c r="I489" s="34"/>
      <c r="Q489" s="46"/>
    </row>
    <row r="490">
      <c r="B490" s="47"/>
      <c r="I490" s="34"/>
      <c r="Q490" s="46"/>
    </row>
    <row r="491">
      <c r="B491" s="47"/>
      <c r="I491" s="34"/>
      <c r="Q491" s="46"/>
    </row>
    <row r="492">
      <c r="B492" s="47"/>
      <c r="I492" s="34"/>
      <c r="Q492" s="46"/>
    </row>
    <row r="493">
      <c r="B493" s="47"/>
      <c r="I493" s="34"/>
      <c r="Q493" s="46"/>
    </row>
    <row r="494">
      <c r="B494" s="47"/>
      <c r="I494" s="34"/>
      <c r="Q494" s="46"/>
    </row>
    <row r="495">
      <c r="B495" s="47"/>
      <c r="I495" s="34"/>
      <c r="Q495" s="46"/>
    </row>
    <row r="496">
      <c r="B496" s="47"/>
      <c r="I496" s="34"/>
      <c r="Q496" s="46"/>
    </row>
    <row r="497">
      <c r="B497" s="47"/>
      <c r="I497" s="34"/>
      <c r="Q497" s="46"/>
    </row>
    <row r="498">
      <c r="B498" s="47"/>
      <c r="I498" s="34"/>
      <c r="Q498" s="46"/>
    </row>
    <row r="499">
      <c r="B499" s="47"/>
      <c r="I499" s="34"/>
      <c r="Q499" s="46"/>
    </row>
    <row r="500">
      <c r="B500" s="47"/>
      <c r="I500" s="34"/>
      <c r="Q500" s="46"/>
    </row>
    <row r="501">
      <c r="B501" s="47"/>
      <c r="I501" s="34"/>
      <c r="Q501" s="46"/>
    </row>
    <row r="502">
      <c r="B502" s="47"/>
      <c r="I502" s="34"/>
      <c r="Q502" s="46"/>
    </row>
    <row r="503">
      <c r="B503" s="47"/>
      <c r="I503" s="34"/>
      <c r="Q503" s="46"/>
    </row>
    <row r="504">
      <c r="B504" s="47"/>
      <c r="I504" s="34"/>
      <c r="Q504" s="46"/>
    </row>
    <row r="505">
      <c r="B505" s="47"/>
      <c r="I505" s="34"/>
      <c r="Q505" s="46"/>
    </row>
    <row r="506">
      <c r="B506" s="47"/>
      <c r="I506" s="34"/>
      <c r="Q506" s="46"/>
    </row>
    <row r="507">
      <c r="B507" s="47"/>
      <c r="I507" s="34"/>
      <c r="Q507" s="46"/>
    </row>
    <row r="508">
      <c r="B508" s="47"/>
      <c r="I508" s="34"/>
      <c r="Q508" s="46"/>
    </row>
    <row r="509">
      <c r="B509" s="47"/>
      <c r="I509" s="34"/>
      <c r="Q509" s="46"/>
    </row>
    <row r="510">
      <c r="B510" s="47"/>
      <c r="I510" s="34"/>
      <c r="Q510" s="46"/>
    </row>
    <row r="511">
      <c r="B511" s="47"/>
      <c r="I511" s="34"/>
      <c r="Q511" s="46"/>
    </row>
    <row r="512">
      <c r="B512" s="47"/>
      <c r="I512" s="34"/>
      <c r="Q512" s="46"/>
    </row>
    <row r="513">
      <c r="B513" s="47"/>
      <c r="I513" s="34"/>
      <c r="Q513" s="46"/>
    </row>
    <row r="514">
      <c r="B514" s="47"/>
      <c r="I514" s="34"/>
      <c r="Q514" s="46"/>
    </row>
    <row r="515">
      <c r="B515" s="47"/>
      <c r="I515" s="34"/>
      <c r="Q515" s="46"/>
    </row>
    <row r="516">
      <c r="B516" s="47"/>
      <c r="I516" s="34"/>
      <c r="Q516" s="46"/>
    </row>
    <row r="517">
      <c r="B517" s="47"/>
      <c r="I517" s="34"/>
      <c r="Q517" s="46"/>
    </row>
    <row r="518">
      <c r="B518" s="47"/>
      <c r="I518" s="34"/>
      <c r="Q518" s="46"/>
    </row>
    <row r="519">
      <c r="B519" s="47"/>
      <c r="I519" s="34"/>
      <c r="Q519" s="46"/>
    </row>
    <row r="520">
      <c r="B520" s="47"/>
      <c r="I520" s="34"/>
      <c r="Q520" s="46"/>
    </row>
    <row r="521">
      <c r="B521" s="47"/>
      <c r="I521" s="34"/>
      <c r="Q521" s="46"/>
    </row>
    <row r="522">
      <c r="B522" s="47"/>
      <c r="I522" s="34"/>
      <c r="Q522" s="46"/>
    </row>
    <row r="523">
      <c r="B523" s="47"/>
      <c r="I523" s="34"/>
      <c r="Q523" s="46"/>
    </row>
    <row r="524">
      <c r="B524" s="47"/>
      <c r="I524" s="34"/>
      <c r="Q524" s="46"/>
    </row>
    <row r="525">
      <c r="B525" s="47"/>
      <c r="I525" s="34"/>
      <c r="Q525" s="46"/>
    </row>
    <row r="526">
      <c r="B526" s="47"/>
      <c r="I526" s="34"/>
      <c r="Q526" s="46"/>
    </row>
    <row r="527">
      <c r="B527" s="47"/>
      <c r="I527" s="34"/>
      <c r="Q527" s="46"/>
    </row>
    <row r="528">
      <c r="B528" s="47"/>
      <c r="I528" s="34"/>
      <c r="Q528" s="46"/>
    </row>
    <row r="529">
      <c r="B529" s="47"/>
      <c r="I529" s="34"/>
      <c r="Q529" s="46"/>
    </row>
    <row r="530">
      <c r="B530" s="47"/>
      <c r="I530" s="34"/>
      <c r="Q530" s="46"/>
    </row>
    <row r="531">
      <c r="B531" s="47"/>
      <c r="I531" s="34"/>
      <c r="Q531" s="46"/>
    </row>
    <row r="532">
      <c r="B532" s="47"/>
      <c r="I532" s="34"/>
      <c r="Q532" s="46"/>
    </row>
    <row r="533">
      <c r="B533" s="47"/>
      <c r="I533" s="34"/>
      <c r="Q533" s="46"/>
    </row>
    <row r="534">
      <c r="B534" s="47"/>
      <c r="I534" s="34"/>
      <c r="Q534" s="46"/>
    </row>
    <row r="535">
      <c r="B535" s="47"/>
      <c r="I535" s="34"/>
      <c r="Q535" s="46"/>
    </row>
    <row r="536">
      <c r="B536" s="47"/>
      <c r="I536" s="34"/>
      <c r="Q536" s="46"/>
    </row>
    <row r="537">
      <c r="B537" s="47"/>
      <c r="I537" s="34"/>
      <c r="Q537" s="46"/>
    </row>
    <row r="538">
      <c r="B538" s="47"/>
      <c r="I538" s="34"/>
      <c r="Q538" s="46"/>
    </row>
    <row r="539">
      <c r="B539" s="47"/>
      <c r="I539" s="34"/>
      <c r="Q539" s="46"/>
    </row>
    <row r="540">
      <c r="B540" s="47"/>
      <c r="I540" s="34"/>
      <c r="Q540" s="46"/>
    </row>
    <row r="541">
      <c r="B541" s="47"/>
      <c r="I541" s="34"/>
      <c r="Q541" s="46"/>
    </row>
    <row r="542">
      <c r="B542" s="47"/>
      <c r="I542" s="34"/>
      <c r="Q542" s="46"/>
    </row>
    <row r="543">
      <c r="B543" s="47"/>
      <c r="I543" s="34"/>
      <c r="Q543" s="46"/>
    </row>
    <row r="544">
      <c r="B544" s="47"/>
      <c r="I544" s="34"/>
      <c r="Q544" s="46"/>
    </row>
    <row r="545">
      <c r="B545" s="47"/>
      <c r="I545" s="34"/>
      <c r="Q545" s="46"/>
    </row>
    <row r="546">
      <c r="B546" s="47"/>
      <c r="I546" s="34"/>
      <c r="Q546" s="46"/>
    </row>
    <row r="547">
      <c r="B547" s="47"/>
      <c r="I547" s="34"/>
      <c r="Q547" s="46"/>
    </row>
    <row r="548">
      <c r="B548" s="47"/>
      <c r="I548" s="34"/>
      <c r="Q548" s="46"/>
    </row>
    <row r="549">
      <c r="B549" s="47"/>
      <c r="I549" s="34"/>
      <c r="Q549" s="46"/>
    </row>
    <row r="550">
      <c r="B550" s="47"/>
      <c r="I550" s="34"/>
      <c r="Q550" s="46"/>
    </row>
    <row r="551">
      <c r="B551" s="47"/>
      <c r="I551" s="34"/>
      <c r="Q551" s="46"/>
    </row>
    <row r="552">
      <c r="B552" s="47"/>
      <c r="I552" s="34"/>
      <c r="Q552" s="46"/>
    </row>
    <row r="553">
      <c r="B553" s="47"/>
      <c r="I553" s="34"/>
      <c r="Q553" s="46"/>
    </row>
    <row r="554">
      <c r="B554" s="47"/>
      <c r="I554" s="34"/>
      <c r="Q554" s="46"/>
    </row>
    <row r="555">
      <c r="B555" s="47"/>
      <c r="I555" s="34"/>
      <c r="Q555" s="46"/>
    </row>
    <row r="556">
      <c r="B556" s="47"/>
      <c r="I556" s="34"/>
      <c r="Q556" s="46"/>
    </row>
    <row r="557">
      <c r="B557" s="47"/>
      <c r="I557" s="34"/>
      <c r="Q557" s="46"/>
    </row>
    <row r="558">
      <c r="B558" s="47"/>
      <c r="I558" s="34"/>
      <c r="Q558" s="46"/>
    </row>
    <row r="559">
      <c r="B559" s="47"/>
      <c r="I559" s="34"/>
      <c r="Q559" s="46"/>
    </row>
    <row r="560">
      <c r="B560" s="47"/>
      <c r="I560" s="34"/>
      <c r="Q560" s="46"/>
    </row>
    <row r="561">
      <c r="B561" s="47"/>
      <c r="I561" s="34"/>
      <c r="Q561" s="46"/>
    </row>
    <row r="562">
      <c r="B562" s="47"/>
      <c r="I562" s="34"/>
      <c r="Q562" s="46"/>
    </row>
    <row r="563">
      <c r="B563" s="47"/>
      <c r="I563" s="34"/>
      <c r="Q563" s="46"/>
    </row>
    <row r="564">
      <c r="B564" s="47"/>
      <c r="I564" s="34"/>
      <c r="Q564" s="46"/>
    </row>
    <row r="565">
      <c r="B565" s="47"/>
      <c r="I565" s="34"/>
      <c r="Q565" s="46"/>
    </row>
    <row r="566">
      <c r="B566" s="47"/>
      <c r="I566" s="34"/>
      <c r="Q566" s="46"/>
    </row>
    <row r="567">
      <c r="B567" s="47"/>
      <c r="I567" s="34"/>
      <c r="Q567" s="46"/>
    </row>
    <row r="568">
      <c r="B568" s="47"/>
      <c r="I568" s="34"/>
      <c r="Q568" s="46"/>
    </row>
    <row r="569">
      <c r="B569" s="47"/>
      <c r="I569" s="34"/>
      <c r="Q569" s="46"/>
    </row>
    <row r="570">
      <c r="B570" s="47"/>
      <c r="I570" s="34"/>
      <c r="Q570" s="46"/>
    </row>
    <row r="571">
      <c r="B571" s="47"/>
      <c r="I571" s="34"/>
      <c r="Q571" s="46"/>
    </row>
    <row r="572">
      <c r="B572" s="47"/>
      <c r="I572" s="34"/>
      <c r="Q572" s="46"/>
    </row>
    <row r="573">
      <c r="B573" s="47"/>
      <c r="I573" s="34"/>
      <c r="Q573" s="46"/>
    </row>
    <row r="574">
      <c r="B574" s="47"/>
      <c r="I574" s="34"/>
      <c r="Q574" s="46"/>
    </row>
    <row r="575">
      <c r="B575" s="47"/>
      <c r="I575" s="34"/>
      <c r="Q575" s="46"/>
    </row>
    <row r="576">
      <c r="B576" s="47"/>
      <c r="I576" s="34"/>
      <c r="Q576" s="46"/>
    </row>
    <row r="577">
      <c r="B577" s="47"/>
      <c r="I577" s="34"/>
      <c r="Q577" s="46"/>
    </row>
    <row r="578">
      <c r="B578" s="47"/>
      <c r="I578" s="34"/>
      <c r="Q578" s="46"/>
    </row>
    <row r="579">
      <c r="B579" s="47"/>
      <c r="I579" s="34"/>
      <c r="Q579" s="46"/>
    </row>
    <row r="580">
      <c r="B580" s="47"/>
      <c r="I580" s="34"/>
      <c r="Q580" s="46"/>
    </row>
    <row r="581">
      <c r="B581" s="47"/>
      <c r="I581" s="34"/>
      <c r="Q581" s="46"/>
    </row>
    <row r="582">
      <c r="B582" s="47"/>
      <c r="I582" s="34"/>
      <c r="Q582" s="46"/>
    </row>
    <row r="583">
      <c r="B583" s="47"/>
      <c r="I583" s="34"/>
      <c r="Q583" s="46"/>
    </row>
    <row r="584">
      <c r="B584" s="47"/>
      <c r="I584" s="34"/>
      <c r="Q584" s="46"/>
    </row>
    <row r="585">
      <c r="B585" s="47"/>
      <c r="I585" s="34"/>
      <c r="Q585" s="46"/>
    </row>
    <row r="586">
      <c r="B586" s="47"/>
      <c r="I586" s="34"/>
      <c r="Q586" s="46"/>
    </row>
    <row r="587">
      <c r="B587" s="47"/>
      <c r="I587" s="34"/>
      <c r="Q587" s="46"/>
    </row>
    <row r="588">
      <c r="B588" s="47"/>
      <c r="I588" s="34"/>
      <c r="Q588" s="46"/>
    </row>
    <row r="589">
      <c r="B589" s="47"/>
      <c r="I589" s="34"/>
      <c r="Q589" s="46"/>
    </row>
    <row r="590">
      <c r="B590" s="47"/>
      <c r="I590" s="34"/>
      <c r="Q590" s="46"/>
    </row>
    <row r="591">
      <c r="B591" s="47"/>
      <c r="I591" s="34"/>
      <c r="Q591" s="46"/>
    </row>
    <row r="592">
      <c r="B592" s="47"/>
      <c r="I592" s="34"/>
      <c r="Q592" s="46"/>
    </row>
    <row r="593">
      <c r="B593" s="47"/>
      <c r="I593" s="34"/>
      <c r="Q593" s="46"/>
    </row>
    <row r="594">
      <c r="B594" s="47"/>
      <c r="I594" s="34"/>
      <c r="Q594" s="46"/>
    </row>
    <row r="595">
      <c r="B595" s="47"/>
      <c r="I595" s="34"/>
      <c r="Q595" s="46"/>
    </row>
    <row r="596">
      <c r="B596" s="47"/>
      <c r="I596" s="34"/>
      <c r="Q596" s="46"/>
    </row>
    <row r="597">
      <c r="B597" s="47"/>
      <c r="I597" s="34"/>
      <c r="Q597" s="46"/>
    </row>
    <row r="598">
      <c r="B598" s="47"/>
      <c r="I598" s="34"/>
      <c r="Q598" s="46"/>
    </row>
    <row r="599">
      <c r="B599" s="47"/>
      <c r="I599" s="34"/>
      <c r="Q599" s="46"/>
    </row>
    <row r="600">
      <c r="B600" s="47"/>
      <c r="I600" s="34"/>
      <c r="Q600" s="46"/>
    </row>
    <row r="601">
      <c r="B601" s="47"/>
      <c r="I601" s="34"/>
      <c r="Q601" s="46"/>
    </row>
    <row r="602">
      <c r="B602" s="47"/>
      <c r="I602" s="34"/>
      <c r="Q602" s="46"/>
    </row>
    <row r="603">
      <c r="B603" s="47"/>
      <c r="I603" s="34"/>
      <c r="Q603" s="46"/>
    </row>
    <row r="604">
      <c r="B604" s="47"/>
      <c r="I604" s="34"/>
      <c r="Q604" s="46"/>
    </row>
    <row r="605">
      <c r="B605" s="47"/>
      <c r="I605" s="34"/>
      <c r="Q605" s="46"/>
    </row>
    <row r="606">
      <c r="B606" s="47"/>
      <c r="I606" s="34"/>
      <c r="Q606" s="46"/>
    </row>
    <row r="607">
      <c r="B607" s="47"/>
      <c r="I607" s="34"/>
      <c r="Q607" s="46"/>
    </row>
    <row r="608">
      <c r="B608" s="47"/>
      <c r="I608" s="34"/>
      <c r="Q608" s="46"/>
    </row>
    <row r="609">
      <c r="B609" s="47"/>
      <c r="I609" s="34"/>
      <c r="Q609" s="46"/>
    </row>
    <row r="610">
      <c r="B610" s="47"/>
      <c r="I610" s="34"/>
      <c r="Q610" s="46"/>
    </row>
    <row r="611">
      <c r="B611" s="47"/>
      <c r="I611" s="34"/>
      <c r="Q611" s="46"/>
    </row>
    <row r="612">
      <c r="B612" s="47"/>
      <c r="I612" s="34"/>
      <c r="Q612" s="46"/>
    </row>
    <row r="613">
      <c r="B613" s="47"/>
      <c r="I613" s="34"/>
      <c r="Q613" s="46"/>
    </row>
    <row r="614">
      <c r="B614" s="47"/>
      <c r="I614" s="34"/>
      <c r="Q614" s="46"/>
    </row>
    <row r="615">
      <c r="B615" s="47"/>
      <c r="I615" s="34"/>
      <c r="Q615" s="46"/>
    </row>
    <row r="616">
      <c r="B616" s="47"/>
      <c r="I616" s="34"/>
      <c r="Q616" s="46"/>
    </row>
    <row r="617">
      <c r="B617" s="47"/>
      <c r="I617" s="34"/>
      <c r="Q617" s="46"/>
    </row>
    <row r="618">
      <c r="B618" s="47"/>
      <c r="I618" s="34"/>
      <c r="Q618" s="46"/>
    </row>
    <row r="619">
      <c r="B619" s="47"/>
      <c r="I619" s="34"/>
      <c r="Q619" s="46"/>
    </row>
    <row r="620">
      <c r="B620" s="47"/>
      <c r="I620" s="34"/>
      <c r="Q620" s="46"/>
    </row>
    <row r="621">
      <c r="B621" s="47"/>
      <c r="I621" s="34"/>
      <c r="Q621" s="46"/>
    </row>
    <row r="622">
      <c r="B622" s="47"/>
      <c r="I622" s="34"/>
      <c r="Q622" s="46"/>
    </row>
    <row r="623">
      <c r="B623" s="47"/>
      <c r="I623" s="34"/>
      <c r="Q623" s="46"/>
    </row>
    <row r="624">
      <c r="B624" s="47"/>
      <c r="I624" s="34"/>
      <c r="Q624" s="46"/>
    </row>
    <row r="625">
      <c r="B625" s="47"/>
      <c r="I625" s="34"/>
      <c r="Q625" s="46"/>
    </row>
    <row r="626">
      <c r="B626" s="47"/>
      <c r="I626" s="34"/>
      <c r="Q626" s="46"/>
    </row>
    <row r="627">
      <c r="B627" s="47"/>
      <c r="I627" s="34"/>
      <c r="Q627" s="46"/>
    </row>
    <row r="628">
      <c r="B628" s="47"/>
      <c r="I628" s="34"/>
      <c r="Q628" s="46"/>
    </row>
    <row r="629">
      <c r="B629" s="47"/>
      <c r="I629" s="34"/>
      <c r="Q629" s="46"/>
    </row>
    <row r="630">
      <c r="B630" s="47"/>
      <c r="I630" s="34"/>
      <c r="Q630" s="46"/>
    </row>
    <row r="631">
      <c r="B631" s="47"/>
      <c r="I631" s="34"/>
      <c r="Q631" s="46"/>
    </row>
    <row r="632">
      <c r="B632" s="47"/>
      <c r="I632" s="34"/>
      <c r="Q632" s="46"/>
    </row>
    <row r="633">
      <c r="B633" s="47"/>
      <c r="I633" s="34"/>
      <c r="Q633" s="46"/>
    </row>
    <row r="634">
      <c r="B634" s="47"/>
      <c r="I634" s="34"/>
      <c r="Q634" s="46"/>
    </row>
    <row r="635">
      <c r="B635" s="47"/>
      <c r="I635" s="34"/>
      <c r="Q635" s="46"/>
    </row>
    <row r="636">
      <c r="B636" s="47"/>
      <c r="I636" s="34"/>
      <c r="Q636" s="46"/>
    </row>
    <row r="637">
      <c r="B637" s="47"/>
      <c r="I637" s="34"/>
      <c r="Q637" s="46"/>
    </row>
    <row r="638">
      <c r="B638" s="47"/>
      <c r="I638" s="34"/>
      <c r="Q638" s="46"/>
    </row>
    <row r="639">
      <c r="B639" s="47"/>
      <c r="I639" s="34"/>
      <c r="Q639" s="46"/>
    </row>
    <row r="640">
      <c r="B640" s="47"/>
      <c r="I640" s="34"/>
      <c r="Q640" s="46"/>
    </row>
    <row r="641">
      <c r="B641" s="47"/>
      <c r="I641" s="34"/>
      <c r="Q641" s="46"/>
    </row>
    <row r="642">
      <c r="B642" s="47"/>
      <c r="I642" s="34"/>
      <c r="Q642" s="46"/>
    </row>
    <row r="643">
      <c r="B643" s="47"/>
      <c r="I643" s="34"/>
      <c r="Q643" s="46"/>
    </row>
    <row r="644">
      <c r="B644" s="47"/>
      <c r="I644" s="34"/>
      <c r="Q644" s="46"/>
    </row>
    <row r="645">
      <c r="B645" s="47"/>
      <c r="I645" s="34"/>
      <c r="Q645" s="46"/>
    </row>
    <row r="646">
      <c r="B646" s="47"/>
      <c r="I646" s="34"/>
      <c r="Q646" s="46"/>
    </row>
    <row r="647">
      <c r="B647" s="47"/>
      <c r="I647" s="34"/>
      <c r="Q647" s="46"/>
    </row>
    <row r="648">
      <c r="B648" s="47"/>
      <c r="I648" s="34"/>
      <c r="Q648" s="46"/>
    </row>
    <row r="649">
      <c r="B649" s="47"/>
      <c r="I649" s="34"/>
      <c r="Q649" s="46"/>
    </row>
    <row r="650">
      <c r="B650" s="47"/>
      <c r="I650" s="34"/>
      <c r="Q650" s="46"/>
    </row>
    <row r="651">
      <c r="B651" s="47"/>
      <c r="I651" s="34"/>
      <c r="Q651" s="46"/>
    </row>
    <row r="652">
      <c r="B652" s="47"/>
      <c r="I652" s="34"/>
      <c r="Q652" s="46"/>
    </row>
    <row r="653">
      <c r="B653" s="47"/>
      <c r="I653" s="34"/>
      <c r="Q653" s="46"/>
    </row>
    <row r="654">
      <c r="B654" s="47"/>
      <c r="I654" s="34"/>
      <c r="Q654" s="46"/>
    </row>
    <row r="655">
      <c r="B655" s="47"/>
      <c r="I655" s="34"/>
      <c r="Q655" s="46"/>
    </row>
    <row r="656">
      <c r="B656" s="47"/>
      <c r="I656" s="34"/>
      <c r="Q656" s="46"/>
    </row>
    <row r="657">
      <c r="B657" s="47"/>
      <c r="I657" s="34"/>
      <c r="Q657" s="46"/>
    </row>
    <row r="658">
      <c r="B658" s="47"/>
      <c r="I658" s="34"/>
      <c r="Q658" s="46"/>
    </row>
    <row r="659">
      <c r="B659" s="47"/>
      <c r="I659" s="34"/>
      <c r="Q659" s="46"/>
    </row>
    <row r="660">
      <c r="B660" s="47"/>
      <c r="I660" s="34"/>
      <c r="Q660" s="46"/>
    </row>
    <row r="661">
      <c r="B661" s="47"/>
      <c r="I661" s="34"/>
      <c r="Q661" s="46"/>
    </row>
    <row r="662">
      <c r="B662" s="47"/>
      <c r="I662" s="34"/>
      <c r="Q662" s="46"/>
    </row>
    <row r="663">
      <c r="B663" s="47"/>
      <c r="I663" s="34"/>
      <c r="Q663" s="46"/>
    </row>
    <row r="664">
      <c r="B664" s="47"/>
      <c r="I664" s="34"/>
      <c r="Q664" s="46"/>
    </row>
    <row r="665">
      <c r="B665" s="47"/>
      <c r="I665" s="34"/>
      <c r="Q665" s="46"/>
    </row>
    <row r="666">
      <c r="B666" s="47"/>
      <c r="I666" s="34"/>
      <c r="Q666" s="46"/>
    </row>
    <row r="667">
      <c r="B667" s="47"/>
      <c r="I667" s="34"/>
      <c r="Q667" s="46"/>
    </row>
    <row r="668">
      <c r="B668" s="47"/>
      <c r="I668" s="34"/>
      <c r="Q668" s="46"/>
    </row>
    <row r="669">
      <c r="B669" s="47"/>
      <c r="I669" s="34"/>
      <c r="Q669" s="46"/>
    </row>
    <row r="670">
      <c r="B670" s="47"/>
      <c r="I670" s="34"/>
      <c r="Q670" s="46"/>
    </row>
    <row r="671">
      <c r="B671" s="47"/>
      <c r="I671" s="34"/>
      <c r="Q671" s="46"/>
    </row>
    <row r="672">
      <c r="B672" s="47"/>
      <c r="I672" s="34"/>
      <c r="Q672" s="46"/>
    </row>
    <row r="673">
      <c r="B673" s="47"/>
      <c r="I673" s="34"/>
      <c r="Q673" s="46"/>
    </row>
    <row r="674">
      <c r="B674" s="47"/>
      <c r="I674" s="34"/>
      <c r="Q674" s="46"/>
    </row>
    <row r="675">
      <c r="B675" s="47"/>
      <c r="I675" s="34"/>
      <c r="Q675" s="46"/>
    </row>
    <row r="676">
      <c r="B676" s="47"/>
      <c r="I676" s="34"/>
      <c r="Q676" s="46"/>
    </row>
    <row r="677">
      <c r="B677" s="47"/>
      <c r="I677" s="34"/>
      <c r="Q677" s="46"/>
    </row>
    <row r="678">
      <c r="B678" s="47"/>
      <c r="I678" s="34"/>
      <c r="Q678" s="46"/>
    </row>
    <row r="679">
      <c r="B679" s="47"/>
      <c r="I679" s="34"/>
      <c r="Q679" s="46"/>
    </row>
    <row r="680">
      <c r="B680" s="47"/>
      <c r="I680" s="34"/>
      <c r="Q680" s="46"/>
    </row>
    <row r="681">
      <c r="B681" s="47"/>
      <c r="I681" s="34"/>
      <c r="Q681" s="46"/>
    </row>
    <row r="682">
      <c r="B682" s="47"/>
      <c r="I682" s="34"/>
      <c r="Q682" s="46"/>
    </row>
    <row r="683">
      <c r="B683" s="47"/>
      <c r="I683" s="34"/>
      <c r="Q683" s="46"/>
    </row>
    <row r="684">
      <c r="B684" s="47"/>
      <c r="I684" s="34"/>
      <c r="Q684" s="46"/>
    </row>
    <row r="685">
      <c r="B685" s="47"/>
      <c r="I685" s="34"/>
      <c r="Q685" s="46"/>
    </row>
    <row r="686">
      <c r="B686" s="47"/>
      <c r="I686" s="34"/>
      <c r="Q686" s="46"/>
    </row>
    <row r="687">
      <c r="B687" s="47"/>
      <c r="I687" s="34"/>
      <c r="Q687" s="46"/>
    </row>
    <row r="688">
      <c r="B688" s="47"/>
      <c r="I688" s="34"/>
      <c r="Q688" s="46"/>
    </row>
    <row r="689">
      <c r="B689" s="47"/>
      <c r="I689" s="34"/>
      <c r="Q689" s="46"/>
    </row>
    <row r="690">
      <c r="B690" s="47"/>
      <c r="I690" s="34"/>
      <c r="Q690" s="46"/>
    </row>
    <row r="691">
      <c r="B691" s="47"/>
      <c r="I691" s="34"/>
      <c r="Q691" s="46"/>
    </row>
    <row r="692">
      <c r="B692" s="47"/>
      <c r="I692" s="34"/>
      <c r="Q692" s="46"/>
    </row>
    <row r="693">
      <c r="B693" s="47"/>
      <c r="I693" s="34"/>
      <c r="Q693" s="46"/>
    </row>
    <row r="694">
      <c r="B694" s="47"/>
      <c r="I694" s="34"/>
      <c r="Q694" s="46"/>
    </row>
    <row r="695">
      <c r="B695" s="47"/>
      <c r="I695" s="34"/>
      <c r="Q695" s="46"/>
    </row>
    <row r="696">
      <c r="B696" s="47"/>
      <c r="I696" s="34"/>
      <c r="Q696" s="46"/>
    </row>
    <row r="697">
      <c r="B697" s="47"/>
      <c r="I697" s="34"/>
      <c r="Q697" s="46"/>
    </row>
    <row r="698">
      <c r="B698" s="47"/>
      <c r="I698" s="34"/>
      <c r="Q698" s="46"/>
    </row>
    <row r="699">
      <c r="B699" s="47"/>
      <c r="I699" s="34"/>
      <c r="Q699" s="46"/>
    </row>
    <row r="700">
      <c r="B700" s="47"/>
      <c r="I700" s="34"/>
      <c r="Q700" s="46"/>
    </row>
    <row r="701">
      <c r="B701" s="47"/>
      <c r="I701" s="34"/>
      <c r="Q701" s="46"/>
    </row>
    <row r="702">
      <c r="B702" s="47"/>
      <c r="I702" s="34"/>
      <c r="Q702" s="46"/>
    </row>
    <row r="703">
      <c r="B703" s="47"/>
      <c r="I703" s="34"/>
      <c r="Q703" s="46"/>
    </row>
    <row r="704">
      <c r="B704" s="47"/>
      <c r="I704" s="34"/>
      <c r="Q704" s="46"/>
    </row>
    <row r="705">
      <c r="B705" s="47"/>
      <c r="I705" s="34"/>
      <c r="Q705" s="46"/>
    </row>
    <row r="706">
      <c r="B706" s="47"/>
      <c r="I706" s="34"/>
      <c r="Q706" s="46"/>
    </row>
    <row r="707">
      <c r="B707" s="47"/>
      <c r="I707" s="34"/>
      <c r="Q707" s="46"/>
    </row>
    <row r="708">
      <c r="B708" s="47"/>
      <c r="I708" s="34"/>
      <c r="Q708" s="46"/>
    </row>
    <row r="709">
      <c r="B709" s="47"/>
      <c r="I709" s="34"/>
      <c r="Q709" s="46"/>
    </row>
    <row r="710">
      <c r="B710" s="47"/>
      <c r="I710" s="34"/>
      <c r="Q710" s="46"/>
    </row>
    <row r="711">
      <c r="B711" s="47"/>
      <c r="I711" s="34"/>
      <c r="Q711" s="46"/>
    </row>
    <row r="712">
      <c r="B712" s="47"/>
      <c r="I712" s="34"/>
      <c r="Q712" s="46"/>
    </row>
    <row r="713">
      <c r="B713" s="47"/>
      <c r="I713" s="34"/>
      <c r="Q713" s="46"/>
    </row>
    <row r="714">
      <c r="B714" s="47"/>
      <c r="I714" s="34"/>
      <c r="Q714" s="46"/>
    </row>
    <row r="715">
      <c r="B715" s="47"/>
      <c r="I715" s="34"/>
      <c r="Q715" s="46"/>
    </row>
    <row r="716">
      <c r="B716" s="47"/>
      <c r="I716" s="34"/>
      <c r="Q716" s="46"/>
    </row>
    <row r="717">
      <c r="B717" s="47"/>
      <c r="I717" s="34"/>
      <c r="Q717" s="46"/>
    </row>
    <row r="718">
      <c r="B718" s="47"/>
      <c r="I718" s="34"/>
      <c r="Q718" s="46"/>
    </row>
    <row r="719">
      <c r="B719" s="47"/>
      <c r="I719" s="34"/>
      <c r="Q719" s="46"/>
    </row>
    <row r="720">
      <c r="B720" s="47"/>
      <c r="I720" s="34"/>
      <c r="Q720" s="46"/>
    </row>
    <row r="721">
      <c r="B721" s="47"/>
      <c r="I721" s="34"/>
      <c r="Q721" s="46"/>
    </row>
    <row r="722">
      <c r="B722" s="47"/>
      <c r="I722" s="34"/>
      <c r="Q722" s="46"/>
    </row>
    <row r="723">
      <c r="B723" s="47"/>
      <c r="I723" s="34"/>
      <c r="Q723" s="46"/>
    </row>
    <row r="724">
      <c r="B724" s="47"/>
      <c r="I724" s="34"/>
      <c r="Q724" s="46"/>
    </row>
    <row r="725">
      <c r="B725" s="47"/>
      <c r="I725" s="34"/>
      <c r="Q725" s="46"/>
    </row>
    <row r="726">
      <c r="B726" s="47"/>
      <c r="I726" s="34"/>
      <c r="Q726" s="46"/>
    </row>
    <row r="727">
      <c r="B727" s="47"/>
      <c r="I727" s="34"/>
      <c r="Q727" s="46"/>
    </row>
    <row r="728">
      <c r="B728" s="47"/>
      <c r="I728" s="34"/>
      <c r="Q728" s="46"/>
    </row>
    <row r="729">
      <c r="B729" s="47"/>
      <c r="I729" s="34"/>
      <c r="Q729" s="46"/>
    </row>
    <row r="730">
      <c r="B730" s="47"/>
      <c r="I730" s="34"/>
      <c r="Q730" s="46"/>
    </row>
    <row r="731">
      <c r="B731" s="47"/>
      <c r="I731" s="34"/>
      <c r="Q731" s="46"/>
    </row>
    <row r="732">
      <c r="B732" s="47"/>
      <c r="I732" s="34"/>
      <c r="Q732" s="46"/>
    </row>
    <row r="733">
      <c r="B733" s="47"/>
      <c r="I733" s="34"/>
      <c r="Q733" s="46"/>
    </row>
    <row r="734">
      <c r="B734" s="47"/>
      <c r="I734" s="34"/>
      <c r="Q734" s="46"/>
    </row>
    <row r="735">
      <c r="B735" s="47"/>
      <c r="I735" s="34"/>
      <c r="Q735" s="46"/>
    </row>
    <row r="736">
      <c r="B736" s="47"/>
      <c r="I736" s="34"/>
      <c r="Q736" s="46"/>
    </row>
    <row r="737">
      <c r="B737" s="47"/>
      <c r="I737" s="34"/>
      <c r="Q737" s="46"/>
    </row>
    <row r="738">
      <c r="B738" s="47"/>
      <c r="I738" s="34"/>
      <c r="Q738" s="46"/>
    </row>
    <row r="739">
      <c r="B739" s="47"/>
      <c r="I739" s="34"/>
      <c r="Q739" s="46"/>
    </row>
    <row r="740">
      <c r="B740" s="47"/>
      <c r="I740" s="34"/>
      <c r="Q740" s="46"/>
    </row>
    <row r="741">
      <c r="B741" s="47"/>
      <c r="I741" s="34"/>
      <c r="Q741" s="46"/>
    </row>
    <row r="742">
      <c r="B742" s="47"/>
      <c r="I742" s="34"/>
      <c r="Q742" s="46"/>
    </row>
    <row r="743">
      <c r="B743" s="47"/>
      <c r="I743" s="34"/>
      <c r="Q743" s="46"/>
    </row>
    <row r="744">
      <c r="B744" s="47"/>
      <c r="I744" s="34"/>
      <c r="Q744" s="46"/>
    </row>
    <row r="745">
      <c r="B745" s="47"/>
      <c r="I745" s="34"/>
      <c r="Q745" s="46"/>
    </row>
    <row r="746">
      <c r="B746" s="47"/>
      <c r="I746" s="34"/>
      <c r="Q746" s="46"/>
    </row>
    <row r="747">
      <c r="B747" s="47"/>
      <c r="I747" s="34"/>
      <c r="Q747" s="46"/>
    </row>
    <row r="748">
      <c r="B748" s="47"/>
      <c r="I748" s="34"/>
      <c r="Q748" s="46"/>
    </row>
    <row r="749">
      <c r="B749" s="47"/>
      <c r="I749" s="34"/>
      <c r="Q749" s="46"/>
    </row>
    <row r="750">
      <c r="B750" s="47"/>
      <c r="I750" s="34"/>
      <c r="Q750" s="46"/>
    </row>
    <row r="751">
      <c r="B751" s="47"/>
      <c r="I751" s="34"/>
      <c r="Q751" s="46"/>
    </row>
    <row r="752">
      <c r="B752" s="47"/>
      <c r="I752" s="34"/>
      <c r="Q752" s="46"/>
    </row>
    <row r="753">
      <c r="B753" s="47"/>
      <c r="I753" s="34"/>
      <c r="Q753" s="46"/>
    </row>
    <row r="754">
      <c r="B754" s="47"/>
      <c r="I754" s="34"/>
      <c r="Q754" s="46"/>
    </row>
    <row r="755">
      <c r="B755" s="47"/>
      <c r="I755" s="34"/>
      <c r="Q755" s="46"/>
    </row>
    <row r="756">
      <c r="B756" s="47"/>
      <c r="I756" s="34"/>
      <c r="Q756" s="46"/>
    </row>
    <row r="757">
      <c r="B757" s="47"/>
      <c r="I757" s="34"/>
      <c r="Q757" s="46"/>
    </row>
    <row r="758">
      <c r="B758" s="47"/>
      <c r="I758" s="34"/>
      <c r="Q758" s="46"/>
    </row>
    <row r="759">
      <c r="B759" s="47"/>
      <c r="I759" s="34"/>
      <c r="Q759" s="46"/>
    </row>
    <row r="760">
      <c r="B760" s="47"/>
      <c r="I760" s="34"/>
      <c r="Q760" s="46"/>
    </row>
    <row r="761">
      <c r="B761" s="47"/>
      <c r="I761" s="34"/>
      <c r="Q761" s="46"/>
    </row>
    <row r="762">
      <c r="B762" s="47"/>
      <c r="I762" s="34"/>
      <c r="Q762" s="46"/>
    </row>
    <row r="763">
      <c r="B763" s="47"/>
      <c r="I763" s="34"/>
      <c r="Q763" s="46"/>
    </row>
    <row r="764">
      <c r="B764" s="47"/>
      <c r="I764" s="34"/>
      <c r="Q764" s="46"/>
    </row>
    <row r="765">
      <c r="B765" s="47"/>
      <c r="I765" s="34"/>
      <c r="Q765" s="46"/>
    </row>
    <row r="766">
      <c r="B766" s="47"/>
      <c r="I766" s="34"/>
      <c r="Q766" s="46"/>
    </row>
    <row r="767">
      <c r="B767" s="47"/>
      <c r="I767" s="34"/>
      <c r="Q767" s="46"/>
    </row>
    <row r="768">
      <c r="B768" s="47"/>
      <c r="I768" s="34"/>
      <c r="Q768" s="46"/>
    </row>
    <row r="769">
      <c r="B769" s="47"/>
      <c r="I769" s="34"/>
      <c r="Q769" s="46"/>
    </row>
    <row r="770">
      <c r="B770" s="47"/>
      <c r="I770" s="34"/>
      <c r="Q770" s="46"/>
    </row>
    <row r="771">
      <c r="B771" s="47"/>
      <c r="I771" s="34"/>
      <c r="Q771" s="46"/>
    </row>
    <row r="772">
      <c r="B772" s="47"/>
      <c r="I772" s="34"/>
      <c r="Q772" s="46"/>
    </row>
    <row r="773">
      <c r="B773" s="47"/>
      <c r="I773" s="34"/>
      <c r="Q773" s="46"/>
    </row>
    <row r="774">
      <c r="B774" s="47"/>
      <c r="I774" s="34"/>
      <c r="Q774" s="46"/>
    </row>
    <row r="775">
      <c r="B775" s="47"/>
      <c r="I775" s="34"/>
      <c r="Q775" s="46"/>
    </row>
    <row r="776">
      <c r="B776" s="47"/>
      <c r="I776" s="34"/>
      <c r="Q776" s="46"/>
    </row>
    <row r="777">
      <c r="B777" s="47"/>
      <c r="I777" s="34"/>
      <c r="Q777" s="46"/>
    </row>
    <row r="778">
      <c r="B778" s="47"/>
      <c r="I778" s="34"/>
      <c r="Q778" s="46"/>
    </row>
    <row r="779">
      <c r="B779" s="47"/>
      <c r="I779" s="34"/>
      <c r="Q779" s="46"/>
    </row>
    <row r="780">
      <c r="B780" s="47"/>
      <c r="I780" s="34"/>
      <c r="Q780" s="46"/>
    </row>
    <row r="781">
      <c r="B781" s="47"/>
      <c r="I781" s="34"/>
      <c r="Q781" s="46"/>
    </row>
    <row r="782">
      <c r="B782" s="47"/>
      <c r="I782" s="34"/>
      <c r="Q782" s="46"/>
    </row>
    <row r="783">
      <c r="B783" s="47"/>
      <c r="I783" s="34"/>
      <c r="Q783" s="46"/>
    </row>
    <row r="784">
      <c r="B784" s="47"/>
      <c r="I784" s="34"/>
      <c r="Q784" s="46"/>
    </row>
    <row r="785">
      <c r="B785" s="47"/>
      <c r="I785" s="34"/>
      <c r="Q785" s="46"/>
    </row>
    <row r="786">
      <c r="B786" s="47"/>
      <c r="I786" s="34"/>
      <c r="Q786" s="46"/>
    </row>
    <row r="787">
      <c r="B787" s="47"/>
      <c r="I787" s="34"/>
      <c r="Q787" s="46"/>
    </row>
    <row r="788">
      <c r="B788" s="47"/>
      <c r="I788" s="34"/>
      <c r="Q788" s="46"/>
    </row>
    <row r="789">
      <c r="B789" s="47"/>
      <c r="I789" s="34"/>
      <c r="Q789" s="46"/>
    </row>
    <row r="790">
      <c r="B790" s="47"/>
      <c r="I790" s="34"/>
      <c r="Q790" s="46"/>
    </row>
    <row r="791">
      <c r="B791" s="47"/>
      <c r="I791" s="34"/>
      <c r="Q791" s="46"/>
    </row>
    <row r="792">
      <c r="B792" s="47"/>
      <c r="I792" s="34"/>
      <c r="Q792" s="46"/>
    </row>
    <row r="793">
      <c r="B793" s="47"/>
      <c r="I793" s="34"/>
      <c r="Q793" s="46"/>
    </row>
    <row r="794">
      <c r="B794" s="47"/>
      <c r="I794" s="34"/>
      <c r="Q794" s="46"/>
    </row>
    <row r="795">
      <c r="B795" s="47"/>
      <c r="I795" s="34"/>
      <c r="Q795" s="46"/>
    </row>
    <row r="796">
      <c r="B796" s="47"/>
      <c r="I796" s="34"/>
      <c r="Q796" s="46"/>
    </row>
    <row r="797">
      <c r="B797" s="47"/>
      <c r="I797" s="34"/>
      <c r="Q797" s="46"/>
    </row>
    <row r="798">
      <c r="B798" s="47"/>
      <c r="I798" s="34"/>
      <c r="Q798" s="46"/>
    </row>
    <row r="799">
      <c r="B799" s="47"/>
      <c r="I799" s="34"/>
      <c r="Q799" s="46"/>
    </row>
    <row r="800">
      <c r="B800" s="47"/>
      <c r="I800" s="34"/>
      <c r="Q800" s="46"/>
    </row>
    <row r="801">
      <c r="B801" s="47"/>
      <c r="I801" s="34"/>
      <c r="Q801" s="46"/>
    </row>
    <row r="802">
      <c r="B802" s="47"/>
      <c r="I802" s="34"/>
      <c r="Q802" s="46"/>
    </row>
    <row r="803">
      <c r="B803" s="47"/>
      <c r="I803" s="34"/>
      <c r="Q803" s="46"/>
    </row>
    <row r="804">
      <c r="B804" s="47"/>
      <c r="I804" s="34"/>
      <c r="Q804" s="46"/>
    </row>
    <row r="805">
      <c r="B805" s="47"/>
      <c r="I805" s="34"/>
      <c r="Q805" s="46"/>
    </row>
    <row r="806">
      <c r="B806" s="47"/>
      <c r="I806" s="34"/>
      <c r="Q806" s="46"/>
    </row>
    <row r="807">
      <c r="B807" s="47"/>
      <c r="I807" s="34"/>
      <c r="Q807" s="46"/>
    </row>
    <row r="808">
      <c r="B808" s="47"/>
      <c r="I808" s="34"/>
      <c r="Q808" s="46"/>
    </row>
    <row r="809">
      <c r="B809" s="47"/>
      <c r="I809" s="34"/>
      <c r="Q809" s="46"/>
    </row>
    <row r="810">
      <c r="B810" s="47"/>
      <c r="I810" s="34"/>
      <c r="Q810" s="46"/>
    </row>
    <row r="811">
      <c r="B811" s="47"/>
      <c r="I811" s="34"/>
      <c r="Q811" s="46"/>
    </row>
    <row r="812">
      <c r="B812" s="47"/>
      <c r="I812" s="34"/>
      <c r="Q812" s="46"/>
    </row>
    <row r="813">
      <c r="B813" s="47"/>
      <c r="I813" s="34"/>
      <c r="Q813" s="46"/>
    </row>
    <row r="814">
      <c r="B814" s="47"/>
      <c r="I814" s="34"/>
      <c r="Q814" s="46"/>
    </row>
    <row r="815">
      <c r="B815" s="47"/>
      <c r="I815" s="34"/>
      <c r="Q815" s="46"/>
    </row>
    <row r="816">
      <c r="B816" s="47"/>
      <c r="I816" s="34"/>
      <c r="Q816" s="46"/>
    </row>
    <row r="817">
      <c r="B817" s="47"/>
      <c r="I817" s="34"/>
      <c r="Q817" s="46"/>
    </row>
    <row r="818">
      <c r="B818" s="47"/>
      <c r="I818" s="34"/>
      <c r="Q818" s="46"/>
    </row>
    <row r="819">
      <c r="B819" s="47"/>
      <c r="I819" s="34"/>
      <c r="Q819" s="46"/>
    </row>
    <row r="820">
      <c r="B820" s="47"/>
      <c r="I820" s="34"/>
      <c r="Q820" s="46"/>
    </row>
    <row r="821">
      <c r="B821" s="47"/>
      <c r="I821" s="34"/>
      <c r="Q821" s="46"/>
    </row>
    <row r="822">
      <c r="B822" s="47"/>
      <c r="I822" s="34"/>
      <c r="Q822" s="46"/>
    </row>
    <row r="823">
      <c r="B823" s="47"/>
      <c r="I823" s="34"/>
      <c r="Q823" s="46"/>
    </row>
    <row r="824">
      <c r="B824" s="47"/>
      <c r="I824" s="34"/>
      <c r="Q824" s="46"/>
    </row>
    <row r="825">
      <c r="B825" s="47"/>
      <c r="I825" s="34"/>
      <c r="Q825" s="46"/>
    </row>
    <row r="826">
      <c r="B826" s="47"/>
      <c r="I826" s="34"/>
      <c r="Q826" s="46"/>
    </row>
    <row r="827">
      <c r="B827" s="47"/>
      <c r="I827" s="34"/>
      <c r="Q827" s="46"/>
    </row>
    <row r="828">
      <c r="B828" s="47"/>
      <c r="I828" s="34"/>
      <c r="Q828" s="46"/>
    </row>
    <row r="829">
      <c r="B829" s="47"/>
      <c r="I829" s="34"/>
      <c r="Q829" s="46"/>
    </row>
    <row r="830">
      <c r="B830" s="47"/>
      <c r="I830" s="34"/>
      <c r="Q830" s="46"/>
    </row>
    <row r="831">
      <c r="B831" s="47"/>
      <c r="I831" s="34"/>
      <c r="Q831" s="46"/>
    </row>
    <row r="832">
      <c r="B832" s="47"/>
      <c r="I832" s="34"/>
      <c r="Q832" s="46"/>
    </row>
    <row r="833">
      <c r="B833" s="47"/>
      <c r="I833" s="34"/>
      <c r="Q833" s="46"/>
    </row>
    <row r="834">
      <c r="B834" s="47"/>
      <c r="I834" s="34"/>
      <c r="Q834" s="46"/>
    </row>
    <row r="835">
      <c r="B835" s="47"/>
      <c r="I835" s="34"/>
      <c r="Q835" s="46"/>
    </row>
    <row r="836">
      <c r="B836" s="47"/>
      <c r="I836" s="34"/>
      <c r="Q836" s="46"/>
    </row>
    <row r="837">
      <c r="B837" s="47"/>
      <c r="I837" s="34"/>
      <c r="Q837" s="46"/>
    </row>
    <row r="838">
      <c r="B838" s="47"/>
      <c r="I838" s="34"/>
      <c r="Q838" s="46"/>
    </row>
    <row r="839">
      <c r="B839" s="47"/>
      <c r="I839" s="34"/>
      <c r="Q839" s="46"/>
    </row>
    <row r="840">
      <c r="B840" s="47"/>
      <c r="I840" s="34"/>
      <c r="Q840" s="46"/>
    </row>
    <row r="841">
      <c r="B841" s="47"/>
      <c r="I841" s="34"/>
      <c r="Q841" s="46"/>
    </row>
    <row r="842">
      <c r="B842" s="47"/>
      <c r="I842" s="34"/>
      <c r="Q842" s="46"/>
    </row>
    <row r="843">
      <c r="B843" s="47"/>
      <c r="I843" s="34"/>
      <c r="Q843" s="46"/>
    </row>
    <row r="844">
      <c r="B844" s="47"/>
      <c r="I844" s="34"/>
      <c r="Q844" s="46"/>
    </row>
    <row r="845">
      <c r="B845" s="47"/>
      <c r="I845" s="34"/>
      <c r="Q845" s="46"/>
    </row>
    <row r="846">
      <c r="B846" s="47"/>
      <c r="I846" s="34"/>
      <c r="Q846" s="46"/>
    </row>
    <row r="847">
      <c r="B847" s="47"/>
      <c r="I847" s="34"/>
      <c r="Q847" s="46"/>
    </row>
    <row r="848">
      <c r="B848" s="47"/>
      <c r="I848" s="34"/>
      <c r="Q848" s="46"/>
    </row>
    <row r="849">
      <c r="B849" s="47"/>
      <c r="I849" s="34"/>
      <c r="Q849" s="46"/>
    </row>
    <row r="850">
      <c r="B850" s="47"/>
      <c r="I850" s="34"/>
      <c r="Q850" s="46"/>
    </row>
    <row r="851">
      <c r="B851" s="47"/>
      <c r="I851" s="34"/>
      <c r="Q851" s="46"/>
    </row>
    <row r="852">
      <c r="B852" s="47"/>
      <c r="I852" s="34"/>
      <c r="Q852" s="46"/>
    </row>
    <row r="853">
      <c r="B853" s="47"/>
      <c r="I853" s="34"/>
      <c r="Q853" s="46"/>
    </row>
    <row r="854">
      <c r="B854" s="47"/>
      <c r="I854" s="34"/>
      <c r="Q854" s="46"/>
    </row>
    <row r="855">
      <c r="B855" s="47"/>
      <c r="I855" s="34"/>
      <c r="Q855" s="46"/>
    </row>
    <row r="856">
      <c r="B856" s="47"/>
      <c r="I856" s="34"/>
      <c r="Q856" s="46"/>
    </row>
    <row r="857">
      <c r="B857" s="47"/>
      <c r="I857" s="34"/>
      <c r="Q857" s="46"/>
    </row>
    <row r="858">
      <c r="B858" s="47"/>
      <c r="I858" s="34"/>
      <c r="Q858" s="46"/>
    </row>
    <row r="859">
      <c r="B859" s="47"/>
      <c r="I859" s="34"/>
      <c r="Q859" s="46"/>
    </row>
    <row r="860">
      <c r="B860" s="47"/>
      <c r="I860" s="34"/>
      <c r="Q860" s="46"/>
    </row>
    <row r="861">
      <c r="B861" s="47"/>
      <c r="I861" s="34"/>
      <c r="Q861" s="46"/>
    </row>
    <row r="862">
      <c r="B862" s="47"/>
      <c r="I862" s="34"/>
      <c r="Q862" s="46"/>
    </row>
    <row r="863">
      <c r="B863" s="47"/>
      <c r="I863" s="34"/>
      <c r="Q863" s="46"/>
    </row>
    <row r="864">
      <c r="B864" s="47"/>
      <c r="I864" s="34"/>
      <c r="Q864" s="46"/>
    </row>
    <row r="865">
      <c r="B865" s="47"/>
      <c r="I865" s="34"/>
      <c r="Q865" s="46"/>
    </row>
    <row r="866">
      <c r="B866" s="47"/>
      <c r="I866" s="34"/>
      <c r="Q866" s="46"/>
    </row>
    <row r="867">
      <c r="B867" s="47"/>
      <c r="I867" s="34"/>
      <c r="Q867" s="46"/>
    </row>
    <row r="868">
      <c r="B868" s="47"/>
      <c r="I868" s="34"/>
      <c r="Q868" s="46"/>
    </row>
    <row r="869">
      <c r="B869" s="47"/>
      <c r="I869" s="34"/>
      <c r="Q869" s="46"/>
    </row>
    <row r="870">
      <c r="B870" s="47"/>
      <c r="I870" s="34"/>
      <c r="Q870" s="46"/>
    </row>
    <row r="871">
      <c r="B871" s="47"/>
      <c r="I871" s="34"/>
      <c r="Q871" s="46"/>
    </row>
    <row r="872">
      <c r="B872" s="47"/>
      <c r="I872" s="34"/>
      <c r="Q872" s="46"/>
    </row>
    <row r="873">
      <c r="B873" s="47"/>
      <c r="I873" s="34"/>
      <c r="Q873" s="46"/>
    </row>
    <row r="874">
      <c r="B874" s="47"/>
      <c r="I874" s="34"/>
      <c r="Q874" s="46"/>
    </row>
    <row r="875">
      <c r="B875" s="47"/>
      <c r="I875" s="34"/>
      <c r="Q875" s="46"/>
    </row>
    <row r="876">
      <c r="B876" s="47"/>
      <c r="I876" s="34"/>
      <c r="Q876" s="46"/>
    </row>
    <row r="877">
      <c r="B877" s="47"/>
      <c r="I877" s="34"/>
      <c r="Q877" s="46"/>
    </row>
    <row r="878">
      <c r="B878" s="47"/>
      <c r="I878" s="34"/>
      <c r="Q878" s="46"/>
    </row>
    <row r="879">
      <c r="B879" s="47"/>
      <c r="I879" s="34"/>
      <c r="Q879" s="46"/>
    </row>
    <row r="880">
      <c r="B880" s="47"/>
      <c r="I880" s="34"/>
      <c r="Q880" s="46"/>
    </row>
    <row r="881">
      <c r="B881" s="47"/>
      <c r="I881" s="34"/>
      <c r="Q881" s="46"/>
    </row>
    <row r="882">
      <c r="B882" s="47"/>
      <c r="I882" s="34"/>
      <c r="Q882" s="46"/>
    </row>
    <row r="883">
      <c r="B883" s="47"/>
      <c r="I883" s="34"/>
      <c r="Q883" s="46"/>
    </row>
    <row r="884">
      <c r="B884" s="47"/>
      <c r="I884" s="34"/>
      <c r="Q884" s="46"/>
    </row>
    <row r="885">
      <c r="B885" s="47"/>
      <c r="I885" s="34"/>
      <c r="Q885" s="46"/>
    </row>
    <row r="886">
      <c r="B886" s="47"/>
      <c r="I886" s="34"/>
      <c r="Q886" s="46"/>
    </row>
    <row r="887">
      <c r="B887" s="47"/>
      <c r="I887" s="34"/>
      <c r="Q887" s="46"/>
    </row>
    <row r="888">
      <c r="B888" s="47"/>
      <c r="I888" s="34"/>
      <c r="Q888" s="46"/>
    </row>
    <row r="889">
      <c r="B889" s="47"/>
      <c r="I889" s="34"/>
      <c r="Q889" s="46"/>
    </row>
    <row r="890">
      <c r="B890" s="47"/>
      <c r="I890" s="34"/>
      <c r="Q890" s="46"/>
    </row>
    <row r="891">
      <c r="B891" s="47"/>
      <c r="I891" s="34"/>
      <c r="Q891" s="46"/>
    </row>
    <row r="892">
      <c r="B892" s="47"/>
      <c r="I892" s="34"/>
      <c r="Q892" s="46"/>
    </row>
    <row r="893">
      <c r="B893" s="47"/>
      <c r="I893" s="34"/>
      <c r="Q893" s="46"/>
    </row>
    <row r="894">
      <c r="B894" s="47"/>
      <c r="I894" s="34"/>
      <c r="Q894" s="46"/>
    </row>
    <row r="895">
      <c r="B895" s="47"/>
      <c r="I895" s="34"/>
      <c r="Q895" s="46"/>
    </row>
    <row r="896">
      <c r="B896" s="47"/>
      <c r="I896" s="34"/>
      <c r="Q896" s="46"/>
    </row>
    <row r="897">
      <c r="B897" s="47"/>
      <c r="I897" s="34"/>
      <c r="Q897" s="46"/>
    </row>
    <row r="898">
      <c r="B898" s="47"/>
      <c r="I898" s="34"/>
      <c r="Q898" s="46"/>
    </row>
    <row r="899">
      <c r="B899" s="47"/>
      <c r="I899" s="34"/>
      <c r="Q899" s="46"/>
    </row>
    <row r="900">
      <c r="B900" s="47"/>
      <c r="I900" s="34"/>
      <c r="Q900" s="46"/>
    </row>
    <row r="901">
      <c r="B901" s="47"/>
      <c r="I901" s="34"/>
      <c r="Q901" s="46"/>
    </row>
    <row r="902">
      <c r="B902" s="47"/>
      <c r="I902" s="34"/>
      <c r="Q902" s="46"/>
    </row>
    <row r="903">
      <c r="B903" s="47"/>
      <c r="I903" s="34"/>
      <c r="Q903" s="46"/>
    </row>
    <row r="904">
      <c r="B904" s="47"/>
      <c r="I904" s="34"/>
      <c r="Q904" s="46"/>
    </row>
    <row r="905">
      <c r="B905" s="47"/>
      <c r="I905" s="34"/>
      <c r="Q905" s="46"/>
    </row>
    <row r="906">
      <c r="B906" s="47"/>
      <c r="I906" s="34"/>
      <c r="Q906" s="46"/>
    </row>
    <row r="907">
      <c r="B907" s="47"/>
      <c r="I907" s="34"/>
      <c r="Q907" s="46"/>
    </row>
    <row r="908">
      <c r="B908" s="47"/>
      <c r="I908" s="34"/>
      <c r="Q908" s="46"/>
    </row>
    <row r="909">
      <c r="B909" s="47"/>
      <c r="I909" s="34"/>
      <c r="Q909" s="46"/>
    </row>
    <row r="910">
      <c r="B910" s="47"/>
      <c r="I910" s="34"/>
      <c r="Q910" s="46"/>
    </row>
    <row r="911">
      <c r="B911" s="47"/>
      <c r="I911" s="34"/>
      <c r="Q911" s="46"/>
    </row>
    <row r="912">
      <c r="B912" s="47"/>
      <c r="I912" s="34"/>
      <c r="Q912" s="46"/>
    </row>
    <row r="913">
      <c r="B913" s="47"/>
      <c r="I913" s="34"/>
      <c r="Q913" s="46"/>
    </row>
    <row r="914">
      <c r="B914" s="47"/>
      <c r="I914" s="34"/>
      <c r="Q914" s="46"/>
    </row>
    <row r="915">
      <c r="B915" s="47"/>
      <c r="I915" s="34"/>
      <c r="Q915" s="46"/>
    </row>
    <row r="916">
      <c r="B916" s="47"/>
      <c r="I916" s="34"/>
      <c r="Q916" s="46"/>
    </row>
    <row r="917">
      <c r="B917" s="47"/>
      <c r="I917" s="34"/>
      <c r="Q917" s="46"/>
    </row>
    <row r="918">
      <c r="B918" s="47"/>
      <c r="I918" s="34"/>
      <c r="Q918" s="46"/>
    </row>
    <row r="919">
      <c r="B919" s="47"/>
      <c r="I919" s="34"/>
      <c r="Q919" s="46"/>
    </row>
    <row r="920">
      <c r="B920" s="47"/>
      <c r="I920" s="34"/>
      <c r="Q920" s="46"/>
    </row>
    <row r="921">
      <c r="B921" s="47"/>
      <c r="I921" s="34"/>
      <c r="Q921" s="46"/>
    </row>
    <row r="922">
      <c r="B922" s="47"/>
      <c r="I922" s="34"/>
      <c r="Q922" s="46"/>
    </row>
    <row r="923">
      <c r="B923" s="47"/>
      <c r="I923" s="34"/>
      <c r="Q923" s="46"/>
    </row>
    <row r="924">
      <c r="B924" s="47"/>
      <c r="I924" s="34"/>
      <c r="Q924" s="46"/>
    </row>
    <row r="925">
      <c r="B925" s="47"/>
      <c r="I925" s="34"/>
      <c r="Q925" s="46"/>
    </row>
    <row r="926">
      <c r="B926" s="47"/>
      <c r="I926" s="34"/>
      <c r="Q926" s="46"/>
    </row>
    <row r="927">
      <c r="B927" s="47"/>
      <c r="I927" s="34"/>
      <c r="Q927" s="46"/>
    </row>
    <row r="928">
      <c r="B928" s="47"/>
      <c r="I928" s="34"/>
      <c r="Q928" s="46"/>
    </row>
    <row r="929">
      <c r="B929" s="47"/>
      <c r="I929" s="34"/>
      <c r="Q929" s="46"/>
    </row>
    <row r="930">
      <c r="B930" s="47"/>
      <c r="I930" s="34"/>
      <c r="Q930" s="46"/>
    </row>
    <row r="931">
      <c r="B931" s="47"/>
      <c r="I931" s="34"/>
      <c r="Q931" s="46"/>
    </row>
    <row r="932">
      <c r="B932" s="47"/>
      <c r="I932" s="34"/>
      <c r="Q932" s="46"/>
    </row>
    <row r="933">
      <c r="B933" s="47"/>
      <c r="I933" s="34"/>
      <c r="Q933" s="46"/>
    </row>
    <row r="934">
      <c r="B934" s="47"/>
      <c r="I934" s="34"/>
      <c r="Q934" s="46"/>
    </row>
    <row r="935">
      <c r="B935" s="47"/>
      <c r="I935" s="34"/>
      <c r="Q935" s="46"/>
    </row>
    <row r="936">
      <c r="B936" s="47"/>
      <c r="I936" s="34"/>
      <c r="Q936" s="46"/>
    </row>
    <row r="937">
      <c r="B937" s="47"/>
      <c r="I937" s="34"/>
      <c r="Q937" s="46"/>
    </row>
    <row r="938">
      <c r="B938" s="47"/>
      <c r="I938" s="34"/>
      <c r="Q938" s="46"/>
    </row>
    <row r="939">
      <c r="B939" s="47"/>
      <c r="I939" s="34"/>
      <c r="Q939" s="46"/>
    </row>
    <row r="940">
      <c r="B940" s="47"/>
      <c r="I940" s="34"/>
      <c r="Q940" s="46"/>
    </row>
    <row r="941">
      <c r="B941" s="47"/>
      <c r="I941" s="34"/>
      <c r="Q941" s="46"/>
    </row>
    <row r="942">
      <c r="B942" s="47"/>
      <c r="I942" s="34"/>
      <c r="Q942" s="46"/>
    </row>
    <row r="943">
      <c r="B943" s="47"/>
      <c r="I943" s="34"/>
      <c r="Q943" s="46"/>
    </row>
    <row r="944">
      <c r="B944" s="47"/>
      <c r="I944" s="34"/>
      <c r="Q944" s="46"/>
    </row>
    <row r="945">
      <c r="B945" s="47"/>
      <c r="I945" s="34"/>
      <c r="Q945" s="46"/>
    </row>
    <row r="946">
      <c r="B946" s="47"/>
      <c r="I946" s="34"/>
      <c r="Q946" s="46"/>
    </row>
    <row r="947">
      <c r="B947" s="47"/>
      <c r="I947" s="34"/>
      <c r="Q947" s="46"/>
    </row>
    <row r="948">
      <c r="B948" s="47"/>
      <c r="I948" s="34"/>
      <c r="Q948" s="46"/>
    </row>
    <row r="949">
      <c r="B949" s="47"/>
      <c r="I949" s="34"/>
      <c r="Q949" s="46"/>
    </row>
    <row r="950">
      <c r="B950" s="47"/>
      <c r="I950" s="34"/>
      <c r="Q950" s="46"/>
    </row>
    <row r="951">
      <c r="B951" s="47"/>
      <c r="I951" s="34"/>
      <c r="Q951" s="46"/>
    </row>
    <row r="952">
      <c r="B952" s="47"/>
      <c r="I952" s="34"/>
      <c r="Q952" s="46"/>
    </row>
    <row r="953">
      <c r="B953" s="47"/>
      <c r="I953" s="34"/>
      <c r="Q953" s="46"/>
    </row>
    <row r="954">
      <c r="B954" s="47"/>
      <c r="I954" s="34"/>
      <c r="Q954" s="46"/>
    </row>
    <row r="955">
      <c r="B955" s="47"/>
      <c r="I955" s="34"/>
      <c r="Q955" s="46"/>
    </row>
    <row r="956">
      <c r="B956" s="47"/>
      <c r="I956" s="34"/>
      <c r="Q956" s="46"/>
    </row>
    <row r="957">
      <c r="B957" s="47"/>
      <c r="I957" s="34"/>
      <c r="Q957" s="46"/>
    </row>
    <row r="958">
      <c r="B958" s="47"/>
      <c r="I958" s="34"/>
      <c r="Q958" s="46"/>
    </row>
    <row r="959">
      <c r="B959" s="47"/>
      <c r="I959" s="34"/>
      <c r="Q959" s="46"/>
    </row>
    <row r="960">
      <c r="B960" s="47"/>
      <c r="I960" s="34"/>
      <c r="Q960" s="46"/>
    </row>
    <row r="961">
      <c r="B961" s="47"/>
      <c r="I961" s="34"/>
      <c r="Q961" s="46"/>
    </row>
    <row r="962">
      <c r="B962" s="47"/>
      <c r="I962" s="34"/>
      <c r="Q962" s="46"/>
    </row>
    <row r="963">
      <c r="B963" s="47"/>
      <c r="I963" s="34"/>
      <c r="Q963" s="46"/>
    </row>
    <row r="964">
      <c r="B964" s="47"/>
      <c r="I964" s="34"/>
      <c r="Q964" s="46"/>
    </row>
    <row r="965">
      <c r="B965" s="47"/>
      <c r="I965" s="34"/>
      <c r="Q965" s="46"/>
    </row>
    <row r="966">
      <c r="B966" s="47"/>
      <c r="I966" s="34"/>
      <c r="Q966" s="46"/>
    </row>
    <row r="967">
      <c r="B967" s="47"/>
      <c r="I967" s="34"/>
      <c r="Q967" s="46"/>
    </row>
    <row r="968">
      <c r="B968" s="47"/>
      <c r="I968" s="34"/>
      <c r="Q968" s="46"/>
    </row>
    <row r="969">
      <c r="B969" s="47"/>
      <c r="I969" s="34"/>
      <c r="Q969" s="46"/>
    </row>
    <row r="970">
      <c r="B970" s="47"/>
      <c r="I970" s="34"/>
      <c r="Q970" s="46"/>
    </row>
    <row r="971">
      <c r="B971" s="47"/>
      <c r="I971" s="34"/>
      <c r="Q971" s="46"/>
    </row>
    <row r="972">
      <c r="B972" s="47"/>
      <c r="I972" s="34"/>
      <c r="Q972" s="46"/>
    </row>
    <row r="973">
      <c r="B973" s="47"/>
      <c r="I973" s="34"/>
      <c r="Q973" s="46"/>
    </row>
    <row r="974">
      <c r="B974" s="47"/>
      <c r="I974" s="34"/>
      <c r="Q974" s="46"/>
    </row>
    <row r="975">
      <c r="B975" s="47"/>
      <c r="I975" s="34"/>
      <c r="Q975" s="46"/>
    </row>
    <row r="976">
      <c r="B976" s="47"/>
      <c r="I976" s="34"/>
      <c r="Q976" s="46"/>
    </row>
    <row r="977">
      <c r="B977" s="47"/>
      <c r="I977" s="34"/>
      <c r="Q977" s="46"/>
    </row>
    <row r="978">
      <c r="B978" s="47"/>
      <c r="I978" s="34"/>
      <c r="Q978" s="46"/>
    </row>
    <row r="979">
      <c r="B979" s="47"/>
      <c r="I979" s="34"/>
      <c r="Q979" s="46"/>
    </row>
    <row r="980">
      <c r="B980" s="47"/>
      <c r="I980" s="34"/>
      <c r="Q980" s="46"/>
    </row>
    <row r="981">
      <c r="B981" s="47"/>
      <c r="I981" s="34"/>
      <c r="Q981" s="46"/>
    </row>
    <row r="982">
      <c r="B982" s="47"/>
      <c r="I982" s="34"/>
      <c r="Q982" s="46"/>
    </row>
    <row r="983">
      <c r="B983" s="47"/>
      <c r="I983" s="34"/>
      <c r="Q983" s="46"/>
    </row>
    <row r="984">
      <c r="B984" s="47"/>
      <c r="I984" s="34"/>
      <c r="Q984" s="46"/>
    </row>
    <row r="985">
      <c r="B985" s="47"/>
      <c r="I985" s="34"/>
      <c r="Q985" s="46"/>
    </row>
    <row r="986">
      <c r="B986" s="47"/>
      <c r="I986" s="34"/>
      <c r="Q986" s="46"/>
    </row>
    <row r="987">
      <c r="B987" s="47"/>
      <c r="I987" s="34"/>
      <c r="Q987" s="46"/>
    </row>
    <row r="988">
      <c r="B988" s="47"/>
      <c r="I988" s="34"/>
      <c r="Q988" s="46"/>
    </row>
    <row r="989">
      <c r="B989" s="47"/>
      <c r="I989" s="34"/>
      <c r="Q989" s="46"/>
    </row>
    <row r="990">
      <c r="B990" s="47"/>
      <c r="I990" s="34"/>
      <c r="Q990" s="46"/>
    </row>
    <row r="991">
      <c r="B991" s="47"/>
      <c r="I991" s="34"/>
      <c r="Q991" s="46"/>
    </row>
    <row r="992">
      <c r="B992" s="47"/>
      <c r="I992" s="34"/>
      <c r="Q992" s="46"/>
    </row>
    <row r="993">
      <c r="B993" s="47"/>
      <c r="I993" s="34"/>
      <c r="Q993" s="46"/>
    </row>
    <row r="994">
      <c r="B994" s="47"/>
      <c r="I994" s="34"/>
      <c r="Q994" s="46"/>
    </row>
    <row r="995">
      <c r="B995" s="47"/>
      <c r="I995" s="34"/>
      <c r="Q995" s="46"/>
    </row>
    <row r="996">
      <c r="B996" s="47"/>
      <c r="I996" s="34"/>
      <c r="Q996" s="46"/>
    </row>
    <row r="997">
      <c r="B997" s="47"/>
      <c r="I997" s="34"/>
      <c r="Q997" s="46"/>
    </row>
    <row r="998">
      <c r="B998" s="47"/>
      <c r="I998" s="34"/>
      <c r="Q998" s="46"/>
    </row>
    <row r="999">
      <c r="B999" s="47"/>
      <c r="I999" s="34"/>
      <c r="Q999" s="46"/>
    </row>
    <row r="1000">
      <c r="B1000" s="47"/>
      <c r="I1000" s="34"/>
      <c r="Q1000" s="46"/>
    </row>
  </sheetData>
  <autoFilter ref="$A$1:$U$101"/>
  <conditionalFormatting sqref="C1:S1000">
    <cfRule type="cellIs" dxfId="0" priority="1" operator="equal">
      <formula>"SDG 7"</formula>
    </cfRule>
  </conditionalFormatting>
  <conditionalFormatting sqref="C1:S1000">
    <cfRule type="cellIs" dxfId="1" priority="2" operator="equal">
      <formula>"NOT SDG 7"</formula>
    </cfRule>
  </conditionalFormatting>
  <conditionalFormatting sqref="C1:S1000">
    <cfRule type="cellIs" dxfId="2" priority="3" operator="equal">
      <formula>"TO DO"</formula>
    </cfRule>
  </conditionalFormatting>
  <conditionalFormatting sqref="C1:S1000">
    <cfRule type="cellIs" dxfId="3" priority="4" operator="equal">
      <formula>"SKIP"</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403</v>
      </c>
    </row>
    <row r="2">
      <c r="A2" s="4" t="s">
        <v>403</v>
      </c>
    </row>
    <row r="3">
      <c r="A3" s="4" t="s">
        <v>403</v>
      </c>
    </row>
    <row r="4">
      <c r="A4" s="4" t="s">
        <v>403</v>
      </c>
    </row>
    <row r="5">
      <c r="A5" s="4" t="s">
        <v>403</v>
      </c>
    </row>
    <row r="6">
      <c r="A6" s="4" t="s">
        <v>403</v>
      </c>
    </row>
    <row r="7">
      <c r="A7" s="4" t="s">
        <v>403</v>
      </c>
    </row>
    <row r="8">
      <c r="A8" s="4" t="s">
        <v>403</v>
      </c>
    </row>
    <row r="9">
      <c r="A9" s="4" t="s">
        <v>403</v>
      </c>
    </row>
    <row r="10">
      <c r="A10" s="4" t="s">
        <v>403</v>
      </c>
    </row>
    <row r="11">
      <c r="A11" s="4" t="s">
        <v>403</v>
      </c>
    </row>
    <row r="12">
      <c r="A12" s="4" t="s">
        <v>403</v>
      </c>
    </row>
    <row r="13">
      <c r="A13" s="4" t="s">
        <v>403</v>
      </c>
    </row>
    <row r="14">
      <c r="A14" s="4" t="s">
        <v>403</v>
      </c>
    </row>
    <row r="15">
      <c r="A15" s="4" t="s">
        <v>403</v>
      </c>
    </row>
    <row r="16">
      <c r="A16" s="4" t="s">
        <v>403</v>
      </c>
    </row>
    <row r="17">
      <c r="A17" s="4" t="s">
        <v>403</v>
      </c>
    </row>
    <row r="18">
      <c r="A18" s="4" t="s">
        <v>403</v>
      </c>
    </row>
    <row r="19">
      <c r="A19" s="4" t="s">
        <v>403</v>
      </c>
    </row>
    <row r="20">
      <c r="A20" s="4" t="s">
        <v>403</v>
      </c>
    </row>
    <row r="21">
      <c r="A21" s="4" t="s">
        <v>403</v>
      </c>
    </row>
    <row r="22">
      <c r="A22" s="4" t="s">
        <v>403</v>
      </c>
    </row>
    <row r="23">
      <c r="A23" s="4" t="s">
        <v>403</v>
      </c>
    </row>
    <row r="24">
      <c r="A24" s="4" t="s">
        <v>403</v>
      </c>
    </row>
    <row r="25">
      <c r="A25" s="4" t="s">
        <v>403</v>
      </c>
    </row>
    <row r="26">
      <c r="A26" s="4" t="s">
        <v>403</v>
      </c>
    </row>
    <row r="27">
      <c r="A27" s="4" t="s">
        <v>403</v>
      </c>
    </row>
    <row r="28">
      <c r="A28" s="4" t="s">
        <v>403</v>
      </c>
    </row>
    <row r="29">
      <c r="A29" s="4" t="s">
        <v>403</v>
      </c>
    </row>
    <row r="30">
      <c r="A30" s="4" t="s">
        <v>403</v>
      </c>
    </row>
    <row r="31">
      <c r="A31" s="4" t="s">
        <v>403</v>
      </c>
    </row>
    <row r="32">
      <c r="A32" s="4" t="s">
        <v>403</v>
      </c>
    </row>
    <row r="33">
      <c r="A33" s="4" t="s">
        <v>403</v>
      </c>
    </row>
    <row r="34">
      <c r="A34" s="4" t="s">
        <v>403</v>
      </c>
    </row>
    <row r="35">
      <c r="A35" s="4" t="s">
        <v>403</v>
      </c>
    </row>
    <row r="36">
      <c r="A36" s="4" t="s">
        <v>403</v>
      </c>
    </row>
    <row r="37">
      <c r="A37" s="4" t="s">
        <v>403</v>
      </c>
    </row>
    <row r="38">
      <c r="A38" s="4" t="s">
        <v>403</v>
      </c>
    </row>
    <row r="39">
      <c r="A39" s="4" t="s">
        <v>403</v>
      </c>
    </row>
    <row r="40">
      <c r="A40" s="4" t="s">
        <v>403</v>
      </c>
    </row>
    <row r="41">
      <c r="A41" s="4" t="s">
        <v>403</v>
      </c>
    </row>
    <row r="42">
      <c r="A42" s="4" t="s">
        <v>403</v>
      </c>
    </row>
    <row r="43">
      <c r="A43" s="4" t="s">
        <v>404</v>
      </c>
    </row>
    <row r="44">
      <c r="A44" s="4" t="s">
        <v>404</v>
      </c>
    </row>
    <row r="45">
      <c r="A45" s="4" t="s">
        <v>405</v>
      </c>
    </row>
    <row r="46">
      <c r="A46" s="4" t="s">
        <v>404</v>
      </c>
    </row>
    <row r="47">
      <c r="A47" s="4" t="s">
        <v>404</v>
      </c>
    </row>
    <row r="48">
      <c r="A48" s="4" t="s">
        <v>404</v>
      </c>
    </row>
    <row r="49">
      <c r="A49" s="4" t="s">
        <v>405</v>
      </c>
    </row>
    <row r="50">
      <c r="A50" s="4" t="s">
        <v>405</v>
      </c>
    </row>
    <row r="51">
      <c r="A51" s="4" t="s">
        <v>404</v>
      </c>
    </row>
    <row r="52">
      <c r="A52" s="4" t="s">
        <v>405</v>
      </c>
    </row>
    <row r="53">
      <c r="A53" s="4" t="s">
        <v>404</v>
      </c>
    </row>
    <row r="54">
      <c r="A54" s="4" t="s">
        <v>404</v>
      </c>
    </row>
    <row r="55">
      <c r="A55" s="4" t="s">
        <v>404</v>
      </c>
    </row>
    <row r="56">
      <c r="A56" s="4" t="s">
        <v>404</v>
      </c>
    </row>
    <row r="57">
      <c r="A57" s="4" t="s">
        <v>404</v>
      </c>
    </row>
    <row r="58">
      <c r="A58" s="4" t="s">
        <v>404</v>
      </c>
    </row>
    <row r="59">
      <c r="A59" s="4" t="s">
        <v>404</v>
      </c>
    </row>
    <row r="60">
      <c r="A60" s="4" t="s">
        <v>404</v>
      </c>
    </row>
    <row r="61">
      <c r="A61" s="4" t="s">
        <v>405</v>
      </c>
    </row>
    <row r="62">
      <c r="A62" s="4" t="s">
        <v>404</v>
      </c>
    </row>
    <row r="63">
      <c r="A63" s="4" t="s">
        <v>405</v>
      </c>
    </row>
    <row r="64">
      <c r="A64" s="4" t="s">
        <v>404</v>
      </c>
    </row>
    <row r="65">
      <c r="A65" s="4" t="s">
        <v>405</v>
      </c>
    </row>
    <row r="66">
      <c r="A66" s="4" t="s">
        <v>404</v>
      </c>
    </row>
    <row r="67">
      <c r="A67" s="4" t="s">
        <v>404</v>
      </c>
    </row>
    <row r="68">
      <c r="A68" s="4" t="s">
        <v>405</v>
      </c>
    </row>
    <row r="69">
      <c r="A69" s="4" t="s">
        <v>405</v>
      </c>
    </row>
    <row r="70">
      <c r="A70" s="4" t="s">
        <v>404</v>
      </c>
    </row>
    <row r="71">
      <c r="A71" s="4" t="s">
        <v>404</v>
      </c>
    </row>
    <row r="72">
      <c r="A72" s="4" t="s">
        <v>405</v>
      </c>
    </row>
    <row r="73">
      <c r="A73" s="4" t="s">
        <v>405</v>
      </c>
    </row>
    <row r="74">
      <c r="A74" s="4" t="s">
        <v>404</v>
      </c>
    </row>
    <row r="75">
      <c r="A75" s="4" t="s">
        <v>405</v>
      </c>
    </row>
    <row r="76">
      <c r="A76" s="4" t="s">
        <v>405</v>
      </c>
    </row>
    <row r="77">
      <c r="A77" s="4" t="s">
        <v>404</v>
      </c>
    </row>
    <row r="78">
      <c r="A78" s="4" t="s">
        <v>404</v>
      </c>
    </row>
    <row r="79">
      <c r="A79" s="4" t="s">
        <v>405</v>
      </c>
    </row>
    <row r="80">
      <c r="A80" s="4" t="s">
        <v>404</v>
      </c>
    </row>
    <row r="81">
      <c r="A81" s="4" t="s">
        <v>404</v>
      </c>
    </row>
    <row r="82">
      <c r="A82" s="4" t="s">
        <v>404</v>
      </c>
    </row>
    <row r="83">
      <c r="A83" s="4" t="s">
        <v>404</v>
      </c>
    </row>
    <row r="84">
      <c r="A84" s="4" t="s">
        <v>405</v>
      </c>
    </row>
    <row r="85">
      <c r="A85" s="4" t="s">
        <v>404</v>
      </c>
    </row>
    <row r="86">
      <c r="A86" s="4" t="s">
        <v>406</v>
      </c>
    </row>
    <row r="87">
      <c r="A87" s="4" t="s">
        <v>406</v>
      </c>
    </row>
    <row r="88">
      <c r="A88" s="4" t="s">
        <v>406</v>
      </c>
    </row>
    <row r="89">
      <c r="A89" s="4" t="s">
        <v>406</v>
      </c>
    </row>
    <row r="90">
      <c r="A90" s="4" t="s">
        <v>406</v>
      </c>
    </row>
    <row r="91">
      <c r="A91" s="4" t="s">
        <v>406</v>
      </c>
    </row>
    <row r="92">
      <c r="A92" s="4" t="s">
        <v>406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351</v>
      </c>
      <c r="B1" s="13" t="s">
        <v>352</v>
      </c>
      <c r="C1" s="13" t="s">
        <v>353</v>
      </c>
      <c r="D1" s="13" t="s">
        <v>407</v>
      </c>
      <c r="E1" s="13" t="s">
        <v>408</v>
      </c>
      <c r="F1" s="13" t="s">
        <v>409</v>
      </c>
      <c r="G1" s="13" t="s">
        <v>410</v>
      </c>
    </row>
    <row r="2">
      <c r="A2" s="4" t="s">
        <v>161</v>
      </c>
      <c r="B2" s="4" t="s">
        <v>162</v>
      </c>
      <c r="C2" s="4" t="s">
        <v>163</v>
      </c>
      <c r="D2" s="4" t="b">
        <v>0</v>
      </c>
      <c r="E2" s="4" t="str">
        <f t="shared" ref="E2:E101" si="1">IF(D2, "SDG 7", "NOT SDG 7")</f>
        <v>NOT SDG 7</v>
      </c>
      <c r="F2" s="14" t="str">
        <f>VLOOKUP(B2,'Final Review'!A:H, 8, FALSE)</f>
        <v>NOT SDG 7</v>
      </c>
      <c r="G2" s="14" t="b">
        <f t="shared" ref="G2:G101" si="2">IF(F2="UNDECIDED", "", E2=F2)</f>
        <v>1</v>
      </c>
    </row>
    <row r="3">
      <c r="A3" s="4" t="s">
        <v>164</v>
      </c>
      <c r="B3" s="4" t="s">
        <v>165</v>
      </c>
      <c r="C3" s="4" t="s">
        <v>166</v>
      </c>
      <c r="D3" s="4" t="b">
        <v>0</v>
      </c>
      <c r="E3" s="4" t="str">
        <f t="shared" si="1"/>
        <v>NOT SDG 7</v>
      </c>
      <c r="F3" s="14" t="str">
        <f>VLOOKUP(B3,'Final Review'!A:H, 8, FALSE)</f>
        <v>NOT SDG 7</v>
      </c>
      <c r="G3" s="14" t="b">
        <f t="shared" si="2"/>
        <v>1</v>
      </c>
    </row>
    <row r="4">
      <c r="A4" s="4" t="s">
        <v>124</v>
      </c>
      <c r="B4" s="4" t="s">
        <v>303</v>
      </c>
      <c r="C4" s="4" t="s">
        <v>304</v>
      </c>
      <c r="D4" s="4" t="b">
        <v>0</v>
      </c>
      <c r="E4" s="4" t="str">
        <f t="shared" si="1"/>
        <v>NOT SDG 7</v>
      </c>
      <c r="F4" s="14" t="str">
        <f>VLOOKUP(B4,'Final Review'!A:H, 8, FALSE)</f>
        <v>NOT SDG 7</v>
      </c>
      <c r="G4" s="14" t="b">
        <f t="shared" si="2"/>
        <v>1</v>
      </c>
    </row>
    <row r="5">
      <c r="A5" s="4" t="s">
        <v>105</v>
      </c>
      <c r="B5" s="4" t="s">
        <v>117</v>
      </c>
      <c r="C5" s="4" t="s">
        <v>118</v>
      </c>
      <c r="D5" s="4" t="b">
        <v>0</v>
      </c>
      <c r="E5" s="4" t="str">
        <f t="shared" si="1"/>
        <v>NOT SDG 7</v>
      </c>
      <c r="F5" s="14" t="str">
        <f>VLOOKUP(B5,'Final Review'!A:H, 8, FALSE)</f>
        <v>NOT SDG 7</v>
      </c>
      <c r="G5" s="14" t="b">
        <f t="shared" si="2"/>
        <v>1</v>
      </c>
    </row>
    <row r="6">
      <c r="A6" s="4" t="s">
        <v>146</v>
      </c>
      <c r="B6" s="4" t="s">
        <v>147</v>
      </c>
      <c r="C6" s="4" t="s">
        <v>148</v>
      </c>
      <c r="D6" s="4" t="b">
        <v>0</v>
      </c>
      <c r="E6" s="4" t="str">
        <f t="shared" si="1"/>
        <v>NOT SDG 7</v>
      </c>
      <c r="F6" s="14" t="str">
        <f>VLOOKUP(B6,'Final Review'!A:H, 8, FALSE)</f>
        <v>NOT SDG 7</v>
      </c>
      <c r="G6" s="14" t="b">
        <f t="shared" si="2"/>
        <v>1</v>
      </c>
    </row>
    <row r="7">
      <c r="A7" s="4" t="s">
        <v>158</v>
      </c>
      <c r="B7" s="4" t="s">
        <v>318</v>
      </c>
      <c r="C7" s="4" t="s">
        <v>319</v>
      </c>
      <c r="D7" s="4" t="b">
        <v>0</v>
      </c>
      <c r="E7" s="4" t="str">
        <f t="shared" si="1"/>
        <v>NOT SDG 7</v>
      </c>
      <c r="F7" s="14" t="str">
        <f>VLOOKUP(B7,'Final Review'!A:H, 8, FALSE)</f>
        <v>NOT SDG 7</v>
      </c>
      <c r="G7" s="14" t="b">
        <f t="shared" si="2"/>
        <v>1</v>
      </c>
    </row>
    <row r="8">
      <c r="A8" s="4" t="s">
        <v>215</v>
      </c>
      <c r="B8" s="4" t="s">
        <v>323</v>
      </c>
      <c r="C8" s="4" t="s">
        <v>324</v>
      </c>
      <c r="D8" s="4" t="b">
        <v>0</v>
      </c>
      <c r="E8" s="4" t="str">
        <f t="shared" si="1"/>
        <v>NOT SDG 7</v>
      </c>
      <c r="F8" s="14" t="str">
        <f>VLOOKUP(B8,'Final Review'!A:H, 8, FALSE)</f>
        <v>NOT SDG 7</v>
      </c>
      <c r="G8" s="14" t="b">
        <f t="shared" si="2"/>
        <v>1</v>
      </c>
    </row>
    <row r="9">
      <c r="A9" s="4" t="s">
        <v>164</v>
      </c>
      <c r="B9" s="4" t="s">
        <v>331</v>
      </c>
      <c r="C9" s="4" t="s">
        <v>332</v>
      </c>
      <c r="D9" s="4" t="b">
        <v>0</v>
      </c>
      <c r="E9" s="4" t="str">
        <f t="shared" si="1"/>
        <v>NOT SDG 7</v>
      </c>
      <c r="F9" s="14" t="str">
        <f>VLOOKUP(B9,'Final Review'!A:H, 8, FALSE)</f>
        <v>NOT SDG 7</v>
      </c>
      <c r="G9" s="14" t="b">
        <f t="shared" si="2"/>
        <v>1</v>
      </c>
    </row>
    <row r="10">
      <c r="A10" s="4" t="s">
        <v>124</v>
      </c>
      <c r="B10" s="4" t="s">
        <v>249</v>
      </c>
      <c r="C10" s="4" t="s">
        <v>250</v>
      </c>
      <c r="D10" s="4" t="b">
        <v>0</v>
      </c>
      <c r="E10" s="4" t="str">
        <f t="shared" si="1"/>
        <v>NOT SDG 7</v>
      </c>
      <c r="F10" s="14" t="str">
        <f>VLOOKUP(B10,'Final Review'!A:H, 8, FALSE)</f>
        <v>NOT SDG 7</v>
      </c>
      <c r="G10" s="14" t="b">
        <f t="shared" si="2"/>
        <v>1</v>
      </c>
    </row>
    <row r="11">
      <c r="A11" s="4" t="s">
        <v>189</v>
      </c>
      <c r="B11" s="4" t="s">
        <v>190</v>
      </c>
      <c r="C11" s="4" t="s">
        <v>191</v>
      </c>
      <c r="D11" s="4" t="b">
        <v>0</v>
      </c>
      <c r="E11" s="4" t="str">
        <f t="shared" si="1"/>
        <v>NOT SDG 7</v>
      </c>
      <c r="F11" s="14" t="str">
        <f>VLOOKUP(B11,'Final Review'!A:H, 8, FALSE)</f>
        <v>NOT SDG 7</v>
      </c>
      <c r="G11" s="14" t="b">
        <f t="shared" si="2"/>
        <v>1</v>
      </c>
    </row>
    <row r="12">
      <c r="A12" s="4" t="s">
        <v>220</v>
      </c>
      <c r="B12" s="4" t="s">
        <v>221</v>
      </c>
      <c r="C12" s="4" t="s">
        <v>222</v>
      </c>
      <c r="D12" s="4" t="b">
        <v>1</v>
      </c>
      <c r="E12" s="4" t="str">
        <f t="shared" si="1"/>
        <v>SDG 7</v>
      </c>
      <c r="F12" s="14" t="str">
        <f>VLOOKUP(B12,'Final Review'!A:H, 8, FALSE)</f>
        <v>SDG 7</v>
      </c>
      <c r="G12" s="14" t="b">
        <f t="shared" si="2"/>
        <v>1</v>
      </c>
    </row>
    <row r="13">
      <c r="A13" s="4" t="s">
        <v>192</v>
      </c>
      <c r="B13" s="4" t="s">
        <v>193</v>
      </c>
      <c r="C13" s="4" t="s">
        <v>194</v>
      </c>
      <c r="D13" s="4" t="b">
        <v>1</v>
      </c>
      <c r="E13" s="4" t="str">
        <f t="shared" si="1"/>
        <v>SDG 7</v>
      </c>
      <c r="F13" s="14" t="str">
        <f>VLOOKUP(B13,'Final Review'!A:H, 8, FALSE)</f>
        <v>SDG 7</v>
      </c>
      <c r="G13" s="14" t="b">
        <f t="shared" si="2"/>
        <v>1</v>
      </c>
    </row>
    <row r="14">
      <c r="A14" s="4" t="s">
        <v>102</v>
      </c>
      <c r="B14" s="4" t="s">
        <v>172</v>
      </c>
      <c r="C14" s="4" t="s">
        <v>173</v>
      </c>
      <c r="D14" s="4" t="b">
        <v>1</v>
      </c>
      <c r="E14" s="4" t="str">
        <f t="shared" si="1"/>
        <v>SDG 7</v>
      </c>
      <c r="F14" s="14" t="str">
        <f>VLOOKUP(B14,'Final Review'!A:H, 8, FALSE)</f>
        <v>SDG 7</v>
      </c>
      <c r="G14" s="14" t="b">
        <f t="shared" si="2"/>
        <v>1</v>
      </c>
    </row>
    <row r="15">
      <c r="A15" s="4" t="s">
        <v>229</v>
      </c>
      <c r="B15" s="4" t="s">
        <v>235</v>
      </c>
      <c r="C15" s="4" t="s">
        <v>236</v>
      </c>
      <c r="D15" s="4" t="b">
        <v>0</v>
      </c>
      <c r="E15" s="4" t="str">
        <f t="shared" si="1"/>
        <v>NOT SDG 7</v>
      </c>
      <c r="F15" s="14" t="str">
        <f>VLOOKUP(B15,'Final Review'!A:H, 8, FALSE)</f>
        <v>SDG 7</v>
      </c>
      <c r="G15" s="14" t="b">
        <f t="shared" si="2"/>
        <v>0</v>
      </c>
    </row>
    <row r="16">
      <c r="A16" s="4" t="s">
        <v>308</v>
      </c>
      <c r="B16" s="4" t="s">
        <v>309</v>
      </c>
      <c r="C16" s="4" t="s">
        <v>310</v>
      </c>
      <c r="D16" s="4" t="b">
        <v>1</v>
      </c>
      <c r="E16" s="4" t="str">
        <f t="shared" si="1"/>
        <v>SDG 7</v>
      </c>
      <c r="F16" s="14" t="str">
        <f>VLOOKUP(B16,'Final Review'!A:H, 8, FALSE)</f>
        <v>SDG 7</v>
      </c>
      <c r="G16" s="14" t="b">
        <f t="shared" si="2"/>
        <v>1</v>
      </c>
    </row>
    <row r="17">
      <c r="A17" s="4" t="s">
        <v>276</v>
      </c>
      <c r="B17" s="4" t="s">
        <v>301</v>
      </c>
      <c r="C17" s="4" t="s">
        <v>302</v>
      </c>
      <c r="D17" s="4" t="b">
        <v>1</v>
      </c>
      <c r="E17" s="4" t="str">
        <f t="shared" si="1"/>
        <v>SDG 7</v>
      </c>
      <c r="F17" s="14" t="str">
        <f>VLOOKUP(B17,'Final Review'!A:H, 8, FALSE)</f>
        <v>SDG 7</v>
      </c>
      <c r="G17" s="14" t="b">
        <f t="shared" si="2"/>
        <v>1</v>
      </c>
    </row>
    <row r="18">
      <c r="A18" s="4" t="s">
        <v>169</v>
      </c>
      <c r="B18" s="4" t="s">
        <v>170</v>
      </c>
      <c r="C18" s="4" t="s">
        <v>171</v>
      </c>
      <c r="D18" s="4" t="b">
        <v>1</v>
      </c>
      <c r="E18" s="4" t="str">
        <f t="shared" si="1"/>
        <v>SDG 7</v>
      </c>
      <c r="F18" s="14" t="str">
        <f>VLOOKUP(B18,'Final Review'!A:H, 8, FALSE)</f>
        <v>SDG 7</v>
      </c>
      <c r="G18" s="14" t="b">
        <f t="shared" si="2"/>
        <v>1</v>
      </c>
    </row>
    <row r="19">
      <c r="A19" s="4" t="s">
        <v>232</v>
      </c>
      <c r="B19" s="4" t="s">
        <v>233</v>
      </c>
      <c r="C19" s="4" t="s">
        <v>234</v>
      </c>
      <c r="D19" s="4" t="b">
        <v>1</v>
      </c>
      <c r="E19" s="4" t="str">
        <f t="shared" si="1"/>
        <v>SDG 7</v>
      </c>
      <c r="F19" s="14" t="str">
        <f>VLOOKUP(B19,'Final Review'!A:H, 8, FALSE)</f>
        <v>SDG 7</v>
      </c>
      <c r="G19" s="14" t="b">
        <f t="shared" si="2"/>
        <v>1</v>
      </c>
    </row>
    <row r="20">
      <c r="A20" s="4" t="s">
        <v>325</v>
      </c>
      <c r="B20" s="4" t="s">
        <v>326</v>
      </c>
      <c r="C20" s="4" t="s">
        <v>327</v>
      </c>
      <c r="D20" s="4" t="b">
        <v>0</v>
      </c>
      <c r="E20" s="4" t="str">
        <f t="shared" si="1"/>
        <v>NOT SDG 7</v>
      </c>
      <c r="F20" s="14" t="str">
        <f>VLOOKUP(B20,'Final Review'!A:H, 8, FALSE)</f>
        <v>SDG 7</v>
      </c>
      <c r="G20" s="14" t="b">
        <f t="shared" si="2"/>
        <v>0</v>
      </c>
    </row>
    <row r="21">
      <c r="A21" s="4" t="s">
        <v>286</v>
      </c>
      <c r="B21" s="4" t="s">
        <v>287</v>
      </c>
      <c r="C21" s="4" t="s">
        <v>288</v>
      </c>
      <c r="D21" s="4" t="b">
        <v>1</v>
      </c>
      <c r="E21" s="4" t="str">
        <f t="shared" si="1"/>
        <v>SDG 7</v>
      </c>
      <c r="F21" s="14" t="str">
        <f>VLOOKUP(B21,'Final Review'!A:H, 8, FALSE)</f>
        <v>SDG 7</v>
      </c>
      <c r="G21" s="14" t="b">
        <f t="shared" si="2"/>
        <v>1</v>
      </c>
    </row>
    <row r="22">
      <c r="A22" s="4" t="s">
        <v>114</v>
      </c>
      <c r="B22" s="4" t="s">
        <v>167</v>
      </c>
      <c r="C22" s="4" t="s">
        <v>168</v>
      </c>
      <c r="D22" s="4" t="b">
        <v>1</v>
      </c>
      <c r="E22" s="4" t="str">
        <f t="shared" si="1"/>
        <v>SDG 7</v>
      </c>
      <c r="F22" s="14" t="str">
        <f>VLOOKUP(B22,'Final Review'!A:H, 8, FALSE)</f>
        <v>SDG 7</v>
      </c>
      <c r="G22" s="14" t="b">
        <f t="shared" si="2"/>
        <v>1</v>
      </c>
    </row>
    <row r="23">
      <c r="A23" s="4" t="s">
        <v>174</v>
      </c>
      <c r="B23" s="4" t="s">
        <v>218</v>
      </c>
      <c r="C23" s="4" t="s">
        <v>219</v>
      </c>
      <c r="D23" s="4" t="b">
        <v>0</v>
      </c>
      <c r="E23" s="4" t="str">
        <f t="shared" si="1"/>
        <v>NOT SDG 7</v>
      </c>
      <c r="F23" s="14" t="str">
        <f>VLOOKUP(B23,'Final Review'!A:H, 8, FALSE)</f>
        <v>NOT SDG 7</v>
      </c>
      <c r="G23" s="14" t="b">
        <f t="shared" si="2"/>
        <v>1</v>
      </c>
    </row>
    <row r="24">
      <c r="A24" s="4" t="s">
        <v>90</v>
      </c>
      <c r="B24" s="4" t="s">
        <v>210</v>
      </c>
      <c r="C24" s="4" t="s">
        <v>211</v>
      </c>
      <c r="D24" s="4" t="b">
        <v>0</v>
      </c>
      <c r="E24" s="4" t="str">
        <f t="shared" si="1"/>
        <v>NOT SDG 7</v>
      </c>
      <c r="F24" s="14" t="str">
        <f>VLOOKUP(B24,'Final Review'!A:H, 8, FALSE)</f>
        <v>NOT SDG 7</v>
      </c>
      <c r="G24" s="14" t="b">
        <f t="shared" si="2"/>
        <v>1</v>
      </c>
    </row>
    <row r="25">
      <c r="A25" s="4" t="s">
        <v>96</v>
      </c>
      <c r="B25" s="4" t="s">
        <v>97</v>
      </c>
      <c r="C25" s="4" t="s">
        <v>98</v>
      </c>
      <c r="D25" s="4" t="b">
        <v>0</v>
      </c>
      <c r="E25" s="4" t="str">
        <f t="shared" si="1"/>
        <v>NOT SDG 7</v>
      </c>
      <c r="F25" s="14" t="str">
        <f>VLOOKUP(B25,'Final Review'!A:H, 8, FALSE)</f>
        <v>NOT SDG 7</v>
      </c>
      <c r="G25" s="14" t="b">
        <f t="shared" si="2"/>
        <v>1</v>
      </c>
    </row>
    <row r="26">
      <c r="A26" s="4" t="s">
        <v>83</v>
      </c>
      <c r="B26" s="4" t="s">
        <v>247</v>
      </c>
      <c r="C26" s="4" t="s">
        <v>248</v>
      </c>
      <c r="D26" s="4" t="b">
        <v>0</v>
      </c>
      <c r="E26" s="4" t="str">
        <f t="shared" si="1"/>
        <v>NOT SDG 7</v>
      </c>
      <c r="F26" s="14" t="str">
        <f>VLOOKUP(B26,'Final Review'!A:H, 8, FALSE)</f>
        <v>NOT SDG 7</v>
      </c>
      <c r="G26" s="14" t="b">
        <f t="shared" si="2"/>
        <v>1</v>
      </c>
    </row>
    <row r="27">
      <c r="A27" s="4" t="s">
        <v>203</v>
      </c>
      <c r="B27" s="4" t="s">
        <v>260</v>
      </c>
      <c r="C27" s="4" t="s">
        <v>261</v>
      </c>
      <c r="D27" s="4" t="b">
        <v>0</v>
      </c>
      <c r="E27" s="4" t="str">
        <f t="shared" si="1"/>
        <v>NOT SDG 7</v>
      </c>
      <c r="F27" s="14" t="str">
        <f>VLOOKUP(B27,'Final Review'!A:H, 8, FALSE)</f>
        <v>NOT SDG 7</v>
      </c>
      <c r="G27" s="14" t="b">
        <f t="shared" si="2"/>
        <v>1</v>
      </c>
    </row>
    <row r="28">
      <c r="A28" s="4" t="s">
        <v>102</v>
      </c>
      <c r="B28" s="4" t="s">
        <v>103</v>
      </c>
      <c r="C28" s="4" t="s">
        <v>104</v>
      </c>
      <c r="D28" s="4" t="b">
        <v>0</v>
      </c>
      <c r="E28" s="4" t="str">
        <f t="shared" si="1"/>
        <v>NOT SDG 7</v>
      </c>
      <c r="F28" s="14" t="str">
        <f>VLOOKUP(B28,'Final Review'!A:H, 8, FALSE)</f>
        <v>NOT SDG 7</v>
      </c>
      <c r="G28" s="14" t="b">
        <f t="shared" si="2"/>
        <v>1</v>
      </c>
    </row>
    <row r="29">
      <c r="A29" s="4" t="s">
        <v>87</v>
      </c>
      <c r="B29" s="4" t="s">
        <v>132</v>
      </c>
      <c r="C29" s="4" t="s">
        <v>133</v>
      </c>
      <c r="D29" s="4" t="b">
        <v>0</v>
      </c>
      <c r="E29" s="4" t="str">
        <f t="shared" si="1"/>
        <v>NOT SDG 7</v>
      </c>
      <c r="F29" s="14" t="str">
        <f>VLOOKUP(B29,'Final Review'!A:H, 8, FALSE)</f>
        <v>NOT SDG 7</v>
      </c>
      <c r="G29" s="14" t="b">
        <f t="shared" si="2"/>
        <v>1</v>
      </c>
    </row>
    <row r="30">
      <c r="A30" s="4" t="s">
        <v>90</v>
      </c>
      <c r="B30" s="4" t="s">
        <v>122</v>
      </c>
      <c r="C30" s="4" t="s">
        <v>123</v>
      </c>
      <c r="D30" s="4" t="b">
        <v>0</v>
      </c>
      <c r="E30" s="4" t="str">
        <f t="shared" si="1"/>
        <v>NOT SDG 7</v>
      </c>
      <c r="F30" s="14" t="str">
        <f>VLOOKUP(B30,'Final Review'!A:H, 8, FALSE)</f>
        <v>NOT SDG 7</v>
      </c>
      <c r="G30" s="14" t="b">
        <f t="shared" si="2"/>
        <v>1</v>
      </c>
    </row>
    <row r="31">
      <c r="A31" s="4" t="s">
        <v>158</v>
      </c>
      <c r="B31" s="4" t="s">
        <v>185</v>
      </c>
      <c r="C31" s="4" t="s">
        <v>186</v>
      </c>
      <c r="D31" s="4" t="b">
        <v>0</v>
      </c>
      <c r="E31" s="4" t="str">
        <f t="shared" si="1"/>
        <v>NOT SDG 7</v>
      </c>
      <c r="F31" s="14" t="str">
        <f>VLOOKUP(B31,'Final Review'!A:H, 8, FALSE)</f>
        <v>NOT SDG 7</v>
      </c>
      <c r="G31" s="14" t="b">
        <f t="shared" si="2"/>
        <v>1</v>
      </c>
    </row>
    <row r="32">
      <c r="A32" s="4" t="s">
        <v>105</v>
      </c>
      <c r="B32" s="4" t="s">
        <v>240</v>
      </c>
      <c r="C32" s="4" t="s">
        <v>241</v>
      </c>
      <c r="D32" s="4" t="b">
        <v>0</v>
      </c>
      <c r="E32" s="4" t="str">
        <f t="shared" si="1"/>
        <v>NOT SDG 7</v>
      </c>
      <c r="F32" s="14" t="str">
        <f>VLOOKUP(B32,'Final Review'!A:H, 8, FALSE)</f>
        <v>SDG 7</v>
      </c>
      <c r="G32" s="14" t="b">
        <f t="shared" si="2"/>
        <v>0</v>
      </c>
    </row>
    <row r="33">
      <c r="A33" s="4" t="s">
        <v>93</v>
      </c>
      <c r="B33" s="4" t="s">
        <v>338</v>
      </c>
      <c r="C33" s="4" t="s">
        <v>339</v>
      </c>
      <c r="D33" s="4" t="b">
        <v>0</v>
      </c>
      <c r="E33" s="4" t="str">
        <f t="shared" si="1"/>
        <v>NOT SDG 7</v>
      </c>
      <c r="F33" s="14" t="str">
        <f>VLOOKUP(B33,'Final Review'!A:H, 8, FALSE)</f>
        <v>NOT SDG 7</v>
      </c>
      <c r="G33" s="14" t="b">
        <f t="shared" si="2"/>
        <v>1</v>
      </c>
    </row>
    <row r="34">
      <c r="A34" s="4" t="s">
        <v>93</v>
      </c>
      <c r="B34" s="4" t="s">
        <v>94</v>
      </c>
      <c r="C34" s="4" t="s">
        <v>95</v>
      </c>
      <c r="D34" s="4" t="b">
        <v>1</v>
      </c>
      <c r="E34" s="4" t="str">
        <f t="shared" si="1"/>
        <v>SDG 7</v>
      </c>
      <c r="F34" s="14" t="str">
        <f>VLOOKUP(B34,'Final Review'!A:H, 8, FALSE)</f>
        <v>SDG 7</v>
      </c>
      <c r="G34" s="14" t="b">
        <f t="shared" si="2"/>
        <v>1</v>
      </c>
    </row>
    <row r="35">
      <c r="A35" s="4" t="s">
        <v>137</v>
      </c>
      <c r="B35" s="4" t="s">
        <v>138</v>
      </c>
      <c r="C35" s="4" t="s">
        <v>139</v>
      </c>
      <c r="D35" s="4" t="b">
        <v>0</v>
      </c>
      <c r="E35" s="4" t="str">
        <f t="shared" si="1"/>
        <v>NOT SDG 7</v>
      </c>
      <c r="F35" s="14" t="str">
        <f>VLOOKUP(B35,'Final Review'!A:H, 8, FALSE)</f>
        <v>SDG 7</v>
      </c>
      <c r="G35" s="14" t="b">
        <f t="shared" si="2"/>
        <v>0</v>
      </c>
    </row>
    <row r="36">
      <c r="A36" s="4" t="s">
        <v>262</v>
      </c>
      <c r="B36" s="4" t="s">
        <v>263</v>
      </c>
      <c r="C36" s="4" t="s">
        <v>264</v>
      </c>
      <c r="D36" s="4" t="b">
        <v>1</v>
      </c>
      <c r="E36" s="4" t="str">
        <f t="shared" si="1"/>
        <v>SDG 7</v>
      </c>
      <c r="F36" s="14" t="str">
        <f>VLOOKUP(B36,'Final Review'!A:H, 8, FALSE)</f>
        <v>SDG 7</v>
      </c>
      <c r="G36" s="14" t="b">
        <f t="shared" si="2"/>
        <v>1</v>
      </c>
    </row>
    <row r="37">
      <c r="A37" s="4" t="s">
        <v>119</v>
      </c>
      <c r="B37" s="4" t="s">
        <v>120</v>
      </c>
      <c r="C37" s="4" t="s">
        <v>121</v>
      </c>
      <c r="D37" s="4" t="b">
        <v>1</v>
      </c>
      <c r="E37" s="4" t="str">
        <f t="shared" si="1"/>
        <v>SDG 7</v>
      </c>
      <c r="F37" s="14" t="str">
        <f>VLOOKUP(B37,'Final Review'!A:H, 8, FALSE)</f>
        <v>SDG 7</v>
      </c>
      <c r="G37" s="14" t="b">
        <f t="shared" si="2"/>
        <v>1</v>
      </c>
    </row>
    <row r="38">
      <c r="A38" s="4" t="s">
        <v>212</v>
      </c>
      <c r="B38" s="4" t="s">
        <v>213</v>
      </c>
      <c r="C38" s="4" t="s">
        <v>214</v>
      </c>
      <c r="D38" s="4" t="b">
        <v>1</v>
      </c>
      <c r="E38" s="4" t="str">
        <f t="shared" si="1"/>
        <v>SDG 7</v>
      </c>
      <c r="F38" s="14" t="str">
        <f>VLOOKUP(B38,'Final Review'!A:H, 8, FALSE)</f>
        <v>SDG 7</v>
      </c>
      <c r="G38" s="14" t="b">
        <f t="shared" si="2"/>
        <v>1</v>
      </c>
    </row>
    <row r="39">
      <c r="A39" s="4" t="s">
        <v>276</v>
      </c>
      <c r="B39" s="4" t="s">
        <v>277</v>
      </c>
      <c r="C39" s="4" t="s">
        <v>278</v>
      </c>
      <c r="D39" s="4" t="b">
        <v>0</v>
      </c>
      <c r="E39" s="4" t="str">
        <f t="shared" si="1"/>
        <v>NOT SDG 7</v>
      </c>
      <c r="F39" s="14" t="str">
        <f>VLOOKUP(B39,'Final Review'!A:H, 8, FALSE)</f>
        <v>SDG 7</v>
      </c>
      <c r="G39" s="14" t="b">
        <f t="shared" si="2"/>
        <v>0</v>
      </c>
    </row>
    <row r="40">
      <c r="A40" s="4" t="s">
        <v>226</v>
      </c>
      <c r="B40" s="4" t="s">
        <v>227</v>
      </c>
      <c r="C40" s="4" t="s">
        <v>228</v>
      </c>
      <c r="D40" s="4" t="b">
        <v>1</v>
      </c>
      <c r="E40" s="4" t="str">
        <f t="shared" si="1"/>
        <v>SDG 7</v>
      </c>
      <c r="F40" s="14" t="str">
        <f>VLOOKUP(B40,'Final Review'!A:H, 8, FALSE)</f>
        <v>SDG 7</v>
      </c>
      <c r="G40" s="14" t="b">
        <f t="shared" si="2"/>
        <v>1</v>
      </c>
    </row>
    <row r="41">
      <c r="A41" s="4" t="s">
        <v>255</v>
      </c>
      <c r="B41" s="4" t="s">
        <v>256</v>
      </c>
      <c r="C41" s="4" t="s">
        <v>257</v>
      </c>
      <c r="D41" s="4" t="b">
        <v>1</v>
      </c>
      <c r="E41" s="4" t="str">
        <f t="shared" si="1"/>
        <v>SDG 7</v>
      </c>
      <c r="F41" s="14" t="str">
        <f>VLOOKUP(B41,'Final Review'!A:H, 8, FALSE)</f>
        <v>SDG 7</v>
      </c>
      <c r="G41" s="14" t="b">
        <f t="shared" si="2"/>
        <v>1</v>
      </c>
    </row>
    <row r="42">
      <c r="A42" s="4" t="s">
        <v>137</v>
      </c>
      <c r="B42" s="4" t="s">
        <v>195</v>
      </c>
      <c r="C42" s="4" t="s">
        <v>196</v>
      </c>
      <c r="D42" s="4" t="b">
        <v>1</v>
      </c>
      <c r="E42" s="4" t="str">
        <f t="shared" si="1"/>
        <v>SDG 7</v>
      </c>
      <c r="F42" s="14" t="str">
        <f>VLOOKUP(B42,'Final Review'!A:H, 8, FALSE)</f>
        <v>SDG 7</v>
      </c>
      <c r="G42" s="14" t="b">
        <f t="shared" si="2"/>
        <v>1</v>
      </c>
    </row>
    <row r="43">
      <c r="A43" s="4" t="s">
        <v>99</v>
      </c>
      <c r="B43" s="4" t="s">
        <v>208</v>
      </c>
      <c r="C43" s="4" t="s">
        <v>209</v>
      </c>
      <c r="D43" s="4" t="b">
        <v>1</v>
      </c>
      <c r="E43" s="4" t="str">
        <f t="shared" si="1"/>
        <v>SDG 7</v>
      </c>
      <c r="F43" s="14" t="str">
        <f>VLOOKUP(B43,'Final Review'!A:H, 8, FALSE)</f>
        <v>SDG 7</v>
      </c>
      <c r="G43" s="14" t="b">
        <f t="shared" si="2"/>
        <v>1</v>
      </c>
    </row>
    <row r="44">
      <c r="A44" s="4" t="s">
        <v>87</v>
      </c>
      <c r="B44" s="4" t="s">
        <v>253</v>
      </c>
      <c r="C44" s="4" t="s">
        <v>254</v>
      </c>
      <c r="D44" s="4" t="b">
        <v>0</v>
      </c>
      <c r="E44" s="4" t="str">
        <f t="shared" si="1"/>
        <v>NOT SDG 7</v>
      </c>
      <c r="F44" s="14" t="str">
        <f>VLOOKUP(B44,'Final Review'!A:H, 8, FALSE)</f>
        <v>NOT SDG 7</v>
      </c>
      <c r="G44" s="14" t="b">
        <f t="shared" si="2"/>
        <v>1</v>
      </c>
    </row>
    <row r="45">
      <c r="A45" s="4" t="s">
        <v>164</v>
      </c>
      <c r="B45" s="4" t="s">
        <v>274</v>
      </c>
      <c r="C45" s="4" t="s">
        <v>275</v>
      </c>
      <c r="D45" s="4" t="b">
        <v>0</v>
      </c>
      <c r="E45" s="4" t="str">
        <f t="shared" si="1"/>
        <v>NOT SDG 7</v>
      </c>
      <c r="F45" s="14" t="str">
        <f>VLOOKUP(B45,'Final Review'!A:H, 8, FALSE)</f>
        <v>NOT SDG 7</v>
      </c>
      <c r="G45" s="14" t="b">
        <f t="shared" si="2"/>
        <v>1</v>
      </c>
    </row>
    <row r="46">
      <c r="A46" s="4" t="s">
        <v>124</v>
      </c>
      <c r="B46" s="4" t="s">
        <v>279</v>
      </c>
      <c r="C46" s="4" t="s">
        <v>280</v>
      </c>
      <c r="D46" s="4" t="b">
        <v>0</v>
      </c>
      <c r="E46" s="4" t="str">
        <f t="shared" si="1"/>
        <v>NOT SDG 7</v>
      </c>
      <c r="F46" s="14" t="str">
        <f>VLOOKUP(B46,'Final Review'!A:H, 8, FALSE)</f>
        <v>NOT SDG 7</v>
      </c>
      <c r="G46" s="14" t="b">
        <f t="shared" si="2"/>
        <v>1</v>
      </c>
    </row>
    <row r="47">
      <c r="A47" s="4" t="s">
        <v>313</v>
      </c>
      <c r="B47" s="4" t="s">
        <v>314</v>
      </c>
      <c r="C47" s="4" t="s">
        <v>315</v>
      </c>
      <c r="D47" s="4" t="b">
        <v>0</v>
      </c>
      <c r="E47" s="4" t="str">
        <f t="shared" si="1"/>
        <v>NOT SDG 7</v>
      </c>
      <c r="F47" s="14" t="str">
        <f>VLOOKUP(B47,'Final Review'!A:H, 8, FALSE)</f>
        <v>NOT SDG 7</v>
      </c>
      <c r="G47" s="14" t="b">
        <f t="shared" si="2"/>
        <v>1</v>
      </c>
    </row>
    <row r="48">
      <c r="A48" s="4" t="s">
        <v>108</v>
      </c>
      <c r="B48" s="4" t="s">
        <v>109</v>
      </c>
      <c r="C48" s="4" t="s">
        <v>110</v>
      </c>
      <c r="D48" s="4" t="b">
        <v>1</v>
      </c>
      <c r="E48" s="4" t="str">
        <f t="shared" si="1"/>
        <v>SDG 7</v>
      </c>
      <c r="F48" s="14" t="str">
        <f>VLOOKUP(B48,'Final Review'!A:H, 8, FALSE)</f>
        <v>SDG 7</v>
      </c>
      <c r="G48" s="14" t="b">
        <f t="shared" si="2"/>
        <v>1</v>
      </c>
    </row>
    <row r="49">
      <c r="A49" s="4" t="s">
        <v>146</v>
      </c>
      <c r="B49" s="4" t="s">
        <v>336</v>
      </c>
      <c r="C49" s="4" t="s">
        <v>337</v>
      </c>
      <c r="D49" s="4" t="b">
        <v>0</v>
      </c>
      <c r="E49" s="4" t="str">
        <f t="shared" si="1"/>
        <v>NOT SDG 7</v>
      </c>
      <c r="F49" s="14" t="str">
        <f>VLOOKUP(B49,'Final Review'!A:H, 8, FALSE)</f>
        <v>NOT SDG 7</v>
      </c>
      <c r="G49" s="14" t="b">
        <f t="shared" si="2"/>
        <v>1</v>
      </c>
    </row>
    <row r="50">
      <c r="A50" s="4" t="s">
        <v>155</v>
      </c>
      <c r="B50" s="4" t="s">
        <v>156</v>
      </c>
      <c r="C50" s="4" t="s">
        <v>157</v>
      </c>
      <c r="D50" s="4" t="b">
        <v>1</v>
      </c>
      <c r="E50" s="4" t="str">
        <f t="shared" si="1"/>
        <v>SDG 7</v>
      </c>
      <c r="F50" s="14" t="str">
        <f>VLOOKUP(B50,'Final Review'!A:H, 8, FALSE)</f>
        <v>SDG 7</v>
      </c>
      <c r="G50" s="14" t="b">
        <f t="shared" si="2"/>
        <v>1</v>
      </c>
    </row>
    <row r="51">
      <c r="A51" s="4" t="s">
        <v>174</v>
      </c>
      <c r="B51" s="4" t="s">
        <v>175</v>
      </c>
      <c r="C51" s="4" t="s">
        <v>176</v>
      </c>
      <c r="D51" s="4" t="b">
        <v>1</v>
      </c>
      <c r="E51" s="4" t="str">
        <f t="shared" si="1"/>
        <v>SDG 7</v>
      </c>
      <c r="F51" s="14" t="str">
        <f>VLOOKUP(B51,'Final Review'!A:H, 8, FALSE)</f>
        <v>SDG 7</v>
      </c>
      <c r="G51" s="14" t="b">
        <f t="shared" si="2"/>
        <v>1</v>
      </c>
    </row>
    <row r="52">
      <c r="A52" s="4" t="s">
        <v>320</v>
      </c>
      <c r="B52" s="4" t="s">
        <v>321</v>
      </c>
      <c r="C52" s="4" t="s">
        <v>322</v>
      </c>
      <c r="D52" s="4" t="b">
        <v>1</v>
      </c>
      <c r="E52" s="4" t="str">
        <f t="shared" si="1"/>
        <v>SDG 7</v>
      </c>
      <c r="F52" s="14" t="str">
        <f>VLOOKUP(B52,'Final Review'!A:H, 8, FALSE)</f>
        <v>SDG 7</v>
      </c>
      <c r="G52" s="14" t="b">
        <f t="shared" si="2"/>
        <v>1</v>
      </c>
    </row>
    <row r="53">
      <c r="A53" s="4" t="s">
        <v>294</v>
      </c>
      <c r="B53" s="4" t="s">
        <v>295</v>
      </c>
      <c r="C53" s="4" t="s">
        <v>296</v>
      </c>
      <c r="D53" s="4" t="b">
        <v>1</v>
      </c>
      <c r="E53" s="4" t="str">
        <f t="shared" si="1"/>
        <v>SDG 7</v>
      </c>
      <c r="F53" s="14" t="str">
        <f>VLOOKUP(B53,'Final Review'!A:H, 8, FALSE)</f>
        <v>SDG 7</v>
      </c>
      <c r="G53" s="14" t="b">
        <f t="shared" si="2"/>
        <v>1</v>
      </c>
    </row>
    <row r="54">
      <c r="A54" s="4" t="s">
        <v>203</v>
      </c>
      <c r="B54" s="4" t="s">
        <v>204</v>
      </c>
      <c r="C54" s="4" t="s">
        <v>205</v>
      </c>
      <c r="D54" s="4" t="b">
        <v>1</v>
      </c>
      <c r="E54" s="4" t="str">
        <f t="shared" si="1"/>
        <v>SDG 7</v>
      </c>
      <c r="F54" s="14" t="str">
        <f>VLOOKUP(B54,'Final Review'!A:H, 8, FALSE)</f>
        <v>SDG 7</v>
      </c>
      <c r="G54" s="14" t="b">
        <f t="shared" si="2"/>
        <v>1</v>
      </c>
    </row>
    <row r="55">
      <c r="A55" s="4" t="s">
        <v>93</v>
      </c>
      <c r="B55" s="4" t="s">
        <v>311</v>
      </c>
      <c r="C55" s="4" t="s">
        <v>312</v>
      </c>
      <c r="D55" s="4" t="b">
        <v>1</v>
      </c>
      <c r="E55" s="4" t="str">
        <f t="shared" si="1"/>
        <v>SDG 7</v>
      </c>
      <c r="F55" s="14" t="str">
        <f>VLOOKUP(B55,'Final Review'!A:H, 8, FALSE)</f>
        <v>SDG 7</v>
      </c>
      <c r="G55" s="14" t="b">
        <f t="shared" si="2"/>
        <v>1</v>
      </c>
    </row>
    <row r="56">
      <c r="A56" s="4" t="s">
        <v>215</v>
      </c>
      <c r="B56" s="4" t="s">
        <v>216</v>
      </c>
      <c r="C56" s="4" t="s">
        <v>217</v>
      </c>
      <c r="D56" s="4" t="b">
        <v>0</v>
      </c>
      <c r="E56" s="4" t="str">
        <f t="shared" si="1"/>
        <v>NOT SDG 7</v>
      </c>
      <c r="F56" s="14" t="str">
        <f>VLOOKUP(B56,'Final Review'!A:H, 8, FALSE)</f>
        <v>NOT SDG 7</v>
      </c>
      <c r="G56" s="14" t="b">
        <f t="shared" si="2"/>
        <v>1</v>
      </c>
    </row>
    <row r="57">
      <c r="A57" s="4" t="s">
        <v>305</v>
      </c>
      <c r="B57" s="4" t="s">
        <v>306</v>
      </c>
      <c r="C57" s="4" t="s">
        <v>307</v>
      </c>
      <c r="D57" s="4" t="b">
        <v>0</v>
      </c>
      <c r="E57" s="4" t="str">
        <f t="shared" si="1"/>
        <v>NOT SDG 7</v>
      </c>
      <c r="F57" s="14" t="str">
        <f>VLOOKUP(B57,'Final Review'!A:H, 8, FALSE)</f>
        <v>SDG 7</v>
      </c>
      <c r="G57" s="14" t="b">
        <f t="shared" si="2"/>
        <v>0</v>
      </c>
    </row>
    <row r="58">
      <c r="A58" s="4" t="s">
        <v>149</v>
      </c>
      <c r="B58" s="4" t="s">
        <v>150</v>
      </c>
      <c r="C58" s="4" t="s">
        <v>151</v>
      </c>
      <c r="D58" s="4" t="b">
        <v>0</v>
      </c>
      <c r="E58" s="4" t="str">
        <f t="shared" si="1"/>
        <v>NOT SDG 7</v>
      </c>
      <c r="F58" s="14" t="str">
        <f>VLOOKUP(B58,'Final Review'!A:H, 8, FALSE)</f>
        <v>SDG 7</v>
      </c>
      <c r="G58" s="14" t="b">
        <f t="shared" si="2"/>
        <v>0</v>
      </c>
    </row>
    <row r="59">
      <c r="A59" s="4" t="s">
        <v>333</v>
      </c>
      <c r="B59" s="4" t="s">
        <v>334</v>
      </c>
      <c r="C59" s="4" t="s">
        <v>335</v>
      </c>
      <c r="D59" s="4" t="b">
        <v>0</v>
      </c>
      <c r="E59" s="4" t="str">
        <f t="shared" si="1"/>
        <v>NOT SDG 7</v>
      </c>
      <c r="F59" s="14" t="str">
        <f>VLOOKUP(B59,'Final Review'!A:H, 8, FALSE)</f>
        <v>SDG 7</v>
      </c>
      <c r="G59" s="14" t="b">
        <f t="shared" si="2"/>
        <v>0</v>
      </c>
    </row>
    <row r="60">
      <c r="A60" s="4" t="s">
        <v>289</v>
      </c>
      <c r="B60" s="4" t="s">
        <v>290</v>
      </c>
      <c r="C60" s="4" t="s">
        <v>291</v>
      </c>
      <c r="D60" s="4" t="b">
        <v>0</v>
      </c>
      <c r="E60" s="4" t="str">
        <f t="shared" si="1"/>
        <v>NOT SDG 7</v>
      </c>
      <c r="F60" s="14" t="str">
        <f>VLOOKUP(B60,'Final Review'!A:H, 8, FALSE)</f>
        <v>NOT SDG 7</v>
      </c>
      <c r="G60" s="14" t="b">
        <f t="shared" si="2"/>
        <v>1</v>
      </c>
    </row>
    <row r="61">
      <c r="A61" s="4" t="s">
        <v>87</v>
      </c>
      <c r="B61" s="4" t="s">
        <v>258</v>
      </c>
      <c r="C61" s="4" t="s">
        <v>259</v>
      </c>
      <c r="D61" s="4" t="b">
        <v>0</v>
      </c>
      <c r="E61" s="4" t="str">
        <f t="shared" si="1"/>
        <v>NOT SDG 7</v>
      </c>
      <c r="F61" s="14" t="str">
        <f>VLOOKUP(B61,'Final Review'!A:H, 8, FALSE)</f>
        <v>NOT SDG 7</v>
      </c>
      <c r="G61" s="14" t="b">
        <f t="shared" si="2"/>
        <v>1</v>
      </c>
    </row>
    <row r="62">
      <c r="A62" s="4" t="s">
        <v>90</v>
      </c>
      <c r="B62" s="4" t="s">
        <v>299</v>
      </c>
      <c r="C62" s="4" t="s">
        <v>300</v>
      </c>
      <c r="D62" s="4" t="b">
        <v>0</v>
      </c>
      <c r="E62" s="4" t="str">
        <f t="shared" si="1"/>
        <v>NOT SDG 7</v>
      </c>
      <c r="F62" s="14" t="str">
        <f>VLOOKUP(B62,'Final Review'!A:H, 8, FALSE)</f>
        <v>NOT SDG 7</v>
      </c>
      <c r="G62" s="14" t="b">
        <f t="shared" si="2"/>
        <v>1</v>
      </c>
    </row>
    <row r="63">
      <c r="A63" s="4" t="s">
        <v>124</v>
      </c>
      <c r="B63" s="4" t="s">
        <v>125</v>
      </c>
      <c r="C63" s="4" t="s">
        <v>126</v>
      </c>
      <c r="D63" s="4" t="b">
        <v>1</v>
      </c>
      <c r="E63" s="4" t="str">
        <f t="shared" si="1"/>
        <v>SDG 7</v>
      </c>
      <c r="F63" s="14" t="str">
        <f>VLOOKUP(B63,'Final Review'!A:H, 8, FALSE)</f>
        <v>NOT SDG 7</v>
      </c>
      <c r="G63" s="14" t="b">
        <f t="shared" si="2"/>
        <v>0</v>
      </c>
    </row>
    <row r="64">
      <c r="A64" s="4" t="s">
        <v>83</v>
      </c>
      <c r="B64" s="4" t="s">
        <v>84</v>
      </c>
      <c r="C64" s="4" t="s">
        <v>85</v>
      </c>
      <c r="D64" s="4" t="b">
        <v>0</v>
      </c>
      <c r="E64" s="4" t="str">
        <f t="shared" si="1"/>
        <v>NOT SDG 7</v>
      </c>
      <c r="F64" s="14" t="str">
        <f>VLOOKUP(B64,'Final Review'!A:H, 8, FALSE)</f>
        <v>NOT SDG 7</v>
      </c>
      <c r="G64" s="14" t="b">
        <f t="shared" si="2"/>
        <v>1</v>
      </c>
    </row>
    <row r="65">
      <c r="A65" s="4" t="s">
        <v>182</v>
      </c>
      <c r="B65" s="4" t="s">
        <v>183</v>
      </c>
      <c r="C65" s="4" t="s">
        <v>184</v>
      </c>
      <c r="D65" s="4" t="b">
        <v>0</v>
      </c>
      <c r="E65" s="4" t="str">
        <f t="shared" si="1"/>
        <v>NOT SDG 7</v>
      </c>
      <c r="F65" s="14" t="str">
        <f>VLOOKUP(B65,'Final Review'!A:H, 8, FALSE)</f>
        <v>NOT SDG 7</v>
      </c>
      <c r="G65" s="14" t="b">
        <f t="shared" si="2"/>
        <v>1</v>
      </c>
    </row>
    <row r="66">
      <c r="A66" s="4" t="s">
        <v>203</v>
      </c>
      <c r="B66" s="4" t="s">
        <v>251</v>
      </c>
      <c r="C66" s="4" t="s">
        <v>252</v>
      </c>
      <c r="D66" s="4" t="b">
        <v>0</v>
      </c>
      <c r="E66" s="4" t="str">
        <f t="shared" si="1"/>
        <v>NOT SDG 7</v>
      </c>
      <c r="F66" s="14" t="str">
        <f>VLOOKUP(B66,'Final Review'!A:H, 8, FALSE)</f>
        <v>SDG 7</v>
      </c>
      <c r="G66" s="14" t="b">
        <f t="shared" si="2"/>
        <v>0</v>
      </c>
    </row>
    <row r="67">
      <c r="A67" s="4" t="s">
        <v>134</v>
      </c>
      <c r="B67" s="4" t="s">
        <v>135</v>
      </c>
      <c r="C67" s="4" t="s">
        <v>136</v>
      </c>
      <c r="D67" s="4" t="b">
        <v>0</v>
      </c>
      <c r="E67" s="4" t="str">
        <f t="shared" si="1"/>
        <v>NOT SDG 7</v>
      </c>
      <c r="F67" s="14" t="str">
        <f>VLOOKUP(B67,'Final Review'!A:H, 8, FALSE)</f>
        <v>NOT SDG 7</v>
      </c>
      <c r="G67" s="14" t="b">
        <f t="shared" si="2"/>
        <v>1</v>
      </c>
    </row>
    <row r="68">
      <c r="A68" s="4" t="s">
        <v>177</v>
      </c>
      <c r="B68" s="4" t="s">
        <v>187</v>
      </c>
      <c r="C68" s="4" t="s">
        <v>188</v>
      </c>
      <c r="D68" s="4" t="b">
        <v>0</v>
      </c>
      <c r="E68" s="4" t="str">
        <f t="shared" si="1"/>
        <v>NOT SDG 7</v>
      </c>
      <c r="F68" s="14" t="str">
        <f>VLOOKUP(B68,'Final Review'!A:H, 8, FALSE)</f>
        <v>NOT SDG 7</v>
      </c>
      <c r="G68" s="14" t="b">
        <f t="shared" si="2"/>
        <v>1</v>
      </c>
    </row>
    <row r="69">
      <c r="A69" s="4" t="s">
        <v>281</v>
      </c>
      <c r="B69" s="4" t="s">
        <v>282</v>
      </c>
      <c r="C69" s="4" t="s">
        <v>283</v>
      </c>
      <c r="D69" s="4" t="b">
        <v>0</v>
      </c>
      <c r="E69" s="4" t="str">
        <f t="shared" si="1"/>
        <v>NOT SDG 7</v>
      </c>
      <c r="F69" s="14" t="str">
        <f>VLOOKUP(B69,'Final Review'!A:H, 8, FALSE)</f>
        <v>NOT SDG 7</v>
      </c>
      <c r="G69" s="14" t="b">
        <f t="shared" si="2"/>
        <v>1</v>
      </c>
    </row>
    <row r="70">
      <c r="A70" s="4" t="s">
        <v>124</v>
      </c>
      <c r="B70" s="4" t="s">
        <v>130</v>
      </c>
      <c r="C70" s="4" t="s">
        <v>131</v>
      </c>
      <c r="D70" s="4" t="b">
        <v>0</v>
      </c>
      <c r="E70" s="4" t="str">
        <f t="shared" si="1"/>
        <v>NOT SDG 7</v>
      </c>
      <c r="F70" s="14" t="str">
        <f>VLOOKUP(B70,'Final Review'!A:H, 8, FALSE)</f>
        <v>NOT SDG 7</v>
      </c>
      <c r="G70" s="14" t="b">
        <f t="shared" si="2"/>
        <v>1</v>
      </c>
    </row>
    <row r="71">
      <c r="A71" s="4" t="s">
        <v>189</v>
      </c>
      <c r="B71" s="4" t="s">
        <v>268</v>
      </c>
      <c r="C71" s="4" t="s">
        <v>269</v>
      </c>
      <c r="D71" s="4" t="b">
        <v>0</v>
      </c>
      <c r="E71" s="4" t="str">
        <f t="shared" si="1"/>
        <v>NOT SDG 7</v>
      </c>
      <c r="F71" s="14" t="str">
        <f>VLOOKUP(B71,'Final Review'!A:H, 8, FALSE)</f>
        <v>NOT SDG 7</v>
      </c>
      <c r="G71" s="14" t="b">
        <f t="shared" si="2"/>
        <v>1</v>
      </c>
    </row>
    <row r="72">
      <c r="A72" s="4" t="s">
        <v>143</v>
      </c>
      <c r="B72" s="4" t="s">
        <v>144</v>
      </c>
      <c r="C72" s="4" t="s">
        <v>145</v>
      </c>
      <c r="D72" s="4" t="b">
        <v>0</v>
      </c>
      <c r="E72" s="4" t="str">
        <f t="shared" si="1"/>
        <v>NOT SDG 7</v>
      </c>
      <c r="F72" s="14" t="str">
        <f>VLOOKUP(B72,'Final Review'!A:H, 8, FALSE)</f>
        <v>NOT SDG 7</v>
      </c>
      <c r="G72" s="14" t="b">
        <f t="shared" si="2"/>
        <v>1</v>
      </c>
    </row>
    <row r="73">
      <c r="A73" s="4" t="s">
        <v>237</v>
      </c>
      <c r="B73" s="4" t="s">
        <v>238</v>
      </c>
      <c r="C73" s="4" t="s">
        <v>239</v>
      </c>
      <c r="D73" s="4" t="b">
        <v>1</v>
      </c>
      <c r="E73" s="4" t="str">
        <f t="shared" si="1"/>
        <v>SDG 7</v>
      </c>
      <c r="F73" s="14" t="str">
        <f>VLOOKUP(B73,'Final Review'!A:H, 8, FALSE)</f>
        <v>SDG 7</v>
      </c>
      <c r="G73" s="14" t="b">
        <f t="shared" si="2"/>
        <v>1</v>
      </c>
    </row>
    <row r="74">
      <c r="A74" s="4" t="s">
        <v>111</v>
      </c>
      <c r="B74" s="4" t="s">
        <v>112</v>
      </c>
      <c r="C74" s="4" t="s">
        <v>113</v>
      </c>
      <c r="D74" s="4" t="b">
        <v>1</v>
      </c>
      <c r="E74" s="4" t="str">
        <f t="shared" si="1"/>
        <v>SDG 7</v>
      </c>
      <c r="F74" s="14" t="str">
        <f>VLOOKUP(B74,'Final Review'!A:H, 8, FALSE)</f>
        <v>SDG 7</v>
      </c>
      <c r="G74" s="14" t="b">
        <f t="shared" si="2"/>
        <v>1</v>
      </c>
    </row>
    <row r="75">
      <c r="A75" s="4" t="s">
        <v>87</v>
      </c>
      <c r="B75" s="4" t="s">
        <v>88</v>
      </c>
      <c r="C75" s="4" t="s">
        <v>89</v>
      </c>
      <c r="D75" s="4" t="b">
        <v>0</v>
      </c>
      <c r="E75" s="4" t="str">
        <f t="shared" si="1"/>
        <v>NOT SDG 7</v>
      </c>
      <c r="F75" s="14" t="str">
        <f>VLOOKUP(B75,'Final Review'!A:H, 8, FALSE)</f>
        <v>NOT SDG 7</v>
      </c>
      <c r="G75" s="14" t="b">
        <f t="shared" si="2"/>
        <v>1</v>
      </c>
    </row>
    <row r="76">
      <c r="A76" s="4" t="s">
        <v>242</v>
      </c>
      <c r="B76" s="4" t="s">
        <v>243</v>
      </c>
      <c r="C76" s="4" t="s">
        <v>244</v>
      </c>
      <c r="D76" s="4" t="b">
        <v>0</v>
      </c>
      <c r="E76" s="4" t="str">
        <f t="shared" si="1"/>
        <v>NOT SDG 7</v>
      </c>
      <c r="F76" s="14" t="str">
        <f>VLOOKUP(B76,'Final Review'!A:H, 8, FALSE)</f>
        <v>SDG 7</v>
      </c>
      <c r="G76" s="14" t="b">
        <f t="shared" si="2"/>
        <v>0</v>
      </c>
    </row>
    <row r="77">
      <c r="A77" s="4" t="s">
        <v>229</v>
      </c>
      <c r="B77" s="4" t="s">
        <v>230</v>
      </c>
      <c r="C77" s="4" t="s">
        <v>231</v>
      </c>
      <c r="D77" s="4" t="b">
        <v>0</v>
      </c>
      <c r="E77" s="4" t="str">
        <f t="shared" si="1"/>
        <v>NOT SDG 7</v>
      </c>
      <c r="F77" s="14" t="str">
        <f>VLOOKUP(B77,'Final Review'!A:H, 8, FALSE)</f>
        <v>NOT SDG 7</v>
      </c>
      <c r="G77" s="14" t="b">
        <f t="shared" si="2"/>
        <v>1</v>
      </c>
    </row>
    <row r="78">
      <c r="A78" s="4" t="s">
        <v>223</v>
      </c>
      <c r="B78" s="4" t="s">
        <v>224</v>
      </c>
      <c r="C78" s="4" t="s">
        <v>225</v>
      </c>
      <c r="D78" s="4" t="b">
        <v>1</v>
      </c>
      <c r="E78" s="4" t="str">
        <f t="shared" si="1"/>
        <v>SDG 7</v>
      </c>
      <c r="F78" s="14" t="str">
        <f>VLOOKUP(B78,'Final Review'!A:H, 8, FALSE)</f>
        <v>SDG 7</v>
      </c>
      <c r="G78" s="14" t="b">
        <f t="shared" si="2"/>
        <v>1</v>
      </c>
    </row>
    <row r="79">
      <c r="A79" s="4" t="s">
        <v>99</v>
      </c>
      <c r="B79" s="4" t="s">
        <v>100</v>
      </c>
      <c r="C79" s="4" t="s">
        <v>101</v>
      </c>
      <c r="D79" s="4" t="b">
        <v>1</v>
      </c>
      <c r="E79" s="4" t="str">
        <f t="shared" si="1"/>
        <v>SDG 7</v>
      </c>
      <c r="F79" s="14" t="str">
        <f>VLOOKUP(B79,'Final Review'!A:H, 8, FALSE)</f>
        <v>SDG 7</v>
      </c>
      <c r="G79" s="14" t="b">
        <f t="shared" si="2"/>
        <v>1</v>
      </c>
    </row>
    <row r="80">
      <c r="A80" s="4" t="s">
        <v>294</v>
      </c>
      <c r="B80" s="4" t="s">
        <v>297</v>
      </c>
      <c r="C80" s="4" t="s">
        <v>298</v>
      </c>
      <c r="D80" s="4" t="b">
        <v>1</v>
      </c>
      <c r="E80" s="4" t="str">
        <f t="shared" si="1"/>
        <v>SDG 7</v>
      </c>
      <c r="F80" s="14" t="str">
        <f>VLOOKUP(B80,'Final Review'!A:H, 8, FALSE)</f>
        <v>SDG 7</v>
      </c>
      <c r="G80" s="14" t="b">
        <f t="shared" si="2"/>
        <v>1</v>
      </c>
    </row>
    <row r="81">
      <c r="A81" s="4" t="s">
        <v>143</v>
      </c>
      <c r="B81" s="4" t="s">
        <v>180</v>
      </c>
      <c r="C81" s="4" t="s">
        <v>181</v>
      </c>
      <c r="D81" s="4" t="b">
        <v>0</v>
      </c>
      <c r="E81" s="4" t="str">
        <f t="shared" si="1"/>
        <v>NOT SDG 7</v>
      </c>
      <c r="F81" s="14" t="str">
        <f>VLOOKUP(B81,'Final Review'!A:H, 8, FALSE)</f>
        <v>NOT SDG 7</v>
      </c>
      <c r="G81" s="14" t="b">
        <f t="shared" si="2"/>
        <v>1</v>
      </c>
    </row>
    <row r="82">
      <c r="A82" s="4" t="s">
        <v>140</v>
      </c>
      <c r="B82" s="4" t="s">
        <v>141</v>
      </c>
      <c r="C82" s="4" t="s">
        <v>142</v>
      </c>
      <c r="D82" s="4" t="b">
        <v>1</v>
      </c>
      <c r="E82" s="4" t="str">
        <f t="shared" si="1"/>
        <v>SDG 7</v>
      </c>
      <c r="F82" s="14" t="str">
        <f>VLOOKUP(B82,'Final Review'!A:H, 8, FALSE)</f>
        <v>SDG 7</v>
      </c>
      <c r="G82" s="14" t="b">
        <f t="shared" si="2"/>
        <v>1</v>
      </c>
    </row>
    <row r="83">
      <c r="A83" s="4" t="s">
        <v>105</v>
      </c>
      <c r="B83" s="4" t="s">
        <v>106</v>
      </c>
      <c r="C83" s="4" t="s">
        <v>107</v>
      </c>
      <c r="D83" s="4" t="b">
        <v>1</v>
      </c>
      <c r="E83" s="4" t="str">
        <f t="shared" si="1"/>
        <v>SDG 7</v>
      </c>
      <c r="F83" s="14" t="str">
        <f>VLOOKUP(B83,'Final Review'!A:H, 8, FALSE)</f>
        <v>SDG 7</v>
      </c>
      <c r="G83" s="14" t="b">
        <f t="shared" si="2"/>
        <v>1</v>
      </c>
    </row>
    <row r="84">
      <c r="A84" s="4" t="s">
        <v>90</v>
      </c>
      <c r="B84" s="4" t="s">
        <v>91</v>
      </c>
      <c r="C84" s="4" t="s">
        <v>92</v>
      </c>
      <c r="D84" s="4" t="b">
        <v>0</v>
      </c>
      <c r="E84" s="4" t="str">
        <f t="shared" si="1"/>
        <v>NOT SDG 7</v>
      </c>
      <c r="F84" s="14" t="str">
        <f>VLOOKUP(B84,'Final Review'!A:H, 8, FALSE)</f>
        <v>NOT SDG 7</v>
      </c>
      <c r="G84" s="14" t="b">
        <f t="shared" si="2"/>
        <v>1</v>
      </c>
    </row>
    <row r="85">
      <c r="A85" s="4" t="s">
        <v>200</v>
      </c>
      <c r="B85" s="4" t="s">
        <v>201</v>
      </c>
      <c r="C85" s="4" t="s">
        <v>202</v>
      </c>
      <c r="D85" s="4" t="b">
        <v>1</v>
      </c>
      <c r="E85" s="4" t="str">
        <f t="shared" si="1"/>
        <v>SDG 7</v>
      </c>
      <c r="F85" s="14" t="str">
        <f>VLOOKUP(B85,'Final Review'!A:H, 8, FALSE)</f>
        <v>SDG 7</v>
      </c>
      <c r="G85" s="14" t="b">
        <f t="shared" si="2"/>
        <v>1</v>
      </c>
    </row>
    <row r="86">
      <c r="A86" s="4" t="s">
        <v>265</v>
      </c>
      <c r="B86" s="4" t="s">
        <v>266</v>
      </c>
      <c r="C86" s="4" t="s">
        <v>267</v>
      </c>
      <c r="D86" s="4" t="b">
        <v>0</v>
      </c>
      <c r="E86" s="4" t="str">
        <f t="shared" si="1"/>
        <v>NOT SDG 7</v>
      </c>
      <c r="F86" s="14" t="str">
        <f>VLOOKUP(B86,'Final Review'!A:H, 8, FALSE)</f>
        <v>SDG 7</v>
      </c>
      <c r="G86" s="14" t="b">
        <f t="shared" si="2"/>
        <v>0</v>
      </c>
    </row>
    <row r="87">
      <c r="A87" s="4" t="s">
        <v>328</v>
      </c>
      <c r="B87" s="4" t="s">
        <v>329</v>
      </c>
      <c r="C87" s="4" t="s">
        <v>330</v>
      </c>
      <c r="D87" s="4" t="b">
        <v>1</v>
      </c>
      <c r="E87" s="4" t="str">
        <f t="shared" si="1"/>
        <v>SDG 7</v>
      </c>
      <c r="F87" s="14" t="str">
        <f>VLOOKUP(B87,'Final Review'!A:H, 8, FALSE)</f>
        <v>SDG 7</v>
      </c>
      <c r="G87" s="14" t="b">
        <f t="shared" si="2"/>
        <v>1</v>
      </c>
    </row>
    <row r="88">
      <c r="A88" s="4" t="s">
        <v>99</v>
      </c>
      <c r="B88" s="4" t="s">
        <v>284</v>
      </c>
      <c r="C88" s="4" t="s">
        <v>285</v>
      </c>
      <c r="D88" s="4" t="b">
        <v>0</v>
      </c>
      <c r="E88" s="4" t="str">
        <f t="shared" si="1"/>
        <v>NOT SDG 7</v>
      </c>
      <c r="F88" s="14" t="str">
        <f>VLOOKUP(B88,'Final Review'!A:H, 8, FALSE)</f>
        <v>SDG 7</v>
      </c>
      <c r="G88" s="14" t="b">
        <f t="shared" si="2"/>
        <v>0</v>
      </c>
    </row>
    <row r="89">
      <c r="A89" s="4" t="s">
        <v>99</v>
      </c>
      <c r="B89" s="4" t="s">
        <v>206</v>
      </c>
      <c r="C89" s="4" t="s">
        <v>207</v>
      </c>
      <c r="D89" s="4" t="b">
        <v>1</v>
      </c>
      <c r="E89" s="4" t="str">
        <f t="shared" si="1"/>
        <v>SDG 7</v>
      </c>
      <c r="F89" s="14" t="str">
        <f>VLOOKUP(B89,'Final Review'!A:H, 8, FALSE)</f>
        <v>SDG 7</v>
      </c>
      <c r="G89" s="14" t="b">
        <f t="shared" si="2"/>
        <v>1</v>
      </c>
    </row>
    <row r="90">
      <c r="A90" s="4" t="s">
        <v>127</v>
      </c>
      <c r="B90" s="4" t="s">
        <v>128</v>
      </c>
      <c r="C90" s="4" t="s">
        <v>129</v>
      </c>
      <c r="D90" s="4" t="b">
        <v>0</v>
      </c>
      <c r="E90" s="4" t="str">
        <f t="shared" si="1"/>
        <v>NOT SDG 7</v>
      </c>
      <c r="F90" s="14" t="str">
        <f>VLOOKUP(B90,'Final Review'!A:H, 8, FALSE)</f>
        <v>NOT SDG 7</v>
      </c>
      <c r="G90" s="14" t="b">
        <f t="shared" si="2"/>
        <v>1</v>
      </c>
    </row>
    <row r="91">
      <c r="A91" s="4" t="s">
        <v>152</v>
      </c>
      <c r="B91" s="4" t="s">
        <v>153</v>
      </c>
      <c r="C91" s="4" t="s">
        <v>154</v>
      </c>
      <c r="D91" s="4" t="b">
        <v>0</v>
      </c>
      <c r="E91" s="4" t="str">
        <f t="shared" si="1"/>
        <v>NOT SDG 7</v>
      </c>
      <c r="F91" s="14" t="str">
        <f>VLOOKUP(B91,'Final Review'!A:H, 8, FALSE)</f>
        <v>NOT SDG 7</v>
      </c>
      <c r="G91" s="14" t="b">
        <f t="shared" si="2"/>
        <v>1</v>
      </c>
    </row>
    <row r="92">
      <c r="A92" s="4" t="s">
        <v>149</v>
      </c>
      <c r="B92" s="4" t="s">
        <v>316</v>
      </c>
      <c r="C92" s="4" t="s">
        <v>317</v>
      </c>
      <c r="D92" s="4" t="b">
        <v>0</v>
      </c>
      <c r="E92" s="4" t="str">
        <f t="shared" si="1"/>
        <v>NOT SDG 7</v>
      </c>
      <c r="F92" s="14" t="str">
        <f>VLOOKUP(B92,'Final Review'!A:H, 8, FALSE)</f>
        <v>SDG 7</v>
      </c>
      <c r="G92" s="14" t="b">
        <f t="shared" si="2"/>
        <v>0</v>
      </c>
    </row>
    <row r="93">
      <c r="A93" s="4" t="s">
        <v>102</v>
      </c>
      <c r="B93" s="4" t="s">
        <v>272</v>
      </c>
      <c r="C93" s="4" t="s">
        <v>273</v>
      </c>
      <c r="D93" s="4" t="b">
        <v>1</v>
      </c>
      <c r="E93" s="4" t="str">
        <f t="shared" si="1"/>
        <v>SDG 7</v>
      </c>
      <c r="F93" s="14" t="str">
        <f>VLOOKUP(B93,'Final Review'!A:H, 8, FALSE)</f>
        <v>SDG 7</v>
      </c>
      <c r="G93" s="14" t="b">
        <f t="shared" si="2"/>
        <v>1</v>
      </c>
    </row>
    <row r="94">
      <c r="A94" s="4" t="s">
        <v>197</v>
      </c>
      <c r="B94" s="4" t="s">
        <v>198</v>
      </c>
      <c r="C94" s="4" t="s">
        <v>199</v>
      </c>
      <c r="D94" s="4" t="b">
        <v>0</v>
      </c>
      <c r="E94" s="4" t="str">
        <f t="shared" si="1"/>
        <v>NOT SDG 7</v>
      </c>
      <c r="F94" s="14" t="str">
        <f>VLOOKUP(B94,'Final Review'!A:H, 8, FALSE)</f>
        <v>NOT SDG 7</v>
      </c>
      <c r="G94" s="14" t="b">
        <f t="shared" si="2"/>
        <v>1</v>
      </c>
    </row>
    <row r="95">
      <c r="A95" s="4" t="s">
        <v>114</v>
      </c>
      <c r="B95" s="4" t="s">
        <v>115</v>
      </c>
      <c r="C95" s="4" t="s">
        <v>116</v>
      </c>
      <c r="D95" s="4" t="b">
        <v>0</v>
      </c>
      <c r="E95" s="4" t="str">
        <f t="shared" si="1"/>
        <v>NOT SDG 7</v>
      </c>
      <c r="F95" s="14" t="str">
        <f>VLOOKUP(B95,'Final Review'!A:H, 8, FALSE)</f>
        <v>NOT SDG 7</v>
      </c>
      <c r="G95" s="14" t="b">
        <f t="shared" si="2"/>
        <v>1</v>
      </c>
    </row>
    <row r="96">
      <c r="A96" s="4" t="s">
        <v>158</v>
      </c>
      <c r="B96" s="4" t="s">
        <v>159</v>
      </c>
      <c r="C96" s="4" t="s">
        <v>160</v>
      </c>
      <c r="D96" s="4" t="b">
        <v>0</v>
      </c>
      <c r="E96" s="4" t="str">
        <f t="shared" si="1"/>
        <v>NOT SDG 7</v>
      </c>
      <c r="F96" s="14" t="str">
        <f>VLOOKUP(B96,'Final Review'!A:H, 8, FALSE)</f>
        <v>NOT SDG 7</v>
      </c>
      <c r="G96" s="14" t="b">
        <f t="shared" si="2"/>
        <v>1</v>
      </c>
    </row>
    <row r="97">
      <c r="A97" s="4" t="s">
        <v>177</v>
      </c>
      <c r="B97" s="4" t="s">
        <v>178</v>
      </c>
      <c r="C97" s="4" t="s">
        <v>179</v>
      </c>
      <c r="D97" s="4" t="b">
        <v>0</v>
      </c>
      <c r="E97" s="4" t="str">
        <f t="shared" si="1"/>
        <v>NOT SDG 7</v>
      </c>
      <c r="F97" s="14" t="str">
        <f>VLOOKUP(B97,'Final Review'!A:H, 8, FALSE)</f>
        <v>NOT SDG 7</v>
      </c>
      <c r="G97" s="14" t="b">
        <f t="shared" si="2"/>
        <v>1</v>
      </c>
    </row>
    <row r="98">
      <c r="A98" s="4" t="s">
        <v>93</v>
      </c>
      <c r="B98" s="4" t="s">
        <v>245</v>
      </c>
      <c r="C98" s="4" t="s">
        <v>246</v>
      </c>
      <c r="D98" s="4" t="b">
        <v>1</v>
      </c>
      <c r="E98" s="4" t="str">
        <f t="shared" si="1"/>
        <v>SDG 7</v>
      </c>
      <c r="F98" s="14" t="str">
        <f>VLOOKUP(B98,'Final Review'!A:H, 8, FALSE)</f>
        <v>SDG 7</v>
      </c>
      <c r="G98" s="14" t="b">
        <f t="shared" si="2"/>
        <v>1</v>
      </c>
    </row>
    <row r="99">
      <c r="A99" s="4" t="s">
        <v>83</v>
      </c>
      <c r="B99" s="4" t="s">
        <v>270</v>
      </c>
      <c r="C99" s="4" t="s">
        <v>271</v>
      </c>
      <c r="D99" s="4" t="b">
        <v>0</v>
      </c>
      <c r="E99" s="4" t="str">
        <f t="shared" si="1"/>
        <v>NOT SDG 7</v>
      </c>
      <c r="F99" s="14" t="str">
        <f>VLOOKUP(B99,'Final Review'!A:H, 8, FALSE)</f>
        <v>NOT SDG 7</v>
      </c>
      <c r="G99" s="14" t="b">
        <f t="shared" si="2"/>
        <v>1</v>
      </c>
    </row>
    <row r="100">
      <c r="A100" s="4" t="s">
        <v>137</v>
      </c>
      <c r="B100" s="4" t="s">
        <v>292</v>
      </c>
      <c r="C100" s="4" t="s">
        <v>293</v>
      </c>
      <c r="D100" s="4" t="b">
        <v>0</v>
      </c>
      <c r="E100" s="4" t="str">
        <f t="shared" si="1"/>
        <v>NOT SDG 7</v>
      </c>
      <c r="F100" s="14" t="str">
        <f>VLOOKUP(B100,'Final Review'!A:H, 8, FALSE)</f>
        <v>SDG 7</v>
      </c>
      <c r="G100" s="14" t="b">
        <f t="shared" si="2"/>
        <v>0</v>
      </c>
    </row>
    <row r="101">
      <c r="A101" s="4" t="s">
        <v>281</v>
      </c>
      <c r="B101" s="4" t="s">
        <v>340</v>
      </c>
      <c r="C101" s="4" t="s">
        <v>341</v>
      </c>
      <c r="D101" s="4" t="b">
        <v>0</v>
      </c>
      <c r="E101" s="4" t="str">
        <f t="shared" si="1"/>
        <v>NOT SDG 7</v>
      </c>
      <c r="F101" s="14" t="str">
        <f>VLOOKUP(B101,'Final Review'!A:H, 8, FALSE)</f>
        <v>NOT SDG 7</v>
      </c>
      <c r="G101" s="14" t="b">
        <f t="shared" si="2"/>
        <v>1</v>
      </c>
    </row>
  </sheetData>
  <autoFilter ref="$A$1:$D$101"/>
  <drawing r:id="rId1"/>
</worksheet>
</file>