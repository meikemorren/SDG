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ebruiker\Documents\GitHub\SDG\analysis\data\annotation\"/>
    </mc:Choice>
  </mc:AlternateContent>
  <xr:revisionPtr revIDLastSave="0" documentId="8_{32B44D57-2F32-4E24-9AB1-F64C8C6C838A}" xr6:coauthVersionLast="47" xr6:coauthVersionMax="47" xr10:uidLastSave="{00000000-0000-0000-0000-000000000000}"/>
  <bookViews>
    <workbookView xWindow="2250" yWindow="2250" windowWidth="16290" windowHeight="15090" firstSheet="1" activeTab="7" xr2:uid="{00000000-000D-0000-FFFF-FFFF00000000}"/>
  </bookViews>
  <sheets>
    <sheet name="Info" sheetId="1" r:id="rId1"/>
    <sheet name="Finn" sheetId="2" r:id="rId2"/>
    <sheet name="Gib" sheetId="3" r:id="rId3"/>
    <sheet name="Ivan" sheetId="4" r:id="rId4"/>
    <sheet name="Jean-Baptiste" sheetId="5" r:id="rId5"/>
    <sheet name="Meike" sheetId="6" r:id="rId6"/>
    <sheet name="Steve" sheetId="7" r:id="rId7"/>
    <sheet name="Source" sheetId="8" r:id="rId8"/>
    <sheet name="Final Review" sheetId="9" r:id="rId9"/>
    <sheet name="Output" sheetId="10" r:id="rId10"/>
  </sheets>
  <definedNames>
    <definedName name="_xlnm._FilterDatabase" localSheetId="8" hidden="1">'Final Review'!$A$1:$U$101</definedName>
    <definedName name="_xlnm._FilterDatabase" localSheetId="9" hidden="1">Output!$A$1:$G$65</definedName>
    <definedName name="_xlnm._FilterDatabase" localSheetId="7" hidden="1">Source!$A$1:$K$101</definedName>
  </definedNames>
  <calcPr calcId="191029"/>
  <fileRecoveryPr repairLoad="1"/>
</workbook>
</file>

<file path=xl/calcChain.xml><?xml version="1.0" encoding="utf-8"?>
<calcChain xmlns="http://schemas.openxmlformats.org/spreadsheetml/2006/main">
  <c r="C101" i="10" l="1"/>
  <c r="A101" i="10"/>
  <c r="C100" i="10"/>
  <c r="A100" i="10"/>
  <c r="C99" i="10"/>
  <c r="A99" i="10"/>
  <c r="C98" i="10"/>
  <c r="A98" i="10"/>
  <c r="C97" i="10"/>
  <c r="A97" i="10"/>
  <c r="C96" i="10"/>
  <c r="A96" i="10"/>
  <c r="C95" i="10"/>
  <c r="A95" i="10"/>
  <c r="C94" i="10"/>
  <c r="A94" i="10"/>
  <c r="C93" i="10"/>
  <c r="A93" i="10"/>
  <c r="C92" i="10"/>
  <c r="A92" i="10"/>
  <c r="C91" i="10"/>
  <c r="A91" i="10"/>
  <c r="C90" i="10"/>
  <c r="A90" i="10"/>
  <c r="C89" i="10"/>
  <c r="A89" i="10"/>
  <c r="C88" i="10"/>
  <c r="A88" i="10"/>
  <c r="C87" i="10"/>
  <c r="A87" i="10"/>
  <c r="C86" i="10"/>
  <c r="A86" i="10"/>
  <c r="C85" i="10"/>
  <c r="A85" i="10"/>
  <c r="C84" i="10"/>
  <c r="A84" i="10"/>
  <c r="C83" i="10"/>
  <c r="A83" i="10"/>
  <c r="C82" i="10"/>
  <c r="A82" i="10"/>
  <c r="C81" i="10"/>
  <c r="A81" i="10"/>
  <c r="C80" i="10"/>
  <c r="A80" i="10"/>
  <c r="C79" i="10"/>
  <c r="A79" i="10"/>
  <c r="C78" i="10"/>
  <c r="A78" i="10"/>
  <c r="C77" i="10"/>
  <c r="A77" i="10"/>
  <c r="C76" i="10"/>
  <c r="A76" i="10"/>
  <c r="C75" i="10"/>
  <c r="A75" i="10"/>
  <c r="C74" i="10"/>
  <c r="A74" i="10"/>
  <c r="C73" i="10"/>
  <c r="A73" i="10"/>
  <c r="C72" i="10"/>
  <c r="A72" i="10"/>
  <c r="C71" i="10"/>
  <c r="A71" i="10"/>
  <c r="C70" i="10"/>
  <c r="A70" i="10"/>
  <c r="C69" i="10"/>
  <c r="A69" i="10"/>
  <c r="C68" i="10"/>
  <c r="A68" i="10"/>
  <c r="C67" i="10"/>
  <c r="A67" i="10"/>
  <c r="C66"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Q101" i="9"/>
  <c r="B101" i="9"/>
  <c r="A101" i="9"/>
  <c r="Q100" i="9"/>
  <c r="B100" i="9"/>
  <c r="A100" i="9"/>
  <c r="Q99" i="9"/>
  <c r="B99" i="9"/>
  <c r="A99" i="9"/>
  <c r="Q98" i="9"/>
  <c r="B98" i="9"/>
  <c r="A98" i="9"/>
  <c r="Q97" i="9"/>
  <c r="B97" i="9"/>
  <c r="A97" i="9"/>
  <c r="Q96" i="9"/>
  <c r="B96" i="9"/>
  <c r="A96" i="9"/>
  <c r="Q95" i="9"/>
  <c r="B95" i="9"/>
  <c r="A95" i="9"/>
  <c r="Q94" i="9"/>
  <c r="B94" i="9"/>
  <c r="A94" i="9"/>
  <c r="Q93" i="9"/>
  <c r="B93" i="9"/>
  <c r="A93" i="9"/>
  <c r="Q92" i="9"/>
  <c r="B92" i="9"/>
  <c r="A92" i="9"/>
  <c r="Q91" i="9"/>
  <c r="B91" i="9"/>
  <c r="A91" i="9"/>
  <c r="Q90" i="9"/>
  <c r="B90" i="9"/>
  <c r="A90" i="9"/>
  <c r="Q89" i="9"/>
  <c r="B89" i="9"/>
  <c r="A89" i="9"/>
  <c r="Q88" i="9"/>
  <c r="B88" i="9"/>
  <c r="A88" i="9"/>
  <c r="Q87" i="9"/>
  <c r="B87" i="9"/>
  <c r="A87" i="9"/>
  <c r="Q86" i="9"/>
  <c r="B86" i="9"/>
  <c r="A86" i="9"/>
  <c r="Q85" i="9"/>
  <c r="B85" i="9"/>
  <c r="A85" i="9"/>
  <c r="Q84" i="9"/>
  <c r="B84" i="9"/>
  <c r="A84" i="9"/>
  <c r="Q83" i="9"/>
  <c r="B83" i="9"/>
  <c r="A83" i="9"/>
  <c r="Q82" i="9"/>
  <c r="B82" i="9"/>
  <c r="A82" i="9"/>
  <c r="Q81" i="9"/>
  <c r="B81" i="9"/>
  <c r="A81" i="9"/>
  <c r="Q80" i="9"/>
  <c r="B80" i="9"/>
  <c r="A80" i="9"/>
  <c r="Q79" i="9"/>
  <c r="B79" i="9"/>
  <c r="A79" i="9"/>
  <c r="Q78" i="9"/>
  <c r="B78" i="9"/>
  <c r="A78" i="9"/>
  <c r="Q77" i="9"/>
  <c r="B77" i="9"/>
  <c r="A77" i="9"/>
  <c r="Q76" i="9"/>
  <c r="B76" i="9"/>
  <c r="A76" i="9"/>
  <c r="Q75" i="9"/>
  <c r="B75" i="9"/>
  <c r="A75" i="9"/>
  <c r="Q74" i="9"/>
  <c r="B74" i="9"/>
  <c r="A74" i="9"/>
  <c r="Q73" i="9"/>
  <c r="B73" i="9"/>
  <c r="A73" i="9"/>
  <c r="Q72" i="9"/>
  <c r="B72" i="9"/>
  <c r="A72" i="9"/>
  <c r="Q71" i="9"/>
  <c r="B71" i="9"/>
  <c r="A71" i="9"/>
  <c r="Q70" i="9"/>
  <c r="B70" i="9"/>
  <c r="A70" i="9"/>
  <c r="Q69" i="9"/>
  <c r="B69" i="9"/>
  <c r="A69" i="9"/>
  <c r="Q68" i="9"/>
  <c r="B68" i="9"/>
  <c r="A68" i="9"/>
  <c r="Q67" i="9"/>
  <c r="B67" i="9"/>
  <c r="A67" i="9"/>
  <c r="Q66" i="9"/>
  <c r="B66" i="9"/>
  <c r="A66" i="9"/>
  <c r="Q65" i="9"/>
  <c r="B65" i="9"/>
  <c r="A65" i="9"/>
  <c r="Q64" i="9"/>
  <c r="B64" i="9"/>
  <c r="A64" i="9"/>
  <c r="Q63" i="9"/>
  <c r="B63" i="9"/>
  <c r="A63" i="9"/>
  <c r="Q62" i="9"/>
  <c r="B62" i="9"/>
  <c r="A62" i="9"/>
  <c r="Q61" i="9"/>
  <c r="B61" i="9"/>
  <c r="A61" i="9"/>
  <c r="Q60" i="9"/>
  <c r="B60" i="9"/>
  <c r="A60" i="9"/>
  <c r="Q59" i="9"/>
  <c r="B59" i="9"/>
  <c r="A59" i="9"/>
  <c r="Q58" i="9"/>
  <c r="B58" i="9"/>
  <c r="A58" i="9"/>
  <c r="Q57" i="9"/>
  <c r="B57" i="9"/>
  <c r="A57" i="9"/>
  <c r="Q56" i="9"/>
  <c r="B56" i="9"/>
  <c r="A56" i="9"/>
  <c r="Q55" i="9"/>
  <c r="B55" i="9"/>
  <c r="A55" i="9"/>
  <c r="Q54" i="9"/>
  <c r="B54" i="9"/>
  <c r="A54" i="9"/>
  <c r="Q53" i="9"/>
  <c r="B53" i="9"/>
  <c r="A53" i="9"/>
  <c r="Q52" i="9"/>
  <c r="B52" i="9"/>
  <c r="A52" i="9"/>
  <c r="Q51" i="9"/>
  <c r="B51" i="9"/>
  <c r="A51" i="9"/>
  <c r="Q50" i="9"/>
  <c r="B50" i="9"/>
  <c r="A50" i="9"/>
  <c r="Q49" i="9"/>
  <c r="B49" i="9"/>
  <c r="A49" i="9"/>
  <c r="Q48" i="9"/>
  <c r="B48" i="9"/>
  <c r="A48" i="9"/>
  <c r="Q47" i="9"/>
  <c r="B47" i="9"/>
  <c r="A47" i="9"/>
  <c r="Q46" i="9"/>
  <c r="B46" i="9"/>
  <c r="A46" i="9"/>
  <c r="Q45" i="9"/>
  <c r="B45" i="9"/>
  <c r="A45" i="9"/>
  <c r="Q44" i="9"/>
  <c r="B44" i="9"/>
  <c r="A44" i="9"/>
  <c r="Q43" i="9"/>
  <c r="B43" i="9"/>
  <c r="A43" i="9"/>
  <c r="Q42" i="9"/>
  <c r="B42" i="9"/>
  <c r="A42" i="9"/>
  <c r="Q41" i="9"/>
  <c r="B41" i="9"/>
  <c r="A41" i="9"/>
  <c r="Q40" i="9"/>
  <c r="B40" i="9"/>
  <c r="A40" i="9"/>
  <c r="Q39" i="9"/>
  <c r="B39" i="9"/>
  <c r="A39" i="9"/>
  <c r="Q38" i="9"/>
  <c r="B38" i="9"/>
  <c r="A38" i="9"/>
  <c r="Q37" i="9"/>
  <c r="B37" i="9"/>
  <c r="A37" i="9"/>
  <c r="Q36" i="9"/>
  <c r="B36" i="9"/>
  <c r="A36" i="9"/>
  <c r="Q35" i="9"/>
  <c r="B35" i="9"/>
  <c r="A35" i="9"/>
  <c r="Q34" i="9"/>
  <c r="B34" i="9"/>
  <c r="A34" i="9"/>
  <c r="Q33" i="9"/>
  <c r="B33" i="9"/>
  <c r="A33" i="9"/>
  <c r="Q32" i="9"/>
  <c r="B32" i="9"/>
  <c r="A32" i="9"/>
  <c r="Q31" i="9"/>
  <c r="B31" i="9"/>
  <c r="A31" i="9"/>
  <c r="Q30" i="9"/>
  <c r="B30" i="9"/>
  <c r="A30" i="9"/>
  <c r="Q29" i="9"/>
  <c r="B29" i="9"/>
  <c r="A29" i="9"/>
  <c r="Q28" i="9"/>
  <c r="B28" i="9"/>
  <c r="A28" i="9"/>
  <c r="Q27" i="9"/>
  <c r="B27" i="9"/>
  <c r="A27" i="9"/>
  <c r="Q26" i="9"/>
  <c r="B26" i="9"/>
  <c r="A26" i="9"/>
  <c r="Q25" i="9"/>
  <c r="B25" i="9"/>
  <c r="A25" i="9"/>
  <c r="Q24" i="9"/>
  <c r="B24" i="9"/>
  <c r="A24" i="9"/>
  <c r="Q23" i="9"/>
  <c r="B23" i="9"/>
  <c r="A23" i="9"/>
  <c r="Q22" i="9"/>
  <c r="B22" i="9"/>
  <c r="A22" i="9"/>
  <c r="Q21" i="9"/>
  <c r="B21" i="9"/>
  <c r="A21" i="9"/>
  <c r="Q20" i="9"/>
  <c r="B20" i="9"/>
  <c r="A20" i="9"/>
  <c r="Q19" i="9"/>
  <c r="B19" i="9"/>
  <c r="A19" i="9"/>
  <c r="Q18" i="9"/>
  <c r="B18" i="9"/>
  <c r="A18" i="9"/>
  <c r="Q17" i="9"/>
  <c r="B17" i="9"/>
  <c r="A17" i="9"/>
  <c r="Q16" i="9"/>
  <c r="B16" i="9"/>
  <c r="A16" i="9"/>
  <c r="Q15" i="9"/>
  <c r="B15" i="9"/>
  <c r="A15" i="9"/>
  <c r="Q14" i="9"/>
  <c r="B14" i="9"/>
  <c r="A14" i="9"/>
  <c r="Q13" i="9"/>
  <c r="B13" i="9"/>
  <c r="A13" i="9"/>
  <c r="Q12" i="9"/>
  <c r="B12" i="9"/>
  <c r="A12" i="9"/>
  <c r="Q11" i="9"/>
  <c r="B11" i="9"/>
  <c r="A11" i="9"/>
  <c r="Q10" i="9"/>
  <c r="B10" i="9"/>
  <c r="A10" i="9"/>
  <c r="Q9" i="9"/>
  <c r="B9" i="9"/>
  <c r="A9" i="9"/>
  <c r="Q8" i="9"/>
  <c r="B8" i="9"/>
  <c r="A8" i="9"/>
  <c r="Q7" i="9"/>
  <c r="B7" i="9"/>
  <c r="A7" i="9"/>
  <c r="Q6" i="9"/>
  <c r="B6" i="9"/>
  <c r="A6" i="9"/>
  <c r="Q5" i="9"/>
  <c r="B5" i="9"/>
  <c r="A5" i="9"/>
  <c r="Q4" i="9"/>
  <c r="B4" i="9"/>
  <c r="A4" i="9"/>
  <c r="Q3" i="9"/>
  <c r="B3" i="9"/>
  <c r="A3" i="9"/>
  <c r="Q2" i="9"/>
  <c r="B2" i="9"/>
  <c r="A2" i="9"/>
  <c r="C80" i="1"/>
  <c r="C79" i="1"/>
  <c r="C78" i="1"/>
  <c r="C77" i="1"/>
  <c r="C76" i="1"/>
  <c r="C75" i="1"/>
  <c r="G4" i="9"/>
  <c r="F56" i="9"/>
  <c r="K53" i="9"/>
  <c r="F52" i="9"/>
  <c r="K49" i="9"/>
  <c r="F48" i="9"/>
  <c r="K45" i="9"/>
  <c r="F44" i="9"/>
  <c r="K41" i="9"/>
  <c r="F40" i="9"/>
  <c r="K37" i="9"/>
  <c r="F36" i="9"/>
  <c r="K33" i="9"/>
  <c r="F32" i="9"/>
  <c r="K29" i="9"/>
  <c r="F28" i="9"/>
  <c r="K25" i="9"/>
  <c r="F24" i="9"/>
  <c r="K21" i="9"/>
  <c r="F20" i="9"/>
  <c r="K17" i="9"/>
  <c r="F16" i="9"/>
  <c r="K13" i="9"/>
  <c r="F12" i="9"/>
  <c r="K9" i="9"/>
  <c r="F8" i="9"/>
  <c r="K5" i="9"/>
  <c r="F4" i="9"/>
  <c r="D79" i="1"/>
  <c r="F70" i="9"/>
  <c r="F50" i="9"/>
  <c r="F42" i="9"/>
  <c r="K35" i="9"/>
  <c r="K31" i="9"/>
  <c r="F26" i="9"/>
  <c r="K19" i="9"/>
  <c r="D78" i="1"/>
  <c r="F54" i="9"/>
  <c r="F46" i="9"/>
  <c r="K39" i="9"/>
  <c r="H85" i="9"/>
  <c r="H81" i="9"/>
  <c r="H77" i="9"/>
  <c r="H73" i="9"/>
  <c r="H69" i="9"/>
  <c r="H65" i="9"/>
  <c r="H61" i="9"/>
  <c r="H57" i="9"/>
  <c r="H53" i="9"/>
  <c r="H49" i="9"/>
  <c r="H45" i="9"/>
  <c r="H41" i="9"/>
  <c r="H37" i="9"/>
  <c r="H33" i="9"/>
  <c r="H29" i="9"/>
  <c r="H25" i="9"/>
  <c r="H21" i="9"/>
  <c r="H17" i="9"/>
  <c r="H13" i="9"/>
  <c r="H9" i="9"/>
  <c r="H5" i="9"/>
  <c r="K59" i="9"/>
  <c r="K51" i="9"/>
  <c r="F38" i="9"/>
  <c r="F30" i="9"/>
  <c r="K23" i="9"/>
  <c r="D77" i="1"/>
  <c r="F58" i="9"/>
  <c r="K47" i="9"/>
  <c r="K15" i="9"/>
  <c r="K75" i="9"/>
  <c r="K63" i="9"/>
  <c r="K55" i="9"/>
  <c r="K43" i="9"/>
  <c r="K11" i="9"/>
  <c r="D76" i="1"/>
  <c r="F74" i="9"/>
  <c r="F62" i="9"/>
  <c r="F34" i="9"/>
  <c r="K27" i="9"/>
  <c r="F22" i="9"/>
  <c r="F18" i="9"/>
  <c r="N99" i="9"/>
  <c r="N95" i="9"/>
  <c r="N91" i="9"/>
  <c r="N87" i="9"/>
  <c r="N83" i="9"/>
  <c r="N79" i="9"/>
  <c r="N75" i="9"/>
  <c r="N71" i="9"/>
  <c r="N67" i="9"/>
  <c r="N63" i="9"/>
  <c r="N59" i="9"/>
  <c r="N55" i="9"/>
  <c r="N51" i="9"/>
  <c r="N47" i="9"/>
  <c r="N43" i="9"/>
  <c r="N39" i="9"/>
  <c r="N35" i="9"/>
  <c r="N31" i="9"/>
  <c r="N27" i="9"/>
  <c r="N23" i="9"/>
  <c r="N19" i="9"/>
  <c r="N15" i="9"/>
  <c r="N11" i="9"/>
  <c r="N7" i="9"/>
  <c r="N3" i="9"/>
  <c r="D75" i="1"/>
  <c r="L99" i="9"/>
  <c r="L95" i="9"/>
  <c r="L91" i="9"/>
  <c r="L87" i="9"/>
  <c r="L83" i="9"/>
  <c r="L79" i="9"/>
  <c r="L75" i="9"/>
  <c r="L71" i="9"/>
  <c r="L67" i="9"/>
  <c r="L63" i="9"/>
  <c r="L59" i="9"/>
  <c r="L55" i="9"/>
  <c r="L51" i="9"/>
  <c r="L47" i="9"/>
  <c r="L43" i="9"/>
  <c r="L39" i="9"/>
  <c r="L35" i="9"/>
  <c r="L31" i="9"/>
  <c r="L27" i="9"/>
  <c r="L23" i="9"/>
  <c r="L19" i="9"/>
  <c r="L15" i="9"/>
  <c r="L11" i="9"/>
  <c r="L7" i="9"/>
  <c r="L3" i="9"/>
  <c r="K91" i="9"/>
  <c r="K87" i="9"/>
  <c r="K83" i="9"/>
  <c r="K100" i="9"/>
  <c r="F95" i="9"/>
  <c r="K92" i="9"/>
  <c r="K88" i="9"/>
  <c r="K76" i="9"/>
  <c r="F99" i="9"/>
  <c r="F91" i="9"/>
  <c r="K84" i="9"/>
  <c r="K80" i="9"/>
  <c r="N100" i="9"/>
  <c r="H99" i="9"/>
  <c r="N96" i="9"/>
  <c r="H95" i="9"/>
  <c r="N92" i="9"/>
  <c r="H91" i="9"/>
  <c r="N88" i="9"/>
  <c r="H87" i="9"/>
  <c r="N84" i="9"/>
  <c r="H83" i="9"/>
  <c r="N80" i="9"/>
  <c r="H79" i="9"/>
  <c r="N76" i="9"/>
  <c r="H75" i="9"/>
  <c r="N72" i="9"/>
  <c r="H71" i="9"/>
  <c r="N68" i="9"/>
  <c r="H67" i="9"/>
  <c r="N64" i="9"/>
  <c r="H63" i="9"/>
  <c r="N60" i="9"/>
  <c r="H59" i="9"/>
  <c r="N56" i="9"/>
  <c r="H55" i="9"/>
  <c r="N52" i="9"/>
  <c r="H51" i="9"/>
  <c r="N48" i="9"/>
  <c r="H47" i="9"/>
  <c r="N44" i="9"/>
  <c r="H43" i="9"/>
  <c r="N40" i="9"/>
  <c r="H39" i="9"/>
  <c r="N36" i="9"/>
  <c r="H35" i="9"/>
  <c r="N32" i="9"/>
  <c r="H31" i="9"/>
  <c r="N28" i="9"/>
  <c r="H27" i="9"/>
  <c r="N24" i="9"/>
  <c r="H23" i="9"/>
  <c r="N20" i="9"/>
  <c r="H19" i="9"/>
  <c r="N16" i="9"/>
  <c r="H15" i="9"/>
  <c r="N12" i="9"/>
  <c r="H11" i="9"/>
  <c r="N8" i="9"/>
  <c r="H7" i="9"/>
  <c r="N4" i="9"/>
  <c r="H3" i="9"/>
  <c r="F87" i="9"/>
  <c r="L100" i="9"/>
  <c r="G99" i="9"/>
  <c r="L96" i="9"/>
  <c r="G95" i="9"/>
  <c r="L92" i="9"/>
  <c r="G91" i="9"/>
  <c r="L88" i="9"/>
  <c r="G87" i="9"/>
  <c r="L84" i="9"/>
  <c r="G83" i="9"/>
  <c r="L80" i="9"/>
  <c r="G79" i="9"/>
  <c r="L76" i="9"/>
  <c r="G75" i="9"/>
  <c r="L72" i="9"/>
  <c r="G71" i="9"/>
  <c r="L68" i="9"/>
  <c r="G67" i="9"/>
  <c r="L64" i="9"/>
  <c r="G63" i="9"/>
  <c r="L60" i="9"/>
  <c r="G59" i="9"/>
  <c r="L56" i="9"/>
  <c r="G55" i="9"/>
  <c r="L52" i="9"/>
  <c r="G51" i="9"/>
  <c r="L48" i="9"/>
  <c r="G47" i="9"/>
  <c r="L44" i="9"/>
  <c r="G43" i="9"/>
  <c r="L40" i="9"/>
  <c r="G39" i="9"/>
  <c r="L36" i="9"/>
  <c r="G35" i="9"/>
  <c r="L32" i="9"/>
  <c r="G31" i="9"/>
  <c r="L28" i="9"/>
  <c r="G27" i="9"/>
  <c r="L24" i="9"/>
  <c r="G23" i="9"/>
  <c r="L20" i="9"/>
  <c r="G19" i="9"/>
  <c r="L16" i="9"/>
  <c r="G15" i="9"/>
  <c r="L12" i="9"/>
  <c r="G11" i="9"/>
  <c r="L8" i="9"/>
  <c r="G7" i="9"/>
  <c r="L4" i="9"/>
  <c r="G3" i="9"/>
  <c r="K96" i="9"/>
  <c r="F83" i="9"/>
  <c r="F79" i="9"/>
  <c r="F75" i="9"/>
  <c r="K72" i="9"/>
  <c r="E99" i="9"/>
  <c r="E95" i="9"/>
  <c r="E91" i="9"/>
  <c r="E87" i="9"/>
  <c r="N101" i="9"/>
  <c r="H100" i="9"/>
  <c r="N97" i="9"/>
  <c r="H96" i="9"/>
  <c r="N93" i="9"/>
  <c r="H92" i="9"/>
  <c r="N89" i="9"/>
  <c r="H88" i="9"/>
  <c r="N85" i="9"/>
  <c r="H84" i="9"/>
  <c r="N81" i="9"/>
  <c r="H80" i="9"/>
  <c r="N77" i="9"/>
  <c r="H76" i="9"/>
  <c r="N73" i="9"/>
  <c r="H72" i="9"/>
  <c r="N69" i="9"/>
  <c r="H68" i="9"/>
  <c r="N65" i="9"/>
  <c r="H64" i="9"/>
  <c r="N61" i="9"/>
  <c r="H60" i="9"/>
  <c r="N57" i="9"/>
  <c r="H56" i="9"/>
  <c r="N53" i="9"/>
  <c r="H52" i="9"/>
  <c r="N49" i="9"/>
  <c r="H48" i="9"/>
  <c r="N45" i="9"/>
  <c r="H44" i="9"/>
  <c r="N41" i="9"/>
  <c r="H40" i="9"/>
  <c r="N37" i="9"/>
  <c r="H36" i="9"/>
  <c r="N33" i="9"/>
  <c r="H32" i="9"/>
  <c r="N29" i="9"/>
  <c r="H28" i="9"/>
  <c r="N25" i="9"/>
  <c r="H24" i="9"/>
  <c r="N21" i="9"/>
  <c r="H20" i="9"/>
  <c r="N17" i="9"/>
  <c r="H16" i="9"/>
  <c r="N13" i="9"/>
  <c r="H12" i="9"/>
  <c r="N9" i="9"/>
  <c r="H8" i="9"/>
  <c r="N5" i="9"/>
  <c r="H4" i="9"/>
  <c r="D80" i="1"/>
  <c r="D95" i="9"/>
  <c r="P90" i="9"/>
  <c r="K79" i="9"/>
  <c r="O65" i="9"/>
  <c r="F51" i="9"/>
  <c r="P47" i="9"/>
  <c r="P42" i="9"/>
  <c r="K32" i="9"/>
  <c r="G28" i="9"/>
  <c r="D23" i="9"/>
  <c r="P14" i="9"/>
  <c r="O9" i="9"/>
  <c r="I56" i="9"/>
  <c r="I100" i="9"/>
  <c r="I84" i="9"/>
  <c r="D79" i="9"/>
  <c r="O69" i="9"/>
  <c r="K60" i="9"/>
  <c r="G56" i="9"/>
  <c r="D51" i="9"/>
  <c r="L37" i="9"/>
  <c r="I32" i="9"/>
  <c r="L5" i="9"/>
  <c r="P95" i="9"/>
  <c r="O89" i="9"/>
  <c r="P74" i="9"/>
  <c r="L65" i="9"/>
  <c r="I60" i="9"/>
  <c r="O41" i="9"/>
  <c r="F27" i="9"/>
  <c r="P23" i="9"/>
  <c r="P18" i="9"/>
  <c r="O13" i="9"/>
  <c r="L9" i="9"/>
  <c r="P70" i="9"/>
  <c r="G100" i="9"/>
  <c r="G84" i="9"/>
  <c r="P79" i="9"/>
  <c r="L69" i="9"/>
  <c r="F55" i="9"/>
  <c r="P51" i="9"/>
  <c r="P46" i="9"/>
  <c r="K36" i="9"/>
  <c r="G32" i="9"/>
  <c r="D27" i="9"/>
  <c r="K4" i="9"/>
  <c r="L89" i="9"/>
  <c r="O73" i="9"/>
  <c r="K64" i="9"/>
  <c r="G60" i="9"/>
  <c r="D55" i="9"/>
  <c r="L41" i="9"/>
  <c r="I36" i="9"/>
  <c r="O17" i="9"/>
  <c r="L13" i="9"/>
  <c r="K8" i="9"/>
  <c r="I4" i="9"/>
  <c r="P75" i="9"/>
  <c r="D99" i="9"/>
  <c r="P94" i="9"/>
  <c r="D83" i="9"/>
  <c r="F78" i="9"/>
  <c r="K68" i="9"/>
  <c r="I64" i="9"/>
  <c r="O45" i="9"/>
  <c r="F31" i="9"/>
  <c r="P27" i="9"/>
  <c r="P22" i="9"/>
  <c r="I8" i="9"/>
  <c r="L101" i="9"/>
  <c r="I88" i="9"/>
  <c r="L73" i="9"/>
  <c r="I68" i="9"/>
  <c r="F59" i="9"/>
  <c r="P55" i="9"/>
  <c r="P50" i="9"/>
  <c r="K40" i="9"/>
  <c r="G36" i="9"/>
  <c r="D31" i="9"/>
  <c r="L17" i="9"/>
  <c r="K12" i="9"/>
  <c r="E4" i="9"/>
  <c r="P99" i="9"/>
  <c r="O93" i="9"/>
  <c r="P83" i="9"/>
  <c r="P78" i="9"/>
  <c r="G64" i="9"/>
  <c r="D59" i="9"/>
  <c r="L45" i="9"/>
  <c r="I40" i="9"/>
  <c r="O21" i="9"/>
  <c r="I12" i="9"/>
  <c r="G8" i="9"/>
  <c r="G88" i="9"/>
  <c r="I72" i="9"/>
  <c r="G68" i="9"/>
  <c r="O49" i="9"/>
  <c r="F35" i="9"/>
  <c r="P31" i="9"/>
  <c r="P26" i="9"/>
  <c r="K16" i="9"/>
  <c r="K3" i="9"/>
  <c r="L93" i="9"/>
  <c r="O77" i="9"/>
  <c r="F63" i="9"/>
  <c r="P59" i="9"/>
  <c r="P54" i="9"/>
  <c r="K44" i="9"/>
  <c r="G40" i="9"/>
  <c r="D35" i="9"/>
  <c r="L21" i="9"/>
  <c r="I16" i="9"/>
  <c r="G12" i="9"/>
  <c r="K7" i="9"/>
  <c r="F3" i="9"/>
  <c r="P98" i="9"/>
  <c r="D87" i="9"/>
  <c r="P82" i="9"/>
  <c r="G72" i="9"/>
  <c r="K67" i="9"/>
  <c r="D63" i="9"/>
  <c r="L49" i="9"/>
  <c r="I44" i="9"/>
  <c r="O25" i="9"/>
  <c r="F7" i="9"/>
  <c r="D3" i="9"/>
  <c r="I92" i="9"/>
  <c r="L77" i="9"/>
  <c r="F67" i="9"/>
  <c r="O53" i="9"/>
  <c r="F39" i="9"/>
  <c r="P35" i="9"/>
  <c r="P30" i="9"/>
  <c r="K20" i="9"/>
  <c r="G16" i="9"/>
  <c r="F11" i="9"/>
  <c r="D7" i="9"/>
  <c r="O37" i="9"/>
  <c r="O97" i="9"/>
  <c r="P87" i="9"/>
  <c r="O81" i="9"/>
  <c r="K71" i="9"/>
  <c r="D67" i="9"/>
  <c r="P63" i="9"/>
  <c r="P58" i="9"/>
  <c r="K48" i="9"/>
  <c r="G44" i="9"/>
  <c r="D39" i="9"/>
  <c r="L25" i="9"/>
  <c r="I20" i="9"/>
  <c r="D11" i="9"/>
  <c r="P3" i="9"/>
  <c r="L85" i="9"/>
  <c r="O5" i="9"/>
  <c r="G92" i="9"/>
  <c r="I76" i="9"/>
  <c r="F71" i="9"/>
  <c r="L53" i="9"/>
  <c r="I48" i="9"/>
  <c r="O29" i="9"/>
  <c r="F15" i="9"/>
  <c r="P7" i="9"/>
  <c r="L97" i="9"/>
  <c r="L81" i="9"/>
  <c r="D71" i="9"/>
  <c r="P67" i="9"/>
  <c r="O57" i="9"/>
  <c r="F43" i="9"/>
  <c r="P39" i="9"/>
  <c r="P34" i="9"/>
  <c r="K24" i="9"/>
  <c r="G20" i="9"/>
  <c r="D15" i="9"/>
  <c r="P11" i="9"/>
  <c r="K56" i="9"/>
  <c r="L33" i="9"/>
  <c r="L61" i="9"/>
  <c r="D91" i="9"/>
  <c r="P86" i="9"/>
  <c r="G76" i="9"/>
  <c r="P62" i="9"/>
  <c r="K52" i="9"/>
  <c r="G48" i="9"/>
  <c r="D43" i="9"/>
  <c r="L29" i="9"/>
  <c r="I24" i="9"/>
  <c r="F6" i="9"/>
  <c r="D47" i="9"/>
  <c r="I28" i="9"/>
  <c r="P10" i="9"/>
  <c r="F23" i="9"/>
  <c r="I96" i="9"/>
  <c r="I80" i="9"/>
  <c r="P71" i="9"/>
  <c r="F66" i="9"/>
  <c r="L57" i="9"/>
  <c r="I52" i="9"/>
  <c r="O33" i="9"/>
  <c r="F19" i="9"/>
  <c r="P15" i="9"/>
  <c r="F10" i="9"/>
  <c r="G52" i="9"/>
  <c r="F14" i="9"/>
  <c r="P19" i="9"/>
  <c r="O101" i="9"/>
  <c r="P91" i="9"/>
  <c r="O85" i="9"/>
  <c r="D75" i="9"/>
  <c r="O61" i="9"/>
  <c r="F47" i="9"/>
  <c r="P43" i="9"/>
  <c r="P38" i="9"/>
  <c r="K28" i="9"/>
  <c r="G24" i="9"/>
  <c r="D19" i="9"/>
  <c r="P6" i="9"/>
  <c r="G96" i="9"/>
  <c r="G80" i="9"/>
  <c r="P66" i="9"/>
  <c r="R1" i="9" l="1" a="1"/>
  <c r="E7" i="9"/>
  <c r="E47" i="9"/>
  <c r="P89" i="9"/>
  <c r="O24" i="9"/>
  <c r="I51" i="9"/>
  <c r="D78" i="9"/>
  <c r="P8" i="9"/>
  <c r="P48" i="9"/>
  <c r="P88" i="9"/>
  <c r="G30" i="9"/>
  <c r="H14" i="9"/>
  <c r="H94" i="9"/>
  <c r="O27" i="9"/>
  <c r="I54" i="9"/>
  <c r="D81" i="9"/>
  <c r="E21" i="9"/>
  <c r="E101" i="9"/>
  <c r="K42" i="9"/>
  <c r="K82" i="9"/>
  <c r="G25" i="9"/>
  <c r="G65" i="9"/>
  <c r="N10" i="9"/>
  <c r="H89" i="9"/>
  <c r="I21" i="9"/>
  <c r="D48" i="9"/>
  <c r="O74" i="9"/>
  <c r="I101" i="9"/>
  <c r="E84" i="9"/>
  <c r="F88" i="9"/>
  <c r="P101" i="9"/>
  <c r="D82" i="9"/>
  <c r="E94" i="9"/>
  <c r="D5" i="9"/>
  <c r="D85" i="9"/>
  <c r="F49" i="9"/>
  <c r="L70" i="9"/>
  <c r="I25" i="9"/>
  <c r="O78" i="9"/>
  <c r="K93" i="9"/>
  <c r="E58" i="9"/>
  <c r="D61" i="9"/>
  <c r="F53" i="9"/>
  <c r="N30" i="9"/>
  <c r="I81" i="9"/>
  <c r="O2" i="9"/>
  <c r="O32" i="9"/>
  <c r="P100" i="9"/>
  <c r="O35" i="9"/>
  <c r="K14" i="9"/>
  <c r="N34" i="9"/>
  <c r="O82" i="9"/>
  <c r="I19" i="9"/>
  <c r="D49" i="9"/>
  <c r="G97" i="9"/>
  <c r="O100" i="9"/>
  <c r="L18" i="9"/>
  <c r="G21" i="9"/>
  <c r="G26" i="9"/>
  <c r="O79" i="9"/>
  <c r="D100" i="9"/>
  <c r="P9" i="9"/>
  <c r="P49" i="9"/>
  <c r="P93" i="9"/>
  <c r="D26" i="9"/>
  <c r="O52" i="9"/>
  <c r="I79" i="9"/>
  <c r="E10" i="9"/>
  <c r="E50" i="9"/>
  <c r="E90" i="9"/>
  <c r="G34" i="9"/>
  <c r="H18" i="9"/>
  <c r="H98" i="9"/>
  <c r="D29" i="9"/>
  <c r="O55" i="9"/>
  <c r="I82" i="9"/>
  <c r="E25" i="9"/>
  <c r="F5" i="9"/>
  <c r="F45" i="9"/>
  <c r="F85" i="9"/>
  <c r="L26" i="9"/>
  <c r="L66" i="9"/>
  <c r="N14" i="9"/>
  <c r="N90" i="9"/>
  <c r="O22" i="9"/>
  <c r="I49" i="9"/>
  <c r="D76" i="9"/>
  <c r="E8" i="9"/>
  <c r="E88" i="9"/>
  <c r="K89" i="9"/>
  <c r="P13" i="9"/>
  <c r="O28" i="9"/>
  <c r="E14" i="9"/>
  <c r="G42" i="9"/>
  <c r="O31" i="9"/>
  <c r="E33" i="9"/>
  <c r="F89" i="9"/>
  <c r="N22" i="9"/>
  <c r="D52" i="9"/>
  <c r="E16" i="9"/>
  <c r="E18" i="9"/>
  <c r="O7" i="9"/>
  <c r="F13" i="9"/>
  <c r="L74" i="9"/>
  <c r="O54" i="9"/>
  <c r="K97" i="9"/>
  <c r="E59" i="9"/>
  <c r="D86" i="9"/>
  <c r="G54" i="9"/>
  <c r="I62" i="9"/>
  <c r="K54" i="9"/>
  <c r="H101" i="9"/>
  <c r="E28" i="9"/>
  <c r="P40" i="9"/>
  <c r="G94" i="9"/>
  <c r="G17" i="9"/>
  <c r="P41" i="9"/>
  <c r="L98" i="9"/>
  <c r="I75" i="9"/>
  <c r="E93" i="9"/>
  <c r="F84" i="9"/>
  <c r="O76" i="9"/>
  <c r="L22" i="9"/>
  <c r="E11" i="9"/>
  <c r="E51" i="9"/>
  <c r="P97" i="9"/>
  <c r="I27" i="9"/>
  <c r="D54" i="9"/>
  <c r="O80" i="9"/>
  <c r="P12" i="9"/>
  <c r="P52" i="9"/>
  <c r="P92" i="9"/>
  <c r="G38" i="9"/>
  <c r="H22" i="9"/>
  <c r="O3" i="9"/>
  <c r="I30" i="9"/>
  <c r="D57" i="9"/>
  <c r="O83" i="9"/>
  <c r="E29" i="9"/>
  <c r="K6" i="9"/>
  <c r="K46" i="9"/>
  <c r="K86" i="9"/>
  <c r="G29" i="9"/>
  <c r="G69" i="9"/>
  <c r="N18" i="9"/>
  <c r="H93" i="9"/>
  <c r="D24" i="9"/>
  <c r="O50" i="9"/>
  <c r="I77" i="9"/>
  <c r="E12" i="9"/>
  <c r="E92" i="9"/>
  <c r="F92" i="9"/>
  <c r="P53" i="9"/>
  <c r="I55" i="9"/>
  <c r="E54" i="9"/>
  <c r="H26" i="9"/>
  <c r="I58" i="9"/>
  <c r="F9" i="9"/>
  <c r="L30" i="9"/>
  <c r="N94" i="9"/>
  <c r="E96" i="9"/>
  <c r="G50" i="9"/>
  <c r="O87" i="9"/>
  <c r="F93" i="9"/>
  <c r="N98" i="9"/>
  <c r="E24" i="9"/>
  <c r="E19" i="9"/>
  <c r="P20" i="9"/>
  <c r="H38" i="9"/>
  <c r="D89" i="9"/>
  <c r="G37" i="9"/>
  <c r="I29" i="9"/>
  <c r="F60" i="9"/>
  <c r="P80" i="9"/>
  <c r="H78" i="9"/>
  <c r="G57" i="9"/>
  <c r="I47" i="9"/>
  <c r="E89" i="9"/>
  <c r="D22" i="9"/>
  <c r="D25" i="9"/>
  <c r="I45" i="9"/>
  <c r="E86" i="9"/>
  <c r="F41" i="9"/>
  <c r="K94" i="9"/>
  <c r="E68" i="9"/>
  <c r="P81" i="9"/>
  <c r="K81" i="9"/>
  <c r="H86" i="9"/>
  <c r="E76" i="9"/>
  <c r="H10" i="9"/>
  <c r="F81" i="9"/>
  <c r="E15" i="9"/>
  <c r="E55" i="9"/>
  <c r="I3" i="9"/>
  <c r="D30" i="9"/>
  <c r="O56" i="9"/>
  <c r="I83" i="9"/>
  <c r="P16" i="9"/>
  <c r="P56" i="9"/>
  <c r="P96" i="9"/>
  <c r="G46" i="9"/>
  <c r="H30" i="9"/>
  <c r="I6" i="9"/>
  <c r="D33" i="9"/>
  <c r="O59" i="9"/>
  <c r="I86" i="9"/>
  <c r="E37" i="9"/>
  <c r="K10" i="9"/>
  <c r="K50" i="9"/>
  <c r="K90" i="9"/>
  <c r="G33" i="9"/>
  <c r="G73" i="9"/>
  <c r="N26" i="9"/>
  <c r="H97" i="9"/>
  <c r="O26" i="9"/>
  <c r="I53" i="9"/>
  <c r="D80" i="9"/>
  <c r="E20" i="9"/>
  <c r="E100" i="9"/>
  <c r="F96" i="9"/>
  <c r="P2" i="9"/>
  <c r="P17" i="9"/>
  <c r="P57" i="9"/>
  <c r="O4" i="9"/>
  <c r="I31" i="9"/>
  <c r="D58" i="9"/>
  <c r="O84" i="9"/>
  <c r="E98" i="9"/>
  <c r="H34" i="9"/>
  <c r="I34" i="9"/>
  <c r="E41" i="9"/>
  <c r="L34" i="9"/>
  <c r="D28" i="9"/>
  <c r="K57" i="9"/>
  <c r="D6" i="9"/>
  <c r="I59" i="9"/>
  <c r="P60" i="9"/>
  <c r="D9" i="9"/>
  <c r="E45" i="9"/>
  <c r="G77" i="9"/>
  <c r="D56" i="9"/>
  <c r="F100" i="9"/>
  <c r="I99" i="9"/>
  <c r="O75" i="9"/>
  <c r="O42" i="9"/>
  <c r="E82" i="9"/>
  <c r="D77" i="9"/>
  <c r="I17" i="9"/>
  <c r="E43" i="9"/>
  <c r="E13" i="9"/>
  <c r="P85" i="9"/>
  <c r="E97" i="9"/>
  <c r="N82" i="9"/>
  <c r="H90" i="9"/>
  <c r="N2" i="9"/>
  <c r="P21" i="9"/>
  <c r="P61" i="9"/>
  <c r="I7" i="9"/>
  <c r="D34" i="9"/>
  <c r="O60" i="9"/>
  <c r="I87" i="9"/>
  <c r="E22" i="9"/>
  <c r="E62" i="9"/>
  <c r="F82" i="9"/>
  <c r="G58" i="9"/>
  <c r="H42" i="9"/>
  <c r="I10" i="9"/>
  <c r="D37" i="9"/>
  <c r="O63" i="9"/>
  <c r="I90" i="9"/>
  <c r="E49" i="9"/>
  <c r="F17" i="9"/>
  <c r="F57" i="9"/>
  <c r="F97" i="9"/>
  <c r="L38" i="9"/>
  <c r="L78" i="9"/>
  <c r="N38" i="9"/>
  <c r="D4" i="9"/>
  <c r="O30" i="9"/>
  <c r="I57" i="9"/>
  <c r="D84" i="9"/>
  <c r="E32" i="9"/>
  <c r="K61" i="9"/>
  <c r="K101" i="9"/>
  <c r="I37" i="9"/>
  <c r="F2" i="9"/>
  <c r="K99" i="9"/>
  <c r="I98" i="9"/>
  <c r="L50" i="9"/>
  <c r="D92" i="9"/>
  <c r="E78" i="9"/>
  <c r="F33" i="9"/>
  <c r="D68" i="9"/>
  <c r="G14" i="9"/>
  <c r="I69" i="9"/>
  <c r="H82" i="9"/>
  <c r="O70" i="9"/>
  <c r="G22" i="9"/>
  <c r="D53" i="9"/>
  <c r="K85" i="9"/>
  <c r="M2" i="9"/>
  <c r="E23" i="9"/>
  <c r="E63" i="9"/>
  <c r="O8" i="9"/>
  <c r="I35" i="9"/>
  <c r="D62" i="9"/>
  <c r="O88" i="9"/>
  <c r="P24" i="9"/>
  <c r="P64" i="9"/>
  <c r="F86" i="9"/>
  <c r="G62" i="9"/>
  <c r="H46" i="9"/>
  <c r="O11" i="9"/>
  <c r="I38" i="9"/>
  <c r="D65" i="9"/>
  <c r="O91" i="9"/>
  <c r="E53" i="9"/>
  <c r="K18" i="9"/>
  <c r="K58" i="9"/>
  <c r="K98" i="9"/>
  <c r="G41" i="9"/>
  <c r="G81" i="9"/>
  <c r="N42" i="9"/>
  <c r="I5" i="9"/>
  <c r="D32" i="9"/>
  <c r="O58" i="9"/>
  <c r="I85" i="9"/>
  <c r="E36" i="9"/>
  <c r="F64" i="9"/>
  <c r="G89" i="9"/>
  <c r="P33" i="9"/>
  <c r="D45" i="9"/>
  <c r="L10" i="9"/>
  <c r="I65" i="9"/>
  <c r="E38" i="9"/>
  <c r="O47" i="9"/>
  <c r="L14" i="9"/>
  <c r="E64" i="9"/>
  <c r="D46" i="9"/>
  <c r="K34" i="9"/>
  <c r="F80" i="9"/>
  <c r="G98" i="9"/>
  <c r="L58" i="9"/>
  <c r="I97" i="9"/>
  <c r="O48" i="9"/>
  <c r="D72" i="9"/>
  <c r="I26" i="9"/>
  <c r="I73" i="9"/>
  <c r="L2" i="9"/>
  <c r="P25" i="9"/>
  <c r="P65" i="9"/>
  <c r="D10" i="9"/>
  <c r="O36" i="9"/>
  <c r="I63" i="9"/>
  <c r="D90" i="9"/>
  <c r="E26" i="9"/>
  <c r="E66" i="9"/>
  <c r="F90" i="9"/>
  <c r="G66" i="9"/>
  <c r="H50" i="9"/>
  <c r="D13" i="9"/>
  <c r="O39" i="9"/>
  <c r="I66" i="9"/>
  <c r="D93" i="9"/>
  <c r="E57" i="9"/>
  <c r="F21" i="9"/>
  <c r="F61" i="9"/>
  <c r="F101" i="9"/>
  <c r="L42" i="9"/>
  <c r="L82" i="9"/>
  <c r="N46" i="9"/>
  <c r="O6" i="9"/>
  <c r="I33" i="9"/>
  <c r="D60" i="9"/>
  <c r="O86" i="9"/>
  <c r="E40" i="9"/>
  <c r="K65" i="9"/>
  <c r="D8" i="9"/>
  <c r="I61" i="9"/>
  <c r="E44" i="9"/>
  <c r="E48" i="9"/>
  <c r="K26" i="9"/>
  <c r="N58" i="9"/>
  <c r="E52" i="9"/>
  <c r="P73" i="9"/>
  <c r="E34" i="9"/>
  <c r="I18" i="9"/>
  <c r="F69" i="9"/>
  <c r="O38" i="9"/>
  <c r="O44" i="9"/>
  <c r="D21" i="9"/>
  <c r="L54" i="9"/>
  <c r="K77" i="9"/>
  <c r="O72" i="9"/>
  <c r="I22" i="9"/>
  <c r="D16" i="9"/>
  <c r="E42" i="9"/>
  <c r="F37" i="9"/>
  <c r="E72" i="9"/>
  <c r="P44" i="9"/>
  <c r="H6" i="9"/>
  <c r="K78" i="9"/>
  <c r="P45" i="9"/>
  <c r="L62" i="9"/>
  <c r="K2" i="9"/>
  <c r="E27" i="9"/>
  <c r="E67" i="9"/>
  <c r="I11" i="9"/>
  <c r="D38" i="9"/>
  <c r="O64" i="9"/>
  <c r="I91" i="9"/>
  <c r="P28" i="9"/>
  <c r="P68" i="9"/>
  <c r="F94" i="9"/>
  <c r="G70" i="9"/>
  <c r="H54" i="9"/>
  <c r="I14" i="9"/>
  <c r="D41" i="9"/>
  <c r="O67" i="9"/>
  <c r="I94" i="9"/>
  <c r="E61" i="9"/>
  <c r="K22" i="9"/>
  <c r="K62" i="9"/>
  <c r="G5" i="9"/>
  <c r="G45" i="9"/>
  <c r="G85" i="9"/>
  <c r="N50" i="9"/>
  <c r="O34" i="9"/>
  <c r="D88" i="9"/>
  <c r="F68" i="9"/>
  <c r="K69" i="9"/>
  <c r="K66" i="9"/>
  <c r="O90" i="9"/>
  <c r="I15" i="9"/>
  <c r="I95" i="9"/>
  <c r="G82" i="9"/>
  <c r="E73" i="9"/>
  <c r="N62" i="9"/>
  <c r="E56" i="9"/>
  <c r="D98" i="9"/>
  <c r="D101" i="9"/>
  <c r="N70" i="9"/>
  <c r="E85" i="9"/>
  <c r="D74" i="9"/>
  <c r="F77" i="9"/>
  <c r="E3" i="9"/>
  <c r="K38" i="9"/>
  <c r="I23" i="9"/>
  <c r="E17" i="9"/>
  <c r="I2" i="9"/>
  <c r="P29" i="9"/>
  <c r="P69" i="9"/>
  <c r="O12" i="9"/>
  <c r="I39" i="9"/>
  <c r="D66" i="9"/>
  <c r="O92" i="9"/>
  <c r="E30" i="9"/>
  <c r="E70" i="9"/>
  <c r="K95" i="9"/>
  <c r="G74" i="9"/>
  <c r="H58" i="9"/>
  <c r="O15" i="9"/>
  <c r="I42" i="9"/>
  <c r="D69" i="9"/>
  <c r="O95" i="9"/>
  <c r="E65" i="9"/>
  <c r="F25" i="9"/>
  <c r="F65" i="9"/>
  <c r="L6" i="9"/>
  <c r="L46" i="9"/>
  <c r="L86" i="9"/>
  <c r="N54" i="9"/>
  <c r="I9" i="9"/>
  <c r="D36" i="9"/>
  <c r="O62" i="9"/>
  <c r="I89" i="9"/>
  <c r="G9" i="9"/>
  <c r="O10" i="9"/>
  <c r="F72" i="9"/>
  <c r="D42" i="9"/>
  <c r="E74" i="9"/>
  <c r="H66" i="9"/>
  <c r="F29" i="9"/>
  <c r="D12" i="9"/>
  <c r="D18" i="9"/>
  <c r="I74" i="9"/>
  <c r="I41" i="9"/>
  <c r="E79" i="9"/>
  <c r="E5" i="9"/>
  <c r="D96" i="9"/>
  <c r="G18" i="9"/>
  <c r="O23" i="9"/>
  <c r="N78" i="9"/>
  <c r="P4" i="9"/>
  <c r="I78" i="9"/>
  <c r="O18" i="9"/>
  <c r="D50" i="9"/>
  <c r="D20" i="9"/>
  <c r="H2" i="9"/>
  <c r="E31" i="9"/>
  <c r="E71" i="9"/>
  <c r="D14" i="9"/>
  <c r="O40" i="9"/>
  <c r="I67" i="9"/>
  <c r="D94" i="9"/>
  <c r="P32" i="9"/>
  <c r="P72" i="9"/>
  <c r="F98" i="9"/>
  <c r="G78" i="9"/>
  <c r="H62" i="9"/>
  <c r="D17" i="9"/>
  <c r="O43" i="9"/>
  <c r="I70" i="9"/>
  <c r="D97" i="9"/>
  <c r="E69" i="9"/>
  <c r="G49" i="9"/>
  <c r="D64" i="9"/>
  <c r="O68" i="9"/>
  <c r="O71" i="9"/>
  <c r="L90" i="9"/>
  <c r="K73" i="9"/>
  <c r="G10" i="9"/>
  <c r="F73" i="9"/>
  <c r="O14" i="9"/>
  <c r="G2" i="9"/>
  <c r="N74" i="9"/>
  <c r="I50" i="9"/>
  <c r="D44" i="9"/>
  <c r="P84" i="9"/>
  <c r="G61" i="9"/>
  <c r="E6" i="9"/>
  <c r="E80" i="9"/>
  <c r="O46" i="9"/>
  <c r="E2" i="9"/>
  <c r="E35" i="9"/>
  <c r="E75" i="9"/>
  <c r="O16" i="9"/>
  <c r="I43" i="9"/>
  <c r="D70" i="9"/>
  <c r="O96" i="9"/>
  <c r="P36" i="9"/>
  <c r="P76" i="9"/>
  <c r="G6" i="9"/>
  <c r="G86" i="9"/>
  <c r="H70" i="9"/>
  <c r="O19" i="9"/>
  <c r="I46" i="9"/>
  <c r="D73" i="9"/>
  <c r="O99" i="9"/>
  <c r="E77" i="9"/>
  <c r="K30" i="9"/>
  <c r="K70" i="9"/>
  <c r="G13" i="9"/>
  <c r="G53" i="9"/>
  <c r="G93" i="9"/>
  <c r="N66" i="9"/>
  <c r="I13" i="9"/>
  <c r="D40" i="9"/>
  <c r="O66" i="9"/>
  <c r="I93" i="9"/>
  <c r="E60" i="9"/>
  <c r="F76" i="9"/>
  <c r="D2" i="9"/>
  <c r="P37" i="9"/>
  <c r="P77" i="9"/>
  <c r="I71" i="9"/>
  <c r="G90" i="9"/>
  <c r="H74" i="9"/>
  <c r="E81" i="9"/>
  <c r="L94" i="9"/>
  <c r="O94" i="9"/>
  <c r="E39" i="9"/>
  <c r="K74" i="9"/>
  <c r="O20" i="9"/>
  <c r="E9" i="9"/>
  <c r="E83" i="9"/>
  <c r="O51" i="9"/>
  <c r="O98" i="9"/>
  <c r="E46" i="9"/>
  <c r="N6" i="9"/>
  <c r="G101" i="9"/>
  <c r="P5" i="9"/>
  <c r="N86" i="9"/>
  <c r="J83" i="9" l="1"/>
  <c r="J39" i="9"/>
  <c r="J2" i="9"/>
  <c r="J40" i="9"/>
  <c r="J73" i="9"/>
  <c r="J70" i="9"/>
  <c r="J75" i="9"/>
  <c r="J35" i="9"/>
  <c r="J44" i="9"/>
  <c r="J64" i="9"/>
  <c r="J97" i="9"/>
  <c r="J17" i="9"/>
  <c r="J94" i="9"/>
  <c r="J14" i="9"/>
  <c r="J71" i="9"/>
  <c r="J31" i="9"/>
  <c r="J20" i="9"/>
  <c r="J50" i="9"/>
  <c r="J96" i="9"/>
  <c r="J79" i="9"/>
  <c r="J18" i="9"/>
  <c r="J12" i="9"/>
  <c r="J42" i="9"/>
  <c r="J36" i="9"/>
  <c r="J69" i="9"/>
  <c r="J66" i="9"/>
  <c r="J3" i="9"/>
  <c r="J74" i="9"/>
  <c r="J101" i="9"/>
  <c r="J98" i="9"/>
  <c r="J95" i="9"/>
  <c r="J88" i="9"/>
  <c r="J41" i="9"/>
  <c r="J91" i="9"/>
  <c r="J38" i="9"/>
  <c r="J67" i="9"/>
  <c r="J27" i="9"/>
  <c r="J16" i="9"/>
  <c r="J21" i="9"/>
  <c r="J8" i="9"/>
  <c r="J60" i="9"/>
  <c r="J93" i="9"/>
  <c r="J13" i="9"/>
  <c r="J90" i="9"/>
  <c r="J10" i="9"/>
  <c r="J72" i="9"/>
  <c r="J46" i="9"/>
  <c r="J45" i="9"/>
  <c r="J32" i="9"/>
  <c r="J65" i="9"/>
  <c r="J62" i="9"/>
  <c r="J63" i="9"/>
  <c r="J23" i="9"/>
  <c r="J53" i="9"/>
  <c r="J68" i="9"/>
  <c r="J92" i="9"/>
  <c r="J84" i="9"/>
  <c r="J4" i="9"/>
  <c r="J37" i="9"/>
  <c r="J87" i="9"/>
  <c r="J34" i="9"/>
  <c r="J43" i="9"/>
  <c r="J77" i="9"/>
  <c r="J99" i="9"/>
  <c r="J56" i="9"/>
  <c r="J9" i="9"/>
  <c r="J6" i="9"/>
  <c r="J28" i="9"/>
  <c r="J58" i="9"/>
  <c r="J80" i="9"/>
  <c r="J33" i="9"/>
  <c r="J30" i="9"/>
  <c r="J55" i="9"/>
  <c r="J15" i="9"/>
  <c r="J25" i="9"/>
  <c r="J22" i="9"/>
  <c r="J89" i="9"/>
  <c r="J19" i="9"/>
  <c r="J24" i="9"/>
  <c r="J57" i="9"/>
  <c r="J54" i="9"/>
  <c r="J51" i="9"/>
  <c r="J11" i="9"/>
  <c r="J86" i="9"/>
  <c r="J59" i="9"/>
  <c r="J52" i="9"/>
  <c r="J76" i="9"/>
  <c r="J29" i="9"/>
  <c r="J26" i="9"/>
  <c r="J100" i="9"/>
  <c r="J49" i="9"/>
  <c r="J61" i="9"/>
  <c r="J85" i="9"/>
  <c r="J5" i="9"/>
  <c r="J82" i="9"/>
  <c r="J48" i="9"/>
  <c r="J81" i="9"/>
  <c r="J78" i="9"/>
  <c r="J47" i="9"/>
  <c r="J7" i="9"/>
  <c r="R98" i="9"/>
  <c r="R78" i="9"/>
  <c r="R58" i="9"/>
  <c r="R38" i="9"/>
  <c r="R18" i="9"/>
  <c r="R97" i="9"/>
  <c r="R77" i="9"/>
  <c r="R57" i="9"/>
  <c r="R37" i="9"/>
  <c r="R17" i="9"/>
  <c r="R96" i="9"/>
  <c r="R76" i="9"/>
  <c r="R56" i="9"/>
  <c r="R36" i="9"/>
  <c r="R16" i="9"/>
  <c r="R95" i="9"/>
  <c r="R75" i="9"/>
  <c r="R55" i="9"/>
  <c r="R35" i="9"/>
  <c r="R15" i="9"/>
  <c r="R94" i="9"/>
  <c r="R74" i="9"/>
  <c r="R54" i="9"/>
  <c r="R34" i="9"/>
  <c r="R14" i="9"/>
  <c r="R93" i="9"/>
  <c r="R73" i="9"/>
  <c r="R53" i="9"/>
  <c r="R33" i="9"/>
  <c r="R13" i="9"/>
  <c r="R92" i="9"/>
  <c r="R72" i="9"/>
  <c r="R52" i="9"/>
  <c r="R32" i="9"/>
  <c r="R12" i="9"/>
  <c r="R91" i="9"/>
  <c r="R71" i="9"/>
  <c r="R51" i="9"/>
  <c r="R31" i="9"/>
  <c r="R11" i="9"/>
  <c r="R90" i="9"/>
  <c r="R70" i="9"/>
  <c r="R50" i="9"/>
  <c r="R30" i="9"/>
  <c r="R10" i="9"/>
  <c r="R89" i="9"/>
  <c r="R69" i="9"/>
  <c r="R49" i="9"/>
  <c r="R29" i="9"/>
  <c r="R9" i="9"/>
  <c r="R88" i="9"/>
  <c r="R68" i="9"/>
  <c r="R48" i="9"/>
  <c r="R28" i="9"/>
  <c r="R8" i="9"/>
  <c r="R86" i="9"/>
  <c r="R66" i="9"/>
  <c r="R46" i="9"/>
  <c r="R26" i="9"/>
  <c r="R6" i="9"/>
  <c r="R85" i="9"/>
  <c r="R65" i="9"/>
  <c r="R45" i="9"/>
  <c r="R25" i="9"/>
  <c r="R5" i="9"/>
  <c r="R84" i="9"/>
  <c r="R64" i="9"/>
  <c r="R44" i="9"/>
  <c r="R24" i="9"/>
  <c r="R4" i="9"/>
  <c r="R83" i="9"/>
  <c r="R63" i="9"/>
  <c r="R43" i="9"/>
  <c r="R23" i="9"/>
  <c r="R3" i="9"/>
  <c r="R101" i="9"/>
  <c r="R81" i="9"/>
  <c r="R61" i="9"/>
  <c r="R41" i="9"/>
  <c r="R21" i="9"/>
  <c r="R99" i="9"/>
  <c r="R79" i="9"/>
  <c r="R59" i="9"/>
  <c r="R39" i="9"/>
  <c r="R19" i="9"/>
  <c r="R80" i="9"/>
  <c r="R67" i="9"/>
  <c r="R62" i="9"/>
  <c r="R60" i="9"/>
  <c r="R47" i="9"/>
  <c r="R42" i="9"/>
  <c r="R40" i="9"/>
  <c r="R27" i="9"/>
  <c r="R22" i="9"/>
  <c r="R20" i="9"/>
  <c r="R7" i="9"/>
  <c r="R2" i="9"/>
  <c r="R1" i="9"/>
  <c r="R82" i="9"/>
  <c r="R100" i="9"/>
  <c r="R87" i="9"/>
</calcChain>
</file>

<file path=xl/sharedStrings.xml><?xml version="1.0" encoding="utf-8"?>
<sst xmlns="http://schemas.openxmlformats.org/spreadsheetml/2006/main" count="2446" uniqueCount="482">
  <si>
    <t>Hello 👋</t>
  </si>
  <si>
    <t>Welcome to the labeling exercise for SDG 17.</t>
  </si>
  <si>
    <t>The objective of this exercise is to label 100 texts in terms of their relevance to SDG 17.</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</si>
  <si>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</si>
  <si>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</si>
  <si>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</si>
  <si>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</si>
  <si>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</si>
  <si>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</si>
  <si>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</si>
  <si>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</si>
  <si>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</si>
  <si>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17</t>
  </si>
  <si>
    <t>This text is not relevant to SDG 17</t>
  </si>
  <si>
    <t>SKIP</t>
  </si>
  <si>
    <t>You can use this if you are not sure about the label</t>
  </si>
  <si>
    <t>If you want, you can put any comments in column D.</t>
  </si>
  <si>
    <t>Instructions for Labeling</t>
  </si>
  <si>
    <t>The text should be annotated as SDG 17 only if:</t>
  </si>
  <si>
    <r>
      <rPr>
        <u/>
        <sz val="10"/>
        <color theme="1"/>
        <rFont val="Arial"/>
        <family val="2"/>
      </rPr>
      <t xml:space="preserve">1. The text addresses </t>
    </r>
    <r>
      <rPr>
        <b/>
        <u/>
        <sz val="10"/>
        <color theme="1"/>
        <rFont val="Arial"/>
        <family val="2"/>
      </rPr>
      <t>SDG 17 or one of its targets</t>
    </r>
  </si>
  <si>
    <t>See the official definitions of SDG 17 and its targets below ("SDG 17 Description &amp; Targets").</t>
  </si>
  <si>
    <t>AND</t>
  </si>
  <si>
    <r>
      <rPr>
        <u/>
        <sz val="10"/>
        <color theme="1"/>
        <rFont val="Arial"/>
        <family val="2"/>
      </rPr>
      <t xml:space="preserve">2. The text addresses SDG 17 or its targets </t>
    </r>
    <r>
      <rPr>
        <b/>
        <u/>
        <sz val="10"/>
        <color theme="1"/>
        <rFont val="Arial"/>
        <family val="2"/>
      </rPr>
      <t>directly</t>
    </r>
    <r>
      <rPr>
        <u/>
        <sz val="10"/>
        <color theme="1"/>
        <rFont val="Arial"/>
        <family val="2"/>
      </rPr>
      <t>:</t>
    </r>
  </si>
  <si>
    <t>- the text should be directly relevant to SDG 17 or to achieving SDG 17</t>
  </si>
  <si>
    <t>- if a text only has an indirect or implicit relevance, it should not be labeled SDG 17</t>
  </si>
  <si>
    <r>
      <rPr>
        <u/>
        <sz val="10"/>
        <color theme="1"/>
        <rFont val="Arial"/>
        <family val="2"/>
      </rPr>
      <t xml:space="preserve">3. The text addresses SDG 17 or its targets </t>
    </r>
    <r>
      <rPr>
        <b/>
        <u/>
        <sz val="10"/>
        <color theme="1"/>
        <rFont val="Arial"/>
        <family val="2"/>
      </rPr>
      <t>specifically</t>
    </r>
    <r>
      <rPr>
        <u/>
        <sz val="10"/>
        <color theme="1"/>
        <rFont val="Arial"/>
        <family val="2"/>
      </rPr>
      <t>:</t>
    </r>
  </si>
  <si>
    <t>- the text should be specific to SDG 17 and its targets</t>
  </si>
  <si>
    <t>- if fact stating, the text should contain value-laden words (e.g. renewable energy instead of energy, drug abuse instead of drugs, infant mortality instead of premature deaths)</t>
  </si>
  <si>
    <r>
      <rPr>
        <u/>
        <sz val="10"/>
        <color theme="1"/>
        <rFont val="Arial"/>
        <family val="2"/>
      </rPr>
      <t xml:space="preserve">4. Annotate as SDG 17 regardless of </t>
    </r>
    <r>
      <rPr>
        <b/>
        <u/>
        <sz val="10"/>
        <color theme="1"/>
        <rFont val="Arial"/>
        <family val="2"/>
      </rPr>
      <t>valence</t>
    </r>
    <r>
      <rPr>
        <u/>
        <sz val="10"/>
        <color theme="1"/>
        <rFont val="Arial"/>
        <family val="2"/>
      </rPr>
      <t xml:space="preserve"> and </t>
    </r>
    <r>
      <rPr>
        <b/>
        <u/>
        <sz val="10"/>
        <color theme="1"/>
        <rFont val="Arial"/>
        <family val="2"/>
      </rPr>
      <t>other SDGs</t>
    </r>
    <r>
      <rPr>
        <u/>
        <sz val="10"/>
        <color theme="1"/>
        <rFont val="Arial"/>
        <family val="2"/>
      </rPr>
      <t>:</t>
    </r>
  </si>
  <si>
    <t>- annotate as SDG 17 regardless of whether the content is discussed in a positive or negative light. We ignore valence (sentiment) for now.</t>
  </si>
  <si>
    <t>- annotate as SDG 17 even if other SDGs are mentioned and annotate as SDG 17 even if SDG 17 is not the "most important" SDG in the text</t>
  </si>
  <si>
    <t>With all that said, please do trust your judgment! I am sure we will have important discussions about these issues next time — which is exactly what we want 😊</t>
  </si>
  <si>
    <t>SDG 17 Description &amp; Targets</t>
  </si>
  <si>
    <t>SDG 17</t>
  </si>
  <si>
    <t>Strengthen the means of implementation and revitalize the global partnership for sustainable development</t>
  </si>
  <si>
    <t>Target 17.1</t>
  </si>
  <si>
    <t>Strengthen domestic resource mobilization, including through international support to developing countries, to improve domestic capacity for tax and other revenue collection</t>
  </si>
  <si>
    <t>Target 17.2</t>
  </si>
  <si>
    <t>Developed countries to implement fully their official development assistance commitments,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t>
  </si>
  <si>
    <t>Target 17.3</t>
  </si>
  <si>
    <t>Mobilize additional financial resources for developing countries from multiple sources</t>
  </si>
  <si>
    <t>Target 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</si>
  <si>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</si>
  <si>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Target 17.5</t>
  </si>
  <si>
    <t>Adopt and implement investment promotion regimes for least developed countries</t>
  </si>
  <si>
    <t>Target 17.6</t>
  </si>
  <si>
    <t>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</si>
  <si>
    <t>Target 17.7</t>
  </si>
  <si>
    <t>Promote the development, transfer, dissemination and diffusion of environmentally sound technologies to developing countries on favourable terms, including on concessional and preferential terms, as mutually agreed</t>
  </si>
  <si>
    <t>Target 17.8</t>
  </si>
  <si>
    <t>Fully operationalize the technology bank and science, technology and innovation capacity-building mechanism for least developed countries by 2017 and enhance the use of enabling technology, in particular information and communications technology</t>
  </si>
  <si>
    <t>Target 17.9</t>
  </si>
  <si>
    <t>Enhance international support for implementing effective and targeted capacity-building in developing countries to support national plans to implement all the sustainable development goals, including through North-South, South-South and triangular cooperation</t>
  </si>
  <si>
    <t>Target 17.10</t>
  </si>
  <si>
    <t>Promote a universal, rules-based, open, non-discriminatory and equitable multilateral trading system under the World Trade Organization, including through the conclusion of negotiations under its Doha Development Agenda</t>
  </si>
  <si>
    <t>Target 17.11</t>
  </si>
  <si>
    <t>Significantly increase the exports of developing countries, in particular with a view to doubling the least developed countries’ share of global exports by 2020</t>
  </si>
  <si>
    <t>Target 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</si>
  <si>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</si>
  <si>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Target 17.13</t>
  </si>
  <si>
    <t>Enhance global macroeconomic stability, including through policy coordination and policy coherence</t>
  </si>
  <si>
    <t>Target 17.14</t>
  </si>
  <si>
    <t>Enhance policy coherence for sustainable development</t>
  </si>
  <si>
    <t>Target 17.15</t>
  </si>
  <si>
    <t>Respect each country’s policy space and leadership to establish and implement policies for poverty eradication and sustainable development</t>
  </si>
  <si>
    <t>Target 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</si>
  <si>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</si>
  <si>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Target 17.17</t>
  </si>
  <si>
    <t>Encourage and promote effective public, public-private and civil society partnerships, building on the experience and resourcing strategies of partnerships</t>
  </si>
  <si>
    <t>Target 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</si>
  <si>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</si>
  <si>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Target 17.19</t>
  </si>
  <si>
    <t>By 2030, build on existing initiatives to develop measurements of progress on sustainable development that complement gross domestic product, and support statistical capacity-building in developing countries</t>
  </si>
  <si>
    <t>Click here to see all other SDGs and targets.</t>
  </si>
  <si>
    <t>Labeling Sheets</t>
  </si>
  <si>
    <t>Please click on your name to access your personal labeling sheet. Names are listed in alphabetical order.</t>
  </si>
  <si>
    <t>Name</t>
  </si>
  <si>
    <r>
      <rPr>
        <b/>
        <sz val="10"/>
        <color theme="1"/>
        <rFont val="Arial"/>
        <family val="2"/>
      </rPr>
      <t>Progress</t>
    </r>
    <r>
      <rPr>
        <sz val="10"/>
        <color theme="1"/>
        <rFont val="Arial"/>
        <family val="2"/>
      </rPr>
      <t xml:space="preserve"> (will update automatically)</t>
    </r>
  </si>
  <si>
    <t>Finn</t>
  </si>
  <si>
    <t>Gib</t>
  </si>
  <si>
    <t>Ivan</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</si>
  <si>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</si>
  <si>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</si>
  <si>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</si>
  <si>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</si>
  <si>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</si>
  <si>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</si>
  <si>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Since the OSDG dataset does not include SDG 17, texts were manually selected across all SDGs. The reason for selecting each text is documented in the "Source" sheet.</t>
  </si>
  <si>
    <t>Manual Selection (100 texts)</t>
  </si>
  <si>
    <t>50 texts that Finn considers related to SDG 17</t>
  </si>
  <si>
    <t>- 12 texts that relate to the goal as a whole</t>
  </si>
  <si>
    <t>- 38 texts (2 per target) that relate to the SDG targets</t>
  </si>
  <si>
    <t>50 texts that Finn considers not related to SDG 17</t>
  </si>
  <si>
    <t>- 12 texts that contain words relating to the goal as a whole</t>
  </si>
  <si>
    <t>- 38 texts (2 per target) that contain words relating to the SDG targets</t>
  </si>
  <si>
    <t>Text ID</t>
  </si>
  <si>
    <t>Text</t>
  </si>
  <si>
    <t>SDG 17 Label</t>
  </si>
  <si>
    <t>Comments (optional)</t>
  </si>
  <si>
    <t>daed8f635ad6c363df5ffa2916ea6bdb</t>
  </si>
  <si>
    <t>This source of funding is actually a number of different sources, with funds flowing from various donors through the World Bank and other agents, to countries that take action to reduce emissions from their forestry sectors. The Fund currently has US$10 billion in committed funding available. In an innovative arrangement, financing is available not only to states (and public bodies such as environment or development ministries, development banks), but also to the private sector.13 Also worth noting is the intention to roughly balance investment between mitigation and adaptation, with at least half of the latter funds going to those countries most vulnerable to the impacts of climate change: least developed countries (LDCs), small island states and African states.</t>
  </si>
  <si>
    <t>6ce24f152679d754070b98a6e68b0816</t>
  </si>
  <si>
    <t>Three other targets refer to the potential of ICTs for achieving other Goals, and indicators adopted by UNSC for these four targets are discussed in this chapter. Several other Goals and targets refer more generally to the importance of technology and to the role of information in enabling the achievement of sustainable development. It will provide the basis for annual monitoring, follow-up and subsequent review of implementation of the 2030 Agenda at the national, regional and global levels.</t>
  </si>
  <si>
    <t>3a629c9297c945d4187f08ee281c6475</t>
  </si>
  <si>
    <t>In either case, further monitoring and research are needed to understand the underlying causes. Indicators offer a measure of the effectiveness of actions in moving a system towards a more desirable state. For example, if body temperature decreases after taking a medicine, we conclude that the medicine has been effective in combating the disease. To accomplish this objective, indicators should provide an ability to assess cause-and-effect relations. They help policy makers and the public to understand the linkages and trade-offs between economic, environmental and social values in order to evaluate the long-term implications of current decisions and behaviour and to monitor progress towards sustainable development goals by establishing baseline conditions and trends.</t>
  </si>
  <si>
    <t>a5b0f691bf38ae1ba9b11ce474551016</t>
  </si>
  <si>
    <t>Delivering on SDG 14 requires teamwork and a spirit of partnership among diverse stakeholders from many nations and sectors. The oceans cover almost three quarters of the Earth’s surface, storing one third of all the carbon emissions stemming from human activity. They are part of the solution, and we must make them a key focus of our efforts to cope with and mitigate climate change.</t>
  </si>
  <si>
    <t>4efe676a22c7c8b91cc45d3403290313</t>
  </si>
  <si>
    <t>Nevertheless, as in many other countries, an institutional culture of multiple silo-type ministries still prevails. Ensuring high-profile leadership or co-ordination would help improve policy coherence and enable a whole-of-government approach to sustainable development. For instance, about a quarter of municipal environmental councils were inactive in 2013 (IBGE, 2014). Many state agencies face a significant challenge to attract and retain qualified technical staff.</t>
  </si>
  <si>
    <t>03e4a6dde7176e5c9f4fd24941db7652</t>
  </si>
  <si>
    <t>Journal of Marriage and the Family, 131-146. Gender &amp; Development, 23(2), 279-297. Intimate partner violence: causes and prevention. The Lancet', 359:1423-29. Relationship between alcohol-attributable disease and socioeconomic status, and the role of alcohol consumption in this relationship: a systematic review and meta-analysis. Psychology of Violence (in press).</t>
  </si>
  <si>
    <t>99e9feacfccae32759999fc34e54dfde</t>
  </si>
  <si>
    <t>Many proposals for increasing financial resources have been made (Stiglitz, 2006, UNEP, 2011, UNDESA, 2011). Many of the incentive-related instruments may help raising financial resources, but other, additional, mechanisms have to be identified. National authorities could collect taxes on the basis of national legislation, to feed either national or international funds. Taxes could also be levied internationally, on the basis of agreements.</t>
  </si>
  <si>
    <t>fb8ebc8b40293435f1f98c4b0c21c2a8</t>
  </si>
  <si>
    <t>Yet, little comprehensive evidence is collected on how many women-owned and managed companies participate in international trade, what type of products they export or what barriers discourage women from entering international trade. Because of these issues, it is difficult to draw a comprehensive picture of women’s participation in international trade. The findings contribute to a better understanding ot women’s limited participation in international trade. For the sake ot simplicity, the analysis concentrates on exporting firms, including firms that both export and import. Surveyed firms that only import were not considered in this analysis.</t>
  </si>
  <si>
    <t>a1f114a34a446f7afbfc933748a634a8</t>
  </si>
  <si>
    <t>Accessing international capital markets can also be difficult for many developing countries. These challenges can be further exacerbated for clean energy infrastructure projects, as lenders may be reluctant to lend due to an insufficient knowledge of local markets and a higher technology risk. Ensuring access to affordable finance will require developing country governments, in particular, to combine a short-term strategy of facilitating access to international financing and a longer-term approach. The latter would need to address the full range of risks and limitations that increase the cost of financing for clean energy, including: the shallowness of the domestic financial market, key informational, social or behavioural risks related to clean energy financing, and the limited number of financial products that are available and suited to the sector’s financing needs. In some countries, like Brazil or China, bank lending has played a predominant role, with state-owned and/or national development banks being the main sources of long-term financing. In China for example, banks hold around 80% of the total loan portfolio for infrastructure (Walsh et al.,</t>
  </si>
  <si>
    <t>40c1e663bf9eafcd5f47c74f01059e99</t>
  </si>
  <si>
    <t>The WTO's specific contributions to the SDGs also include: ensuring access to affordable medicines in developing countries (SDG 3.b): implementing the principle of special and differential treatment to help reduce inequalities (SDG 1Q.a): and ongoing discussions on eliminating subsidies that cause overfishing and overcapacity (in order to help achieve SDG 14.6). In addition, the WTO's work on the reduction of tariff and non-tariff barriers on environmental goods and services can facilitate the diffusion of green technologies and therefore directly contribute to environmental sustainability. In this way, the WTO can ensure that the multilateral trading system contributes to building a more favourable global environment for inclusive growth and development. Over the past twenty years, international trade has undergone major changes due to a variety of economic, political and technological factors. Undoubtedly, one main leading factor of change has been the unprecedented pace of technological innovation, which has transformed traditional ways of conducting trade. Advances in ICTs have led to reduced costs and increased speed and efficiency of economic transactions, with significant productivity gains for the global economy.</t>
  </si>
  <si>
    <t>b229680228472a4134aba057b2269b1e</t>
  </si>
  <si>
    <t>The goal of the programme is to support the development of new innovations with smart, innovation-friendly public procurements. The programme encourages public buyers to use procurement to solve societal problems, renew public services, and improve market access for new products and services. Over the period 2009-16, funding covered a total of EUR 11 million for 73 ended projects. The main areas that received funding are environment/building (36%) and social and health (26%).</t>
  </si>
  <si>
    <t>004d7719d6c26c11427bb3e89535efab</t>
  </si>
  <si>
    <t>Foster capacity-building at all levels of government. This implies combining investment in physical water and sanitation “hard” infrastructure with the provision of “soft’ infrastructure, which is essentially the institutions upon which water outcomes rely. The development of skills, technical expertise and knowledge and the availability of staff and time are preconditions for effective governance of water policy.</t>
  </si>
  <si>
    <t>fe4b55f8505c4d4dc6f3e64707fa4516</t>
  </si>
  <si>
    <t>The chapter traces the development of the international response to the pandemic of HIV/AIDS from the designation of the World Health Organization (WHO) as “lead agency” in the late 1980s to the emergence of a variety of public-private partnerships from the 1990s onwards. This trajectory is related to general trends in global public health governance. Existing partnerships in the field of HIV/AIDS are described and typified. Finally, the legitimacy and democratic qualities of today’s global governance arrangements in the fight against AIDS are discussed in terms of coordination, representation and accountability.</t>
  </si>
  <si>
    <t>9b93f14a7860f878ece456a4d6e53656</t>
  </si>
  <si>
    <t>Public environment-related R&amp;D expenditure has been more or less constant as a share of public R&amp;D spending in OECD countries. The development and diffusion of environmental technologies, as measured through patent data, is generally increasing across countries in all areas of importance to green growth. Yet progress is uneven across countries, and is unlikely to deliver major changes in key environmental domains (OECD, 2014a). Given that a large majority of “green” innovations are developed in a small number of countries, achieving greater global diffusion will be essential.</t>
  </si>
  <si>
    <t>22bc84c637e02ea9eb996181bf505b3e</t>
  </si>
  <si>
    <t>Regular household surveys are not yet undertaken in many countries, especially LDCs, and do not always follow the same guidelines for data gathering on ICTs. The rapid pace of change in technology and markets also affects the comparability of data, so that targets and indicators need to be kept under review and updated from time to time to meet changing data availability and policy requirements. More attention also needs to be addressed to building the capacity of national statistical offices and others concerned with data gathering and analysis.</t>
  </si>
  <si>
    <t>1bbfb4a2e6287262ba5bfa7c5f275fe1</t>
  </si>
  <si>
    <t>With a fixed timetable of regular assessments, Costa Rica might consider alternating the subjects assessed at lower secondary level to enable the evaluation of more of the curriculum, including the more innovative dimensions of education for global citizenship and sustainable development, for example. At no point has the assessment sampled the entire census of schools in a way that would enable school leaders, teachers, students, parents and the local community to understand w'hether their institution is achieving national learning objectives, or whether it is more or less successful than other similar schools. The national assessment could help teachers understand how the new national competence-based curriculum can be tested in practice and ensure classroom-based assessments are setting the same standards across the country.</t>
  </si>
  <si>
    <t>587d2c3437cf5dd56dcf301b5246d2ee</t>
  </si>
  <si>
    <t>This being said, information on foreign applications and grants could also help a developing country patent examiner to better identify those particular elements of an invention that do not deserve patent protection. Where the line is drawn between those areas that are the preserve of the patent holder to control, and those areas [i.e. of exceptions and limitations] which the patent holder may not control, is therefore a very important policy question for members.” Exceptions to exclusive rights as considered here apply after a patent has been granted.</t>
  </si>
  <si>
    <t>655e9ad47325067ae4487b9347774527</t>
  </si>
  <si>
    <t>Government leaders from more than 150 countries confirmed at the world summit in Johannesburg xo years later that the convention is the key instrument for the conservation and sustainable use of biological diversity and the fair and equitable sharing of benefits arising from use of genetic resources. It emphasises the need for counteracting the loss of biological diversity through conservation and sustainable development. Genetic variations within the species, for example in the populations of the same species spread over a large area, are also covered by the term.</t>
  </si>
  <si>
    <t>6e2e95032e9349d8e0e89ae58e1e1f2b</t>
  </si>
  <si>
    <t>The Programme was subject to socio-economic evaluation and strategic environmental assessment. It was approved in December 2007 and ten hydroelectric power plant locations were selected, out of the 25 potential sites initially identified. The ten plants are to be located in the basins of the Rivers Douro, Vouga, Mondego and Tejo.</t>
  </si>
  <si>
    <t>c0e623b99899a1d8f19efca591f9846a</t>
  </si>
  <si>
    <t>The Paris Agreement continues this bifurcation in some respects by not making reporting on financial, technology transfer and capacity-building support received mandatory (Article 13.10 indicates that developing countries “should” provide this information). However, the Paris Agreement does indicate that developed countries “shall” biennially communicate indicative quantitative and qualitative information on climate finance, technology transfer and capacity building provided to developing country parties, as well as on climate finance mobilised, and that other countries “are encouraged to do so”. This information on support needs is included in various documents that have been prepared inside the UNFCCC framework (e.g. BURs, NCs, NAPAs, TNAs and INDCs) as well as outside (e.g. Strategic Program for Climate Resilience - SPCR, national climate funds).</t>
  </si>
  <si>
    <t>8e341dd5fadcc8e5b7a16ec451693358</t>
  </si>
  <si>
    <t>In most MENA countries," responsibility for gender equality is located primarily in a single institution, most often in close proximity to the Centre of Government. While there is no uniform institutional set up for gender issues across the MENA region, those institutions involved would strongly benefit from clarifying and strengthening the mission and the mandate for advancing gender equality and ensuring sufficient human and financial resources and organisational capacities. In addition, strengthening mandates of gender equality oversight mechanisms, including ombudsman, human rights or gender equality commissions, would advance the protection of women’s rights and enable more effective implementation of equality strategies. Yet while MENA governments increasingly adopt co-ordinated approaches, examples of co-operation across the region remain limited. The existing approaches to co-ordination appear insufficient to achieve policy coherence and a “whole-of-government” approach to gender equality in MENA countries. Designing this type of strategy requires the use of a rigorous process to embed gender considerations in policy and programme design and delivery (i.e. gender mainstreaming).</t>
  </si>
  <si>
    <t>22a8c8ad7fca121559996cf5be31d969</t>
  </si>
  <si>
    <t>The international community has created processes for monitoring progress at the regional and global levels, and for countries to exchange policy experiences, to learn from each other, and to coordiante their policies where appropriate. The present chapter contributes to this effort by analyzing how the current innovation policies of Kyrgyzstan contribute to the country’s national sustainable development priorities, comparing current policies to international good practice, and recommending policy reforms that could further encourage innovations contributing to sustainable development. The present chapter focuses on the other two pillars of sustainable development, i.e. environmental sustainability and social inclusiveness. However, it should be noted that failures to address unsustainable practices has a very real economic cost. While no estimates of this cost are available for Kyrgyzstan at present, the World Bank has for instance estimated that for neighboring Tajikistan the direct and indirect economic damage caused by environmental degradation may be as high as 8 percent of GDP.90 Thus the key to sustainable development is to achieve all three dimensions together, rather than achieving one at the expense of the others.</t>
  </si>
  <si>
    <t>c143c038ae310e7c5d15d9f7d7cfbce1</t>
  </si>
  <si>
    <t>If the capacity of national data centers is limited, storage and cloud computing applications will be located abroad, adding to the need and subsequent costs of international bandwidth as well as increasing dependency on external networks over which there is no control. See: Alaerds et al. This section reviews domain name developments among LDCs. It explores the important benefit that can accrue for LDCs by bundling domain names with local web hosting to build up the national Internet ecosystem, develop skills and generate employment.</t>
  </si>
  <si>
    <t>97ccf5345388dc394c601bf6a0dae110</t>
  </si>
  <si>
    <t>For example, several countries have adopted legislation that takes into account changes in family structure, recognizing same-sex marriages (e.g., the Netherlands,’36 Spain’37 and Uruguay’3*)’39 and civic unions between same-sex partners (e.g., Argentina,140 Chile’4’ and Sweden142). Thanks to women’s movements,143 many countries have also adopted or improved legislation to prevent and respond to violence against women. Civil Code, article 30, Book I, reform of 2001.</t>
  </si>
  <si>
    <t>92bb00d46e987690a116b89d993b8f0a</t>
  </si>
  <si>
    <t>By contrast, electrical and HVAC workers will likely need to attend accredited training programmes at community colleges or through their local trade union. For example, to support the transition to green jobs, in 2008 the Mechanical Contractors Association of Chicago established a green construction institute, to providing training to local building contractors, apprentices and journeyman of United Association of Pipe Fitters Local 597 (MCA Chicago, 2011). According to one analysis, 2 200 jobs will be created by full implementation of the retrofit programme called for by the Chicago Climate Action Plan (Schrock, 2009), but given that this is a small fraction of total construction employment in the region, and because there is currently a large volume of skilled trades people currently unemployed (CWIC-CJC, 2010), it is likely that current training programme will suffice.</t>
  </si>
  <si>
    <t>04b753487d64d031f9aee7ce5befed51</t>
  </si>
  <si>
    <t>This paper assesses the extent to which solutions under Dutch civil law complement and augment the public policy objectives underlying the criminalization of corruption in international business transactions. To this end, it explores the contractual and non-contractual consequences of contracts tainted by corruption as well as the rules of private international law that come into play with regard to such “corrupt” contracts under Dutch law.</t>
  </si>
  <si>
    <t>d02e6530cd8f1e22d6c333c1d3602a03</t>
  </si>
  <si>
    <t>The competent state agency controls products in Group 2 on the basis of relevant technical regulations as well as by producers on the basis of applicable standards. Different ministries are responsible for the control of quality of products and goods under their responsibility, and for issuing lists of products and goods that can cause "unsafety" and are subject to mandatory inspection. These were removed for tea and coffee in 1995. However, coffee beans remained subject to line management by MARD requiring their approval before export. Export quotas on rice were introduced in 1992 to ensure food security and price stability.</t>
  </si>
  <si>
    <t>e4cf1adbdcd9214fac33eb65e49e93a3</t>
  </si>
  <si>
    <t>The practical deployment of new ICTs has become a driving force of customised Internet platforms and applications (Pereira et al., The function of ICT platforms has taken new and varied dimensions as virtual meetings, Internet-based platforms (social media, chat rooms, online fora) and e-voting are used more frequently. Their role is not only to provide the available knowledge to inform stakeholders and debates but also to constitute the common-ground through which these debates are organised, and to integrate other sources of knowledge (e.g. crowdsourcing and knowledge sharing from the community collected through apps and social media).</t>
  </si>
  <si>
    <t>f931e5cb5f515c9e08fe7f43427333f6</t>
  </si>
  <si>
    <t>Southern partners can also provide better market access for LDC exports. While China and India already have duty-free schemes in place, they (especially India’s DFQF scheme) could be improved in terms of product coverage and RoO while addressing potential non-tariff barriers to LDC exports. Existing schemes should also consider extending preferential market access to services.</t>
  </si>
  <si>
    <t>a5ae8214adbbcb49b5e2faaee0d2fb52</t>
  </si>
  <si>
    <t>Also at the same meeting, statements were made by Wu Zhimin (China) and Peter Besseau (Canada) on the country-led initiative hosted by China, and Christian Ktichli (Switzerland) and Anna Sternberg (Switzerland) on the country-led initiative hosted by Switzerland. At its 10th meeting, on 15 May, the Forum considered agenda item 6 jointly with items 3, 4, 5, 7 (Multi-stakeholder dialogue) and 9. For its consideration of the item, the Forum had before it the report of the Secretary-General on enhanced cooperation and policy and programme coordination and regional and subregional inputs (E/CN.</t>
  </si>
  <si>
    <t>1a93663faa4b02d59c40f839d323648d</t>
  </si>
  <si>
    <t>International, regional and subregional organizations can also contribute by coordinating efforts on developing methodologies, collecting data and providing technical assistance to improve migration data, including those required to monitor migrationrelevant Sustainable Development Goal indicators and the implementation of the global compact on migration. As an increasing number of people live in cities, well-managed urbanization can help cities to reap the benefits of agglomeration while minimizing environmental degradation and other adverse impacts of urban growth. Urban planning is critical for the sustainable development of an urban infrastructure for providing access for all, especially the urban poor, to essential services, including safe water and sanitation, health care, education and adequate housing.</t>
  </si>
  <si>
    <t>73f015cb5eeb37a0cda89d82ec481729</t>
  </si>
  <si>
    <t>It provides an overview of the financing for development agenda, highlighting the critical role of official development assistance (ODA) for the least developed countries, as well as its catalytic role in higher-income developing countries. The chapter analyses2002-15aggregate aid-for-trade disbursements (around USD 300 billion) and takes a detailed look at aid-for-trade programmes that are building physical and digital connectivity. It offers a brief overview of academic findings on the results of aid-for-trade investments, as well as recent evaluations of donor aid-for-trade strategies and programmes. Case stories show how aid for trade is helping countries improve their physical and digital connectivity, turning trade opportunities into trade flows. Finally, the chapter provides an analysis of aid-for-trade commitments in 2015, closing with a series of conclusion.</t>
  </si>
  <si>
    <t>b0f4c53b6db0d9aebce608b2684ef22a</t>
  </si>
  <si>
    <t>One policy used to address the issue is increasing the de minimis value, which is the value under which shipments qualify for duty-free treatment and simplified customs clearance. While the reduction of the workload for governments is the main argument for increasing de minimis levels, there are challenges that this solution brings such as the increased need to manage illegal traffic. Information-sharing between customs authorities and e-commerce firms for better risk assessment is crucial to reduce the risk that harmful or counterfeit products slip by under a higher de minimis threshold.</t>
  </si>
  <si>
    <t>02bac9d17475999b1e8cd569255dca67</t>
  </si>
  <si>
    <t>Strategies include building national and regional institutional capacity, cost sharing across borders, governance and regulations, enhancing access to modern energy, developing low-carbon and renewable domestic resources, improving regional energy cooperation and energy security, and promoting private sector participation in energy development. One key focus area is the development of hydropower potential, especially in the Lao People's Democratic Republic. Other activities pertaining to the energy sector include issues related to development of new and renewable sources (including small hydro), addressing the food-energy nexus, standardization and testing. These are captured in the BIMSTEC Memorandum of Understanding on Grid Interconnection.</t>
  </si>
  <si>
    <t>00defece7fdb7a55891994903a193734</t>
  </si>
  <si>
    <t>Information and transaction costs include obstacles that firms have to overcome in order to search for trading partners, acquiring information about tastes, regulations and technical requirements, and enforcing contracts. World Bank-ESCAP database on International trade costs. Each time series is standardized to 100 at the beginning of the sample period.</t>
  </si>
  <si>
    <t>693d90b8de8af9a2e02231644a613426</t>
  </si>
  <si>
    <t>Between 2013 and 2035, this investment would avert an estimated 147 million child deaths, 32 million stillborn deaths and 5 million maternal deaths. Yet more than 100 developing countries lack the civil registration and vital statistics (CRVS) systems needed to generate accurate birth and death data. That figure includes 39 per cent of children in sub-Saharan Africa and 44 per cent of children in South Asia. In the absence of reliable data, estimates for child mortality in countries lacking CRVS systems are based on a sophisticated statistical model using survey responses, census information and other sources.</t>
  </si>
  <si>
    <t>e531eef8faee34e7dde0dc1fc64b386f</t>
  </si>
  <si>
    <t>The growing capacity of large national agricultural systems in Brazil, China, India and South Africa, for instance, has generated South-South cooperation aimed at benefiting countries with limited resources, by allowing them to adopt or adapt the technologies of the countries with large agriculture systems, which are typically less capital-intensive and have less intellectual property rights protection. Many of the current agricultural practices have relied on cheap energy and abundant water and land, and are a leading source of greenhouse gas emissions. These practices are now proving unsustainable for the environment and health.</t>
  </si>
  <si>
    <t>18e93d6bbaace3cdb08f210c2e20ab55</t>
  </si>
  <si>
    <t>The problem of indebtedness and the instability of fiscal policy in industrialized countries could negatively affect development aid and donor countries’ commitments to contribute 0.7 per cent of their GDP to developing countries (Willem te Velde 2008). As such, countries that depend on international aid face elevated risks of being affected by the global financial and economic crisis. However, World Bank (2008) suggests that international aid would be the least volatile component and debt servicing costs are the main difficulty that developing countries could be confronted with in the case that the global economic crisis induces a contraction in their economy.</t>
  </si>
  <si>
    <t>f0c5452598d074dc58c64a0551cfdad0</t>
  </si>
  <si>
    <t>While several studies have documented the state of services liberalisation in LDCs, few have actually explored their potential to expand services exports. Inevitably, the assumption has been that LDCs will remain marginal players in services trade because they lack the infrastructure and skills to make a dent in the rapidly growing segment of commercial services. This assumption, however, is not justified.</t>
  </si>
  <si>
    <t>f0abe1e91ba984d37c603966e03812a2</t>
  </si>
  <si>
    <t>However, the viability of existing global governance in managing value chains has not been given due consideration to date. Given the very real forces of convergence and divergence in operation within the global economy, there are concerns that the ascendency of GVCs might actually accentuate these processes (Keane and Basnett 2015). Almost half of global merchandise exports and about 40 per cent of world GDP are now attributable to developing countries.</t>
  </si>
  <si>
    <t>a33ed0dba09a2ffca4f24943e4fff696</t>
  </si>
  <si>
    <t>The following chapter examines policy coherence and the importance of local strategies to job creation. This does not necessarily correspond to the municipal level, where the public employment service has its antennas. Such municipal offices are often merely delivery agencies with low critical mass and strategic capacity, except in urban centres.</t>
  </si>
  <si>
    <t>04c57f6f2e4df1bb8aecd8022b77a04d</t>
  </si>
  <si>
    <t>When asked “Have you no morals?” Alfred Doolittle in George Bernard Shaw’s Pygmalion answered: “Can’t afford them governor. Neither could you if you was as poor as me.” The modern concept of human rights underpins a moral society and holds governments responsible for fulfilling these rights. From informed consent to the right to privacy civil and political rights have dominated the human rights focus of the HIV-1 epidemic. Yet the economic and social rights of people with HIV-1 infection in particular the rights to health care and to share in scientific advances are glaringly disparate between rich and poor countries. This disparity has become the focus of debate in transnational HIV-1 vaccine research. (excerpt)</t>
  </si>
  <si>
    <t>082e9613048ae217738fe65bf7bbceb9</t>
  </si>
  <si>
    <t>This would in part be motivated by the widespread use of such measures for reasons other than food security, including tax collection, environmental and health considerations and industry policy. Other participants connected the issue to the standstill in the agenda for agricultural trade reform. They questioned whether advanced rule-making on export restrictions would be possible given the fragile consensus in this agenda (e.g. on removal of export subsidies and increased transparency regarding domestic support) between the key players.</t>
  </si>
  <si>
    <t>8825b99572daacb64c87ee7526df3666</t>
  </si>
  <si>
    <t>In September 2015, President Xi announced additional commitments of USD 2 billion for South-South co-operation and to implement the SDGs (IDS, 2016). Moreover, Chinese investments in Africa are expected to increase: the Johannesburg Action Plan for comprehensive strategic and co-operative partnership with Africa provides for USD 35 billion in concessional loans and credits in 2016-2018, as well as USD 10 billion for the China-Africa Production Capacity Co-operation Fund, it also increases in the existing China-Africa development fund (for equity investment) from USD 5 billion to USD 10 billion. China's main priority sectors are public facilities, industry and economic infrastructure.</t>
  </si>
  <si>
    <t>060b36638e4483cba76f2808d449919a</t>
  </si>
  <si>
    <t>There is also scope to strengthen and leverage South-South cooperation in promoting STI development. In 2016, the United Nations held the first Multi-stakeholder Forum on Science, Technology and Innovation for the Sustainable Development Goals as one element of the Technology Facilitation Mechanism and established the Technology Bank for LDCs. For the Technology Bank, it will be critical to establish the financial base as soon as possible to ensure that all LDCs can benefitfrom the new institution.</t>
  </si>
  <si>
    <t>f51174ff1171dba727ff6d42c81200f2</t>
  </si>
  <si>
    <t>Cash income from women in Gazi Bay only came from this ecotourism initiative in 2011 (UNEP 2011). At Wasini, the boardwalk project generated US$6 500 from entrance fees in 2002, of which US$2 000 was used to set up a craft shop and US$2 800 given to members as dividends (Zeppel 2006). Although total compliance with unregulated mangrove cutting may not have been achieved consistently amongst the stakeholders, community members acknowledged that capacity-building and the associated financial incentive had promoted compliance with the resource use regulations and management within the mangroves (UNEP 2006).</t>
  </si>
  <si>
    <t>9cd5d99078edee795d3fdf0d3db91b76</t>
  </si>
  <si>
    <t>Programmes for facing the development challenges of the poorest and the hungriest have also been expanded. This includes the heavily indebted poor countries (HIPC) and Enhanced HIPC Initiatives, Education for All Fast Track Initiative (EFA-FTI), and other similar measures. The international assistance programmes have begun to focus on the poorest countries and peoples to complement the BPoA. The World Summit (September 2005) reiterated the commitments of the donors to fulfil the BPoA target of providing 0.15-0.20 per cent of GNI as ODA to the LDCs.</t>
  </si>
  <si>
    <t>ae3d99dad941bde5e3b0473fe5645ee0</t>
  </si>
  <si>
    <t>Studies have been carried out in the region that show deficiencies in pension and retirement benefit coverage that have a larger impact on women, who receive roughly 20% less than men, on average (Marco, 2016, CEPAL, 2016a). In recent years, time has become the subject of study as a measure of well-being: the problem of poverty has been analysed from various unconventional perspectives and a vicious circle involving poverty and time spent on unpaid work has been revealed (Vaca-Trigo, 2015, CEPAL, 2016a). Hence, in order to achieve sustainable development, it is important to consider this dimension when designing public policies. As shown in figure IV.11, poor women receiving transfers in both countries spend more hours per week on unpaid domestic and care work.</t>
  </si>
  <si>
    <t>c6c157e0d9e70b30426c105a02ecb05a</t>
  </si>
  <si>
    <t>This is particularly pressing in developing countries where young people often lack job-ready skills and Al platforms, tools, and applications are scarce. In the least developed countries (LDCs), a lack of mass digitalization and low penetration of broadband mean there is insufficient data for machine learning and deep learning. There is also a lack of transparency in the use of education data to ensure algorithmic accountability, privacy and data transparency.</t>
  </si>
  <si>
    <t>a09de162ef33c868b943d5a8fa2343b3</t>
  </si>
  <si>
    <t>The most recent data compiled by UNICEF (2013) shows that in 82 out of 95 developing countries for which data are available the prevalence of child underweight is higher in rural areas than in urban areas. Guha-Khasnobis and James (2010) found a prevalence of adult underweight of around 23 percent in the slum areas of eight Indian cities, while the prevalence in rural areas in the same states was close to 40 percent. It is technically a form of undernutrition (UNSCN, 2010), but is often referred to separately because it can coexist with adequate or excessive consumption of macronutrients and carries health consequences that are distinct from those associated with stunting.</t>
  </si>
  <si>
    <t>f0c1384ff90f3bc51455ea552d5f4a43</t>
  </si>
  <si>
    <t>For example, India, Pakistan and Sri Lanka grant market access preferences under the South Asian Free Trade Agreement (SAFTA) to four least developed country members (Bangladesh, Bhutan, the Maldives and Nepal) (see annex II for additional examples). For example, in 2001, the European Union (EU) adopted the “Everything But Arms” (EBA) initiative, granting duty-free access to imports of all products from LDCs— except arms and munitions—without any quantitative restrictions. The EBA initiative, however, also includes temporary exceptions on tariff lines of potential importance to LDCs (rice and sugar).</t>
  </si>
  <si>
    <t>ad9ed17a58ac2d6a4d13b3bafcca8177</t>
  </si>
  <si>
    <t>As a result of the Busan Declaration, the Global Partnership for Effective Development Co-operation (GPDEC) was created in 2012. Several initiatives exist in the framework of the GPDEC that are committed to advance specific commitments for effective development co-operation, including the Partnership on Climate Finance and Development. This voluntary initiative fosters country-level actions by promoting good practice and knowledge sharing on mainstreaming climate finance into development planning and more effective ways to use climate finance.</t>
  </si>
  <si>
    <t>2e15e98e0cd6e9bd8088c06063ae66d6</t>
  </si>
  <si>
    <t>The Sendai Framework for Disaster Risk Reduction 2015-2030 outlines clear targets and priorities for action to prevent new disaster risks and reduce existing ones. In the latest reports (2017-2018) from 70 countries, 67 had strategies that were aligned to some extent with the Sendai Framework. The biggest challenges are investment in disaster risk reduction for resilience and promoting policy coherence between the SDGs and climate change.</t>
  </si>
  <si>
    <t>9234e72011b4d85087f8cff80ae0645b</t>
  </si>
  <si>
    <t>Poverty reduction was featured as the first and pre-eminent goal. At the end of the 1990s, the World Bank and the International Monetary Fund had incorporated a linkage between market-oriented structural adjustment policies and the poverty agenda within the revised framework for the heavily indebted poor countries (HIPCs), making the formulation of Poverty Reduction Strategy Papers (PRSPs) a precondition for the receipt of debt relief under the heavily indebted poor countries Initiative. However, the Goals, per se, do not encompass any particular strategy for achieving those objectives.</t>
  </si>
  <si>
    <t>065b94a23d80f4253f10e7f437e2a938</t>
  </si>
  <si>
    <t>Some concerns were raised that they were a disruptive force with regard to the WTO-led multilateral trading system, compared with the inclusive and consensual nature ofthe latter regime, these regional negotiations excluded the majority ofthe world's countries and people yet could affect them in various ways. The Trade Facilitation Agreement (TFA), adopted at Bali in 2013, is the biggest multilateral trade deal of the past 20 years (discussed later). The WTO-led Aid for Trade (AfT) initiative shows trade multilateralism can be responsive to the concerns ofthe most capacity-constrained members and can help address their development needs. The TFA's implementation is also directly linked to parties' capacity, with technical assistance available to help in this regard. More importantly, in today's turbulent times, the WTO still provides the best rules-based governance framework for world trade and safeguards the development interests of the world's smallest and poorest countries. Commonwealth members could lead the way by reaffirming their commitment to a free, fair and inclusive multilateral trading system that supports the implementation of the 2030 Agenda for Sustainable Development.</t>
  </si>
  <si>
    <t>69b9b9ed677e2a780b473808670fbb03</t>
  </si>
  <si>
    <t>While common factors help determine labour market participation for both women and men, women often face a far more restrictive range of such factors compared with men. Household and social norms in the subregion assume that women take the vast majority of responsibility for domestic work and caregiving and are sometimes restricted from labour market participation altogether if household income levels are sufficiently high. Labour market segmentation and economic decision-making norms restrict the range of possible jobs in which women can participate. Low incomes and high informality in segmented occupations and economic activity create significant gender gaps in participation in premium-level formal employment.</t>
  </si>
  <si>
    <t>856de84a5d4897b3ea52f105cb668edc</t>
  </si>
  <si>
    <t>They reduce design and production costs related to differentiated compliance. And they help remove trade barriers by harmonizing test protocols or increasing their compatibility. But they can also create barriers to market access in developed countries for small and developing country producers, especially those that lack the technical or financial capacity to comply.</t>
  </si>
  <si>
    <t>95034907d6a34f440af3bc94d53616c9</t>
  </si>
  <si>
    <t>As Minister of Health, she implemented healthcare reform, improving attention to primary care facilities with the aim of ensuring better and faster healthcare response for families. She highlights the contribution that official development assistance (ODA) has made to empowering women and girls to exercise their rights fully as equal citizens. Partnerships on gender equality between the United Nations (UN) and the Organisation for Economic Co-operation and Development (OECD) have also played a fundamental role in ensuring enhanced support to and impact on gender equality goals, particularly as the deadline for achieving the Millennium Development Goals (MDGs) approaches.</t>
  </si>
  <si>
    <t>0706f7ce87c41745bfc91ccdae504a2d</t>
  </si>
  <si>
    <t>Young people and adults are entering, staying, and ending partnerships in ways different from previous generations, and education and services must respond to these changes. Young people need services between their first sexual experiences and when they marry. Services and information should be made available to adults who are separated from their partners or in new partnerships later in life.</t>
  </si>
  <si>
    <t>a0aa9ee0af0fcbc1161c26d11abe343d</t>
  </si>
  <si>
    <t>However, the lack of clarity about the distinction between climate change and development is one of the factors that has led to distrust between developed and developing countries, fuelled by concerns about additionality and the potential for competition between climate finance and development finance for a limited amount of international public finance. Development finance in the form of Official Development Assistance (ODA) increased steadily from the end of the 1990s up to 2010. In 2015, net official development assistance (ODA) flows from member countries of the Development Assistance Committee (DAC) of the OECD totalled USD 131.6 billion.</t>
  </si>
  <si>
    <t>1ca7b29c9b1b93e03b31fba69ed9f4a5</t>
  </si>
  <si>
    <t>A growing number of inter-ministerial mechanisms have been introduced to increase policy coherence and enhance implementation. The scale and pace of these changes has made it difficult to ensure that high quality projects were identified and implemented, that consultation with the public and local authorities was conducted according to the spirit rather than the letter of the law, and that sufficient capacity for policy implementation was developed, particularly at the local level. The enactment of so many laws and regulations in a comparatively short period of time also resulted initially in the business community facing a complex set of environmental requirements, though this has now improved.</t>
  </si>
  <si>
    <t>009408d19e771891fcce817c7c7316db</t>
  </si>
  <si>
    <t>Following their concerns that physicians across the Japanese health system were not able to identify signs of psychological distress which could help reduce suicide, the Japanese Medical Association reports that they began sharing information and guidance on depression with all doctors, first in 2004 and then again in 2009. At present, only indicators on the rate of seclusion and restraint, and involuntary admission, are collected by providers and at a Prefectural level. Systematically collected information on the mental health care system is limited to structural indicators - facilities, staff numbers, bed numbers.</t>
  </si>
  <si>
    <t>02f4feb0143d7e70b119abdbdb6a6758</t>
  </si>
  <si>
    <t>Some technologies with potential benefits for the electricity sector in LDCs, such as the “Internet of Things", remain out of reach for most of these countries (box 4.2). This rapidly evolving context has important implications for governance of the sector, potentially raising questions as to whether current sectoral governance arrangements remain fit for purpose (Scott, 2015). The principal pathways are outlined in figure 4.6. Planning is particularly important for electricity systems because of the mismatch between the time required to build distribution networks and that required to build generation facilities, highlighting the need for coordination of planning processes for generation and transmission (Chattopadhyay et al.,</t>
  </si>
  <si>
    <t>0342980e48fbffd359a20628d9450485</t>
  </si>
  <si>
    <t>Mauritius covers a total land area of 720 square miles, and is almost entirely of volcanic origin, except for stretches of beaches, coral reefs and small patches of alluvium at the mouths of rivers. Pear-shaped, mountainous with its highest peak standing at 2,711 feet above sea level, Mauritius emerged from the ocean floor some 5 million years ago. Volcanic activity over thousands of years has given rise to varied types of soil.</t>
  </si>
  <si>
    <t>26443f27488420a4af1a208fd73f5bbd</t>
  </si>
  <si>
    <t>In 2015, the geographic scope was expanded to include small island developing States in the Pacific. It contributes to the narrowing of capacity gaps through regional and South-South cooperation, sharing of resources and the development of an integrated regional warning system comprising a network of collaborative centres. Civil society innovations and business sector initiatives.</t>
  </si>
  <si>
    <t>01c00b8ad04f55efa35102a1e913d234</t>
  </si>
  <si>
    <t>Africa Gender Equality Index 2015, African Development Bank, Abidjan, http://www.afdb.org/fileadmin/uploads/afdb/ Documents/Publications/Afric an_Gender_Equality_lndex_2015-EN.pdf. Gender, Poverty and Environmental Indicators on African Countries, Vol XV, African Development Bank. Regional Road Map, OECD/SWAC, Paris, https://www.oecd.</t>
  </si>
  <si>
    <t>b56e57501cd56ce5d7ebf243cc31fd86</t>
  </si>
  <si>
    <t>Strong real economy investments, large and small, with their important job-creating capacity must displace financial operations from the driver's seat of the global economy. The expansion of short-term profits in financial markets, with little employment to show for it, has channelled away resources from the longer term horizon of sustainable real economy enterprises. The world is awash in liquidity that needs to become productive investments through a regulatory framework ensuring that financial institutions fulfil their original role of channelling savings into the real economy. Also, expanding wage participation in GDP within reasonable inflation rates will increase real demand and serve as a source of sustainable development growth.</t>
  </si>
  <si>
    <t>2d7e4fc2800638a6df49715d80c51860</t>
  </si>
  <si>
    <t>Unless reversed, the mega trends sketched above suggest migratory pressures should be expected to increase substantially moving forward. International migration is bringing benefits to both countries of origin and destination, including remittances, knowledge sharing and mitigation of labour shortages. It also comes with important costs to migrants themselves and the societies they live in, as migrants often face much less secure job situations, discrimination, and less than full access to health, education and other social services, while vast migration inflows has been a source of political and social tensions in many recipient countries.</t>
  </si>
  <si>
    <t>4f3f5d89b1546a53f225af0fa071dc28</t>
  </si>
  <si>
    <t>One important conclusion so far is that thorough information making use of real-time data, presented in an appropriate way, has a great potential to enhance confidence in the public transport system. Electronic boards giving real time visual information about vehicle movements had already been fitted at city centre stops. Later, audio announcement modules were added to make the real-time information available to blind and partially sighted people.</t>
  </si>
  <si>
    <t>018140e5ee7827b95ee7b9ac76ab9ae2</t>
  </si>
  <si>
    <t>Many development providers are exploring new ways of how to better integrate ICTs in the planning and implementation of development activities. However, more consolidated efforts through the DAC and other forums can improve knowledge sharing and set new standard and requirements across the development planning and implementation cycle. With greater access to the Internet through 3G and LTE mobile networks in developing countries, tailored ICT tools have the potential to improve measuring results and strengthen monitoring and evaluation of development projects.</t>
  </si>
  <si>
    <t>dc3b6d73253284451159a5e80f17f10d</t>
  </si>
  <si>
    <t>Building national capacities and international cooperation in these areas will be important. The world needs a big push—one that is public investment-led, based on international development cooperation, and capable of catalysing private sector investment and innovation so as to sustainably transform the energy system. It is recognized that the fulfilment of official development assistance (ODA) commitments is crucial. Innovative financing mechanisms can also make contributions to developing countries in respect of mobilization of additional resources for financing for development.</t>
  </si>
  <si>
    <t>c5a7e8fe3a9b142703dfa88c1594449f</t>
  </si>
  <si>
    <t>Women are more likely than men to work part-time or have temporary contracts, which is largely explained by their family care responsibilities. While such work arrangements can help balance work and family life in the short and medium-terms, part-time or temporary workers may have fewer career development opportunities, face lower pay rates and higher rates of old-age poverty. These work arrangements are also viewed as less compatible with executive leadership and management positions: less than 1% of women employed part-time are in top management jobs.</t>
  </si>
  <si>
    <t>ab2c7068988202411d5b93c93571c595</t>
  </si>
  <si>
    <t>Accessing international capital markets can also be difficult for many developing countries. These challenges can be further exacerbated for clean energy infrastructure projects, as lenders may be reluctant to lend due to an insufficient knowledge of local markets and a higher technology risk. Ensuring access to affordable finance will require developing country governments, in particular, to combine a short-term strategy of facilitating access to international financing and a longer-term approach.</t>
  </si>
  <si>
    <t>605d237deafbadf27e954abd4754320e</t>
  </si>
  <si>
    <t>However, rail transport has an important role to play in the growth and sustainable development of the African continent over the next few decades (AfDB, 2015). For instance, more than 95% of Ethiopia's trade passes through the port of Djibouti. The new Addis Ababa-Djibouti railway provides landlocked Ethiopia with railroad access to the sea. The new line was built between 2011 and 2016 and financed by China at around USD 4 billion.</t>
  </si>
  <si>
    <t>552cabc214cd1694a4e2bcf9e53e320b</t>
  </si>
  <si>
    <t>It is important that the indicators align to the same framework for a full and comprehensive analysis to be made. All Nordic statistical offices are currently working to establish regular routines to produce and disseminate these statistics. Rather than to dig deep into the intricacies of a green GDP, the thrust of the effort is on developing a Nordic set of already existing indicators and measures, which relate to the SEEA Central Framework. This can be used besides GDP, as a satellite environmental account, that could be combined with traditional SNA national accounts and provide input for thorough, transparent and reliable analysis of the interplay between economy and environment. A common Nordic effort in this field would be a path-breaking contribution to the follow-up of the new UN sustainable development goals.</t>
  </si>
  <si>
    <t>6115053d50939c957db047657c98311c</t>
  </si>
  <si>
    <t>They may also capture the experiences of adult survey respondents, providing guidance on the nature and prevalence of those respondents' food needs. In terms of measurement, existing systems do not tap children's perspectives on their own lives, nor do they flow from a conceptualization of food insecurity that is grounded in children's experiences, their roles within households, or the ways in which they make sense of their environments. Adult survey respondents tend to under-report child food insecurity, missing as many as half of children who, themselves report going hungry because there is not enough food [16]. In terms of delivery, these systems rely on household samples, which exclude children in institutional settings and homeless children, and can substantially under-represent them in highly vulnerable household situations (migrant workers, those living in urban slums, distant rural households, those living in refugee camps, multi-family or extended family households) [17].</t>
  </si>
  <si>
    <t>c9ba891fc2360ed296043c2ccee4bf09</t>
  </si>
  <si>
    <t>Moreover, there is a poor record of civil society participation and partnership in the implementation of plans and strategies that exist to support cultural and heritage preservation. For cities, culture appears as an economic asset, a social good and a productive and dynamic process that undergoes continuous change.*" Many cities around the world contain a historical core with various forms of cultural and natural heritage that have resisted forces of urbanization and modernization.</t>
  </si>
  <si>
    <t>7f0f4057da4f1ac3ac1cc53d7c9d0d8b</t>
  </si>
  <si>
    <t>Governments introduced several measures in order to help families, for instance measures of debt relief. As a result, firms started to cut jobs or reduce wages. Moreover, they increasingly used temporary employment contracts without benefits, and more generally entailing a reduction in job security and deterioration in job quality.</t>
  </si>
  <si>
    <t>4fe1800ab78889d52a174e39b03e8f82</t>
  </si>
  <si>
    <t>Progress towards these Goals is mutually reinforcing, providing opportunities to foster improved employment outcomes for youth while contributing to the achievement of other Goals. The targets emphasize the importance of a solid macroeconomic foundation for economic growth, driven by strategic investments in job-intensive and productive economic activities. In keeping with the integrated nature of the global economy, the targets focus on promoting trade and strengthening the ability of less developed economies to tap into the economic power of the developed world (through financial aid, tourism and foreign direct investment) in terms of job creation.</t>
  </si>
  <si>
    <t>6da8eaad0746d3238a7bbaf8c1743efb</t>
  </si>
  <si>
    <t>When temperatures drop, and lichen is covered with ice, many reindeer are likely to starve. In addition, the thinning of the Arctic ice has made tracking reindeer herds more dangerous, as the inherited local knowledge regarding safe tracking is then no longer useful. This is clear when considering the case of Nepal, a least developed country, where rising temperatures, erratic rain- and snowfall, and the unpredictability of the beginning of the monsoon season have resulted in slow growth and decreased crop production.</t>
  </si>
  <si>
    <t>1edda33e74fb408587cb75092db9c826</t>
  </si>
  <si>
    <t>Agricultural production expansion in LDCs since the early 1980s has occurred partly as a result of extensive growth, i.e. the expansion of the area used for agricultural production. In LDCs as a group it has grown by 10 per cent, slower than in ODCs, while in developed countries it actually contracted by 11 per cent. The extension of agricultural land use has been strongest in African LDCs and Haiti and in island LDCs.</t>
  </si>
  <si>
    <t>85c3b72aeb7dac86b9d06614abc02e01</t>
  </si>
  <si>
    <t>The DAC are also discussing ways to improve knowledge sharing, promote learning, and incentivise innovation in development co-operation policies and practices. While the details of such marker are not yet defined, the proposal to add a new marker on innovation signals DAC members’ increasing ambition towards greater innovation in how development co-operation is planned and implemented. While there are many technological developments across many fields, most references in STI policy are linked to the digital transformation and the access and use of modern information, communication technologies (ICTs).</t>
  </si>
  <si>
    <t>40885ff87e8ffd2e245e7cd6ee5a179c</t>
  </si>
  <si>
    <t>The world’s nations annually contribute over $1 trillion to subsidies for agriculture, energy, water and transport. This is 12 times the amount needed to bring official development assistance up to the 0.7 per cent target set in 1966, it is 15 times the amount that was estimated to be necessary if the Millennium Development Goals were to be fully implemented, and it is even 8 times the massive amount that the architects of the Earth Summit calculated would be needed to implement the ambitious Agenda 21. Subsidies to irrigation, for example, lead to massive wastage of scarce water resources, subsidies to coal production and consumption invalidate efforts to move towards cleaner energy, subsidies to fishing fleets lead to the devastation of fish stocks, and subsidies to transport fuel lead to wasteful use of energy in transport.</t>
  </si>
  <si>
    <t>c02df91bb234ddf0221d5e63518ddff9</t>
  </si>
  <si>
    <t>By downscaling the model proposed by the province of Potenza, and with its support, these municipalities are locally implementing a multi-stakeholder approach. This is based on the active involvement of local institutions, organizations and associations representing different professional and social categories, to give them the opportunity to become driving forces reducing disaster risk. These municipalities are engaged in clustering processes with key community actors across all sectors. They are also looking at working with the concept of social categories, experimenting with the use of concrete plans/actions to transform different social groups into forces for developing and implementing safe and sustainable urban policies.</t>
  </si>
  <si>
    <t>edb3e38847428a4f7892de106059e067</t>
  </si>
  <si>
    <t>There are several examples of highly fragmented contexts (Canada, France, Mexico) where the multiple actors and layers usually perceived as obstacles to policy coherence have been compensated by the adoption of sound co-ordination mechanisms (see below) that reduced, to a more or less important degree, the impact of sectoral fragmentation. In federal states with important geographical and hydrological disparities (Australia, Canada, the United States), or strong regional characteristics (Belgium), local and regional authorities are the main actors in water-resources management and service delivery. In most cases (EU countries), sub-national governments play a significant role in the design and implementation of water policies, together with the central government, while in some countries (Chile, Israel, Japan, Korea), they are mostly “implementers” of central government policies, with low involvement in the “design” stage. In addition, there are very few significant river basin scale organisations and the institutional mapping and governance challenges vary greatly from one state to another.</t>
  </si>
  <si>
    <t>5e5dbac2056edc34caa6e204bbe0d5b4</t>
  </si>
  <si>
    <t>The paper reports a study that investigated the construction of a common identity in an online Italian forum of psychologists based on asynchronous CMC. Discourse analysis was carried out on 20 discussions, and three Interpretative Repertoires were identified: (i) Professional Boundaries, (ii) disempowered psychology and (iii) psychology and health, which refer to three recurrent modalities of constructing the psychological profession. The study suggests that a framework drawing on social constructionism and Bourdieu's critical theory can help understand some aspects of identity in, and across, communities of practice. The main conclusion is that analysing critically how identities are constructed in learning environments, virtual or not, allows reconsidering the role of the cultural context in the production of those identities.</t>
  </si>
  <si>
    <t>8d663f2f8836003e9e59158d4b98d2ab</t>
  </si>
  <si>
    <t>In order to encourage corporatisation, the government agreed to assume part of the debts of those hospitals willing to go through that process until the end of 2013. The Ministry of Health gave hospital authorities an opportunity to transform indebted tertiary-care facilities from publicly owned institutions managed by local governments into companies owned by such governments with the further option to also involve a private investor. In the 2009-11 period, this form of transformation of public health-care units was supported by public resources from the general budget.</t>
  </si>
  <si>
    <t>642bba736a727f46e499fee8ef9a95cd</t>
  </si>
  <si>
    <t>This chapter reviews the changes that the International System has experienced in the last three decades, the reconfiguration of the geo-strategic relation and global politics. From global terrorism, the wars in Iraq and Afghanistan, the global financial crisis in 2008, the growing role of global communications to the emergence of substantive changes in political leadership. The author asserts that no State or international actor possesses the capacities or conditions to confront the new global challenges on its own and only cooperation will make it possible to face the challenges and risks that emerge from globalization and interdependence. Hence, it is imperative to develop an educational model that promotes skills, values and behaviours that contribute to peace, justice, sustainable development and solidarity.</t>
  </si>
  <si>
    <t>00d1f63db99df50cb6e61519d2a32f50</t>
  </si>
  <si>
    <t>This technology bank for the LDCs was officially established on 23 December 2016, through the adoption of the UN General Assembly Resolution A/71/L.52. In addition, ITU's Membership recognized the importance of ICTs for LDCs by adopting specific targets for the LDCs in its Connect 2020 Agenda (ITU, 2014). Target 2, on inclusiveness, includes specific targets on household access to ICTs, Internet use, and affordability in the LDCs. Most have been primarily based on basic, low-bandwidth mobile cellular technologies.</t>
  </si>
  <si>
    <t>286f12aa673630b72f027f7fe247f721</t>
  </si>
  <si>
    <t>Several of the goals and targets in the 2030 Agenda for Global Action have a direct bearing on the nexus between trade policy and gender equality (Table 4.2). End hunger, achieve fooc security and improved nutrition and promote sustainable agriculture. Strengthen the means of implementation and revitaii, the global partnership for sustainable development. These data can then be used to inform, develop and monitor government policies and the support development partners provide in promoting gender equality in trade-related issues.</t>
  </si>
  <si>
    <t>67b7a262b7baf4b024eb0798df13f68f</t>
  </si>
  <si>
    <t>They have also paid special attention to expanding social opportunities by setting policy priorities, nurturing selected industries, fostering state-market complementarities, committing to long-term reforms, having strong political leadership, learning by doing and boosting public investment. Getting policies and policy priorities right raises the equally important issue of getting policymaking right. Governing institutions and policies are profoundly and inextricably linked, one cannot succeed without the other. It is thus important to have policy processes managed by committed people in effective and responsive government structures. Policies also change at different stages of development: at early stages, for example, many countries prioritize job creation and poverty reduction.</t>
  </si>
  <si>
    <t>a41c5511205aa6919bd9e6c0135c0e19</t>
  </si>
  <si>
    <t>Deliveries to millers increased from 1.8 million tonnes in the 2000/01 marketing year to 4.1 million tonnes in 2010/11. Due to the relative simplicity of milling and the scalability of investments, it became an attractive activity for local entrepreneurs. Mills actively procure wheat either directly from farmers or through local traders. Almost half of Kazakhstan’s flour is produced by mills in the northern grain region.</t>
  </si>
  <si>
    <t>5813e579def72bd9cb026d1271e4ad9e</t>
  </si>
  <si>
    <t>However, recalling that this is not at present the main avenue for mitigation under the Paris Agreement, it remains to be seen whether demand for developing country emissions reductions will be a major source of exchange and opportunity or only play a minor role. It is also unclear whether the scope of the SDM will specifically favour LDCs or a broader group of developing or vulnerable states that reflects the specific circumstances of the SIDS - an issue that arose under the CDM of the Kyoto Protocol20. Again, however, the vague nature of the Paris Agreement's provisions on technology transfer commends some caution as to how and when this element of the agreement will actually affect the global economy.</t>
  </si>
  <si>
    <t>1daecd588ace044156e92e055f44126e</t>
  </si>
  <si>
    <t>Moreover, the indicators should be developed which support the monitoring of the Global Goals for Sustainable Development (SDGs) adopted in 2015 by the UN General Assembly. This will ensure more accurate assessment of sustainable development progress and, if necessary, lead to adjustment of urban development policy. For example, a private construction practice of building several houses on six-acre (rural areas) and four-acre (urban areas) plots exists. It is essential to monitor this process and update development density and infrastructure indicators.</t>
  </si>
  <si>
    <t>e23166ef18177d6a5d49e38af6c75352</t>
  </si>
  <si>
    <t>Such complexity leads to significant difficulties in monitoring and verifying environmental impacts and outcomes. The Busan Partnership for Effective Development Co-operation agreed four principles to ensure aid effectiveness: ownership by partner countries, results focused efforts, inclusive partnerships, and delivery of aid within an environment of transparency and accountability. Garside et al (2016) translates this into four elements of effective aid-business partnerships for sustainable development, based on a review of 11 existing partnerships: ensuring additionality of private sector efforts (i.e. going beyond what business would have invested in anyway), financial sustainability of approaches, mutual transformation (i.e. changing of attitudes and business models), and risk-sharing, all within a transparent manner without market distortion. These four elements could provide a structure for further assessment and guidance for good practice recommendations for development cooperation efforts in private sector engagement for the environment.</t>
  </si>
  <si>
    <t>29eff581258b80edb918583680aba4f0</t>
  </si>
  <si>
    <t>Cyberjaya in Malaysia was built between the new national airport and Kuala Lumpur, with fast road and rail links to the airport and high quality communications infrastructure to attract international ICT companies. Biotechnology is one sectoral focus -often fostered by regional biotech strategies. In Germany, regions developed strategies as part of their participation in the national BioRegio initiative. North Carolina State University’s Centennial Campus is being developed around four main technologies which lie at the heart of the university’s strategy - IT, genomics/biotech, advanced materials and environmental technologies. The different objectives can work against each other, such as those relating to innovation and technology transfer being undermined by commercial expediency in filling space. The strictness of criteria for entry will be weighed against the market premium for space rental based on tenant quality.</t>
  </si>
  <si>
    <t>3858885da364e209438596812a89ae4f</t>
  </si>
  <si>
    <t>Some speakers pointed out that the full value of forest-related goods and services to their national economies could be much greater than the monetary figures reported by official statistics. Several speakers stressed that, for effective implementation beyond 2015, it would be essential to continue to facilitate capacity-building, training and technology transfer, through South-South cooperation as well as North-South and triangular cooperation. Speakers also highlighted the importance of working in partnership with members of the Collaborative Partnership on Forests and stakeholders, including the private sector and non-governmental organizations, and the need for adequate resources to strengthen implementation.</t>
  </si>
  <si>
    <t>ffc3e1ce7edcb4c067f2a2471fd34c7b</t>
  </si>
  <si>
    <t>Increased mining activity in Chile, Australia and Mexico is primarily driving this trend. But the fact that domestic consumption of metals in OECD countries is growing more slowly than extraction (66% vs. 103%) indicates that a large portion of extraction is being exported outside of the OECD area. In most OECD countries, the economic slowdown caused material extraction and consumption to flatten or decrease (in some cases significantly).</t>
  </si>
  <si>
    <t>72193d1e0b284fdc7672520feefe490e</t>
  </si>
  <si>
    <t>The prominence of increasingly regressive tax structures leads to a discussion of factors subverting progressive revenue mobilization, such as slashes in wealth, top personal and corporate income tax rates, the increased use of regressive indirect taxes, and growing tax abuses, including harmful tax competition, tax avoidance and evasion by high net worth individuals (HNWIs) and transnational corporations (TNCs). The section also highlights redistributive policies that positively contributed to equity and sustainable development, especially in Latin America. Section 4 discusses possible steps for moving towards a framework enabling redistributive policies promoting equity and sustainable development. It also emphasizes the limits of domestic policy initiatives and the need for increased international cooperation, notably regarding the taxation of mobile capital income and financial wealth of HNWIs and TNCs.</t>
  </si>
  <si>
    <t>43d82531e93637ae336b46c58cfcb026</t>
  </si>
  <si>
    <t>It can also support capacity development and provide technical assistance to strengthen local institutions and contribute to domestic resource mobilisation and the engagement of the private sector. The emphasis on different goals will be based on national circumstances. Nevertheless, the SDGs do increase the overall scope of issue development co-operation will play a role in.</t>
  </si>
  <si>
    <t>TO DO</t>
  </si>
  <si>
    <t>If it is about developing country then yes, otherwise no?</t>
  </si>
  <si>
    <t>Seem to be just a fact so not really related?</t>
  </si>
  <si>
    <t>I guess I'm trying to be consistent here but given the number of such cases it is probably assumed that they are relevant</t>
  </si>
  <si>
    <t>It just mention infrastructure, also along with rich countries</t>
  </si>
  <si>
    <t>Should coherence be intergovernmental?</t>
  </si>
  <si>
    <t>Development Assistance Committee</t>
  </si>
  <si>
    <t>It is out of context and it is not very clear what it is about</t>
  </si>
  <si>
    <t>I think target means intergovernment coherence not within a country but I'm not sure</t>
  </si>
  <si>
    <t>partnerships</t>
  </si>
  <si>
    <t>only PC not PCSD</t>
  </si>
  <si>
    <t>though quite a few generic linkns to SDG 17</t>
  </si>
  <si>
    <t>resource mobilisation</t>
  </si>
  <si>
    <t>resource mobilisation, ODA inherently value laden</t>
  </si>
  <si>
    <t>again PC not PCSD</t>
  </si>
  <si>
    <t>not specifically for LDCs</t>
  </si>
  <si>
    <t>no developing countries context</t>
  </si>
  <si>
    <t>statistical capacities, but no developing countries context</t>
  </si>
  <si>
    <t>SDG 16</t>
  </si>
  <si>
    <t>not clear if for ODA</t>
  </si>
  <si>
    <t>doi</t>
  </si>
  <si>
    <t>text_id</t>
  </si>
  <si>
    <t>text</t>
  </si>
  <si>
    <t>sdg</t>
  </si>
  <si>
    <t>labels_negative</t>
  </si>
  <si>
    <t>labels_positive</t>
  </si>
  <si>
    <t>labels_total</t>
  </si>
  <si>
    <t>agreement</t>
  </si>
  <si>
    <t>Finn's label</t>
  </si>
  <si>
    <t>difficulty</t>
  </si>
  <si>
    <t>selection reason</t>
  </si>
  <si>
    <t>10.1787/5jlpl4mh1hxn-en</t>
  </si>
  <si>
    <t>N/A</t>
  </si>
  <si>
    <t>10.14217/9781848599178-8-en</t>
  </si>
  <si>
    <t>10.1007/978-3-319-19054-9_10</t>
  </si>
  <si>
    <t>10.1016/S0140-6736(03)14373-5</t>
  </si>
  <si>
    <t>10.18356/a11581d8-en</t>
  </si>
  <si>
    <t>10.1787/9789264077225-6-en</t>
  </si>
  <si>
    <t>10.1787/5jlwvz85537c-en</t>
  </si>
  <si>
    <t>10.1111/J.1365-2729.2006.00193.X</t>
  </si>
  <si>
    <t>10.1787/aid/glance-2017-14-en</t>
  </si>
  <si>
    <t>10.18356/30d5a92c-en</t>
  </si>
  <si>
    <t>10.1007/978-3-030-21974-1_1</t>
  </si>
  <si>
    <t>10.6027/9789289335355-3-en</t>
  </si>
  <si>
    <t>11.1002/pub/80de56e8-72931180-en</t>
  </si>
  <si>
    <t>10.18356/787cb9be-en</t>
  </si>
  <si>
    <t>10.1787/9789264224636-4-en</t>
  </si>
  <si>
    <t>10.1787/9789264110984-6-en</t>
  </si>
  <si>
    <t>10.18356/fe43e5e4-en</t>
  </si>
  <si>
    <t>10.1787/18a859bf-en</t>
  </si>
  <si>
    <t>10.18356/6f7c638a-en</t>
  </si>
  <si>
    <t>10.18356/ee1a3170-en</t>
  </si>
  <si>
    <t>10.1787/85b52daf-en</t>
  </si>
  <si>
    <t>10.18356/0e3c4bbb-en</t>
  </si>
  <si>
    <t>10.18356/a793e2be-en</t>
  </si>
  <si>
    <t>10.18356/04b2e7d9-en</t>
  </si>
  <si>
    <t>target 17.1</t>
  </si>
  <si>
    <t>10.30875/98c4ae94-en</t>
  </si>
  <si>
    <t>10.18356/1ea53441-en</t>
  </si>
  <si>
    <t>10.14217/9f5dd7d0-en</t>
  </si>
  <si>
    <t>target 17.10</t>
  </si>
  <si>
    <t>11.1002/pub/80f4cf5d-be0a6beb-en</t>
  </si>
  <si>
    <t>10.1787/5k49dv6c5xmv-en</t>
  </si>
  <si>
    <t>10.1787/9789264191761-en</t>
  </si>
  <si>
    <t>10.1787/9789264235151-6-en</t>
  </si>
  <si>
    <t>target 17.11</t>
  </si>
  <si>
    <t>10.14217/9781848599604-21-en</t>
  </si>
  <si>
    <t>10.14217/9781848599130-12-en</t>
  </si>
  <si>
    <t>10.1787/9789264190504-9-en</t>
  </si>
  <si>
    <t>10.30875/423532ad-en</t>
  </si>
  <si>
    <t>target 17.12</t>
  </si>
  <si>
    <t>10.1787/9789264276369-9-en</t>
  </si>
  <si>
    <t>10.18356/5b595ea0-en</t>
  </si>
  <si>
    <t>10.18356/150942f1-en</t>
  </si>
  <si>
    <t>target 17.13</t>
  </si>
  <si>
    <t>10.18356/808599e4-en</t>
  </si>
  <si>
    <t>10.18356/584f8730-en</t>
  </si>
  <si>
    <t>10.1787/9789264097896-9-en</t>
  </si>
  <si>
    <t>10.1787/9789264097896-7-en</t>
  </si>
  <si>
    <t>target 17.14</t>
  </si>
  <si>
    <t>10.18356/042f5056-en</t>
  </si>
  <si>
    <t>10.1787/9789264240094-7-en</t>
  </si>
  <si>
    <t>10.1787/9789264120983-11-en</t>
  </si>
  <si>
    <t>10.1787/9789264277335-7-en</t>
  </si>
  <si>
    <t>target 17.15</t>
  </si>
  <si>
    <t>10.18356/bb3f3ae6-en</t>
  </si>
  <si>
    <t>10.18356/3dfe8660-en</t>
  </si>
  <si>
    <t>10.1787/9789264210745-2-en</t>
  </si>
  <si>
    <t>10.18356/84fc8700-en</t>
  </si>
  <si>
    <t>target 17.16</t>
  </si>
  <si>
    <t>10.14217/9781848599390-5-en</t>
  </si>
  <si>
    <t>10.18356/fa8ae033-en</t>
  </si>
  <si>
    <t>10.18356/c5c7eaec-en</t>
  </si>
  <si>
    <t>target 17.17</t>
  </si>
  <si>
    <t>10.18356/f5ce8f94-en</t>
  </si>
  <si>
    <t>10.18356/bf400991-en</t>
  </si>
  <si>
    <t>10.1057/9780230283237_9</t>
  </si>
  <si>
    <t>11.1002/pub/80c293d4-d194980d-en</t>
  </si>
  <si>
    <t>target 17.18</t>
  </si>
  <si>
    <t>10.18356/937bb150-en</t>
  </si>
  <si>
    <t>10.18356/18376853-en</t>
  </si>
  <si>
    <t>11.1002/pub/810be2fb-4e43e9ba-en</t>
  </si>
  <si>
    <t>10.1787/9789264225817-8-en</t>
  </si>
  <si>
    <t>target 17.19</t>
  </si>
  <si>
    <t>10.18356/eb366761-en</t>
  </si>
  <si>
    <t>10.6027/9789289344678-7-en</t>
  </si>
  <si>
    <t>10.18356/152d606d-en</t>
  </si>
  <si>
    <t>10.18356/fcd1ba6c-en</t>
  </si>
  <si>
    <t>target 17.2</t>
  </si>
  <si>
    <t>10.1787/dcr-2011-11-en</t>
  </si>
  <si>
    <t>10.18356/a6267136-en</t>
  </si>
  <si>
    <t>10.18356/7d5576e0-en</t>
  </si>
  <si>
    <t>target 17.3</t>
  </si>
  <si>
    <t>10.18356/7e830810-en</t>
  </si>
  <si>
    <t>10.1787/9789264212664-en</t>
  </si>
  <si>
    <t>10.18356/36b318e6-en</t>
  </si>
  <si>
    <t>target 17.4</t>
  </si>
  <si>
    <t>10.1787/5k9b7bn5qzvd-en</t>
  </si>
  <si>
    <t>10.18356/fb79328d-en</t>
  </si>
  <si>
    <t>10.18356/5022b3a0-en</t>
  </si>
  <si>
    <t>10.18356/6bf07ffd-en</t>
  </si>
  <si>
    <t>target 17.5</t>
  </si>
  <si>
    <t>10.18356/ca9e0bef-en</t>
  </si>
  <si>
    <t>10.14217/5jlz7nd44q8r-en</t>
  </si>
  <si>
    <t>10.1787/3726edff-en</t>
  </si>
  <si>
    <t>target 17.6</t>
  </si>
  <si>
    <t>10.18356/a84cce24-en</t>
  </si>
  <si>
    <t>10.1787/9789264231122-9-en</t>
  </si>
  <si>
    <t>10.1787/9789264097803-10-en</t>
  </si>
  <si>
    <t>target 17.7</t>
  </si>
  <si>
    <t>10.14217/5jlwz7lt4k9q-en</t>
  </si>
  <si>
    <t>10.1787/9789264234437-4-en</t>
  </si>
  <si>
    <t>10.1787/5jlww009v1hj-en</t>
  </si>
  <si>
    <t>11.1002/pub/810be2fb-e9f9b60a-en</t>
  </si>
  <si>
    <t>target 17.8</t>
  </si>
  <si>
    <t>10.18356/73c3a080-en</t>
  </si>
  <si>
    <t>10.18356/64d6e2ff-en</t>
  </si>
  <si>
    <t>10.18356/d8cfcf9c-en</t>
  </si>
  <si>
    <t>10.1787/9789264168985-7-en</t>
  </si>
  <si>
    <t>target 17.9</t>
  </si>
  <si>
    <t>10.18356/18db943d-en</t>
  </si>
  <si>
    <t>10.18356/841f762a-en</t>
  </si>
  <si>
    <t>Group</t>
  </si>
  <si>
    <t>Alignment</t>
  </si>
  <si>
    <t>Comments</t>
  </si>
  <si>
    <t>Consensus</t>
  </si>
  <si>
    <t>Rationale</t>
  </si>
  <si>
    <t>Notes</t>
  </si>
  <si>
    <t/>
  </si>
  <si>
    <t>4v1</t>
  </si>
  <si>
    <t>UNDECIDED</t>
  </si>
  <si>
    <t>3v1</t>
  </si>
  <si>
    <t>focused on measuring progress towards sustainable development</t>
  </si>
  <si>
    <t>skipped</t>
  </si>
  <si>
    <t>not focused on policy coherence for sustainable development</t>
  </si>
  <si>
    <t>focused on partnerships in general</t>
  </si>
  <si>
    <t>3v1 Meike</t>
  </si>
  <si>
    <t>several links to partnerships and cooperation for renewable energy</t>
  </si>
  <si>
    <t>no specific link to SDG 17.10</t>
  </si>
  <si>
    <t>focused on policy coherence for sustainable development</t>
  </si>
  <si>
    <t>sharing knowledge to achieve sustainable development</t>
  </si>
  <si>
    <t>could be related to SDG 17.15 but missing the respect aspect</t>
  </si>
  <si>
    <t>no specific mention of statistical capacity</t>
  </si>
  <si>
    <t>focused on alternative measure to GDP</t>
  </si>
  <si>
    <t>more focused on economic growth</t>
  </si>
  <si>
    <t>could be related to 17.2 or 17.3 but missing explicit link</t>
  </si>
  <si>
    <t>partnerships between global organization to advance sustainable development issues</t>
  </si>
  <si>
    <t>4v1 (Meike)</t>
  </si>
  <si>
    <t>id</t>
  </si>
  <si>
    <t>label</t>
  </si>
  <si>
    <t>osdg_text_id</t>
  </si>
  <si>
    <t>comment</t>
  </si>
  <si>
    <t>Such complexity leads to significant difficulties in monitoring and verifying environmental impacts and outcomes. The Busan Partnership for Effective Development Co-operation agreed on four principles to ensure aid effectiveness: ownership by partner countries, results focused efforts, inclusive partnerships, and delivery of aid within an environment of transparency and accountability. Garside et al (2016) translates this into four elements of effective aid-business partnerships for sustainable development, based on a review of 11 existing partnerships: ensuring additionality of private sector efforts (i.e. going beyond what business would have invested in anyway), financial sustainability of approaches, mutual transformation (i.e. changing of attitudes and business models), and risk-sharing, all within a transparent manner without market distortion. These four elements could provide a structure for further assessment and guidance for good practice recommendations for development cooperation efforts in private sector engagement for the environment.</t>
  </si>
  <si>
    <t>fixed grammar</t>
  </si>
  <si>
    <t>Some concerns were raised that they were a disruptive force with regard to the WTO-led multilateral trading system, compared with the inclusive and consensual nature of the latter regime, these regional negotiations excluded the majority of the world's countries and people yet could affect them in various ways. The Trade Facilitation Agreement (TFA), adopted at Bali in 2013, is the biggest multilateral trade deal of the past 20 years (discussed later). The WTO-led Aid for Trade (AfT) initiative shows trade multilateralism can be responsive to the concerns of the most capacity-constrained members and can help address their development needs. The TFA's implementation is also directly linked to parties' capacity, with technical assistance available to help in this regard. More importantly, in today's turbulent times, the WTO still provides the best rules-based governance framework for world trade and safeguards the development interests of the world's smallest and poorest countries. Commonwealth members could lead the way by reaffirming their commitment to a free, fair and inclusive multilateral trading system that supports the implementation of the 2030 Agenda for Sustainable Development.</t>
  </si>
  <si>
    <t>fixed typos</t>
  </si>
  <si>
    <t>By contrast, electrical and HVAC workers will likely need to attend accredited training programmes at community colleges or through their local trade union. For example, to support the transition to green jobs, in 2008 the Mechanical Contractors Association of Chicago established a green construction institute, to providing training to local building contractors, apprentices and journeymen of United Association of Pipe Fitters Local 597 (MCA Chicago, 2011). According to one analysis, 2 200 jobs will be created by full implementation of the retrofit programme called for by the Chicago Climate Action Plan (Schrock, 2009), but given that this is a small fraction of total construction employment in the region, and because there is currently a large volume of skilled trades people currently unemployed (CWIC-CJC, 2010), it is likely that current training programme will suffice.</t>
  </si>
  <si>
    <t>The international community has created processes for monitoring progress at the regional and global levels, and for countries to exchange policy experiences, to learn from each other, and to coordinate their policies where appropriate. The present chapter contributes to this effort by analyzing how the current innovation policies of Kyrgyzstan contribute to the country’s national sustainable development priorities, comparing current policies to international good practice, and recommending policy reforms that could further encourage innovations contributing to sustainable development. The present chapter focuses on the other two pillars of sustainable development, i.e. environmental sustainability and social inclusiveness. However, it should be noted that failures to address unsustainable practices has a very real economic cost. While no estimates of this cost are available for Kyrgyzstan at present, the World Bank has for instance estimated that for neighboring Tajikistan the direct and indirect economic damage caused by environmental degradation may be as high as 8 percent of GDP.90 Thus the key to sustainable development is to achieve all three dimensions together, rather than achieving one at the expense of the others.</t>
  </si>
  <si>
    <t>sharing knowledge to achieve sustainable development; fixed typo</t>
  </si>
  <si>
    <t>It provides an overview of the financing for development agenda, highlighting the critical role of official development assistance (ODA) for the least developed countries, as well as its catalytic role in higher-income developing countries. The chapter analyses2002-15aggregate aid-for-trade disbursements (around USD 300 billion) and takes a detailed look at aid-for-trade programmes that are building physical and digital connectivity. It offers a brief overview of academic findings on the results of aid-for-trade investments, as well as recent evaluations of donor aid-for-trade strategies and programmes. Case stories show how aid for trade is helping countries improve their physical and digital connectivity, turning trade opportunities into trade flows. Finally, the chapter provides an analysis of aid-for-trade commitments in 2015, closing with a series of conclusions.</t>
  </si>
  <si>
    <t>The DAC are also discussing ways to improve knowledge sharing, promote learning, and incentivise innovation in development co-operation policies and practices. While the details of such a marker are not yet defined, the proposal to add a new marker on innovation signals DAC members’ increasing ambition towards greater innovation in how development co-operation is planned and implemented. While there are many technological developments across many fields, most references in STI policy are linked to the digital transformation and the access and use of modern information, communication technologies (ICTs).</t>
  </si>
  <si>
    <t>There is also scope to strengthen and leverage South-South cooperation in promoting STI development. In 2016, the United Nations held the first Multi-stakeholder Forum on Science, Technology and Innovation for the Sustainable Development Goals as one element of the Technology Facilitation Mechanism and established the Technology Bank for LDCs. For the Technology Bank, it will be critical to establish the financial base as soon as possible to ensure that all LDCs can benefit from the new institution.</t>
  </si>
  <si>
    <t>fixed typo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</si>
</sst>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sz val="17"/>
      <color rgb="FF000000"/>
      <name val="&quot;Arial&quot;"/>
    </font>
    <font>
      <sz val="14"/>
      <color theme="1"/>
      <name val="Arial"/>
      <family val="2"/>
      <scheme val="minor"/>
    </font>
    <font>
      <sz val="10"/>
      <color rgb="FF000000"/>
      <name val="&quot;Arial&quot;"/>
    </font>
    <font>
      <sz val="10"/>
      <color rgb="FF000000"/>
      <name val="Arial"/>
      <family val="2"/>
      <scheme val="minor"/>
    </font>
    <font>
      <sz val="10"/>
      <color theme="1"/>
      <name val="Arial"/>
      <family val="2"/>
      <scheme val="minor"/>
    </font>
    <font>
      <b/>
      <u/>
      <sz val="14"/>
      <color rgb="FF000000"/>
      <name val="Oswald"/>
    </font>
    <font>
      <u/>
      <sz val="10"/>
      <color theme="1"/>
      <name val="Arial"/>
      <family val="2"/>
      <scheme val="minor"/>
    </font>
    <font>
      <i/>
      <sz val="10"/>
      <color theme="1"/>
      <name val="Arial"/>
      <family val="2"/>
      <scheme val="minor"/>
    </font>
    <font>
      <sz val="10"/>
      <color theme="1"/>
      <name val="Arial"/>
      <family val="2"/>
    </font>
    <font>
      <b/>
      <sz val="10"/>
      <color rgb="FF000000"/>
      <name val="&quot;Arial&quot;"/>
    </font>
    <font>
      <b/>
      <sz val="10"/>
      <color rgb="FFFFFFFF"/>
      <name val="Arial"/>
      <family val="2"/>
    </font>
    <font>
      <b/>
      <sz val="10"/>
      <color theme="1"/>
      <name val="Arial"/>
      <family val="2"/>
    </font>
    <font>
      <u/>
      <sz val="10"/>
      <color rgb="FF0000FF"/>
      <name val="Arial"/>
      <family val="2"/>
    </font>
    <font>
      <b/>
      <sz val="10"/>
      <color theme="1"/>
      <name val="Arial"/>
      <family val="2"/>
      <scheme val="minor"/>
    </font>
    <font>
      <sz val="13"/>
      <color theme="1"/>
      <name val="Arial"/>
      <family val="2"/>
      <scheme val="minor"/>
    </font>
    <font>
      <b/>
      <u/>
      <sz val="10"/>
      <color theme="1"/>
      <name val="Arial"/>
      <family val="2"/>
      <scheme val="minor"/>
    </font>
    <font>
      <b/>
      <sz val="10"/>
      <color theme="1"/>
      <name val="Calibri"/>
      <family val="2"/>
    </font>
    <font>
      <b/>
      <sz val="10"/>
      <color theme="1"/>
      <name val="Arial"/>
      <family val="2"/>
      <scheme val="minor"/>
    </font>
    <font>
      <sz val="10"/>
      <color theme="1"/>
      <name val="Calibri"/>
      <family val="2"/>
    </font>
    <font>
      <sz val="11"/>
      <color theme="1"/>
      <name val="Arial"/>
      <family val="2"/>
      <scheme val="minor"/>
    </font>
    <font>
      <sz val="11"/>
      <color rgb="FF000000"/>
      <name val="Calibri"/>
      <family val="2"/>
    </font>
    <font>
      <b/>
      <sz val="10"/>
      <color theme="1"/>
      <name val="Arial"/>
      <family val="2"/>
    </font>
    <font>
      <sz val="10"/>
      <color theme="1"/>
      <name val="Arial"/>
      <family val="2"/>
      <scheme val="minor"/>
    </font>
    <font>
      <sz val="9"/>
      <color theme="1"/>
      <name val="Arial"/>
      <family val="2"/>
      <scheme val="minor"/>
    </font>
    <font>
      <b/>
      <sz val="9"/>
      <color theme="1"/>
      <name val="Arial"/>
      <family val="2"/>
      <scheme val="minor"/>
    </font>
    <font>
      <u/>
      <sz val="10"/>
      <color theme="1"/>
      <name val="Arial"/>
      <family val="2"/>
    </font>
    <font>
      <b/>
      <u/>
      <sz val="10"/>
      <color theme="1"/>
      <name val="Arial"/>
      <family val="2"/>
    </font>
  </fonts>
  <fills count="3">
    <fill>
      <patternFill patternType="none"/>
    </fill>
    <fill>
      <patternFill patternType="gray125"/>
    </fill>
    <fill>
      <patternFill patternType="solid">
        <fgColor rgb="FF19486A"/>
        <bgColor rgb="FF19486A"/>
      </patternFill>
    </fill>
  </fills>
  <borders count="6">
    <border>
      <left/>
      <right/>
      <top/>
      <bottom/>
      <diagonal/>
    </border>
    <border>
      <left/>
      <right style="thin">
        <color rgb="FF999999"/>
      </right>
      <top/>
      <bottom/>
      <diagonal/>
    </border>
    <border>
      <left/>
      <right style="thin">
        <color rgb="FF999999"/>
      </right>
      <top style="thin">
        <color rgb="FF999999"/>
      </top>
      <bottom style="thin">
        <color rgb="FF999999"/>
      </bottom>
      <diagonal/>
    </border>
    <border>
      <left/>
      <right style="thin">
        <color rgb="FF999999"/>
      </right>
      <top/>
      <bottom style="thin">
        <color rgb="FF999999"/>
      </bottom>
      <diagonal/>
    </border>
    <border>
      <left style="thick">
        <color rgb="FF000000"/>
      </left>
      <right/>
      <top/>
      <bottom/>
      <diagonal/>
    </border>
    <border>
      <left style="thin">
        <color rgb="FF000000"/>
      </left>
      <right/>
      <top/>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horizontal="center"/>
    </xf>
    <xf numFmtId="0" fontId="5" fillId="0" borderId="0" xfId="0" applyFont="1" applyAlignment="1">
      <alignment vertical="center" wrapText="1"/>
    </xf>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10" fillId="0" borderId="0" xfId="0" applyFont="1"/>
    <xf numFmtId="0" fontId="9" fillId="0" borderId="1" xfId="0" applyFont="1" applyBorder="1"/>
    <xf numFmtId="0" fontId="11" fillId="2" borderId="2" xfId="0" applyFont="1" applyFill="1" applyBorder="1" applyAlignment="1">
      <alignment horizontal="center" vertical="center"/>
    </xf>
    <xf numFmtId="0" fontId="12" fillId="0" borderId="2" xfId="0" applyFont="1" applyBorder="1"/>
    <xf numFmtId="0" fontId="11" fillId="2" borderId="3" xfId="0" applyFont="1" applyFill="1" applyBorder="1" applyAlignment="1">
      <alignment horizontal="center" vertical="center" wrapText="1"/>
    </xf>
    <xf numFmtId="0" fontId="9" fillId="0" borderId="3" xfId="0" applyFont="1" applyBorder="1" applyAlignment="1">
      <alignment wrapText="1"/>
    </xf>
    <xf numFmtId="0" fontId="13" fillId="0" borderId="0" xfId="0" applyFont="1"/>
    <xf numFmtId="0" fontId="14" fillId="0" borderId="0" xfId="0" applyFont="1"/>
    <xf numFmtId="0" fontId="0" fillId="0" borderId="0" xfId="0" applyAlignment="1">
      <alignment horizontal="right"/>
    </xf>
    <xf numFmtId="0" fontId="15" fillId="0" borderId="0" xfId="0" applyFont="1"/>
    <xf numFmtId="0" fontId="16" fillId="0" borderId="0" xfId="0" applyFont="1"/>
    <xf numFmtId="0" fontId="17" fillId="0" borderId="0" xfId="0" applyFont="1"/>
    <xf numFmtId="0" fontId="17" fillId="0" borderId="0" xfId="0" applyFont="1" applyAlignment="1">
      <alignment wrapText="1"/>
    </xf>
    <xf numFmtId="0" fontId="18" fillId="0" borderId="0" xfId="0" applyFont="1" applyAlignment="1">
      <alignment horizontal="center"/>
    </xf>
    <xf numFmtId="0" fontId="19" fillId="0" borderId="0" xfId="0" applyFont="1"/>
    <xf numFmtId="0" fontId="19" fillId="0" borderId="0" xfId="0" applyFont="1" applyAlignment="1">
      <alignment wrapText="1"/>
    </xf>
    <xf numFmtId="0" fontId="20" fillId="0" borderId="0" xfId="0" applyFont="1" applyAlignment="1">
      <alignment horizontal="center" vertical="center"/>
    </xf>
    <xf numFmtId="0" fontId="21" fillId="0" borderId="0" xfId="0" applyFont="1"/>
    <xf numFmtId="0" fontId="12" fillId="0" borderId="0" xfId="0" applyFont="1"/>
    <xf numFmtId="0" fontId="12" fillId="0" borderId="0" xfId="0" applyFont="1" applyAlignment="1">
      <alignment horizontal="right"/>
    </xf>
    <xf numFmtId="0" fontId="9" fillId="0" borderId="0" xfId="0" applyFont="1" applyAlignment="1">
      <alignment horizontal="right"/>
    </xf>
    <xf numFmtId="0" fontId="9" fillId="0" borderId="0" xfId="0" applyFont="1" applyAlignment="1">
      <alignment horizontal="center"/>
    </xf>
    <xf numFmtId="0" fontId="12" fillId="0" borderId="0" xfId="0" applyFont="1" applyAlignment="1">
      <alignment horizontal="center"/>
    </xf>
    <xf numFmtId="0" fontId="22" fillId="0" borderId="0" xfId="0" applyFont="1"/>
    <xf numFmtId="0" fontId="14" fillId="0" borderId="4" xfId="0" applyFont="1" applyBorder="1" applyAlignment="1">
      <alignment horizontal="center"/>
    </xf>
    <xf numFmtId="10" fontId="23" fillId="0" borderId="0" xfId="0" applyNumberFormat="1" applyFont="1"/>
    <xf numFmtId="10" fontId="24" fillId="0" borderId="0" xfId="0" applyNumberFormat="1" applyFont="1"/>
    <xf numFmtId="0" fontId="5" fillId="0" borderId="4" xfId="0" applyFont="1" applyBorder="1" applyAlignment="1">
      <alignment horizontal="center"/>
    </xf>
    <xf numFmtId="0" fontId="5" fillId="0" borderId="0" xfId="0" applyFont="1" applyAlignment="1">
      <alignment horizontal="center" vertical="center"/>
    </xf>
    <xf numFmtId="0" fontId="5" fillId="0" borderId="5" xfId="0" applyFont="1" applyBorder="1"/>
    <xf numFmtId="0" fontId="25" fillId="0" borderId="0" xfId="0" applyFont="1"/>
    <xf numFmtId="0" fontId="24" fillId="0" borderId="0" xfId="0" applyFont="1"/>
  </cellXfs>
  <cellStyles count="1">
    <cellStyle name="Normal" xfId="0" builtinId="0"/>
  </cellStyles>
  <dxfs count="4">
    <dxf>
      <fill>
        <patternFill patternType="solid">
          <fgColor rgb="FF6D9EEB"/>
          <bgColor rgb="FF6D9EEB"/>
        </patternFill>
      </fill>
    </dxf>
    <dxf>
      <font>
        <color rgb="FFB7B7B7"/>
      </font>
      <fill>
        <patternFill patternType="none"/>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workbookViewId="0"/>
  </sheetViews>
  <sheetFormatPr defaultColWidth="12.5703125" defaultRowHeight="15.75" customHeight="1"/>
  <cols>
    <col min="1" max="1" width="3.5703125" customWidth="1"/>
    <col min="2" max="2" width="19.28515625" customWidth="1"/>
    <col min="3" max="3" width="83.7109375" customWidth="1"/>
  </cols>
  <sheetData>
    <row r="1" spans="1:2" ht="15.75" customHeight="1">
      <c r="A1" s="1"/>
    </row>
    <row r="2" spans="1:2" ht="15.75" customHeight="1">
      <c r="B2" s="2" t="s">
        <v>0</v>
      </c>
    </row>
    <row r="3" spans="1:2">
      <c r="B3" s="3"/>
    </row>
    <row r="4" spans="1:2">
      <c r="B4" s="4" t="s">
        <v>1</v>
      </c>
    </row>
    <row r="5" spans="1:2">
      <c r="B5" s="5" t="s">
        <v>2</v>
      </c>
    </row>
    <row r="6" spans="1:2">
      <c r="B6" s="5"/>
    </row>
    <row r="7" spans="1:2" ht="15.75" customHeight="1">
      <c r="B7" s="6" t="s">
        <v>3</v>
      </c>
    </row>
    <row r="8" spans="1:2">
      <c r="B8" s="5" t="s">
        <v>4</v>
      </c>
    </row>
    <row r="9" spans="1:2">
      <c r="B9" s="5" t="s">
        <v>5</v>
      </c>
    </row>
    <row r="10" spans="1:2">
      <c r="B10" s="5" t="s">
        <v>6</v>
      </c>
    </row>
    <row r="11" spans="1:2">
      <c r="B11" s="5" t="s">
        <v>7</v>
      </c>
    </row>
    <row r="12" spans="1:2">
      <c r="B12" s="5" t="s">
        <v>8</v>
      </c>
    </row>
    <row r="13" spans="1:2">
      <c r="B13" s="5"/>
    </row>
    <row r="14" spans="1:2" ht="15.75" customHeight="1">
      <c r="B14" s="6" t="s">
        <v>9</v>
      </c>
    </row>
    <row r="15" spans="1:2">
      <c r="B15" s="5" t="s">
        <v>10</v>
      </c>
    </row>
    <row r="16" spans="1:2">
      <c r="B16" s="5" t="s">
        <v>11</v>
      </c>
    </row>
    <row r="17" spans="2:3">
      <c r="B17" s="5"/>
      <c r="C17" s="5"/>
    </row>
    <row r="18" spans="2:3">
      <c r="B18" s="7" t="b">
        <v>1</v>
      </c>
      <c r="C18" s="5" t="s">
        <v>12</v>
      </c>
    </row>
    <row r="19" spans="2:3">
      <c r="B19" s="7" t="b">
        <v>0</v>
      </c>
      <c r="C19" s="5" t="s">
        <v>13</v>
      </c>
    </row>
    <row r="20" spans="2:3">
      <c r="B20" s="7" t="s">
        <v>14</v>
      </c>
      <c r="C20" s="5" t="s">
        <v>15</v>
      </c>
    </row>
    <row r="22" spans="2:3">
      <c r="B22" s="5" t="s">
        <v>16</v>
      </c>
    </row>
    <row r="24" spans="2:3" ht="15.75" customHeight="1">
      <c r="B24" s="6" t="s">
        <v>17</v>
      </c>
    </row>
    <row r="25" spans="2:3">
      <c r="B25" s="5" t="s">
        <v>18</v>
      </c>
      <c r="C25" s="8"/>
    </row>
    <row r="26" spans="2:3">
      <c r="B26" s="9"/>
      <c r="C26" s="8"/>
    </row>
    <row r="27" spans="2:3">
      <c r="B27" s="9" t="s">
        <v>19</v>
      </c>
      <c r="C27" s="8"/>
    </row>
    <row r="28" spans="2:3">
      <c r="B28" s="5" t="s">
        <v>20</v>
      </c>
      <c r="C28" s="8"/>
    </row>
    <row r="29" spans="2:3">
      <c r="B29" s="5"/>
      <c r="C29" s="8"/>
    </row>
    <row r="30" spans="2:3">
      <c r="B30" s="10" t="s">
        <v>21</v>
      </c>
      <c r="C30" s="8"/>
    </row>
    <row r="31" spans="2:3">
      <c r="B31" s="5"/>
      <c r="C31" s="8"/>
    </row>
    <row r="32" spans="2:3">
      <c r="B32" s="9" t="s">
        <v>22</v>
      </c>
      <c r="C32" s="8"/>
    </row>
    <row r="33" spans="1:26">
      <c r="B33" s="5" t="s">
        <v>23</v>
      </c>
      <c r="C33" s="8"/>
    </row>
    <row r="34" spans="1:26">
      <c r="B34" s="5" t="s">
        <v>24</v>
      </c>
      <c r="C34" s="8"/>
    </row>
    <row r="35" spans="1:26" ht="12.75">
      <c r="C35" s="8"/>
    </row>
    <row r="36" spans="1:26" ht="12.75">
      <c r="B36" s="10" t="s">
        <v>21</v>
      </c>
      <c r="C36" s="8"/>
    </row>
    <row r="37" spans="1:26" ht="12.75">
      <c r="C37" s="8"/>
    </row>
    <row r="38" spans="1:26" ht="12.75">
      <c r="B38" s="9" t="s">
        <v>25</v>
      </c>
      <c r="C38" s="8"/>
    </row>
    <row r="39" spans="1:26" ht="12.75">
      <c r="B39" s="5" t="s">
        <v>26</v>
      </c>
      <c r="C39" s="8"/>
    </row>
    <row r="40" spans="1:26" ht="12.75">
      <c r="A40" s="11"/>
      <c r="B40" s="11" t="s">
        <v>27</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2.75">
      <c r="C41" s="8"/>
    </row>
    <row r="42" spans="1:26" ht="12.75">
      <c r="B42" s="9" t="s">
        <v>28</v>
      </c>
      <c r="C42" s="12"/>
    </row>
    <row r="43" spans="1:26" ht="12.75">
      <c r="B43" s="5" t="s">
        <v>29</v>
      </c>
    </row>
    <row r="44" spans="1:26" ht="12.75">
      <c r="B44" s="5" t="s">
        <v>30</v>
      </c>
    </row>
    <row r="45" spans="1:26" ht="12.75">
      <c r="B45" s="13"/>
    </row>
    <row r="46" spans="1:26" ht="12.75">
      <c r="B46" s="3" t="s">
        <v>31</v>
      </c>
    </row>
    <row r="48" spans="1:26" ht="29.25">
      <c r="B48" s="6" t="s">
        <v>32</v>
      </c>
    </row>
    <row r="49" spans="1:26" ht="12.75">
      <c r="A49" s="14"/>
      <c r="B49" s="15" t="s">
        <v>33</v>
      </c>
      <c r="C49" s="16" t="s">
        <v>34</v>
      </c>
      <c r="D49" s="11"/>
      <c r="E49" s="11"/>
      <c r="F49" s="11"/>
      <c r="G49" s="11"/>
      <c r="H49" s="11"/>
      <c r="I49" s="11"/>
      <c r="J49" s="11"/>
      <c r="K49" s="11"/>
      <c r="L49" s="11"/>
      <c r="M49" s="11"/>
      <c r="N49" s="11"/>
      <c r="O49" s="11"/>
      <c r="P49" s="11"/>
      <c r="Q49" s="11"/>
      <c r="R49" s="11"/>
      <c r="S49" s="11"/>
      <c r="T49" s="11"/>
      <c r="U49" s="11"/>
      <c r="V49" s="11"/>
      <c r="W49" s="11"/>
      <c r="X49" s="11"/>
      <c r="Y49" s="11"/>
      <c r="Z49" s="11"/>
    </row>
    <row r="50" spans="1:26" ht="25.5">
      <c r="A50" s="14"/>
      <c r="B50" s="17" t="s">
        <v>35</v>
      </c>
      <c r="C50" s="18" t="s">
        <v>36</v>
      </c>
      <c r="D50" s="11"/>
      <c r="E50" s="11"/>
      <c r="F50" s="11"/>
      <c r="G50" s="11"/>
      <c r="H50" s="11"/>
      <c r="I50" s="11"/>
      <c r="J50" s="11"/>
      <c r="K50" s="11"/>
      <c r="L50" s="11"/>
      <c r="M50" s="11"/>
      <c r="N50" s="11"/>
      <c r="O50" s="11"/>
      <c r="P50" s="11"/>
      <c r="Q50" s="11"/>
      <c r="R50" s="11"/>
      <c r="S50" s="11"/>
      <c r="T50" s="11"/>
      <c r="U50" s="11"/>
      <c r="V50" s="11"/>
      <c r="W50" s="11"/>
      <c r="X50" s="11"/>
      <c r="Y50" s="11"/>
      <c r="Z50" s="11"/>
    </row>
    <row r="51" spans="1:26" ht="63.75">
      <c r="A51" s="14"/>
      <c r="B51" s="17" t="s">
        <v>37</v>
      </c>
      <c r="C51" s="18" t="s">
        <v>38</v>
      </c>
      <c r="D51" s="11"/>
      <c r="E51" s="11"/>
      <c r="F51" s="11"/>
      <c r="G51" s="11"/>
      <c r="H51" s="11"/>
      <c r="I51" s="11"/>
      <c r="J51" s="11"/>
      <c r="K51" s="11"/>
      <c r="L51" s="11"/>
      <c r="M51" s="11"/>
      <c r="N51" s="11"/>
      <c r="O51" s="11"/>
      <c r="P51" s="11"/>
      <c r="Q51" s="11"/>
      <c r="R51" s="11"/>
      <c r="S51" s="11"/>
      <c r="T51" s="11"/>
      <c r="U51" s="11"/>
      <c r="V51" s="11"/>
      <c r="W51" s="11"/>
      <c r="X51" s="11"/>
      <c r="Y51" s="11"/>
      <c r="Z51" s="11"/>
    </row>
    <row r="52" spans="1:26" ht="12.75">
      <c r="A52" s="14"/>
      <c r="B52" s="17" t="s">
        <v>39</v>
      </c>
      <c r="C52" s="18" t="s">
        <v>40</v>
      </c>
      <c r="D52" s="11"/>
      <c r="E52" s="11"/>
      <c r="F52" s="11"/>
      <c r="G52" s="11"/>
      <c r="H52" s="11"/>
      <c r="I52" s="11"/>
      <c r="J52" s="11"/>
      <c r="K52" s="11"/>
      <c r="L52" s="11"/>
      <c r="M52" s="11"/>
      <c r="N52" s="11"/>
      <c r="O52" s="11"/>
      <c r="P52" s="11"/>
      <c r="Q52" s="11"/>
      <c r="R52" s="11"/>
      <c r="S52" s="11"/>
      <c r="T52" s="11"/>
      <c r="U52" s="11"/>
      <c r="V52" s="11"/>
      <c r="W52" s="11"/>
      <c r="X52" s="11"/>
      <c r="Y52" s="11"/>
      <c r="Z52" s="11"/>
    </row>
    <row r="53" spans="1:26" ht="38.25">
      <c r="A53" s="14"/>
      <c r="B53" s="17" t="s">
        <v>41</v>
      </c>
      <c r="C53" s="18" t="s">
        <v>42</v>
      </c>
      <c r="D53" s="11"/>
      <c r="E53" s="11"/>
      <c r="F53" s="11"/>
      <c r="G53" s="11"/>
      <c r="H53" s="11"/>
      <c r="I53" s="11"/>
      <c r="J53" s="11"/>
      <c r="K53" s="11"/>
      <c r="L53" s="11"/>
      <c r="M53" s="11"/>
      <c r="N53" s="11"/>
      <c r="O53" s="11"/>
      <c r="P53" s="11"/>
      <c r="Q53" s="11"/>
      <c r="R53" s="11"/>
      <c r="S53" s="11"/>
      <c r="T53" s="11"/>
      <c r="U53" s="11"/>
      <c r="V53" s="11"/>
      <c r="W53" s="11"/>
      <c r="X53" s="11"/>
      <c r="Y53" s="11"/>
      <c r="Z53" s="11"/>
    </row>
    <row r="54" spans="1:26" ht="12.75">
      <c r="A54" s="14"/>
      <c r="B54" s="17" t="s">
        <v>43</v>
      </c>
      <c r="C54" s="18" t="s">
        <v>44</v>
      </c>
      <c r="D54" s="11"/>
      <c r="E54" s="11"/>
      <c r="F54" s="11"/>
      <c r="G54" s="11"/>
      <c r="H54" s="11"/>
      <c r="I54" s="11"/>
      <c r="J54" s="11"/>
      <c r="K54" s="11"/>
      <c r="L54" s="11"/>
      <c r="M54" s="11"/>
      <c r="N54" s="11"/>
      <c r="O54" s="11"/>
      <c r="P54" s="11"/>
      <c r="Q54" s="11"/>
      <c r="R54" s="11"/>
      <c r="S54" s="11"/>
      <c r="T54" s="11"/>
      <c r="U54" s="11"/>
      <c r="V54" s="11"/>
      <c r="W54" s="11"/>
      <c r="X54" s="11"/>
      <c r="Y54" s="11"/>
      <c r="Z54" s="11"/>
    </row>
    <row r="55" spans="1:26" ht="51">
      <c r="A55" s="14"/>
      <c r="B55" s="17" t="s">
        <v>45</v>
      </c>
      <c r="C55" s="18" t="s">
        <v>46</v>
      </c>
      <c r="D55" s="11"/>
      <c r="E55" s="11"/>
      <c r="F55" s="11"/>
      <c r="G55" s="11"/>
      <c r="H55" s="11"/>
      <c r="I55" s="11"/>
      <c r="J55" s="11"/>
      <c r="K55" s="11"/>
      <c r="L55" s="11"/>
      <c r="M55" s="11"/>
      <c r="N55" s="11"/>
      <c r="O55" s="11"/>
      <c r="P55" s="11"/>
      <c r="Q55" s="11"/>
      <c r="R55" s="11"/>
      <c r="S55" s="11"/>
      <c r="T55" s="11"/>
      <c r="U55" s="11"/>
      <c r="V55" s="11"/>
      <c r="W55" s="11"/>
      <c r="X55" s="11"/>
      <c r="Y55" s="11"/>
      <c r="Z55" s="11"/>
    </row>
    <row r="56" spans="1:26" ht="38.25">
      <c r="A56" s="14"/>
      <c r="B56" s="17" t="s">
        <v>47</v>
      </c>
      <c r="C56" s="18" t="s">
        <v>48</v>
      </c>
      <c r="D56" s="11"/>
      <c r="E56" s="11"/>
      <c r="F56" s="11"/>
      <c r="G56" s="11"/>
      <c r="H56" s="11"/>
      <c r="I56" s="11"/>
      <c r="J56" s="11"/>
      <c r="K56" s="11"/>
      <c r="L56" s="11"/>
      <c r="M56" s="11"/>
      <c r="N56" s="11"/>
      <c r="O56" s="11"/>
      <c r="P56" s="11"/>
      <c r="Q56" s="11"/>
      <c r="R56" s="11"/>
      <c r="S56" s="11"/>
      <c r="T56" s="11"/>
      <c r="U56" s="11"/>
      <c r="V56" s="11"/>
      <c r="W56" s="11"/>
      <c r="X56" s="11"/>
      <c r="Y56" s="11"/>
      <c r="Z56" s="11"/>
    </row>
    <row r="57" spans="1:26" ht="38.25">
      <c r="A57" s="14"/>
      <c r="B57" s="17" t="s">
        <v>49</v>
      </c>
      <c r="C57" s="18" t="s">
        <v>50</v>
      </c>
      <c r="D57" s="11"/>
      <c r="E57" s="11"/>
      <c r="F57" s="11"/>
      <c r="G57" s="11"/>
      <c r="H57" s="11"/>
      <c r="I57" s="11"/>
      <c r="J57" s="11"/>
      <c r="K57" s="11"/>
      <c r="L57" s="11"/>
      <c r="M57" s="11"/>
      <c r="N57" s="11"/>
      <c r="O57" s="11"/>
      <c r="P57" s="11"/>
      <c r="Q57" s="11"/>
      <c r="R57" s="11"/>
      <c r="S57" s="11"/>
      <c r="T57" s="11"/>
      <c r="U57" s="11"/>
      <c r="V57" s="11"/>
      <c r="W57" s="11"/>
      <c r="X57" s="11"/>
      <c r="Y57" s="11"/>
      <c r="Z57" s="11"/>
    </row>
    <row r="58" spans="1:26" ht="38.25">
      <c r="A58" s="14"/>
      <c r="B58" s="17" t="s">
        <v>51</v>
      </c>
      <c r="C58" s="18" t="s">
        <v>52</v>
      </c>
      <c r="D58" s="11"/>
      <c r="E58" s="11"/>
      <c r="F58" s="11"/>
      <c r="G58" s="11"/>
      <c r="H58" s="11"/>
      <c r="I58" s="11"/>
      <c r="J58" s="11"/>
      <c r="K58" s="11"/>
      <c r="L58" s="11"/>
      <c r="M58" s="11"/>
      <c r="N58" s="11"/>
      <c r="O58" s="11"/>
      <c r="P58" s="11"/>
      <c r="Q58" s="11"/>
      <c r="R58" s="11"/>
      <c r="S58" s="11"/>
      <c r="T58" s="11"/>
      <c r="U58" s="11"/>
      <c r="V58" s="11"/>
      <c r="W58" s="11"/>
      <c r="X58" s="11"/>
      <c r="Y58" s="11"/>
      <c r="Z58" s="11"/>
    </row>
    <row r="59" spans="1:26" ht="38.25">
      <c r="A59" s="14"/>
      <c r="B59" s="17" t="s">
        <v>53</v>
      </c>
      <c r="C59" s="18" t="s">
        <v>54</v>
      </c>
      <c r="D59" s="11"/>
      <c r="E59" s="11"/>
      <c r="F59" s="11"/>
      <c r="G59" s="11"/>
      <c r="H59" s="11"/>
      <c r="I59" s="11"/>
      <c r="J59" s="11"/>
      <c r="K59" s="11"/>
      <c r="L59" s="11"/>
      <c r="M59" s="11"/>
      <c r="N59" s="11"/>
      <c r="O59" s="11"/>
      <c r="P59" s="11"/>
      <c r="Q59" s="11"/>
      <c r="R59" s="11"/>
      <c r="S59" s="11"/>
      <c r="T59" s="11"/>
      <c r="U59" s="11"/>
      <c r="V59" s="11"/>
      <c r="W59" s="11"/>
      <c r="X59" s="11"/>
      <c r="Y59" s="11"/>
      <c r="Z59" s="11"/>
    </row>
    <row r="60" spans="1:26" ht="25.5">
      <c r="A60" s="14"/>
      <c r="B60" s="17" t="s">
        <v>55</v>
      </c>
      <c r="C60" s="18" t="s">
        <v>56</v>
      </c>
      <c r="D60" s="11"/>
      <c r="E60" s="11"/>
      <c r="F60" s="11"/>
      <c r="G60" s="11"/>
      <c r="H60" s="11"/>
      <c r="I60" s="11"/>
      <c r="J60" s="11"/>
      <c r="K60" s="11"/>
      <c r="L60" s="11"/>
      <c r="M60" s="11"/>
      <c r="N60" s="11"/>
      <c r="O60" s="11"/>
      <c r="P60" s="11"/>
      <c r="Q60" s="11"/>
      <c r="R60" s="11"/>
      <c r="S60" s="11"/>
      <c r="T60" s="11"/>
      <c r="U60" s="11"/>
      <c r="V60" s="11"/>
      <c r="W60" s="11"/>
      <c r="X60" s="11"/>
      <c r="Y60" s="11"/>
      <c r="Z60" s="11"/>
    </row>
    <row r="61" spans="1:26" ht="51">
      <c r="A61" s="14"/>
      <c r="B61" s="17" t="s">
        <v>57</v>
      </c>
      <c r="C61" s="18" t="s">
        <v>58</v>
      </c>
      <c r="D61" s="11"/>
      <c r="E61" s="11"/>
      <c r="F61" s="11"/>
      <c r="G61" s="11"/>
      <c r="H61" s="11"/>
      <c r="I61" s="11"/>
      <c r="J61" s="11"/>
      <c r="K61" s="11"/>
      <c r="L61" s="11"/>
      <c r="M61" s="11"/>
      <c r="N61" s="11"/>
      <c r="O61" s="11"/>
      <c r="P61" s="11"/>
      <c r="Q61" s="11"/>
      <c r="R61" s="11"/>
      <c r="S61" s="11"/>
      <c r="T61" s="11"/>
      <c r="U61" s="11"/>
      <c r="V61" s="11"/>
      <c r="W61" s="11"/>
      <c r="X61" s="11"/>
      <c r="Y61" s="11"/>
      <c r="Z61" s="11"/>
    </row>
    <row r="62" spans="1:26" ht="25.5">
      <c r="A62" s="11"/>
      <c r="B62" s="17" t="s">
        <v>59</v>
      </c>
      <c r="C62" s="18" t="s">
        <v>60</v>
      </c>
      <c r="D62" s="11"/>
      <c r="E62" s="11"/>
      <c r="F62" s="11"/>
      <c r="G62" s="11"/>
      <c r="H62" s="11"/>
      <c r="I62" s="11"/>
      <c r="J62" s="11"/>
      <c r="K62" s="11"/>
      <c r="L62" s="11"/>
      <c r="M62" s="11"/>
      <c r="N62" s="11"/>
      <c r="O62" s="11"/>
      <c r="P62" s="11"/>
      <c r="Q62" s="11"/>
      <c r="R62" s="11"/>
      <c r="S62" s="11"/>
      <c r="T62" s="11"/>
      <c r="U62" s="11"/>
      <c r="V62" s="11"/>
      <c r="W62" s="11"/>
      <c r="X62" s="11"/>
      <c r="Y62" s="11"/>
      <c r="Z62" s="11"/>
    </row>
    <row r="63" spans="1:26" ht="12.75">
      <c r="A63" s="11"/>
      <c r="B63" s="17" t="s">
        <v>61</v>
      </c>
      <c r="C63" s="18" t="s">
        <v>62</v>
      </c>
      <c r="D63" s="11"/>
      <c r="E63" s="11"/>
      <c r="F63" s="11"/>
      <c r="G63" s="11"/>
      <c r="H63" s="11"/>
      <c r="I63" s="11"/>
      <c r="J63" s="11"/>
      <c r="K63" s="11"/>
      <c r="L63" s="11"/>
      <c r="M63" s="11"/>
      <c r="N63" s="11"/>
      <c r="O63" s="11"/>
      <c r="P63" s="11"/>
      <c r="Q63" s="11"/>
      <c r="R63" s="11"/>
      <c r="S63" s="11"/>
      <c r="T63" s="11"/>
      <c r="U63" s="11"/>
      <c r="V63" s="11"/>
      <c r="W63" s="11"/>
      <c r="X63" s="11"/>
      <c r="Y63" s="11"/>
      <c r="Z63" s="11"/>
    </row>
    <row r="64" spans="1:26" ht="25.5">
      <c r="A64" s="11"/>
      <c r="B64" s="17" t="s">
        <v>63</v>
      </c>
      <c r="C64" s="18" t="s">
        <v>64</v>
      </c>
      <c r="D64" s="11"/>
      <c r="E64" s="11"/>
      <c r="F64" s="11"/>
      <c r="G64" s="11"/>
      <c r="H64" s="11"/>
      <c r="I64" s="11"/>
      <c r="J64" s="11"/>
      <c r="K64" s="11"/>
      <c r="L64" s="11"/>
      <c r="M64" s="11"/>
      <c r="N64" s="11"/>
      <c r="O64" s="11"/>
      <c r="P64" s="11"/>
      <c r="Q64" s="11"/>
      <c r="R64" s="11"/>
      <c r="S64" s="11"/>
      <c r="T64" s="11"/>
      <c r="U64" s="11"/>
      <c r="V64" s="11"/>
      <c r="W64" s="11"/>
      <c r="X64" s="11"/>
      <c r="Y64" s="11"/>
      <c r="Z64" s="11"/>
    </row>
    <row r="65" spans="1:26" ht="51">
      <c r="A65" s="11"/>
      <c r="B65" s="17" t="s">
        <v>65</v>
      </c>
      <c r="C65" s="18" t="s">
        <v>66</v>
      </c>
      <c r="D65" s="11"/>
      <c r="E65" s="11"/>
      <c r="F65" s="11"/>
      <c r="G65" s="11"/>
      <c r="H65" s="11"/>
      <c r="I65" s="11"/>
      <c r="J65" s="11"/>
      <c r="K65" s="11"/>
      <c r="L65" s="11"/>
      <c r="M65" s="11"/>
      <c r="N65" s="11"/>
      <c r="O65" s="11"/>
      <c r="P65" s="11"/>
      <c r="Q65" s="11"/>
      <c r="R65" s="11"/>
      <c r="S65" s="11"/>
      <c r="T65" s="11"/>
      <c r="U65" s="11"/>
      <c r="V65" s="11"/>
      <c r="W65" s="11"/>
      <c r="X65" s="11"/>
      <c r="Y65" s="11"/>
      <c r="Z65" s="11"/>
    </row>
    <row r="66" spans="1:26" ht="25.5">
      <c r="A66" s="11"/>
      <c r="B66" s="17" t="s">
        <v>67</v>
      </c>
      <c r="C66" s="18" t="s">
        <v>68</v>
      </c>
      <c r="D66" s="11"/>
      <c r="E66" s="11"/>
      <c r="F66" s="11"/>
      <c r="G66" s="11"/>
      <c r="H66" s="11"/>
      <c r="I66" s="11"/>
      <c r="J66" s="11"/>
      <c r="K66" s="11"/>
      <c r="L66" s="11"/>
      <c r="M66" s="11"/>
      <c r="N66" s="11"/>
      <c r="O66" s="11"/>
      <c r="P66" s="11"/>
      <c r="Q66" s="11"/>
      <c r="R66" s="11"/>
      <c r="S66" s="11"/>
      <c r="T66" s="11"/>
      <c r="U66" s="11"/>
      <c r="V66" s="11"/>
      <c r="W66" s="11"/>
      <c r="X66" s="11"/>
      <c r="Y66" s="11"/>
      <c r="Z66" s="11"/>
    </row>
    <row r="67" spans="1:26" ht="51">
      <c r="A67" s="11"/>
      <c r="B67" s="17" t="s">
        <v>69</v>
      </c>
      <c r="C67" s="18" t="s">
        <v>70</v>
      </c>
      <c r="D67" s="11"/>
      <c r="E67" s="11"/>
      <c r="F67" s="11"/>
      <c r="G67" s="11"/>
      <c r="H67" s="11"/>
      <c r="I67" s="11"/>
      <c r="J67" s="11"/>
      <c r="K67" s="11"/>
      <c r="L67" s="11"/>
      <c r="M67" s="11"/>
      <c r="N67" s="11"/>
      <c r="O67" s="11"/>
      <c r="P67" s="11"/>
      <c r="Q67" s="11"/>
      <c r="R67" s="11"/>
      <c r="S67" s="11"/>
      <c r="T67" s="11"/>
      <c r="U67" s="11"/>
      <c r="V67" s="11"/>
      <c r="W67" s="11"/>
      <c r="X67" s="11"/>
      <c r="Y67" s="11"/>
      <c r="Z67" s="11"/>
    </row>
    <row r="68" spans="1:26" ht="38.25">
      <c r="A68" s="11"/>
      <c r="B68" s="17" t="s">
        <v>71</v>
      </c>
      <c r="C68" s="18" t="s">
        <v>72</v>
      </c>
      <c r="D68" s="11"/>
      <c r="E68" s="11"/>
      <c r="F68" s="11"/>
      <c r="G68" s="11"/>
      <c r="H68" s="11"/>
      <c r="I68" s="11"/>
      <c r="J68" s="11"/>
      <c r="K68" s="11"/>
      <c r="L68" s="11"/>
      <c r="M68" s="11"/>
      <c r="N68" s="11"/>
      <c r="O68" s="11"/>
      <c r="P68" s="11"/>
      <c r="Q68" s="11"/>
      <c r="R68" s="11"/>
      <c r="S68" s="11"/>
      <c r="T68" s="11"/>
      <c r="U68" s="11"/>
      <c r="V68" s="11"/>
      <c r="W68" s="11"/>
      <c r="X68" s="11"/>
      <c r="Y68" s="11"/>
      <c r="Z68" s="11"/>
    </row>
    <row r="69" spans="1:26" ht="12.75">
      <c r="B69" s="19" t="s">
        <v>73</v>
      </c>
    </row>
    <row r="71" spans="1:26" ht="29.25">
      <c r="B71" s="6" t="s">
        <v>74</v>
      </c>
    </row>
    <row r="72" spans="1:26" ht="12.75">
      <c r="B72" s="5" t="s">
        <v>75</v>
      </c>
    </row>
    <row r="73" spans="1:26" ht="12.75">
      <c r="B73" s="5"/>
    </row>
    <row r="74" spans="1:26" ht="12.75">
      <c r="B74" s="20" t="s">
        <v>76</v>
      </c>
      <c r="C74" s="20" t="s">
        <v>77</v>
      </c>
    </row>
    <row r="75" spans="1:26" ht="12.75">
      <c r="B75" s="19" t="s">
        <v>78</v>
      </c>
      <c r="C75" s="5" t="str">
        <f ca="1">IFERROR(__xludf.DUMMYFUNCTION("SPARKLINE((100-COUNTIF(INDIRECT(B75&amp;""!C:C""), ""TO DO""))/100+0.01,{""charttype"",""bar"";""max"",1.01;""min"",0; ""color1"", ""#4285f4""})"),"")</f>
        <v/>
      </c>
      <c r="D75" s="21" t="str">
        <f t="shared" ref="D75:D80" ca="1" si="0">(100-COUNTIF(INDIRECT(B75&amp;"!C:C"), "TO DO")) &amp; " / 100"</f>
        <v>100 / 100</v>
      </c>
    </row>
    <row r="76" spans="1:26" ht="12.75">
      <c r="B76" s="19" t="s">
        <v>79</v>
      </c>
      <c r="C76" s="5" t="str">
        <f ca="1">IFERROR(__xludf.DUMMYFUNCTION("SPARKLINE((100-COUNTIF(INDIRECT(B76&amp;""!C:C""), ""TO DO""))/100+0.01,{""charttype"",""bar"";""max"",1.01;""min"",0; ""color1"", ""#4285f4""})"),"")</f>
        <v/>
      </c>
      <c r="D76" s="21" t="str">
        <f t="shared" ca="1" si="0"/>
        <v>11 / 100</v>
      </c>
    </row>
    <row r="77" spans="1:26" ht="12.75">
      <c r="B77" s="19" t="s">
        <v>80</v>
      </c>
      <c r="C77" s="5" t="str">
        <f ca="1">IFERROR(__xludf.DUMMYFUNCTION("SPARKLINE((100-COUNTIF(INDIRECT(B77&amp;""!C:C""), ""TO DO""))/100+0.01,{""charttype"",""bar"";""max"",1.01;""min"",0; ""color1"", ""#4285f4""})"),"")</f>
        <v/>
      </c>
      <c r="D77" s="21" t="str">
        <f t="shared" ca="1" si="0"/>
        <v>100 / 100</v>
      </c>
    </row>
    <row r="78" spans="1:26" ht="12.75">
      <c r="B78" s="19" t="s">
        <v>81</v>
      </c>
      <c r="C78" s="5" t="str">
        <f ca="1">IFERROR(__xludf.DUMMYFUNCTION("SPARKLINE((100-COUNTIF(INDIRECT(B78&amp;""!C:C""), ""TO DO""))/100+0.01,{""charttype"",""bar"";""max"",1.01;""min"",0; ""color1"", ""#4285f4""})"),"")</f>
        <v/>
      </c>
      <c r="D78" s="21" t="e">
        <f t="shared" ca="1" si="0"/>
        <v>#REF!</v>
      </c>
    </row>
    <row r="79" spans="1:26" ht="12.75">
      <c r="B79" s="19" t="s">
        <v>82</v>
      </c>
      <c r="C79" s="5" t="str">
        <f ca="1">IFERROR(__xludf.DUMMYFUNCTION("SPARKLINE((100-COUNTIF(INDIRECT(B79&amp;""!C:C""), ""TO DO""))/100+0.01,{""charttype"",""bar"";""max"",1.01;""min"",0; ""color1"", ""#4285f4""})"),"")</f>
        <v/>
      </c>
      <c r="D79" s="21" t="str">
        <f t="shared" ca="1" si="0"/>
        <v>52 / 100</v>
      </c>
    </row>
    <row r="80" spans="1:26" ht="12.75">
      <c r="B80" s="19" t="s">
        <v>83</v>
      </c>
      <c r="C80" s="5" t="str">
        <f ca="1">IFERROR(__xludf.DUMMYFUNCTION("SPARKLINE((100-COUNTIF(INDIRECT(B80&amp;""!C:C""), ""TO DO""))/100+0.01,{""charttype"",""bar"";""max"",1.01;""min"",0; ""color1"", ""#4285f4""})"),"")</f>
        <v/>
      </c>
      <c r="D80" s="21" t="str">
        <f t="shared" ca="1" si="0"/>
        <v>100 / 100</v>
      </c>
    </row>
    <row r="82" spans="2:2" ht="16.5">
      <c r="B82" s="22" t="s">
        <v>84</v>
      </c>
    </row>
    <row r="84" spans="2:2" ht="29.25">
      <c r="B84" s="6" t="s">
        <v>85</v>
      </c>
    </row>
    <row r="85" spans="2:2" ht="12.75">
      <c r="B85" s="5" t="s">
        <v>86</v>
      </c>
    </row>
    <row r="86" spans="2:2" ht="12.75">
      <c r="B86" s="5"/>
    </row>
    <row r="87" spans="2:2" ht="12.75">
      <c r="B87" s="5" t="s">
        <v>87</v>
      </c>
    </row>
    <row r="88" spans="2:2" ht="12.75">
      <c r="B88" s="5"/>
    </row>
    <row r="89" spans="2:2" ht="12.75">
      <c r="B89" s="23" t="s">
        <v>88</v>
      </c>
    </row>
    <row r="90" spans="2:2" ht="12.75">
      <c r="B90" s="11" t="s">
        <v>89</v>
      </c>
    </row>
    <row r="91" spans="2:2" ht="12.75">
      <c r="B91" s="11" t="s">
        <v>90</v>
      </c>
    </row>
    <row r="92" spans="2:2" ht="12.75">
      <c r="B92" s="11" t="s">
        <v>91</v>
      </c>
    </row>
    <row r="93" spans="2:2" ht="12.75">
      <c r="B93" s="11" t="s">
        <v>92</v>
      </c>
    </row>
    <row r="94" spans="2:2" ht="12.75">
      <c r="B94" s="11" t="s">
        <v>93</v>
      </c>
    </row>
    <row r="95" spans="2:2" ht="12.75">
      <c r="B95" s="11" t="s">
        <v>94</v>
      </c>
    </row>
    <row r="97" spans="2:2" ht="12.75">
      <c r="B97" s="11"/>
    </row>
    <row r="98" spans="2:2" ht="12.75">
      <c r="B98" s="11"/>
    </row>
    <row r="99" spans="2:2" ht="12.75">
      <c r="B99" s="11"/>
    </row>
    <row r="100" spans="2:2" ht="12.75">
      <c r="B100" s="11"/>
    </row>
    <row r="101" spans="2:2" ht="12.75">
      <c r="B101" s="11"/>
    </row>
  </sheetData>
  <dataValidations count="1">
    <dataValidation type="list" allowBlank="1" showErrorMessage="1" sqref="B18:B20" xr:uid="{00000000-0002-0000-0000-000000000000}">
      <formula1>"TRUE,FALSE,SKIP"</formula1>
    </dataValidation>
  </dataValidations>
  <hyperlinks>
    <hyperlink ref="B69" r:id="rId1" xr:uid="{00000000-0004-0000-0000-000000000000}"/>
    <hyperlink ref="B75" location="Finn!A1" display="Finn" xr:uid="{00000000-0004-0000-0000-000001000000}"/>
    <hyperlink ref="B76" location="Gib!A1" display="Gib" xr:uid="{00000000-0004-0000-0000-000002000000}"/>
    <hyperlink ref="B77" location="Ivan!A1" display="Ivan" xr:uid="{00000000-0004-0000-0000-000003000000}"/>
    <hyperlink ref="B78" location="'Jean-Baptiste'!A1" display="Jean-Baptiste" xr:uid="{00000000-0004-0000-0000-000004000000}"/>
    <hyperlink ref="B79" location="Meike!A1" display="Meike" xr:uid="{00000000-0004-0000-0000-000005000000}"/>
    <hyperlink ref="B80" location="Steve!A1" display="Steve"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FF"/>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2" max="2" width="121.7109375" customWidth="1"/>
    <col min="3" max="3" width="19.7109375" customWidth="1"/>
    <col min="4" max="4" width="34.5703125" customWidth="1"/>
  </cols>
  <sheetData>
    <row r="1" spans="1:4">
      <c r="A1" s="24" t="s">
        <v>95</v>
      </c>
      <c r="B1" s="25" t="s">
        <v>96</v>
      </c>
      <c r="C1" s="26" t="s">
        <v>97</v>
      </c>
      <c r="D1" s="20" t="s">
        <v>98</v>
      </c>
    </row>
    <row r="2" spans="1:4">
      <c r="A2" s="27" t="s">
        <v>99</v>
      </c>
      <c r="B2" s="28" t="s">
        <v>100</v>
      </c>
      <c r="C2" s="29" t="b">
        <v>1</v>
      </c>
    </row>
    <row r="3" spans="1:4">
      <c r="A3" s="27" t="s">
        <v>101</v>
      </c>
      <c r="B3" s="28" t="s">
        <v>102</v>
      </c>
      <c r="C3" s="29" t="b">
        <v>1</v>
      </c>
    </row>
    <row r="4" spans="1:4">
      <c r="A4" s="27" t="s">
        <v>103</v>
      </c>
      <c r="B4" s="28" t="s">
        <v>104</v>
      </c>
      <c r="C4" s="29" t="b">
        <v>1</v>
      </c>
    </row>
    <row r="5" spans="1:4">
      <c r="A5" s="27" t="s">
        <v>105</v>
      </c>
      <c r="B5" s="28" t="s">
        <v>106</v>
      </c>
      <c r="C5" s="29" t="b">
        <v>1</v>
      </c>
    </row>
    <row r="6" spans="1:4">
      <c r="A6" s="27" t="s">
        <v>107</v>
      </c>
      <c r="B6" s="28" t="s">
        <v>108</v>
      </c>
      <c r="C6" s="29" t="b">
        <v>1</v>
      </c>
    </row>
    <row r="7" spans="1:4">
      <c r="A7" s="27" t="s">
        <v>109</v>
      </c>
      <c r="B7" s="28" t="s">
        <v>110</v>
      </c>
      <c r="C7" s="29" t="b">
        <v>0</v>
      </c>
    </row>
    <row r="8" spans="1:4">
      <c r="A8" s="27" t="s">
        <v>111</v>
      </c>
      <c r="B8" s="28" t="s">
        <v>112</v>
      </c>
      <c r="C8" s="29" t="b">
        <v>1</v>
      </c>
    </row>
    <row r="9" spans="1:4">
      <c r="A9" s="27" t="s">
        <v>113</v>
      </c>
      <c r="B9" s="28" t="s">
        <v>114</v>
      </c>
      <c r="C9" s="29" t="b">
        <v>0</v>
      </c>
    </row>
    <row r="10" spans="1:4">
      <c r="A10" s="27" t="s">
        <v>115</v>
      </c>
      <c r="B10" s="28" t="s">
        <v>116</v>
      </c>
      <c r="C10" s="29" t="b">
        <v>1</v>
      </c>
    </row>
    <row r="11" spans="1:4">
      <c r="A11" s="27" t="s">
        <v>117</v>
      </c>
      <c r="B11" s="28" t="s">
        <v>118</v>
      </c>
      <c r="C11" s="29" t="b">
        <v>1</v>
      </c>
    </row>
    <row r="12" spans="1:4">
      <c r="A12" s="27" t="s">
        <v>119</v>
      </c>
      <c r="B12" s="28" t="s">
        <v>120</v>
      </c>
      <c r="C12" s="29" t="b">
        <v>0</v>
      </c>
    </row>
    <row r="13" spans="1:4">
      <c r="A13" s="27" t="s">
        <v>121</v>
      </c>
      <c r="B13" s="28" t="s">
        <v>122</v>
      </c>
      <c r="C13" s="29" t="b">
        <v>0</v>
      </c>
    </row>
    <row r="14" spans="1:4">
      <c r="A14" s="27" t="s">
        <v>123</v>
      </c>
      <c r="B14" s="28" t="s">
        <v>124</v>
      </c>
      <c r="C14" s="29" t="b">
        <v>1</v>
      </c>
    </row>
    <row r="15" spans="1:4">
      <c r="A15" s="27" t="s">
        <v>125</v>
      </c>
      <c r="B15" s="28" t="s">
        <v>126</v>
      </c>
      <c r="C15" s="29" t="b">
        <v>0</v>
      </c>
    </row>
    <row r="16" spans="1:4">
      <c r="A16" s="27" t="s">
        <v>127</v>
      </c>
      <c r="B16" s="28" t="s">
        <v>128</v>
      </c>
      <c r="C16" s="29" t="b">
        <v>1</v>
      </c>
    </row>
    <row r="17" spans="1:3">
      <c r="A17" s="27" t="s">
        <v>129</v>
      </c>
      <c r="B17" s="28" t="s">
        <v>130</v>
      </c>
      <c r="C17" s="29" t="b">
        <v>0</v>
      </c>
    </row>
    <row r="18" spans="1:3">
      <c r="A18" s="27" t="s">
        <v>131</v>
      </c>
      <c r="B18" s="28" t="s">
        <v>132</v>
      </c>
      <c r="C18" s="29" t="b">
        <v>0</v>
      </c>
    </row>
    <row r="19" spans="1:3">
      <c r="A19" s="27" t="s">
        <v>133</v>
      </c>
      <c r="B19" s="28" t="s">
        <v>134</v>
      </c>
      <c r="C19" s="29" t="b">
        <v>0</v>
      </c>
    </row>
    <row r="20" spans="1:3">
      <c r="A20" s="27" t="s">
        <v>135</v>
      </c>
      <c r="B20" s="28" t="s">
        <v>136</v>
      </c>
      <c r="C20" s="29" t="b">
        <v>0</v>
      </c>
    </row>
    <row r="21" spans="1:3">
      <c r="A21" s="27" t="s">
        <v>137</v>
      </c>
      <c r="B21" s="28" t="s">
        <v>138</v>
      </c>
      <c r="C21" s="29" t="b">
        <v>1</v>
      </c>
    </row>
    <row r="22" spans="1:3">
      <c r="A22" s="27" t="s">
        <v>139</v>
      </c>
      <c r="B22" s="28" t="s">
        <v>140</v>
      </c>
      <c r="C22" s="29" t="b">
        <v>1</v>
      </c>
    </row>
    <row r="23" spans="1:3">
      <c r="A23" s="27" t="s">
        <v>141</v>
      </c>
      <c r="B23" s="28" t="s">
        <v>142</v>
      </c>
      <c r="C23" s="29" t="b">
        <v>1</v>
      </c>
    </row>
    <row r="24" spans="1:3">
      <c r="A24" s="27" t="s">
        <v>143</v>
      </c>
      <c r="B24" s="28" t="s">
        <v>144</v>
      </c>
      <c r="C24" s="29" t="b">
        <v>0</v>
      </c>
    </row>
    <row r="25" spans="1:3">
      <c r="A25" s="27" t="s">
        <v>145</v>
      </c>
      <c r="B25" s="28" t="s">
        <v>146</v>
      </c>
      <c r="C25" s="29" t="b">
        <v>0</v>
      </c>
    </row>
    <row r="26" spans="1:3">
      <c r="A26" s="27" t="s">
        <v>147</v>
      </c>
      <c r="B26" s="28" t="s">
        <v>148</v>
      </c>
      <c r="C26" s="29" t="b">
        <v>0</v>
      </c>
    </row>
    <row r="27" spans="1:3">
      <c r="A27" s="27" t="s">
        <v>149</v>
      </c>
      <c r="B27" s="28" t="s">
        <v>150</v>
      </c>
      <c r="C27" s="29" t="b">
        <v>0</v>
      </c>
    </row>
    <row r="28" spans="1:3">
      <c r="A28" s="27" t="s">
        <v>151</v>
      </c>
      <c r="B28" s="28" t="s">
        <v>152</v>
      </c>
      <c r="C28" s="29" t="b">
        <v>0</v>
      </c>
    </row>
    <row r="29" spans="1:3">
      <c r="A29" s="27" t="s">
        <v>153</v>
      </c>
      <c r="B29" s="28" t="s">
        <v>154</v>
      </c>
      <c r="C29" s="29" t="b">
        <v>0</v>
      </c>
    </row>
    <row r="30" spans="1:3">
      <c r="A30" s="27" t="s">
        <v>155</v>
      </c>
      <c r="B30" s="28" t="s">
        <v>156</v>
      </c>
      <c r="C30" s="29" t="b">
        <v>1</v>
      </c>
    </row>
    <row r="31" spans="1:3">
      <c r="A31" s="27" t="s">
        <v>157</v>
      </c>
      <c r="B31" s="28" t="s">
        <v>158</v>
      </c>
      <c r="C31" s="29" t="b">
        <v>0</v>
      </c>
    </row>
    <row r="32" spans="1:3">
      <c r="A32" s="27" t="s">
        <v>159</v>
      </c>
      <c r="B32" s="28" t="s">
        <v>160</v>
      </c>
      <c r="C32" s="29" t="b">
        <v>1</v>
      </c>
    </row>
    <row r="33" spans="1:3">
      <c r="A33" s="27" t="s">
        <v>161</v>
      </c>
      <c r="B33" s="28" t="s">
        <v>162</v>
      </c>
      <c r="C33" s="29" t="b">
        <v>1</v>
      </c>
    </row>
    <row r="34" spans="1:3">
      <c r="A34" s="27" t="s">
        <v>163</v>
      </c>
      <c r="B34" s="28" t="s">
        <v>164</v>
      </c>
      <c r="C34" s="29" t="b">
        <v>0</v>
      </c>
    </row>
    <row r="35" spans="1:3" ht="15.75" customHeight="1">
      <c r="A35" s="27" t="s">
        <v>165</v>
      </c>
      <c r="B35" s="28" t="s">
        <v>166</v>
      </c>
      <c r="C35" s="30" t="b">
        <v>0</v>
      </c>
    </row>
    <row r="36" spans="1:3" ht="39">
      <c r="A36" s="27" t="s">
        <v>167</v>
      </c>
      <c r="B36" s="28" t="s">
        <v>168</v>
      </c>
      <c r="C36" s="30" t="b">
        <v>0</v>
      </c>
    </row>
    <row r="37" spans="1:3" ht="64.5">
      <c r="A37" s="27" t="s">
        <v>169</v>
      </c>
      <c r="B37" s="28" t="s">
        <v>170</v>
      </c>
      <c r="C37" s="30" t="b">
        <v>1</v>
      </c>
    </row>
    <row r="38" spans="1:3" ht="64.5">
      <c r="A38" s="27" t="s">
        <v>171</v>
      </c>
      <c r="B38" s="28" t="s">
        <v>172</v>
      </c>
      <c r="C38" s="30" t="b">
        <v>1</v>
      </c>
    </row>
    <row r="39" spans="1:3" ht="64.5">
      <c r="A39" s="27" t="s">
        <v>173</v>
      </c>
      <c r="B39" s="28" t="s">
        <v>174</v>
      </c>
      <c r="C39" s="30" t="b">
        <v>1</v>
      </c>
    </row>
    <row r="40" spans="1:3" ht="39">
      <c r="A40" s="27" t="s">
        <v>175</v>
      </c>
      <c r="B40" s="28" t="s">
        <v>176</v>
      </c>
      <c r="C40" s="30" t="b">
        <v>1</v>
      </c>
    </row>
    <row r="41" spans="1:3" ht="51.75">
      <c r="A41" s="27" t="s">
        <v>177</v>
      </c>
      <c r="B41" s="28" t="s">
        <v>178</v>
      </c>
      <c r="C41" s="30" t="b">
        <v>1</v>
      </c>
    </row>
    <row r="42" spans="1:3" ht="39">
      <c r="A42" s="27" t="s">
        <v>179</v>
      </c>
      <c r="B42" s="28" t="s">
        <v>180</v>
      </c>
      <c r="C42" s="30" t="b">
        <v>0</v>
      </c>
    </row>
    <row r="43" spans="1:3" ht="64.5">
      <c r="A43" s="27" t="s">
        <v>181</v>
      </c>
      <c r="B43" s="28" t="s">
        <v>182</v>
      </c>
      <c r="C43" s="30" t="b">
        <v>0</v>
      </c>
    </row>
    <row r="44" spans="1:3" ht="51.75">
      <c r="A44" s="27" t="s">
        <v>183</v>
      </c>
      <c r="B44" s="28" t="s">
        <v>184</v>
      </c>
      <c r="C44" s="30" t="b">
        <v>0</v>
      </c>
    </row>
    <row r="45" spans="1:3" ht="64.5">
      <c r="A45" s="27" t="s">
        <v>185</v>
      </c>
      <c r="B45" s="28" t="s">
        <v>186</v>
      </c>
      <c r="C45" s="30" t="b">
        <v>1</v>
      </c>
    </row>
    <row r="46" spans="1:3" ht="51.75">
      <c r="A46" s="27" t="s">
        <v>187</v>
      </c>
      <c r="B46" s="28" t="s">
        <v>188</v>
      </c>
      <c r="C46" s="30" t="b">
        <v>1</v>
      </c>
    </row>
    <row r="47" spans="1:3" ht="64.5">
      <c r="A47" s="27" t="s">
        <v>189</v>
      </c>
      <c r="B47" s="28" t="s">
        <v>190</v>
      </c>
      <c r="C47" s="30" t="b">
        <v>0</v>
      </c>
    </row>
    <row r="48" spans="1:3" ht="51.75">
      <c r="A48" s="27" t="s">
        <v>191</v>
      </c>
      <c r="B48" s="28" t="s">
        <v>192</v>
      </c>
      <c r="C48" s="30" t="b">
        <v>1</v>
      </c>
    </row>
    <row r="49" spans="1:3" ht="77.25">
      <c r="A49" s="27" t="s">
        <v>193</v>
      </c>
      <c r="B49" s="28" t="s">
        <v>194</v>
      </c>
      <c r="C49" s="30" t="b">
        <v>0</v>
      </c>
    </row>
    <row r="50" spans="1:3" ht="51.75">
      <c r="A50" s="27" t="s">
        <v>195</v>
      </c>
      <c r="B50" s="28" t="s">
        <v>196</v>
      </c>
      <c r="C50" s="30" t="b">
        <v>0</v>
      </c>
    </row>
    <row r="51" spans="1:3" ht="64.5">
      <c r="A51" s="27" t="s">
        <v>197</v>
      </c>
      <c r="B51" s="28" t="s">
        <v>198</v>
      </c>
      <c r="C51" s="30" t="b">
        <v>0</v>
      </c>
    </row>
    <row r="52" spans="1:3" ht="64.5">
      <c r="A52" s="27" t="s">
        <v>199</v>
      </c>
      <c r="B52" s="28" t="s">
        <v>200</v>
      </c>
      <c r="C52" s="30" t="b">
        <v>1</v>
      </c>
    </row>
    <row r="53" spans="1:3" ht="51.75">
      <c r="A53" s="27" t="s">
        <v>201</v>
      </c>
      <c r="B53" s="28" t="s">
        <v>202</v>
      </c>
      <c r="C53" s="30" t="b">
        <v>1</v>
      </c>
    </row>
    <row r="54" spans="1:3" ht="51.75">
      <c r="A54" s="27" t="s">
        <v>203</v>
      </c>
      <c r="B54" s="28" t="s">
        <v>204</v>
      </c>
      <c r="C54" s="30" t="b">
        <v>1</v>
      </c>
    </row>
    <row r="55" spans="1:3" ht="64.5">
      <c r="A55" s="27" t="s">
        <v>205</v>
      </c>
      <c r="B55" s="28" t="s">
        <v>206</v>
      </c>
      <c r="C55" s="30" t="b">
        <v>1</v>
      </c>
    </row>
    <row r="56" spans="1:3" ht="115.5">
      <c r="A56" s="27" t="s">
        <v>207</v>
      </c>
      <c r="B56" s="28" t="s">
        <v>208</v>
      </c>
      <c r="C56" s="30" t="b">
        <v>1</v>
      </c>
    </row>
    <row r="57" spans="1:3" ht="77.25">
      <c r="A57" s="27" t="s">
        <v>209</v>
      </c>
      <c r="B57" s="28" t="s">
        <v>210</v>
      </c>
      <c r="C57" s="30" t="b">
        <v>0</v>
      </c>
    </row>
    <row r="58" spans="1:3" ht="39">
      <c r="A58" s="27" t="s">
        <v>211</v>
      </c>
      <c r="B58" s="28" t="s">
        <v>212</v>
      </c>
      <c r="C58" s="30" t="b">
        <v>0</v>
      </c>
    </row>
    <row r="59" spans="1:3" ht="64.5">
      <c r="A59" s="27" t="s">
        <v>213</v>
      </c>
      <c r="B59" s="28" t="s">
        <v>214</v>
      </c>
      <c r="C59" s="30" t="b">
        <v>0</v>
      </c>
    </row>
    <row r="60" spans="1:3" ht="39">
      <c r="A60" s="27" t="s">
        <v>215</v>
      </c>
      <c r="B60" s="28" t="s">
        <v>216</v>
      </c>
      <c r="C60" s="30" t="b">
        <v>0</v>
      </c>
    </row>
    <row r="61" spans="1:3" ht="64.5">
      <c r="A61" s="27" t="s">
        <v>217</v>
      </c>
      <c r="B61" s="28" t="s">
        <v>218</v>
      </c>
      <c r="C61" s="30" t="b">
        <v>1</v>
      </c>
    </row>
    <row r="62" spans="1:3" ht="64.5">
      <c r="A62" s="27" t="s">
        <v>219</v>
      </c>
      <c r="B62" s="28" t="s">
        <v>220</v>
      </c>
      <c r="C62" s="30" t="b">
        <v>0</v>
      </c>
    </row>
    <row r="63" spans="1:3" ht="64.5">
      <c r="A63" s="27" t="s">
        <v>221</v>
      </c>
      <c r="B63" s="28" t="s">
        <v>222</v>
      </c>
      <c r="C63" s="30" t="b">
        <v>0</v>
      </c>
    </row>
    <row r="64" spans="1:3" ht="64.5">
      <c r="A64" s="27" t="s">
        <v>223</v>
      </c>
      <c r="B64" s="28" t="s">
        <v>224</v>
      </c>
      <c r="C64" s="30" t="b">
        <v>0</v>
      </c>
    </row>
    <row r="65" spans="1:3" ht="39">
      <c r="A65" s="27" t="s">
        <v>225</v>
      </c>
      <c r="B65" s="28" t="s">
        <v>226</v>
      </c>
      <c r="C65" s="30" t="b">
        <v>0</v>
      </c>
    </row>
    <row r="66" spans="1:3" ht="39">
      <c r="A66" s="27" t="s">
        <v>227</v>
      </c>
      <c r="B66" s="28" t="s">
        <v>228</v>
      </c>
      <c r="C66" s="30" t="b">
        <v>1</v>
      </c>
    </row>
    <row r="67" spans="1:3" ht="39">
      <c r="A67" s="27" t="s">
        <v>229</v>
      </c>
      <c r="B67" s="28" t="s">
        <v>230</v>
      </c>
      <c r="C67" s="30" t="b">
        <v>0</v>
      </c>
    </row>
    <row r="68" spans="1:3" ht="77.25">
      <c r="A68" s="27" t="s">
        <v>231</v>
      </c>
      <c r="B68" s="28" t="s">
        <v>232</v>
      </c>
      <c r="C68" s="30" t="b">
        <v>0</v>
      </c>
    </row>
    <row r="69" spans="1:3" ht="64.5">
      <c r="A69" s="27" t="s">
        <v>233</v>
      </c>
      <c r="B69" s="28" t="s">
        <v>234</v>
      </c>
      <c r="C69" s="30" t="b">
        <v>0</v>
      </c>
    </row>
    <row r="70" spans="1:3" ht="51.75">
      <c r="A70" s="27" t="s">
        <v>235</v>
      </c>
      <c r="B70" s="28" t="s">
        <v>236</v>
      </c>
      <c r="C70" s="30" t="b">
        <v>0</v>
      </c>
    </row>
    <row r="71" spans="1:3" ht="51.75">
      <c r="A71" s="27" t="s">
        <v>237</v>
      </c>
      <c r="B71" s="28" t="s">
        <v>238</v>
      </c>
      <c r="C71" s="30" t="b">
        <v>1</v>
      </c>
    </row>
    <row r="72" spans="1:3" ht="64.5">
      <c r="A72" s="27" t="s">
        <v>239</v>
      </c>
      <c r="B72" s="28" t="s">
        <v>240</v>
      </c>
      <c r="C72" s="30" t="b">
        <v>1</v>
      </c>
    </row>
    <row r="73" spans="1:3" ht="51.75">
      <c r="A73" s="27" t="s">
        <v>241</v>
      </c>
      <c r="B73" s="28" t="s">
        <v>242</v>
      </c>
      <c r="C73" s="30" t="b">
        <v>0</v>
      </c>
    </row>
    <row r="74" spans="1:3" ht="51.75">
      <c r="A74" s="27" t="s">
        <v>243</v>
      </c>
      <c r="B74" s="28" t="s">
        <v>244</v>
      </c>
      <c r="C74" s="30" t="b">
        <v>1</v>
      </c>
    </row>
    <row r="75" spans="1:3" ht="39">
      <c r="A75" s="27" t="s">
        <v>245</v>
      </c>
      <c r="B75" s="28" t="s">
        <v>246</v>
      </c>
      <c r="C75" s="30" t="b">
        <v>1</v>
      </c>
    </row>
    <row r="76" spans="1:3" ht="77.25">
      <c r="A76" s="27" t="s">
        <v>247</v>
      </c>
      <c r="B76" s="28" t="s">
        <v>248</v>
      </c>
      <c r="C76" s="30" t="b">
        <v>1</v>
      </c>
    </row>
    <row r="77" spans="1:3" ht="90">
      <c r="A77" s="27" t="s">
        <v>249</v>
      </c>
      <c r="B77" s="28" t="s">
        <v>250</v>
      </c>
      <c r="C77" s="30" t="b">
        <v>0</v>
      </c>
    </row>
    <row r="78" spans="1:3" ht="51.75">
      <c r="A78" s="27" t="s">
        <v>251</v>
      </c>
      <c r="B78" s="28" t="s">
        <v>252</v>
      </c>
      <c r="C78" s="30" t="b">
        <v>1</v>
      </c>
    </row>
    <row r="79" spans="1:3" ht="39">
      <c r="A79" s="27" t="s">
        <v>253</v>
      </c>
      <c r="B79" s="28" t="s">
        <v>254</v>
      </c>
      <c r="C79" s="30" t="b">
        <v>0</v>
      </c>
    </row>
    <row r="80" spans="1:3" ht="64.5">
      <c r="A80" s="27" t="s">
        <v>255</v>
      </c>
      <c r="B80" s="28" t="s">
        <v>256</v>
      </c>
      <c r="C80" s="30" t="b">
        <v>1</v>
      </c>
    </row>
    <row r="81" spans="1:3" ht="51.75">
      <c r="A81" s="27" t="s">
        <v>257</v>
      </c>
      <c r="B81" s="28" t="s">
        <v>258</v>
      </c>
      <c r="C81" s="30" t="b">
        <v>0</v>
      </c>
    </row>
    <row r="82" spans="1:3" ht="39">
      <c r="A82" s="27" t="s">
        <v>259</v>
      </c>
      <c r="B82" s="28" t="s">
        <v>260</v>
      </c>
      <c r="C82" s="30" t="b">
        <v>0</v>
      </c>
    </row>
    <row r="83" spans="1:3" ht="64.5">
      <c r="A83" s="27" t="s">
        <v>261</v>
      </c>
      <c r="B83" s="28" t="s">
        <v>262</v>
      </c>
      <c r="C83" s="30" t="b">
        <v>1</v>
      </c>
    </row>
    <row r="84" spans="1:3" ht="77.25">
      <c r="A84" s="27" t="s">
        <v>263</v>
      </c>
      <c r="B84" s="28" t="s">
        <v>264</v>
      </c>
      <c r="C84" s="30" t="b">
        <v>0</v>
      </c>
    </row>
    <row r="85" spans="1:3" ht="77.25">
      <c r="A85" s="27" t="s">
        <v>265</v>
      </c>
      <c r="B85" s="28" t="s">
        <v>266</v>
      </c>
      <c r="C85" s="30" t="b">
        <v>1</v>
      </c>
    </row>
    <row r="86" spans="1:3" ht="102.75">
      <c r="A86" s="27" t="s">
        <v>267</v>
      </c>
      <c r="B86" s="28" t="s">
        <v>268</v>
      </c>
      <c r="C86" s="30" t="b">
        <v>0</v>
      </c>
    </row>
    <row r="87" spans="1:3" ht="77.25">
      <c r="A87" s="27" t="s">
        <v>269</v>
      </c>
      <c r="B87" s="28" t="s">
        <v>270</v>
      </c>
      <c r="C87" s="30" t="b">
        <v>0</v>
      </c>
    </row>
    <row r="88" spans="1:3" ht="51.75">
      <c r="A88" s="27" t="s">
        <v>271</v>
      </c>
      <c r="B88" s="28" t="s">
        <v>272</v>
      </c>
      <c r="C88" s="30" t="b">
        <v>0</v>
      </c>
    </row>
    <row r="89" spans="1:3" ht="77.25">
      <c r="A89" s="27" t="s">
        <v>273</v>
      </c>
      <c r="B89" s="28" t="s">
        <v>274</v>
      </c>
      <c r="C89" s="30" t="b">
        <v>1</v>
      </c>
    </row>
    <row r="90" spans="1:3" ht="51.75">
      <c r="A90" s="27" t="s">
        <v>275</v>
      </c>
      <c r="B90" s="28" t="s">
        <v>276</v>
      </c>
      <c r="C90" s="30" t="b">
        <v>1</v>
      </c>
    </row>
    <row r="91" spans="1:3" ht="51.75">
      <c r="A91" s="27" t="s">
        <v>277</v>
      </c>
      <c r="B91" s="28" t="s">
        <v>278</v>
      </c>
      <c r="C91" s="30" t="b">
        <v>1</v>
      </c>
    </row>
    <row r="92" spans="1:3" ht="77.25">
      <c r="A92" s="27" t="s">
        <v>279</v>
      </c>
      <c r="B92" s="28" t="s">
        <v>280</v>
      </c>
      <c r="C92" s="30" t="b">
        <v>1</v>
      </c>
    </row>
    <row r="93" spans="1:3" ht="39">
      <c r="A93" s="27" t="s">
        <v>281</v>
      </c>
      <c r="B93" s="28" t="s">
        <v>282</v>
      </c>
      <c r="C93" s="30" t="b">
        <v>0</v>
      </c>
    </row>
    <row r="94" spans="1:3" ht="64.5">
      <c r="A94" s="27" t="s">
        <v>283</v>
      </c>
      <c r="B94" s="28" t="s">
        <v>284</v>
      </c>
      <c r="C94" s="30" t="b">
        <v>1</v>
      </c>
    </row>
    <row r="95" spans="1:3" ht="51.75">
      <c r="A95" s="27" t="s">
        <v>285</v>
      </c>
      <c r="B95" s="28" t="s">
        <v>286</v>
      </c>
      <c r="C95" s="30" t="b">
        <v>1</v>
      </c>
    </row>
    <row r="96" spans="1:3" ht="102.75">
      <c r="A96" s="27" t="s">
        <v>287</v>
      </c>
      <c r="B96" s="28" t="s">
        <v>288</v>
      </c>
      <c r="C96" s="30" t="b">
        <v>1</v>
      </c>
    </row>
    <row r="97" spans="1:3" ht="90">
      <c r="A97" s="27" t="s">
        <v>289</v>
      </c>
      <c r="B97" s="28" t="s">
        <v>290</v>
      </c>
      <c r="C97" s="30" t="b">
        <v>0</v>
      </c>
    </row>
    <row r="98" spans="1:3" ht="64.5">
      <c r="A98" s="27" t="s">
        <v>291</v>
      </c>
      <c r="B98" s="28" t="s">
        <v>292</v>
      </c>
      <c r="C98" s="30" t="b">
        <v>1</v>
      </c>
    </row>
    <row r="99" spans="1:3" ht="51.75">
      <c r="A99" s="27" t="s">
        <v>293</v>
      </c>
      <c r="B99" s="28" t="s">
        <v>294</v>
      </c>
      <c r="C99" s="30" t="b">
        <v>0</v>
      </c>
    </row>
    <row r="100" spans="1:3" ht="90">
      <c r="A100" s="27" t="s">
        <v>295</v>
      </c>
      <c r="B100" s="28" t="s">
        <v>296</v>
      </c>
      <c r="C100" s="30" t="b">
        <v>1</v>
      </c>
    </row>
    <row r="101" spans="1:3" ht="39">
      <c r="A101" s="27" t="s">
        <v>297</v>
      </c>
      <c r="B101" s="28" t="s">
        <v>298</v>
      </c>
      <c r="C101" s="30" t="b">
        <v>1</v>
      </c>
    </row>
  </sheetData>
  <dataValidations count="1">
    <dataValidation type="list" allowBlank="1" showErrorMessage="1" sqref="C2:C101" xr:uid="{00000000-0002-0000-0100-000000000000}">
      <formula1>"TO DO,TRUE,FALSE,SKIP"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761D"/>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2" max="2" width="121.7109375" customWidth="1"/>
    <col min="3" max="3" width="19.7109375" customWidth="1"/>
    <col min="4" max="4" width="60.5703125" customWidth="1"/>
  </cols>
  <sheetData>
    <row r="1" spans="1:4">
      <c r="A1" s="24" t="s">
        <v>95</v>
      </c>
      <c r="B1" s="25" t="s">
        <v>96</v>
      </c>
      <c r="C1" s="26" t="s">
        <v>97</v>
      </c>
      <c r="D1" s="20" t="s">
        <v>98</v>
      </c>
    </row>
    <row r="2" spans="1:4">
      <c r="A2" s="27" t="s">
        <v>151</v>
      </c>
      <c r="B2" s="28" t="s">
        <v>152</v>
      </c>
      <c r="C2" s="29" t="b">
        <v>0</v>
      </c>
    </row>
    <row r="3" spans="1:4">
      <c r="A3" s="27" t="s">
        <v>275</v>
      </c>
      <c r="B3" s="28" t="s">
        <v>276</v>
      </c>
      <c r="C3" s="29" t="b">
        <v>1</v>
      </c>
    </row>
    <row r="4" spans="1:4">
      <c r="A4" s="27" t="s">
        <v>141</v>
      </c>
      <c r="B4" s="28" t="s">
        <v>142</v>
      </c>
      <c r="C4" s="29" t="b">
        <v>1</v>
      </c>
    </row>
    <row r="5" spans="1:4">
      <c r="A5" s="27" t="s">
        <v>99</v>
      </c>
      <c r="B5" s="28" t="s">
        <v>100</v>
      </c>
      <c r="C5" s="29" t="b">
        <v>1</v>
      </c>
      <c r="D5" s="5">
        <v>17.3</v>
      </c>
    </row>
    <row r="6" spans="1:4">
      <c r="A6" s="27" t="s">
        <v>121</v>
      </c>
      <c r="B6" s="28" t="s">
        <v>122</v>
      </c>
      <c r="C6" s="29" t="b">
        <v>1</v>
      </c>
    </row>
    <row r="7" spans="1:4">
      <c r="A7" s="27" t="s">
        <v>227</v>
      </c>
      <c r="B7" s="28" t="s">
        <v>228</v>
      </c>
      <c r="C7" s="29" t="b">
        <v>1</v>
      </c>
    </row>
    <row r="8" spans="1:4">
      <c r="A8" s="27" t="s">
        <v>165</v>
      </c>
      <c r="B8" s="28" t="s">
        <v>166</v>
      </c>
      <c r="C8" s="29" t="b">
        <v>1</v>
      </c>
    </row>
    <row r="9" spans="1:4">
      <c r="A9" s="27" t="s">
        <v>181</v>
      </c>
      <c r="B9" s="28" t="s">
        <v>182</v>
      </c>
      <c r="C9" s="29" t="b">
        <v>1</v>
      </c>
    </row>
    <row r="10" spans="1:4">
      <c r="A10" s="27" t="s">
        <v>191</v>
      </c>
      <c r="B10" s="28" t="s">
        <v>192</v>
      </c>
      <c r="C10" s="29" t="b">
        <v>1</v>
      </c>
    </row>
    <row r="11" spans="1:4">
      <c r="A11" s="27" t="s">
        <v>285</v>
      </c>
      <c r="B11" s="28" t="s">
        <v>286</v>
      </c>
      <c r="C11" s="29" t="b">
        <v>1</v>
      </c>
      <c r="D11" s="5">
        <v>17.190000000000001</v>
      </c>
    </row>
    <row r="12" spans="1:4">
      <c r="A12" s="27" t="s">
        <v>245</v>
      </c>
      <c r="B12" s="28" t="s">
        <v>246</v>
      </c>
      <c r="C12" s="29" t="b">
        <v>0</v>
      </c>
    </row>
    <row r="13" spans="1:4">
      <c r="A13" s="27" t="s">
        <v>249</v>
      </c>
      <c r="B13" s="28" t="s">
        <v>250</v>
      </c>
      <c r="C13" s="29" t="s">
        <v>299</v>
      </c>
    </row>
    <row r="14" spans="1:4">
      <c r="A14" s="27" t="s">
        <v>161</v>
      </c>
      <c r="B14" s="28" t="s">
        <v>162</v>
      </c>
      <c r="C14" s="29" t="s">
        <v>299</v>
      </c>
    </row>
    <row r="15" spans="1:4">
      <c r="A15" s="27" t="s">
        <v>131</v>
      </c>
      <c r="B15" s="28" t="s">
        <v>132</v>
      </c>
      <c r="C15" s="29" t="s">
        <v>299</v>
      </c>
    </row>
    <row r="16" spans="1:4">
      <c r="A16" s="27" t="s">
        <v>271</v>
      </c>
      <c r="B16" s="28" t="s">
        <v>272</v>
      </c>
      <c r="C16" s="29" t="s">
        <v>299</v>
      </c>
    </row>
    <row r="17" spans="1:3">
      <c r="A17" s="27" t="s">
        <v>159</v>
      </c>
      <c r="B17" s="28" t="s">
        <v>160</v>
      </c>
      <c r="C17" s="29" t="s">
        <v>299</v>
      </c>
    </row>
    <row r="18" spans="1:3">
      <c r="A18" s="27" t="s">
        <v>179</v>
      </c>
      <c r="B18" s="28" t="s">
        <v>180</v>
      </c>
      <c r="C18" s="29" t="s">
        <v>299</v>
      </c>
    </row>
    <row r="19" spans="1:3">
      <c r="A19" s="27" t="s">
        <v>253</v>
      </c>
      <c r="B19" s="28" t="s">
        <v>254</v>
      </c>
      <c r="C19" s="29" t="s">
        <v>299</v>
      </c>
    </row>
    <row r="20" spans="1:3">
      <c r="A20" s="27" t="s">
        <v>207</v>
      </c>
      <c r="B20" s="28" t="s">
        <v>208</v>
      </c>
      <c r="C20" s="29" t="s">
        <v>299</v>
      </c>
    </row>
    <row r="21" spans="1:3">
      <c r="A21" s="27" t="s">
        <v>231</v>
      </c>
      <c r="B21" s="28" t="s">
        <v>232</v>
      </c>
      <c r="C21" s="29" t="s">
        <v>299</v>
      </c>
    </row>
    <row r="22" spans="1:3">
      <c r="A22" s="27" t="s">
        <v>177</v>
      </c>
      <c r="B22" s="28" t="s">
        <v>178</v>
      </c>
      <c r="C22" s="29" t="s">
        <v>299</v>
      </c>
    </row>
    <row r="23" spans="1:3">
      <c r="A23" s="27" t="s">
        <v>193</v>
      </c>
      <c r="B23" s="28" t="s">
        <v>194</v>
      </c>
      <c r="C23" s="29" t="s">
        <v>299</v>
      </c>
    </row>
    <row r="24" spans="1:3">
      <c r="A24" s="27" t="s">
        <v>269</v>
      </c>
      <c r="B24" s="28" t="s">
        <v>270</v>
      </c>
      <c r="C24" s="29" t="s">
        <v>299</v>
      </c>
    </row>
    <row r="25" spans="1:3">
      <c r="A25" s="27" t="s">
        <v>187</v>
      </c>
      <c r="B25" s="28" t="s">
        <v>188</v>
      </c>
      <c r="C25" s="29" t="s">
        <v>299</v>
      </c>
    </row>
    <row r="26" spans="1:3">
      <c r="A26" s="27" t="s">
        <v>153</v>
      </c>
      <c r="B26" s="28" t="s">
        <v>154</v>
      </c>
      <c r="C26" s="29" t="s">
        <v>299</v>
      </c>
    </row>
    <row r="27" spans="1:3">
      <c r="A27" s="27" t="s">
        <v>185</v>
      </c>
      <c r="B27" s="28" t="s">
        <v>186</v>
      </c>
      <c r="C27" s="29" t="s">
        <v>299</v>
      </c>
    </row>
    <row r="28" spans="1:3">
      <c r="A28" s="27" t="s">
        <v>175</v>
      </c>
      <c r="B28" s="28" t="s">
        <v>176</v>
      </c>
      <c r="C28" s="29" t="s">
        <v>299</v>
      </c>
    </row>
    <row r="29" spans="1:3">
      <c r="A29" s="27" t="s">
        <v>171</v>
      </c>
      <c r="B29" s="28" t="s">
        <v>172</v>
      </c>
      <c r="C29" s="29" t="s">
        <v>299</v>
      </c>
    </row>
    <row r="30" spans="1:3">
      <c r="A30" s="27" t="s">
        <v>133</v>
      </c>
      <c r="B30" s="28" t="s">
        <v>134</v>
      </c>
      <c r="C30" s="29" t="s">
        <v>299</v>
      </c>
    </row>
    <row r="31" spans="1:3">
      <c r="A31" s="27" t="s">
        <v>203</v>
      </c>
      <c r="B31" s="28" t="s">
        <v>204</v>
      </c>
      <c r="C31" s="29" t="s">
        <v>299</v>
      </c>
    </row>
    <row r="32" spans="1:3">
      <c r="A32" s="27" t="s">
        <v>259</v>
      </c>
      <c r="B32" s="28" t="s">
        <v>260</v>
      </c>
      <c r="C32" s="29" t="s">
        <v>299</v>
      </c>
    </row>
    <row r="33" spans="1:3">
      <c r="A33" s="27" t="s">
        <v>189</v>
      </c>
      <c r="B33" s="28" t="s">
        <v>190</v>
      </c>
      <c r="C33" s="29" t="s">
        <v>299</v>
      </c>
    </row>
    <row r="34" spans="1:3">
      <c r="A34" s="27" t="s">
        <v>297</v>
      </c>
      <c r="B34" s="28" t="s">
        <v>298</v>
      </c>
      <c r="C34" s="29" t="s">
        <v>299</v>
      </c>
    </row>
    <row r="35" spans="1:3">
      <c r="A35" s="27" t="s">
        <v>251</v>
      </c>
      <c r="B35" s="28" t="s">
        <v>252</v>
      </c>
      <c r="C35" s="29" t="s">
        <v>299</v>
      </c>
    </row>
    <row r="36" spans="1:3">
      <c r="A36" s="27" t="s">
        <v>157</v>
      </c>
      <c r="B36" s="28" t="s">
        <v>158</v>
      </c>
      <c r="C36" s="29" t="s">
        <v>299</v>
      </c>
    </row>
    <row r="37" spans="1:3">
      <c r="A37" s="27" t="s">
        <v>261</v>
      </c>
      <c r="B37" s="28" t="s">
        <v>262</v>
      </c>
      <c r="C37" s="29" t="s">
        <v>299</v>
      </c>
    </row>
    <row r="38" spans="1:3">
      <c r="A38" s="27" t="s">
        <v>103</v>
      </c>
      <c r="B38" s="28" t="s">
        <v>104</v>
      </c>
      <c r="C38" s="29" t="s">
        <v>299</v>
      </c>
    </row>
    <row r="39" spans="1:3">
      <c r="A39" s="27" t="s">
        <v>107</v>
      </c>
      <c r="B39" s="28" t="s">
        <v>108</v>
      </c>
      <c r="C39" s="29" t="s">
        <v>299</v>
      </c>
    </row>
    <row r="40" spans="1:3">
      <c r="A40" s="27" t="s">
        <v>211</v>
      </c>
      <c r="B40" s="28" t="s">
        <v>212</v>
      </c>
      <c r="C40" s="29" t="s">
        <v>299</v>
      </c>
    </row>
    <row r="41" spans="1:3">
      <c r="A41" s="27" t="s">
        <v>291</v>
      </c>
      <c r="B41" s="28" t="s">
        <v>292</v>
      </c>
      <c r="C41" s="29" t="s">
        <v>299</v>
      </c>
    </row>
    <row r="42" spans="1:3">
      <c r="A42" s="27" t="s">
        <v>173</v>
      </c>
      <c r="B42" s="28" t="s">
        <v>174</v>
      </c>
      <c r="C42" s="29" t="s">
        <v>299</v>
      </c>
    </row>
    <row r="43" spans="1:3">
      <c r="A43" s="27" t="s">
        <v>183</v>
      </c>
      <c r="B43" s="28" t="s">
        <v>184</v>
      </c>
      <c r="C43" s="29" t="s">
        <v>299</v>
      </c>
    </row>
    <row r="44" spans="1:3">
      <c r="A44" s="27" t="s">
        <v>257</v>
      </c>
      <c r="B44" s="28" t="s">
        <v>258</v>
      </c>
      <c r="C44" s="29" t="s">
        <v>299</v>
      </c>
    </row>
    <row r="45" spans="1:3">
      <c r="A45" s="27" t="s">
        <v>263</v>
      </c>
      <c r="B45" s="28" t="s">
        <v>264</v>
      </c>
      <c r="C45" s="29" t="s">
        <v>299</v>
      </c>
    </row>
    <row r="46" spans="1:3">
      <c r="A46" s="27" t="s">
        <v>287</v>
      </c>
      <c r="B46" s="28" t="s">
        <v>288</v>
      </c>
      <c r="C46" s="29" t="s">
        <v>299</v>
      </c>
    </row>
    <row r="47" spans="1:3">
      <c r="A47" s="27" t="s">
        <v>109</v>
      </c>
      <c r="B47" s="28" t="s">
        <v>110</v>
      </c>
      <c r="C47" s="29" t="s">
        <v>299</v>
      </c>
    </row>
    <row r="48" spans="1:3">
      <c r="A48" s="27" t="s">
        <v>221</v>
      </c>
      <c r="B48" s="28" t="s">
        <v>222</v>
      </c>
      <c r="C48" s="29" t="s">
        <v>299</v>
      </c>
    </row>
    <row r="49" spans="1:3">
      <c r="A49" s="27" t="s">
        <v>237</v>
      </c>
      <c r="B49" s="28" t="s">
        <v>238</v>
      </c>
      <c r="C49" s="29" t="s">
        <v>299</v>
      </c>
    </row>
    <row r="50" spans="1:3">
      <c r="A50" s="27" t="s">
        <v>117</v>
      </c>
      <c r="B50" s="28" t="s">
        <v>118</v>
      </c>
      <c r="C50" s="29" t="s">
        <v>299</v>
      </c>
    </row>
    <row r="51" spans="1:3">
      <c r="A51" s="27" t="s">
        <v>223</v>
      </c>
      <c r="B51" s="28" t="s">
        <v>224</v>
      </c>
      <c r="C51" s="29" t="s">
        <v>299</v>
      </c>
    </row>
    <row r="52" spans="1:3">
      <c r="A52" s="27" t="s">
        <v>143</v>
      </c>
      <c r="B52" s="28" t="s">
        <v>144</v>
      </c>
      <c r="C52" s="29" t="s">
        <v>299</v>
      </c>
    </row>
    <row r="53" spans="1:3">
      <c r="A53" s="27" t="s">
        <v>247</v>
      </c>
      <c r="B53" s="28" t="s">
        <v>248</v>
      </c>
      <c r="C53" s="29" t="s">
        <v>299</v>
      </c>
    </row>
    <row r="54" spans="1:3">
      <c r="A54" s="27" t="s">
        <v>243</v>
      </c>
      <c r="B54" s="28" t="s">
        <v>244</v>
      </c>
      <c r="C54" s="29" t="s">
        <v>299</v>
      </c>
    </row>
    <row r="55" spans="1:3">
      <c r="A55" s="27" t="s">
        <v>195</v>
      </c>
      <c r="B55" s="28" t="s">
        <v>196</v>
      </c>
      <c r="C55" s="29" t="s">
        <v>299</v>
      </c>
    </row>
    <row r="56" spans="1:3">
      <c r="A56" s="27" t="s">
        <v>115</v>
      </c>
      <c r="B56" s="28" t="s">
        <v>116</v>
      </c>
      <c r="C56" s="29" t="s">
        <v>299</v>
      </c>
    </row>
    <row r="57" spans="1:3">
      <c r="A57" s="27" t="s">
        <v>289</v>
      </c>
      <c r="B57" s="28" t="s">
        <v>290</v>
      </c>
      <c r="C57" s="29" t="s">
        <v>299</v>
      </c>
    </row>
    <row r="58" spans="1:3">
      <c r="A58" s="27" t="s">
        <v>217</v>
      </c>
      <c r="B58" s="28" t="s">
        <v>218</v>
      </c>
      <c r="C58" s="29" t="s">
        <v>299</v>
      </c>
    </row>
    <row r="59" spans="1:3">
      <c r="A59" s="27" t="s">
        <v>277</v>
      </c>
      <c r="B59" s="28" t="s">
        <v>278</v>
      </c>
      <c r="C59" s="29" t="s">
        <v>299</v>
      </c>
    </row>
    <row r="60" spans="1:3">
      <c r="A60" s="27" t="s">
        <v>155</v>
      </c>
      <c r="B60" s="28" t="s">
        <v>156</v>
      </c>
      <c r="C60" s="29" t="s">
        <v>299</v>
      </c>
    </row>
    <row r="61" spans="1:3">
      <c r="A61" s="27" t="s">
        <v>125</v>
      </c>
      <c r="B61" s="28" t="s">
        <v>126</v>
      </c>
      <c r="C61" s="29" t="s">
        <v>299</v>
      </c>
    </row>
    <row r="62" spans="1:3">
      <c r="A62" s="27" t="s">
        <v>197</v>
      </c>
      <c r="B62" s="28" t="s">
        <v>198</v>
      </c>
      <c r="C62" s="29" t="s">
        <v>299</v>
      </c>
    </row>
    <row r="63" spans="1:3">
      <c r="A63" s="27" t="s">
        <v>137</v>
      </c>
      <c r="B63" s="28" t="s">
        <v>138</v>
      </c>
      <c r="C63" s="29" t="s">
        <v>299</v>
      </c>
    </row>
    <row r="64" spans="1:3">
      <c r="A64" s="27" t="s">
        <v>229</v>
      </c>
      <c r="B64" s="28" t="s">
        <v>230</v>
      </c>
      <c r="C64" s="29" t="s">
        <v>299</v>
      </c>
    </row>
    <row r="65" spans="1:3">
      <c r="A65" s="27" t="s">
        <v>235</v>
      </c>
      <c r="B65" s="28" t="s">
        <v>236</v>
      </c>
      <c r="C65" s="29" t="s">
        <v>299</v>
      </c>
    </row>
    <row r="66" spans="1:3">
      <c r="A66" s="27" t="s">
        <v>129</v>
      </c>
      <c r="B66" s="28" t="s">
        <v>130</v>
      </c>
      <c r="C66" s="29" t="s">
        <v>299</v>
      </c>
    </row>
    <row r="67" spans="1:3">
      <c r="A67" s="27" t="s">
        <v>119</v>
      </c>
      <c r="B67" s="28" t="s">
        <v>120</v>
      </c>
      <c r="C67" s="29" t="s">
        <v>299</v>
      </c>
    </row>
    <row r="68" spans="1:3">
      <c r="A68" s="27" t="s">
        <v>273</v>
      </c>
      <c r="B68" s="28" t="s">
        <v>274</v>
      </c>
      <c r="C68" s="29" t="s">
        <v>299</v>
      </c>
    </row>
    <row r="69" spans="1:3">
      <c r="A69" s="27" t="s">
        <v>201</v>
      </c>
      <c r="B69" s="28" t="s">
        <v>202</v>
      </c>
      <c r="C69" s="29" t="s">
        <v>299</v>
      </c>
    </row>
    <row r="70" spans="1:3">
      <c r="A70" s="27" t="s">
        <v>265</v>
      </c>
      <c r="B70" s="28" t="s">
        <v>266</v>
      </c>
      <c r="C70" s="29" t="s">
        <v>299</v>
      </c>
    </row>
    <row r="71" spans="1:3">
      <c r="A71" s="27" t="s">
        <v>225</v>
      </c>
      <c r="B71" s="28" t="s">
        <v>226</v>
      </c>
      <c r="C71" s="29" t="s">
        <v>299</v>
      </c>
    </row>
    <row r="72" spans="1:3">
      <c r="A72" s="27" t="s">
        <v>255</v>
      </c>
      <c r="B72" s="28" t="s">
        <v>256</v>
      </c>
      <c r="C72" s="29" t="s">
        <v>299</v>
      </c>
    </row>
    <row r="73" spans="1:3">
      <c r="A73" s="27" t="s">
        <v>215</v>
      </c>
      <c r="B73" s="28" t="s">
        <v>216</v>
      </c>
      <c r="C73" s="29" t="s">
        <v>299</v>
      </c>
    </row>
    <row r="74" spans="1:3">
      <c r="A74" s="27" t="s">
        <v>205</v>
      </c>
      <c r="B74" s="28" t="s">
        <v>206</v>
      </c>
      <c r="C74" s="29" t="s">
        <v>299</v>
      </c>
    </row>
    <row r="75" spans="1:3">
      <c r="A75" s="27" t="s">
        <v>169</v>
      </c>
      <c r="B75" s="28" t="s">
        <v>170</v>
      </c>
      <c r="C75" s="29" t="s">
        <v>299</v>
      </c>
    </row>
    <row r="76" spans="1:3">
      <c r="A76" s="27" t="s">
        <v>199</v>
      </c>
      <c r="B76" s="28" t="s">
        <v>200</v>
      </c>
      <c r="C76" s="29" t="s">
        <v>299</v>
      </c>
    </row>
    <row r="77" spans="1:3">
      <c r="A77" s="27" t="s">
        <v>279</v>
      </c>
      <c r="B77" s="28" t="s">
        <v>280</v>
      </c>
      <c r="C77" s="29" t="s">
        <v>299</v>
      </c>
    </row>
    <row r="78" spans="1:3">
      <c r="A78" s="27" t="s">
        <v>123</v>
      </c>
      <c r="B78" s="28" t="s">
        <v>124</v>
      </c>
      <c r="C78" s="29" t="s">
        <v>299</v>
      </c>
    </row>
    <row r="79" spans="1:3">
      <c r="A79" s="27" t="s">
        <v>145</v>
      </c>
      <c r="B79" s="28" t="s">
        <v>146</v>
      </c>
      <c r="C79" s="29" t="s">
        <v>299</v>
      </c>
    </row>
    <row r="80" spans="1:3">
      <c r="A80" s="27" t="s">
        <v>241</v>
      </c>
      <c r="B80" s="28" t="s">
        <v>242</v>
      </c>
      <c r="C80" s="29" t="s">
        <v>299</v>
      </c>
    </row>
    <row r="81" spans="1:3">
      <c r="A81" s="27" t="s">
        <v>163</v>
      </c>
      <c r="B81" s="28" t="s">
        <v>164</v>
      </c>
      <c r="C81" s="29" t="s">
        <v>299</v>
      </c>
    </row>
    <row r="82" spans="1:3">
      <c r="A82" s="27" t="s">
        <v>127</v>
      </c>
      <c r="B82" s="28" t="s">
        <v>128</v>
      </c>
      <c r="C82" s="29" t="s">
        <v>299</v>
      </c>
    </row>
    <row r="83" spans="1:3">
      <c r="A83" s="27" t="s">
        <v>147</v>
      </c>
      <c r="B83" s="28" t="s">
        <v>148</v>
      </c>
      <c r="C83" s="29" t="s">
        <v>299</v>
      </c>
    </row>
    <row r="84" spans="1:3">
      <c r="A84" s="27" t="s">
        <v>281</v>
      </c>
      <c r="B84" s="28" t="s">
        <v>282</v>
      </c>
      <c r="C84" s="29" t="s">
        <v>299</v>
      </c>
    </row>
    <row r="85" spans="1:3">
      <c r="A85" s="27" t="s">
        <v>293</v>
      </c>
      <c r="B85" s="28" t="s">
        <v>294</v>
      </c>
      <c r="C85" s="29" t="s">
        <v>299</v>
      </c>
    </row>
    <row r="86" spans="1:3">
      <c r="A86" s="27" t="s">
        <v>139</v>
      </c>
      <c r="B86" s="28" t="s">
        <v>140</v>
      </c>
      <c r="C86" s="29" t="s">
        <v>299</v>
      </c>
    </row>
    <row r="87" spans="1:3">
      <c r="A87" s="27" t="s">
        <v>209</v>
      </c>
      <c r="B87" s="28" t="s">
        <v>210</v>
      </c>
      <c r="C87" s="29" t="s">
        <v>299</v>
      </c>
    </row>
    <row r="88" spans="1:3">
      <c r="A88" s="27" t="s">
        <v>167</v>
      </c>
      <c r="B88" s="28" t="s">
        <v>168</v>
      </c>
      <c r="C88" s="29" t="s">
        <v>299</v>
      </c>
    </row>
    <row r="89" spans="1:3">
      <c r="A89" s="27" t="s">
        <v>213</v>
      </c>
      <c r="B89" s="28" t="s">
        <v>214</v>
      </c>
      <c r="C89" s="29" t="s">
        <v>299</v>
      </c>
    </row>
    <row r="90" spans="1:3">
      <c r="A90" s="27" t="s">
        <v>267</v>
      </c>
      <c r="B90" s="28" t="s">
        <v>268</v>
      </c>
      <c r="C90" s="29" t="s">
        <v>299</v>
      </c>
    </row>
    <row r="91" spans="1:3">
      <c r="A91" s="27" t="s">
        <v>219</v>
      </c>
      <c r="B91" s="28" t="s">
        <v>220</v>
      </c>
      <c r="C91" s="29" t="s">
        <v>299</v>
      </c>
    </row>
    <row r="92" spans="1:3">
      <c r="A92" s="27" t="s">
        <v>283</v>
      </c>
      <c r="B92" s="28" t="s">
        <v>284</v>
      </c>
      <c r="C92" s="29" t="s">
        <v>299</v>
      </c>
    </row>
    <row r="93" spans="1:3">
      <c r="A93" s="27" t="s">
        <v>113</v>
      </c>
      <c r="B93" s="28" t="s">
        <v>114</v>
      </c>
      <c r="C93" s="29" t="s">
        <v>299</v>
      </c>
    </row>
    <row r="94" spans="1:3">
      <c r="A94" s="27" t="s">
        <v>111</v>
      </c>
      <c r="B94" s="28" t="s">
        <v>112</v>
      </c>
      <c r="C94" s="29" t="s">
        <v>299</v>
      </c>
    </row>
    <row r="95" spans="1:3">
      <c r="A95" s="27" t="s">
        <v>135</v>
      </c>
      <c r="B95" s="28" t="s">
        <v>136</v>
      </c>
      <c r="C95" s="29" t="s">
        <v>299</v>
      </c>
    </row>
    <row r="96" spans="1:3">
      <c r="A96" s="27" t="s">
        <v>105</v>
      </c>
      <c r="B96" s="28" t="s">
        <v>106</v>
      </c>
      <c r="C96" s="29" t="s">
        <v>299</v>
      </c>
    </row>
    <row r="97" spans="1:3">
      <c r="A97" s="27" t="s">
        <v>295</v>
      </c>
      <c r="B97" s="28" t="s">
        <v>296</v>
      </c>
      <c r="C97" s="29" t="s">
        <v>299</v>
      </c>
    </row>
    <row r="98" spans="1:3">
      <c r="A98" s="27" t="s">
        <v>239</v>
      </c>
      <c r="B98" s="28" t="s">
        <v>240</v>
      </c>
      <c r="C98" s="29" t="s">
        <v>299</v>
      </c>
    </row>
    <row r="99" spans="1:3">
      <c r="A99" s="27" t="s">
        <v>101</v>
      </c>
      <c r="B99" s="28" t="s">
        <v>102</v>
      </c>
      <c r="C99" s="29" t="s">
        <v>299</v>
      </c>
    </row>
    <row r="100" spans="1:3">
      <c r="A100" s="27" t="s">
        <v>233</v>
      </c>
      <c r="B100" s="28" t="s">
        <v>234</v>
      </c>
      <c r="C100" s="29" t="s">
        <v>299</v>
      </c>
    </row>
    <row r="101" spans="1:3">
      <c r="A101" s="27" t="s">
        <v>149</v>
      </c>
      <c r="B101" s="28" t="s">
        <v>150</v>
      </c>
      <c r="C101" s="29" t="s">
        <v>299</v>
      </c>
    </row>
  </sheetData>
  <dataValidations count="1">
    <dataValidation type="list" allowBlank="1" showErrorMessage="1" sqref="C2:C101" xr:uid="{00000000-0002-0000-0200-000000000000}">
      <formula1>"TO DO,TRUE,FALSE,SKIP"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9138"/>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2" max="2" width="121.7109375" customWidth="1"/>
    <col min="3" max="3" width="19.7109375" customWidth="1"/>
    <col min="4" max="4" width="60.5703125" customWidth="1"/>
  </cols>
  <sheetData>
    <row r="1" spans="1:4">
      <c r="A1" s="24" t="s">
        <v>95</v>
      </c>
      <c r="B1" s="25" t="s">
        <v>96</v>
      </c>
      <c r="C1" s="26" t="s">
        <v>97</v>
      </c>
      <c r="D1" s="20" t="s">
        <v>98</v>
      </c>
    </row>
    <row r="2" spans="1:4">
      <c r="A2" s="27" t="s">
        <v>109</v>
      </c>
      <c r="B2" s="28" t="s">
        <v>110</v>
      </c>
      <c r="C2" s="29" t="b">
        <v>0</v>
      </c>
    </row>
    <row r="3" spans="1:4">
      <c r="A3" s="27" t="s">
        <v>221</v>
      </c>
      <c r="B3" s="28" t="s">
        <v>222</v>
      </c>
      <c r="C3" s="29" t="b">
        <v>0</v>
      </c>
    </row>
    <row r="4" spans="1:4">
      <c r="A4" s="27" t="s">
        <v>121</v>
      </c>
      <c r="B4" s="28" t="s">
        <v>122</v>
      </c>
      <c r="C4" s="29" t="s">
        <v>14</v>
      </c>
      <c r="D4" s="5" t="s">
        <v>300</v>
      </c>
    </row>
    <row r="5" spans="1:4">
      <c r="A5" s="27" t="s">
        <v>167</v>
      </c>
      <c r="B5" s="28" t="s">
        <v>168</v>
      </c>
      <c r="C5" s="29" t="b">
        <v>0</v>
      </c>
      <c r="D5" s="5" t="s">
        <v>301</v>
      </c>
    </row>
    <row r="6" spans="1:4">
      <c r="A6" s="27" t="s">
        <v>181</v>
      </c>
      <c r="B6" s="28" t="s">
        <v>182</v>
      </c>
      <c r="C6" s="29" t="b">
        <v>0</v>
      </c>
    </row>
    <row r="7" spans="1:4">
      <c r="A7" s="27" t="s">
        <v>225</v>
      </c>
      <c r="B7" s="28" t="s">
        <v>226</v>
      </c>
      <c r="C7" s="29" t="b">
        <v>0</v>
      </c>
    </row>
    <row r="8" spans="1:4">
      <c r="A8" s="27" t="s">
        <v>267</v>
      </c>
      <c r="B8" s="28" t="s">
        <v>268</v>
      </c>
      <c r="C8" s="29" t="s">
        <v>14</v>
      </c>
    </row>
    <row r="9" spans="1:4">
      <c r="A9" s="27" t="s">
        <v>229</v>
      </c>
      <c r="B9" s="28" t="s">
        <v>230</v>
      </c>
      <c r="C9" s="29" t="b">
        <v>0</v>
      </c>
    </row>
    <row r="10" spans="1:4">
      <c r="A10" s="27" t="s">
        <v>207</v>
      </c>
      <c r="B10" s="28" t="s">
        <v>208</v>
      </c>
      <c r="C10" s="29" t="b">
        <v>1</v>
      </c>
    </row>
    <row r="11" spans="1:4">
      <c r="A11" s="27" t="s">
        <v>209</v>
      </c>
      <c r="B11" s="28" t="s">
        <v>210</v>
      </c>
      <c r="C11" s="29" t="b">
        <v>0</v>
      </c>
    </row>
    <row r="12" spans="1:4">
      <c r="A12" s="27" t="s">
        <v>127</v>
      </c>
      <c r="B12" s="28" t="s">
        <v>128</v>
      </c>
      <c r="C12" s="29" t="b">
        <v>1</v>
      </c>
    </row>
    <row r="13" spans="1:4">
      <c r="A13" s="27" t="s">
        <v>231</v>
      </c>
      <c r="B13" s="28" t="s">
        <v>232</v>
      </c>
      <c r="C13" s="29" t="b">
        <v>1</v>
      </c>
    </row>
    <row r="14" spans="1:4">
      <c r="A14" s="27" t="s">
        <v>195</v>
      </c>
      <c r="B14" s="28" t="s">
        <v>196</v>
      </c>
      <c r="C14" s="29" t="b">
        <v>1</v>
      </c>
    </row>
    <row r="15" spans="1:4">
      <c r="A15" s="27" t="s">
        <v>133</v>
      </c>
      <c r="B15" s="28" t="s">
        <v>134</v>
      </c>
      <c r="C15" s="29" t="b">
        <v>1</v>
      </c>
    </row>
    <row r="16" spans="1:4">
      <c r="A16" s="27" t="s">
        <v>243</v>
      </c>
      <c r="B16" s="28" t="s">
        <v>244</v>
      </c>
      <c r="C16" s="29" t="b">
        <v>1</v>
      </c>
    </row>
    <row r="17" spans="1:3">
      <c r="A17" s="27" t="s">
        <v>151</v>
      </c>
      <c r="B17" s="28" t="s">
        <v>152</v>
      </c>
      <c r="C17" s="29" t="b">
        <v>1</v>
      </c>
    </row>
    <row r="18" spans="1:3">
      <c r="A18" s="27" t="s">
        <v>213</v>
      </c>
      <c r="B18" s="28" t="s">
        <v>214</v>
      </c>
      <c r="C18" s="29" t="b">
        <v>1</v>
      </c>
    </row>
    <row r="19" spans="1:3">
      <c r="A19" s="27" t="s">
        <v>143</v>
      </c>
      <c r="B19" s="28" t="s">
        <v>144</v>
      </c>
      <c r="C19" s="29" t="b">
        <v>1</v>
      </c>
    </row>
    <row r="20" spans="1:3">
      <c r="A20" s="27" t="s">
        <v>137</v>
      </c>
      <c r="B20" s="28" t="s">
        <v>138</v>
      </c>
      <c r="C20" s="29" t="b">
        <v>1</v>
      </c>
    </row>
    <row r="21" spans="1:3">
      <c r="A21" s="27" t="s">
        <v>285</v>
      </c>
      <c r="B21" s="28" t="s">
        <v>286</v>
      </c>
      <c r="C21" s="29" t="b">
        <v>1</v>
      </c>
    </row>
    <row r="22" spans="1:3">
      <c r="A22" s="27" t="s">
        <v>145</v>
      </c>
      <c r="B22" s="28" t="s">
        <v>146</v>
      </c>
      <c r="C22" s="29" t="b">
        <v>0</v>
      </c>
    </row>
    <row r="23" spans="1:3">
      <c r="A23" s="27" t="s">
        <v>293</v>
      </c>
      <c r="B23" s="28" t="s">
        <v>294</v>
      </c>
      <c r="C23" s="29" t="b">
        <v>0</v>
      </c>
    </row>
    <row r="24" spans="1:3">
      <c r="A24" s="27" t="s">
        <v>175</v>
      </c>
      <c r="B24" s="28" t="s">
        <v>176</v>
      </c>
      <c r="C24" s="29" t="b">
        <v>1</v>
      </c>
    </row>
    <row r="25" spans="1:3">
      <c r="A25" s="27" t="s">
        <v>291</v>
      </c>
      <c r="B25" s="28" t="s">
        <v>292</v>
      </c>
      <c r="C25" s="29" t="b">
        <v>1</v>
      </c>
    </row>
    <row r="26" spans="1:3">
      <c r="A26" s="27" t="s">
        <v>103</v>
      </c>
      <c r="B26" s="28" t="s">
        <v>104</v>
      </c>
      <c r="C26" s="29" t="b">
        <v>1</v>
      </c>
    </row>
    <row r="27" spans="1:3">
      <c r="A27" s="27" t="s">
        <v>277</v>
      </c>
      <c r="B27" s="28" t="s">
        <v>278</v>
      </c>
      <c r="C27" s="29" t="b">
        <v>1</v>
      </c>
    </row>
    <row r="28" spans="1:3">
      <c r="A28" s="27" t="s">
        <v>211</v>
      </c>
      <c r="B28" s="28" t="s">
        <v>212</v>
      </c>
      <c r="C28" s="29" t="b">
        <v>1</v>
      </c>
    </row>
    <row r="29" spans="1:3">
      <c r="A29" s="27" t="s">
        <v>271</v>
      </c>
      <c r="B29" s="28" t="s">
        <v>272</v>
      </c>
      <c r="C29" s="29" t="b">
        <v>0</v>
      </c>
    </row>
    <row r="30" spans="1:3">
      <c r="A30" s="27" t="s">
        <v>159</v>
      </c>
      <c r="B30" s="28" t="s">
        <v>160</v>
      </c>
      <c r="C30" s="29" t="b">
        <v>1</v>
      </c>
    </row>
    <row r="31" spans="1:3">
      <c r="A31" s="27" t="s">
        <v>111</v>
      </c>
      <c r="B31" s="28" t="s">
        <v>112</v>
      </c>
      <c r="C31" s="29" t="b">
        <v>1</v>
      </c>
    </row>
    <row r="32" spans="1:3">
      <c r="A32" s="27" t="s">
        <v>187</v>
      </c>
      <c r="B32" s="28" t="s">
        <v>188</v>
      </c>
      <c r="C32" s="29" t="b">
        <v>1</v>
      </c>
    </row>
    <row r="33" spans="1:4">
      <c r="A33" s="27" t="s">
        <v>163</v>
      </c>
      <c r="B33" s="28" t="s">
        <v>164</v>
      </c>
      <c r="C33" s="29" t="b">
        <v>0</v>
      </c>
    </row>
    <row r="34" spans="1:4">
      <c r="A34" s="27" t="s">
        <v>129</v>
      </c>
      <c r="B34" s="28" t="s">
        <v>130</v>
      </c>
      <c r="C34" s="29" t="b">
        <v>0</v>
      </c>
    </row>
    <row r="35" spans="1:4">
      <c r="A35" s="27" t="s">
        <v>295</v>
      </c>
      <c r="B35" s="28" t="s">
        <v>296</v>
      </c>
      <c r="C35" s="29" t="b">
        <v>1</v>
      </c>
    </row>
    <row r="36" spans="1:4">
      <c r="A36" s="27" t="s">
        <v>115</v>
      </c>
      <c r="B36" s="28" t="s">
        <v>116</v>
      </c>
      <c r="C36" s="29" t="b">
        <v>1</v>
      </c>
    </row>
    <row r="37" spans="1:4">
      <c r="A37" s="27" t="s">
        <v>161</v>
      </c>
      <c r="B37" s="28" t="s">
        <v>162</v>
      </c>
      <c r="C37" s="29" t="b">
        <v>1</v>
      </c>
    </row>
    <row r="38" spans="1:4">
      <c r="A38" s="27" t="s">
        <v>169</v>
      </c>
      <c r="B38" s="28" t="s">
        <v>170</v>
      </c>
      <c r="C38" s="29" t="b">
        <v>0</v>
      </c>
    </row>
    <row r="39" spans="1:4">
      <c r="A39" s="27" t="s">
        <v>179</v>
      </c>
      <c r="B39" s="28" t="s">
        <v>180</v>
      </c>
      <c r="C39" s="29" t="s">
        <v>14</v>
      </c>
      <c r="D39" s="5" t="s">
        <v>302</v>
      </c>
    </row>
    <row r="40" spans="1:4">
      <c r="A40" s="27" t="s">
        <v>289</v>
      </c>
      <c r="B40" s="28" t="s">
        <v>290</v>
      </c>
      <c r="C40" s="29" t="b">
        <v>0</v>
      </c>
      <c r="D40" s="5" t="s">
        <v>303</v>
      </c>
    </row>
    <row r="41" spans="1:4">
      <c r="A41" s="27" t="s">
        <v>217</v>
      </c>
      <c r="B41" s="28" t="s">
        <v>218</v>
      </c>
      <c r="C41" s="29" t="b">
        <v>1</v>
      </c>
    </row>
    <row r="42" spans="1:4">
      <c r="A42" s="27" t="s">
        <v>171</v>
      </c>
      <c r="B42" s="28" t="s">
        <v>172</v>
      </c>
      <c r="C42" s="29" t="b">
        <v>1</v>
      </c>
    </row>
    <row r="43" spans="1:4">
      <c r="A43" s="27" t="s">
        <v>105</v>
      </c>
      <c r="B43" s="28" t="s">
        <v>106</v>
      </c>
      <c r="C43" s="29" t="b">
        <v>0</v>
      </c>
    </row>
    <row r="44" spans="1:4">
      <c r="A44" s="27" t="s">
        <v>281</v>
      </c>
      <c r="B44" s="28" t="s">
        <v>282</v>
      </c>
      <c r="C44" s="29" t="b">
        <v>0</v>
      </c>
    </row>
    <row r="45" spans="1:4">
      <c r="A45" s="27" t="s">
        <v>239</v>
      </c>
      <c r="B45" s="28" t="s">
        <v>240</v>
      </c>
      <c r="C45" s="29" t="b">
        <v>1</v>
      </c>
    </row>
    <row r="46" spans="1:4">
      <c r="A46" s="27" t="s">
        <v>259</v>
      </c>
      <c r="B46" s="28" t="s">
        <v>260</v>
      </c>
      <c r="C46" s="29" t="b">
        <v>0</v>
      </c>
    </row>
    <row r="47" spans="1:4">
      <c r="A47" s="27" t="s">
        <v>117</v>
      </c>
      <c r="B47" s="28" t="s">
        <v>118</v>
      </c>
      <c r="C47" s="29" t="b">
        <v>1</v>
      </c>
    </row>
    <row r="48" spans="1:4">
      <c r="A48" s="27" t="s">
        <v>135</v>
      </c>
      <c r="B48" s="28" t="s">
        <v>136</v>
      </c>
      <c r="C48" s="29" t="b">
        <v>0</v>
      </c>
    </row>
    <row r="49" spans="1:4">
      <c r="A49" s="27" t="s">
        <v>125</v>
      </c>
      <c r="B49" s="28" t="s">
        <v>126</v>
      </c>
      <c r="C49" s="29" t="b">
        <v>1</v>
      </c>
    </row>
    <row r="50" spans="1:4">
      <c r="A50" s="27" t="s">
        <v>275</v>
      </c>
      <c r="B50" s="28" t="s">
        <v>276</v>
      </c>
      <c r="C50" s="29" t="b">
        <v>1</v>
      </c>
    </row>
    <row r="51" spans="1:4">
      <c r="A51" s="27" t="s">
        <v>247</v>
      </c>
      <c r="B51" s="28" t="s">
        <v>248</v>
      </c>
      <c r="C51" s="29" t="b">
        <v>1</v>
      </c>
    </row>
    <row r="52" spans="1:4">
      <c r="A52" s="27" t="s">
        <v>215</v>
      </c>
      <c r="B52" s="28" t="s">
        <v>216</v>
      </c>
      <c r="C52" s="29" t="b">
        <v>0</v>
      </c>
    </row>
    <row r="53" spans="1:4">
      <c r="A53" s="27" t="s">
        <v>251</v>
      </c>
      <c r="B53" s="28" t="s">
        <v>252</v>
      </c>
      <c r="C53" s="29" t="b">
        <v>0</v>
      </c>
    </row>
    <row r="54" spans="1:4">
      <c r="A54" s="27" t="s">
        <v>237</v>
      </c>
      <c r="B54" s="28" t="s">
        <v>238</v>
      </c>
      <c r="C54" s="29" t="b">
        <v>1</v>
      </c>
    </row>
    <row r="55" spans="1:4">
      <c r="A55" s="27" t="s">
        <v>257</v>
      </c>
      <c r="B55" s="28" t="s">
        <v>258</v>
      </c>
      <c r="C55" s="29" t="b">
        <v>0</v>
      </c>
    </row>
    <row r="56" spans="1:4">
      <c r="A56" s="27" t="s">
        <v>205</v>
      </c>
      <c r="B56" s="28" t="s">
        <v>206</v>
      </c>
      <c r="C56" s="29" t="b">
        <v>1</v>
      </c>
    </row>
    <row r="57" spans="1:4">
      <c r="A57" s="27" t="s">
        <v>287</v>
      </c>
      <c r="B57" s="28" t="s">
        <v>288</v>
      </c>
      <c r="C57" s="29" t="b">
        <v>1</v>
      </c>
    </row>
    <row r="58" spans="1:4">
      <c r="A58" s="27" t="s">
        <v>147</v>
      </c>
      <c r="B58" s="28" t="s">
        <v>148</v>
      </c>
      <c r="C58" s="29" t="b">
        <v>0</v>
      </c>
    </row>
    <row r="59" spans="1:4">
      <c r="A59" s="27" t="s">
        <v>149</v>
      </c>
      <c r="B59" s="28" t="s">
        <v>150</v>
      </c>
      <c r="C59" s="29" t="b">
        <v>0</v>
      </c>
    </row>
    <row r="60" spans="1:4">
      <c r="A60" s="27" t="s">
        <v>131</v>
      </c>
      <c r="B60" s="28" t="s">
        <v>132</v>
      </c>
      <c r="C60" s="29" t="b">
        <v>0</v>
      </c>
    </row>
    <row r="61" spans="1:4">
      <c r="A61" s="27" t="s">
        <v>185</v>
      </c>
      <c r="B61" s="28" t="s">
        <v>186</v>
      </c>
      <c r="C61" s="29" t="b">
        <v>1</v>
      </c>
    </row>
    <row r="62" spans="1:4">
      <c r="A62" s="27" t="s">
        <v>219</v>
      </c>
      <c r="B62" s="28" t="s">
        <v>220</v>
      </c>
      <c r="C62" s="29" t="s">
        <v>14</v>
      </c>
      <c r="D62" s="5" t="s">
        <v>304</v>
      </c>
    </row>
    <row r="63" spans="1:4">
      <c r="A63" s="27" t="s">
        <v>141</v>
      </c>
      <c r="B63" s="28" t="s">
        <v>142</v>
      </c>
      <c r="C63" s="29" t="b">
        <v>1</v>
      </c>
    </row>
    <row r="64" spans="1:4">
      <c r="A64" s="27" t="s">
        <v>203</v>
      </c>
      <c r="B64" s="28" t="s">
        <v>204</v>
      </c>
      <c r="C64" s="29" t="b">
        <v>1</v>
      </c>
    </row>
    <row r="65" spans="1:4">
      <c r="A65" s="27" t="s">
        <v>269</v>
      </c>
      <c r="B65" s="28" t="s">
        <v>270</v>
      </c>
      <c r="C65" s="29" t="b">
        <v>0</v>
      </c>
    </row>
    <row r="66" spans="1:4">
      <c r="A66" s="27" t="s">
        <v>177</v>
      </c>
      <c r="B66" s="28" t="s">
        <v>178</v>
      </c>
      <c r="C66" s="29" t="b">
        <v>1</v>
      </c>
    </row>
    <row r="67" spans="1:4">
      <c r="A67" s="27" t="s">
        <v>235</v>
      </c>
      <c r="B67" s="28" t="s">
        <v>236</v>
      </c>
      <c r="C67" s="29" t="b">
        <v>0</v>
      </c>
    </row>
    <row r="68" spans="1:4">
      <c r="A68" s="27" t="s">
        <v>165</v>
      </c>
      <c r="B68" s="28" t="s">
        <v>166</v>
      </c>
      <c r="C68" s="29" t="b">
        <v>1</v>
      </c>
    </row>
    <row r="69" spans="1:4">
      <c r="A69" s="27" t="s">
        <v>223</v>
      </c>
      <c r="B69" s="28" t="s">
        <v>224</v>
      </c>
      <c r="C69" s="29" t="b">
        <v>1</v>
      </c>
    </row>
    <row r="70" spans="1:4">
      <c r="A70" s="27" t="s">
        <v>199</v>
      </c>
      <c r="B70" s="28" t="s">
        <v>200</v>
      </c>
      <c r="C70" s="29" t="b">
        <v>1</v>
      </c>
    </row>
    <row r="71" spans="1:4">
      <c r="A71" s="27" t="s">
        <v>173</v>
      </c>
      <c r="B71" s="28" t="s">
        <v>174</v>
      </c>
      <c r="C71" s="29" t="b">
        <v>1</v>
      </c>
    </row>
    <row r="72" spans="1:4">
      <c r="A72" s="27" t="s">
        <v>263</v>
      </c>
      <c r="B72" s="28" t="s">
        <v>264</v>
      </c>
      <c r="C72" s="29" t="b">
        <v>1</v>
      </c>
    </row>
    <row r="73" spans="1:4">
      <c r="A73" s="27" t="s">
        <v>155</v>
      </c>
      <c r="B73" s="28" t="s">
        <v>156</v>
      </c>
      <c r="C73" s="29" t="b">
        <v>1</v>
      </c>
    </row>
    <row r="74" spans="1:4">
      <c r="A74" s="27" t="s">
        <v>139</v>
      </c>
      <c r="B74" s="28" t="s">
        <v>140</v>
      </c>
      <c r="C74" s="29" t="b">
        <v>1</v>
      </c>
    </row>
    <row r="75" spans="1:4">
      <c r="A75" s="27" t="s">
        <v>119</v>
      </c>
      <c r="B75" s="28" t="s">
        <v>120</v>
      </c>
      <c r="C75" s="29" t="b">
        <v>0</v>
      </c>
    </row>
    <row r="76" spans="1:4">
      <c r="A76" s="27" t="s">
        <v>227</v>
      </c>
      <c r="B76" s="28" t="s">
        <v>228</v>
      </c>
      <c r="C76" s="29" t="b">
        <v>1</v>
      </c>
    </row>
    <row r="77" spans="1:4">
      <c r="A77" s="27" t="s">
        <v>157</v>
      </c>
      <c r="B77" s="28" t="s">
        <v>158</v>
      </c>
      <c r="C77" s="29" t="s">
        <v>14</v>
      </c>
    </row>
    <row r="78" spans="1:4">
      <c r="A78" s="27" t="s">
        <v>123</v>
      </c>
      <c r="B78" s="28" t="s">
        <v>124</v>
      </c>
      <c r="C78" s="29" t="b">
        <v>0</v>
      </c>
    </row>
    <row r="79" spans="1:4">
      <c r="A79" s="27" t="s">
        <v>201</v>
      </c>
      <c r="B79" s="28" t="s">
        <v>202</v>
      </c>
      <c r="C79" s="29" t="b">
        <v>1</v>
      </c>
    </row>
    <row r="80" spans="1:4">
      <c r="A80" s="27" t="s">
        <v>261</v>
      </c>
      <c r="B80" s="28" t="s">
        <v>262</v>
      </c>
      <c r="C80" s="29" t="b">
        <v>1</v>
      </c>
      <c r="D80" s="5" t="s">
        <v>305</v>
      </c>
    </row>
    <row r="81" spans="1:4">
      <c r="A81" s="27" t="s">
        <v>297</v>
      </c>
      <c r="B81" s="28" t="s">
        <v>298</v>
      </c>
      <c r="C81" s="29" t="b">
        <v>1</v>
      </c>
    </row>
    <row r="82" spans="1:4">
      <c r="A82" s="27" t="s">
        <v>279</v>
      </c>
      <c r="B82" s="28" t="s">
        <v>280</v>
      </c>
      <c r="C82" s="29" t="b">
        <v>0</v>
      </c>
    </row>
    <row r="83" spans="1:4">
      <c r="A83" s="27" t="s">
        <v>189</v>
      </c>
      <c r="B83" s="28" t="s">
        <v>190</v>
      </c>
      <c r="C83" s="29" t="b">
        <v>0</v>
      </c>
    </row>
    <row r="84" spans="1:4">
      <c r="A84" s="27" t="s">
        <v>153</v>
      </c>
      <c r="B84" s="28" t="s">
        <v>154</v>
      </c>
      <c r="C84" s="29" t="b">
        <v>0</v>
      </c>
    </row>
    <row r="85" spans="1:4">
      <c r="A85" s="27" t="s">
        <v>273</v>
      </c>
      <c r="B85" s="28" t="s">
        <v>274</v>
      </c>
      <c r="C85" s="29" t="b">
        <v>0</v>
      </c>
    </row>
    <row r="86" spans="1:4">
      <c r="A86" s="27" t="s">
        <v>197</v>
      </c>
      <c r="B86" s="28" t="s">
        <v>198</v>
      </c>
      <c r="C86" s="29" t="b">
        <v>0</v>
      </c>
    </row>
    <row r="87" spans="1:4">
      <c r="A87" s="27" t="s">
        <v>99</v>
      </c>
      <c r="B87" s="28" t="s">
        <v>100</v>
      </c>
      <c r="C87" s="29" t="b">
        <v>1</v>
      </c>
    </row>
    <row r="88" spans="1:4">
      <c r="A88" s="27" t="s">
        <v>101</v>
      </c>
      <c r="B88" s="28" t="s">
        <v>102</v>
      </c>
      <c r="C88" s="29" t="s">
        <v>14</v>
      </c>
    </row>
    <row r="89" spans="1:4">
      <c r="A89" s="27" t="s">
        <v>241</v>
      </c>
      <c r="B89" s="28" t="s">
        <v>242</v>
      </c>
      <c r="C89" s="29" t="b">
        <v>0</v>
      </c>
    </row>
    <row r="90" spans="1:4">
      <c r="A90" s="27" t="s">
        <v>183</v>
      </c>
      <c r="B90" s="28" t="s">
        <v>184</v>
      </c>
      <c r="C90" s="29" t="s">
        <v>14</v>
      </c>
      <c r="D90" s="5" t="s">
        <v>306</v>
      </c>
    </row>
    <row r="91" spans="1:4">
      <c r="A91" s="27" t="s">
        <v>265</v>
      </c>
      <c r="B91" s="28" t="s">
        <v>266</v>
      </c>
      <c r="C91" s="29" t="b">
        <v>0</v>
      </c>
    </row>
    <row r="92" spans="1:4">
      <c r="A92" s="27" t="s">
        <v>249</v>
      </c>
      <c r="B92" s="28" t="s">
        <v>250</v>
      </c>
      <c r="C92" s="29" t="b">
        <v>1</v>
      </c>
    </row>
    <row r="93" spans="1:4">
      <c r="A93" s="27" t="s">
        <v>283</v>
      </c>
      <c r="B93" s="28" t="s">
        <v>284</v>
      </c>
      <c r="C93" s="29" t="b">
        <v>1</v>
      </c>
    </row>
    <row r="94" spans="1:4">
      <c r="A94" s="27" t="s">
        <v>191</v>
      </c>
      <c r="B94" s="28" t="s">
        <v>192</v>
      </c>
      <c r="C94" s="29" t="b">
        <v>1</v>
      </c>
    </row>
    <row r="95" spans="1:4">
      <c r="A95" s="27" t="s">
        <v>193</v>
      </c>
      <c r="B95" s="28" t="s">
        <v>194</v>
      </c>
      <c r="C95" s="29" t="b">
        <v>0</v>
      </c>
    </row>
    <row r="96" spans="1:4">
      <c r="A96" s="27" t="s">
        <v>245</v>
      </c>
      <c r="B96" s="28" t="s">
        <v>246</v>
      </c>
      <c r="C96" s="29" t="b">
        <v>1</v>
      </c>
    </row>
    <row r="97" spans="1:4">
      <c r="A97" s="27" t="s">
        <v>255</v>
      </c>
      <c r="B97" s="28" t="s">
        <v>256</v>
      </c>
      <c r="C97" s="29" t="b">
        <v>1</v>
      </c>
    </row>
    <row r="98" spans="1:4">
      <c r="A98" s="27" t="s">
        <v>253</v>
      </c>
      <c r="B98" s="28" t="s">
        <v>254</v>
      </c>
      <c r="C98" s="29" t="b">
        <v>0</v>
      </c>
    </row>
    <row r="99" spans="1:4">
      <c r="A99" s="27" t="s">
        <v>107</v>
      </c>
      <c r="B99" s="28" t="s">
        <v>108</v>
      </c>
      <c r="C99" s="29" t="s">
        <v>14</v>
      </c>
      <c r="D99" s="5" t="s">
        <v>307</v>
      </c>
    </row>
    <row r="100" spans="1:4">
      <c r="A100" s="27" t="s">
        <v>233</v>
      </c>
      <c r="B100" s="28" t="s">
        <v>234</v>
      </c>
      <c r="C100" s="29" t="b">
        <v>0</v>
      </c>
    </row>
    <row r="101" spans="1:4">
      <c r="A101" s="27" t="s">
        <v>113</v>
      </c>
      <c r="B101" s="28" t="s">
        <v>114</v>
      </c>
      <c r="C101" s="29" t="b">
        <v>1</v>
      </c>
    </row>
  </sheetData>
  <dataValidations count="1">
    <dataValidation type="list" allowBlank="1" showErrorMessage="1" sqref="C2:C101" xr:uid="{00000000-0002-0000-0300-000000000000}">
      <formula1>"TO DO,TRUE,FALSE,SKIP"</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2" max="2" width="121.7109375" customWidth="1"/>
    <col min="3" max="3" width="19.7109375" customWidth="1"/>
    <col min="4" max="4" width="60.5703125" customWidth="1"/>
  </cols>
  <sheetData>
    <row r="1" spans="1:4">
      <c r="A1" s="24" t="s">
        <v>95</v>
      </c>
      <c r="B1" s="25" t="s">
        <v>96</v>
      </c>
      <c r="C1" s="26" t="s">
        <v>97</v>
      </c>
      <c r="D1" s="20" t="s">
        <v>98</v>
      </c>
    </row>
    <row r="2" spans="1:4">
      <c r="A2" s="27" t="s">
        <v>201</v>
      </c>
      <c r="B2" s="28" t="s">
        <v>202</v>
      </c>
      <c r="C2" s="29" t="s">
        <v>299</v>
      </c>
    </row>
    <row r="3" spans="1:4">
      <c r="A3" s="27" t="s">
        <v>239</v>
      </c>
      <c r="B3" s="28" t="s">
        <v>240</v>
      </c>
      <c r="C3" s="29" t="s">
        <v>299</v>
      </c>
    </row>
    <row r="4" spans="1:4">
      <c r="A4" s="27" t="s">
        <v>121</v>
      </c>
      <c r="B4" s="28" t="s">
        <v>122</v>
      </c>
      <c r="C4" s="29" t="s">
        <v>299</v>
      </c>
    </row>
    <row r="5" spans="1:4">
      <c r="A5" s="27" t="s">
        <v>107</v>
      </c>
      <c r="B5" s="28" t="s">
        <v>108</v>
      </c>
      <c r="C5" s="29" t="s">
        <v>299</v>
      </c>
    </row>
    <row r="6" spans="1:4">
      <c r="A6" s="27" t="s">
        <v>197</v>
      </c>
      <c r="B6" s="28" t="s">
        <v>198</v>
      </c>
      <c r="C6" s="29" t="s">
        <v>299</v>
      </c>
    </row>
    <row r="7" spans="1:4">
      <c r="A7" s="27" t="s">
        <v>217</v>
      </c>
      <c r="B7" s="28" t="s">
        <v>218</v>
      </c>
      <c r="C7" s="29" t="s">
        <v>299</v>
      </c>
    </row>
    <row r="8" spans="1:4">
      <c r="A8" s="27" t="s">
        <v>297</v>
      </c>
      <c r="B8" s="28" t="s">
        <v>298</v>
      </c>
      <c r="C8" s="29" t="s">
        <v>299</v>
      </c>
    </row>
    <row r="9" spans="1:4">
      <c r="A9" s="27" t="s">
        <v>267</v>
      </c>
      <c r="B9" s="28" t="s">
        <v>268</v>
      </c>
      <c r="C9" s="29" t="s">
        <v>299</v>
      </c>
    </row>
    <row r="10" spans="1:4">
      <c r="A10" s="27" t="s">
        <v>169</v>
      </c>
      <c r="B10" s="28" t="s">
        <v>170</v>
      </c>
      <c r="C10" s="29" t="s">
        <v>299</v>
      </c>
    </row>
    <row r="11" spans="1:4">
      <c r="A11" s="27" t="s">
        <v>235</v>
      </c>
      <c r="B11" s="28" t="s">
        <v>236</v>
      </c>
      <c r="C11" s="29" t="s">
        <v>299</v>
      </c>
    </row>
    <row r="12" spans="1:4">
      <c r="A12" s="27" t="s">
        <v>263</v>
      </c>
      <c r="B12" s="28" t="s">
        <v>264</v>
      </c>
      <c r="C12" s="29" t="s">
        <v>299</v>
      </c>
    </row>
    <row r="13" spans="1:4">
      <c r="A13" s="27" t="s">
        <v>157</v>
      </c>
      <c r="B13" s="28" t="s">
        <v>158</v>
      </c>
      <c r="C13" s="29" t="s">
        <v>299</v>
      </c>
    </row>
    <row r="14" spans="1:4">
      <c r="A14" s="27" t="s">
        <v>105</v>
      </c>
      <c r="B14" s="28" t="s">
        <v>106</v>
      </c>
      <c r="C14" s="29" t="s">
        <v>299</v>
      </c>
    </row>
    <row r="15" spans="1:4">
      <c r="A15" s="27" t="s">
        <v>279</v>
      </c>
      <c r="B15" s="28" t="s">
        <v>280</v>
      </c>
      <c r="C15" s="29" t="s">
        <v>299</v>
      </c>
    </row>
    <row r="16" spans="1:4">
      <c r="A16" s="27" t="s">
        <v>183</v>
      </c>
      <c r="B16" s="28" t="s">
        <v>184</v>
      </c>
      <c r="C16" s="29" t="s">
        <v>299</v>
      </c>
    </row>
    <row r="17" spans="1:3">
      <c r="A17" s="27" t="s">
        <v>135</v>
      </c>
      <c r="B17" s="28" t="s">
        <v>136</v>
      </c>
      <c r="C17" s="29" t="s">
        <v>299</v>
      </c>
    </row>
    <row r="18" spans="1:3">
      <c r="A18" s="27" t="s">
        <v>223</v>
      </c>
      <c r="B18" s="28" t="s">
        <v>224</v>
      </c>
      <c r="C18" s="29" t="s">
        <v>299</v>
      </c>
    </row>
    <row r="19" spans="1:3">
      <c r="A19" s="27" t="s">
        <v>253</v>
      </c>
      <c r="B19" s="28" t="s">
        <v>254</v>
      </c>
      <c r="C19" s="29" t="s">
        <v>299</v>
      </c>
    </row>
    <row r="20" spans="1:3">
      <c r="A20" s="27" t="s">
        <v>99</v>
      </c>
      <c r="B20" s="28" t="s">
        <v>100</v>
      </c>
      <c r="C20" s="29" t="s">
        <v>299</v>
      </c>
    </row>
    <row r="21" spans="1:3">
      <c r="A21" s="27" t="s">
        <v>271</v>
      </c>
      <c r="B21" s="28" t="s">
        <v>272</v>
      </c>
      <c r="C21" s="29" t="s">
        <v>299</v>
      </c>
    </row>
    <row r="22" spans="1:3">
      <c r="A22" s="27" t="s">
        <v>155</v>
      </c>
      <c r="B22" s="28" t="s">
        <v>156</v>
      </c>
      <c r="C22" s="29" t="s">
        <v>299</v>
      </c>
    </row>
    <row r="23" spans="1:3">
      <c r="A23" s="27" t="s">
        <v>259</v>
      </c>
      <c r="B23" s="28" t="s">
        <v>260</v>
      </c>
      <c r="C23" s="29" t="s">
        <v>299</v>
      </c>
    </row>
    <row r="24" spans="1:3">
      <c r="A24" s="27" t="s">
        <v>237</v>
      </c>
      <c r="B24" s="28" t="s">
        <v>238</v>
      </c>
      <c r="C24" s="29" t="s">
        <v>299</v>
      </c>
    </row>
    <row r="25" spans="1:3">
      <c r="A25" s="27" t="s">
        <v>273</v>
      </c>
      <c r="B25" s="28" t="s">
        <v>274</v>
      </c>
      <c r="C25" s="29" t="s">
        <v>299</v>
      </c>
    </row>
    <row r="26" spans="1:3">
      <c r="A26" s="27" t="s">
        <v>175</v>
      </c>
      <c r="B26" s="28" t="s">
        <v>176</v>
      </c>
      <c r="C26" s="29" t="s">
        <v>299</v>
      </c>
    </row>
    <row r="27" spans="1:3">
      <c r="A27" s="27" t="s">
        <v>247</v>
      </c>
      <c r="B27" s="28" t="s">
        <v>248</v>
      </c>
      <c r="C27" s="29" t="s">
        <v>299</v>
      </c>
    </row>
    <row r="28" spans="1:3">
      <c r="A28" s="27" t="s">
        <v>227</v>
      </c>
      <c r="B28" s="28" t="s">
        <v>228</v>
      </c>
      <c r="C28" s="29" t="s">
        <v>299</v>
      </c>
    </row>
    <row r="29" spans="1:3">
      <c r="A29" s="27" t="s">
        <v>261</v>
      </c>
      <c r="B29" s="28" t="s">
        <v>262</v>
      </c>
      <c r="C29" s="29" t="s">
        <v>299</v>
      </c>
    </row>
    <row r="30" spans="1:3">
      <c r="A30" s="27" t="s">
        <v>285</v>
      </c>
      <c r="B30" s="28" t="s">
        <v>286</v>
      </c>
      <c r="C30" s="29" t="s">
        <v>299</v>
      </c>
    </row>
    <row r="31" spans="1:3">
      <c r="A31" s="27" t="s">
        <v>249</v>
      </c>
      <c r="B31" s="28" t="s">
        <v>250</v>
      </c>
      <c r="C31" s="29" t="s">
        <v>299</v>
      </c>
    </row>
    <row r="32" spans="1:3">
      <c r="A32" s="27" t="s">
        <v>181</v>
      </c>
      <c r="B32" s="28" t="s">
        <v>182</v>
      </c>
      <c r="C32" s="29" t="s">
        <v>299</v>
      </c>
    </row>
    <row r="33" spans="1:3">
      <c r="A33" s="27" t="s">
        <v>177</v>
      </c>
      <c r="B33" s="28" t="s">
        <v>178</v>
      </c>
      <c r="C33" s="29" t="s">
        <v>299</v>
      </c>
    </row>
    <row r="34" spans="1:3">
      <c r="A34" s="27" t="s">
        <v>219</v>
      </c>
      <c r="B34" s="28" t="s">
        <v>220</v>
      </c>
      <c r="C34" s="29" t="s">
        <v>299</v>
      </c>
    </row>
    <row r="35" spans="1:3">
      <c r="A35" s="27" t="s">
        <v>289</v>
      </c>
      <c r="B35" s="28" t="s">
        <v>290</v>
      </c>
      <c r="C35" s="29" t="s">
        <v>299</v>
      </c>
    </row>
    <row r="36" spans="1:3">
      <c r="A36" s="27" t="s">
        <v>295</v>
      </c>
      <c r="B36" s="28" t="s">
        <v>296</v>
      </c>
      <c r="C36" s="29" t="s">
        <v>299</v>
      </c>
    </row>
    <row r="37" spans="1:3">
      <c r="A37" s="27" t="s">
        <v>167</v>
      </c>
      <c r="B37" s="28" t="s">
        <v>168</v>
      </c>
      <c r="C37" s="29" t="s">
        <v>299</v>
      </c>
    </row>
    <row r="38" spans="1:3">
      <c r="A38" s="27" t="s">
        <v>221</v>
      </c>
      <c r="B38" s="28" t="s">
        <v>222</v>
      </c>
      <c r="C38" s="29" t="s">
        <v>299</v>
      </c>
    </row>
    <row r="39" spans="1:3">
      <c r="A39" s="27" t="s">
        <v>131</v>
      </c>
      <c r="B39" s="28" t="s">
        <v>132</v>
      </c>
      <c r="C39" s="29" t="s">
        <v>299</v>
      </c>
    </row>
    <row r="40" spans="1:3">
      <c r="A40" s="27" t="s">
        <v>209</v>
      </c>
      <c r="B40" s="28" t="s">
        <v>210</v>
      </c>
      <c r="C40" s="29" t="s">
        <v>299</v>
      </c>
    </row>
    <row r="41" spans="1:3">
      <c r="A41" s="27" t="s">
        <v>281</v>
      </c>
      <c r="B41" s="28" t="s">
        <v>282</v>
      </c>
      <c r="C41" s="29" t="s">
        <v>299</v>
      </c>
    </row>
    <row r="42" spans="1:3">
      <c r="A42" s="27" t="s">
        <v>129</v>
      </c>
      <c r="B42" s="28" t="s">
        <v>130</v>
      </c>
      <c r="C42" s="29" t="s">
        <v>299</v>
      </c>
    </row>
    <row r="43" spans="1:3">
      <c r="A43" s="27" t="s">
        <v>231</v>
      </c>
      <c r="B43" s="28" t="s">
        <v>232</v>
      </c>
      <c r="C43" s="29" t="s">
        <v>299</v>
      </c>
    </row>
    <row r="44" spans="1:3">
      <c r="A44" s="27" t="s">
        <v>147</v>
      </c>
      <c r="B44" s="28" t="s">
        <v>148</v>
      </c>
      <c r="C44" s="29" t="s">
        <v>299</v>
      </c>
    </row>
    <row r="45" spans="1:3">
      <c r="A45" s="27" t="s">
        <v>245</v>
      </c>
      <c r="B45" s="28" t="s">
        <v>246</v>
      </c>
      <c r="C45" s="29" t="s">
        <v>299</v>
      </c>
    </row>
    <row r="46" spans="1:3">
      <c r="A46" s="27" t="s">
        <v>215</v>
      </c>
      <c r="B46" s="28" t="s">
        <v>216</v>
      </c>
      <c r="C46" s="29" t="s">
        <v>299</v>
      </c>
    </row>
    <row r="47" spans="1:3">
      <c r="A47" s="27" t="s">
        <v>127</v>
      </c>
      <c r="B47" s="28" t="s">
        <v>128</v>
      </c>
      <c r="C47" s="29" t="s">
        <v>299</v>
      </c>
    </row>
    <row r="48" spans="1:3">
      <c r="A48" s="27" t="s">
        <v>195</v>
      </c>
      <c r="B48" s="28" t="s">
        <v>196</v>
      </c>
      <c r="C48" s="29" t="s">
        <v>299</v>
      </c>
    </row>
    <row r="49" spans="1:3">
      <c r="A49" s="27" t="s">
        <v>189</v>
      </c>
      <c r="B49" s="28" t="s">
        <v>190</v>
      </c>
      <c r="C49" s="29" t="s">
        <v>299</v>
      </c>
    </row>
    <row r="50" spans="1:3">
      <c r="A50" s="27" t="s">
        <v>291</v>
      </c>
      <c r="B50" s="28" t="s">
        <v>292</v>
      </c>
      <c r="C50" s="29" t="s">
        <v>299</v>
      </c>
    </row>
    <row r="51" spans="1:3">
      <c r="A51" s="27" t="s">
        <v>265</v>
      </c>
      <c r="B51" s="28" t="s">
        <v>266</v>
      </c>
      <c r="C51" s="29" t="s">
        <v>299</v>
      </c>
    </row>
    <row r="52" spans="1:3">
      <c r="A52" s="27" t="s">
        <v>275</v>
      </c>
      <c r="B52" s="28" t="s">
        <v>276</v>
      </c>
      <c r="C52" s="29" t="s">
        <v>299</v>
      </c>
    </row>
    <row r="53" spans="1:3">
      <c r="A53" s="27" t="s">
        <v>101</v>
      </c>
      <c r="B53" s="28" t="s">
        <v>102</v>
      </c>
      <c r="C53" s="29" t="s">
        <v>299</v>
      </c>
    </row>
    <row r="54" spans="1:3">
      <c r="A54" s="27" t="s">
        <v>133</v>
      </c>
      <c r="B54" s="28" t="s">
        <v>134</v>
      </c>
      <c r="C54" s="29" t="s">
        <v>299</v>
      </c>
    </row>
    <row r="55" spans="1:3">
      <c r="A55" s="27" t="s">
        <v>213</v>
      </c>
      <c r="B55" s="28" t="s">
        <v>214</v>
      </c>
      <c r="C55" s="29" t="s">
        <v>299</v>
      </c>
    </row>
    <row r="56" spans="1:3">
      <c r="A56" s="27" t="s">
        <v>159</v>
      </c>
      <c r="B56" s="28" t="s">
        <v>160</v>
      </c>
      <c r="C56" s="29" t="s">
        <v>299</v>
      </c>
    </row>
    <row r="57" spans="1:3">
      <c r="A57" s="27" t="s">
        <v>153</v>
      </c>
      <c r="B57" s="28" t="s">
        <v>154</v>
      </c>
      <c r="C57" s="29" t="s">
        <v>299</v>
      </c>
    </row>
    <row r="58" spans="1:3">
      <c r="A58" s="27" t="s">
        <v>187</v>
      </c>
      <c r="B58" s="28" t="s">
        <v>188</v>
      </c>
      <c r="C58" s="29" t="s">
        <v>299</v>
      </c>
    </row>
    <row r="59" spans="1:3">
      <c r="A59" s="27" t="s">
        <v>277</v>
      </c>
      <c r="B59" s="28" t="s">
        <v>278</v>
      </c>
      <c r="C59" s="29" t="s">
        <v>299</v>
      </c>
    </row>
    <row r="60" spans="1:3">
      <c r="A60" s="27" t="s">
        <v>117</v>
      </c>
      <c r="B60" s="28" t="s">
        <v>118</v>
      </c>
      <c r="C60" s="29" t="s">
        <v>299</v>
      </c>
    </row>
    <row r="61" spans="1:3">
      <c r="A61" s="27" t="s">
        <v>293</v>
      </c>
      <c r="B61" s="28" t="s">
        <v>294</v>
      </c>
      <c r="C61" s="29" t="s">
        <v>299</v>
      </c>
    </row>
    <row r="62" spans="1:3">
      <c r="A62" s="27" t="s">
        <v>205</v>
      </c>
      <c r="B62" s="28" t="s">
        <v>206</v>
      </c>
      <c r="C62" s="29" t="s">
        <v>299</v>
      </c>
    </row>
    <row r="63" spans="1:3">
      <c r="A63" s="27" t="s">
        <v>255</v>
      </c>
      <c r="B63" s="28" t="s">
        <v>256</v>
      </c>
      <c r="C63" s="29" t="s">
        <v>299</v>
      </c>
    </row>
    <row r="64" spans="1:3">
      <c r="A64" s="27" t="s">
        <v>139</v>
      </c>
      <c r="B64" s="28" t="s">
        <v>140</v>
      </c>
      <c r="C64" s="29" t="s">
        <v>299</v>
      </c>
    </row>
    <row r="65" spans="1:3">
      <c r="A65" s="27" t="s">
        <v>269</v>
      </c>
      <c r="B65" s="28" t="s">
        <v>270</v>
      </c>
      <c r="C65" s="29" t="s">
        <v>299</v>
      </c>
    </row>
    <row r="66" spans="1:3">
      <c r="A66" s="27" t="s">
        <v>233</v>
      </c>
      <c r="B66" s="28" t="s">
        <v>234</v>
      </c>
      <c r="C66" s="29" t="s">
        <v>299</v>
      </c>
    </row>
    <row r="67" spans="1:3">
      <c r="A67" s="27" t="s">
        <v>225</v>
      </c>
      <c r="B67" s="28" t="s">
        <v>226</v>
      </c>
      <c r="C67" s="29" t="s">
        <v>299</v>
      </c>
    </row>
    <row r="68" spans="1:3">
      <c r="A68" s="27" t="s">
        <v>115</v>
      </c>
      <c r="B68" s="28" t="s">
        <v>116</v>
      </c>
      <c r="C68" s="29" t="s">
        <v>299</v>
      </c>
    </row>
    <row r="69" spans="1:3">
      <c r="A69" s="27" t="s">
        <v>173</v>
      </c>
      <c r="B69" s="28" t="s">
        <v>174</v>
      </c>
      <c r="C69" s="29" t="s">
        <v>299</v>
      </c>
    </row>
    <row r="70" spans="1:3">
      <c r="A70" s="27" t="s">
        <v>199</v>
      </c>
      <c r="B70" s="28" t="s">
        <v>200</v>
      </c>
      <c r="C70" s="29" t="s">
        <v>299</v>
      </c>
    </row>
    <row r="71" spans="1:3">
      <c r="A71" s="27" t="s">
        <v>113</v>
      </c>
      <c r="B71" s="28" t="s">
        <v>114</v>
      </c>
      <c r="C71" s="29" t="s">
        <v>299</v>
      </c>
    </row>
    <row r="72" spans="1:3">
      <c r="A72" s="27" t="s">
        <v>287</v>
      </c>
      <c r="B72" s="28" t="s">
        <v>288</v>
      </c>
      <c r="C72" s="29" t="s">
        <v>299</v>
      </c>
    </row>
    <row r="73" spans="1:3">
      <c r="A73" s="27" t="s">
        <v>119</v>
      </c>
      <c r="B73" s="28" t="s">
        <v>120</v>
      </c>
      <c r="C73" s="29" t="s">
        <v>299</v>
      </c>
    </row>
    <row r="74" spans="1:3">
      <c r="A74" s="27" t="s">
        <v>185</v>
      </c>
      <c r="B74" s="28" t="s">
        <v>186</v>
      </c>
      <c r="C74" s="29" t="s">
        <v>299</v>
      </c>
    </row>
    <row r="75" spans="1:3">
      <c r="A75" s="27" t="s">
        <v>243</v>
      </c>
      <c r="B75" s="28" t="s">
        <v>244</v>
      </c>
      <c r="C75" s="29" t="s">
        <v>299</v>
      </c>
    </row>
    <row r="76" spans="1:3">
      <c r="A76" s="27" t="s">
        <v>283</v>
      </c>
      <c r="B76" s="28" t="s">
        <v>284</v>
      </c>
      <c r="C76" s="29" t="s">
        <v>299</v>
      </c>
    </row>
    <row r="77" spans="1:3">
      <c r="A77" s="27" t="s">
        <v>257</v>
      </c>
      <c r="B77" s="28" t="s">
        <v>258</v>
      </c>
      <c r="C77" s="29" t="s">
        <v>299</v>
      </c>
    </row>
    <row r="78" spans="1:3">
      <c r="A78" s="27" t="s">
        <v>103</v>
      </c>
      <c r="B78" s="28" t="s">
        <v>104</v>
      </c>
      <c r="C78" s="29" t="s">
        <v>299</v>
      </c>
    </row>
    <row r="79" spans="1:3">
      <c r="A79" s="27" t="s">
        <v>165</v>
      </c>
      <c r="B79" s="28" t="s">
        <v>166</v>
      </c>
      <c r="C79" s="29" t="s">
        <v>299</v>
      </c>
    </row>
    <row r="80" spans="1:3">
      <c r="A80" s="27" t="s">
        <v>207</v>
      </c>
      <c r="B80" s="28" t="s">
        <v>208</v>
      </c>
      <c r="C80" s="29" t="s">
        <v>299</v>
      </c>
    </row>
    <row r="81" spans="1:3">
      <c r="A81" s="27" t="s">
        <v>141</v>
      </c>
      <c r="B81" s="28" t="s">
        <v>142</v>
      </c>
      <c r="C81" s="29" t="s">
        <v>299</v>
      </c>
    </row>
    <row r="82" spans="1:3">
      <c r="A82" s="27" t="s">
        <v>191</v>
      </c>
      <c r="B82" s="28" t="s">
        <v>192</v>
      </c>
      <c r="C82" s="29" t="s">
        <v>299</v>
      </c>
    </row>
    <row r="83" spans="1:3">
      <c r="A83" s="27" t="s">
        <v>179</v>
      </c>
      <c r="B83" s="28" t="s">
        <v>180</v>
      </c>
      <c r="C83" s="29" t="s">
        <v>299</v>
      </c>
    </row>
    <row r="84" spans="1:3">
      <c r="A84" s="27" t="s">
        <v>163</v>
      </c>
      <c r="B84" s="28" t="s">
        <v>164</v>
      </c>
      <c r="C84" s="29" t="s">
        <v>299</v>
      </c>
    </row>
    <row r="85" spans="1:3">
      <c r="A85" s="27" t="s">
        <v>137</v>
      </c>
      <c r="B85" s="28" t="s">
        <v>138</v>
      </c>
      <c r="C85" s="29" t="s">
        <v>299</v>
      </c>
    </row>
    <row r="86" spans="1:3">
      <c r="A86" s="27" t="s">
        <v>145</v>
      </c>
      <c r="B86" s="28" t="s">
        <v>146</v>
      </c>
      <c r="C86" s="29" t="s">
        <v>299</v>
      </c>
    </row>
    <row r="87" spans="1:3">
      <c r="A87" s="27" t="s">
        <v>151</v>
      </c>
      <c r="B87" s="28" t="s">
        <v>152</v>
      </c>
      <c r="C87" s="29" t="s">
        <v>299</v>
      </c>
    </row>
    <row r="88" spans="1:3">
      <c r="A88" s="27" t="s">
        <v>229</v>
      </c>
      <c r="B88" s="28" t="s">
        <v>230</v>
      </c>
      <c r="C88" s="29" t="s">
        <v>299</v>
      </c>
    </row>
    <row r="89" spans="1:3">
      <c r="A89" s="27" t="s">
        <v>149</v>
      </c>
      <c r="B89" s="28" t="s">
        <v>150</v>
      </c>
      <c r="C89" s="29" t="s">
        <v>299</v>
      </c>
    </row>
    <row r="90" spans="1:3">
      <c r="A90" s="27" t="s">
        <v>241</v>
      </c>
      <c r="B90" s="28" t="s">
        <v>242</v>
      </c>
      <c r="C90" s="29" t="s">
        <v>299</v>
      </c>
    </row>
    <row r="91" spans="1:3">
      <c r="A91" s="27" t="s">
        <v>193</v>
      </c>
      <c r="B91" s="28" t="s">
        <v>194</v>
      </c>
      <c r="C91" s="29" t="s">
        <v>299</v>
      </c>
    </row>
    <row r="92" spans="1:3">
      <c r="A92" s="27" t="s">
        <v>123</v>
      </c>
      <c r="B92" s="28" t="s">
        <v>124</v>
      </c>
      <c r="C92" s="29" t="s">
        <v>299</v>
      </c>
    </row>
    <row r="93" spans="1:3">
      <c r="A93" s="27" t="s">
        <v>143</v>
      </c>
      <c r="B93" s="28" t="s">
        <v>144</v>
      </c>
      <c r="C93" s="29" t="s">
        <v>299</v>
      </c>
    </row>
    <row r="94" spans="1:3">
      <c r="A94" s="27" t="s">
        <v>111</v>
      </c>
      <c r="B94" s="28" t="s">
        <v>112</v>
      </c>
      <c r="C94" s="29" t="s">
        <v>299</v>
      </c>
    </row>
    <row r="95" spans="1:3">
      <c r="A95" s="27" t="s">
        <v>203</v>
      </c>
      <c r="B95" s="28" t="s">
        <v>204</v>
      </c>
      <c r="C95" s="29" t="s">
        <v>299</v>
      </c>
    </row>
    <row r="96" spans="1:3">
      <c r="A96" s="27" t="s">
        <v>161</v>
      </c>
      <c r="B96" s="28" t="s">
        <v>162</v>
      </c>
      <c r="C96" s="29" t="s">
        <v>299</v>
      </c>
    </row>
    <row r="97" spans="1:3">
      <c r="A97" s="27" t="s">
        <v>251</v>
      </c>
      <c r="B97" s="28" t="s">
        <v>252</v>
      </c>
      <c r="C97" s="29" t="s">
        <v>299</v>
      </c>
    </row>
    <row r="98" spans="1:3">
      <c r="A98" s="27" t="s">
        <v>211</v>
      </c>
      <c r="B98" s="28" t="s">
        <v>212</v>
      </c>
      <c r="C98" s="29" t="s">
        <v>299</v>
      </c>
    </row>
    <row r="99" spans="1:3">
      <c r="A99" s="27" t="s">
        <v>109</v>
      </c>
      <c r="B99" s="28" t="s">
        <v>110</v>
      </c>
      <c r="C99" s="29" t="s">
        <v>299</v>
      </c>
    </row>
    <row r="100" spans="1:3">
      <c r="A100" s="27" t="s">
        <v>125</v>
      </c>
      <c r="B100" s="28" t="s">
        <v>126</v>
      </c>
      <c r="C100" s="29" t="s">
        <v>299</v>
      </c>
    </row>
    <row r="101" spans="1:3">
      <c r="A101" s="27" t="s">
        <v>171</v>
      </c>
      <c r="B101" s="28" t="s">
        <v>172</v>
      </c>
      <c r="C101" s="29" t="s">
        <v>299</v>
      </c>
    </row>
  </sheetData>
  <dataValidations count="1">
    <dataValidation type="list" allowBlank="1" showErrorMessage="1" sqref="C2:C101" xr:uid="{00000000-0002-0000-0400-000000000000}">
      <formula1>"TO DO,TRUE,FALSE,SKIP"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1" max="1" width="0.42578125" customWidth="1"/>
    <col min="2" max="2" width="73.5703125" customWidth="1"/>
    <col min="3" max="4" width="19.7109375" customWidth="1"/>
  </cols>
  <sheetData>
    <row r="1" spans="1:4">
      <c r="A1" s="24" t="s">
        <v>95</v>
      </c>
      <c r="B1" s="25" t="s">
        <v>96</v>
      </c>
      <c r="C1" s="26" t="s">
        <v>97</v>
      </c>
      <c r="D1" s="20" t="s">
        <v>98</v>
      </c>
    </row>
    <row r="2" spans="1:4">
      <c r="A2" s="27" t="s">
        <v>113</v>
      </c>
      <c r="B2" s="28" t="s">
        <v>114</v>
      </c>
      <c r="C2" s="29" t="b">
        <v>0</v>
      </c>
    </row>
    <row r="3" spans="1:4">
      <c r="A3" s="27" t="s">
        <v>123</v>
      </c>
      <c r="B3" s="28" t="s">
        <v>124</v>
      </c>
      <c r="C3" s="29" t="b">
        <v>1</v>
      </c>
    </row>
    <row r="4" spans="1:4">
      <c r="A4" s="27" t="s">
        <v>101</v>
      </c>
      <c r="B4" s="28" t="s">
        <v>102</v>
      </c>
      <c r="C4" s="29" t="b">
        <v>0</v>
      </c>
    </row>
    <row r="5" spans="1:4">
      <c r="A5" s="27" t="s">
        <v>189</v>
      </c>
      <c r="B5" s="28" t="s">
        <v>190</v>
      </c>
      <c r="C5" s="29" t="b">
        <v>0</v>
      </c>
    </row>
    <row r="6" spans="1:4">
      <c r="A6" s="27" t="s">
        <v>161</v>
      </c>
      <c r="B6" s="28" t="s">
        <v>162</v>
      </c>
      <c r="C6" s="29" t="b">
        <v>1</v>
      </c>
    </row>
    <row r="7" spans="1:4">
      <c r="A7" s="27" t="s">
        <v>191</v>
      </c>
      <c r="B7" s="28" t="s">
        <v>192</v>
      </c>
      <c r="C7" s="29" t="b">
        <v>0</v>
      </c>
    </row>
    <row r="8" spans="1:4">
      <c r="A8" s="27" t="s">
        <v>247</v>
      </c>
      <c r="B8" s="28" t="s">
        <v>248</v>
      </c>
      <c r="C8" s="29" t="b">
        <v>1</v>
      </c>
    </row>
    <row r="9" spans="1:4">
      <c r="A9" s="27" t="s">
        <v>131</v>
      </c>
      <c r="B9" s="28" t="s">
        <v>132</v>
      </c>
      <c r="C9" s="29" t="b">
        <v>0</v>
      </c>
    </row>
    <row r="10" spans="1:4">
      <c r="A10" s="27" t="s">
        <v>257</v>
      </c>
      <c r="B10" s="28" t="s">
        <v>258</v>
      </c>
      <c r="C10" s="29" t="b">
        <v>0</v>
      </c>
    </row>
    <row r="11" spans="1:4">
      <c r="A11" s="27" t="s">
        <v>181</v>
      </c>
      <c r="B11" s="28" t="s">
        <v>182</v>
      </c>
      <c r="C11" s="29" t="b">
        <v>0</v>
      </c>
    </row>
    <row r="12" spans="1:4">
      <c r="A12" s="27" t="s">
        <v>107</v>
      </c>
      <c r="B12" s="28" t="s">
        <v>108</v>
      </c>
      <c r="C12" s="29" t="b">
        <v>1</v>
      </c>
    </row>
    <row r="13" spans="1:4">
      <c r="A13" s="27" t="s">
        <v>153</v>
      </c>
      <c r="B13" s="28" t="s">
        <v>154</v>
      </c>
      <c r="C13" s="29" t="b">
        <v>0</v>
      </c>
    </row>
    <row r="14" spans="1:4">
      <c r="A14" s="27" t="s">
        <v>237</v>
      </c>
      <c r="B14" s="28" t="s">
        <v>238</v>
      </c>
      <c r="C14" s="29" t="b">
        <v>0</v>
      </c>
    </row>
    <row r="15" spans="1:4">
      <c r="A15" s="27" t="s">
        <v>253</v>
      </c>
      <c r="B15" s="28" t="s">
        <v>254</v>
      </c>
      <c r="C15" s="29" t="b">
        <v>0</v>
      </c>
    </row>
    <row r="16" spans="1:4">
      <c r="A16" s="27" t="s">
        <v>207</v>
      </c>
      <c r="B16" s="28" t="s">
        <v>208</v>
      </c>
      <c r="C16" s="29" t="b">
        <v>1</v>
      </c>
    </row>
    <row r="17" spans="1:3">
      <c r="A17" s="27" t="s">
        <v>99</v>
      </c>
      <c r="B17" s="28" t="s">
        <v>100</v>
      </c>
      <c r="C17" s="29" t="b">
        <v>1</v>
      </c>
    </row>
    <row r="18" spans="1:3">
      <c r="A18" s="27" t="s">
        <v>179</v>
      </c>
      <c r="B18" s="28" t="s">
        <v>180</v>
      </c>
      <c r="C18" s="29" t="b">
        <v>0</v>
      </c>
    </row>
    <row r="19" spans="1:3">
      <c r="A19" s="27" t="s">
        <v>103</v>
      </c>
      <c r="B19" s="28" t="s">
        <v>104</v>
      </c>
      <c r="C19" s="29" t="b">
        <v>1</v>
      </c>
    </row>
    <row r="20" spans="1:3">
      <c r="A20" s="27" t="s">
        <v>169</v>
      </c>
      <c r="B20" s="28" t="s">
        <v>170</v>
      </c>
      <c r="C20" s="29" t="b">
        <v>0</v>
      </c>
    </row>
    <row r="21" spans="1:3">
      <c r="A21" s="27" t="s">
        <v>117</v>
      </c>
      <c r="B21" s="28" t="s">
        <v>118</v>
      </c>
      <c r="C21" s="29" t="b">
        <v>1</v>
      </c>
    </row>
    <row r="22" spans="1:3">
      <c r="A22" s="27" t="s">
        <v>285</v>
      </c>
      <c r="B22" s="28" t="s">
        <v>286</v>
      </c>
      <c r="C22" s="29" t="b">
        <v>1</v>
      </c>
    </row>
    <row r="23" spans="1:3">
      <c r="A23" s="27" t="s">
        <v>279</v>
      </c>
      <c r="B23" s="28" t="s">
        <v>280</v>
      </c>
      <c r="C23" s="29" t="b">
        <v>0</v>
      </c>
    </row>
    <row r="24" spans="1:3">
      <c r="A24" s="27" t="s">
        <v>293</v>
      </c>
      <c r="B24" s="28" t="s">
        <v>294</v>
      </c>
      <c r="C24" s="29" t="b">
        <v>0</v>
      </c>
    </row>
    <row r="25" spans="1:3">
      <c r="A25" s="27" t="s">
        <v>109</v>
      </c>
      <c r="B25" s="28" t="s">
        <v>110</v>
      </c>
      <c r="C25" s="29" t="b">
        <v>0</v>
      </c>
    </row>
    <row r="26" spans="1:3">
      <c r="A26" s="27" t="s">
        <v>193</v>
      </c>
      <c r="B26" s="28" t="s">
        <v>194</v>
      </c>
      <c r="C26" s="29" t="b">
        <v>0</v>
      </c>
    </row>
    <row r="27" spans="1:3">
      <c r="A27" s="27" t="s">
        <v>205</v>
      </c>
      <c r="B27" s="28" t="s">
        <v>206</v>
      </c>
      <c r="C27" s="29" t="b">
        <v>0</v>
      </c>
    </row>
    <row r="28" spans="1:3">
      <c r="A28" s="27" t="s">
        <v>151</v>
      </c>
      <c r="B28" s="28" t="s">
        <v>152</v>
      </c>
      <c r="C28" s="29" t="b">
        <v>1</v>
      </c>
    </row>
    <row r="29" spans="1:3">
      <c r="A29" s="27" t="s">
        <v>245</v>
      </c>
      <c r="B29" s="28" t="s">
        <v>246</v>
      </c>
      <c r="C29" s="29" t="b">
        <v>1</v>
      </c>
    </row>
    <row r="30" spans="1:3">
      <c r="A30" s="27" t="s">
        <v>133</v>
      </c>
      <c r="B30" s="28" t="s">
        <v>134</v>
      </c>
      <c r="C30" s="29" t="b">
        <v>1</v>
      </c>
    </row>
    <row r="31" spans="1:3">
      <c r="A31" s="27" t="s">
        <v>167</v>
      </c>
      <c r="B31" s="28" t="s">
        <v>168</v>
      </c>
      <c r="C31" s="29" t="b">
        <v>0</v>
      </c>
    </row>
    <row r="32" spans="1:3">
      <c r="A32" s="27" t="s">
        <v>185</v>
      </c>
      <c r="B32" s="28" t="s">
        <v>186</v>
      </c>
      <c r="C32" s="29" t="b">
        <v>1</v>
      </c>
    </row>
    <row r="33" spans="1:3">
      <c r="A33" s="27" t="s">
        <v>171</v>
      </c>
      <c r="B33" s="28" t="s">
        <v>172</v>
      </c>
      <c r="C33" s="29" t="b">
        <v>0</v>
      </c>
    </row>
    <row r="34" spans="1:3">
      <c r="A34" s="27" t="s">
        <v>125</v>
      </c>
      <c r="B34" s="28" t="s">
        <v>126</v>
      </c>
      <c r="C34" s="29" t="b">
        <v>1</v>
      </c>
    </row>
    <row r="35" spans="1:3">
      <c r="A35" s="27" t="s">
        <v>273</v>
      </c>
      <c r="B35" s="28" t="s">
        <v>274</v>
      </c>
      <c r="C35" s="29" t="b">
        <v>1</v>
      </c>
    </row>
    <row r="36" spans="1:3">
      <c r="A36" s="27" t="s">
        <v>163</v>
      </c>
      <c r="B36" s="28" t="s">
        <v>164</v>
      </c>
      <c r="C36" s="29" t="b">
        <v>0</v>
      </c>
    </row>
    <row r="37" spans="1:3">
      <c r="A37" s="27" t="s">
        <v>289</v>
      </c>
      <c r="B37" s="28" t="s">
        <v>290</v>
      </c>
      <c r="C37" s="29" t="b">
        <v>1</v>
      </c>
    </row>
    <row r="38" spans="1:3">
      <c r="A38" s="27" t="s">
        <v>127</v>
      </c>
      <c r="B38" s="28" t="s">
        <v>128</v>
      </c>
      <c r="C38" s="29" t="b">
        <v>1</v>
      </c>
    </row>
    <row r="39" spans="1:3">
      <c r="A39" s="27" t="s">
        <v>243</v>
      </c>
      <c r="B39" s="28" t="s">
        <v>244</v>
      </c>
      <c r="C39" s="29" t="b">
        <v>0</v>
      </c>
    </row>
    <row r="40" spans="1:3">
      <c r="A40" s="27" t="s">
        <v>231</v>
      </c>
      <c r="B40" s="28" t="s">
        <v>232</v>
      </c>
      <c r="C40" s="29" t="b">
        <v>0</v>
      </c>
    </row>
    <row r="41" spans="1:3">
      <c r="A41" s="27" t="s">
        <v>165</v>
      </c>
      <c r="B41" s="28" t="s">
        <v>166</v>
      </c>
      <c r="C41" s="29" t="b">
        <v>1</v>
      </c>
    </row>
    <row r="42" spans="1:3">
      <c r="A42" s="27" t="s">
        <v>219</v>
      </c>
      <c r="B42" s="28" t="s">
        <v>220</v>
      </c>
      <c r="C42" s="29" t="b">
        <v>1</v>
      </c>
    </row>
    <row r="43" spans="1:3">
      <c r="A43" s="27" t="s">
        <v>283</v>
      </c>
      <c r="B43" s="28" t="s">
        <v>284</v>
      </c>
      <c r="C43" s="29" t="b">
        <v>0</v>
      </c>
    </row>
    <row r="44" spans="1:3">
      <c r="A44" s="27" t="s">
        <v>135</v>
      </c>
      <c r="B44" s="28" t="s">
        <v>136</v>
      </c>
      <c r="C44" s="29" t="b">
        <v>0</v>
      </c>
    </row>
    <row r="45" spans="1:3">
      <c r="A45" s="27" t="s">
        <v>145</v>
      </c>
      <c r="B45" s="28" t="s">
        <v>146</v>
      </c>
      <c r="C45" s="29" t="b">
        <v>0</v>
      </c>
    </row>
    <row r="46" spans="1:3">
      <c r="A46" s="27" t="s">
        <v>251</v>
      </c>
      <c r="B46" s="28" t="s">
        <v>252</v>
      </c>
      <c r="C46" s="29" t="b">
        <v>0</v>
      </c>
    </row>
    <row r="47" spans="1:3">
      <c r="A47" s="27" t="s">
        <v>155</v>
      </c>
      <c r="B47" s="28" t="s">
        <v>156</v>
      </c>
      <c r="C47" s="29" t="b">
        <v>1</v>
      </c>
    </row>
    <row r="48" spans="1:3">
      <c r="A48" s="27" t="s">
        <v>213</v>
      </c>
      <c r="B48" s="28" t="s">
        <v>214</v>
      </c>
      <c r="C48" s="29" t="b">
        <v>1</v>
      </c>
    </row>
    <row r="49" spans="1:3">
      <c r="A49" s="27" t="s">
        <v>129</v>
      </c>
      <c r="B49" s="28" t="s">
        <v>130</v>
      </c>
      <c r="C49" s="29" t="b">
        <v>1</v>
      </c>
    </row>
    <row r="50" spans="1:3">
      <c r="A50" s="27" t="s">
        <v>233</v>
      </c>
      <c r="B50" s="28" t="s">
        <v>234</v>
      </c>
      <c r="C50" s="29" t="b">
        <v>1</v>
      </c>
    </row>
    <row r="51" spans="1:3">
      <c r="A51" s="27" t="s">
        <v>291</v>
      </c>
      <c r="B51" s="28" t="s">
        <v>292</v>
      </c>
      <c r="C51" s="29" t="b">
        <v>1</v>
      </c>
    </row>
    <row r="52" spans="1:3">
      <c r="A52" s="27" t="s">
        <v>263</v>
      </c>
      <c r="B52" s="28" t="s">
        <v>264</v>
      </c>
      <c r="C52" s="29" t="b">
        <v>0</v>
      </c>
    </row>
    <row r="53" spans="1:3">
      <c r="A53" s="27" t="s">
        <v>215</v>
      </c>
      <c r="B53" s="28" t="s">
        <v>216</v>
      </c>
      <c r="C53" s="29" t="b">
        <v>0</v>
      </c>
    </row>
    <row r="54" spans="1:3">
      <c r="A54" s="27" t="s">
        <v>271</v>
      </c>
      <c r="B54" s="28" t="s">
        <v>272</v>
      </c>
      <c r="C54" s="29" t="s">
        <v>299</v>
      </c>
    </row>
    <row r="55" spans="1:3">
      <c r="A55" s="27" t="s">
        <v>177</v>
      </c>
      <c r="B55" s="28" t="s">
        <v>178</v>
      </c>
      <c r="C55" s="29" t="s">
        <v>299</v>
      </c>
    </row>
    <row r="56" spans="1:3">
      <c r="A56" s="27" t="s">
        <v>197</v>
      </c>
      <c r="B56" s="28" t="s">
        <v>198</v>
      </c>
      <c r="C56" s="29" t="s">
        <v>299</v>
      </c>
    </row>
    <row r="57" spans="1:3">
      <c r="A57" s="27" t="s">
        <v>157</v>
      </c>
      <c r="B57" s="28" t="s">
        <v>158</v>
      </c>
      <c r="C57" s="29" t="s">
        <v>299</v>
      </c>
    </row>
    <row r="58" spans="1:3">
      <c r="A58" s="27" t="s">
        <v>187</v>
      </c>
      <c r="B58" s="28" t="s">
        <v>188</v>
      </c>
      <c r="C58" s="29" t="s">
        <v>299</v>
      </c>
    </row>
    <row r="59" spans="1:3">
      <c r="A59" s="27" t="s">
        <v>295</v>
      </c>
      <c r="B59" s="28" t="s">
        <v>296</v>
      </c>
      <c r="C59" s="29" t="s">
        <v>299</v>
      </c>
    </row>
    <row r="60" spans="1:3">
      <c r="A60" s="27" t="s">
        <v>203</v>
      </c>
      <c r="B60" s="28" t="s">
        <v>204</v>
      </c>
      <c r="C60" s="29" t="s">
        <v>299</v>
      </c>
    </row>
    <row r="61" spans="1:3">
      <c r="A61" s="27" t="s">
        <v>159</v>
      </c>
      <c r="B61" s="28" t="s">
        <v>160</v>
      </c>
      <c r="C61" s="29" t="s">
        <v>299</v>
      </c>
    </row>
    <row r="62" spans="1:3">
      <c r="A62" s="27" t="s">
        <v>139</v>
      </c>
      <c r="B62" s="28" t="s">
        <v>140</v>
      </c>
      <c r="C62" s="29" t="s">
        <v>299</v>
      </c>
    </row>
    <row r="63" spans="1:3">
      <c r="A63" s="27" t="s">
        <v>227</v>
      </c>
      <c r="B63" s="28" t="s">
        <v>228</v>
      </c>
      <c r="C63" s="29" t="s">
        <v>299</v>
      </c>
    </row>
    <row r="64" spans="1:3">
      <c r="A64" s="27" t="s">
        <v>267</v>
      </c>
      <c r="B64" s="28" t="s">
        <v>268</v>
      </c>
      <c r="C64" s="29" t="s">
        <v>299</v>
      </c>
    </row>
    <row r="65" spans="1:3">
      <c r="A65" s="27" t="s">
        <v>105</v>
      </c>
      <c r="B65" s="28" t="s">
        <v>106</v>
      </c>
      <c r="C65" s="29" t="s">
        <v>299</v>
      </c>
    </row>
    <row r="66" spans="1:3">
      <c r="A66" s="27" t="s">
        <v>149</v>
      </c>
      <c r="B66" s="28" t="s">
        <v>150</v>
      </c>
      <c r="C66" s="29" t="s">
        <v>299</v>
      </c>
    </row>
    <row r="67" spans="1:3">
      <c r="A67" s="27" t="s">
        <v>195</v>
      </c>
      <c r="B67" s="28" t="s">
        <v>196</v>
      </c>
      <c r="C67" s="29" t="s">
        <v>299</v>
      </c>
    </row>
    <row r="68" spans="1:3">
      <c r="A68" s="27" t="s">
        <v>229</v>
      </c>
      <c r="B68" s="28" t="s">
        <v>230</v>
      </c>
      <c r="C68" s="29" t="s">
        <v>299</v>
      </c>
    </row>
    <row r="69" spans="1:3">
      <c r="A69" s="27" t="s">
        <v>261</v>
      </c>
      <c r="B69" s="28" t="s">
        <v>262</v>
      </c>
      <c r="C69" s="29" t="s">
        <v>299</v>
      </c>
    </row>
    <row r="70" spans="1:3">
      <c r="A70" s="27" t="s">
        <v>239</v>
      </c>
      <c r="B70" s="28" t="s">
        <v>240</v>
      </c>
      <c r="C70" s="29" t="s">
        <v>299</v>
      </c>
    </row>
    <row r="71" spans="1:3">
      <c r="A71" s="27" t="s">
        <v>147</v>
      </c>
      <c r="B71" s="28" t="s">
        <v>148</v>
      </c>
      <c r="C71" s="29" t="s">
        <v>299</v>
      </c>
    </row>
    <row r="72" spans="1:3">
      <c r="A72" s="27" t="s">
        <v>137</v>
      </c>
      <c r="B72" s="28" t="s">
        <v>138</v>
      </c>
      <c r="C72" s="29" t="s">
        <v>299</v>
      </c>
    </row>
    <row r="73" spans="1:3">
      <c r="A73" s="27" t="s">
        <v>235</v>
      </c>
      <c r="B73" s="28" t="s">
        <v>236</v>
      </c>
      <c r="C73" s="29" t="s">
        <v>299</v>
      </c>
    </row>
    <row r="74" spans="1:3">
      <c r="A74" s="27" t="s">
        <v>281</v>
      </c>
      <c r="B74" s="28" t="s">
        <v>282</v>
      </c>
      <c r="C74" s="29" t="s">
        <v>299</v>
      </c>
    </row>
    <row r="75" spans="1:3">
      <c r="A75" s="27" t="s">
        <v>265</v>
      </c>
      <c r="B75" s="28" t="s">
        <v>266</v>
      </c>
      <c r="C75" s="29" t="s">
        <v>299</v>
      </c>
    </row>
    <row r="76" spans="1:3">
      <c r="A76" s="27" t="s">
        <v>115</v>
      </c>
      <c r="B76" s="28" t="s">
        <v>116</v>
      </c>
      <c r="C76" s="29" t="s">
        <v>299</v>
      </c>
    </row>
    <row r="77" spans="1:3">
      <c r="A77" s="27" t="s">
        <v>175</v>
      </c>
      <c r="B77" s="28" t="s">
        <v>176</v>
      </c>
      <c r="C77" s="29" t="s">
        <v>299</v>
      </c>
    </row>
    <row r="78" spans="1:3">
      <c r="A78" s="27" t="s">
        <v>183</v>
      </c>
      <c r="B78" s="28" t="s">
        <v>184</v>
      </c>
      <c r="C78" s="29" t="s">
        <v>299</v>
      </c>
    </row>
    <row r="79" spans="1:3">
      <c r="A79" s="27" t="s">
        <v>211</v>
      </c>
      <c r="B79" s="28" t="s">
        <v>212</v>
      </c>
      <c r="C79" s="29" t="s">
        <v>299</v>
      </c>
    </row>
    <row r="80" spans="1:3">
      <c r="A80" s="27" t="s">
        <v>277</v>
      </c>
      <c r="B80" s="28" t="s">
        <v>278</v>
      </c>
      <c r="C80" s="29" t="s">
        <v>299</v>
      </c>
    </row>
    <row r="81" spans="1:3">
      <c r="A81" s="27" t="s">
        <v>111</v>
      </c>
      <c r="B81" s="28" t="s">
        <v>112</v>
      </c>
      <c r="C81" s="29" t="s">
        <v>299</v>
      </c>
    </row>
    <row r="82" spans="1:3">
      <c r="A82" s="27" t="s">
        <v>223</v>
      </c>
      <c r="B82" s="28" t="s">
        <v>224</v>
      </c>
      <c r="C82" s="29" t="s">
        <v>299</v>
      </c>
    </row>
    <row r="83" spans="1:3">
      <c r="A83" s="27" t="s">
        <v>255</v>
      </c>
      <c r="B83" s="28" t="s">
        <v>256</v>
      </c>
      <c r="C83" s="29" t="s">
        <v>299</v>
      </c>
    </row>
    <row r="84" spans="1:3">
      <c r="A84" s="27" t="s">
        <v>221</v>
      </c>
      <c r="B84" s="28" t="s">
        <v>222</v>
      </c>
      <c r="C84" s="29" t="s">
        <v>299</v>
      </c>
    </row>
    <row r="85" spans="1:3">
      <c r="A85" s="27" t="s">
        <v>249</v>
      </c>
      <c r="B85" s="28" t="s">
        <v>250</v>
      </c>
      <c r="C85" s="29" t="s">
        <v>299</v>
      </c>
    </row>
    <row r="86" spans="1:3">
      <c r="A86" s="27" t="s">
        <v>121</v>
      </c>
      <c r="B86" s="28" t="s">
        <v>122</v>
      </c>
      <c r="C86" s="29" t="s">
        <v>299</v>
      </c>
    </row>
    <row r="87" spans="1:3">
      <c r="A87" s="27" t="s">
        <v>143</v>
      </c>
      <c r="B87" s="28" t="s">
        <v>144</v>
      </c>
      <c r="C87" s="29" t="s">
        <v>299</v>
      </c>
    </row>
    <row r="88" spans="1:3">
      <c r="A88" s="27" t="s">
        <v>141</v>
      </c>
      <c r="B88" s="28" t="s">
        <v>142</v>
      </c>
      <c r="C88" s="29" t="s">
        <v>299</v>
      </c>
    </row>
    <row r="89" spans="1:3">
      <c r="A89" s="27" t="s">
        <v>119</v>
      </c>
      <c r="B89" s="28" t="s">
        <v>120</v>
      </c>
      <c r="C89" s="29" t="s">
        <v>299</v>
      </c>
    </row>
    <row r="90" spans="1:3">
      <c r="A90" s="27" t="s">
        <v>275</v>
      </c>
      <c r="B90" s="28" t="s">
        <v>276</v>
      </c>
      <c r="C90" s="29" t="s">
        <v>299</v>
      </c>
    </row>
    <row r="91" spans="1:3">
      <c r="A91" s="27" t="s">
        <v>225</v>
      </c>
      <c r="B91" s="28" t="s">
        <v>226</v>
      </c>
      <c r="C91" s="29" t="s">
        <v>299</v>
      </c>
    </row>
    <row r="92" spans="1:3">
      <c r="A92" s="27" t="s">
        <v>259</v>
      </c>
      <c r="B92" s="28" t="s">
        <v>260</v>
      </c>
      <c r="C92" s="29" t="s">
        <v>299</v>
      </c>
    </row>
    <row r="93" spans="1:3">
      <c r="A93" s="27" t="s">
        <v>173</v>
      </c>
      <c r="B93" s="28" t="s">
        <v>174</v>
      </c>
      <c r="C93" s="29" t="s">
        <v>299</v>
      </c>
    </row>
    <row r="94" spans="1:3">
      <c r="A94" s="27" t="s">
        <v>199</v>
      </c>
      <c r="B94" s="28" t="s">
        <v>200</v>
      </c>
      <c r="C94" s="29" t="s">
        <v>299</v>
      </c>
    </row>
    <row r="95" spans="1:3">
      <c r="A95" s="27" t="s">
        <v>269</v>
      </c>
      <c r="B95" s="28" t="s">
        <v>270</v>
      </c>
      <c r="C95" s="29" t="s">
        <v>299</v>
      </c>
    </row>
    <row r="96" spans="1:3">
      <c r="A96" s="27" t="s">
        <v>201</v>
      </c>
      <c r="B96" s="28" t="s">
        <v>202</v>
      </c>
      <c r="C96" s="29" t="s">
        <v>299</v>
      </c>
    </row>
    <row r="97" spans="1:3">
      <c r="A97" s="27" t="s">
        <v>241</v>
      </c>
      <c r="B97" s="28" t="s">
        <v>242</v>
      </c>
      <c r="C97" s="29" t="s">
        <v>299</v>
      </c>
    </row>
    <row r="98" spans="1:3">
      <c r="A98" s="27" t="s">
        <v>287</v>
      </c>
      <c r="B98" s="28" t="s">
        <v>288</v>
      </c>
      <c r="C98" s="29" t="s">
        <v>299</v>
      </c>
    </row>
    <row r="99" spans="1:3">
      <c r="A99" s="27" t="s">
        <v>297</v>
      </c>
      <c r="B99" s="28" t="s">
        <v>298</v>
      </c>
      <c r="C99" s="29" t="s">
        <v>299</v>
      </c>
    </row>
    <row r="100" spans="1:3">
      <c r="A100" s="27" t="s">
        <v>217</v>
      </c>
      <c r="B100" s="28" t="s">
        <v>218</v>
      </c>
      <c r="C100" s="29" t="s">
        <v>299</v>
      </c>
    </row>
    <row r="101" spans="1:3">
      <c r="A101" s="27" t="s">
        <v>209</v>
      </c>
      <c r="B101" s="28" t="s">
        <v>210</v>
      </c>
      <c r="C101" s="29" t="s">
        <v>299</v>
      </c>
    </row>
  </sheetData>
  <dataValidations count="1">
    <dataValidation type="list" allowBlank="1" showErrorMessage="1" sqref="C2:C101" xr:uid="{00000000-0002-0000-0500-000000000000}">
      <formula1>"TO DO,TRUE,FALSE,SKIP"</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74EA7"/>
    <outlinePr summaryBelow="0" summaryRight="0"/>
  </sheetPr>
  <dimension ref="A1:D101"/>
  <sheetViews>
    <sheetView workbookViewId="0">
      <pane ySplit="1" topLeftCell="A2" activePane="bottomLeft" state="frozen"/>
      <selection pane="bottomLeft" activeCell="B3" sqref="B3"/>
    </sheetView>
  </sheetViews>
  <sheetFormatPr defaultColWidth="12.5703125" defaultRowHeight="15.75" customHeight="1"/>
  <cols>
    <col min="2" max="2" width="85.140625" customWidth="1"/>
    <col min="3" max="3" width="19.7109375" customWidth="1"/>
    <col min="4" max="4" width="60.5703125" customWidth="1"/>
  </cols>
  <sheetData>
    <row r="1" spans="1:4">
      <c r="A1" s="24" t="s">
        <v>95</v>
      </c>
      <c r="B1" s="25" t="s">
        <v>96</v>
      </c>
      <c r="C1" s="26" t="s">
        <v>97</v>
      </c>
      <c r="D1" s="20" t="s">
        <v>98</v>
      </c>
    </row>
    <row r="2" spans="1:4">
      <c r="A2" s="27" t="s">
        <v>245</v>
      </c>
      <c r="B2" s="28" t="s">
        <v>246</v>
      </c>
      <c r="C2" s="29" t="b">
        <v>1</v>
      </c>
    </row>
    <row r="3" spans="1:4">
      <c r="A3" s="27" t="s">
        <v>255</v>
      </c>
      <c r="B3" s="28" t="s">
        <v>256</v>
      </c>
      <c r="C3" s="29" t="b">
        <v>1</v>
      </c>
    </row>
    <row r="4" spans="1:4">
      <c r="A4" s="27" t="s">
        <v>225</v>
      </c>
      <c r="B4" s="28" t="s">
        <v>226</v>
      </c>
      <c r="C4" s="29" t="b">
        <v>0</v>
      </c>
    </row>
    <row r="5" spans="1:4">
      <c r="A5" s="27" t="s">
        <v>131</v>
      </c>
      <c r="B5" s="28" t="s">
        <v>132</v>
      </c>
      <c r="C5" s="29" t="b">
        <v>1</v>
      </c>
      <c r="D5" s="5">
        <v>17.600000000000001</v>
      </c>
    </row>
    <row r="6" spans="1:4">
      <c r="A6" s="27" t="s">
        <v>187</v>
      </c>
      <c r="B6" s="28" t="s">
        <v>188</v>
      </c>
      <c r="C6" s="29" t="b">
        <v>1</v>
      </c>
    </row>
    <row r="7" spans="1:4">
      <c r="A7" s="27" t="s">
        <v>203</v>
      </c>
      <c r="B7" s="28" t="s">
        <v>204</v>
      </c>
      <c r="C7" s="29" t="b">
        <v>1</v>
      </c>
      <c r="D7" s="5">
        <v>17.14</v>
      </c>
    </row>
    <row r="8" spans="1:4">
      <c r="A8" s="27" t="s">
        <v>237</v>
      </c>
      <c r="B8" s="28" t="s">
        <v>238</v>
      </c>
      <c r="C8" s="29" t="b">
        <v>1</v>
      </c>
    </row>
    <row r="9" spans="1:4">
      <c r="A9" s="27" t="s">
        <v>189</v>
      </c>
      <c r="B9" s="28" t="s">
        <v>190</v>
      </c>
      <c r="C9" s="29" t="b">
        <v>0</v>
      </c>
    </row>
    <row r="10" spans="1:4">
      <c r="A10" s="27" t="s">
        <v>295</v>
      </c>
      <c r="B10" s="28" t="s">
        <v>296</v>
      </c>
      <c r="C10" s="29" t="b">
        <v>1</v>
      </c>
      <c r="D10" s="5">
        <v>17.100000000000001</v>
      </c>
    </row>
    <row r="11" spans="1:4">
      <c r="A11" s="27" t="s">
        <v>283</v>
      </c>
      <c r="B11" s="28" t="s">
        <v>284</v>
      </c>
      <c r="C11" s="29" t="b">
        <v>0</v>
      </c>
    </row>
    <row r="12" spans="1:4">
      <c r="A12" s="27" t="s">
        <v>285</v>
      </c>
      <c r="B12" s="28" t="s">
        <v>286</v>
      </c>
      <c r="C12" s="29" t="b">
        <v>1</v>
      </c>
    </row>
    <row r="13" spans="1:4">
      <c r="A13" s="27" t="s">
        <v>267</v>
      </c>
      <c r="B13" s="28" t="s">
        <v>268</v>
      </c>
      <c r="C13" s="29" t="b">
        <v>1</v>
      </c>
    </row>
    <row r="14" spans="1:4">
      <c r="A14" s="27" t="s">
        <v>105</v>
      </c>
      <c r="B14" s="28" t="s">
        <v>106</v>
      </c>
      <c r="C14" s="29" t="b">
        <v>1</v>
      </c>
      <c r="D14" s="5" t="s">
        <v>308</v>
      </c>
    </row>
    <row r="15" spans="1:4">
      <c r="A15" s="27" t="s">
        <v>181</v>
      </c>
      <c r="B15" s="28" t="s">
        <v>182</v>
      </c>
      <c r="C15" s="29" t="b">
        <v>0</v>
      </c>
    </row>
    <row r="16" spans="1:4">
      <c r="A16" s="27" t="s">
        <v>157</v>
      </c>
      <c r="B16" s="28" t="s">
        <v>158</v>
      </c>
      <c r="C16" s="29" t="b">
        <v>0</v>
      </c>
    </row>
    <row r="17" spans="1:4">
      <c r="A17" s="27" t="s">
        <v>291</v>
      </c>
      <c r="B17" s="28" t="s">
        <v>292</v>
      </c>
      <c r="C17" s="29" t="b">
        <v>1</v>
      </c>
    </row>
    <row r="18" spans="1:4">
      <c r="A18" s="27" t="s">
        <v>167</v>
      </c>
      <c r="B18" s="28" t="s">
        <v>168</v>
      </c>
      <c r="C18" s="29" t="b">
        <v>0</v>
      </c>
    </row>
    <row r="19" spans="1:4">
      <c r="A19" s="27" t="s">
        <v>205</v>
      </c>
      <c r="B19" s="28" t="s">
        <v>206</v>
      </c>
      <c r="C19" s="29" t="b">
        <v>1</v>
      </c>
      <c r="D19" s="5">
        <v>17.399999999999999</v>
      </c>
    </row>
    <row r="20" spans="1:4">
      <c r="A20" s="27" t="s">
        <v>281</v>
      </c>
      <c r="B20" s="28" t="s">
        <v>282</v>
      </c>
      <c r="C20" s="29" t="b">
        <v>0</v>
      </c>
    </row>
    <row r="21" spans="1:4">
      <c r="A21" s="27" t="s">
        <v>143</v>
      </c>
      <c r="B21" s="28" t="s">
        <v>144</v>
      </c>
      <c r="C21" s="29" t="b">
        <v>1</v>
      </c>
      <c r="D21" s="5">
        <v>17.8</v>
      </c>
    </row>
    <row r="22" spans="1:4">
      <c r="A22" s="27" t="s">
        <v>109</v>
      </c>
      <c r="B22" s="28" t="s">
        <v>110</v>
      </c>
      <c r="C22" s="29" t="b">
        <v>0</v>
      </c>
    </row>
    <row r="23" spans="1:4">
      <c r="A23" s="27" t="s">
        <v>235</v>
      </c>
      <c r="B23" s="28" t="s">
        <v>236</v>
      </c>
      <c r="C23" s="29" t="b">
        <v>0</v>
      </c>
    </row>
    <row r="24" spans="1:4">
      <c r="A24" s="27" t="s">
        <v>179</v>
      </c>
      <c r="B24" s="28" t="s">
        <v>180</v>
      </c>
      <c r="C24" s="29" t="b">
        <v>0</v>
      </c>
      <c r="D24" s="5" t="s">
        <v>309</v>
      </c>
    </row>
    <row r="25" spans="1:4">
      <c r="A25" s="27" t="s">
        <v>293</v>
      </c>
      <c r="B25" s="28" t="s">
        <v>294</v>
      </c>
      <c r="C25" s="29" t="b">
        <v>0</v>
      </c>
    </row>
    <row r="26" spans="1:4">
      <c r="A26" s="27" t="s">
        <v>241</v>
      </c>
      <c r="B26" s="28" t="s">
        <v>242</v>
      </c>
      <c r="C26" s="29" t="b">
        <v>0</v>
      </c>
    </row>
    <row r="27" spans="1:4">
      <c r="A27" s="27" t="s">
        <v>99</v>
      </c>
      <c r="B27" s="28" t="s">
        <v>100</v>
      </c>
      <c r="C27" s="29" t="b">
        <v>1</v>
      </c>
    </row>
    <row r="28" spans="1:4">
      <c r="A28" s="27" t="s">
        <v>279</v>
      </c>
      <c r="B28" s="28" t="s">
        <v>280</v>
      </c>
      <c r="C28" s="29" t="b">
        <v>0</v>
      </c>
      <c r="D28" s="5" t="s">
        <v>310</v>
      </c>
    </row>
    <row r="29" spans="1:4">
      <c r="A29" s="27" t="s">
        <v>207</v>
      </c>
      <c r="B29" s="28" t="s">
        <v>208</v>
      </c>
      <c r="C29" s="29" t="b">
        <v>1</v>
      </c>
    </row>
    <row r="30" spans="1:4">
      <c r="A30" s="27" t="s">
        <v>175</v>
      </c>
      <c r="B30" s="28" t="s">
        <v>176</v>
      </c>
      <c r="C30" s="29" t="b">
        <v>0</v>
      </c>
    </row>
    <row r="31" spans="1:4">
      <c r="A31" s="27" t="s">
        <v>117</v>
      </c>
      <c r="B31" s="28" t="s">
        <v>118</v>
      </c>
      <c r="C31" s="29" t="b">
        <v>1</v>
      </c>
    </row>
    <row r="32" spans="1:4">
      <c r="A32" s="27" t="s">
        <v>191</v>
      </c>
      <c r="B32" s="28" t="s">
        <v>192</v>
      </c>
      <c r="C32" s="29" t="b">
        <v>1</v>
      </c>
      <c r="D32" s="5" t="s">
        <v>311</v>
      </c>
    </row>
    <row r="33" spans="1:4">
      <c r="A33" s="27" t="s">
        <v>159</v>
      </c>
      <c r="B33" s="28" t="s">
        <v>160</v>
      </c>
      <c r="C33" s="29" t="b">
        <v>0</v>
      </c>
    </row>
    <row r="34" spans="1:4">
      <c r="A34" s="27" t="s">
        <v>141</v>
      </c>
      <c r="B34" s="28" t="s">
        <v>142</v>
      </c>
      <c r="C34" s="29" t="b">
        <v>0</v>
      </c>
    </row>
    <row r="35" spans="1:4">
      <c r="A35" s="27" t="s">
        <v>213</v>
      </c>
      <c r="B35" s="28" t="s">
        <v>214</v>
      </c>
      <c r="C35" s="29" t="b">
        <v>1</v>
      </c>
    </row>
    <row r="36" spans="1:4">
      <c r="A36" s="27" t="s">
        <v>121</v>
      </c>
      <c r="B36" s="28" t="s">
        <v>122</v>
      </c>
      <c r="C36" s="29" t="b">
        <v>0</v>
      </c>
    </row>
    <row r="37" spans="1:4">
      <c r="A37" s="27" t="s">
        <v>249</v>
      </c>
      <c r="B37" s="28" t="s">
        <v>250</v>
      </c>
      <c r="C37" s="29" t="b">
        <v>0</v>
      </c>
    </row>
    <row r="38" spans="1:4">
      <c r="A38" s="27" t="s">
        <v>233</v>
      </c>
      <c r="B38" s="28" t="s">
        <v>234</v>
      </c>
      <c r="C38" s="29" t="b">
        <v>0</v>
      </c>
    </row>
    <row r="39" spans="1:4">
      <c r="A39" s="27" t="s">
        <v>287</v>
      </c>
      <c r="B39" s="28" t="s">
        <v>288</v>
      </c>
      <c r="C39" s="29" t="b">
        <v>1</v>
      </c>
    </row>
    <row r="40" spans="1:4">
      <c r="A40" s="27" t="s">
        <v>193</v>
      </c>
      <c r="B40" s="28" t="s">
        <v>194</v>
      </c>
      <c r="C40" s="29" t="b">
        <v>0</v>
      </c>
    </row>
    <row r="41" spans="1:4">
      <c r="A41" s="27" t="s">
        <v>217</v>
      </c>
      <c r="B41" s="28" t="s">
        <v>218</v>
      </c>
      <c r="C41" s="29" t="b">
        <v>1</v>
      </c>
      <c r="D41" s="5" t="s">
        <v>312</v>
      </c>
    </row>
    <row r="42" spans="1:4">
      <c r="A42" s="27" t="s">
        <v>271</v>
      </c>
      <c r="B42" s="28" t="s">
        <v>272</v>
      </c>
      <c r="C42" s="29" t="b">
        <v>0</v>
      </c>
    </row>
    <row r="43" spans="1:4">
      <c r="A43" s="27" t="s">
        <v>171</v>
      </c>
      <c r="B43" s="28" t="s">
        <v>172</v>
      </c>
      <c r="C43" s="29" t="b">
        <v>1</v>
      </c>
    </row>
    <row r="44" spans="1:4">
      <c r="A44" s="27" t="s">
        <v>139</v>
      </c>
      <c r="B44" s="28" t="s">
        <v>140</v>
      </c>
      <c r="C44" s="29" t="b">
        <v>0</v>
      </c>
      <c r="D44" s="5" t="s">
        <v>313</v>
      </c>
    </row>
    <row r="45" spans="1:4">
      <c r="A45" s="27" t="s">
        <v>163</v>
      </c>
      <c r="B45" s="28" t="s">
        <v>164</v>
      </c>
      <c r="C45" s="29" t="b">
        <v>0</v>
      </c>
      <c r="D45" s="5" t="s">
        <v>314</v>
      </c>
    </row>
    <row r="46" spans="1:4">
      <c r="A46" s="27" t="s">
        <v>135</v>
      </c>
      <c r="B46" s="28" t="s">
        <v>136</v>
      </c>
      <c r="C46" s="29" t="b">
        <v>0</v>
      </c>
    </row>
    <row r="47" spans="1:4">
      <c r="A47" s="27" t="s">
        <v>229</v>
      </c>
      <c r="B47" s="28" t="s">
        <v>230</v>
      </c>
      <c r="C47" s="29" t="b">
        <v>0</v>
      </c>
    </row>
    <row r="48" spans="1:4">
      <c r="A48" s="27" t="s">
        <v>215</v>
      </c>
      <c r="B48" s="28" t="s">
        <v>216</v>
      </c>
      <c r="C48" s="29" t="b">
        <v>0</v>
      </c>
    </row>
    <row r="49" spans="1:4">
      <c r="A49" s="27" t="s">
        <v>127</v>
      </c>
      <c r="B49" s="28" t="s">
        <v>128</v>
      </c>
      <c r="C49" s="29" t="b">
        <v>1</v>
      </c>
    </row>
    <row r="50" spans="1:4">
      <c r="A50" s="27" t="s">
        <v>197</v>
      </c>
      <c r="B50" s="28" t="s">
        <v>198</v>
      </c>
      <c r="C50" s="29" t="b">
        <v>0</v>
      </c>
    </row>
    <row r="51" spans="1:4">
      <c r="A51" s="27" t="s">
        <v>227</v>
      </c>
      <c r="B51" s="28" t="s">
        <v>228</v>
      </c>
      <c r="C51" s="29" t="b">
        <v>1</v>
      </c>
    </row>
    <row r="52" spans="1:4">
      <c r="A52" s="27" t="s">
        <v>253</v>
      </c>
      <c r="B52" s="28" t="s">
        <v>254</v>
      </c>
      <c r="C52" s="29" t="b">
        <v>0</v>
      </c>
    </row>
    <row r="53" spans="1:4">
      <c r="A53" s="27" t="s">
        <v>153</v>
      </c>
      <c r="B53" s="28" t="s">
        <v>154</v>
      </c>
      <c r="C53" s="29" t="b">
        <v>0</v>
      </c>
    </row>
    <row r="54" spans="1:4">
      <c r="A54" s="27" t="s">
        <v>185</v>
      </c>
      <c r="B54" s="28" t="s">
        <v>186</v>
      </c>
      <c r="C54" s="29" t="b">
        <v>1</v>
      </c>
    </row>
    <row r="55" spans="1:4">
      <c r="A55" s="27" t="s">
        <v>275</v>
      </c>
      <c r="B55" s="28" t="s">
        <v>276</v>
      </c>
      <c r="C55" s="29" t="b">
        <v>1</v>
      </c>
    </row>
    <row r="56" spans="1:4">
      <c r="A56" s="27" t="s">
        <v>269</v>
      </c>
      <c r="B56" s="28" t="s">
        <v>270</v>
      </c>
      <c r="C56" s="29" t="b">
        <v>0</v>
      </c>
    </row>
    <row r="57" spans="1:4">
      <c r="A57" s="27" t="s">
        <v>251</v>
      </c>
      <c r="B57" s="28" t="s">
        <v>252</v>
      </c>
      <c r="C57" s="29" t="b">
        <v>0</v>
      </c>
    </row>
    <row r="58" spans="1:4">
      <c r="A58" s="27" t="s">
        <v>115</v>
      </c>
      <c r="B58" s="28" t="s">
        <v>116</v>
      </c>
      <c r="C58" s="29" t="b">
        <v>1</v>
      </c>
    </row>
    <row r="59" spans="1:4">
      <c r="A59" s="27" t="s">
        <v>195</v>
      </c>
      <c r="B59" s="28" t="s">
        <v>196</v>
      </c>
      <c r="C59" s="29" t="b">
        <v>1</v>
      </c>
    </row>
    <row r="60" spans="1:4">
      <c r="A60" s="27" t="s">
        <v>113</v>
      </c>
      <c r="B60" s="28" t="s">
        <v>114</v>
      </c>
      <c r="C60" s="29" t="b">
        <v>0</v>
      </c>
    </row>
    <row r="61" spans="1:4">
      <c r="A61" s="27" t="s">
        <v>231</v>
      </c>
      <c r="B61" s="28" t="s">
        <v>232</v>
      </c>
      <c r="C61" s="29" t="b">
        <v>0</v>
      </c>
    </row>
    <row r="62" spans="1:4">
      <c r="A62" s="27" t="s">
        <v>177</v>
      </c>
      <c r="B62" s="28" t="s">
        <v>178</v>
      </c>
      <c r="C62" s="29" t="b">
        <v>0</v>
      </c>
    </row>
    <row r="63" spans="1:4">
      <c r="A63" s="27" t="s">
        <v>199</v>
      </c>
      <c r="B63" s="28" t="s">
        <v>200</v>
      </c>
      <c r="C63" s="29" t="b">
        <v>1</v>
      </c>
    </row>
    <row r="64" spans="1:4">
      <c r="A64" s="27" t="s">
        <v>119</v>
      </c>
      <c r="B64" s="28" t="s">
        <v>120</v>
      </c>
      <c r="C64" s="29" t="b">
        <v>0</v>
      </c>
      <c r="D64" s="5" t="s">
        <v>315</v>
      </c>
    </row>
    <row r="65" spans="1:4">
      <c r="A65" s="27" t="s">
        <v>221</v>
      </c>
      <c r="B65" s="28" t="s">
        <v>222</v>
      </c>
      <c r="C65" s="29" t="b">
        <v>0</v>
      </c>
    </row>
    <row r="66" spans="1:4">
      <c r="A66" s="27" t="s">
        <v>261</v>
      </c>
      <c r="B66" s="28" t="s">
        <v>262</v>
      </c>
      <c r="C66" s="29" t="b">
        <v>1</v>
      </c>
    </row>
    <row r="67" spans="1:4">
      <c r="A67" s="27" t="s">
        <v>103</v>
      </c>
      <c r="B67" s="28" t="s">
        <v>104</v>
      </c>
      <c r="C67" s="29" t="b">
        <v>0</v>
      </c>
    </row>
    <row r="68" spans="1:4">
      <c r="A68" s="27" t="s">
        <v>243</v>
      </c>
      <c r="B68" s="28" t="s">
        <v>244</v>
      </c>
      <c r="C68" s="29" t="b">
        <v>1</v>
      </c>
    </row>
    <row r="69" spans="1:4">
      <c r="A69" s="27" t="s">
        <v>211</v>
      </c>
      <c r="B69" s="28" t="s">
        <v>212</v>
      </c>
      <c r="C69" s="29" t="b">
        <v>1</v>
      </c>
    </row>
    <row r="70" spans="1:4">
      <c r="A70" s="27" t="s">
        <v>239</v>
      </c>
      <c r="B70" s="28" t="s">
        <v>240</v>
      </c>
      <c r="C70" s="29" t="b">
        <v>1</v>
      </c>
    </row>
    <row r="71" spans="1:4">
      <c r="A71" s="27" t="s">
        <v>209</v>
      </c>
      <c r="B71" s="28" t="s">
        <v>210</v>
      </c>
      <c r="C71" s="29" t="b">
        <v>0</v>
      </c>
    </row>
    <row r="72" spans="1:4">
      <c r="A72" s="27" t="s">
        <v>257</v>
      </c>
      <c r="B72" s="28" t="s">
        <v>258</v>
      </c>
      <c r="C72" s="29" t="b">
        <v>0</v>
      </c>
    </row>
    <row r="73" spans="1:4">
      <c r="A73" s="27" t="s">
        <v>123</v>
      </c>
      <c r="B73" s="28" t="s">
        <v>124</v>
      </c>
      <c r="C73" s="29" t="b">
        <v>0</v>
      </c>
    </row>
    <row r="74" spans="1:4">
      <c r="A74" s="27" t="s">
        <v>289</v>
      </c>
      <c r="B74" s="28" t="s">
        <v>290</v>
      </c>
      <c r="C74" s="29" t="b">
        <v>0</v>
      </c>
    </row>
    <row r="75" spans="1:4">
      <c r="A75" s="27" t="s">
        <v>265</v>
      </c>
      <c r="B75" s="28" t="s">
        <v>266</v>
      </c>
      <c r="C75" s="29" t="b">
        <v>0</v>
      </c>
    </row>
    <row r="76" spans="1:4">
      <c r="A76" s="27" t="s">
        <v>137</v>
      </c>
      <c r="B76" s="28" t="s">
        <v>138</v>
      </c>
      <c r="C76" s="29" t="b">
        <v>1</v>
      </c>
    </row>
    <row r="77" spans="1:4">
      <c r="A77" s="27" t="s">
        <v>155</v>
      </c>
      <c r="B77" s="28" t="s">
        <v>156</v>
      </c>
      <c r="C77" s="29" t="b">
        <v>1</v>
      </c>
    </row>
    <row r="78" spans="1:4">
      <c r="A78" s="27" t="s">
        <v>219</v>
      </c>
      <c r="B78" s="28" t="s">
        <v>220</v>
      </c>
      <c r="C78" s="29" t="b">
        <v>0</v>
      </c>
    </row>
    <row r="79" spans="1:4">
      <c r="A79" s="27" t="s">
        <v>125</v>
      </c>
      <c r="B79" s="28" t="s">
        <v>126</v>
      </c>
      <c r="C79" s="29" t="b">
        <v>0</v>
      </c>
      <c r="D79" s="5" t="s">
        <v>315</v>
      </c>
    </row>
    <row r="80" spans="1:4">
      <c r="A80" s="27" t="s">
        <v>149</v>
      </c>
      <c r="B80" s="28" t="s">
        <v>150</v>
      </c>
      <c r="C80" s="29" t="b">
        <v>0</v>
      </c>
    </row>
    <row r="81" spans="1:4">
      <c r="A81" s="27" t="s">
        <v>107</v>
      </c>
      <c r="B81" s="28" t="s">
        <v>108</v>
      </c>
      <c r="C81" s="29" t="b">
        <v>1</v>
      </c>
    </row>
    <row r="82" spans="1:4">
      <c r="A82" s="27" t="s">
        <v>165</v>
      </c>
      <c r="B82" s="28" t="s">
        <v>166</v>
      </c>
      <c r="C82" s="29" t="b">
        <v>1</v>
      </c>
    </row>
    <row r="83" spans="1:4">
      <c r="A83" s="27" t="s">
        <v>263</v>
      </c>
      <c r="B83" s="28" t="s">
        <v>264</v>
      </c>
      <c r="C83" s="29" t="b">
        <v>0</v>
      </c>
    </row>
    <row r="84" spans="1:4">
      <c r="A84" s="27" t="s">
        <v>247</v>
      </c>
      <c r="B84" s="28" t="s">
        <v>248</v>
      </c>
      <c r="C84" s="29" t="b">
        <v>0</v>
      </c>
      <c r="D84" s="5" t="s">
        <v>316</v>
      </c>
    </row>
    <row r="85" spans="1:4">
      <c r="A85" s="27" t="s">
        <v>297</v>
      </c>
      <c r="B85" s="28" t="s">
        <v>298</v>
      </c>
      <c r="C85" s="29" t="b">
        <v>1</v>
      </c>
    </row>
    <row r="86" spans="1:4">
      <c r="A86" s="27" t="s">
        <v>161</v>
      </c>
      <c r="B86" s="28" t="s">
        <v>162</v>
      </c>
      <c r="C86" s="29" t="b">
        <v>1</v>
      </c>
    </row>
    <row r="87" spans="1:4">
      <c r="A87" s="27" t="s">
        <v>151</v>
      </c>
      <c r="B87" s="28" t="s">
        <v>152</v>
      </c>
      <c r="C87" s="29" t="b">
        <v>0</v>
      </c>
    </row>
    <row r="88" spans="1:4">
      <c r="A88" s="27" t="s">
        <v>259</v>
      </c>
      <c r="B88" s="28" t="s">
        <v>260</v>
      </c>
      <c r="C88" s="29" t="b">
        <v>0</v>
      </c>
    </row>
    <row r="89" spans="1:4">
      <c r="A89" s="27" t="s">
        <v>169</v>
      </c>
      <c r="B89" s="28" t="s">
        <v>170</v>
      </c>
      <c r="C89" s="29" t="b">
        <v>0</v>
      </c>
      <c r="D89" s="5" t="s">
        <v>317</v>
      </c>
    </row>
    <row r="90" spans="1:4">
      <c r="A90" s="27" t="s">
        <v>273</v>
      </c>
      <c r="B90" s="28" t="s">
        <v>274</v>
      </c>
      <c r="C90" s="29" t="b">
        <v>0</v>
      </c>
    </row>
    <row r="91" spans="1:4">
      <c r="A91" s="27" t="s">
        <v>101</v>
      </c>
      <c r="B91" s="28" t="s">
        <v>102</v>
      </c>
      <c r="C91" s="29" t="b">
        <v>0</v>
      </c>
      <c r="D91" s="5" t="s">
        <v>315</v>
      </c>
    </row>
    <row r="92" spans="1:4">
      <c r="A92" s="27" t="s">
        <v>223</v>
      </c>
      <c r="B92" s="28" t="s">
        <v>224</v>
      </c>
      <c r="C92" s="29" t="b">
        <v>1</v>
      </c>
    </row>
    <row r="93" spans="1:4">
      <c r="A93" s="27" t="s">
        <v>183</v>
      </c>
      <c r="B93" s="28" t="s">
        <v>184</v>
      </c>
      <c r="C93" s="29" t="b">
        <v>0</v>
      </c>
    </row>
    <row r="94" spans="1:4">
      <c r="A94" s="27" t="s">
        <v>145</v>
      </c>
      <c r="B94" s="28" t="s">
        <v>146</v>
      </c>
      <c r="C94" s="29" t="b">
        <v>0</v>
      </c>
    </row>
    <row r="95" spans="1:4">
      <c r="A95" s="27" t="s">
        <v>173</v>
      </c>
      <c r="B95" s="28" t="s">
        <v>174</v>
      </c>
      <c r="C95" s="29" t="b">
        <v>1</v>
      </c>
    </row>
    <row r="96" spans="1:4">
      <c r="A96" s="27" t="s">
        <v>277</v>
      </c>
      <c r="B96" s="28" t="s">
        <v>278</v>
      </c>
      <c r="C96" s="29" t="b">
        <v>0</v>
      </c>
    </row>
    <row r="97" spans="1:4">
      <c r="A97" s="27" t="s">
        <v>129</v>
      </c>
      <c r="B97" s="28" t="s">
        <v>130</v>
      </c>
      <c r="C97" s="29" t="b">
        <v>0</v>
      </c>
    </row>
    <row r="98" spans="1:4">
      <c r="A98" s="27" t="s">
        <v>133</v>
      </c>
      <c r="B98" s="28" t="s">
        <v>134</v>
      </c>
      <c r="C98" s="29" t="b">
        <v>0</v>
      </c>
    </row>
    <row r="99" spans="1:4">
      <c r="A99" s="27" t="s">
        <v>147</v>
      </c>
      <c r="B99" s="28" t="s">
        <v>148</v>
      </c>
      <c r="C99" s="29" t="b">
        <v>0</v>
      </c>
    </row>
    <row r="100" spans="1:4">
      <c r="A100" s="27" t="s">
        <v>111</v>
      </c>
      <c r="B100" s="28" t="s">
        <v>112</v>
      </c>
      <c r="C100" s="29" t="b">
        <v>0</v>
      </c>
      <c r="D100" s="5" t="s">
        <v>318</v>
      </c>
    </row>
    <row r="101" spans="1:4">
      <c r="A101" s="27" t="s">
        <v>201</v>
      </c>
      <c r="B101" s="28" t="s">
        <v>202</v>
      </c>
      <c r="C101" s="29" t="b">
        <v>1</v>
      </c>
    </row>
  </sheetData>
  <dataValidations count="1">
    <dataValidation type="list" allowBlank="1" showErrorMessage="1" sqref="C2:C101" xr:uid="{00000000-0002-0000-0600-000000000000}">
      <formula1>"TO DO,TRUE,FALSE,SKIP"</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1"/>
  <sheetViews>
    <sheetView tabSelected="1" workbookViewId="0">
      <pane ySplit="1" topLeftCell="A77" activePane="bottomLeft" state="frozen"/>
      <selection pane="bottomLeft" activeCell="B3" sqref="B3"/>
    </sheetView>
  </sheetViews>
  <sheetFormatPr defaultColWidth="12.5703125" defaultRowHeight="15.75" customHeight="1"/>
  <cols>
    <col min="3" max="3" width="60.28515625" customWidth="1"/>
    <col min="11" max="11" width="17.140625" customWidth="1"/>
  </cols>
  <sheetData>
    <row r="1" spans="1:11">
      <c r="A1" s="31" t="s">
        <v>319</v>
      </c>
      <c r="B1" s="31" t="s">
        <v>320</v>
      </c>
      <c r="C1" s="31" t="s">
        <v>321</v>
      </c>
      <c r="D1" s="31" t="s">
        <v>322</v>
      </c>
      <c r="E1" s="31" t="s">
        <v>323</v>
      </c>
      <c r="F1" s="31" t="s">
        <v>324</v>
      </c>
      <c r="G1" s="31" t="s">
        <v>325</v>
      </c>
      <c r="H1" s="31" t="s">
        <v>326</v>
      </c>
      <c r="I1" s="31" t="s">
        <v>327</v>
      </c>
      <c r="J1" s="31" t="s">
        <v>328</v>
      </c>
      <c r="K1" s="32" t="s">
        <v>329</v>
      </c>
    </row>
    <row r="2" spans="1:11">
      <c r="A2" s="11" t="s">
        <v>330</v>
      </c>
      <c r="B2" s="11" t="s">
        <v>229</v>
      </c>
      <c r="C2" s="11" t="s">
        <v>230</v>
      </c>
      <c r="D2" s="33">
        <v>2</v>
      </c>
      <c r="E2" s="33">
        <v>2</v>
      </c>
      <c r="F2" s="33">
        <v>1</v>
      </c>
      <c r="G2" s="33">
        <v>3</v>
      </c>
      <c r="H2" s="33">
        <v>0.33333333333333298</v>
      </c>
      <c r="I2" s="34" t="b">
        <v>0</v>
      </c>
      <c r="J2" s="11" t="s">
        <v>331</v>
      </c>
      <c r="K2" s="11" t="s">
        <v>33</v>
      </c>
    </row>
    <row r="3" spans="1:11">
      <c r="A3" s="11" t="s">
        <v>332</v>
      </c>
      <c r="B3" s="11" t="s">
        <v>225</v>
      </c>
      <c r="C3" s="11" t="s">
        <v>226</v>
      </c>
      <c r="D3" s="33">
        <v>12</v>
      </c>
      <c r="E3" s="33">
        <v>7</v>
      </c>
      <c r="F3" s="33">
        <v>2</v>
      </c>
      <c r="G3" s="33">
        <v>9</v>
      </c>
      <c r="H3" s="33">
        <v>0.55555555555555503</v>
      </c>
      <c r="I3" s="34" t="b">
        <v>0</v>
      </c>
      <c r="J3" s="11" t="s">
        <v>331</v>
      </c>
      <c r="K3" s="11" t="s">
        <v>33</v>
      </c>
    </row>
    <row r="4" spans="1:11">
      <c r="A4" s="11" t="s">
        <v>333</v>
      </c>
      <c r="B4" s="11" t="s">
        <v>149</v>
      </c>
      <c r="C4" s="11" t="s">
        <v>150</v>
      </c>
      <c r="D4" s="33">
        <v>16</v>
      </c>
      <c r="E4" s="33">
        <v>0</v>
      </c>
      <c r="F4" s="33">
        <v>6</v>
      </c>
      <c r="G4" s="33">
        <v>6</v>
      </c>
      <c r="H4" s="33">
        <v>1</v>
      </c>
      <c r="I4" s="34" t="b">
        <v>0</v>
      </c>
      <c r="J4" s="11" t="s">
        <v>331</v>
      </c>
      <c r="K4" s="11" t="s">
        <v>33</v>
      </c>
    </row>
    <row r="5" spans="1:11">
      <c r="A5" s="11" t="s">
        <v>334</v>
      </c>
      <c r="B5" s="11" t="s">
        <v>181</v>
      </c>
      <c r="C5" s="11" t="s">
        <v>182</v>
      </c>
      <c r="D5" s="33">
        <v>16</v>
      </c>
      <c r="E5" s="33">
        <v>1</v>
      </c>
      <c r="F5" s="33">
        <v>5</v>
      </c>
      <c r="G5" s="33">
        <v>6</v>
      </c>
      <c r="H5" s="33">
        <v>0.66666666666666596</v>
      </c>
      <c r="I5" s="34" t="b">
        <v>0</v>
      </c>
      <c r="J5" s="11" t="s">
        <v>331</v>
      </c>
      <c r="K5" s="11" t="s">
        <v>33</v>
      </c>
    </row>
    <row r="6" spans="1:11">
      <c r="A6" s="11" t="s">
        <v>335</v>
      </c>
      <c r="B6" s="11" t="s">
        <v>159</v>
      </c>
      <c r="C6" s="11" t="s">
        <v>160</v>
      </c>
      <c r="D6" s="33">
        <v>11</v>
      </c>
      <c r="E6" s="33">
        <v>0</v>
      </c>
      <c r="F6" s="33">
        <v>3</v>
      </c>
      <c r="G6" s="33">
        <v>3</v>
      </c>
      <c r="H6" s="33">
        <v>1</v>
      </c>
      <c r="I6" s="34" t="b">
        <v>1</v>
      </c>
      <c r="J6" s="11" t="s">
        <v>331</v>
      </c>
      <c r="K6" s="11" t="s">
        <v>33</v>
      </c>
    </row>
    <row r="7" spans="1:11">
      <c r="A7" s="11" t="s">
        <v>336</v>
      </c>
      <c r="B7" s="11" t="s">
        <v>103</v>
      </c>
      <c r="C7" s="11" t="s">
        <v>104</v>
      </c>
      <c r="D7" s="33">
        <v>12</v>
      </c>
      <c r="E7" s="33">
        <v>6</v>
      </c>
      <c r="F7" s="33">
        <v>3</v>
      </c>
      <c r="G7" s="33">
        <v>9</v>
      </c>
      <c r="H7" s="33">
        <v>0.33333333333333298</v>
      </c>
      <c r="I7" s="34" t="b">
        <v>1</v>
      </c>
      <c r="J7" s="11" t="s">
        <v>331</v>
      </c>
      <c r="K7" s="11" t="s">
        <v>33</v>
      </c>
    </row>
    <row r="8" spans="1:11">
      <c r="A8" s="11" t="s">
        <v>337</v>
      </c>
      <c r="B8" s="11" t="s">
        <v>235</v>
      </c>
      <c r="C8" s="11" t="s">
        <v>236</v>
      </c>
      <c r="D8" s="33">
        <v>11</v>
      </c>
      <c r="E8" s="33">
        <v>0</v>
      </c>
      <c r="F8" s="33">
        <v>8</v>
      </c>
      <c r="G8" s="33">
        <v>8</v>
      </c>
      <c r="H8" s="33">
        <v>1</v>
      </c>
      <c r="I8" s="34" t="b">
        <v>0</v>
      </c>
      <c r="J8" s="11" t="s">
        <v>331</v>
      </c>
      <c r="K8" s="11" t="s">
        <v>33</v>
      </c>
    </row>
    <row r="9" spans="1:11">
      <c r="A9" s="11" t="s">
        <v>338</v>
      </c>
      <c r="B9" s="11" t="s">
        <v>269</v>
      </c>
      <c r="C9" s="11" t="s">
        <v>270</v>
      </c>
      <c r="D9" s="33">
        <v>16</v>
      </c>
      <c r="E9" s="33">
        <v>4</v>
      </c>
      <c r="F9" s="33">
        <v>1</v>
      </c>
      <c r="G9" s="33">
        <v>5</v>
      </c>
      <c r="H9" s="33">
        <v>0.6</v>
      </c>
      <c r="I9" s="34" t="b">
        <v>0</v>
      </c>
      <c r="J9" s="11" t="s">
        <v>331</v>
      </c>
      <c r="K9" s="11" t="s">
        <v>33</v>
      </c>
    </row>
    <row r="10" spans="1:11">
      <c r="A10" s="11" t="s">
        <v>339</v>
      </c>
      <c r="B10" s="11" t="s">
        <v>245</v>
      </c>
      <c r="C10" s="11" t="s">
        <v>246</v>
      </c>
      <c r="D10" s="33">
        <v>9</v>
      </c>
      <c r="E10" s="33">
        <v>1</v>
      </c>
      <c r="F10" s="33">
        <v>8</v>
      </c>
      <c r="G10" s="33">
        <v>9</v>
      </c>
      <c r="H10" s="33">
        <v>0.77777777777777701</v>
      </c>
      <c r="I10" s="34" t="b">
        <v>1</v>
      </c>
      <c r="J10" s="11" t="s">
        <v>331</v>
      </c>
      <c r="K10" s="11" t="s">
        <v>33</v>
      </c>
    </row>
    <row r="11" spans="1:11">
      <c r="A11" s="11" t="s">
        <v>340</v>
      </c>
      <c r="B11" s="11" t="s">
        <v>249</v>
      </c>
      <c r="C11" s="11" t="s">
        <v>250</v>
      </c>
      <c r="D11" s="33">
        <v>2</v>
      </c>
      <c r="E11" s="33">
        <v>0</v>
      </c>
      <c r="F11" s="33">
        <v>9</v>
      </c>
      <c r="G11" s="33">
        <v>9</v>
      </c>
      <c r="H11" s="33">
        <v>1</v>
      </c>
      <c r="I11" s="34" t="b">
        <v>0</v>
      </c>
      <c r="J11" s="11" t="s">
        <v>331</v>
      </c>
      <c r="K11" s="11" t="s">
        <v>33</v>
      </c>
    </row>
    <row r="12" spans="1:11">
      <c r="A12" s="11" t="s">
        <v>341</v>
      </c>
      <c r="B12" s="11" t="s">
        <v>273</v>
      </c>
      <c r="C12" s="11" t="s">
        <v>274</v>
      </c>
      <c r="D12" s="33">
        <v>16</v>
      </c>
      <c r="E12" s="33">
        <v>0</v>
      </c>
      <c r="F12" s="33">
        <v>7</v>
      </c>
      <c r="G12" s="33">
        <v>7</v>
      </c>
      <c r="H12" s="33">
        <v>1</v>
      </c>
      <c r="I12" s="34" t="b">
        <v>1</v>
      </c>
      <c r="J12" s="11" t="s">
        <v>331</v>
      </c>
      <c r="K12" s="11" t="s">
        <v>33</v>
      </c>
    </row>
    <row r="13" spans="1:11">
      <c r="A13" s="11" t="s">
        <v>342</v>
      </c>
      <c r="B13" s="11" t="s">
        <v>133</v>
      </c>
      <c r="C13" s="11" t="s">
        <v>134</v>
      </c>
      <c r="D13" s="33">
        <v>15</v>
      </c>
      <c r="E13" s="33">
        <v>0</v>
      </c>
      <c r="F13" s="33">
        <v>9</v>
      </c>
      <c r="G13" s="33">
        <v>9</v>
      </c>
      <c r="H13" s="33">
        <v>1</v>
      </c>
      <c r="I13" s="34" t="b">
        <v>0</v>
      </c>
      <c r="J13" s="11" t="s">
        <v>331</v>
      </c>
      <c r="K13" s="11" t="s">
        <v>33</v>
      </c>
    </row>
    <row r="14" spans="1:11">
      <c r="A14" s="11" t="s">
        <v>343</v>
      </c>
      <c r="B14" s="11" t="s">
        <v>101</v>
      </c>
      <c r="C14" s="11" t="s">
        <v>102</v>
      </c>
      <c r="D14" s="33">
        <v>9</v>
      </c>
      <c r="E14" s="33">
        <v>0</v>
      </c>
      <c r="F14" s="33">
        <v>3</v>
      </c>
      <c r="G14" s="33">
        <v>3</v>
      </c>
      <c r="H14" s="33">
        <v>1</v>
      </c>
      <c r="I14" s="34" t="b">
        <v>1</v>
      </c>
      <c r="J14" s="11" t="s">
        <v>331</v>
      </c>
      <c r="K14" s="11" t="s">
        <v>33</v>
      </c>
    </row>
    <row r="15" spans="1:11">
      <c r="A15" s="11" t="s">
        <v>344</v>
      </c>
      <c r="B15" s="11" t="s">
        <v>295</v>
      </c>
      <c r="C15" s="11" t="s">
        <v>296</v>
      </c>
      <c r="D15" s="33">
        <v>10</v>
      </c>
      <c r="E15" s="33">
        <v>1</v>
      </c>
      <c r="F15" s="33">
        <v>6</v>
      </c>
      <c r="G15" s="33">
        <v>7</v>
      </c>
      <c r="H15" s="33">
        <v>0.71428571428571397</v>
      </c>
      <c r="I15" s="34" t="b">
        <v>1</v>
      </c>
      <c r="J15" s="11" t="s">
        <v>331</v>
      </c>
      <c r="K15" s="11" t="s">
        <v>33</v>
      </c>
    </row>
    <row r="16" spans="1:11">
      <c r="A16" s="11" t="s">
        <v>339</v>
      </c>
      <c r="B16" s="11" t="s">
        <v>185</v>
      </c>
      <c r="C16" s="11" t="s">
        <v>186</v>
      </c>
      <c r="D16" s="33">
        <v>9</v>
      </c>
      <c r="E16" s="33">
        <v>0</v>
      </c>
      <c r="F16" s="33">
        <v>3</v>
      </c>
      <c r="G16" s="33">
        <v>3</v>
      </c>
      <c r="H16" s="33">
        <v>1</v>
      </c>
      <c r="I16" s="34" t="b">
        <v>1</v>
      </c>
      <c r="J16" s="11" t="s">
        <v>331</v>
      </c>
      <c r="K16" s="11" t="s">
        <v>33</v>
      </c>
    </row>
    <row r="17" spans="1:11">
      <c r="A17" s="11" t="s">
        <v>345</v>
      </c>
      <c r="B17" s="11" t="s">
        <v>139</v>
      </c>
      <c r="C17" s="11" t="s">
        <v>140</v>
      </c>
      <c r="D17" s="33">
        <v>5</v>
      </c>
      <c r="E17" s="33">
        <v>1</v>
      </c>
      <c r="F17" s="33">
        <v>2</v>
      </c>
      <c r="G17" s="33">
        <v>3</v>
      </c>
      <c r="H17" s="33">
        <v>0.33333333333333298</v>
      </c>
      <c r="I17" s="34" t="b">
        <v>1</v>
      </c>
      <c r="J17" s="11" t="s">
        <v>331</v>
      </c>
      <c r="K17" s="11" t="s">
        <v>33</v>
      </c>
    </row>
    <row r="18" spans="1:11">
      <c r="A18" s="11" t="s">
        <v>346</v>
      </c>
      <c r="B18" s="11" t="s">
        <v>179</v>
      </c>
      <c r="C18" s="11" t="s">
        <v>180</v>
      </c>
      <c r="D18" s="33">
        <v>8</v>
      </c>
      <c r="E18" s="33">
        <v>1</v>
      </c>
      <c r="F18" s="33">
        <v>8</v>
      </c>
      <c r="G18" s="33">
        <v>9</v>
      </c>
      <c r="H18" s="33">
        <v>0.77777777777777701</v>
      </c>
      <c r="I18" s="34" t="b">
        <v>0</v>
      </c>
      <c r="J18" s="11" t="s">
        <v>331</v>
      </c>
      <c r="K18" s="11" t="s">
        <v>33</v>
      </c>
    </row>
    <row r="19" spans="1:11">
      <c r="A19" s="11" t="s">
        <v>347</v>
      </c>
      <c r="B19" s="11" t="s">
        <v>157</v>
      </c>
      <c r="C19" s="11" t="s">
        <v>158</v>
      </c>
      <c r="D19" s="33">
        <v>15</v>
      </c>
      <c r="E19" s="33">
        <v>6</v>
      </c>
      <c r="F19" s="33">
        <v>3</v>
      </c>
      <c r="G19" s="33">
        <v>9</v>
      </c>
      <c r="H19" s="33">
        <v>0.33333333333333298</v>
      </c>
      <c r="I19" s="34" t="b">
        <v>0</v>
      </c>
      <c r="J19" s="11" t="s">
        <v>331</v>
      </c>
      <c r="K19" s="11" t="s">
        <v>33</v>
      </c>
    </row>
    <row r="20" spans="1:11">
      <c r="A20" s="11" t="s">
        <v>348</v>
      </c>
      <c r="B20" s="11" t="s">
        <v>201</v>
      </c>
      <c r="C20" s="11" t="s">
        <v>202</v>
      </c>
      <c r="D20" s="33">
        <v>13</v>
      </c>
      <c r="E20" s="33">
        <v>0</v>
      </c>
      <c r="F20" s="33">
        <v>4</v>
      </c>
      <c r="G20" s="33">
        <v>4</v>
      </c>
      <c r="H20" s="33">
        <v>1</v>
      </c>
      <c r="I20" s="34" t="b">
        <v>1</v>
      </c>
      <c r="J20" s="11" t="s">
        <v>331</v>
      </c>
      <c r="K20" s="11" t="s">
        <v>33</v>
      </c>
    </row>
    <row r="21" spans="1:11">
      <c r="A21" s="11" t="s">
        <v>349</v>
      </c>
      <c r="B21" s="11" t="s">
        <v>193</v>
      </c>
      <c r="C21" s="11" t="s">
        <v>194</v>
      </c>
      <c r="D21" s="33">
        <v>5</v>
      </c>
      <c r="E21" s="33">
        <v>0</v>
      </c>
      <c r="F21" s="33">
        <v>4</v>
      </c>
      <c r="G21" s="33">
        <v>4</v>
      </c>
      <c r="H21" s="33">
        <v>1</v>
      </c>
      <c r="I21" s="34" t="b">
        <v>0</v>
      </c>
      <c r="J21" s="11" t="s">
        <v>331</v>
      </c>
      <c r="K21" s="11" t="s">
        <v>33</v>
      </c>
    </row>
    <row r="22" spans="1:11">
      <c r="A22" s="11" t="s">
        <v>350</v>
      </c>
      <c r="B22" s="11" t="s">
        <v>265</v>
      </c>
      <c r="C22" s="11" t="s">
        <v>266</v>
      </c>
      <c r="D22" s="33">
        <v>11</v>
      </c>
      <c r="E22" s="33">
        <v>0</v>
      </c>
      <c r="F22" s="33">
        <v>4</v>
      </c>
      <c r="G22" s="33">
        <v>4</v>
      </c>
      <c r="H22" s="33">
        <v>1</v>
      </c>
      <c r="I22" s="34" t="b">
        <v>1</v>
      </c>
      <c r="J22" s="11" t="s">
        <v>331</v>
      </c>
      <c r="K22" s="11" t="s">
        <v>33</v>
      </c>
    </row>
    <row r="23" spans="1:11">
      <c r="A23" s="11" t="s">
        <v>351</v>
      </c>
      <c r="B23" s="11" t="s">
        <v>287</v>
      </c>
      <c r="C23" s="11" t="s">
        <v>288</v>
      </c>
      <c r="D23" s="33">
        <v>13</v>
      </c>
      <c r="E23" s="33">
        <v>2</v>
      </c>
      <c r="F23" s="33">
        <v>8</v>
      </c>
      <c r="G23" s="33">
        <v>10</v>
      </c>
      <c r="H23" s="33">
        <v>0.6</v>
      </c>
      <c r="I23" s="34" t="b">
        <v>1</v>
      </c>
      <c r="J23" s="11" t="s">
        <v>331</v>
      </c>
      <c r="K23" s="11" t="s">
        <v>33</v>
      </c>
    </row>
    <row r="24" spans="1:11">
      <c r="A24" s="11" t="s">
        <v>352</v>
      </c>
      <c r="B24" s="11" t="s">
        <v>171</v>
      </c>
      <c r="C24" s="11" t="s">
        <v>172</v>
      </c>
      <c r="D24" s="33">
        <v>2</v>
      </c>
      <c r="E24" s="33">
        <v>3</v>
      </c>
      <c r="F24" s="33">
        <v>6</v>
      </c>
      <c r="G24" s="33">
        <v>9</v>
      </c>
      <c r="H24" s="33">
        <v>0.33333333333333298</v>
      </c>
      <c r="I24" s="34" t="b">
        <v>1</v>
      </c>
      <c r="J24" s="11" t="s">
        <v>331</v>
      </c>
      <c r="K24" s="11" t="s">
        <v>33</v>
      </c>
    </row>
    <row r="25" spans="1:11">
      <c r="A25" s="11" t="s">
        <v>353</v>
      </c>
      <c r="B25" s="11" t="s">
        <v>113</v>
      </c>
      <c r="C25" s="11" t="s">
        <v>114</v>
      </c>
      <c r="D25" s="33">
        <v>5</v>
      </c>
      <c r="E25" s="33">
        <v>0</v>
      </c>
      <c r="F25" s="33">
        <v>6</v>
      </c>
      <c r="G25" s="33">
        <v>6</v>
      </c>
      <c r="H25" s="33">
        <v>1</v>
      </c>
      <c r="I25" s="34" t="b">
        <v>0</v>
      </c>
      <c r="J25" s="11" t="s">
        <v>331</v>
      </c>
      <c r="K25" s="11" t="s">
        <v>33</v>
      </c>
    </row>
    <row r="26" spans="1:11">
      <c r="A26" s="11" t="s">
        <v>354</v>
      </c>
      <c r="B26" s="11" t="s">
        <v>165</v>
      </c>
      <c r="C26" s="11" t="s">
        <v>166</v>
      </c>
      <c r="D26" s="33">
        <v>7</v>
      </c>
      <c r="E26" s="33">
        <v>1</v>
      </c>
      <c r="F26" s="33">
        <v>2</v>
      </c>
      <c r="G26" s="33">
        <v>3</v>
      </c>
      <c r="H26" s="33">
        <v>0.33333333333333298</v>
      </c>
      <c r="I26" s="34" t="b">
        <v>0</v>
      </c>
      <c r="J26" s="11" t="s">
        <v>331</v>
      </c>
      <c r="K26" s="11" t="s">
        <v>355</v>
      </c>
    </row>
    <row r="27" spans="1:11">
      <c r="A27" s="11" t="s">
        <v>356</v>
      </c>
      <c r="B27" s="11" t="s">
        <v>183</v>
      </c>
      <c r="C27" s="11" t="s">
        <v>184</v>
      </c>
      <c r="D27" s="33">
        <v>2</v>
      </c>
      <c r="E27" s="33">
        <v>1</v>
      </c>
      <c r="F27" s="33">
        <v>2</v>
      </c>
      <c r="G27" s="33">
        <v>3</v>
      </c>
      <c r="H27" s="33">
        <v>0.33333333333333298</v>
      </c>
      <c r="I27" s="34" t="b">
        <v>0</v>
      </c>
      <c r="J27" s="11" t="s">
        <v>331</v>
      </c>
      <c r="K27" s="11" t="s">
        <v>355</v>
      </c>
    </row>
    <row r="28" spans="1:11">
      <c r="A28" s="11" t="s">
        <v>348</v>
      </c>
      <c r="B28" s="11" t="s">
        <v>297</v>
      </c>
      <c r="C28" s="11" t="s">
        <v>298</v>
      </c>
      <c r="D28" s="33">
        <v>13</v>
      </c>
      <c r="E28" s="33">
        <v>6</v>
      </c>
      <c r="F28" s="33">
        <v>3</v>
      </c>
      <c r="G28" s="33">
        <v>9</v>
      </c>
      <c r="H28" s="33">
        <v>0.33333333333333298</v>
      </c>
      <c r="I28" s="34" t="b">
        <v>1</v>
      </c>
      <c r="J28" s="11" t="s">
        <v>331</v>
      </c>
      <c r="K28" s="11" t="s">
        <v>355</v>
      </c>
    </row>
    <row r="29" spans="1:11">
      <c r="A29" s="11" t="s">
        <v>357</v>
      </c>
      <c r="B29" s="11" t="s">
        <v>111</v>
      </c>
      <c r="C29" s="11" t="s">
        <v>112</v>
      </c>
      <c r="D29" s="33">
        <v>13</v>
      </c>
      <c r="E29" s="33">
        <v>8</v>
      </c>
      <c r="F29" s="33">
        <v>1</v>
      </c>
      <c r="G29" s="33">
        <v>9</v>
      </c>
      <c r="H29" s="33">
        <v>0.77777777777777701</v>
      </c>
      <c r="I29" s="34" t="b">
        <v>1</v>
      </c>
      <c r="J29" s="11" t="s">
        <v>331</v>
      </c>
      <c r="K29" s="11" t="s">
        <v>355</v>
      </c>
    </row>
    <row r="30" spans="1:11">
      <c r="A30" s="11" t="s">
        <v>358</v>
      </c>
      <c r="B30" s="11" t="s">
        <v>207</v>
      </c>
      <c r="C30" s="11" t="s">
        <v>208</v>
      </c>
      <c r="D30" s="33">
        <v>10</v>
      </c>
      <c r="E30" s="33">
        <v>2</v>
      </c>
      <c r="F30" s="33">
        <v>7</v>
      </c>
      <c r="G30" s="33">
        <v>9</v>
      </c>
      <c r="H30" s="33">
        <v>0.55555555555555503</v>
      </c>
      <c r="I30" s="34" t="b">
        <v>1</v>
      </c>
      <c r="J30" s="11" t="s">
        <v>331</v>
      </c>
      <c r="K30" s="11" t="s">
        <v>359</v>
      </c>
    </row>
    <row r="31" spans="1:11">
      <c r="A31" s="11" t="s">
        <v>360</v>
      </c>
      <c r="B31" s="11" t="s">
        <v>117</v>
      </c>
      <c r="C31" s="11" t="s">
        <v>118</v>
      </c>
      <c r="D31" s="33">
        <v>8</v>
      </c>
      <c r="E31" s="33">
        <v>1</v>
      </c>
      <c r="F31" s="33">
        <v>2</v>
      </c>
      <c r="G31" s="33">
        <v>3</v>
      </c>
      <c r="H31" s="33">
        <v>0.33333333333333298</v>
      </c>
      <c r="I31" s="34" t="b">
        <v>1</v>
      </c>
      <c r="J31" s="11" t="s">
        <v>331</v>
      </c>
      <c r="K31" s="11" t="s">
        <v>359</v>
      </c>
    </row>
    <row r="32" spans="1:11">
      <c r="A32" s="11" t="s">
        <v>361</v>
      </c>
      <c r="B32" s="11" t="s">
        <v>147</v>
      </c>
      <c r="C32" s="11" t="s">
        <v>148</v>
      </c>
      <c r="D32" s="33">
        <v>7</v>
      </c>
      <c r="E32" s="33">
        <v>3</v>
      </c>
      <c r="F32" s="33">
        <v>6</v>
      </c>
      <c r="G32" s="33">
        <v>9</v>
      </c>
      <c r="H32" s="33">
        <v>0.33333333333333298</v>
      </c>
      <c r="I32" s="34" t="b">
        <v>0</v>
      </c>
      <c r="J32" s="11" t="s">
        <v>331</v>
      </c>
      <c r="K32" s="11" t="s">
        <v>359</v>
      </c>
    </row>
    <row r="33" spans="1:11">
      <c r="A33" s="11" t="s">
        <v>362</v>
      </c>
      <c r="B33" s="11" t="s">
        <v>281</v>
      </c>
      <c r="C33" s="11" t="s">
        <v>282</v>
      </c>
      <c r="D33" s="33">
        <v>2</v>
      </c>
      <c r="E33" s="33">
        <v>1</v>
      </c>
      <c r="F33" s="33">
        <v>8</v>
      </c>
      <c r="G33" s="33">
        <v>9</v>
      </c>
      <c r="H33" s="33">
        <v>0.77777777777777701</v>
      </c>
      <c r="I33" s="34" t="b">
        <v>0</v>
      </c>
      <c r="J33" s="11" t="s">
        <v>331</v>
      </c>
      <c r="K33" s="11" t="s">
        <v>359</v>
      </c>
    </row>
    <row r="34" spans="1:11">
      <c r="A34" s="11" t="s">
        <v>363</v>
      </c>
      <c r="B34" s="11" t="s">
        <v>151</v>
      </c>
      <c r="C34" s="11" t="s">
        <v>152</v>
      </c>
      <c r="D34" s="33">
        <v>2</v>
      </c>
      <c r="E34" s="33">
        <v>2</v>
      </c>
      <c r="F34" s="33">
        <v>7</v>
      </c>
      <c r="G34" s="33">
        <v>9</v>
      </c>
      <c r="H34" s="33">
        <v>0.55555555555555503</v>
      </c>
      <c r="I34" s="34" t="b">
        <v>0</v>
      </c>
      <c r="J34" s="11" t="s">
        <v>331</v>
      </c>
      <c r="K34" s="11" t="s">
        <v>364</v>
      </c>
    </row>
    <row r="35" spans="1:11">
      <c r="A35" s="11" t="s">
        <v>365</v>
      </c>
      <c r="B35" s="11" t="s">
        <v>177</v>
      </c>
      <c r="C35" s="11" t="s">
        <v>178</v>
      </c>
      <c r="D35" s="33">
        <v>10</v>
      </c>
      <c r="E35" s="33">
        <v>2</v>
      </c>
      <c r="F35" s="33">
        <v>5</v>
      </c>
      <c r="G35" s="33">
        <v>7</v>
      </c>
      <c r="H35" s="33">
        <v>0.42857142857142799</v>
      </c>
      <c r="I35" s="34" t="b">
        <v>1</v>
      </c>
      <c r="J35" s="11" t="s">
        <v>331</v>
      </c>
      <c r="K35" s="11" t="s">
        <v>364</v>
      </c>
    </row>
    <row r="36" spans="1:11">
      <c r="A36" s="11" t="s">
        <v>366</v>
      </c>
      <c r="B36" s="11" t="s">
        <v>175</v>
      </c>
      <c r="C36" s="11" t="s">
        <v>176</v>
      </c>
      <c r="D36" s="33">
        <v>10</v>
      </c>
      <c r="E36" s="33">
        <v>3</v>
      </c>
      <c r="F36" s="33">
        <v>6</v>
      </c>
      <c r="G36" s="33">
        <v>9</v>
      </c>
      <c r="H36" s="33">
        <v>0.33333333333333298</v>
      </c>
      <c r="I36" s="34" t="b">
        <v>1</v>
      </c>
      <c r="J36" s="11" t="s">
        <v>331</v>
      </c>
      <c r="K36" s="11" t="s">
        <v>364</v>
      </c>
    </row>
    <row r="37" spans="1:11">
      <c r="A37" s="11" t="s">
        <v>367</v>
      </c>
      <c r="B37" s="11" t="s">
        <v>293</v>
      </c>
      <c r="C37" s="11" t="s">
        <v>294</v>
      </c>
      <c r="D37" s="33">
        <v>12</v>
      </c>
      <c r="E37" s="33">
        <v>1</v>
      </c>
      <c r="F37" s="33">
        <v>8</v>
      </c>
      <c r="G37" s="33">
        <v>9</v>
      </c>
      <c r="H37" s="33">
        <v>0.77777777777777701</v>
      </c>
      <c r="I37" s="34" t="b">
        <v>0</v>
      </c>
      <c r="J37" s="11" t="s">
        <v>331</v>
      </c>
      <c r="K37" s="11" t="s">
        <v>364</v>
      </c>
    </row>
    <row r="38" spans="1:11">
      <c r="A38" s="11" t="s">
        <v>368</v>
      </c>
      <c r="B38" s="11" t="s">
        <v>163</v>
      </c>
      <c r="C38" s="11" t="s">
        <v>164</v>
      </c>
      <c r="D38" s="33">
        <v>9</v>
      </c>
      <c r="E38" s="33">
        <v>0</v>
      </c>
      <c r="F38" s="33">
        <v>6</v>
      </c>
      <c r="G38" s="33">
        <v>6</v>
      </c>
      <c r="H38" s="33">
        <v>1</v>
      </c>
      <c r="I38" s="34" t="b">
        <v>0</v>
      </c>
      <c r="J38" s="11" t="s">
        <v>331</v>
      </c>
      <c r="K38" s="11" t="s">
        <v>369</v>
      </c>
    </row>
    <row r="39" spans="1:11">
      <c r="A39" s="11" t="s">
        <v>370</v>
      </c>
      <c r="B39" s="11" t="s">
        <v>119</v>
      </c>
      <c r="C39" s="11" t="s">
        <v>120</v>
      </c>
      <c r="D39" s="33">
        <v>9</v>
      </c>
      <c r="E39" s="33">
        <v>1</v>
      </c>
      <c r="F39" s="33">
        <v>12</v>
      </c>
      <c r="G39" s="33">
        <v>13</v>
      </c>
      <c r="H39" s="33">
        <v>0.84615384615384603</v>
      </c>
      <c r="I39" s="34" t="b">
        <v>0</v>
      </c>
      <c r="J39" s="11" t="s">
        <v>331</v>
      </c>
      <c r="K39" s="11" t="s">
        <v>369</v>
      </c>
    </row>
    <row r="40" spans="1:11">
      <c r="A40" s="11" t="s">
        <v>371</v>
      </c>
      <c r="B40" s="11" t="s">
        <v>199</v>
      </c>
      <c r="C40" s="11" t="s">
        <v>200</v>
      </c>
      <c r="D40" s="33">
        <v>10</v>
      </c>
      <c r="E40" s="33">
        <v>3</v>
      </c>
      <c r="F40" s="33">
        <v>5</v>
      </c>
      <c r="G40" s="33">
        <v>8</v>
      </c>
      <c r="H40" s="33">
        <v>0.25</v>
      </c>
      <c r="I40" s="34" t="b">
        <v>1</v>
      </c>
      <c r="J40" s="11" t="s">
        <v>331</v>
      </c>
      <c r="K40" s="11" t="s">
        <v>369</v>
      </c>
    </row>
    <row r="41" spans="1:11">
      <c r="A41" s="11" t="s">
        <v>366</v>
      </c>
      <c r="B41" s="11" t="s">
        <v>155</v>
      </c>
      <c r="C41" s="11" t="s">
        <v>156</v>
      </c>
      <c r="D41" s="33">
        <v>10</v>
      </c>
      <c r="E41" s="33">
        <v>5</v>
      </c>
      <c r="F41" s="33">
        <v>4</v>
      </c>
      <c r="G41" s="33">
        <v>9</v>
      </c>
      <c r="H41" s="33">
        <v>0.11111111111111099</v>
      </c>
      <c r="I41" s="34" t="b">
        <v>1</v>
      </c>
      <c r="J41" s="11" t="s">
        <v>331</v>
      </c>
      <c r="K41" s="11" t="s">
        <v>369</v>
      </c>
    </row>
    <row r="42" spans="1:11">
      <c r="A42" s="11" t="s">
        <v>372</v>
      </c>
      <c r="B42" s="11" t="s">
        <v>173</v>
      </c>
      <c r="C42" s="11" t="s">
        <v>174</v>
      </c>
      <c r="D42" s="33">
        <v>1</v>
      </c>
      <c r="E42" s="33">
        <v>4</v>
      </c>
      <c r="F42" s="33">
        <v>5</v>
      </c>
      <c r="G42" s="33">
        <v>9</v>
      </c>
      <c r="H42" s="33">
        <v>0.11111111111111099</v>
      </c>
      <c r="I42" s="34" t="b">
        <v>1</v>
      </c>
      <c r="J42" s="11" t="s">
        <v>331</v>
      </c>
      <c r="K42" s="11" t="s">
        <v>373</v>
      </c>
    </row>
    <row r="43" spans="1:11">
      <c r="A43" s="11" t="s">
        <v>374</v>
      </c>
      <c r="B43" s="11" t="s">
        <v>255</v>
      </c>
      <c r="C43" s="11" t="s">
        <v>256</v>
      </c>
      <c r="D43" s="33">
        <v>8</v>
      </c>
      <c r="E43" s="33">
        <v>1</v>
      </c>
      <c r="F43" s="33">
        <v>8</v>
      </c>
      <c r="G43" s="33">
        <v>9</v>
      </c>
      <c r="H43" s="33">
        <v>0.77777777777777701</v>
      </c>
      <c r="I43" s="34" t="b">
        <v>1</v>
      </c>
      <c r="J43" s="11" t="s">
        <v>331</v>
      </c>
      <c r="K43" s="11" t="s">
        <v>373</v>
      </c>
    </row>
    <row r="44" spans="1:11">
      <c r="A44" s="11" t="s">
        <v>375</v>
      </c>
      <c r="B44" s="11" t="s">
        <v>209</v>
      </c>
      <c r="C44" s="11" t="s">
        <v>210</v>
      </c>
      <c r="D44" s="33">
        <v>8</v>
      </c>
      <c r="E44" s="33">
        <v>2</v>
      </c>
      <c r="F44" s="33">
        <v>8</v>
      </c>
      <c r="G44" s="33">
        <v>10</v>
      </c>
      <c r="H44" s="33">
        <v>0.6</v>
      </c>
      <c r="I44" s="34" t="b">
        <v>0</v>
      </c>
      <c r="J44" s="11" t="s">
        <v>331</v>
      </c>
      <c r="K44" s="11" t="s">
        <v>373</v>
      </c>
    </row>
    <row r="45" spans="1:11">
      <c r="A45" s="11" t="s">
        <v>376</v>
      </c>
      <c r="B45" s="11" t="s">
        <v>135</v>
      </c>
      <c r="C45" s="11" t="s">
        <v>136</v>
      </c>
      <c r="D45" s="33">
        <v>7</v>
      </c>
      <c r="E45" s="33">
        <v>1</v>
      </c>
      <c r="F45" s="33">
        <v>8</v>
      </c>
      <c r="G45" s="33">
        <v>9</v>
      </c>
      <c r="H45" s="33">
        <v>0.77777777777777701</v>
      </c>
      <c r="I45" s="34" t="b">
        <v>0</v>
      </c>
      <c r="J45" s="11" t="s">
        <v>331</v>
      </c>
      <c r="K45" s="11" t="s">
        <v>373</v>
      </c>
    </row>
    <row r="46" spans="1:11">
      <c r="A46" s="11" t="s">
        <v>377</v>
      </c>
      <c r="B46" s="11" t="s">
        <v>219</v>
      </c>
      <c r="C46" s="11" t="s">
        <v>220</v>
      </c>
      <c r="D46" s="33">
        <v>6</v>
      </c>
      <c r="E46" s="33">
        <v>5</v>
      </c>
      <c r="F46" s="33">
        <v>4</v>
      </c>
      <c r="G46" s="33">
        <v>9</v>
      </c>
      <c r="H46" s="33">
        <v>0.11111111111111099</v>
      </c>
      <c r="I46" s="34" t="b">
        <v>0</v>
      </c>
      <c r="J46" s="11" t="s">
        <v>331</v>
      </c>
      <c r="K46" s="11" t="s">
        <v>378</v>
      </c>
    </row>
    <row r="47" spans="1:11">
      <c r="A47" s="11" t="s">
        <v>379</v>
      </c>
      <c r="B47" s="11" t="s">
        <v>203</v>
      </c>
      <c r="C47" s="11" t="s">
        <v>204</v>
      </c>
      <c r="D47" s="33">
        <v>13</v>
      </c>
      <c r="E47" s="33">
        <v>1</v>
      </c>
      <c r="F47" s="33">
        <v>4</v>
      </c>
      <c r="G47" s="33">
        <v>5</v>
      </c>
      <c r="H47" s="33">
        <v>0.6</v>
      </c>
      <c r="I47" s="34" t="b">
        <v>1</v>
      </c>
      <c r="J47" s="11" t="s">
        <v>331</v>
      </c>
      <c r="K47" s="11" t="s">
        <v>378</v>
      </c>
    </row>
    <row r="48" spans="1:11">
      <c r="A48" s="11" t="s">
        <v>380</v>
      </c>
      <c r="B48" s="11" t="s">
        <v>107</v>
      </c>
      <c r="C48" s="11" t="s">
        <v>108</v>
      </c>
      <c r="D48" s="33">
        <v>15</v>
      </c>
      <c r="E48" s="33">
        <v>6</v>
      </c>
      <c r="F48" s="33">
        <v>4</v>
      </c>
      <c r="G48" s="33">
        <v>10</v>
      </c>
      <c r="H48" s="33">
        <v>0.2</v>
      </c>
      <c r="I48" s="34" t="b">
        <v>1</v>
      </c>
      <c r="J48" s="11" t="s">
        <v>331</v>
      </c>
      <c r="K48" s="11" t="s">
        <v>378</v>
      </c>
    </row>
    <row r="49" spans="1:11">
      <c r="A49" s="11" t="s">
        <v>381</v>
      </c>
      <c r="B49" s="11" t="s">
        <v>267</v>
      </c>
      <c r="C49" s="11" t="s">
        <v>268</v>
      </c>
      <c r="D49" s="33">
        <v>6</v>
      </c>
      <c r="E49" s="33">
        <v>2</v>
      </c>
      <c r="F49" s="33">
        <v>7</v>
      </c>
      <c r="G49" s="33">
        <v>9</v>
      </c>
      <c r="H49" s="33">
        <v>0.55555555555555503</v>
      </c>
      <c r="I49" s="34" t="b">
        <v>0</v>
      </c>
      <c r="J49" s="11" t="s">
        <v>331</v>
      </c>
      <c r="K49" s="11" t="s">
        <v>378</v>
      </c>
    </row>
    <row r="50" spans="1:11">
      <c r="A50" s="11" t="s">
        <v>382</v>
      </c>
      <c r="B50" s="11" t="s">
        <v>129</v>
      </c>
      <c r="C50" s="11" t="s">
        <v>130</v>
      </c>
      <c r="D50" s="33">
        <v>4</v>
      </c>
      <c r="E50" s="33">
        <v>1</v>
      </c>
      <c r="F50" s="33">
        <v>8</v>
      </c>
      <c r="G50" s="33">
        <v>9</v>
      </c>
      <c r="H50" s="33">
        <v>0.77777777777777701</v>
      </c>
      <c r="I50" s="34" t="b">
        <v>0</v>
      </c>
      <c r="J50" s="11" t="s">
        <v>331</v>
      </c>
      <c r="K50" s="11" t="s">
        <v>383</v>
      </c>
    </row>
    <row r="51" spans="1:11">
      <c r="A51" s="11" t="s">
        <v>384</v>
      </c>
      <c r="B51" s="11" t="s">
        <v>141</v>
      </c>
      <c r="C51" s="11" t="s">
        <v>142</v>
      </c>
      <c r="D51" s="33">
        <v>12</v>
      </c>
      <c r="E51" s="33">
        <v>5</v>
      </c>
      <c r="F51" s="33">
        <v>4</v>
      </c>
      <c r="G51" s="33">
        <v>9</v>
      </c>
      <c r="H51" s="33">
        <v>0.11111111111111099</v>
      </c>
      <c r="I51" s="34" t="b">
        <v>1</v>
      </c>
      <c r="J51" s="11" t="s">
        <v>331</v>
      </c>
      <c r="K51" s="11" t="s">
        <v>383</v>
      </c>
    </row>
    <row r="52" spans="1:11">
      <c r="A52" s="11" t="s">
        <v>385</v>
      </c>
      <c r="B52" s="11" t="s">
        <v>279</v>
      </c>
      <c r="C52" s="11" t="s">
        <v>280</v>
      </c>
      <c r="D52" s="33">
        <v>1</v>
      </c>
      <c r="E52" s="33">
        <v>0</v>
      </c>
      <c r="F52" s="33">
        <v>3</v>
      </c>
      <c r="G52" s="33">
        <v>3</v>
      </c>
      <c r="H52" s="33">
        <v>1</v>
      </c>
      <c r="I52" s="34" t="b">
        <v>1</v>
      </c>
      <c r="J52" s="11" t="s">
        <v>331</v>
      </c>
      <c r="K52" s="11" t="s">
        <v>383</v>
      </c>
    </row>
    <row r="53" spans="1:11">
      <c r="A53" s="11" t="s">
        <v>386</v>
      </c>
      <c r="B53" s="11" t="s">
        <v>241</v>
      </c>
      <c r="C53" s="11" t="s">
        <v>242</v>
      </c>
      <c r="D53" s="33">
        <v>5</v>
      </c>
      <c r="E53" s="33">
        <v>0</v>
      </c>
      <c r="F53" s="33">
        <v>9</v>
      </c>
      <c r="G53" s="33">
        <v>9</v>
      </c>
      <c r="H53" s="33">
        <v>1</v>
      </c>
      <c r="I53" s="34" t="b">
        <v>0</v>
      </c>
      <c r="J53" s="11" t="s">
        <v>331</v>
      </c>
      <c r="K53" s="11" t="s">
        <v>383</v>
      </c>
    </row>
    <row r="54" spans="1:11">
      <c r="A54" s="11" t="s">
        <v>387</v>
      </c>
      <c r="B54" s="11" t="s">
        <v>215</v>
      </c>
      <c r="C54" s="11" t="s">
        <v>216</v>
      </c>
      <c r="D54" s="33">
        <v>5</v>
      </c>
      <c r="E54" s="33">
        <v>4</v>
      </c>
      <c r="F54" s="33">
        <v>5</v>
      </c>
      <c r="G54" s="33">
        <v>9</v>
      </c>
      <c r="H54" s="33">
        <v>0.11111111111111099</v>
      </c>
      <c r="I54" s="34" t="b">
        <v>0</v>
      </c>
      <c r="J54" s="11" t="s">
        <v>331</v>
      </c>
      <c r="K54" s="11" t="s">
        <v>388</v>
      </c>
    </row>
    <row r="55" spans="1:11">
      <c r="A55" s="11" t="s">
        <v>389</v>
      </c>
      <c r="B55" s="11" t="s">
        <v>277</v>
      </c>
      <c r="C55" s="11" t="s">
        <v>278</v>
      </c>
      <c r="D55" s="33">
        <v>10</v>
      </c>
      <c r="E55" s="33">
        <v>0</v>
      </c>
      <c r="F55" s="33">
        <v>6</v>
      </c>
      <c r="G55" s="33">
        <v>6</v>
      </c>
      <c r="H55" s="33">
        <v>1</v>
      </c>
      <c r="I55" s="34" t="b">
        <v>1</v>
      </c>
      <c r="J55" s="11" t="s">
        <v>331</v>
      </c>
      <c r="K55" s="11" t="s">
        <v>388</v>
      </c>
    </row>
    <row r="56" spans="1:11">
      <c r="A56" s="11" t="s">
        <v>390</v>
      </c>
      <c r="B56" s="11" t="s">
        <v>145</v>
      </c>
      <c r="C56" s="11" t="s">
        <v>146</v>
      </c>
      <c r="D56" s="33">
        <v>5</v>
      </c>
      <c r="E56" s="33">
        <v>0</v>
      </c>
      <c r="F56" s="33">
        <v>11</v>
      </c>
      <c r="G56" s="33">
        <v>11</v>
      </c>
      <c r="H56" s="33">
        <v>1</v>
      </c>
      <c r="I56" s="34" t="b">
        <v>0</v>
      </c>
      <c r="J56" s="11" t="s">
        <v>331</v>
      </c>
      <c r="K56" s="11" t="s">
        <v>388</v>
      </c>
    </row>
    <row r="57" spans="1:11">
      <c r="A57" s="11" t="s">
        <v>391</v>
      </c>
      <c r="B57" s="11" t="s">
        <v>105</v>
      </c>
      <c r="C57" s="11" t="s">
        <v>106</v>
      </c>
      <c r="D57" s="33">
        <v>14</v>
      </c>
      <c r="E57" s="33">
        <v>0</v>
      </c>
      <c r="F57" s="33">
        <v>5</v>
      </c>
      <c r="G57" s="33">
        <v>5</v>
      </c>
      <c r="H57" s="33">
        <v>1</v>
      </c>
      <c r="I57" s="34" t="b">
        <v>1</v>
      </c>
      <c r="J57" s="11" t="s">
        <v>331</v>
      </c>
      <c r="K57" s="11" t="s">
        <v>388</v>
      </c>
    </row>
    <row r="58" spans="1:11">
      <c r="A58" s="11" t="s">
        <v>368</v>
      </c>
      <c r="B58" s="11" t="s">
        <v>167</v>
      </c>
      <c r="C58" s="11" t="s">
        <v>168</v>
      </c>
      <c r="D58" s="33">
        <v>9</v>
      </c>
      <c r="E58" s="33">
        <v>3</v>
      </c>
      <c r="F58" s="33">
        <v>6</v>
      </c>
      <c r="G58" s="33">
        <v>9</v>
      </c>
      <c r="H58" s="33">
        <v>0.33333333333333298</v>
      </c>
      <c r="I58" s="34" t="b">
        <v>0</v>
      </c>
      <c r="J58" s="11" t="s">
        <v>331</v>
      </c>
      <c r="K58" s="11" t="s">
        <v>392</v>
      </c>
    </row>
    <row r="59" spans="1:11">
      <c r="A59" s="11" t="s">
        <v>393</v>
      </c>
      <c r="B59" s="11" t="s">
        <v>109</v>
      </c>
      <c r="C59" s="11" t="s">
        <v>110</v>
      </c>
      <c r="D59" s="33">
        <v>5</v>
      </c>
      <c r="E59" s="33">
        <v>2</v>
      </c>
      <c r="F59" s="33">
        <v>1</v>
      </c>
      <c r="G59" s="33">
        <v>3</v>
      </c>
      <c r="H59" s="33">
        <v>0.33333333333333298</v>
      </c>
      <c r="I59" s="34" t="b">
        <v>0</v>
      </c>
      <c r="J59" s="11" t="s">
        <v>331</v>
      </c>
      <c r="K59" s="11" t="s">
        <v>392</v>
      </c>
    </row>
    <row r="60" spans="1:11">
      <c r="A60" s="11" t="s">
        <v>394</v>
      </c>
      <c r="B60" s="11" t="s">
        <v>251</v>
      </c>
      <c r="C60" s="11" t="s">
        <v>252</v>
      </c>
      <c r="D60" s="33">
        <v>11</v>
      </c>
      <c r="E60" s="33">
        <v>0</v>
      </c>
      <c r="F60" s="33">
        <v>9</v>
      </c>
      <c r="G60" s="33">
        <v>9</v>
      </c>
      <c r="H60" s="33">
        <v>1</v>
      </c>
      <c r="I60" s="34" t="b">
        <v>1</v>
      </c>
      <c r="J60" s="11" t="s">
        <v>331</v>
      </c>
      <c r="K60" s="11" t="s">
        <v>392</v>
      </c>
    </row>
    <row r="61" spans="1:11">
      <c r="A61" s="11" t="s">
        <v>395</v>
      </c>
      <c r="B61" s="11" t="s">
        <v>123</v>
      </c>
      <c r="C61" s="11" t="s">
        <v>124</v>
      </c>
      <c r="D61" s="33">
        <v>16</v>
      </c>
      <c r="E61" s="33">
        <v>5</v>
      </c>
      <c r="F61" s="33">
        <v>2</v>
      </c>
      <c r="G61" s="33">
        <v>7</v>
      </c>
      <c r="H61" s="33">
        <v>0.42857142857142799</v>
      </c>
      <c r="I61" s="34" t="b">
        <v>1</v>
      </c>
      <c r="J61" s="11" t="s">
        <v>331</v>
      </c>
      <c r="K61" s="11" t="s">
        <v>392</v>
      </c>
    </row>
    <row r="62" spans="1:11">
      <c r="A62" s="11" t="s">
        <v>396</v>
      </c>
      <c r="B62" s="11" t="s">
        <v>127</v>
      </c>
      <c r="C62" s="11" t="s">
        <v>128</v>
      </c>
      <c r="D62" s="33">
        <v>9</v>
      </c>
      <c r="E62" s="33">
        <v>1</v>
      </c>
      <c r="F62" s="33">
        <v>9</v>
      </c>
      <c r="G62" s="33">
        <v>10</v>
      </c>
      <c r="H62" s="33">
        <v>0.8</v>
      </c>
      <c r="I62" s="34" t="b">
        <v>1</v>
      </c>
      <c r="J62" s="11" t="s">
        <v>331</v>
      </c>
      <c r="K62" s="11" t="s">
        <v>397</v>
      </c>
    </row>
    <row r="63" spans="1:11">
      <c r="A63" s="11" t="s">
        <v>398</v>
      </c>
      <c r="B63" s="11" t="s">
        <v>169</v>
      </c>
      <c r="C63" s="11" t="s">
        <v>170</v>
      </c>
      <c r="D63" s="33">
        <v>3</v>
      </c>
      <c r="E63" s="33">
        <v>0</v>
      </c>
      <c r="F63" s="33">
        <v>9</v>
      </c>
      <c r="G63" s="33">
        <v>9</v>
      </c>
      <c r="H63" s="33">
        <v>1</v>
      </c>
      <c r="I63" s="34" t="b">
        <v>1</v>
      </c>
      <c r="J63" s="11" t="s">
        <v>331</v>
      </c>
      <c r="K63" s="11" t="s">
        <v>397</v>
      </c>
    </row>
    <row r="64" spans="1:11">
      <c r="A64" s="11" t="s">
        <v>399</v>
      </c>
      <c r="B64" s="11" t="s">
        <v>197</v>
      </c>
      <c r="C64" s="11" t="s">
        <v>198</v>
      </c>
      <c r="D64" s="33">
        <v>2</v>
      </c>
      <c r="E64" s="33">
        <v>1</v>
      </c>
      <c r="F64" s="33">
        <v>2</v>
      </c>
      <c r="G64" s="33">
        <v>3</v>
      </c>
      <c r="H64" s="33">
        <v>0.33333333333333298</v>
      </c>
      <c r="I64" s="34" t="b">
        <v>0</v>
      </c>
      <c r="J64" s="11" t="s">
        <v>331</v>
      </c>
      <c r="K64" s="11" t="s">
        <v>397</v>
      </c>
    </row>
    <row r="65" spans="1:11">
      <c r="A65" s="11" t="s">
        <v>400</v>
      </c>
      <c r="B65" s="11" t="s">
        <v>143</v>
      </c>
      <c r="C65" s="11" t="s">
        <v>144</v>
      </c>
      <c r="D65" s="33">
        <v>9</v>
      </c>
      <c r="E65" s="33">
        <v>0</v>
      </c>
      <c r="F65" s="33">
        <v>9</v>
      </c>
      <c r="G65" s="33">
        <v>9</v>
      </c>
      <c r="H65" s="33">
        <v>1</v>
      </c>
      <c r="I65" s="34" t="b">
        <v>0</v>
      </c>
      <c r="J65" s="11" t="s">
        <v>331</v>
      </c>
      <c r="K65" s="11" t="s">
        <v>397</v>
      </c>
    </row>
    <row r="66" spans="1:11">
      <c r="A66" s="11" t="s">
        <v>401</v>
      </c>
      <c r="B66" s="11" t="s">
        <v>221</v>
      </c>
      <c r="C66" s="11" t="s">
        <v>222</v>
      </c>
      <c r="D66" s="33">
        <v>3</v>
      </c>
      <c r="E66" s="33">
        <v>0</v>
      </c>
      <c r="F66" s="33">
        <v>3</v>
      </c>
      <c r="G66" s="33">
        <v>3</v>
      </c>
      <c r="H66" s="33">
        <v>1</v>
      </c>
      <c r="I66" s="34" t="b">
        <v>0</v>
      </c>
      <c r="J66" s="11" t="s">
        <v>331</v>
      </c>
      <c r="K66" s="11" t="s">
        <v>402</v>
      </c>
    </row>
    <row r="67" spans="1:11">
      <c r="A67" s="11" t="s">
        <v>403</v>
      </c>
      <c r="B67" s="11" t="s">
        <v>285</v>
      </c>
      <c r="C67" s="11" t="s">
        <v>286</v>
      </c>
      <c r="D67" s="33">
        <v>11</v>
      </c>
      <c r="E67" s="33">
        <v>0</v>
      </c>
      <c r="F67" s="33">
        <v>9</v>
      </c>
      <c r="G67" s="33">
        <v>9</v>
      </c>
      <c r="H67" s="33">
        <v>1</v>
      </c>
      <c r="I67" s="34" t="b">
        <v>1</v>
      </c>
      <c r="J67" s="11" t="s">
        <v>331</v>
      </c>
      <c r="K67" s="11" t="s">
        <v>402</v>
      </c>
    </row>
    <row r="68" spans="1:11">
      <c r="A68" s="11" t="s">
        <v>404</v>
      </c>
      <c r="B68" s="11" t="s">
        <v>247</v>
      </c>
      <c r="C68" s="11" t="s">
        <v>248</v>
      </c>
      <c r="D68" s="33">
        <v>12</v>
      </c>
      <c r="E68" s="33">
        <v>3</v>
      </c>
      <c r="F68" s="33">
        <v>6</v>
      </c>
      <c r="G68" s="33">
        <v>9</v>
      </c>
      <c r="H68" s="33">
        <v>0.33333333333333298</v>
      </c>
      <c r="I68" s="34" t="b">
        <v>1</v>
      </c>
      <c r="J68" s="11" t="s">
        <v>331</v>
      </c>
      <c r="K68" s="11" t="s">
        <v>402</v>
      </c>
    </row>
    <row r="69" spans="1:11">
      <c r="A69" s="11" t="s">
        <v>405</v>
      </c>
      <c r="B69" s="11" t="s">
        <v>231</v>
      </c>
      <c r="C69" s="11" t="s">
        <v>232</v>
      </c>
      <c r="D69" s="33">
        <v>1</v>
      </c>
      <c r="E69" s="33">
        <v>1</v>
      </c>
      <c r="F69" s="33">
        <v>2</v>
      </c>
      <c r="G69" s="33">
        <v>3</v>
      </c>
      <c r="H69" s="33">
        <v>0.33333333333333298</v>
      </c>
      <c r="I69" s="34" t="b">
        <v>0</v>
      </c>
      <c r="J69" s="11" t="s">
        <v>331</v>
      </c>
      <c r="K69" s="11" t="s">
        <v>402</v>
      </c>
    </row>
    <row r="70" spans="1:11">
      <c r="A70" s="11" t="s">
        <v>406</v>
      </c>
      <c r="B70" s="11" t="s">
        <v>263</v>
      </c>
      <c r="C70" s="11" t="s">
        <v>264</v>
      </c>
      <c r="D70" s="33">
        <v>7</v>
      </c>
      <c r="E70" s="33">
        <v>0</v>
      </c>
      <c r="F70" s="33">
        <v>5</v>
      </c>
      <c r="G70" s="33">
        <v>5</v>
      </c>
      <c r="H70" s="33">
        <v>1</v>
      </c>
      <c r="I70" s="34" t="b">
        <v>0</v>
      </c>
      <c r="J70" s="11" t="s">
        <v>331</v>
      </c>
      <c r="K70" s="11" t="s">
        <v>407</v>
      </c>
    </row>
    <row r="71" spans="1:11">
      <c r="A71" s="11" t="s">
        <v>408</v>
      </c>
      <c r="B71" s="11" t="s">
        <v>213</v>
      </c>
      <c r="C71" s="11" t="s">
        <v>214</v>
      </c>
      <c r="D71" s="33">
        <v>5</v>
      </c>
      <c r="E71" s="33">
        <v>2</v>
      </c>
      <c r="F71" s="33">
        <v>3</v>
      </c>
      <c r="G71" s="33">
        <v>5</v>
      </c>
      <c r="H71" s="33">
        <v>0.2</v>
      </c>
      <c r="I71" s="34" t="b">
        <v>0</v>
      </c>
      <c r="J71" s="11" t="s">
        <v>331</v>
      </c>
      <c r="K71" s="11" t="s">
        <v>407</v>
      </c>
    </row>
    <row r="72" spans="1:11">
      <c r="A72" s="11" t="s">
        <v>348</v>
      </c>
      <c r="B72" s="11" t="s">
        <v>217</v>
      </c>
      <c r="C72" s="11" t="s">
        <v>218</v>
      </c>
      <c r="D72" s="33">
        <v>13</v>
      </c>
      <c r="E72" s="33">
        <v>1</v>
      </c>
      <c r="F72" s="33">
        <v>8</v>
      </c>
      <c r="G72" s="33">
        <v>9</v>
      </c>
      <c r="H72" s="33">
        <v>0.77777777777777701</v>
      </c>
      <c r="I72" s="34" t="b">
        <v>1</v>
      </c>
      <c r="J72" s="11" t="s">
        <v>331</v>
      </c>
      <c r="K72" s="11" t="s">
        <v>407</v>
      </c>
    </row>
    <row r="73" spans="1:11">
      <c r="A73" s="11" t="s">
        <v>409</v>
      </c>
      <c r="B73" s="11" t="s">
        <v>239</v>
      </c>
      <c r="C73" s="11" t="s">
        <v>240</v>
      </c>
      <c r="D73" s="33">
        <v>2</v>
      </c>
      <c r="E73" s="33">
        <v>8</v>
      </c>
      <c r="F73" s="33">
        <v>1</v>
      </c>
      <c r="G73" s="33">
        <v>9</v>
      </c>
      <c r="H73" s="33">
        <v>0.77777777777777701</v>
      </c>
      <c r="I73" s="34" t="b">
        <v>1</v>
      </c>
      <c r="J73" s="11" t="s">
        <v>331</v>
      </c>
      <c r="K73" s="11" t="s">
        <v>407</v>
      </c>
    </row>
    <row r="74" spans="1:11">
      <c r="A74" s="11" t="s">
        <v>410</v>
      </c>
      <c r="B74" s="11" t="s">
        <v>131</v>
      </c>
      <c r="C74" s="11" t="s">
        <v>132</v>
      </c>
      <c r="D74" s="33">
        <v>3</v>
      </c>
      <c r="E74" s="33">
        <v>4</v>
      </c>
      <c r="F74" s="33">
        <v>5</v>
      </c>
      <c r="G74" s="33">
        <v>9</v>
      </c>
      <c r="H74" s="33">
        <v>0.11111111111111099</v>
      </c>
      <c r="I74" s="34" t="b">
        <v>0</v>
      </c>
      <c r="J74" s="11" t="s">
        <v>331</v>
      </c>
      <c r="K74" s="11" t="s">
        <v>411</v>
      </c>
    </row>
    <row r="75" spans="1:11">
      <c r="A75" s="11" t="s">
        <v>412</v>
      </c>
      <c r="B75" s="11" t="s">
        <v>211</v>
      </c>
      <c r="C75" s="11" t="s">
        <v>212</v>
      </c>
      <c r="D75" s="33">
        <v>7</v>
      </c>
      <c r="E75" s="33">
        <v>5</v>
      </c>
      <c r="F75" s="33">
        <v>4</v>
      </c>
      <c r="G75" s="33">
        <v>9</v>
      </c>
      <c r="H75" s="33">
        <v>0.11111111111111099</v>
      </c>
      <c r="I75" s="34" t="b">
        <v>0</v>
      </c>
      <c r="J75" s="11" t="s">
        <v>331</v>
      </c>
      <c r="K75" s="11" t="s">
        <v>411</v>
      </c>
    </row>
    <row r="76" spans="1:11">
      <c r="A76" s="11" t="s">
        <v>413</v>
      </c>
      <c r="B76" s="11" t="s">
        <v>115</v>
      </c>
      <c r="C76" s="11" t="s">
        <v>116</v>
      </c>
      <c r="D76" s="33">
        <v>7</v>
      </c>
      <c r="E76" s="33">
        <v>1</v>
      </c>
      <c r="F76" s="33">
        <v>8</v>
      </c>
      <c r="G76" s="33">
        <v>9</v>
      </c>
      <c r="H76" s="33">
        <v>0.77777777777777701</v>
      </c>
      <c r="I76" s="34" t="b">
        <v>1</v>
      </c>
      <c r="J76" s="11" t="s">
        <v>331</v>
      </c>
      <c r="K76" s="11" t="s">
        <v>411</v>
      </c>
    </row>
    <row r="77" spans="1:11">
      <c r="A77" s="11" t="s">
        <v>413</v>
      </c>
      <c r="B77" s="11" t="s">
        <v>243</v>
      </c>
      <c r="C77" s="11" t="s">
        <v>244</v>
      </c>
      <c r="D77" s="33">
        <v>7</v>
      </c>
      <c r="E77" s="33">
        <v>1</v>
      </c>
      <c r="F77" s="33">
        <v>8</v>
      </c>
      <c r="G77" s="33">
        <v>9</v>
      </c>
      <c r="H77" s="33">
        <v>0.77777777777777701</v>
      </c>
      <c r="I77" s="34" t="b">
        <v>1</v>
      </c>
      <c r="J77" s="11" t="s">
        <v>331</v>
      </c>
      <c r="K77" s="11" t="s">
        <v>411</v>
      </c>
    </row>
    <row r="78" spans="1:11">
      <c r="A78" s="11" t="s">
        <v>414</v>
      </c>
      <c r="B78" s="11" t="s">
        <v>253</v>
      </c>
      <c r="C78" s="11" t="s">
        <v>254</v>
      </c>
      <c r="D78" s="33">
        <v>1</v>
      </c>
      <c r="E78" s="33">
        <v>3</v>
      </c>
      <c r="F78" s="33">
        <v>6</v>
      </c>
      <c r="G78" s="33">
        <v>9</v>
      </c>
      <c r="H78" s="33">
        <v>0.33333333333333298</v>
      </c>
      <c r="I78" s="34" t="b">
        <v>0</v>
      </c>
      <c r="J78" s="11" t="s">
        <v>331</v>
      </c>
      <c r="K78" s="11" t="s">
        <v>415</v>
      </c>
    </row>
    <row r="79" spans="1:11">
      <c r="A79" s="11" t="s">
        <v>416</v>
      </c>
      <c r="B79" s="11" t="s">
        <v>271</v>
      </c>
      <c r="C79" s="11" t="s">
        <v>272</v>
      </c>
      <c r="D79" s="33">
        <v>3</v>
      </c>
      <c r="E79" s="33">
        <v>0</v>
      </c>
      <c r="F79" s="33">
        <v>7</v>
      </c>
      <c r="G79" s="33">
        <v>7</v>
      </c>
      <c r="H79" s="33">
        <v>1</v>
      </c>
      <c r="I79" s="34" t="b">
        <v>0</v>
      </c>
      <c r="J79" s="11" t="s">
        <v>331</v>
      </c>
      <c r="K79" s="11" t="s">
        <v>415</v>
      </c>
    </row>
    <row r="80" spans="1:11">
      <c r="A80" s="11" t="s">
        <v>417</v>
      </c>
      <c r="B80" s="11" t="s">
        <v>205</v>
      </c>
      <c r="C80" s="11" t="s">
        <v>206</v>
      </c>
      <c r="D80" s="33">
        <v>1</v>
      </c>
      <c r="E80" s="33">
        <v>0</v>
      </c>
      <c r="F80" s="33">
        <v>3</v>
      </c>
      <c r="G80" s="33">
        <v>3</v>
      </c>
      <c r="H80" s="33">
        <v>1</v>
      </c>
      <c r="I80" s="34" t="b">
        <v>1</v>
      </c>
      <c r="J80" s="11" t="s">
        <v>331</v>
      </c>
      <c r="K80" s="11" t="s">
        <v>415</v>
      </c>
    </row>
    <row r="81" spans="1:11">
      <c r="A81" s="11" t="s">
        <v>418</v>
      </c>
      <c r="B81" s="11" t="s">
        <v>191</v>
      </c>
      <c r="C81" s="11" t="s">
        <v>192</v>
      </c>
      <c r="D81" s="33">
        <v>1</v>
      </c>
      <c r="E81" s="33">
        <v>0</v>
      </c>
      <c r="F81" s="33">
        <v>9</v>
      </c>
      <c r="G81" s="33">
        <v>9</v>
      </c>
      <c r="H81" s="33">
        <v>1</v>
      </c>
      <c r="I81" s="34" t="b">
        <v>1</v>
      </c>
      <c r="J81" s="11" t="s">
        <v>331</v>
      </c>
      <c r="K81" s="11" t="s">
        <v>415</v>
      </c>
    </row>
    <row r="82" spans="1:11">
      <c r="A82" s="11" t="s">
        <v>419</v>
      </c>
      <c r="B82" s="11" t="s">
        <v>257</v>
      </c>
      <c r="C82" s="11" t="s">
        <v>258</v>
      </c>
      <c r="D82" s="33">
        <v>13</v>
      </c>
      <c r="E82" s="33">
        <v>1</v>
      </c>
      <c r="F82" s="33">
        <v>8</v>
      </c>
      <c r="G82" s="33">
        <v>9</v>
      </c>
      <c r="H82" s="33">
        <v>0.77777777777777701</v>
      </c>
      <c r="I82" s="34" t="b">
        <v>0</v>
      </c>
      <c r="J82" s="11" t="s">
        <v>331</v>
      </c>
      <c r="K82" s="11" t="s">
        <v>420</v>
      </c>
    </row>
    <row r="83" spans="1:11">
      <c r="A83" s="11" t="s">
        <v>339</v>
      </c>
      <c r="B83" s="11" t="s">
        <v>161</v>
      </c>
      <c r="C83" s="11" t="s">
        <v>162</v>
      </c>
      <c r="D83" s="33">
        <v>9</v>
      </c>
      <c r="E83" s="33">
        <v>3</v>
      </c>
      <c r="F83" s="33">
        <v>6</v>
      </c>
      <c r="G83" s="33">
        <v>9</v>
      </c>
      <c r="H83" s="33">
        <v>0.33333333333333298</v>
      </c>
      <c r="I83" s="34" t="b">
        <v>1</v>
      </c>
      <c r="J83" s="11" t="s">
        <v>331</v>
      </c>
      <c r="K83" s="11" t="s">
        <v>420</v>
      </c>
    </row>
    <row r="84" spans="1:11">
      <c r="A84" s="11" t="s">
        <v>421</v>
      </c>
      <c r="B84" s="11" t="s">
        <v>195</v>
      </c>
      <c r="C84" s="11" t="s">
        <v>196</v>
      </c>
      <c r="D84" s="33">
        <v>9</v>
      </c>
      <c r="E84" s="33">
        <v>0</v>
      </c>
      <c r="F84" s="33">
        <v>9</v>
      </c>
      <c r="G84" s="33">
        <v>9</v>
      </c>
      <c r="H84" s="33">
        <v>1</v>
      </c>
      <c r="I84" s="34" t="b">
        <v>0</v>
      </c>
      <c r="J84" s="11" t="s">
        <v>331</v>
      </c>
      <c r="K84" s="11" t="s">
        <v>420</v>
      </c>
    </row>
    <row r="85" spans="1:11">
      <c r="A85" s="11" t="s">
        <v>422</v>
      </c>
      <c r="B85" s="11" t="s">
        <v>99</v>
      </c>
      <c r="C85" s="11" t="s">
        <v>100</v>
      </c>
      <c r="D85" s="33">
        <v>13</v>
      </c>
      <c r="E85" s="33">
        <v>1</v>
      </c>
      <c r="F85" s="33">
        <v>2</v>
      </c>
      <c r="G85" s="33">
        <v>3</v>
      </c>
      <c r="H85" s="33">
        <v>0.33333333333333298</v>
      </c>
      <c r="I85" s="34" t="b">
        <v>1</v>
      </c>
      <c r="J85" s="11" t="s">
        <v>331</v>
      </c>
      <c r="K85" s="11" t="s">
        <v>420</v>
      </c>
    </row>
    <row r="86" spans="1:11">
      <c r="A86" s="11" t="s">
        <v>423</v>
      </c>
      <c r="B86" s="11" t="s">
        <v>237</v>
      </c>
      <c r="C86" s="11" t="s">
        <v>238</v>
      </c>
      <c r="D86" s="33">
        <v>9</v>
      </c>
      <c r="E86" s="33">
        <v>4</v>
      </c>
      <c r="F86" s="33">
        <v>5</v>
      </c>
      <c r="G86" s="33">
        <v>9</v>
      </c>
      <c r="H86" s="33">
        <v>0.11111111111111099</v>
      </c>
      <c r="I86" s="34" t="b">
        <v>1</v>
      </c>
      <c r="J86" s="11" t="s">
        <v>331</v>
      </c>
      <c r="K86" s="11" t="s">
        <v>424</v>
      </c>
    </row>
    <row r="87" spans="1:11">
      <c r="A87" s="11" t="s">
        <v>425</v>
      </c>
      <c r="B87" s="11" t="s">
        <v>233</v>
      </c>
      <c r="C87" s="11" t="s">
        <v>234</v>
      </c>
      <c r="D87" s="33">
        <v>10</v>
      </c>
      <c r="E87" s="33">
        <v>2</v>
      </c>
      <c r="F87" s="33">
        <v>7</v>
      </c>
      <c r="G87" s="33">
        <v>9</v>
      </c>
      <c r="H87" s="33">
        <v>0.55555555555555503</v>
      </c>
      <c r="I87" s="34" t="b">
        <v>0</v>
      </c>
      <c r="J87" s="11" t="s">
        <v>331</v>
      </c>
      <c r="K87" s="11" t="s">
        <v>424</v>
      </c>
    </row>
    <row r="88" spans="1:11">
      <c r="A88" s="11" t="s">
        <v>423</v>
      </c>
      <c r="B88" s="11" t="s">
        <v>261</v>
      </c>
      <c r="C88" s="11" t="s">
        <v>262</v>
      </c>
      <c r="D88" s="33">
        <v>9</v>
      </c>
      <c r="E88" s="33">
        <v>0</v>
      </c>
      <c r="F88" s="33">
        <v>94</v>
      </c>
      <c r="G88" s="33">
        <v>94</v>
      </c>
      <c r="H88" s="33">
        <v>1</v>
      </c>
      <c r="I88" s="34" t="b">
        <v>1</v>
      </c>
      <c r="J88" s="11" t="s">
        <v>331</v>
      </c>
      <c r="K88" s="11" t="s">
        <v>424</v>
      </c>
    </row>
    <row r="89" spans="1:11">
      <c r="A89" s="11" t="s">
        <v>426</v>
      </c>
      <c r="B89" s="11" t="s">
        <v>153</v>
      </c>
      <c r="C89" s="11" t="s">
        <v>154</v>
      </c>
      <c r="D89" s="33">
        <v>6</v>
      </c>
      <c r="E89" s="33">
        <v>3</v>
      </c>
      <c r="F89" s="33">
        <v>5</v>
      </c>
      <c r="G89" s="33">
        <v>8</v>
      </c>
      <c r="H89" s="33">
        <v>0.25</v>
      </c>
      <c r="I89" s="34" t="b">
        <v>0</v>
      </c>
      <c r="J89" s="11" t="s">
        <v>331</v>
      </c>
      <c r="K89" s="11" t="s">
        <v>424</v>
      </c>
    </row>
    <row r="90" spans="1:11">
      <c r="A90" s="11" t="s">
        <v>427</v>
      </c>
      <c r="B90" s="11" t="s">
        <v>289</v>
      </c>
      <c r="C90" s="11" t="s">
        <v>290</v>
      </c>
      <c r="D90" s="33">
        <v>9</v>
      </c>
      <c r="E90" s="33">
        <v>1</v>
      </c>
      <c r="F90" s="33">
        <v>8</v>
      </c>
      <c r="G90" s="33">
        <v>9</v>
      </c>
      <c r="H90" s="33">
        <v>0.77777777777777701</v>
      </c>
      <c r="I90" s="34" t="b">
        <v>0</v>
      </c>
      <c r="J90" s="11" t="s">
        <v>331</v>
      </c>
      <c r="K90" s="11" t="s">
        <v>428</v>
      </c>
    </row>
    <row r="91" spans="1:11">
      <c r="A91" s="11" t="s">
        <v>429</v>
      </c>
      <c r="B91" s="11" t="s">
        <v>283</v>
      </c>
      <c r="C91" s="11" t="s">
        <v>284</v>
      </c>
      <c r="D91" s="33">
        <v>13</v>
      </c>
      <c r="E91" s="33">
        <v>0</v>
      </c>
      <c r="F91" s="33">
        <v>3</v>
      </c>
      <c r="G91" s="33">
        <v>3</v>
      </c>
      <c r="H91" s="33">
        <v>1</v>
      </c>
      <c r="I91" s="34" t="b">
        <v>1</v>
      </c>
      <c r="J91" s="11" t="s">
        <v>331</v>
      </c>
      <c r="K91" s="11" t="s">
        <v>428</v>
      </c>
    </row>
    <row r="92" spans="1:11">
      <c r="A92" s="11" t="s">
        <v>430</v>
      </c>
      <c r="B92" s="11" t="s">
        <v>125</v>
      </c>
      <c r="C92" s="11" t="s">
        <v>126</v>
      </c>
      <c r="D92" s="33">
        <v>7</v>
      </c>
      <c r="E92" s="33">
        <v>1</v>
      </c>
      <c r="F92" s="33">
        <v>5</v>
      </c>
      <c r="G92" s="33">
        <v>6</v>
      </c>
      <c r="H92" s="33">
        <v>0.66666666666666596</v>
      </c>
      <c r="I92" s="34" t="b">
        <v>0</v>
      </c>
      <c r="J92" s="11" t="s">
        <v>331</v>
      </c>
      <c r="K92" s="11" t="s">
        <v>428</v>
      </c>
    </row>
    <row r="93" spans="1:11">
      <c r="A93" s="11" t="s">
        <v>431</v>
      </c>
      <c r="B93" s="11" t="s">
        <v>137</v>
      </c>
      <c r="C93" s="11" t="s">
        <v>138</v>
      </c>
      <c r="D93" s="33">
        <v>13</v>
      </c>
      <c r="E93" s="33">
        <v>0</v>
      </c>
      <c r="F93" s="33">
        <v>3</v>
      </c>
      <c r="G93" s="33">
        <v>3</v>
      </c>
      <c r="H93" s="33">
        <v>1</v>
      </c>
      <c r="I93" s="34" t="b">
        <v>1</v>
      </c>
      <c r="J93" s="11" t="s">
        <v>331</v>
      </c>
      <c r="K93" s="11" t="s">
        <v>428</v>
      </c>
    </row>
    <row r="94" spans="1:11">
      <c r="A94" s="11" t="s">
        <v>432</v>
      </c>
      <c r="B94" s="11" t="s">
        <v>275</v>
      </c>
      <c r="C94" s="11" t="s">
        <v>276</v>
      </c>
      <c r="D94" s="33">
        <v>9</v>
      </c>
      <c r="E94" s="33">
        <v>1</v>
      </c>
      <c r="F94" s="33">
        <v>8</v>
      </c>
      <c r="G94" s="33">
        <v>9</v>
      </c>
      <c r="H94" s="33">
        <v>0.77777777777777701</v>
      </c>
      <c r="I94" s="34" t="b">
        <v>1</v>
      </c>
      <c r="J94" s="11" t="s">
        <v>331</v>
      </c>
      <c r="K94" s="11" t="s">
        <v>433</v>
      </c>
    </row>
    <row r="95" spans="1:11">
      <c r="A95" s="11" t="s">
        <v>434</v>
      </c>
      <c r="B95" s="11" t="s">
        <v>223</v>
      </c>
      <c r="C95" s="11" t="s">
        <v>224</v>
      </c>
      <c r="D95" s="33">
        <v>7</v>
      </c>
      <c r="E95" s="33">
        <v>0</v>
      </c>
      <c r="F95" s="33">
        <v>3</v>
      </c>
      <c r="G95" s="33">
        <v>3</v>
      </c>
      <c r="H95" s="33">
        <v>1</v>
      </c>
      <c r="I95" s="34" t="b">
        <v>0</v>
      </c>
      <c r="J95" s="11" t="s">
        <v>331</v>
      </c>
      <c r="K95" s="11" t="s">
        <v>433</v>
      </c>
    </row>
    <row r="96" spans="1:11">
      <c r="A96" s="11" t="s">
        <v>435</v>
      </c>
      <c r="B96" s="11" t="s">
        <v>187</v>
      </c>
      <c r="C96" s="11" t="s">
        <v>188</v>
      </c>
      <c r="D96" s="33">
        <v>9</v>
      </c>
      <c r="E96" s="33">
        <v>2</v>
      </c>
      <c r="F96" s="33">
        <v>7</v>
      </c>
      <c r="G96" s="33">
        <v>9</v>
      </c>
      <c r="H96" s="33">
        <v>0.55555555555555503</v>
      </c>
      <c r="I96" s="34" t="b">
        <v>1</v>
      </c>
      <c r="J96" s="11" t="s">
        <v>331</v>
      </c>
      <c r="K96" s="11" t="s">
        <v>433</v>
      </c>
    </row>
    <row r="97" spans="1:11">
      <c r="A97" s="11" t="s">
        <v>436</v>
      </c>
      <c r="B97" s="11" t="s">
        <v>259</v>
      </c>
      <c r="C97" s="11" t="s">
        <v>260</v>
      </c>
      <c r="D97" s="33">
        <v>2</v>
      </c>
      <c r="E97" s="33">
        <v>1</v>
      </c>
      <c r="F97" s="33">
        <v>8</v>
      </c>
      <c r="G97" s="33">
        <v>9</v>
      </c>
      <c r="H97" s="33">
        <v>0.77777777777777701</v>
      </c>
      <c r="I97" s="34" t="b">
        <v>0</v>
      </c>
      <c r="J97" s="11" t="s">
        <v>331</v>
      </c>
      <c r="K97" s="11" t="s">
        <v>433</v>
      </c>
    </row>
    <row r="98" spans="1:11">
      <c r="A98" s="11" t="s">
        <v>437</v>
      </c>
      <c r="B98" s="11" t="s">
        <v>121</v>
      </c>
      <c r="C98" s="11" t="s">
        <v>122</v>
      </c>
      <c r="D98" s="33">
        <v>6</v>
      </c>
      <c r="E98" s="33">
        <v>0</v>
      </c>
      <c r="F98" s="33">
        <v>3</v>
      </c>
      <c r="G98" s="33">
        <v>3</v>
      </c>
      <c r="H98" s="33">
        <v>1</v>
      </c>
      <c r="I98" s="34" t="b">
        <v>0</v>
      </c>
      <c r="J98" s="11" t="s">
        <v>331</v>
      </c>
      <c r="K98" s="11" t="s">
        <v>438</v>
      </c>
    </row>
    <row r="99" spans="1:11">
      <c r="A99" s="11" t="s">
        <v>439</v>
      </c>
      <c r="B99" s="11" t="s">
        <v>227</v>
      </c>
      <c r="C99" s="11" t="s">
        <v>228</v>
      </c>
      <c r="D99" s="33">
        <v>13</v>
      </c>
      <c r="E99" s="33">
        <v>5</v>
      </c>
      <c r="F99" s="33">
        <v>4</v>
      </c>
      <c r="G99" s="33">
        <v>9</v>
      </c>
      <c r="H99" s="33">
        <v>0.11111111111111099</v>
      </c>
      <c r="I99" s="34" t="b">
        <v>1</v>
      </c>
      <c r="J99" s="11" t="s">
        <v>331</v>
      </c>
      <c r="K99" s="11" t="s">
        <v>438</v>
      </c>
    </row>
    <row r="100" spans="1:11">
      <c r="A100" s="11" t="s">
        <v>347</v>
      </c>
      <c r="B100" s="11" t="s">
        <v>291</v>
      </c>
      <c r="C100" s="11" t="s">
        <v>292</v>
      </c>
      <c r="D100" s="33">
        <v>15</v>
      </c>
      <c r="E100" s="33">
        <v>1</v>
      </c>
      <c r="F100" s="33">
        <v>8</v>
      </c>
      <c r="G100" s="33">
        <v>9</v>
      </c>
      <c r="H100" s="33">
        <v>0.77777777777777701</v>
      </c>
      <c r="I100" s="34" t="b">
        <v>1</v>
      </c>
      <c r="J100" s="11" t="s">
        <v>331</v>
      </c>
      <c r="K100" s="11" t="s">
        <v>438</v>
      </c>
    </row>
    <row r="101" spans="1:11">
      <c r="A101" s="11" t="s">
        <v>440</v>
      </c>
      <c r="B101" s="11" t="s">
        <v>189</v>
      </c>
      <c r="C101" s="11" t="s">
        <v>190</v>
      </c>
      <c r="D101" s="33">
        <v>15</v>
      </c>
      <c r="E101" s="33">
        <v>2</v>
      </c>
      <c r="F101" s="33">
        <v>7</v>
      </c>
      <c r="G101" s="33">
        <v>9</v>
      </c>
      <c r="H101" s="33">
        <v>0.55555555555555503</v>
      </c>
      <c r="I101" s="34" t="b">
        <v>0</v>
      </c>
      <c r="J101" s="11" t="s">
        <v>331</v>
      </c>
      <c r="K101" s="11" t="s">
        <v>438</v>
      </c>
    </row>
  </sheetData>
  <autoFilter ref="A1:K10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4C7C3"/>
    <outlinePr summaryBelow="0" summaryRight="0"/>
  </sheetPr>
  <dimension ref="A1:U101"/>
  <sheetViews>
    <sheetView workbookViewId="0"/>
  </sheetViews>
  <sheetFormatPr defaultColWidth="12.5703125" defaultRowHeight="15.75" customHeight="1"/>
  <cols>
    <col min="1" max="1" width="89.140625" customWidth="1"/>
    <col min="2" max="2" width="53.140625" customWidth="1"/>
    <col min="3" max="3" width="21.7109375" customWidth="1"/>
    <col min="6" max="7" width="14.42578125" customWidth="1"/>
    <col min="9" max="9" width="12.7109375" customWidth="1"/>
    <col min="11" max="11" width="7.42578125" hidden="1" customWidth="1"/>
    <col min="12" max="12" width="7.7109375" hidden="1" customWidth="1"/>
    <col min="13" max="14" width="7.28515625" hidden="1" customWidth="1"/>
    <col min="15" max="15" width="6.28515625" hidden="1" customWidth="1"/>
    <col min="16" max="16" width="8.42578125" hidden="1" customWidth="1"/>
    <col min="17" max="17" width="23.85546875" hidden="1" customWidth="1"/>
    <col min="18" max="18" width="17.28515625" customWidth="1"/>
  </cols>
  <sheetData>
    <row r="1" spans="1:21">
      <c r="A1" s="24" t="s">
        <v>95</v>
      </c>
      <c r="B1" s="25" t="s">
        <v>96</v>
      </c>
      <c r="C1" s="35" t="s">
        <v>441</v>
      </c>
      <c r="D1" s="35" t="s">
        <v>78</v>
      </c>
      <c r="E1" s="35" t="s">
        <v>79</v>
      </c>
      <c r="F1" s="35" t="s">
        <v>80</v>
      </c>
      <c r="G1" s="35" t="s">
        <v>81</v>
      </c>
      <c r="H1" s="35" t="s">
        <v>82</v>
      </c>
      <c r="I1" s="35" t="s">
        <v>83</v>
      </c>
      <c r="J1" s="36" t="s">
        <v>442</v>
      </c>
      <c r="K1" s="35" t="s">
        <v>78</v>
      </c>
      <c r="L1" s="35" t="s">
        <v>79</v>
      </c>
      <c r="M1" s="35" t="s">
        <v>80</v>
      </c>
      <c r="N1" s="35" t="s">
        <v>81</v>
      </c>
      <c r="O1" s="35" t="s">
        <v>82</v>
      </c>
      <c r="P1" s="35" t="s">
        <v>83</v>
      </c>
      <c r="Q1" s="36" t="s">
        <v>443</v>
      </c>
      <c r="R1" s="36" t="str">
        <f t="array" ref="R1:R101">Q:Q</f>
        <v>Comments</v>
      </c>
      <c r="S1" s="37" t="s">
        <v>444</v>
      </c>
      <c r="T1" s="20" t="s">
        <v>445</v>
      </c>
      <c r="U1" s="20" t="s">
        <v>446</v>
      </c>
    </row>
    <row r="2" spans="1:21">
      <c r="A2" s="11" t="str">
        <f ca="1">IFERROR(__xludf.DUMMYFUNCTION("QUERY(Source!B2:C101,""SELECT B, C"", 1)"),"01c00b8ad04f55efa35102a1e913d234")</f>
        <v>01c00b8ad04f55efa35102a1e913d234</v>
      </c>
      <c r="B2" s="11" t="str">
        <f ca="1">IFERROR(__xludf.DUMMYFUNCTION("""COMPUTED_VALUE"""),"Africa Gender Equality Index 2015, African Development Bank, Abidjan, http://www.afdb.org/fileadmin/uploads/afdb/ Documents/Publications/Afric an_Gender_Equality_lndex_2015-EN.pdf. Gender, Poverty and Environmental Indicators on African Countries, Vol XV,"&amp;" African Development Bank. Regional Road Map, OECD/SWAC, Paris, https://www.oecd.")</f>
        <v>Africa Gender Equality Index 2015, African Development Bank, Abidjan, http://www.afdb.org/fileadmin/uploads/afdb/ Documents/Publications/Afric an_Gender_Equality_lndex_2015-EN.pdf. Gender, Poverty and Environmental Indicators on African Countries, Vol XV, African Development Bank. Regional Road Map, OECD/SWAC, Paris, https://www.oecd.</v>
      </c>
      <c r="C2" s="7"/>
      <c r="D2" s="7" t="b">
        <f t="shared" ref="D2:I2" ca="1" si="0">VLOOKUP($A2, INDIRECT(D$1&amp;"!A:C"), 3, FALSE)</f>
        <v>0</v>
      </c>
      <c r="E2" s="7" t="str">
        <f t="shared" ca="1" si="0"/>
        <v>TO DO</v>
      </c>
      <c r="F2" s="7" t="b">
        <f t="shared" ca="1" si="0"/>
        <v>0</v>
      </c>
      <c r="G2" s="7" t="e">
        <f t="shared" ca="1" si="0"/>
        <v>#REF!</v>
      </c>
      <c r="H2" s="7" t="str">
        <f t="shared" ca="1" si="0"/>
        <v>TO DO</v>
      </c>
      <c r="I2" s="7" t="b">
        <f t="shared" ca="1" si="0"/>
        <v>0</v>
      </c>
      <c r="J2" s="38">
        <f t="shared" ref="J2:J101" ca="1" si="1">IF(COUNTA(D2:I2)=COUNTIF(D2:I2, "TO DO"), 0, ABS((COUNTIF(D2:I2,"TRUE")-COUNTIF(D2:I2, "FALSE")) / (COUNTA(D2:I2)-COUNTIF(D2:I2, "TO DO"))))</f>
        <v>0.75</v>
      </c>
      <c r="K2" s="39">
        <f t="shared" ref="K2:P2" ca="1" si="2">VLOOKUP($A2, INDIRECT(K$1&amp;"!A:D"), 4, FALSE)</f>
        <v>0</v>
      </c>
      <c r="L2" s="39">
        <f t="shared" ca="1" si="2"/>
        <v>0</v>
      </c>
      <c r="M2" s="39">
        <f t="shared" ca="1" si="2"/>
        <v>0</v>
      </c>
      <c r="N2" s="39" t="e">
        <f t="shared" ca="1" si="2"/>
        <v>#REF!</v>
      </c>
      <c r="O2" s="39">
        <f t="shared" ca="1" si="2"/>
        <v>0</v>
      </c>
      <c r="P2" s="39">
        <f t="shared" ca="1" si="2"/>
        <v>0</v>
      </c>
      <c r="Q2" s="38" t="str">
        <f ca="1">IFERROR(__xludf.DUMMYFUNCTION("IF(COUNTA(K2:P2)=0, """", ARRAYFORMULA(""- ""&amp;TEXTJOIN(char(10)&amp;""- "", TRUE, FILTER(K$1:P$1&amp;"": ""&amp;K2:P2, NOT(ISBLANK(K2:P2))))))"),"")</f>
        <v/>
      </c>
      <c r="R2" s="38" t="str">
        <f ca="1"/>
        <v/>
      </c>
      <c r="S2" s="40" t="b">
        <v>0</v>
      </c>
    </row>
    <row r="3" spans="1:21">
      <c r="A3" s="11" t="str">
        <f ca="1">IFERROR(__xludf.DUMMYFUNCTION("""COMPUTED_VALUE"""),"0342980e48fbffd359a20628d9450485")</f>
        <v>0342980e48fbffd359a20628d9450485</v>
      </c>
      <c r="B3" s="11" t="str">
        <f ca="1">IFERROR(__xludf.DUMMYFUNCTION("""COMPUTED_VALUE"""),"Mauritius covers a total land area of 720 square miles, and is almost entirely of volcanic origin, except for stretches of beaches, coral reefs and small patches of alluvium at the mouths of rivers. Pear-shaped, mountainous with its highest peak standing "&amp;"at 2,711 feet above sea level, Mauritius emerged from the ocean floor some 5 million years ago. Volcanic activity over thousands of years has given rise to varied types of soil.")</f>
        <v>Mauritius covers a total land area of 720 square miles, and is almost entirely of volcanic origin, except for stretches of beaches, coral reefs and small patches of alluvium at the mouths of rivers. Pear-shaped, mountainous with its highest peak standing at 2,711 feet above sea level, Mauritius emerged from the ocean floor some 5 million years ago. Volcanic activity over thousands of years has given rise to varied types of soil.</v>
      </c>
      <c r="C3" s="7"/>
      <c r="D3" s="7" t="b">
        <f t="shared" ref="D3:I3" ca="1" si="3">VLOOKUP($A3, INDIRECT(D$1&amp;"!A:C"), 3, FALSE)</f>
        <v>0</v>
      </c>
      <c r="E3" s="7" t="str">
        <f t="shared" ca="1" si="3"/>
        <v>TO DO</v>
      </c>
      <c r="F3" s="7" t="b">
        <f t="shared" ca="1" si="3"/>
        <v>0</v>
      </c>
      <c r="G3" s="7" t="e">
        <f t="shared" ca="1" si="3"/>
        <v>#REF!</v>
      </c>
      <c r="H3" s="7" t="str">
        <f t="shared" ca="1" si="3"/>
        <v>TO DO</v>
      </c>
      <c r="I3" s="7" t="b">
        <f t="shared" ca="1" si="3"/>
        <v>0</v>
      </c>
      <c r="J3" s="38">
        <f t="shared" ca="1" si="1"/>
        <v>0.75</v>
      </c>
      <c r="K3" s="39">
        <f t="shared" ref="K3:L3" ca="1" si="4">VLOOKUP($A3, INDIRECT(K$1&amp;"!A:D"), 4, FALSE)</f>
        <v>0</v>
      </c>
      <c r="L3" s="39">
        <f t="shared" ca="1" si="4"/>
        <v>0</v>
      </c>
      <c r="M3" s="39"/>
      <c r="N3" s="39" t="e">
        <f t="shared" ref="N3:P3" ca="1" si="5">VLOOKUP($A3, INDIRECT(N$1&amp;"!A:D"), 4, FALSE)</f>
        <v>#REF!</v>
      </c>
      <c r="O3" s="39">
        <f t="shared" ca="1" si="5"/>
        <v>0</v>
      </c>
      <c r="P3" s="39">
        <f t="shared" ca="1" si="5"/>
        <v>0</v>
      </c>
      <c r="Q3" s="38" t="str">
        <f ca="1">IFERROR(__xludf.DUMMYFUNCTION("IF(COUNTA(K3:P3)=0, """", ARRAYFORMULA(""- ""&amp;TEXTJOIN(char(10)&amp;""- "", TRUE, FILTER(K$1:P$1&amp;"": ""&amp;K3:P3, NOT(ISBLANK(K3:P3))))))"),"")</f>
        <v/>
      </c>
      <c r="R3" s="38" t="str">
        <f ca="1"/>
        <v/>
      </c>
      <c r="S3" s="40" t="b">
        <v>0</v>
      </c>
    </row>
    <row r="4" spans="1:21">
      <c r="A4" s="11" t="str">
        <f ca="1">IFERROR(__xludf.DUMMYFUNCTION("""COMPUTED_VALUE"""),"04b753487d64d031f9aee7ce5befed51")</f>
        <v>04b753487d64d031f9aee7ce5befed51</v>
      </c>
      <c r="B4" s="11" t="str">
        <f ca="1">IFERROR(__xludf.DUMMYFUNCTION("""COMPUTED_VALUE"""),"This paper assesses the extent to which solutions under Dutch civil law complement and augment the public policy objectives underlying the criminalization of corruption in international business transactions. To this end, it explores the contractual and n"&amp;"on-contractual consequences of contracts tainted by corruption as well as the rules of private international law that come into play with regard to such “corrupt” contracts under Dutch law.")</f>
        <v>This paper assesses the extent to which solutions under Dutch civil law complement and augment the public policy objectives underlying the criminalization of corruption in international business transactions. To this end, it explores the contractual and non-contractual consequences of contracts tainted by corruption as well as the rules of private international law that come into play with regard to such “corrupt” contracts under Dutch law.</v>
      </c>
      <c r="C4" s="7"/>
      <c r="D4" s="7" t="b">
        <f t="shared" ref="D4:I4" ca="1" si="6">VLOOKUP($A4, INDIRECT(D$1&amp;"!A:C"), 3, FALSE)</f>
        <v>0</v>
      </c>
      <c r="E4" s="7" t="str">
        <f t="shared" ca="1" si="6"/>
        <v>TO DO</v>
      </c>
      <c r="F4" s="7" t="b">
        <f t="shared" ca="1" si="6"/>
        <v>0</v>
      </c>
      <c r="G4" s="7" t="e">
        <f t="shared" ca="1" si="6"/>
        <v>#REF!</v>
      </c>
      <c r="H4" s="7" t="str">
        <f t="shared" ca="1" si="6"/>
        <v>TO DO</v>
      </c>
      <c r="I4" s="7" t="b">
        <f t="shared" ca="1" si="6"/>
        <v>0</v>
      </c>
      <c r="J4" s="38">
        <f t="shared" ca="1" si="1"/>
        <v>0.75</v>
      </c>
      <c r="K4" s="39">
        <f t="shared" ref="K4:L4" ca="1" si="7">VLOOKUP($A4, INDIRECT(K$1&amp;"!A:D"), 4, FALSE)</f>
        <v>0</v>
      </c>
      <c r="L4" s="39">
        <f t="shared" ca="1" si="7"/>
        <v>0</v>
      </c>
      <c r="M4" s="39"/>
      <c r="N4" s="39" t="e">
        <f t="shared" ref="N4:P4" ca="1" si="8">VLOOKUP($A4, INDIRECT(N$1&amp;"!A:D"), 4, FALSE)</f>
        <v>#REF!</v>
      </c>
      <c r="O4" s="39">
        <f t="shared" ca="1" si="8"/>
        <v>0</v>
      </c>
      <c r="P4" s="39">
        <f t="shared" ca="1" si="8"/>
        <v>0</v>
      </c>
      <c r="Q4" s="38" t="str">
        <f ca="1">IFERROR(__xludf.DUMMYFUNCTION("IF(COUNTA(K4:P4)=0, """", ARRAYFORMULA(""- ""&amp;TEXTJOIN(char(10)&amp;""- "", TRUE, FILTER(K$1:P$1&amp;"": ""&amp;K4:P4, NOT(ISBLANK(K4:P4))))))"),"")</f>
        <v/>
      </c>
      <c r="R4" s="38" t="str">
        <f ca="1"/>
        <v/>
      </c>
      <c r="S4" s="40" t="b">
        <v>0</v>
      </c>
    </row>
    <row r="5" spans="1:21">
      <c r="A5" s="11" t="str">
        <f ca="1">IFERROR(__xludf.DUMMYFUNCTION("""COMPUTED_VALUE"""),"04c57f6f2e4df1bb8aecd8022b77a04d")</f>
        <v>04c57f6f2e4df1bb8aecd8022b77a04d</v>
      </c>
      <c r="B5" s="11" t="str">
        <f ca="1">IFERROR(__xludf.DUMMYFUNCTION("""COMPUTED_VALUE"""),"When asked “Have you no morals?” Alfred Doolittle in George Bernard Shaw’s Pygmalion answered: “Can’t afford them governor. Neither could you if you was as poor as me.” The modern concept of human rights underpins a moral society and holds governments res"&amp;"ponsible for fulfilling these rights. From informed consent to the right to privacy civil and political rights have dominated the human rights focus of the HIV-1 epidemic. Yet the economic and social rights of people with HIV-1 infection in particular the"&amp;" rights to health care and to share in scientific advances are glaringly disparate between rich and poor countries. This disparity has become the focus of debate in transnational HIV-1 vaccine research. (excerpt)")</f>
        <v>When asked “Have you no morals?” Alfred Doolittle in George Bernard Shaw’s Pygmalion answered: “Can’t afford them governor. Neither could you if you was as poor as me.” The modern concept of human rights underpins a moral society and holds governments responsible for fulfilling these rights. From informed consent to the right to privacy civil and political rights have dominated the human rights focus of the HIV-1 epidemic. Yet the economic and social rights of people with HIV-1 infection in particular the rights to health care and to share in scientific advances are glaringly disparate between rich and poor countries. This disparity has become the focus of debate in transnational HIV-1 vaccine research. (excerpt)</v>
      </c>
      <c r="C5" s="7" t="s">
        <v>448</v>
      </c>
      <c r="D5" s="7" t="b">
        <f t="shared" ref="D5:I5" ca="1" si="9">VLOOKUP($A5, INDIRECT(D$1&amp;"!A:C"), 3, FALSE)</f>
        <v>0</v>
      </c>
      <c r="E5" s="7" t="b">
        <f t="shared" ca="1" si="9"/>
        <v>1</v>
      </c>
      <c r="F5" s="7" t="b">
        <f t="shared" ca="1" si="9"/>
        <v>0</v>
      </c>
      <c r="G5" s="7" t="e">
        <f t="shared" ca="1" si="9"/>
        <v>#REF!</v>
      </c>
      <c r="H5" s="7" t="b">
        <f t="shared" ca="1" si="9"/>
        <v>0</v>
      </c>
      <c r="I5" s="7" t="b">
        <f t="shared" ca="1" si="9"/>
        <v>0</v>
      </c>
      <c r="J5" s="38">
        <f t="shared" ca="1" si="1"/>
        <v>0.5</v>
      </c>
      <c r="K5" s="39">
        <f t="shared" ref="K5:L5" ca="1" si="10">VLOOKUP($A5, INDIRECT(K$1&amp;"!A:D"), 4, FALSE)</f>
        <v>0</v>
      </c>
      <c r="L5" s="39">
        <f t="shared" ca="1" si="10"/>
        <v>0</v>
      </c>
      <c r="M5" s="39"/>
      <c r="N5" s="39" t="e">
        <f t="shared" ref="N5:P5" ca="1" si="11">VLOOKUP($A5, INDIRECT(N$1&amp;"!A:D"), 4, FALSE)</f>
        <v>#REF!</v>
      </c>
      <c r="O5" s="39">
        <f t="shared" ca="1" si="11"/>
        <v>0</v>
      </c>
      <c r="P5" s="39">
        <f t="shared" ca="1" si="11"/>
        <v>0</v>
      </c>
      <c r="Q5" s="38" t="str">
        <f ca="1">IFERROR(__xludf.DUMMYFUNCTION("IF(COUNTA(K5:P5)=0, """", ARRAYFORMULA(""- ""&amp;TEXTJOIN(char(10)&amp;""- "", TRUE, FILTER(K$1:P$1&amp;"": ""&amp;K5:P5, NOT(ISBLANK(K5:P5))))))"),"")</f>
        <v/>
      </c>
      <c r="R5" s="38" t="str">
        <f ca="1"/>
        <v/>
      </c>
      <c r="S5" s="40" t="s">
        <v>449</v>
      </c>
    </row>
    <row r="6" spans="1:21">
      <c r="A6" s="11" t="str">
        <f ca="1">IFERROR(__xludf.DUMMYFUNCTION("""COMPUTED_VALUE"""),"1a93663faa4b02d59c40f839d323648d")</f>
        <v>1a93663faa4b02d59c40f839d323648d</v>
      </c>
      <c r="B6" s="11" t="str">
        <f ca="1">IFERROR(__xludf.DUMMYFUNCTION("""COMPUTED_VALUE"""),"International, regional and subregional organizations can also contribute by coordinating efforts on developing methodologies, collecting data and providing technical assistance to improve migration data, including those required to monitor migrationrelev"&amp;"ant Sustainable Development Goal indicators and the implementation of the global compact on migration. As an increasing number of people live in cities, well-managed urbanization can help cities to reap the benefits of agglomeration while minimizing envir"&amp;"onmental degradation and other adverse impacts of urban growth. Urban planning is critical for the sustainable development of an urban infrastructure for providing access for all, especially the urban poor, to essential services, including safe water and "&amp;"sanitation, health care, education and adequate housing.")</f>
        <v>International, regional and subregional organizations can also contribute by coordinating efforts on developing methodologies, collecting data and providing technical assistance to improve migration data, including those required to monitor migrationrelevant Sustainable Development Goal indicators and the implementation of the global compact on migration. As an increasing number of people live in cities, well-managed urbanization can help cities to reap the benefits of agglomeration while minimizing environmental degradation and other adverse impacts of urban growth. Urban planning is critical for the sustainable development of an urban infrastructure for providing access for all, especially the urban poor, to essential services, including safe water and sanitation, health care, education and adequate housing.</v>
      </c>
      <c r="C6" s="7"/>
      <c r="D6" s="7" t="b">
        <f t="shared" ref="D6:I6" ca="1" si="12">VLOOKUP($A6, INDIRECT(D$1&amp;"!A:C"), 3, FALSE)</f>
        <v>1</v>
      </c>
      <c r="E6" s="7" t="str">
        <f t="shared" ca="1" si="12"/>
        <v>TO DO</v>
      </c>
      <c r="F6" s="7" t="b">
        <f t="shared" ca="1" si="12"/>
        <v>1</v>
      </c>
      <c r="G6" s="7" t="e">
        <f t="shared" ca="1" si="12"/>
        <v>#REF!</v>
      </c>
      <c r="H6" s="7" t="str">
        <f t="shared" ca="1" si="12"/>
        <v>TO DO</v>
      </c>
      <c r="I6" s="7" t="b">
        <f t="shared" ca="1" si="12"/>
        <v>0</v>
      </c>
      <c r="J6" s="38">
        <f t="shared" ca="1" si="1"/>
        <v>0.25</v>
      </c>
      <c r="K6" s="39">
        <f t="shared" ref="K6:L6" ca="1" si="13">VLOOKUP($A6, INDIRECT(K$1&amp;"!A:D"), 4, FALSE)</f>
        <v>0</v>
      </c>
      <c r="L6" s="39">
        <f t="shared" ca="1" si="13"/>
        <v>0</v>
      </c>
      <c r="M6" s="39"/>
      <c r="N6" s="39" t="e">
        <f t="shared" ref="N6:P6" ca="1" si="14">VLOOKUP($A6, INDIRECT(N$1&amp;"!A:D"), 4, FALSE)</f>
        <v>#REF!</v>
      </c>
      <c r="O6" s="39">
        <f t="shared" ca="1" si="14"/>
        <v>0</v>
      </c>
      <c r="P6" s="39">
        <f t="shared" ca="1" si="14"/>
        <v>0</v>
      </c>
      <c r="Q6" s="38" t="str">
        <f ca="1">IFERROR(__xludf.DUMMYFUNCTION("IF(COUNTA(K6:P6)=0, """", ARRAYFORMULA(""- ""&amp;TEXTJOIN(char(10)&amp;""- "", TRUE, FILTER(K$1:P$1&amp;"": ""&amp;K6:P6, NOT(ISBLANK(K6:P6))))))"),"")</f>
        <v/>
      </c>
      <c r="R6" s="38" t="str">
        <f ca="1"/>
        <v/>
      </c>
      <c r="S6" s="40" t="s">
        <v>449</v>
      </c>
    </row>
    <row r="7" spans="1:21">
      <c r="A7" s="11" t="str">
        <f ca="1">IFERROR(__xludf.DUMMYFUNCTION("""COMPUTED_VALUE"""),"3a629c9297c945d4187f08ee281c6475")</f>
        <v>3a629c9297c945d4187f08ee281c6475</v>
      </c>
      <c r="B7" s="11" t="str">
        <f ca="1">IFERROR(__xludf.DUMMYFUNCTION("""COMPUTED_VALUE"""),"In either case, further monitoring and research are needed to understand the underlying causes. Indicators offer a measure of the effectiveness of actions in moving a system towards a more desirable state. For example, if body temperature decreases after "&amp;"taking a medicine, we conclude that the medicine has been effective in combating the disease. To accomplish this objective, indicators should provide an ability to assess cause-and-effect relations. They help policy makers and the public to understand the"&amp;" linkages and trade-offs between economic, environmental and social values in order to evaluate the long-term implications of current decisions and behaviour and to monitor progress towards sustainable development goals by establishing baseline conditions"&amp;" and trends.")</f>
        <v>In either case, further monitoring and research are needed to understand the underlying causes. Indicators offer a measure of the effectiveness of actions in moving a system towards a more desirable state. For example, if body temperature decreases after taking a medicine, we conclude that the medicine has been effective in combating the disease. To accomplish this objective, indicators should provide an ability to assess cause-and-effect relations. They help policy makers and the public to understand the linkages and trade-offs between economic, environmental and social values in order to evaluate the long-term implications of current decisions and behaviour and to monitor progress towards sustainable development goals by establishing baseline conditions and trends.</v>
      </c>
      <c r="C7" s="7" t="s">
        <v>450</v>
      </c>
      <c r="D7" s="7" t="b">
        <f t="shared" ref="D7:I7" ca="1" si="15">VLOOKUP($A7, INDIRECT(D$1&amp;"!A:C"), 3, FALSE)</f>
        <v>1</v>
      </c>
      <c r="E7" s="7" t="str">
        <f t="shared" ca="1" si="15"/>
        <v>TO DO</v>
      </c>
      <c r="F7" s="7" t="b">
        <f t="shared" ca="1" si="15"/>
        <v>1</v>
      </c>
      <c r="G7" s="7" t="e">
        <f t="shared" ca="1" si="15"/>
        <v>#REF!</v>
      </c>
      <c r="H7" s="7" t="b">
        <f t="shared" ca="1" si="15"/>
        <v>1</v>
      </c>
      <c r="I7" s="7" t="b">
        <f t="shared" ca="1" si="15"/>
        <v>0</v>
      </c>
      <c r="J7" s="38">
        <f t="shared" ca="1" si="1"/>
        <v>0.4</v>
      </c>
      <c r="K7" s="39">
        <f t="shared" ref="K7:L7" ca="1" si="16">VLOOKUP($A7, INDIRECT(K$1&amp;"!A:D"), 4, FALSE)</f>
        <v>0</v>
      </c>
      <c r="L7" s="39">
        <f t="shared" ca="1" si="16"/>
        <v>0</v>
      </c>
      <c r="M7" s="39"/>
      <c r="N7" s="39" t="e">
        <f t="shared" ref="N7:P7" ca="1" si="17">VLOOKUP($A7, INDIRECT(N$1&amp;"!A:D"), 4, FALSE)</f>
        <v>#REF!</v>
      </c>
      <c r="O7" s="39">
        <f t="shared" ca="1" si="17"/>
        <v>0</v>
      </c>
      <c r="P7" s="39">
        <f t="shared" ca="1" si="17"/>
        <v>0</v>
      </c>
      <c r="Q7" s="38" t="str">
        <f ca="1">IFERROR(__xludf.DUMMYFUNCTION("IF(COUNTA(K7:P7)=0, """", ARRAYFORMULA(""- ""&amp;TEXTJOIN(char(10)&amp;""- "", TRUE, FILTER(K$1:P$1&amp;"": ""&amp;K7:P7, NOT(ISBLANK(K7:P7))))))"),"")</f>
        <v/>
      </c>
      <c r="R7" s="38" t="str">
        <f ca="1"/>
        <v/>
      </c>
      <c r="S7" s="40" t="b">
        <v>1</v>
      </c>
      <c r="T7" s="5" t="s">
        <v>451</v>
      </c>
    </row>
    <row r="8" spans="1:21">
      <c r="A8" s="11" t="str">
        <f ca="1">IFERROR(__xludf.DUMMYFUNCTION("""COMPUTED_VALUE"""),"4f3f5d89b1546a53f225af0fa071dc28")</f>
        <v>4f3f5d89b1546a53f225af0fa071dc28</v>
      </c>
      <c r="B8" s="11" t="str">
        <f ca="1">IFERROR(__xludf.DUMMYFUNCTION("""COMPUTED_VALUE"""),"One important conclusion so far is that thorough information making use of real-time data, presented in an appropriate way, has a great potential to enhance confidence in the public transport system. Electronic boards giving real time visual information a"&amp;"bout vehicle movements had already been fitted at city centre stops. Later, audio announcement modules were added to make the real-time information available to blind and partially sighted people.")</f>
        <v>One important conclusion so far is that thorough information making use of real-time data, presented in an appropriate way, has a great potential to enhance confidence in the public transport system. Electronic boards giving real time visual information about vehicle movements had already been fitted at city centre stops. Later, audio announcement modules were added to make the real-time information available to blind and partially sighted people.</v>
      </c>
      <c r="C8" s="7"/>
      <c r="D8" s="7" t="b">
        <f t="shared" ref="D8:I8" ca="1" si="18">VLOOKUP($A8, INDIRECT(D$1&amp;"!A:C"), 3, FALSE)</f>
        <v>0</v>
      </c>
      <c r="E8" s="7" t="str">
        <f t="shared" ca="1" si="18"/>
        <v>TO DO</v>
      </c>
      <c r="F8" s="7" t="b">
        <f t="shared" ca="1" si="18"/>
        <v>0</v>
      </c>
      <c r="G8" s="7" t="e">
        <f t="shared" ca="1" si="18"/>
        <v>#REF!</v>
      </c>
      <c r="H8" s="7" t="str">
        <f t="shared" ca="1" si="18"/>
        <v>TO DO</v>
      </c>
      <c r="I8" s="7" t="b">
        <f t="shared" ca="1" si="18"/>
        <v>0</v>
      </c>
      <c r="J8" s="38">
        <f t="shared" ca="1" si="1"/>
        <v>0.75</v>
      </c>
      <c r="K8" s="39">
        <f t="shared" ref="K8:L8" ca="1" si="19">VLOOKUP($A8, INDIRECT(K$1&amp;"!A:D"), 4, FALSE)</f>
        <v>0</v>
      </c>
      <c r="L8" s="39">
        <f t="shared" ca="1" si="19"/>
        <v>0</v>
      </c>
      <c r="M8" s="39"/>
      <c r="N8" s="39" t="e">
        <f t="shared" ref="N8:P8" ca="1" si="20">VLOOKUP($A8, INDIRECT(N$1&amp;"!A:D"), 4, FALSE)</f>
        <v>#REF!</v>
      </c>
      <c r="O8" s="39">
        <f t="shared" ca="1" si="20"/>
        <v>0</v>
      </c>
      <c r="P8" s="39">
        <f t="shared" ca="1" si="20"/>
        <v>0</v>
      </c>
      <c r="Q8" s="38" t="str">
        <f ca="1">IFERROR(__xludf.DUMMYFUNCTION("IF(COUNTA(K8:P8)=0, """", ARRAYFORMULA(""- ""&amp;TEXTJOIN(char(10)&amp;""- "", TRUE, FILTER(K$1:P$1&amp;"": ""&amp;K8:P8, NOT(ISBLANK(K8:P8))))))"),"")</f>
        <v/>
      </c>
      <c r="R8" s="38" t="str">
        <f ca="1"/>
        <v/>
      </c>
      <c r="S8" s="40" t="b">
        <v>0</v>
      </c>
    </row>
    <row r="9" spans="1:21">
      <c r="A9" s="11" t="str">
        <f ca="1">IFERROR(__xludf.DUMMYFUNCTION("""COMPUTED_VALUE"""),"5e5dbac2056edc34caa6e204bbe0d5b4")</f>
        <v>5e5dbac2056edc34caa6e204bbe0d5b4</v>
      </c>
      <c r="B9" s="11" t="str">
        <f ca="1">IFERROR(__xludf.DUMMYFUNCTION("""COMPUTED_VALUE"""),"The paper reports a study that investigated the construction of a common identity in an online Italian forum of psychologists based on asynchronous CMC. Discourse analysis was carried out on 20 discussions, and three Interpretative Repertoires were identi"&amp;"fied: (i) Professional Boundaries, (ii) disempowered psychology and (iii) psychology and health, which refer to three recurrent modalities of constructing the psychological profession. The study suggests that a framework drawing on social constructionism "&amp;"and Bourdieu's critical theory can help understand some aspects of identity in, and across, communities of practice. The main conclusion is that analysing critically how identities are constructed in learning environments, virtual or not, allows reconside"&amp;"ring the role of the cultural context in the production of those identities.")</f>
        <v>The paper reports a study that investigated the construction of a common identity in an online Italian forum of psychologists based on asynchronous CMC. Discourse analysis was carried out on 20 discussions, and three Interpretative Repertoires were identified: (i) Professional Boundaries, (ii) disempowered psychology and (iii) psychology and health, which refer to three recurrent modalities of constructing the psychological profession. The study suggests that a framework drawing on social constructionism and Bourdieu's critical theory can help understand some aspects of identity in, and across, communities of practice. The main conclusion is that analysing critically how identities are constructed in learning environments, virtual or not, allows reconsidering the role of the cultural context in the production of those identities.</v>
      </c>
      <c r="C9" s="7"/>
      <c r="D9" s="7" t="b">
        <f t="shared" ref="D9:I9" ca="1" si="21">VLOOKUP($A9, INDIRECT(D$1&amp;"!A:C"), 3, FALSE)</f>
        <v>0</v>
      </c>
      <c r="E9" s="7" t="str">
        <f t="shared" ca="1" si="21"/>
        <v>TO DO</v>
      </c>
      <c r="F9" s="7" t="b">
        <f t="shared" ca="1" si="21"/>
        <v>0</v>
      </c>
      <c r="G9" s="7" t="e">
        <f t="shared" ca="1" si="21"/>
        <v>#REF!</v>
      </c>
      <c r="H9" s="7" t="str">
        <f t="shared" ca="1" si="21"/>
        <v>TO DO</v>
      </c>
      <c r="I9" s="7" t="b">
        <f t="shared" ca="1" si="21"/>
        <v>0</v>
      </c>
      <c r="J9" s="38">
        <f t="shared" ca="1" si="1"/>
        <v>0.75</v>
      </c>
      <c r="K9" s="39">
        <f t="shared" ref="K9:L9" ca="1" si="22">VLOOKUP($A9, INDIRECT(K$1&amp;"!A:D"), 4, FALSE)</f>
        <v>0</v>
      </c>
      <c r="L9" s="39">
        <f t="shared" ca="1" si="22"/>
        <v>0</v>
      </c>
      <c r="M9" s="39"/>
      <c r="N9" s="39" t="e">
        <f t="shared" ref="N9:P9" ca="1" si="23">VLOOKUP($A9, INDIRECT(N$1&amp;"!A:D"), 4, FALSE)</f>
        <v>#REF!</v>
      </c>
      <c r="O9" s="39">
        <f t="shared" ca="1" si="23"/>
        <v>0</v>
      </c>
      <c r="P9" s="39">
        <f t="shared" ca="1" si="23"/>
        <v>0</v>
      </c>
      <c r="Q9" s="38" t="str">
        <f ca="1">IFERROR(__xludf.DUMMYFUNCTION("IF(COUNTA(K9:P9)=0, """", ARRAYFORMULA(""- ""&amp;TEXTJOIN(char(10)&amp;""- "", TRUE, FILTER(K$1:P$1&amp;"": ""&amp;K9:P9, NOT(ISBLANK(K9:P9))))))"),"")</f>
        <v/>
      </c>
      <c r="R9" s="38" t="str">
        <f ca="1"/>
        <v/>
      </c>
      <c r="S9" s="40" t="b">
        <v>0</v>
      </c>
    </row>
    <row r="10" spans="1:21">
      <c r="A10" s="11" t="str">
        <f ca="1">IFERROR(__xludf.DUMMYFUNCTION("""COMPUTED_VALUE"""),"605d237deafbadf27e954abd4754320e")</f>
        <v>605d237deafbadf27e954abd4754320e</v>
      </c>
      <c r="B10" s="11" t="str">
        <f ca="1">IFERROR(__xludf.DUMMYFUNCTION("""COMPUTED_VALUE"""),"However, rail transport has an important role to play in the growth and sustainable development of the African continent over the next few decades (AfDB, 2015). For instance, more than 95% of Ethiopia's trade passes through the port of Djibouti. The new A"&amp;"ddis Ababa-Djibouti railway provides landlocked Ethiopia with railroad access to the sea. The new line was built between 2011 and 2016 and financed by China at around USD 4 billion.")</f>
        <v>However, rail transport has an important role to play in the growth and sustainable development of the African continent over the next few decades (AfDB, 2015). For instance, more than 95% of Ethiopia's trade passes through the port of Djibouti. The new Addis Ababa-Djibouti railway provides landlocked Ethiopia with railroad access to the sea. The new line was built between 2011 and 2016 and financed by China at around USD 4 billion.</v>
      </c>
      <c r="C10" s="7" t="s">
        <v>448</v>
      </c>
      <c r="D10" s="7" t="b">
        <f t="shared" ref="D10:I10" ca="1" si="24">VLOOKUP($A10, INDIRECT(D$1&amp;"!A:C"), 3, FALSE)</f>
        <v>1</v>
      </c>
      <c r="E10" s="7" t="b">
        <f t="shared" ca="1" si="24"/>
        <v>0</v>
      </c>
      <c r="F10" s="7" t="b">
        <f t="shared" ca="1" si="24"/>
        <v>1</v>
      </c>
      <c r="G10" s="7" t="e">
        <f t="shared" ca="1" si="24"/>
        <v>#REF!</v>
      </c>
      <c r="H10" s="7" t="b">
        <f t="shared" ca="1" si="24"/>
        <v>1</v>
      </c>
      <c r="I10" s="7" t="b">
        <f t="shared" ca="1" si="24"/>
        <v>1</v>
      </c>
      <c r="J10" s="38">
        <f t="shared" ca="1" si="1"/>
        <v>0.5</v>
      </c>
      <c r="K10" s="39">
        <f t="shared" ref="K10:L10" ca="1" si="25">VLOOKUP($A10, INDIRECT(K$1&amp;"!A:D"), 4, FALSE)</f>
        <v>0</v>
      </c>
      <c r="L10" s="39">
        <f t="shared" ca="1" si="25"/>
        <v>0</v>
      </c>
      <c r="M10" s="39"/>
      <c r="N10" s="39" t="e">
        <f t="shared" ref="N10:P10" ca="1" si="26">VLOOKUP($A10, INDIRECT(N$1&amp;"!A:D"), 4, FALSE)</f>
        <v>#REF!</v>
      </c>
      <c r="O10" s="39">
        <f t="shared" ca="1" si="26"/>
        <v>0</v>
      </c>
      <c r="P10" s="39">
        <f t="shared" ca="1" si="26"/>
        <v>0</v>
      </c>
      <c r="Q10" s="38" t="str">
        <f ca="1">IFERROR(__xludf.DUMMYFUNCTION("IF(COUNTA(K10:P10)=0, """", ARRAYFORMULA(""- ""&amp;TEXTJOIN(char(10)&amp;""- "", TRUE, FILTER(K$1:P$1&amp;"": ""&amp;K10:P10, NOT(ISBLANK(K10:P10))))))"),"")</f>
        <v/>
      </c>
      <c r="R10" s="38" t="str">
        <f ca="1"/>
        <v/>
      </c>
      <c r="S10" s="40" t="s">
        <v>449</v>
      </c>
    </row>
    <row r="11" spans="1:21">
      <c r="A11" s="11" t="str">
        <f ca="1">IFERROR(__xludf.DUMMYFUNCTION("""COMPUTED_VALUE"""),"6115053d50939c957db047657c98311c")</f>
        <v>6115053d50939c957db047657c98311c</v>
      </c>
      <c r="B11" s="11" t="str">
        <f ca="1">IFERROR(__xludf.DUMMYFUNCTION("""COMPUTED_VALUE"""),"They may also capture the experiences of adult survey respondents, providing guidance on the nature and prevalence of those respondents' food needs. In terms of measurement, existing systems do not tap children's perspectives on their own lives, nor do th"&amp;"ey flow from a conceptualization of food insecurity that is grounded in children's experiences, their roles within households, or the ways in which they make sense of their environments. Adult survey respondents tend to under-report child food insecurity,"&amp;" missing as many as half of children who, themselves report going hungry because there is not enough food [16]. In terms of delivery, these systems rely on household samples, which exclude children in institutional settings and homeless children, and can "&amp;"substantially under-represent them in highly vulnerable household situations (migrant workers, those living in urban slums, distant rural households, those living in refugee camps, multi-family or extended family households) [17].")</f>
        <v>They may also capture the experiences of adult survey respondents, providing guidance on the nature and prevalence of those respondents' food needs. In terms of measurement, existing systems do not tap children's perspectives on their own lives, nor do they flow from a conceptualization of food insecurity that is grounded in children's experiences, their roles within households, or the ways in which they make sense of their environments. Adult survey respondents tend to under-report child food insecurity, missing as many as half of children who, themselves report going hungry because there is not enough food [16]. In terms of delivery, these systems rely on household samples, which exclude children in institutional settings and homeless children, and can substantially under-represent them in highly vulnerable household situations (migrant workers, those living in urban slums, distant rural households, those living in refugee camps, multi-family or extended family households) [17].</v>
      </c>
      <c r="C11" s="41"/>
      <c r="D11" s="7" t="b">
        <f t="shared" ref="D11:I11" ca="1" si="27">VLOOKUP($A11, INDIRECT(D$1&amp;"!A:C"), 3, FALSE)</f>
        <v>0</v>
      </c>
      <c r="E11" s="7" t="str">
        <f t="shared" ca="1" si="27"/>
        <v>TO DO</v>
      </c>
      <c r="F11" s="7" t="b">
        <f t="shared" ca="1" si="27"/>
        <v>1</v>
      </c>
      <c r="G11" s="7" t="e">
        <f t="shared" ca="1" si="27"/>
        <v>#REF!</v>
      </c>
      <c r="H11" s="7" t="str">
        <f t="shared" ca="1" si="27"/>
        <v>TO DO</v>
      </c>
      <c r="I11" s="7" t="b">
        <f t="shared" ca="1" si="27"/>
        <v>0</v>
      </c>
      <c r="J11" s="38">
        <f t="shared" ca="1" si="1"/>
        <v>0.25</v>
      </c>
      <c r="K11" s="39">
        <f t="shared" ref="K11:L11" ca="1" si="28">VLOOKUP($A11, INDIRECT(K$1&amp;"!A:D"), 4, FALSE)</f>
        <v>0</v>
      </c>
      <c r="L11" s="39">
        <f t="shared" ca="1" si="28"/>
        <v>0</v>
      </c>
      <c r="M11" s="39"/>
      <c r="N11" s="39" t="e">
        <f t="shared" ref="N11:P11" ca="1" si="29">VLOOKUP($A11, INDIRECT(N$1&amp;"!A:D"), 4, FALSE)</f>
        <v>#REF!</v>
      </c>
      <c r="O11" s="39">
        <f t="shared" ca="1" si="29"/>
        <v>0</v>
      </c>
      <c r="P11" s="39">
        <f t="shared" ca="1" si="29"/>
        <v>0</v>
      </c>
      <c r="Q11" s="38" t="str">
        <f ca="1">IFERROR(__xludf.DUMMYFUNCTION("IF(COUNTA(K11:P11)=0, """", ARRAYFORMULA(""- ""&amp;TEXTJOIN(char(10)&amp;""- "", TRUE, FILTER(K$1:P$1&amp;"": ""&amp;K11:P11, NOT(ISBLANK(K11:P11))))))"),"")</f>
        <v/>
      </c>
      <c r="R11" s="38" t="str">
        <f ca="1"/>
        <v/>
      </c>
      <c r="S11" s="40" t="s">
        <v>449</v>
      </c>
    </row>
    <row r="12" spans="1:21">
      <c r="A12" s="11" t="str">
        <f ca="1">IFERROR(__xludf.DUMMYFUNCTION("""COMPUTED_VALUE"""),"642bba736a727f46e499fee8ef9a95cd")</f>
        <v>642bba736a727f46e499fee8ef9a95cd</v>
      </c>
      <c r="B12" s="11" t="str">
        <f ca="1">IFERROR(__xludf.DUMMYFUNCTION("""COMPUTED_VALUE"""),"This chapter reviews the changes that the International System has experienced in the last three decades, the reconfiguration of the geo-strategic relation and global politics. From global terrorism, the wars in Iraq and Afghanistan, the global financial "&amp;"crisis in 2008, the growing role of global communications to the emergence of substantive changes in political leadership. The author asserts that no State or international actor possesses the capacities or conditions to confront the new global challenges"&amp;" on its own and only cooperation will make it possible to face the challenges and risks that emerge from globalization and interdependence. Hence, it is imperative to develop an educational model that promotes skills, values and behaviours that contribute"&amp;" to peace, justice, sustainable development and solidarity.")</f>
        <v>This chapter reviews the changes that the International System has experienced in the last three decades, the reconfiguration of the geo-strategic relation and global politics. From global terrorism, the wars in Iraq and Afghanistan, the global financial crisis in 2008, the growing role of global communications to the emergence of substantive changes in political leadership. The author asserts that no State or international actor possesses the capacities or conditions to confront the new global challenges on its own and only cooperation will make it possible to face the challenges and risks that emerge from globalization and interdependence. Hence, it is imperative to develop an educational model that promotes skills, values and behaviours that contribute to peace, justice, sustainable development and solidarity.</v>
      </c>
      <c r="C12" s="41"/>
      <c r="D12" s="7" t="b">
        <f t="shared" ref="D12:I12" ca="1" si="30">VLOOKUP($A12, INDIRECT(D$1&amp;"!A:C"), 3, FALSE)</f>
        <v>1</v>
      </c>
      <c r="E12" s="7" t="str">
        <f t="shared" ca="1" si="30"/>
        <v>TO DO</v>
      </c>
      <c r="F12" s="7" t="b">
        <f t="shared" ca="1" si="30"/>
        <v>0</v>
      </c>
      <c r="G12" s="7" t="e">
        <f t="shared" ca="1" si="30"/>
        <v>#REF!</v>
      </c>
      <c r="H12" s="7" t="b">
        <f t="shared" ca="1" si="30"/>
        <v>1</v>
      </c>
      <c r="I12" s="7" t="b">
        <f t="shared" ca="1" si="30"/>
        <v>0</v>
      </c>
      <c r="J12" s="38">
        <f t="shared" ca="1" si="1"/>
        <v>0</v>
      </c>
      <c r="K12" s="39">
        <f t="shared" ref="K12:L12" ca="1" si="31">VLOOKUP($A12, INDIRECT(K$1&amp;"!A:D"), 4, FALSE)</f>
        <v>0</v>
      </c>
      <c r="L12" s="39">
        <f t="shared" ca="1" si="31"/>
        <v>0</v>
      </c>
      <c r="M12" s="39"/>
      <c r="N12" s="39" t="e">
        <f t="shared" ref="N12:P12" ca="1" si="32">VLOOKUP($A12, INDIRECT(N$1&amp;"!A:D"), 4, FALSE)</f>
        <v>#REF!</v>
      </c>
      <c r="O12" s="39">
        <f t="shared" ca="1" si="32"/>
        <v>0</v>
      </c>
      <c r="P12" s="39">
        <f t="shared" ca="1" si="32"/>
        <v>0</v>
      </c>
      <c r="Q12" s="38" t="str">
        <f ca="1">IFERROR(__xludf.DUMMYFUNCTION("IF(COUNTA(K12:P12)=0, """", ARRAYFORMULA(""- ""&amp;TEXTJOIN(char(10)&amp;""- "", TRUE, FILTER(K$1:P$1&amp;"": ""&amp;K12:P12, NOT(ISBLANK(K12:P12))))))"),"")</f>
        <v/>
      </c>
      <c r="R12" s="38" t="str">
        <f ca="1"/>
        <v/>
      </c>
      <c r="S12" s="40" t="s">
        <v>449</v>
      </c>
    </row>
    <row r="13" spans="1:21">
      <c r="A13" s="11" t="str">
        <f ca="1">IFERROR(__xludf.DUMMYFUNCTION("""COMPUTED_VALUE"""),"655e9ad47325067ae4487b9347774527")</f>
        <v>655e9ad47325067ae4487b9347774527</v>
      </c>
      <c r="B13" s="11" t="str">
        <f ca="1">IFERROR(__xludf.DUMMYFUNCTION("""COMPUTED_VALUE"""),"Government leaders from more than 150 countries confirmed at the world summit in Johannesburg xo years later that the convention is the key instrument for the conservation and sustainable use of biological diversity and the fair and equitable sharing of b"&amp;"enefits arising from use of genetic resources. It emphasises the need for counteracting the loss of biological diversity through conservation and sustainable development. Genetic variations within the species, for example in the populations of the same sp"&amp;"ecies spread over a large area, are also covered by the term.")</f>
        <v>Government leaders from more than 150 countries confirmed at the world summit in Johannesburg xo years later that the convention is the key instrument for the conservation and sustainable use of biological diversity and the fair and equitable sharing of benefits arising from use of genetic resources. It emphasises the need for counteracting the loss of biological diversity through conservation and sustainable development. Genetic variations within the species, for example in the populations of the same species spread over a large area, are also covered by the term.</v>
      </c>
      <c r="C13" s="41"/>
      <c r="D13" s="7" t="b">
        <f t="shared" ref="D13:I13" ca="1" si="33">VLOOKUP($A13, INDIRECT(D$1&amp;"!A:C"), 3, FALSE)</f>
        <v>0</v>
      </c>
      <c r="E13" s="7" t="str">
        <f t="shared" ca="1" si="33"/>
        <v>TO DO</v>
      </c>
      <c r="F13" s="7" t="b">
        <f t="shared" ca="1" si="33"/>
        <v>1</v>
      </c>
      <c r="G13" s="7" t="e">
        <f t="shared" ca="1" si="33"/>
        <v>#REF!</v>
      </c>
      <c r="H13" s="7" t="b">
        <f t="shared" ca="1" si="33"/>
        <v>1</v>
      </c>
      <c r="I13" s="7" t="b">
        <f t="shared" ca="1" si="33"/>
        <v>0</v>
      </c>
      <c r="J13" s="38">
        <f t="shared" ca="1" si="1"/>
        <v>0</v>
      </c>
      <c r="K13" s="39">
        <f t="shared" ref="K13:L13" ca="1" si="34">VLOOKUP($A13, INDIRECT(K$1&amp;"!A:D"), 4, FALSE)</f>
        <v>0</v>
      </c>
      <c r="L13" s="39">
        <f t="shared" ca="1" si="34"/>
        <v>0</v>
      </c>
      <c r="M13" s="39"/>
      <c r="N13" s="39" t="e">
        <f t="shared" ref="N13:P13" ca="1" si="35">VLOOKUP($A13, INDIRECT(N$1&amp;"!A:D"), 4, FALSE)</f>
        <v>#REF!</v>
      </c>
      <c r="O13" s="39">
        <f t="shared" ca="1" si="35"/>
        <v>0</v>
      </c>
      <c r="P13" s="39">
        <f t="shared" ca="1" si="35"/>
        <v>0</v>
      </c>
      <c r="Q13" s="38" t="str">
        <f ca="1">IFERROR(__xludf.DUMMYFUNCTION("IF(COUNTA(K13:P13)=0, """", ARRAYFORMULA(""- ""&amp;TEXTJOIN(char(10)&amp;""- "", TRUE, FILTER(K$1:P$1&amp;"": ""&amp;K13:P13, NOT(ISBLANK(K13:P13))))))"),"")</f>
        <v/>
      </c>
      <c r="R13" s="38" t="str">
        <f ca="1"/>
        <v/>
      </c>
      <c r="S13" s="40" t="s">
        <v>449</v>
      </c>
    </row>
    <row r="14" spans="1:21">
      <c r="A14" s="11" t="str">
        <f ca="1">IFERROR(__xludf.DUMMYFUNCTION("""COMPUTED_VALUE"""),"6ce24f152679d754070b98a6e68b0816")</f>
        <v>6ce24f152679d754070b98a6e68b0816</v>
      </c>
      <c r="B14" s="11" t="str">
        <f ca="1">IFERROR(__xludf.DUMMYFUNCTION("""COMPUTED_VALUE"""),"Three other targets refer to the potential of ICTs for achieving other Goals, and indicators adopted by UNSC for these four targets are discussed in this chapter. Several other Goals and targets refer more generally to the importance of technology and to "&amp;"the role of information in enabling the achievement of sustainable development. It will provide the basis for annual monitoring, follow-up and subsequent review of implementation of the 2030 Agenda at the national, regional and global levels.")</f>
        <v>Three other targets refer to the potential of ICTs for achieving other Goals, and indicators adopted by UNSC for these four targets are discussed in this chapter. Several other Goals and targets refer more generally to the importance of technology and to the role of information in enabling the achievement of sustainable development. It will provide the basis for annual monitoring, follow-up and subsequent review of implementation of the 2030 Agenda at the national, regional and global levels.</v>
      </c>
      <c r="C14" s="41"/>
      <c r="D14" s="7" t="b">
        <f t="shared" ref="D14:I14" ca="1" si="36">VLOOKUP($A14, INDIRECT(D$1&amp;"!A:C"), 3, FALSE)</f>
        <v>1</v>
      </c>
      <c r="E14" s="7" t="str">
        <f t="shared" ca="1" si="36"/>
        <v>TO DO</v>
      </c>
      <c r="F14" s="7" t="str">
        <f t="shared" ca="1" si="36"/>
        <v>SKIP</v>
      </c>
      <c r="G14" s="7" t="e">
        <f t="shared" ca="1" si="36"/>
        <v>#REF!</v>
      </c>
      <c r="H14" s="7" t="b">
        <f t="shared" ca="1" si="36"/>
        <v>0</v>
      </c>
      <c r="I14" s="7" t="b">
        <f t="shared" ca="1" si="36"/>
        <v>0</v>
      </c>
      <c r="J14" s="38">
        <f t="shared" ca="1" si="1"/>
        <v>0.2</v>
      </c>
      <c r="K14" s="39">
        <f t="shared" ref="K14:L14" ca="1" si="37">VLOOKUP($A14, INDIRECT(K$1&amp;"!A:D"), 4, FALSE)</f>
        <v>0</v>
      </c>
      <c r="L14" s="39">
        <f t="shared" ca="1" si="37"/>
        <v>0</v>
      </c>
      <c r="M14" s="39"/>
      <c r="N14" s="39" t="e">
        <f t="shared" ref="N14:P14" ca="1" si="38">VLOOKUP($A14, INDIRECT(N$1&amp;"!A:D"), 4, FALSE)</f>
        <v>#REF!</v>
      </c>
      <c r="O14" s="39">
        <f t="shared" ca="1" si="38"/>
        <v>0</v>
      </c>
      <c r="P14" s="39" t="str">
        <f t="shared" ca="1" si="38"/>
        <v>no developing countries context</v>
      </c>
      <c r="Q14" s="38" t="str">
        <f ca="1">IFERROR(__xludf.DUMMYFUNCTION("IF(COUNTA(K14:P14)=0, """", ARRAYFORMULA(""- ""&amp;TEXTJOIN(char(10)&amp;""- "", TRUE, FILTER(K$1:P$1&amp;"": ""&amp;K14:P14, NOT(ISBLANK(K14:P14))))))"),"- Steve: no developing countries context")</f>
        <v>- Steve: no developing countries context</v>
      </c>
      <c r="R14" s="38" t="str">
        <f ca="1"/>
        <v>- Steve: no developing countries context</v>
      </c>
      <c r="S14" s="40" t="s">
        <v>449</v>
      </c>
    </row>
    <row r="15" spans="1:21">
      <c r="A15" s="11" t="str">
        <f ca="1">IFERROR(__xludf.DUMMYFUNCTION("""COMPUTED_VALUE"""),"72193d1e0b284fdc7672520feefe490e")</f>
        <v>72193d1e0b284fdc7672520feefe490e</v>
      </c>
      <c r="B15" s="11" t="str">
        <f ca="1">IFERROR(__xludf.DUMMYFUNCTION("""COMPUTED_VALUE"""),"The prominence of increasingly regressive tax structures leads to a discussion of factors subverting progressive revenue mobilization, such as slashes in wealth, top personal and corporate income tax rates, the increased use of regressive indirect taxes, "&amp;"and growing tax abuses, including harmful tax competition, tax avoidance and evasion by high net worth individuals (HNWIs) and transnational corporations (TNCs). The section also highlights redistributive policies that positively contributed to equity and"&amp;" sustainable development, especially in Latin America. Section 4 discusses possible steps for moving towards a framework enabling redistributive policies promoting equity and sustainable development. It also emphasizes the limits of domestic policy initia"&amp;"tives and the need for increased international cooperation, notably regarding the taxation of mobile capital income and financial wealth of HNWIs and TNCs.")</f>
        <v>The prominence of increasingly regressive tax structures leads to a discussion of factors subverting progressive revenue mobilization, such as slashes in wealth, top personal and corporate income tax rates, the increased use of regressive indirect taxes, and growing tax abuses, including harmful tax competition, tax avoidance and evasion by high net worth individuals (HNWIs) and transnational corporations (TNCs). The section also highlights redistributive policies that positively contributed to equity and sustainable development, especially in Latin America. Section 4 discusses possible steps for moving towards a framework enabling redistributive policies promoting equity and sustainable development. It also emphasizes the limits of domestic policy initiatives and the need for increased international cooperation, notably regarding the taxation of mobile capital income and financial wealth of HNWIs and TNCs.</v>
      </c>
      <c r="C15" s="41"/>
      <c r="D15" s="7" t="b">
        <f t="shared" ref="D15:I15" ca="1" si="39">VLOOKUP($A15, INDIRECT(D$1&amp;"!A:C"), 3, FALSE)</f>
        <v>1</v>
      </c>
      <c r="E15" s="7" t="str">
        <f t="shared" ca="1" si="39"/>
        <v>TO DO</v>
      </c>
      <c r="F15" s="7" t="b">
        <f t="shared" ca="1" si="39"/>
        <v>1</v>
      </c>
      <c r="G15" s="7" t="e">
        <f t="shared" ca="1" si="39"/>
        <v>#REF!</v>
      </c>
      <c r="H15" s="7" t="str">
        <f t="shared" ca="1" si="39"/>
        <v>TO DO</v>
      </c>
      <c r="I15" s="7" t="b">
        <f t="shared" ca="1" si="39"/>
        <v>1</v>
      </c>
      <c r="J15" s="38">
        <f t="shared" ca="1" si="1"/>
        <v>0.75</v>
      </c>
      <c r="K15" s="39">
        <f t="shared" ref="K15:L15" ca="1" si="40">VLOOKUP($A15, INDIRECT(K$1&amp;"!A:D"), 4, FALSE)</f>
        <v>0</v>
      </c>
      <c r="L15" s="39">
        <f t="shared" ca="1" si="40"/>
        <v>0</v>
      </c>
      <c r="M15" s="39"/>
      <c r="N15" s="39" t="e">
        <f t="shared" ref="N15:P15" ca="1" si="41">VLOOKUP($A15, INDIRECT(N$1&amp;"!A:D"), 4, FALSE)</f>
        <v>#REF!</v>
      </c>
      <c r="O15" s="39">
        <f t="shared" ca="1" si="41"/>
        <v>0</v>
      </c>
      <c r="P15" s="39">
        <f t="shared" ca="1" si="41"/>
        <v>17.100000000000001</v>
      </c>
      <c r="Q15" s="38" t="str">
        <f ca="1">IFERROR(__xludf.DUMMYFUNCTION("IF(COUNTA(K15:P15)=0, """", ARRAYFORMULA(""- ""&amp;TEXTJOIN(char(10)&amp;""- "", TRUE, FILTER(K$1:P$1&amp;"": ""&amp;K15:P15, NOT(ISBLANK(K15:P15))))))"),"- Steve: 17.1")</f>
        <v>- Steve: 17.1</v>
      </c>
      <c r="R15" s="38" t="str">
        <f ca="1"/>
        <v>- Steve: 17.1</v>
      </c>
      <c r="S15" s="40" t="b">
        <v>1</v>
      </c>
    </row>
    <row r="16" spans="1:21">
      <c r="A16" s="11" t="str">
        <f ca="1">IFERROR(__xludf.DUMMYFUNCTION("""COMPUTED_VALUE"""),"8825b99572daacb64c87ee7526df3666")</f>
        <v>8825b99572daacb64c87ee7526df3666</v>
      </c>
      <c r="B16" s="11" t="str">
        <f ca="1">IFERROR(__xludf.DUMMYFUNCTION("""COMPUTED_VALUE"""),"In September 2015, President Xi announced additional commitments of USD 2 billion for South-South co-operation and to implement the SDGs (IDS, 2016). Moreover, Chinese investments in Africa are expected to increase: the Johannesburg Action Plan for compre"&amp;"hensive strategic and co-operative partnership with Africa provides for USD 35 billion in concessional loans and credits in 2016-2018, as well as USD 10 billion for the China-Africa Production Capacity Co-operation Fund, it also increases in the existing "&amp;"China-Africa development fund (for equity investment) from USD 5 billion to USD 10 billion. China's main priority sectors are public facilities, industry and economic infrastructure.")</f>
        <v>In September 2015, President Xi announced additional commitments of USD 2 billion for South-South co-operation and to implement the SDGs (IDS, 2016). Moreover, Chinese investments in Africa are expected to increase: the Johannesburg Action Plan for comprehensive strategic and co-operative partnership with Africa provides for USD 35 billion in concessional loans and credits in 2016-2018, as well as USD 10 billion for the China-Africa Production Capacity Co-operation Fund, it also increases in the existing China-Africa development fund (for equity investment) from USD 5 billion to USD 10 billion. China's main priority sectors are public facilities, industry and economic infrastructure.</v>
      </c>
      <c r="C16" s="41"/>
      <c r="D16" s="7" t="b">
        <f t="shared" ref="D16:I16" ca="1" si="42">VLOOKUP($A16, INDIRECT(D$1&amp;"!A:C"), 3, FALSE)</f>
        <v>1</v>
      </c>
      <c r="E16" s="7" t="str">
        <f t="shared" ca="1" si="42"/>
        <v>TO DO</v>
      </c>
      <c r="F16" s="7" t="b">
        <f t="shared" ca="1" si="42"/>
        <v>1</v>
      </c>
      <c r="G16" s="7" t="e">
        <f t="shared" ca="1" si="42"/>
        <v>#REF!</v>
      </c>
      <c r="H16" s="7" t="b">
        <f t="shared" ca="1" si="42"/>
        <v>1</v>
      </c>
      <c r="I16" s="7" t="b">
        <f t="shared" ca="1" si="42"/>
        <v>1</v>
      </c>
      <c r="J16" s="38">
        <f t="shared" ca="1" si="1"/>
        <v>0.8</v>
      </c>
      <c r="K16" s="39">
        <f t="shared" ref="K16:L16" ca="1" si="43">VLOOKUP($A16, INDIRECT(K$1&amp;"!A:D"), 4, FALSE)</f>
        <v>0</v>
      </c>
      <c r="L16" s="39">
        <f t="shared" ca="1" si="43"/>
        <v>0</v>
      </c>
      <c r="M16" s="39"/>
      <c r="N16" s="39" t="e">
        <f t="shared" ref="N16:P16" ca="1" si="44">VLOOKUP($A16, INDIRECT(N$1&amp;"!A:D"), 4, FALSE)</f>
        <v>#REF!</v>
      </c>
      <c r="O16" s="39">
        <f t="shared" ca="1" si="44"/>
        <v>0</v>
      </c>
      <c r="P16" s="39">
        <f t="shared" ca="1" si="44"/>
        <v>0</v>
      </c>
      <c r="Q16" s="38" t="str">
        <f ca="1">IFERROR(__xludf.DUMMYFUNCTION("IF(COUNTA(K16:P16)=0, """", ARRAYFORMULA(""- ""&amp;TEXTJOIN(char(10)&amp;""- "", TRUE, FILTER(K$1:P$1&amp;"": ""&amp;K16:P16, NOT(ISBLANK(K16:P16))))))"),"")</f>
        <v/>
      </c>
      <c r="R16" s="38" t="str">
        <f ca="1"/>
        <v/>
      </c>
      <c r="S16" s="40" t="b">
        <v>1</v>
      </c>
    </row>
    <row r="17" spans="1:20">
      <c r="A17" s="11" t="str">
        <f ca="1">IFERROR(__xludf.DUMMYFUNCTION("""COMPUTED_VALUE"""),"8e341dd5fadcc8e5b7a16ec451693358")</f>
        <v>8e341dd5fadcc8e5b7a16ec451693358</v>
      </c>
      <c r="B17" s="11" t="str">
        <f ca="1">IFERROR(__xludf.DUMMYFUNCTION("""COMPUTED_VALUE"""),"In most MENA countries,"" responsibility for gender equality is located primarily in a single institution, most often in close proximity to the Centre of Government. While there is no uniform institutional set up for gender issues across the MENA region, "&amp;"those institutions involved would strongly benefit from clarifying and strengthening the mission and the mandate for advancing gender equality and ensuring sufficient human and financial resources and organisational capacities. In addition, strengthening "&amp;"mandates of gender equality oversight mechanisms, including ombudsman, human rights or gender equality commissions, would advance the protection of women’s rights and enable more effective implementation of equality strategies. Yet while MENA governments "&amp;"increasingly adopt co-ordinated approaches, examples of co-operation across the region remain limited. The existing approaches to co-ordination appear insufficient to achieve policy coherence and a “whole-of-government” approach to gender equality in MENA"&amp;" countries. Designing this type of strategy requires the use of a rigorous process to embed gender considerations in policy and programme design and delivery (i.e. gender mainstreaming).")</f>
        <v>In most MENA countries," responsibility for gender equality is located primarily in a single institution, most often in close proximity to the Centre of Government. While there is no uniform institutional set up for gender issues across the MENA region, those institutions involved would strongly benefit from clarifying and strengthening the mission and the mandate for advancing gender equality and ensuring sufficient human and financial resources and organisational capacities. In addition, strengthening mandates of gender equality oversight mechanisms, including ombudsman, human rights or gender equality commissions, would advance the protection of women’s rights and enable more effective implementation of equality strategies. Yet while MENA governments increasingly adopt co-ordinated approaches, examples of co-operation across the region remain limited. The existing approaches to co-ordination appear insufficient to achieve policy coherence and a “whole-of-government” approach to gender equality in MENA countries. Designing this type of strategy requires the use of a rigorous process to embed gender considerations in policy and programme design and delivery (i.e. gender mainstreaming).</v>
      </c>
      <c r="C17" s="7"/>
      <c r="D17" s="7" t="b">
        <f t="shared" ref="D17:I17" ca="1" si="45">VLOOKUP($A17, INDIRECT(D$1&amp;"!A:C"), 3, FALSE)</f>
        <v>1</v>
      </c>
      <c r="E17" s="7" t="str">
        <f t="shared" ca="1" si="45"/>
        <v>TO DO</v>
      </c>
      <c r="F17" s="7" t="b">
        <f t="shared" ca="1" si="45"/>
        <v>1</v>
      </c>
      <c r="G17" s="7" t="e">
        <f t="shared" ca="1" si="45"/>
        <v>#REF!</v>
      </c>
      <c r="H17" s="7" t="str">
        <f t="shared" ca="1" si="45"/>
        <v>TO DO</v>
      </c>
      <c r="I17" s="7" t="b">
        <f t="shared" ca="1" si="45"/>
        <v>0</v>
      </c>
      <c r="J17" s="38">
        <f t="shared" ca="1" si="1"/>
        <v>0.25</v>
      </c>
      <c r="K17" s="39">
        <f t="shared" ref="K17:L17" ca="1" si="46">VLOOKUP($A17, INDIRECT(K$1&amp;"!A:D"), 4, FALSE)</f>
        <v>0</v>
      </c>
      <c r="L17" s="39">
        <f t="shared" ca="1" si="46"/>
        <v>0</v>
      </c>
      <c r="M17" s="39"/>
      <c r="N17" s="39" t="e">
        <f t="shared" ref="N17:P17" ca="1" si="47">VLOOKUP($A17, INDIRECT(N$1&amp;"!A:D"), 4, FALSE)</f>
        <v>#REF!</v>
      </c>
      <c r="O17" s="39">
        <f t="shared" ca="1" si="47"/>
        <v>0</v>
      </c>
      <c r="P17" s="39" t="str">
        <f t="shared" ca="1" si="47"/>
        <v>again PC not PCSD</v>
      </c>
      <c r="Q17" s="38" t="str">
        <f ca="1">IFERROR(__xludf.DUMMYFUNCTION("IF(COUNTA(K17:P17)=0, """", ARRAYFORMULA(""- ""&amp;TEXTJOIN(char(10)&amp;""- "", TRUE, FILTER(K$1:P$1&amp;"": ""&amp;K17:P17, NOT(ISBLANK(K17:P17))))))"),"- Steve: again PC not PCSD")</f>
        <v>- Steve: again PC not PCSD</v>
      </c>
      <c r="R17" s="38" t="str">
        <f ca="1"/>
        <v>- Steve: again PC not PCSD</v>
      </c>
      <c r="S17" s="40" t="s">
        <v>449</v>
      </c>
    </row>
    <row r="18" spans="1:20">
      <c r="A18" s="11" t="str">
        <f ca="1">IFERROR(__xludf.DUMMYFUNCTION("""COMPUTED_VALUE"""),"a33ed0dba09a2ffca4f24943e4fff696")</f>
        <v>a33ed0dba09a2ffca4f24943e4fff696</v>
      </c>
      <c r="B18" s="11" t="str">
        <f ca="1">IFERROR(__xludf.DUMMYFUNCTION("""COMPUTED_VALUE"""),"The following chapter examines policy coherence and the importance of local strategies to job creation. This does not necessarily correspond to the municipal level, where the public employment service has its antennas. Such municipal offices are often mer"&amp;"ely delivery agencies with low critical mass and strategic capacity, except in urban centres.")</f>
        <v>The following chapter examines policy coherence and the importance of local strategies to job creation. This does not necessarily correspond to the municipal level, where the public employment service has its antennas. Such municipal offices are often merely delivery agencies with low critical mass and strategic capacity, except in urban centres.</v>
      </c>
      <c r="C18" s="7" t="s">
        <v>452</v>
      </c>
      <c r="D18" s="7" t="b">
        <f t="shared" ref="D18:I18" ca="1" si="48">VLOOKUP($A18, INDIRECT(D$1&amp;"!A:C"), 3, FALSE)</f>
        <v>0</v>
      </c>
      <c r="E18" s="7" t="str">
        <f t="shared" ca="1" si="48"/>
        <v>TO DO</v>
      </c>
      <c r="F18" s="7" t="str">
        <f t="shared" ca="1" si="48"/>
        <v>SKIP</v>
      </c>
      <c r="G18" s="7" t="e">
        <f t="shared" ca="1" si="48"/>
        <v>#REF!</v>
      </c>
      <c r="H18" s="7" t="b">
        <f t="shared" ca="1" si="48"/>
        <v>0</v>
      </c>
      <c r="I18" s="7" t="b">
        <f t="shared" ca="1" si="48"/>
        <v>0</v>
      </c>
      <c r="J18" s="38">
        <f t="shared" ca="1" si="1"/>
        <v>0.6</v>
      </c>
      <c r="K18" s="39">
        <f t="shared" ref="K18:L18" ca="1" si="49">VLOOKUP($A18, INDIRECT(K$1&amp;"!A:D"), 4, FALSE)</f>
        <v>0</v>
      </c>
      <c r="L18" s="39">
        <f t="shared" ca="1" si="49"/>
        <v>0</v>
      </c>
      <c r="M18" s="39"/>
      <c r="N18" s="39" t="e">
        <f t="shared" ref="N18:P18" ca="1" si="50">VLOOKUP($A18, INDIRECT(N$1&amp;"!A:D"), 4, FALSE)</f>
        <v>#REF!</v>
      </c>
      <c r="O18" s="39">
        <f t="shared" ca="1" si="50"/>
        <v>0</v>
      </c>
      <c r="P18" s="39" t="str">
        <f t="shared" ca="1" si="50"/>
        <v>only PC not PCSD</v>
      </c>
      <c r="Q18" s="38" t="str">
        <f ca="1">IFERROR(__xludf.DUMMYFUNCTION("IF(COUNTA(K18:P18)=0, """", ARRAYFORMULA(""- ""&amp;TEXTJOIN(char(10)&amp;""- "", TRUE, FILTER(K$1:P$1&amp;"": ""&amp;K18:P18, NOT(ISBLANK(K18:P18))))))"),"- Steve: only PC not PCSD")</f>
        <v>- Steve: only PC not PCSD</v>
      </c>
      <c r="R18" s="38" t="str">
        <f ca="1"/>
        <v>- Steve: only PC not PCSD</v>
      </c>
      <c r="S18" s="40" t="b">
        <v>0</v>
      </c>
      <c r="T18" s="42" t="s">
        <v>453</v>
      </c>
    </row>
    <row r="19" spans="1:20">
      <c r="A19" s="11" t="str">
        <f ca="1">IFERROR(__xludf.DUMMYFUNCTION("""COMPUTED_VALUE"""),"a5ae8214adbbcb49b5e2faaee0d2fb52")</f>
        <v>a5ae8214adbbcb49b5e2faaee0d2fb52</v>
      </c>
      <c r="B19" s="11" t="str">
        <f ca="1">IFERROR(__xludf.DUMMYFUNCTION("""COMPUTED_VALUE"""),"Also at the same meeting, statements were made by Wu Zhimin (China) and Peter Besseau (Canada) on the country-led initiative hosted by China, and Christian Ktichli (Switzerland) and Anna Sternberg (Switzerland) on the country-led initiative hosted by Swit"&amp;"zerland. At its 10th meeting, on 15 May, the Forum considered agenda item 6 jointly with items 3, 4, 5, 7 (Multi-stakeholder dialogue) and 9. For its consideration of the item, the Forum had before it the report of the Secretary-General on enhanced cooper"&amp;"ation and policy and programme coordination and regional and subregional inputs (E/CN.")</f>
        <v>Also at the same meeting, statements were made by Wu Zhimin (China) and Peter Besseau (Canada) on the country-led initiative hosted by China, and Christian Ktichli (Switzerland) and Anna Sternberg (Switzerland) on the country-led initiative hosted by Switzerland. At its 10th meeting, on 15 May, the Forum considered agenda item 6 jointly with items 3, 4, 5, 7 (Multi-stakeholder dialogue) and 9. For its consideration of the item, the Forum had before it the report of the Secretary-General on enhanced cooperation and policy and programme coordination and regional and subregional inputs (E/CN.</v>
      </c>
      <c r="C19" s="7" t="s">
        <v>452</v>
      </c>
      <c r="D19" s="7" t="b">
        <f t="shared" ref="D19:I19" ca="1" si="51">VLOOKUP($A19, INDIRECT(D$1&amp;"!A:C"), 3, FALSE)</f>
        <v>0</v>
      </c>
      <c r="E19" s="7" t="str">
        <f t="shared" ca="1" si="51"/>
        <v>TO DO</v>
      </c>
      <c r="F19" s="7" t="str">
        <f t="shared" ca="1" si="51"/>
        <v>SKIP</v>
      </c>
      <c r="G19" s="7" t="e">
        <f t="shared" ca="1" si="51"/>
        <v>#REF!</v>
      </c>
      <c r="H19" s="7" t="str">
        <f t="shared" ca="1" si="51"/>
        <v>TO DO</v>
      </c>
      <c r="I19" s="7" t="b">
        <f t="shared" ca="1" si="51"/>
        <v>0</v>
      </c>
      <c r="J19" s="38">
        <f t="shared" ca="1" si="1"/>
        <v>0.5</v>
      </c>
      <c r="K19" s="39">
        <f t="shared" ref="K19:L19" ca="1" si="52">VLOOKUP($A19, INDIRECT(K$1&amp;"!A:D"), 4, FALSE)</f>
        <v>0</v>
      </c>
      <c r="L19" s="39">
        <f t="shared" ca="1" si="52"/>
        <v>0</v>
      </c>
      <c r="M19" s="39"/>
      <c r="N19" s="39" t="e">
        <f t="shared" ref="N19:P19" ca="1" si="53">VLOOKUP($A19, INDIRECT(N$1&amp;"!A:D"), 4, FALSE)</f>
        <v>#REF!</v>
      </c>
      <c r="O19" s="39">
        <f t="shared" ca="1" si="53"/>
        <v>0</v>
      </c>
      <c r="P19" s="39">
        <f t="shared" ca="1" si="53"/>
        <v>0</v>
      </c>
      <c r="Q19" s="38" t="str">
        <f ca="1">IFERROR(__xludf.DUMMYFUNCTION("IF(COUNTA(K19:P19)=0, """", ARRAYFORMULA(""- ""&amp;TEXTJOIN(char(10)&amp;""- "", TRUE, FILTER(K$1:P$1&amp;"": ""&amp;K19:P19, NOT(ISBLANK(K19:P19))))))"),"")</f>
        <v/>
      </c>
      <c r="R19" s="38" t="str">
        <f ca="1"/>
        <v/>
      </c>
      <c r="S19" s="40" t="b">
        <v>0</v>
      </c>
      <c r="T19" s="5" t="s">
        <v>454</v>
      </c>
    </row>
    <row r="20" spans="1:20">
      <c r="A20" s="11" t="str">
        <f ca="1">IFERROR(__xludf.DUMMYFUNCTION("""COMPUTED_VALUE"""),"ad9ed17a58ac2d6a4d13b3bafcca8177")</f>
        <v>ad9ed17a58ac2d6a4d13b3bafcca8177</v>
      </c>
      <c r="B20" s="11" t="str">
        <f ca="1">IFERROR(__xludf.DUMMYFUNCTION("""COMPUTED_VALUE"""),"As a result of the Busan Declaration, the Global Partnership for Effective Development Co-operation (GPDEC) was created in 2012. Several initiatives exist in the framework of the GPDEC that are committed to advance specific commitments for effective devel"&amp;"opment co-operation, including the Partnership on Climate Finance and Development. This voluntary initiative fosters country-level actions by promoting good practice and knowledge sharing on mainstreaming climate finance into development planning and more"&amp;" effective ways to use climate finance.")</f>
        <v>As a result of the Busan Declaration, the Global Partnership for Effective Development Co-operation (GPDEC) was created in 2012. Several initiatives exist in the framework of the GPDEC that are committed to advance specific commitments for effective development co-operation, including the Partnership on Climate Finance and Development. This voluntary initiative fosters country-level actions by promoting good practice and knowledge sharing on mainstreaming climate finance into development planning and more effective ways to use climate finance.</v>
      </c>
      <c r="C20" s="7"/>
      <c r="D20" s="7" t="b">
        <f t="shared" ref="D20:I20" ca="1" si="54">VLOOKUP($A20, INDIRECT(D$1&amp;"!A:C"), 3, FALSE)</f>
        <v>1</v>
      </c>
      <c r="E20" s="7" t="str">
        <f t="shared" ca="1" si="54"/>
        <v>TO DO</v>
      </c>
      <c r="F20" s="7" t="b">
        <f t="shared" ca="1" si="54"/>
        <v>1</v>
      </c>
      <c r="G20" s="7" t="e">
        <f t="shared" ca="1" si="54"/>
        <v>#REF!</v>
      </c>
      <c r="H20" s="7" t="str">
        <f t="shared" ca="1" si="54"/>
        <v>TO DO</v>
      </c>
      <c r="I20" s="7" t="b">
        <f t="shared" ca="1" si="54"/>
        <v>1</v>
      </c>
      <c r="J20" s="38">
        <f t="shared" ca="1" si="1"/>
        <v>0.75</v>
      </c>
      <c r="K20" s="39">
        <f t="shared" ref="K20:L20" ca="1" si="55">VLOOKUP($A20, INDIRECT(K$1&amp;"!A:D"), 4, FALSE)</f>
        <v>0</v>
      </c>
      <c r="L20" s="39">
        <f t="shared" ca="1" si="55"/>
        <v>0</v>
      </c>
      <c r="M20" s="39"/>
      <c r="N20" s="39" t="e">
        <f t="shared" ref="N20:P20" ca="1" si="56">VLOOKUP($A20, INDIRECT(N$1&amp;"!A:D"), 4, FALSE)</f>
        <v>#REF!</v>
      </c>
      <c r="O20" s="39">
        <f t="shared" ca="1" si="56"/>
        <v>0</v>
      </c>
      <c r="P20" s="39">
        <f t="shared" ca="1" si="56"/>
        <v>0</v>
      </c>
      <c r="Q20" s="38" t="str">
        <f ca="1">IFERROR(__xludf.DUMMYFUNCTION("IF(COUNTA(K20:P20)=0, """", ARRAYFORMULA(""- ""&amp;TEXTJOIN(char(10)&amp;""- "", TRUE, FILTER(K$1:P$1&amp;"": ""&amp;K20:P20, NOT(ISBLANK(K20:P20))))))"),"")</f>
        <v/>
      </c>
      <c r="R20" s="38" t="str">
        <f ca="1"/>
        <v/>
      </c>
      <c r="S20" s="40" t="b">
        <v>1</v>
      </c>
    </row>
    <row r="21" spans="1:20">
      <c r="A21" s="11" t="str">
        <f ca="1">IFERROR(__xludf.DUMMYFUNCTION("""COMPUTED_VALUE"""),"ae3d99dad941bde5e3b0473fe5645ee0")</f>
        <v>ae3d99dad941bde5e3b0473fe5645ee0</v>
      </c>
      <c r="B21" s="11" t="str">
        <f ca="1">IFERROR(__xludf.DUMMYFUNCTION("""COMPUTED_VALUE"""),"Studies have been carried out in the region that show deficiencies in pension and retirement benefit coverage that have a larger impact on women, who receive roughly 20% less than men, on average (Marco, 2016, CEPAL, 2016a). In recent years, time has beco"&amp;"me the subject of study as a measure of well-being: the problem of poverty has been analysed from various unconventional perspectives and a vicious circle involving poverty and time spent on unpaid work has been revealed (Vaca-Trigo, 2015, CEPAL, 2016a). "&amp;"Hence, in order to achieve sustainable development, it is important to consider this dimension when designing public policies. As shown in figure IV.11, poor women receiving transfers in both countries spend more hours per week on unpaid domestic and care"&amp;" work.")</f>
        <v>Studies have been carried out in the region that show deficiencies in pension and retirement benefit coverage that have a larger impact on women, who receive roughly 20% less than men, on average (Marco, 2016, CEPAL, 2016a). In recent years, time has become the subject of study as a measure of well-being: the problem of poverty has been analysed from various unconventional perspectives and a vicious circle involving poverty and time spent on unpaid work has been revealed (Vaca-Trigo, 2015, CEPAL, 2016a). Hence, in order to achieve sustainable development, it is important to consider this dimension when designing public policies. As shown in figure IV.11, poor women receiving transfers in both countries spend more hours per week on unpaid domestic and care work.</v>
      </c>
      <c r="C21" s="7"/>
      <c r="D21" s="7" t="b">
        <f t="shared" ref="D21:I21" ca="1" si="57">VLOOKUP($A21, INDIRECT(D$1&amp;"!A:C"), 3, FALSE)</f>
        <v>0</v>
      </c>
      <c r="E21" s="7" t="str">
        <f t="shared" ca="1" si="57"/>
        <v>TO DO</v>
      </c>
      <c r="F21" s="7" t="b">
        <f t="shared" ca="1" si="57"/>
        <v>0</v>
      </c>
      <c r="G21" s="7" t="e">
        <f t="shared" ca="1" si="57"/>
        <v>#REF!</v>
      </c>
      <c r="H21" s="7" t="b">
        <f t="shared" ca="1" si="57"/>
        <v>0</v>
      </c>
      <c r="I21" s="7" t="b">
        <f t="shared" ca="1" si="57"/>
        <v>0</v>
      </c>
      <c r="J21" s="38">
        <f t="shared" ca="1" si="1"/>
        <v>0.8</v>
      </c>
      <c r="K21" s="39">
        <f t="shared" ref="K21:L21" ca="1" si="58">VLOOKUP($A21, INDIRECT(K$1&amp;"!A:D"), 4, FALSE)</f>
        <v>0</v>
      </c>
      <c r="L21" s="39">
        <f t="shared" ca="1" si="58"/>
        <v>0</v>
      </c>
      <c r="M21" s="39"/>
      <c r="N21" s="39" t="e">
        <f t="shared" ref="N21:P21" ca="1" si="59">VLOOKUP($A21, INDIRECT(N$1&amp;"!A:D"), 4, FALSE)</f>
        <v>#REF!</v>
      </c>
      <c r="O21" s="39">
        <f t="shared" ca="1" si="59"/>
        <v>0</v>
      </c>
      <c r="P21" s="39">
        <f t="shared" ca="1" si="59"/>
        <v>0</v>
      </c>
      <c r="Q21" s="38" t="str">
        <f ca="1">IFERROR(__xludf.DUMMYFUNCTION("IF(COUNTA(K21:P21)=0, """", ARRAYFORMULA(""- ""&amp;TEXTJOIN(char(10)&amp;""- "", TRUE, FILTER(K$1:P$1&amp;"": ""&amp;K21:P21, NOT(ISBLANK(K21:P21))))))"),"")</f>
        <v/>
      </c>
      <c r="R21" s="38" t="str">
        <f ca="1"/>
        <v/>
      </c>
      <c r="S21" s="40" t="b">
        <v>0</v>
      </c>
    </row>
    <row r="22" spans="1:20">
      <c r="A22" s="11" t="str">
        <f ca="1">IFERROR(__xludf.DUMMYFUNCTION("""COMPUTED_VALUE"""),"c02df91bb234ddf0221d5e63518ddff9")</f>
        <v>c02df91bb234ddf0221d5e63518ddff9</v>
      </c>
      <c r="B22" s="11" t="str">
        <f ca="1">IFERROR(__xludf.DUMMYFUNCTION("""COMPUTED_VALUE"""),"By downscaling the model proposed by the province of Potenza, and with its support, these municipalities are locally implementing a multi-stakeholder approach. This is based on the active involvement of local institutions, organizations and associations r"&amp;"epresenting different professional and social categories, to give them the opportunity to become driving forces reducing disaster risk. These municipalities are engaged in clustering processes with key community actors across all sectors. They are also lo"&amp;"oking at working with the concept of social categories, experimenting with the use of concrete plans/actions to transform different social groups into forces for developing and implementing safe and sustainable urban policies.")</f>
        <v>By downscaling the model proposed by the province of Potenza, and with its support, these municipalities are locally implementing a multi-stakeholder approach. This is based on the active involvement of local institutions, organizations and associations representing different professional and social categories, to give them the opportunity to become driving forces reducing disaster risk. These municipalities are engaged in clustering processes with key community actors across all sectors. They are also looking at working with the concept of social categories, experimenting with the use of concrete plans/actions to transform different social groups into forces for developing and implementing safe and sustainable urban policies.</v>
      </c>
      <c r="C22" s="41"/>
      <c r="D22" s="7" t="b">
        <f t="shared" ref="D22:I22" ca="1" si="60">VLOOKUP($A22, INDIRECT(D$1&amp;"!A:C"), 3, FALSE)</f>
        <v>1</v>
      </c>
      <c r="E22" s="7" t="str">
        <f t="shared" ca="1" si="60"/>
        <v>TO DO</v>
      </c>
      <c r="F22" s="7" t="b">
        <f t="shared" ca="1" si="60"/>
        <v>0</v>
      </c>
      <c r="G22" s="7" t="e">
        <f t="shared" ca="1" si="60"/>
        <v>#REF!</v>
      </c>
      <c r="H22" s="7" t="str">
        <f t="shared" ca="1" si="60"/>
        <v>TO DO</v>
      </c>
      <c r="I22" s="7" t="b">
        <f t="shared" ca="1" si="60"/>
        <v>0</v>
      </c>
      <c r="J22" s="38">
        <f t="shared" ca="1" si="1"/>
        <v>0.25</v>
      </c>
      <c r="K22" s="39">
        <f t="shared" ref="K22:L22" ca="1" si="61">VLOOKUP($A22, INDIRECT(K$1&amp;"!A:D"), 4, FALSE)</f>
        <v>0</v>
      </c>
      <c r="L22" s="39">
        <f t="shared" ca="1" si="61"/>
        <v>0</v>
      </c>
      <c r="M22" s="39"/>
      <c r="N22" s="39" t="e">
        <f t="shared" ref="N22:P22" ca="1" si="62">VLOOKUP($A22, INDIRECT(N$1&amp;"!A:D"), 4, FALSE)</f>
        <v>#REF!</v>
      </c>
      <c r="O22" s="39">
        <f t="shared" ca="1" si="62"/>
        <v>0</v>
      </c>
      <c r="P22" s="39">
        <f t="shared" ca="1" si="62"/>
        <v>0</v>
      </c>
      <c r="Q22" s="38" t="str">
        <f ca="1">IFERROR(__xludf.DUMMYFUNCTION("IF(COUNTA(K22:P22)=0, """", ARRAYFORMULA(""- ""&amp;TEXTJOIN(char(10)&amp;""- "", TRUE, FILTER(K$1:P$1&amp;"": ""&amp;K22:P22, NOT(ISBLANK(K22:P22))))))"),"")</f>
        <v/>
      </c>
      <c r="R22" s="38" t="str">
        <f ca="1"/>
        <v/>
      </c>
      <c r="S22" s="40" t="s">
        <v>449</v>
      </c>
    </row>
    <row r="23" spans="1:20">
      <c r="A23" s="11" t="str">
        <f ca="1">IFERROR(__xludf.DUMMYFUNCTION("""COMPUTED_VALUE"""),"e23166ef18177d6a5d49e38af6c75352")</f>
        <v>e23166ef18177d6a5d49e38af6c75352</v>
      </c>
      <c r="B23" s="11" t="str">
        <f ca="1">IFERROR(__xludf.DUMMYFUNCTION("""COMPUTED_VALUE"""),"Such complexity leads to significant difficulties in monitoring and verifying environmental impacts and outcomes. The Busan Partnership for Effective Development Co-operation agreed four principles to ensure aid effectiveness: ownership by partner countri"&amp;"es, results focused efforts, inclusive partnerships, and delivery of aid within an environment of transparency and accountability. Garside et al (2016) translates this into four elements of effective aid-business partnerships for sustainable development, "&amp;"based on a review of 11 existing partnerships: ensuring additionality of private sector efforts (i.e. going beyond what business would have invested in anyway), financial sustainability of approaches, mutual transformation (i.e. changing of attitudes and "&amp;"business models), and risk-sharing, all within a transparent manner without market distortion. These four elements could provide a structure for further assessment and guidance for good practice recommendations for development cooperation efforts in priva"&amp;"te sector engagement for the environment.")</f>
        <v>Such complexity leads to significant difficulties in monitoring and verifying environmental impacts and outcomes. The Busan Partnership for Effective Development Co-operation agreed four principles to ensure aid effectiveness: ownership by partner countries, results focused efforts, inclusive partnerships, and delivery of aid within an environment of transparency and accountability. Garside et al (2016) translates this into four elements of effective aid-business partnerships for sustainable development, based on a review of 11 existing partnerships: ensuring additionality of private sector efforts (i.e. going beyond what business would have invested in anyway), financial sustainability of approaches, mutual transformation (i.e. changing of attitudes and business models), and risk-sharing, all within a transparent manner without market distortion. These four elements could provide a structure for further assessment and guidance for good practice recommendations for development cooperation efforts in private sector engagement for the environment.</v>
      </c>
      <c r="C23" s="7"/>
      <c r="D23" s="7" t="b">
        <f t="shared" ref="D23:I23" ca="1" si="63">VLOOKUP($A23, INDIRECT(D$1&amp;"!A:C"), 3, FALSE)</f>
        <v>1</v>
      </c>
      <c r="E23" s="7" t="str">
        <f t="shared" ca="1" si="63"/>
        <v>TO DO</v>
      </c>
      <c r="F23" s="7" t="b">
        <f t="shared" ca="1" si="63"/>
        <v>1</v>
      </c>
      <c r="G23" s="7" t="e">
        <f t="shared" ca="1" si="63"/>
        <v>#REF!</v>
      </c>
      <c r="H23" s="7" t="str">
        <f t="shared" ca="1" si="63"/>
        <v>TO DO</v>
      </c>
      <c r="I23" s="7" t="b">
        <f t="shared" ca="1" si="63"/>
        <v>1</v>
      </c>
      <c r="J23" s="38">
        <f t="shared" ca="1" si="1"/>
        <v>0.75</v>
      </c>
      <c r="K23" s="39">
        <f t="shared" ref="K23:L23" ca="1" si="64">VLOOKUP($A23, INDIRECT(K$1&amp;"!A:D"), 4, FALSE)</f>
        <v>0</v>
      </c>
      <c r="L23" s="39">
        <f t="shared" ca="1" si="64"/>
        <v>0</v>
      </c>
      <c r="M23" s="39"/>
      <c r="N23" s="39" t="e">
        <f t="shared" ref="N23:P23" ca="1" si="65">VLOOKUP($A23, INDIRECT(N$1&amp;"!A:D"), 4, FALSE)</f>
        <v>#REF!</v>
      </c>
      <c r="O23" s="39">
        <f t="shared" ca="1" si="65"/>
        <v>0</v>
      </c>
      <c r="P23" s="39">
        <f t="shared" ca="1" si="65"/>
        <v>0</v>
      </c>
      <c r="Q23" s="38" t="str">
        <f ca="1">IFERROR(__xludf.DUMMYFUNCTION("IF(COUNTA(K23:P23)=0, """", ARRAYFORMULA(""- ""&amp;TEXTJOIN(char(10)&amp;""- "", TRUE, FILTER(K$1:P$1&amp;"": ""&amp;K23:P23, NOT(ISBLANK(K23:P23))))))"),"")</f>
        <v/>
      </c>
      <c r="R23" s="38" t="str">
        <f ca="1"/>
        <v/>
      </c>
      <c r="S23" s="40" t="b">
        <v>1</v>
      </c>
    </row>
    <row r="24" spans="1:20">
      <c r="A24" s="11" t="str">
        <f ca="1">IFERROR(__xludf.DUMMYFUNCTION("""COMPUTED_VALUE"""),"e531eef8faee34e7dde0dc1fc64b386f")</f>
        <v>e531eef8faee34e7dde0dc1fc64b386f</v>
      </c>
      <c r="B24" s="11" t="str">
        <f ca="1">IFERROR(__xludf.DUMMYFUNCTION("""COMPUTED_VALUE"""),"The growing capacity of large national agricultural systems in Brazil, China, India and South Africa, for instance, has generated South-South cooperation aimed at benefiting countries with limited resources, by allowing them to adopt or adapt the technolo"&amp;"gies of the countries with large agriculture systems, which are typically less capital-intensive and have less intellectual property rights protection. Many of the current agricultural practices have relied on cheap energy and abundant water and land, and"&amp;" are a leading source of greenhouse gas emissions. These practices are now proving unsustainable for the environment and health.")</f>
        <v>The growing capacity of large national agricultural systems in Brazil, China, India and South Africa, for instance, has generated South-South cooperation aimed at benefiting countries with limited resources, by allowing them to adopt or adapt the technologies of the countries with large agriculture systems, which are typically less capital-intensive and have less intellectual property rights protection. Many of the current agricultural practices have relied on cheap energy and abundant water and land, and are a leading source of greenhouse gas emissions. These practices are now proving unsustainable for the environment and health.</v>
      </c>
      <c r="C24" s="7" t="s">
        <v>455</v>
      </c>
      <c r="D24" s="7" t="b">
        <f t="shared" ref="D24:I24" ca="1" si="66">VLOOKUP($A24, INDIRECT(D$1&amp;"!A:C"), 3, FALSE)</f>
        <v>1</v>
      </c>
      <c r="E24" s="7" t="str">
        <f t="shared" ca="1" si="66"/>
        <v>TO DO</v>
      </c>
      <c r="F24" s="7" t="b">
        <f t="shared" ca="1" si="66"/>
        <v>1</v>
      </c>
      <c r="G24" s="7" t="e">
        <f t="shared" ca="1" si="66"/>
        <v>#REF!</v>
      </c>
      <c r="H24" s="7" t="b">
        <f t="shared" ca="1" si="66"/>
        <v>0</v>
      </c>
      <c r="I24" s="7" t="b">
        <f t="shared" ca="1" si="66"/>
        <v>1</v>
      </c>
      <c r="J24" s="38">
        <f t="shared" ca="1" si="1"/>
        <v>0.4</v>
      </c>
      <c r="K24" s="39">
        <f t="shared" ref="K24:L24" ca="1" si="67">VLOOKUP($A24, INDIRECT(K$1&amp;"!A:D"), 4, FALSE)</f>
        <v>0</v>
      </c>
      <c r="L24" s="39">
        <f t="shared" ca="1" si="67"/>
        <v>0</v>
      </c>
      <c r="M24" s="39"/>
      <c r="N24" s="39" t="e">
        <f t="shared" ref="N24:P24" ca="1" si="68">VLOOKUP($A24, INDIRECT(N$1&amp;"!A:D"), 4, FALSE)</f>
        <v>#REF!</v>
      </c>
      <c r="O24" s="39">
        <f t="shared" ca="1" si="68"/>
        <v>0</v>
      </c>
      <c r="P24" s="39">
        <f t="shared" ca="1" si="68"/>
        <v>0</v>
      </c>
      <c r="Q24" s="38" t="str">
        <f ca="1">IFERROR(__xludf.DUMMYFUNCTION("IF(COUNTA(K24:P24)=0, """", ARRAYFORMULA(""- ""&amp;TEXTJOIN(char(10)&amp;""- "", TRUE, FILTER(K$1:P$1&amp;"": ""&amp;K24:P24, NOT(ISBLANK(K24:P24))))))"),"")</f>
        <v/>
      </c>
      <c r="R24" s="38" t="str">
        <f ca="1"/>
        <v/>
      </c>
      <c r="S24" s="40" t="s">
        <v>449</v>
      </c>
    </row>
    <row r="25" spans="1:20">
      <c r="A25" s="11" t="str">
        <f ca="1">IFERROR(__xludf.DUMMYFUNCTION("""COMPUTED_VALUE"""),"fb8ebc8b40293435f1f98c4b0c21c2a8")</f>
        <v>fb8ebc8b40293435f1f98c4b0c21c2a8</v>
      </c>
      <c r="B25" s="11" t="str">
        <f ca="1">IFERROR(__xludf.DUMMYFUNCTION("""COMPUTED_VALUE"""),"Yet, little comprehensive evidence is collected on how many women-owned and managed companies participate in international trade, what type of products they export or what barriers discourage women from entering international trade. Because of these issue"&amp;"s, it is difficult to draw a comprehensive picture of women’s participation in international trade. The findings contribute to a better understanding ot women’s limited participation in international trade. For the sake ot simplicity, the analysis concent"&amp;"rates on exporting firms, including firms that both export and import. Surveyed firms that only import were not considered in this analysis.")</f>
        <v>Yet, little comprehensive evidence is collected on how many women-owned and managed companies participate in international trade, what type of products they export or what barriers discourage women from entering international trade. Because of these issues, it is difficult to draw a comprehensive picture of women’s participation in international trade. The findings contribute to a better understanding ot women’s limited participation in international trade. For the sake ot simplicity, the analysis concentrates on exporting firms, including firms that both export and import. Surveyed firms that only import were not considered in this analysis.</v>
      </c>
      <c r="C25" s="7" t="s">
        <v>450</v>
      </c>
      <c r="D25" s="7" t="b">
        <f t="shared" ref="D25:I25" ca="1" si="69">VLOOKUP($A25, INDIRECT(D$1&amp;"!A:C"), 3, FALSE)</f>
        <v>0</v>
      </c>
      <c r="E25" s="7" t="str">
        <f t="shared" ca="1" si="69"/>
        <v>TO DO</v>
      </c>
      <c r="F25" s="7" t="b">
        <f t="shared" ca="1" si="69"/>
        <v>1</v>
      </c>
      <c r="G25" s="7" t="e">
        <f t="shared" ca="1" si="69"/>
        <v>#REF!</v>
      </c>
      <c r="H25" s="7" t="b">
        <f t="shared" ca="1" si="69"/>
        <v>0</v>
      </c>
      <c r="I25" s="7" t="b">
        <f t="shared" ca="1" si="69"/>
        <v>0</v>
      </c>
      <c r="J25" s="38">
        <f t="shared" ca="1" si="1"/>
        <v>0.4</v>
      </c>
      <c r="K25" s="39">
        <f t="shared" ref="K25:L25" ca="1" si="70">VLOOKUP($A25, INDIRECT(K$1&amp;"!A:D"), 4, FALSE)</f>
        <v>0</v>
      </c>
      <c r="L25" s="39">
        <f t="shared" ca="1" si="70"/>
        <v>0</v>
      </c>
      <c r="M25" s="39"/>
      <c r="N25" s="39" t="e">
        <f t="shared" ref="N25:P25" ca="1" si="71">VLOOKUP($A25, INDIRECT(N$1&amp;"!A:D"), 4, FALSE)</f>
        <v>#REF!</v>
      </c>
      <c r="O25" s="39">
        <f t="shared" ca="1" si="71"/>
        <v>0</v>
      </c>
      <c r="P25" s="39">
        <f t="shared" ca="1" si="71"/>
        <v>0</v>
      </c>
      <c r="Q25" s="38" t="str">
        <f ca="1">IFERROR(__xludf.DUMMYFUNCTION("IF(COUNTA(K25:P25)=0, """", ARRAYFORMULA(""- ""&amp;TEXTJOIN(char(10)&amp;""- "", TRUE, FILTER(K$1:P$1&amp;"": ""&amp;K25:P25, NOT(ISBLANK(K25:P25))))))"),"")</f>
        <v/>
      </c>
      <c r="R25" s="38" t="str">
        <f ca="1"/>
        <v/>
      </c>
      <c r="S25" s="40" t="s">
        <v>449</v>
      </c>
    </row>
    <row r="26" spans="1:20">
      <c r="A26" s="11" t="str">
        <f ca="1">IFERROR(__xludf.DUMMYFUNCTION("""COMPUTED_VALUE"""),"02bac9d17475999b1e8cd569255dca67")</f>
        <v>02bac9d17475999b1e8cd569255dca67</v>
      </c>
      <c r="B26" s="11" t="str">
        <f ca="1">IFERROR(__xludf.DUMMYFUNCTION("""COMPUTED_VALUE"""),"Strategies include building national and regional institutional capacity, cost sharing across borders, governance and regulations, enhancing access to modern energy, developing low-carbon and renewable domestic resources, improving regional energy coopera"&amp;"tion and energy security, and promoting private sector participation in energy development. One key focus area is the development of hydropower potential, especially in the Lao People's Democratic Republic. Other activities pertaining to the energy sector"&amp;" include issues related to development of new and renewable sources (including small hydro), addressing the food-energy nexus, standardization and testing. These are captured in the BIMSTEC Memorandum of Understanding on Grid Interconnection.")</f>
        <v>Strategies include building national and regional institutional capacity, cost sharing across borders, governance and regulations, enhancing access to modern energy, developing low-carbon and renewable domestic resources, improving regional energy cooperation and energy security, and promoting private sector participation in energy development. One key focus area is the development of hydropower potential, especially in the Lao People's Democratic Republic. Other activities pertaining to the energy sector include issues related to development of new and renewable sources (including small hydro), addressing the food-energy nexus, standardization and testing. These are captured in the BIMSTEC Memorandum of Understanding on Grid Interconnection.</v>
      </c>
      <c r="C26" s="7" t="s">
        <v>448</v>
      </c>
      <c r="D26" s="7" t="b">
        <f t="shared" ref="D26:I26" ca="1" si="72">VLOOKUP($A26, INDIRECT(D$1&amp;"!A:C"), 3, FALSE)</f>
        <v>0</v>
      </c>
      <c r="E26" s="7" t="b">
        <f t="shared" ca="1" si="72"/>
        <v>1</v>
      </c>
      <c r="F26" s="7" t="b">
        <f t="shared" ca="1" si="72"/>
        <v>1</v>
      </c>
      <c r="G26" s="7" t="e">
        <f t="shared" ca="1" si="72"/>
        <v>#REF!</v>
      </c>
      <c r="H26" s="7" t="b">
        <f t="shared" ca="1" si="72"/>
        <v>1</v>
      </c>
      <c r="I26" s="7" t="b">
        <f t="shared" ca="1" si="72"/>
        <v>1</v>
      </c>
      <c r="J26" s="38">
        <f t="shared" ca="1" si="1"/>
        <v>0.5</v>
      </c>
      <c r="K26" s="39">
        <f t="shared" ref="K26:L26" ca="1" si="73">VLOOKUP($A26, INDIRECT(K$1&amp;"!A:D"), 4, FALSE)</f>
        <v>0</v>
      </c>
      <c r="L26" s="39">
        <f t="shared" ca="1" si="73"/>
        <v>0</v>
      </c>
      <c r="M26" s="39"/>
      <c r="N26" s="39" t="e">
        <f t="shared" ref="N26:P26" ca="1" si="74">VLOOKUP($A26, INDIRECT(N$1&amp;"!A:D"), 4, FALSE)</f>
        <v>#REF!</v>
      </c>
      <c r="O26" s="39">
        <f t="shared" ca="1" si="74"/>
        <v>0</v>
      </c>
      <c r="P26" s="39">
        <f t="shared" ca="1" si="74"/>
        <v>0</v>
      </c>
      <c r="Q26" s="38" t="str">
        <f ca="1">IFERROR(__xludf.DUMMYFUNCTION("IF(COUNTA(K26:P26)=0, """", ARRAYFORMULA(""- ""&amp;TEXTJOIN(char(10)&amp;""- "", TRUE, FILTER(K$1:P$1&amp;"": ""&amp;K26:P26, NOT(ISBLANK(K26:P26))))))"),"")</f>
        <v/>
      </c>
      <c r="R26" s="38" t="str">
        <f ca="1"/>
        <v/>
      </c>
      <c r="S26" s="40" t="b">
        <v>1</v>
      </c>
      <c r="T26" s="5" t="s">
        <v>456</v>
      </c>
    </row>
    <row r="27" spans="1:20">
      <c r="A27" s="11" t="str">
        <f ca="1">IFERROR(__xludf.DUMMYFUNCTION("""COMPUTED_VALUE"""),"082e9613048ae217738fe65bf7bbceb9")</f>
        <v>082e9613048ae217738fe65bf7bbceb9</v>
      </c>
      <c r="B27" s="11" t="str">
        <f ca="1">IFERROR(__xludf.DUMMYFUNCTION("""COMPUTED_VALUE"""),"This would in part be motivated by the widespread use of such measures for reasons other than food security, including tax collection, environmental and health considerations and industry policy. Other participants connected the issue to the standstill in"&amp;" the agenda for agricultural trade reform. They questioned whether advanced rule-making on export restrictions would be possible given the fragile consensus in this agenda (e.g. on removal of export subsidies and increased transparency regarding domestic "&amp;"support) between the key players.")</f>
        <v>This would in part be motivated by the widespread use of such measures for reasons other than food security, including tax collection, environmental and health considerations and industry policy. Other participants connected the issue to the standstill in the agenda for agricultural trade reform. They questioned whether advanced rule-making on export restrictions would be possible given the fragile consensus in this agenda (e.g. on removal of export subsidies and increased transparency regarding domestic support) between the key players.</v>
      </c>
      <c r="C27" s="7" t="s">
        <v>452</v>
      </c>
      <c r="D27" s="7" t="b">
        <f t="shared" ref="D27:I27" ca="1" si="75">VLOOKUP($A27, INDIRECT(D$1&amp;"!A:C"), 3, FALSE)</f>
        <v>0</v>
      </c>
      <c r="E27" s="7" t="str">
        <f t="shared" ca="1" si="75"/>
        <v>TO DO</v>
      </c>
      <c r="F27" s="7" t="str">
        <f t="shared" ca="1" si="75"/>
        <v>SKIP</v>
      </c>
      <c r="G27" s="7" t="e">
        <f t="shared" ca="1" si="75"/>
        <v>#REF!</v>
      </c>
      <c r="H27" s="7" t="str">
        <f t="shared" ca="1" si="75"/>
        <v>TO DO</v>
      </c>
      <c r="I27" s="7" t="b">
        <f t="shared" ca="1" si="75"/>
        <v>0</v>
      </c>
      <c r="J27" s="38">
        <f t="shared" ca="1" si="1"/>
        <v>0.5</v>
      </c>
      <c r="K27" s="39">
        <f t="shared" ref="K27:L27" ca="1" si="76">VLOOKUP($A27, INDIRECT(K$1&amp;"!A:D"), 4, FALSE)</f>
        <v>0</v>
      </c>
      <c r="L27" s="39">
        <f t="shared" ca="1" si="76"/>
        <v>0</v>
      </c>
      <c r="M27" s="39"/>
      <c r="N27" s="39" t="e">
        <f t="shared" ref="N27:P27" ca="1" si="77">VLOOKUP($A27, INDIRECT(N$1&amp;"!A:D"), 4, FALSE)</f>
        <v>#REF!</v>
      </c>
      <c r="O27" s="39">
        <f t="shared" ca="1" si="77"/>
        <v>0</v>
      </c>
      <c r="P27" s="39">
        <f t="shared" ca="1" si="77"/>
        <v>0</v>
      </c>
      <c r="Q27" s="38" t="str">
        <f ca="1">IFERROR(__xludf.DUMMYFUNCTION("IF(COUNTA(K27:P27)=0, """", ARRAYFORMULA(""- ""&amp;TEXTJOIN(char(10)&amp;""- "", TRUE, FILTER(K$1:P$1&amp;"": ""&amp;K27:P27, NOT(ISBLANK(K27:P27))))))"),"")</f>
        <v/>
      </c>
      <c r="R27" s="38" t="str">
        <f ca="1"/>
        <v/>
      </c>
      <c r="S27" s="40" t="b">
        <v>0</v>
      </c>
      <c r="T27" s="5" t="s">
        <v>457</v>
      </c>
    </row>
    <row r="28" spans="1:20">
      <c r="A28" s="11" t="str">
        <f ca="1">IFERROR(__xludf.DUMMYFUNCTION("""COMPUTED_VALUE"""),"43d82531e93637ae336b46c58cfcb026")</f>
        <v>43d82531e93637ae336b46c58cfcb026</v>
      </c>
      <c r="B28" s="11" t="str">
        <f ca="1">IFERROR(__xludf.DUMMYFUNCTION("""COMPUTED_VALUE"""),"It can also support capacity development and provide technical assistance to strengthen local institutions and contribute to domestic resource mobilisation and the engagement of the private sector. The emphasis on different goals will be based on national"&amp;" circumstances. Nevertheless, the SDGs do increase the overall scope of issue development co-operation will play a role in.")</f>
        <v>It can also support capacity development and provide technical assistance to strengthen local institutions and contribute to domestic resource mobilisation and the engagement of the private sector. The emphasis on different goals will be based on national circumstances. Nevertheless, the SDGs do increase the overall scope of issue development co-operation will play a role in.</v>
      </c>
      <c r="C28" s="41"/>
      <c r="D28" s="7" t="b">
        <f t="shared" ref="D28:I28" ca="1" si="78">VLOOKUP($A28, INDIRECT(D$1&amp;"!A:C"), 3, FALSE)</f>
        <v>1</v>
      </c>
      <c r="E28" s="7" t="str">
        <f t="shared" ca="1" si="78"/>
        <v>TO DO</v>
      </c>
      <c r="F28" s="7" t="b">
        <f t="shared" ca="1" si="78"/>
        <v>1</v>
      </c>
      <c r="G28" s="7" t="e">
        <f t="shared" ca="1" si="78"/>
        <v>#REF!</v>
      </c>
      <c r="H28" s="7" t="str">
        <f t="shared" ca="1" si="78"/>
        <v>TO DO</v>
      </c>
      <c r="I28" s="7" t="b">
        <f t="shared" ca="1" si="78"/>
        <v>1</v>
      </c>
      <c r="J28" s="38">
        <f t="shared" ca="1" si="1"/>
        <v>0.75</v>
      </c>
      <c r="K28" s="39">
        <f t="shared" ref="K28:L28" ca="1" si="79">VLOOKUP($A28, INDIRECT(K$1&amp;"!A:D"), 4, FALSE)</f>
        <v>0</v>
      </c>
      <c r="L28" s="39">
        <f t="shared" ca="1" si="79"/>
        <v>0</v>
      </c>
      <c r="M28" s="39"/>
      <c r="N28" s="39" t="e">
        <f t="shared" ref="N28:P28" ca="1" si="80">VLOOKUP($A28, INDIRECT(N$1&amp;"!A:D"), 4, FALSE)</f>
        <v>#REF!</v>
      </c>
      <c r="O28" s="39">
        <f t="shared" ca="1" si="80"/>
        <v>0</v>
      </c>
      <c r="P28" s="39">
        <f t="shared" ca="1" si="80"/>
        <v>0</v>
      </c>
      <c r="Q28" s="38" t="str">
        <f ca="1">IFERROR(__xludf.DUMMYFUNCTION("IF(COUNTA(K28:P28)=0, """", ARRAYFORMULA(""- ""&amp;TEXTJOIN(char(10)&amp;""- "", TRUE, FILTER(K$1:P$1&amp;"": ""&amp;K28:P28, NOT(ISBLANK(K28:P28))))))"),"")</f>
        <v/>
      </c>
      <c r="R28" s="38" t="str">
        <f ca="1"/>
        <v/>
      </c>
      <c r="S28" s="40" t="b">
        <v>1</v>
      </c>
    </row>
    <row r="29" spans="1:20">
      <c r="A29" s="11" t="str">
        <f ca="1">IFERROR(__xludf.DUMMYFUNCTION("""COMPUTED_VALUE"""),"99e9feacfccae32759999fc34e54dfde")</f>
        <v>99e9feacfccae32759999fc34e54dfde</v>
      </c>
      <c r="B29" s="11" t="str">
        <f ca="1">IFERROR(__xludf.DUMMYFUNCTION("""COMPUTED_VALUE"""),"Many proposals for increasing financial resources have been made (Stiglitz, 2006, UNEP, 2011, UNDESA, 2011). Many of the incentive-related instruments may help raising financial resources, but other, additional, mechanisms have to be identified. National "&amp;"authorities could collect taxes on the basis of national legislation, to feed either national or international funds. Taxes could also be levied internationally, on the basis of agreements.")</f>
        <v>Many proposals for increasing financial resources have been made (Stiglitz, 2006, UNEP, 2011, UNDESA, 2011). Many of the incentive-related instruments may help raising financial resources, but other, additional, mechanisms have to be identified. National authorities could collect taxes on the basis of national legislation, to feed either national or international funds. Taxes could also be levied internationally, on the basis of agreements.</v>
      </c>
      <c r="C29" s="41"/>
      <c r="D29" s="7" t="b">
        <f t="shared" ref="D29:I29" ca="1" si="81">VLOOKUP($A29, INDIRECT(D$1&amp;"!A:C"), 3, FALSE)</f>
        <v>1</v>
      </c>
      <c r="E29" s="7" t="str">
        <f t="shared" ca="1" si="81"/>
        <v>TO DO</v>
      </c>
      <c r="F29" s="7" t="b">
        <f t="shared" ca="1" si="81"/>
        <v>1</v>
      </c>
      <c r="G29" s="7" t="e">
        <f t="shared" ca="1" si="81"/>
        <v>#REF!</v>
      </c>
      <c r="H29" s="7" t="str">
        <f t="shared" ca="1" si="81"/>
        <v>TO DO</v>
      </c>
      <c r="I29" s="7" t="b">
        <f t="shared" ca="1" si="81"/>
        <v>0</v>
      </c>
      <c r="J29" s="38">
        <f t="shared" ca="1" si="1"/>
        <v>0.25</v>
      </c>
      <c r="K29" s="39">
        <f t="shared" ref="K29:L29" ca="1" si="82">VLOOKUP($A29, INDIRECT(K$1&amp;"!A:D"), 4, FALSE)</f>
        <v>0</v>
      </c>
      <c r="L29" s="39">
        <f t="shared" ca="1" si="82"/>
        <v>0</v>
      </c>
      <c r="M29" s="39"/>
      <c r="N29" s="39" t="e">
        <f t="shared" ref="N29:P29" ca="1" si="83">VLOOKUP($A29, INDIRECT(N$1&amp;"!A:D"), 4, FALSE)</f>
        <v>#REF!</v>
      </c>
      <c r="O29" s="39">
        <f t="shared" ca="1" si="83"/>
        <v>0</v>
      </c>
      <c r="P29" s="39" t="str">
        <f t="shared" ca="1" si="83"/>
        <v>not clear if for ODA</v>
      </c>
      <c r="Q29" s="38" t="str">
        <f ca="1">IFERROR(__xludf.DUMMYFUNCTION("IF(COUNTA(K29:P29)=0, """", ARRAYFORMULA(""- ""&amp;TEXTJOIN(char(10)&amp;""- "", TRUE, FILTER(K$1:P$1&amp;"": ""&amp;K29:P29, NOT(ISBLANK(K29:P29))))))"),"- Steve: not clear if for ODA")</f>
        <v>- Steve: not clear if for ODA</v>
      </c>
      <c r="R29" s="38" t="str">
        <f ca="1"/>
        <v>- Steve: not clear if for ODA</v>
      </c>
      <c r="S29" s="40" t="s">
        <v>449</v>
      </c>
    </row>
    <row r="30" spans="1:20">
      <c r="A30" s="11" t="str">
        <f ca="1">IFERROR(__xludf.DUMMYFUNCTION("""COMPUTED_VALUE"""),"065b94a23d80f4253f10e7f437e2a938")</f>
        <v>065b94a23d80f4253f10e7f437e2a938</v>
      </c>
      <c r="B30" s="11" t="str">
        <f ca="1">IFERROR(__xludf.DUMMYFUNCTION("""COMPUTED_VALUE"""),"Some concerns were raised that they were a disruptive force with regard to the WTO-led multilateral trading system, compared with the inclusive and consensual nature ofthe latter regime, these regional negotiations excluded the majority ofthe world's coun"&amp;"tries and people yet could affect them in various ways. The Trade Facilitation Agreement (TFA), adopted at Bali in 2013, is the biggest multilateral trade deal of the past 20 years (discussed later). The WTO-led Aid for Trade (AfT) initiative shows trade "&amp;"multilateralism can be responsive to the concerns ofthe most capacity-constrained members and can help address their development needs. The TFA's implementation is also directly linked to parties' capacity, with technical assistance available to help in t"&amp;"his regard. More importantly, in today's turbulent times, the WTO still provides the best rules-based governance framework for world trade and safeguards the development interests of the world's smallest and poorest countries. Commonwealth members could l"&amp;"ead the way by reaffirming their commitment to a free, fair and inclusive multilateral trading system that supports the implementation of the 2030 Agenda for Sustainable Development.")</f>
        <v>Some concerns were raised that they were a disruptive force with regard to the WTO-led multilateral trading system, compared with the inclusive and consensual nature ofthe latter regime, these regional negotiations excluded the majority ofthe world's countries and people yet could affect them in various ways. The Trade Facilitation Agreement (TFA), adopted at Bali in 2013, is the biggest multilateral trade deal of the past 20 years (discussed later). The WTO-led Aid for Trade (AfT) initiative shows trade multilateralism can be responsive to the concerns ofthe most capacity-constrained members and can help address their development needs. The TFA's implementation is also directly linked to parties' capacity, with technical assistance available to help in this regard. More importantly, in today's turbulent times, the WTO still provides the best rules-based governance framework for world trade and safeguards the development interests of the world's smallest and poorest countries. Commonwealth members could lead the way by reaffirming their commitment to a free, fair and inclusive multilateral trading system that supports the implementation of the 2030 Agenda for Sustainable Development.</v>
      </c>
      <c r="C30" s="7"/>
      <c r="D30" s="7" t="b">
        <f t="shared" ref="D30:I30" ca="1" si="84">VLOOKUP($A30, INDIRECT(D$1&amp;"!A:C"), 3, FALSE)</f>
        <v>1</v>
      </c>
      <c r="E30" s="7" t="str">
        <f t="shared" ca="1" si="84"/>
        <v>TO DO</v>
      </c>
      <c r="F30" s="7" t="b">
        <f t="shared" ca="1" si="84"/>
        <v>1</v>
      </c>
      <c r="G30" s="7" t="e">
        <f t="shared" ca="1" si="84"/>
        <v>#REF!</v>
      </c>
      <c r="H30" s="7" t="b">
        <f t="shared" ca="1" si="84"/>
        <v>1</v>
      </c>
      <c r="I30" s="7" t="b">
        <f t="shared" ca="1" si="84"/>
        <v>1</v>
      </c>
      <c r="J30" s="38">
        <f t="shared" ca="1" si="1"/>
        <v>0.8</v>
      </c>
      <c r="K30" s="39">
        <f t="shared" ref="K30:L30" ca="1" si="85">VLOOKUP($A30, INDIRECT(K$1&amp;"!A:D"), 4, FALSE)</f>
        <v>0</v>
      </c>
      <c r="L30" s="39">
        <f t="shared" ca="1" si="85"/>
        <v>0</v>
      </c>
      <c r="M30" s="39"/>
      <c r="N30" s="39" t="e">
        <f t="shared" ref="N30:P30" ca="1" si="86">VLOOKUP($A30, INDIRECT(N$1&amp;"!A:D"), 4, FALSE)</f>
        <v>#REF!</v>
      </c>
      <c r="O30" s="39">
        <f t="shared" ca="1" si="86"/>
        <v>0</v>
      </c>
      <c r="P30" s="39">
        <f t="shared" ca="1" si="86"/>
        <v>0</v>
      </c>
      <c r="Q30" s="38" t="str">
        <f ca="1">IFERROR(__xludf.DUMMYFUNCTION("IF(COUNTA(K30:P30)=0, """", ARRAYFORMULA(""- ""&amp;TEXTJOIN(char(10)&amp;""- "", TRUE, FILTER(K$1:P$1&amp;"": ""&amp;K30:P30, NOT(ISBLANK(K30:P30))))))"),"")</f>
        <v/>
      </c>
      <c r="R30" s="38" t="str">
        <f ca="1"/>
        <v/>
      </c>
      <c r="S30" s="40" t="b">
        <v>1</v>
      </c>
    </row>
    <row r="31" spans="1:20">
      <c r="A31" s="11" t="str">
        <f ca="1">IFERROR(__xludf.DUMMYFUNCTION("""COMPUTED_VALUE"""),"40c1e663bf9eafcd5f47c74f01059e99")</f>
        <v>40c1e663bf9eafcd5f47c74f01059e99</v>
      </c>
      <c r="B31" s="11" t="str">
        <f ca="1">IFERROR(__xludf.DUMMYFUNCTION("""COMPUTED_VALUE"""),"The WTO's specific contributions to the SDGs also include: ensuring access to affordable medicines in developing countries (SDG 3.b): implementing the principle of special and differential treatment to help reduce inequalities (SDG 1Q.a): and ongoing disc"&amp;"ussions on eliminating subsidies that cause overfishing and overcapacity (in order to help achieve SDG 14.6). In addition, the WTO's work on the reduction of tariff and non-tariff barriers on environmental goods and services can facilitate the diffusion o"&amp;"f green technologies and therefore directly contribute to environmental sustainability. In this way, the WTO can ensure that the multilateral trading system contributes to building a more favourable global environment for inclusive growth and development."&amp;" Over the past twenty years, international trade has undergone major changes due to a variety of economic, political and technological factors. Undoubtedly, one main leading factor of change has been the unprecedented pace of technological innovation, whi"&amp;"ch has transformed traditional ways of conducting trade. Advances in ICTs have led to reduced costs and increased speed and efficiency of economic transactions, with significant productivity gains for the global economy.")</f>
        <v>The WTO's specific contributions to the SDGs also include: ensuring access to affordable medicines in developing countries (SDG 3.b): implementing the principle of special and differential treatment to help reduce inequalities (SDG 1Q.a): and ongoing discussions on eliminating subsidies that cause overfishing and overcapacity (in order to help achieve SDG 14.6). In addition, the WTO's work on the reduction of tariff and non-tariff barriers on environmental goods and services can facilitate the diffusion of green technologies and therefore directly contribute to environmental sustainability. In this way, the WTO can ensure that the multilateral trading system contributes to building a more favourable global environment for inclusive growth and development. Over the past twenty years, international trade has undergone major changes due to a variety of economic, political and technological factors. Undoubtedly, one main leading factor of change has been the unprecedented pace of technological innovation, which has transformed traditional ways of conducting trade. Advances in ICTs have led to reduced costs and increased speed and efficiency of economic transactions, with significant productivity gains for the global economy.</v>
      </c>
      <c r="C31" s="7"/>
      <c r="D31" s="7" t="b">
        <f t="shared" ref="D31:I31" ca="1" si="87">VLOOKUP($A31, INDIRECT(D$1&amp;"!A:C"), 3, FALSE)</f>
        <v>1</v>
      </c>
      <c r="E31" s="7" t="str">
        <f t="shared" ca="1" si="87"/>
        <v>TO DO</v>
      </c>
      <c r="F31" s="7" t="b">
        <f t="shared" ca="1" si="87"/>
        <v>1</v>
      </c>
      <c r="G31" s="7" t="e">
        <f t="shared" ca="1" si="87"/>
        <v>#REF!</v>
      </c>
      <c r="H31" s="7" t="b">
        <f t="shared" ca="1" si="87"/>
        <v>1</v>
      </c>
      <c r="I31" s="7" t="b">
        <f t="shared" ca="1" si="87"/>
        <v>1</v>
      </c>
      <c r="J31" s="38">
        <f t="shared" ca="1" si="1"/>
        <v>0.8</v>
      </c>
      <c r="K31" s="39">
        <f t="shared" ref="K31:L31" ca="1" si="88">VLOOKUP($A31, INDIRECT(K$1&amp;"!A:D"), 4, FALSE)</f>
        <v>0</v>
      </c>
      <c r="L31" s="39">
        <f t="shared" ca="1" si="88"/>
        <v>0</v>
      </c>
      <c r="M31" s="39"/>
      <c r="N31" s="39" t="e">
        <f t="shared" ref="N31:P31" ca="1" si="89">VLOOKUP($A31, INDIRECT(N$1&amp;"!A:D"), 4, FALSE)</f>
        <v>#REF!</v>
      </c>
      <c r="O31" s="39">
        <f t="shared" ca="1" si="89"/>
        <v>0</v>
      </c>
      <c r="P31" s="39">
        <f t="shared" ca="1" si="89"/>
        <v>0</v>
      </c>
      <c r="Q31" s="38" t="str">
        <f ca="1">IFERROR(__xludf.DUMMYFUNCTION("IF(COUNTA(K31:P31)=0, """", ARRAYFORMULA(""- ""&amp;TEXTJOIN(char(10)&amp;""- "", TRUE, FILTER(K$1:P$1&amp;"": ""&amp;K31:P31, NOT(ISBLANK(K31:P31))))))"),"")</f>
        <v/>
      </c>
      <c r="R31" s="38" t="str">
        <f ca="1"/>
        <v/>
      </c>
      <c r="S31" s="40" t="b">
        <v>1</v>
      </c>
    </row>
    <row r="32" spans="1:20">
      <c r="A32" s="11" t="str">
        <f ca="1">IFERROR(__xludf.DUMMYFUNCTION("""COMPUTED_VALUE"""),"92bb00d46e987690a116b89d993b8f0a")</f>
        <v>92bb00d46e987690a116b89d993b8f0a</v>
      </c>
      <c r="B32" s="11" t="str">
        <f ca="1">IFERROR(__xludf.DUMMYFUNCTION("""COMPUTED_VALUE"""),"By contrast, electrical and HVAC workers will likely need to attend accredited training programmes at community colleges or through their local trade union. For example, to support the transition to green jobs, in 2008 the Mechanical Contractors Associati"&amp;"on of Chicago established a green construction institute, to providing training to local building contractors, apprentices and journeyman of United Association of Pipe Fitters Local 597 (MCA Chicago, 2011). According to one analysis, 2 200 jobs will be cr"&amp;"eated by full implementation of the retrofit programme called for by the Chicago Climate Action Plan (Schrock, 2009), but given that this is a small fraction of total construction employment in the region, and because there is currently a large volume of "&amp;"skilled trades people currently unemployed (CWIC-CJC, 2010), it is likely that current training programme will suffice.")</f>
        <v>By contrast, electrical and HVAC workers will likely need to attend accredited training programmes at community colleges or through their local trade union. For example, to support the transition to green jobs, in 2008 the Mechanical Contractors Association of Chicago established a green construction institute, to providing training to local building contractors, apprentices and journeyman of United Association of Pipe Fitters Local 597 (MCA Chicago, 2011). According to one analysis, 2 200 jobs will be created by full implementation of the retrofit programme called for by the Chicago Climate Action Plan (Schrock, 2009), but given that this is a small fraction of total construction employment in the region, and because there is currently a large volume of skilled trades people currently unemployed (CWIC-CJC, 2010), it is likely that current training programme will suffice.</v>
      </c>
      <c r="C32" s="41"/>
      <c r="D32" s="7" t="b">
        <f t="shared" ref="D32:I32" ca="1" si="90">VLOOKUP($A32, INDIRECT(D$1&amp;"!A:C"), 3, FALSE)</f>
        <v>0</v>
      </c>
      <c r="E32" s="7" t="str">
        <f t="shared" ca="1" si="90"/>
        <v>TO DO</v>
      </c>
      <c r="F32" s="7" t="b">
        <f t="shared" ca="1" si="90"/>
        <v>0</v>
      </c>
      <c r="G32" s="7" t="e">
        <f t="shared" ca="1" si="90"/>
        <v>#REF!</v>
      </c>
      <c r="H32" s="7" t="str">
        <f t="shared" ca="1" si="90"/>
        <v>TO DO</v>
      </c>
      <c r="I32" s="7" t="b">
        <f t="shared" ca="1" si="90"/>
        <v>0</v>
      </c>
      <c r="J32" s="38">
        <f t="shared" ca="1" si="1"/>
        <v>0.75</v>
      </c>
      <c r="K32" s="39">
        <f t="shared" ref="K32:L32" ca="1" si="91">VLOOKUP($A32, INDIRECT(K$1&amp;"!A:D"), 4, FALSE)</f>
        <v>0</v>
      </c>
      <c r="L32" s="39">
        <f t="shared" ca="1" si="91"/>
        <v>0</v>
      </c>
      <c r="M32" s="39"/>
      <c r="N32" s="39" t="e">
        <f t="shared" ref="N32:P32" ca="1" si="92">VLOOKUP($A32, INDIRECT(N$1&amp;"!A:D"), 4, FALSE)</f>
        <v>#REF!</v>
      </c>
      <c r="O32" s="39">
        <f t="shared" ca="1" si="92"/>
        <v>0</v>
      </c>
      <c r="P32" s="39">
        <f t="shared" ca="1" si="92"/>
        <v>0</v>
      </c>
      <c r="Q32" s="38" t="str">
        <f ca="1">IFERROR(__xludf.DUMMYFUNCTION("IF(COUNTA(K32:P32)=0, """", ARRAYFORMULA(""- ""&amp;TEXTJOIN(char(10)&amp;""- "", TRUE, FILTER(K$1:P$1&amp;"": ""&amp;K32:P32, NOT(ISBLANK(K32:P32))))))"),"")</f>
        <v/>
      </c>
      <c r="R32" s="38" t="str">
        <f ca="1"/>
        <v/>
      </c>
      <c r="S32" s="40" t="b">
        <v>0</v>
      </c>
    </row>
    <row r="33" spans="1:20">
      <c r="A33" s="11" t="str">
        <f ca="1">IFERROR(__xludf.DUMMYFUNCTION("""COMPUTED_VALUE"""),"a41c5511205aa6919bd9e6c0135c0e19")</f>
        <v>a41c5511205aa6919bd9e6c0135c0e19</v>
      </c>
      <c r="B33" s="11" t="str">
        <f ca="1">IFERROR(__xludf.DUMMYFUNCTION("""COMPUTED_VALUE"""),"Deliveries to millers increased from 1.8 million tonnes in the 2000/01 marketing year to 4.1 million tonnes in 2010/11. Due to the relative simplicity of milling and the scalability of investments, it became an attractive activity for local entrepreneurs."&amp;" Mills actively procure wheat either directly from farmers or through local traders. Almost half of Kazakhstan’s flour is produced by mills in the northern grain region.")</f>
        <v>Deliveries to millers increased from 1.8 million tonnes in the 2000/01 marketing year to 4.1 million tonnes in 2010/11. Due to the relative simplicity of milling and the scalability of investments, it became an attractive activity for local entrepreneurs. Mills actively procure wheat either directly from farmers or through local traders. Almost half of Kazakhstan’s flour is produced by mills in the northern grain region.</v>
      </c>
      <c r="C33" s="41"/>
      <c r="D33" s="7" t="b">
        <f t="shared" ref="D33:I33" ca="1" si="93">VLOOKUP($A33, INDIRECT(D$1&amp;"!A:C"), 3, FALSE)</f>
        <v>0</v>
      </c>
      <c r="E33" s="7" t="str">
        <f t="shared" ca="1" si="93"/>
        <v>TO DO</v>
      </c>
      <c r="F33" s="7" t="b">
        <f t="shared" ca="1" si="93"/>
        <v>0</v>
      </c>
      <c r="G33" s="7" t="e">
        <f t="shared" ca="1" si="93"/>
        <v>#REF!</v>
      </c>
      <c r="H33" s="7" t="str">
        <f t="shared" ca="1" si="93"/>
        <v>TO DO</v>
      </c>
      <c r="I33" s="7" t="b">
        <f t="shared" ca="1" si="93"/>
        <v>0</v>
      </c>
      <c r="J33" s="38">
        <f t="shared" ca="1" si="1"/>
        <v>0.75</v>
      </c>
      <c r="K33" s="39">
        <f t="shared" ref="K33:L33" ca="1" si="94">VLOOKUP($A33, INDIRECT(K$1&amp;"!A:D"), 4, FALSE)</f>
        <v>0</v>
      </c>
      <c r="L33" s="39">
        <f t="shared" ca="1" si="94"/>
        <v>0</v>
      </c>
      <c r="M33" s="39"/>
      <c r="N33" s="39" t="e">
        <f t="shared" ref="N33:P33" ca="1" si="95">VLOOKUP($A33, INDIRECT(N$1&amp;"!A:D"), 4, FALSE)</f>
        <v>#REF!</v>
      </c>
      <c r="O33" s="39">
        <f t="shared" ca="1" si="95"/>
        <v>0</v>
      </c>
      <c r="P33" s="39">
        <f t="shared" ca="1" si="95"/>
        <v>0</v>
      </c>
      <c r="Q33" s="38" t="str">
        <f ca="1">IFERROR(__xludf.DUMMYFUNCTION("IF(COUNTA(K33:P33)=0, """", ARRAYFORMULA(""- ""&amp;TEXTJOIN(char(10)&amp;""- "", TRUE, FILTER(K$1:P$1&amp;"": ""&amp;K33:P33, NOT(ISBLANK(K33:P33))))))"),"")</f>
        <v/>
      </c>
      <c r="R33" s="38" t="str">
        <f ca="1"/>
        <v/>
      </c>
      <c r="S33" s="40" t="b">
        <v>0</v>
      </c>
    </row>
    <row r="34" spans="1:20">
      <c r="A34" s="11" t="str">
        <f ca="1">IFERROR(__xludf.DUMMYFUNCTION("""COMPUTED_VALUE"""),"d02e6530cd8f1e22d6c333c1d3602a03")</f>
        <v>d02e6530cd8f1e22d6c333c1d3602a03</v>
      </c>
      <c r="B34" s="11" t="str">
        <f ca="1">IFERROR(__xludf.DUMMYFUNCTION("""COMPUTED_VALUE"""),"The competent state agency controls products in Group 2 on the basis of relevant technical regulations as well as by producers on the basis of applicable standards. Different ministries are responsible for the control of quality of products and goods unde"&amp;"r their responsibility, and for issuing lists of products and goods that can cause ""unsafety"" and are subject to mandatory inspection. These were removed for tea and coffee in 1995. However, coffee beans remained subject to line management by MARD requi"&amp;"ring their approval before export. Export quotas on rice were introduced in 1992 to ensure food security and price stability.")</f>
        <v>The competent state agency controls products in Group 2 on the basis of relevant technical regulations as well as by producers on the basis of applicable standards. Different ministries are responsible for the control of quality of products and goods under their responsibility, and for issuing lists of products and goods that can cause "unsafety" and are subject to mandatory inspection. These were removed for tea and coffee in 1995. However, coffee beans remained subject to line management by MARD requiring their approval before export. Export quotas on rice were introduced in 1992 to ensure food security and price stability.</v>
      </c>
      <c r="C34" s="41"/>
      <c r="D34" s="7" t="b">
        <f t="shared" ref="D34:I34" ca="1" si="96">VLOOKUP($A34, INDIRECT(D$1&amp;"!A:C"), 3, FALSE)</f>
        <v>0</v>
      </c>
      <c r="E34" s="7" t="b">
        <f t="shared" ca="1" si="96"/>
        <v>0</v>
      </c>
      <c r="F34" s="7" t="b">
        <f t="shared" ca="1" si="96"/>
        <v>1</v>
      </c>
      <c r="G34" s="7" t="e">
        <f t="shared" ca="1" si="96"/>
        <v>#REF!</v>
      </c>
      <c r="H34" s="7" t="b">
        <f t="shared" ca="1" si="96"/>
        <v>1</v>
      </c>
      <c r="I34" s="7" t="b">
        <f t="shared" ca="1" si="96"/>
        <v>0</v>
      </c>
      <c r="J34" s="38">
        <f t="shared" ca="1" si="1"/>
        <v>0.16666666666666666</v>
      </c>
      <c r="K34" s="39">
        <f t="shared" ref="K34:L34" ca="1" si="97">VLOOKUP($A34, INDIRECT(K$1&amp;"!A:D"), 4, FALSE)</f>
        <v>0</v>
      </c>
      <c r="L34" s="39">
        <f t="shared" ca="1" si="97"/>
        <v>0</v>
      </c>
      <c r="M34" s="39"/>
      <c r="N34" s="39" t="e">
        <f t="shared" ref="N34:P34" ca="1" si="98">VLOOKUP($A34, INDIRECT(N$1&amp;"!A:D"), 4, FALSE)</f>
        <v>#REF!</v>
      </c>
      <c r="O34" s="39">
        <f t="shared" ca="1" si="98"/>
        <v>0</v>
      </c>
      <c r="P34" s="39">
        <f t="shared" ca="1" si="98"/>
        <v>0</v>
      </c>
      <c r="Q34" s="38" t="str">
        <f ca="1">IFERROR(__xludf.DUMMYFUNCTION("IF(COUNTA(K34:P34)=0, """", ARRAYFORMULA(""- ""&amp;TEXTJOIN(char(10)&amp;""- "", TRUE, FILTER(K$1:P$1&amp;"": ""&amp;K34:P34, NOT(ISBLANK(K34:P34))))))"),"")</f>
        <v/>
      </c>
      <c r="R34" s="38" t="str">
        <f ca="1"/>
        <v/>
      </c>
      <c r="S34" s="40" t="s">
        <v>449</v>
      </c>
    </row>
    <row r="35" spans="1:20">
      <c r="A35" s="11" t="str">
        <f ca="1">IFERROR(__xludf.DUMMYFUNCTION("""COMPUTED_VALUE"""),"f0abe1e91ba984d37c603966e03812a2")</f>
        <v>f0abe1e91ba984d37c603966e03812a2</v>
      </c>
      <c r="B35" s="11" t="str">
        <f ca="1">IFERROR(__xludf.DUMMYFUNCTION("""COMPUTED_VALUE"""),"However, the viability of existing global governance in managing value chains has not been given due consideration to date. Given the very real forces of convergence and divergence in operation within the global economy, there are concerns that the ascend"&amp;"ency of GVCs might actually accentuate these processes (Keane and Basnett 2015). Almost half of global merchandise exports and about 40 per cent of world GDP are now attributable to developing countries.")</f>
        <v>However, the viability of existing global governance in managing value chains has not been given due consideration to date. Given the very real forces of convergence and divergence in operation within the global economy, there are concerns that the ascendency of GVCs might actually accentuate these processes (Keane and Basnett 2015). Almost half of global merchandise exports and about 40 per cent of world GDP are now attributable to developing countries.</v>
      </c>
      <c r="C35" s="41"/>
      <c r="D35" s="7" t="b">
        <f t="shared" ref="D35:I35" ca="1" si="99">VLOOKUP($A35, INDIRECT(D$1&amp;"!A:C"), 3, FALSE)</f>
        <v>1</v>
      </c>
      <c r="E35" s="7" t="str">
        <f t="shared" ca="1" si="99"/>
        <v>TO DO</v>
      </c>
      <c r="F35" s="7" t="b">
        <f t="shared" ca="1" si="99"/>
        <v>1</v>
      </c>
      <c r="G35" s="7" t="e">
        <f t="shared" ca="1" si="99"/>
        <v>#REF!</v>
      </c>
      <c r="H35" s="7" t="str">
        <f t="shared" ca="1" si="99"/>
        <v>TO DO</v>
      </c>
      <c r="I35" s="7" t="b">
        <f t="shared" ca="1" si="99"/>
        <v>0</v>
      </c>
      <c r="J35" s="38">
        <f t="shared" ca="1" si="1"/>
        <v>0.25</v>
      </c>
      <c r="K35" s="39">
        <f t="shared" ref="K35:L35" ca="1" si="100">VLOOKUP($A35, INDIRECT(K$1&amp;"!A:D"), 4, FALSE)</f>
        <v>0</v>
      </c>
      <c r="L35" s="39">
        <f t="shared" ca="1" si="100"/>
        <v>0</v>
      </c>
      <c r="M35" s="39"/>
      <c r="N35" s="39" t="e">
        <f t="shared" ref="N35:P35" ca="1" si="101">VLOOKUP($A35, INDIRECT(N$1&amp;"!A:D"), 4, FALSE)</f>
        <v>#REF!</v>
      </c>
      <c r="O35" s="39">
        <f t="shared" ca="1" si="101"/>
        <v>0</v>
      </c>
      <c r="P35" s="39">
        <f t="shared" ca="1" si="101"/>
        <v>0</v>
      </c>
      <c r="Q35" s="38" t="str">
        <f ca="1">IFERROR(__xludf.DUMMYFUNCTION("IF(COUNTA(K35:P35)=0, """", ARRAYFORMULA(""- ""&amp;TEXTJOIN(char(10)&amp;""- "", TRUE, FILTER(K$1:P$1&amp;"": ""&amp;K35:P35, NOT(ISBLANK(K35:P35))))))"),"")</f>
        <v/>
      </c>
      <c r="R35" s="38" t="str">
        <f ca="1"/>
        <v/>
      </c>
      <c r="S35" s="40" t="s">
        <v>449</v>
      </c>
    </row>
    <row r="36" spans="1:20">
      <c r="A36" s="11" t="str">
        <f ca="1">IFERROR(__xludf.DUMMYFUNCTION("""COMPUTED_VALUE"""),"f0c5452598d074dc58c64a0551cfdad0")</f>
        <v>f0c5452598d074dc58c64a0551cfdad0</v>
      </c>
      <c r="B36" s="11" t="str">
        <f ca="1">IFERROR(__xludf.DUMMYFUNCTION("""COMPUTED_VALUE"""),"While several studies have documented the state of services liberalisation in LDCs, few have actually explored their potential to expand services exports. Inevitably, the assumption has been that LDCs will remain marginal players in services trade because"&amp;" they lack the infrastructure and skills to make a dent in the rapidly growing segment of commercial services. This assumption, however, is not justified.")</f>
        <v>While several studies have documented the state of services liberalisation in LDCs, few have actually explored their potential to expand services exports. Inevitably, the assumption has been that LDCs will remain marginal players in services trade because they lack the infrastructure and skills to make a dent in the rapidly growing segment of commercial services. This assumption, however, is not justified.</v>
      </c>
      <c r="C36" s="7"/>
      <c r="D36" s="7" t="b">
        <f t="shared" ref="D36:I36" ca="1" si="102">VLOOKUP($A36, INDIRECT(D$1&amp;"!A:C"), 3, FALSE)</f>
        <v>1</v>
      </c>
      <c r="E36" s="7" t="str">
        <f t="shared" ca="1" si="102"/>
        <v>TO DO</v>
      </c>
      <c r="F36" s="7" t="b">
        <f t="shared" ca="1" si="102"/>
        <v>1</v>
      </c>
      <c r="G36" s="7" t="e">
        <f t="shared" ca="1" si="102"/>
        <v>#REF!</v>
      </c>
      <c r="H36" s="7" t="str">
        <f t="shared" ca="1" si="102"/>
        <v>TO DO</v>
      </c>
      <c r="I36" s="7" t="b">
        <f t="shared" ca="1" si="102"/>
        <v>0</v>
      </c>
      <c r="J36" s="38">
        <f t="shared" ca="1" si="1"/>
        <v>0.25</v>
      </c>
      <c r="K36" s="39">
        <f t="shared" ref="K36:L36" ca="1" si="103">VLOOKUP($A36, INDIRECT(K$1&amp;"!A:D"), 4, FALSE)</f>
        <v>0</v>
      </c>
      <c r="L36" s="39">
        <f t="shared" ca="1" si="103"/>
        <v>0</v>
      </c>
      <c r="M36" s="39"/>
      <c r="N36" s="39" t="e">
        <f t="shared" ref="N36:P36" ca="1" si="104">VLOOKUP($A36, INDIRECT(N$1&amp;"!A:D"), 4, FALSE)</f>
        <v>#REF!</v>
      </c>
      <c r="O36" s="39">
        <f t="shared" ca="1" si="104"/>
        <v>0</v>
      </c>
      <c r="P36" s="39">
        <f t="shared" ca="1" si="104"/>
        <v>0</v>
      </c>
      <c r="Q36" s="38" t="str">
        <f ca="1">IFERROR(__xludf.DUMMYFUNCTION("IF(COUNTA(K36:P36)=0, """", ARRAYFORMULA(""- ""&amp;TEXTJOIN(char(10)&amp;""- "", TRUE, FILTER(K$1:P$1&amp;"": ""&amp;K36:P36, NOT(ISBLANK(K36:P36))))))"),"")</f>
        <v/>
      </c>
      <c r="R36" s="38" t="str">
        <f ca="1"/>
        <v/>
      </c>
      <c r="S36" s="40" t="s">
        <v>449</v>
      </c>
    </row>
    <row r="37" spans="1:20">
      <c r="A37" s="11" t="str">
        <f ca="1">IFERROR(__xludf.DUMMYFUNCTION("""COMPUTED_VALUE"""),"ffc3e1ce7edcb4c067f2a2471fd34c7b")</f>
        <v>ffc3e1ce7edcb4c067f2a2471fd34c7b</v>
      </c>
      <c r="B37" s="11" t="str">
        <f ca="1">IFERROR(__xludf.DUMMYFUNCTION("""COMPUTED_VALUE"""),"Increased mining activity in Chile, Australia and Mexico is primarily driving this trend. But the fact that domestic consumption of metals in OECD countries is growing more slowly than extraction (66% vs. 103%) indicates that a large portion of extraction"&amp;" is being exported outside of the OECD area. In most OECD countries, the economic slowdown caused material extraction and consumption to flatten or decrease (in some cases significantly).")</f>
        <v>Increased mining activity in Chile, Australia and Mexico is primarily driving this trend. But the fact that domestic consumption of metals in OECD countries is growing more slowly than extraction (66% vs. 103%) indicates that a large portion of extraction is being exported outside of the OECD area. In most OECD countries, the economic slowdown caused material extraction and consumption to flatten or decrease (in some cases significantly).</v>
      </c>
      <c r="C37" s="7"/>
      <c r="D37" s="7" t="b">
        <f t="shared" ref="D37:I37" ca="1" si="105">VLOOKUP($A37, INDIRECT(D$1&amp;"!A:C"), 3, FALSE)</f>
        <v>0</v>
      </c>
      <c r="E37" s="7" t="str">
        <f t="shared" ca="1" si="105"/>
        <v>TO DO</v>
      </c>
      <c r="F37" s="7" t="b">
        <f t="shared" ca="1" si="105"/>
        <v>0</v>
      </c>
      <c r="G37" s="7" t="e">
        <f t="shared" ca="1" si="105"/>
        <v>#REF!</v>
      </c>
      <c r="H37" s="7" t="b">
        <f t="shared" ca="1" si="105"/>
        <v>0</v>
      </c>
      <c r="I37" s="7" t="b">
        <f t="shared" ca="1" si="105"/>
        <v>0</v>
      </c>
      <c r="J37" s="38">
        <f t="shared" ca="1" si="1"/>
        <v>0.8</v>
      </c>
      <c r="K37" s="39">
        <f t="shared" ref="K37:L37" ca="1" si="106">VLOOKUP($A37, INDIRECT(K$1&amp;"!A:D"), 4, FALSE)</f>
        <v>0</v>
      </c>
      <c r="L37" s="39">
        <f t="shared" ca="1" si="106"/>
        <v>0</v>
      </c>
      <c r="M37" s="39"/>
      <c r="N37" s="39" t="e">
        <f t="shared" ref="N37:P37" ca="1" si="107">VLOOKUP($A37, INDIRECT(N$1&amp;"!A:D"), 4, FALSE)</f>
        <v>#REF!</v>
      </c>
      <c r="O37" s="39">
        <f t="shared" ca="1" si="107"/>
        <v>0</v>
      </c>
      <c r="P37" s="39">
        <f t="shared" ca="1" si="107"/>
        <v>0</v>
      </c>
      <c r="Q37" s="38" t="str">
        <f ca="1">IFERROR(__xludf.DUMMYFUNCTION("IF(COUNTA(K37:P37)=0, """", ARRAYFORMULA(""- ""&amp;TEXTJOIN(char(10)&amp;""- "", TRUE, FILTER(K$1:P$1&amp;"": ""&amp;K37:P37, NOT(ISBLANK(K37:P37))))))"),"")</f>
        <v/>
      </c>
      <c r="R37" s="38" t="str">
        <f ca="1"/>
        <v/>
      </c>
      <c r="S37" s="40" t="b">
        <v>0</v>
      </c>
    </row>
    <row r="38" spans="1:20">
      <c r="A38" s="11" t="str">
        <f ca="1">IFERROR(__xludf.DUMMYFUNCTION("""COMPUTED_VALUE"""),"b0f4c53b6db0d9aebce608b2684ef22a")</f>
        <v>b0f4c53b6db0d9aebce608b2684ef22a</v>
      </c>
      <c r="B38" s="11" t="str">
        <f ca="1">IFERROR(__xludf.DUMMYFUNCTION("""COMPUTED_VALUE"""),"One policy used to address the issue is increasing the de minimis value, which is the value under which shipments qualify for duty-free treatment and simplified customs clearance. While the reduction of the workload for governments is the main argument fo"&amp;"r increasing de minimis levels, there are challenges that this solution brings such as the increased need to manage illegal traffic. Information-sharing between customs authorities and e-commerce firms for better risk assessment is crucial to reduce the r"&amp;"isk that harmful or counterfeit products slip by under a higher de minimis threshold.")</f>
        <v>One policy used to address the issue is increasing the de minimis value, which is the value under which shipments qualify for duty-free treatment and simplified customs clearance. While the reduction of the workload for governments is the main argument for increasing de minimis levels, there are challenges that this solution brings such as the increased need to manage illegal traffic. Information-sharing between customs authorities and e-commerce firms for better risk assessment is crucial to reduce the risk that harmful or counterfeit products slip by under a higher de minimis threshold.</v>
      </c>
      <c r="C38" s="7"/>
      <c r="D38" s="7" t="b">
        <f t="shared" ref="D38:I38" ca="1" si="108">VLOOKUP($A38, INDIRECT(D$1&amp;"!A:C"), 3, FALSE)</f>
        <v>0</v>
      </c>
      <c r="E38" s="7" t="str">
        <f t="shared" ca="1" si="108"/>
        <v>TO DO</v>
      </c>
      <c r="F38" s="7" t="b">
        <f t="shared" ca="1" si="108"/>
        <v>0</v>
      </c>
      <c r="G38" s="7" t="e">
        <f t="shared" ca="1" si="108"/>
        <v>#REF!</v>
      </c>
      <c r="H38" s="7" t="b">
        <f t="shared" ca="1" si="108"/>
        <v>0</v>
      </c>
      <c r="I38" s="7" t="b">
        <f t="shared" ca="1" si="108"/>
        <v>0</v>
      </c>
      <c r="J38" s="38">
        <f t="shared" ca="1" si="1"/>
        <v>0.8</v>
      </c>
      <c r="K38" s="39">
        <f t="shared" ref="K38:L38" ca="1" si="109">VLOOKUP($A38, INDIRECT(K$1&amp;"!A:D"), 4, FALSE)</f>
        <v>0</v>
      </c>
      <c r="L38" s="39">
        <f t="shared" ca="1" si="109"/>
        <v>0</v>
      </c>
      <c r="M38" s="39"/>
      <c r="N38" s="39" t="e">
        <f t="shared" ref="N38:P38" ca="1" si="110">VLOOKUP($A38, INDIRECT(N$1&amp;"!A:D"), 4, FALSE)</f>
        <v>#REF!</v>
      </c>
      <c r="O38" s="39">
        <f t="shared" ca="1" si="110"/>
        <v>0</v>
      </c>
      <c r="P38" s="39" t="str">
        <f t="shared" ca="1" si="110"/>
        <v>not specifically for LDCs</v>
      </c>
      <c r="Q38" s="38" t="str">
        <f ca="1">IFERROR(__xludf.DUMMYFUNCTION("IF(COUNTA(K38:P38)=0, """", ARRAYFORMULA(""- ""&amp;TEXTJOIN(char(10)&amp;""- "", TRUE, FILTER(K$1:P$1&amp;"": ""&amp;K38:P38, NOT(ISBLANK(K38:P38))))))"),"- Steve: not specifically for LDCs")</f>
        <v>- Steve: not specifically for LDCs</v>
      </c>
      <c r="R38" s="38" t="str">
        <f ca="1"/>
        <v>- Steve: not specifically for LDCs</v>
      </c>
      <c r="S38" s="40" t="b">
        <v>0</v>
      </c>
    </row>
    <row r="39" spans="1:20">
      <c r="A39" s="11" t="str">
        <f ca="1">IFERROR(__xludf.DUMMYFUNCTION("""COMPUTED_VALUE"""),"b229680228472a4134aba057b2269b1e")</f>
        <v>b229680228472a4134aba057b2269b1e</v>
      </c>
      <c r="B39" s="11" t="str">
        <f ca="1">IFERROR(__xludf.DUMMYFUNCTION("""COMPUTED_VALUE"""),"The goal of the programme is to support the development of new innovations with smart, innovation-friendly public procurements. The programme encourages public buyers to use procurement to solve societal problems, renew public services, and improve market"&amp;" access for new products and services. Over the period 2009-16, funding covered a total of EUR 11 million for 73 ended projects. The main areas that received funding are environment/building (36%) and social and health (26%).")</f>
        <v>The goal of the programme is to support the development of new innovations with smart, innovation-friendly public procurements. The programme encourages public buyers to use procurement to solve societal problems, renew public services, and improve market access for new products and services. Over the period 2009-16, funding covered a total of EUR 11 million for 73 ended projects. The main areas that received funding are environment/building (36%) and social and health (26%).</v>
      </c>
      <c r="C39" s="41"/>
      <c r="D39" s="7" t="b">
        <f t="shared" ref="D39:I39" ca="1" si="111">VLOOKUP($A39, INDIRECT(D$1&amp;"!A:C"), 3, FALSE)</f>
        <v>0</v>
      </c>
      <c r="E39" s="7" t="str">
        <f t="shared" ca="1" si="111"/>
        <v>TO DO</v>
      </c>
      <c r="F39" s="7" t="b">
        <f t="shared" ca="1" si="111"/>
        <v>0</v>
      </c>
      <c r="G39" s="7" t="e">
        <f t="shared" ca="1" si="111"/>
        <v>#REF!</v>
      </c>
      <c r="H39" s="7" t="str">
        <f t="shared" ca="1" si="111"/>
        <v>TO DO</v>
      </c>
      <c r="I39" s="7" t="b">
        <f t="shared" ca="1" si="111"/>
        <v>0</v>
      </c>
      <c r="J39" s="38">
        <f t="shared" ca="1" si="1"/>
        <v>0.75</v>
      </c>
      <c r="K39" s="39">
        <f t="shared" ref="K39:L39" ca="1" si="112">VLOOKUP($A39, INDIRECT(K$1&amp;"!A:D"), 4, FALSE)</f>
        <v>0</v>
      </c>
      <c r="L39" s="39">
        <f t="shared" ca="1" si="112"/>
        <v>0</v>
      </c>
      <c r="M39" s="39"/>
      <c r="N39" s="39" t="e">
        <f t="shared" ref="N39:P39" ca="1" si="113">VLOOKUP($A39, INDIRECT(N$1&amp;"!A:D"), 4, FALSE)</f>
        <v>#REF!</v>
      </c>
      <c r="O39" s="39">
        <f t="shared" ca="1" si="113"/>
        <v>0</v>
      </c>
      <c r="P39" s="39" t="str">
        <f t="shared" ca="1" si="113"/>
        <v>no developing countries context</v>
      </c>
      <c r="Q39" s="38" t="str">
        <f ca="1">IFERROR(__xludf.DUMMYFUNCTION("IF(COUNTA(K39:P39)=0, """", ARRAYFORMULA(""- ""&amp;TEXTJOIN(char(10)&amp;""- "", TRUE, FILTER(K$1:P$1&amp;"": ""&amp;K39:P39, NOT(ISBLANK(K39:P39))))))"),"- Steve: no developing countries context")</f>
        <v>- Steve: no developing countries context</v>
      </c>
      <c r="R39" s="38" t="str">
        <f ca="1"/>
        <v>- Steve: no developing countries context</v>
      </c>
      <c r="S39" s="40" t="b">
        <v>0</v>
      </c>
    </row>
    <row r="40" spans="1:20">
      <c r="A40" s="11" t="str">
        <f ca="1">IFERROR(__xludf.DUMMYFUNCTION("""COMPUTED_VALUE"""),"f0c1384ff90f3bc51455ea552d5f4a43")</f>
        <v>f0c1384ff90f3bc51455ea552d5f4a43</v>
      </c>
      <c r="B40" s="11" t="str">
        <f ca="1">IFERROR(__xludf.DUMMYFUNCTION("""COMPUTED_VALUE"""),"For example, India, Pakistan and Sri Lanka grant market access preferences under the South Asian Free Trade Agreement (SAFTA) to four least developed country members (Bangladesh, Bhutan, the Maldives and Nepal) (see annex II for additional examples). For "&amp;"example, in 2001, the European Union (EU) adopted the “Everything But Arms” (EBA) initiative, granting duty-free access to imports of all products from LDCs— except arms and munitions—without any quantitative restrictions. The EBA initiative, however, als"&amp;"o includes temporary exceptions on tariff lines of potential importance to LDCs (rice and sugar).")</f>
        <v>For example, India, Pakistan and Sri Lanka grant market access preferences under the South Asian Free Trade Agreement (SAFTA) to four least developed country members (Bangladesh, Bhutan, the Maldives and Nepal) (see annex II for additional examples). For example, in 2001, the European Union (EU) adopted the “Everything But Arms” (EBA) initiative, granting duty-free access to imports of all products from LDCs— except arms and munitions—without any quantitative restrictions. The EBA initiative, however, also includes temporary exceptions on tariff lines of potential importance to LDCs (rice and sugar).</v>
      </c>
      <c r="C40" s="7"/>
      <c r="D40" s="7" t="b">
        <f t="shared" ref="D40:I40" ca="1" si="114">VLOOKUP($A40, INDIRECT(D$1&amp;"!A:C"), 3, FALSE)</f>
        <v>1</v>
      </c>
      <c r="E40" s="7" t="str">
        <f t="shared" ca="1" si="114"/>
        <v>TO DO</v>
      </c>
      <c r="F40" s="7" t="b">
        <f t="shared" ca="1" si="114"/>
        <v>1</v>
      </c>
      <c r="G40" s="7" t="e">
        <f t="shared" ca="1" si="114"/>
        <v>#REF!</v>
      </c>
      <c r="H40" s="7" t="str">
        <f t="shared" ca="1" si="114"/>
        <v>TO DO</v>
      </c>
      <c r="I40" s="7" t="b">
        <f t="shared" ca="1" si="114"/>
        <v>1</v>
      </c>
      <c r="J40" s="38">
        <f t="shared" ca="1" si="1"/>
        <v>0.75</v>
      </c>
      <c r="K40" s="39">
        <f t="shared" ref="K40:L40" ca="1" si="115">VLOOKUP($A40, INDIRECT(K$1&amp;"!A:D"), 4, FALSE)</f>
        <v>0</v>
      </c>
      <c r="L40" s="39">
        <f t="shared" ca="1" si="115"/>
        <v>0</v>
      </c>
      <c r="M40" s="39"/>
      <c r="N40" s="39" t="e">
        <f t="shared" ref="N40:P40" ca="1" si="116">VLOOKUP($A40, INDIRECT(N$1&amp;"!A:D"), 4, FALSE)</f>
        <v>#REF!</v>
      </c>
      <c r="O40" s="39">
        <f t="shared" ca="1" si="116"/>
        <v>0</v>
      </c>
      <c r="P40" s="39">
        <f t="shared" ca="1" si="116"/>
        <v>0</v>
      </c>
      <c r="Q40" s="38" t="str">
        <f ca="1">IFERROR(__xludf.DUMMYFUNCTION("IF(COUNTA(K40:P40)=0, """", ARRAYFORMULA(""- ""&amp;TEXTJOIN(char(10)&amp;""- "", TRUE, FILTER(K$1:P$1&amp;"": ""&amp;K40:P40, NOT(ISBLANK(K40:P40))))))"),"")</f>
        <v/>
      </c>
      <c r="R40" s="38" t="str">
        <f ca="1"/>
        <v/>
      </c>
      <c r="S40" s="40" t="b">
        <v>1</v>
      </c>
    </row>
    <row r="41" spans="1:20">
      <c r="A41" s="11" t="str">
        <f ca="1">IFERROR(__xludf.DUMMYFUNCTION("""COMPUTED_VALUE"""),"f931e5cb5f515c9e08fe7f43427333f6")</f>
        <v>f931e5cb5f515c9e08fe7f43427333f6</v>
      </c>
      <c r="B41" s="11" t="str">
        <f ca="1">IFERROR(__xludf.DUMMYFUNCTION("""COMPUTED_VALUE"""),"Southern partners can also provide better market access for LDC exports. While China and India already have duty-free schemes in place, they (especially India’s DFQF scheme) could be improved in terms of product coverage and RoO while addressing potential"&amp;" non-tariff barriers to LDC exports. Existing schemes should also consider extending preferential market access to services.")</f>
        <v>Southern partners can also provide better market access for LDC exports. While China and India already have duty-free schemes in place, they (especially India’s DFQF scheme) could be improved in terms of product coverage and RoO while addressing potential non-tariff barriers to LDC exports. Existing schemes should also consider extending preferential market access to services.</v>
      </c>
      <c r="C41" s="7"/>
      <c r="D41" s="7" t="b">
        <f t="shared" ref="D41:I41" ca="1" si="117">VLOOKUP($A41, INDIRECT(D$1&amp;"!A:C"), 3, FALSE)</f>
        <v>1</v>
      </c>
      <c r="E41" s="7" t="str">
        <f t="shared" ca="1" si="117"/>
        <v>TO DO</v>
      </c>
      <c r="F41" s="7" t="b">
        <f t="shared" ca="1" si="117"/>
        <v>1</v>
      </c>
      <c r="G41" s="7" t="e">
        <f t="shared" ca="1" si="117"/>
        <v>#REF!</v>
      </c>
      <c r="H41" s="7" t="b">
        <f t="shared" ca="1" si="117"/>
        <v>1</v>
      </c>
      <c r="I41" s="7" t="b">
        <f t="shared" ca="1" si="117"/>
        <v>1</v>
      </c>
      <c r="J41" s="38">
        <f t="shared" ca="1" si="1"/>
        <v>0.8</v>
      </c>
      <c r="K41" s="39">
        <f t="shared" ref="K41:L41" ca="1" si="118">VLOOKUP($A41, INDIRECT(K$1&amp;"!A:D"), 4, FALSE)</f>
        <v>0</v>
      </c>
      <c r="L41" s="39">
        <f t="shared" ca="1" si="118"/>
        <v>0</v>
      </c>
      <c r="M41" s="39"/>
      <c r="N41" s="39" t="e">
        <f t="shared" ref="N41:P41" ca="1" si="119">VLOOKUP($A41, INDIRECT(N$1&amp;"!A:D"), 4, FALSE)</f>
        <v>#REF!</v>
      </c>
      <c r="O41" s="39">
        <f t="shared" ca="1" si="119"/>
        <v>0</v>
      </c>
      <c r="P41" s="39">
        <f t="shared" ca="1" si="119"/>
        <v>0</v>
      </c>
      <c r="Q41" s="38" t="str">
        <f ca="1">IFERROR(__xludf.DUMMYFUNCTION("IF(COUNTA(K41:P41)=0, """", ARRAYFORMULA(""- ""&amp;TEXTJOIN(char(10)&amp;""- "", TRUE, FILTER(K$1:P$1&amp;"": ""&amp;K41:P41, NOT(ISBLANK(K41:P41))))))"),"")</f>
        <v/>
      </c>
      <c r="R41" s="38" t="str">
        <f ca="1"/>
        <v/>
      </c>
      <c r="S41" s="40" t="b">
        <v>1</v>
      </c>
    </row>
    <row r="42" spans="1:20">
      <c r="A42" s="11" t="str">
        <f ca="1">IFERROR(__xludf.DUMMYFUNCTION("""COMPUTED_VALUE"""),"18e93d6bbaace3cdb08f210c2e20ab55")</f>
        <v>18e93d6bbaace3cdb08f210c2e20ab55</v>
      </c>
      <c r="B42" s="11" t="str">
        <f ca="1">IFERROR(__xludf.DUMMYFUNCTION("""COMPUTED_VALUE"""),"The problem of indebtedness and the instability of fiscal policy in industrialized countries could negatively affect development aid and donor countries’ commitments to contribute 0.7 per cent of their GDP to developing countries (Willem te Velde 2008). A"&amp;"s such, countries that depend on international aid face elevated risks of being affected by the global financial and economic crisis. However, World Bank (2008) suggests that international aid would be the least volatile component and debt servicing costs"&amp;" are the main difficulty that developing countries could be confronted with in the case that the global economic crisis induces a contraction in their economy.")</f>
        <v>The problem of indebtedness and the instability of fiscal policy in industrialized countries could negatively affect development aid and donor countries’ commitments to contribute 0.7 per cent of their GDP to developing countries (Willem te Velde 2008). As such, countries that depend on international aid face elevated risks of being affected by the global financial and economic crisis. However, World Bank (2008) suggests that international aid would be the least volatile component and debt servicing costs are the main difficulty that developing countries could be confronted with in the case that the global economic crisis induces a contraction in their economy.</v>
      </c>
      <c r="C42" s="41"/>
      <c r="D42" s="7" t="b">
        <f t="shared" ref="D42:I42" ca="1" si="120">VLOOKUP($A42, INDIRECT(D$1&amp;"!A:C"), 3, FALSE)</f>
        <v>1</v>
      </c>
      <c r="E42" s="7" t="str">
        <f t="shared" ca="1" si="120"/>
        <v>TO DO</v>
      </c>
      <c r="F42" s="7" t="b">
        <f t="shared" ca="1" si="120"/>
        <v>1</v>
      </c>
      <c r="G42" s="7" t="e">
        <f t="shared" ca="1" si="120"/>
        <v>#REF!</v>
      </c>
      <c r="H42" s="7" t="str">
        <f t="shared" ca="1" si="120"/>
        <v>TO DO</v>
      </c>
      <c r="I42" s="7" t="b">
        <f t="shared" ca="1" si="120"/>
        <v>1</v>
      </c>
      <c r="J42" s="38">
        <f t="shared" ca="1" si="1"/>
        <v>0.75</v>
      </c>
      <c r="K42" s="39">
        <f t="shared" ref="K42:L42" ca="1" si="121">VLOOKUP($A42, INDIRECT(K$1&amp;"!A:D"), 4, FALSE)</f>
        <v>0</v>
      </c>
      <c r="L42" s="39">
        <f t="shared" ca="1" si="121"/>
        <v>0</v>
      </c>
      <c r="M42" s="39"/>
      <c r="N42" s="39" t="e">
        <f t="shared" ref="N42:P42" ca="1" si="122">VLOOKUP($A42, INDIRECT(N$1&amp;"!A:D"), 4, FALSE)</f>
        <v>#REF!</v>
      </c>
      <c r="O42" s="39">
        <f t="shared" ca="1" si="122"/>
        <v>0</v>
      </c>
      <c r="P42" s="39">
        <f t="shared" ca="1" si="122"/>
        <v>0</v>
      </c>
      <c r="Q42" s="38" t="str">
        <f ca="1">IFERROR(__xludf.DUMMYFUNCTION("IF(COUNTA(K42:P42)=0, """", ARRAYFORMULA(""- ""&amp;TEXTJOIN(char(10)&amp;""- "", TRUE, FILTER(K$1:P$1&amp;"": ""&amp;K42:P42, NOT(ISBLANK(K42:P42))))))"),"")</f>
        <v/>
      </c>
      <c r="R42" s="38" t="str">
        <f ca="1"/>
        <v/>
      </c>
      <c r="S42" s="40" t="b">
        <v>1</v>
      </c>
    </row>
    <row r="43" spans="1:20">
      <c r="A43" s="11" t="str">
        <f ca="1">IFERROR(__xludf.DUMMYFUNCTION("""COMPUTED_VALUE"""),"4fe1800ab78889d52a174e39b03e8f82")</f>
        <v>4fe1800ab78889d52a174e39b03e8f82</v>
      </c>
      <c r="B43" s="11" t="str">
        <f ca="1">IFERROR(__xludf.DUMMYFUNCTION("""COMPUTED_VALUE"""),"Progress towards these Goals is mutually reinforcing, providing opportunities to foster improved employment outcomes for youth while contributing to the achievement of other Goals. The targets emphasize the importance of a solid macroeconomic foundation f"&amp;"or economic growth, driven by strategic investments in job-intensive and productive economic activities. In keeping with the integrated nature of the global economy, the targets focus on promoting trade and strengthening the ability of less developed econ"&amp;"omies to tap into the economic power of the developed world (through financial aid, tourism and foreign direct investment) in terms of job creation.")</f>
        <v>Progress towards these Goals is mutually reinforcing, providing opportunities to foster improved employment outcomes for youth while contributing to the achievement of other Goals. The targets emphasize the importance of a solid macroeconomic foundation for economic growth, driven by strategic investments in job-intensive and productive economic activities. In keeping with the integrated nature of the global economy, the targets focus on promoting trade and strengthening the ability of less developed economies to tap into the economic power of the developed world (through financial aid, tourism and foreign direct investment) in terms of job creation.</v>
      </c>
      <c r="C43" s="41"/>
      <c r="D43" s="7" t="b">
        <f t="shared" ref="D43:I43" ca="1" si="123">VLOOKUP($A43, INDIRECT(D$1&amp;"!A:C"), 3, FALSE)</f>
        <v>1</v>
      </c>
      <c r="E43" s="7" t="str">
        <f t="shared" ca="1" si="123"/>
        <v>TO DO</v>
      </c>
      <c r="F43" s="7" t="b">
        <f t="shared" ca="1" si="123"/>
        <v>1</v>
      </c>
      <c r="G43" s="7" t="e">
        <f t="shared" ca="1" si="123"/>
        <v>#REF!</v>
      </c>
      <c r="H43" s="7" t="str">
        <f t="shared" ca="1" si="123"/>
        <v>TO DO</v>
      </c>
      <c r="I43" s="7" t="b">
        <f t="shared" ca="1" si="123"/>
        <v>1</v>
      </c>
      <c r="J43" s="38">
        <f t="shared" ca="1" si="1"/>
        <v>0.75</v>
      </c>
      <c r="K43" s="39">
        <f t="shared" ref="K43:L43" ca="1" si="124">VLOOKUP($A43, INDIRECT(K$1&amp;"!A:D"), 4, FALSE)</f>
        <v>0</v>
      </c>
      <c r="L43" s="39">
        <f t="shared" ca="1" si="124"/>
        <v>0</v>
      </c>
      <c r="M43" s="39"/>
      <c r="N43" s="39" t="e">
        <f t="shared" ref="N43:P43" ca="1" si="125">VLOOKUP($A43, INDIRECT(N$1&amp;"!A:D"), 4, FALSE)</f>
        <v>#REF!</v>
      </c>
      <c r="O43" s="39">
        <f t="shared" ca="1" si="125"/>
        <v>0</v>
      </c>
      <c r="P43" s="39">
        <f t="shared" ca="1" si="125"/>
        <v>0</v>
      </c>
      <c r="Q43" s="38" t="str">
        <f ca="1">IFERROR(__xludf.DUMMYFUNCTION("IF(COUNTA(K43:P43)=0, """", ARRAYFORMULA(""- ""&amp;TEXTJOIN(char(10)&amp;""- "", TRUE, FILTER(K$1:P$1&amp;"": ""&amp;K43:P43, NOT(ISBLANK(K43:P43))))))"),"")</f>
        <v/>
      </c>
      <c r="R43" s="38" t="str">
        <f ca="1"/>
        <v/>
      </c>
      <c r="S43" s="40" t="b">
        <v>1</v>
      </c>
    </row>
    <row r="44" spans="1:20">
      <c r="A44" s="11" t="str">
        <f ca="1">IFERROR(__xludf.DUMMYFUNCTION("""COMPUTED_VALUE"""),"69b9b9ed677e2a780b473808670fbb03")</f>
        <v>69b9b9ed677e2a780b473808670fbb03</v>
      </c>
      <c r="B44" s="11" t="str">
        <f ca="1">IFERROR(__xludf.DUMMYFUNCTION("""COMPUTED_VALUE"""),"While common factors help determine labour market participation for both women and men, women often face a far more restrictive range of such factors compared with men. Household and social norms in the subregion assume that women take the vast majority o"&amp;"f responsibility for domestic work and caregiving and are sometimes restricted from labour market participation altogether if household income levels are sufficiently high. Labour market segmentation and economic decision-making norms restrict the range o"&amp;"f possible jobs in which women can participate. Low incomes and high informality in segmented occupations and economic activity create significant gender gaps in participation in premium-level formal employment.")</f>
        <v>While common factors help determine labour market participation for both women and men, women often face a far more restrictive range of such factors compared with men. Household and social norms in the subregion assume that women take the vast majority of responsibility for domestic work and caregiving and are sometimes restricted from labour market participation altogether if household income levels are sufficiently high. Labour market segmentation and economic decision-making norms restrict the range of possible jobs in which women can participate. Low incomes and high informality in segmented occupations and economic activity create significant gender gaps in participation in premium-level formal employment.</v>
      </c>
      <c r="C44" s="7"/>
      <c r="D44" s="7" t="b">
        <f t="shared" ref="D44:I44" ca="1" si="126">VLOOKUP($A44, INDIRECT(D$1&amp;"!A:C"), 3, FALSE)</f>
        <v>0</v>
      </c>
      <c r="E44" s="7" t="str">
        <f t="shared" ca="1" si="126"/>
        <v>TO DO</v>
      </c>
      <c r="F44" s="7" t="b">
        <f t="shared" ca="1" si="126"/>
        <v>0</v>
      </c>
      <c r="G44" s="7" t="e">
        <f t="shared" ca="1" si="126"/>
        <v>#REF!</v>
      </c>
      <c r="H44" s="7" t="str">
        <f t="shared" ca="1" si="126"/>
        <v>TO DO</v>
      </c>
      <c r="I44" s="7" t="b">
        <f t="shared" ca="1" si="126"/>
        <v>0</v>
      </c>
      <c r="J44" s="38">
        <f t="shared" ca="1" si="1"/>
        <v>0.75</v>
      </c>
      <c r="K44" s="39">
        <f t="shared" ref="K44:L44" ca="1" si="127">VLOOKUP($A44, INDIRECT(K$1&amp;"!A:D"), 4, FALSE)</f>
        <v>0</v>
      </c>
      <c r="L44" s="39">
        <f t="shared" ca="1" si="127"/>
        <v>0</v>
      </c>
      <c r="M44" s="39"/>
      <c r="N44" s="39" t="e">
        <f t="shared" ref="N44:P44" ca="1" si="128">VLOOKUP($A44, INDIRECT(N$1&amp;"!A:D"), 4, FALSE)</f>
        <v>#REF!</v>
      </c>
      <c r="O44" s="39">
        <f t="shared" ca="1" si="128"/>
        <v>0</v>
      </c>
      <c r="P44" s="39">
        <f t="shared" ca="1" si="128"/>
        <v>0</v>
      </c>
      <c r="Q44" s="38" t="str">
        <f ca="1">IFERROR(__xludf.DUMMYFUNCTION("IF(COUNTA(K44:P44)=0, """", ARRAYFORMULA(""- ""&amp;TEXTJOIN(char(10)&amp;""- "", TRUE, FILTER(K$1:P$1&amp;"": ""&amp;K44:P44, NOT(ISBLANK(K44:P44))))))"),"")</f>
        <v/>
      </c>
      <c r="R44" s="38" t="str">
        <f ca="1"/>
        <v/>
      </c>
      <c r="S44" s="40" t="b">
        <v>0</v>
      </c>
    </row>
    <row r="45" spans="1:20">
      <c r="A45" s="11" t="str">
        <f ca="1">IFERROR(__xludf.DUMMYFUNCTION("""COMPUTED_VALUE"""),"6e2e95032e9349d8e0e89ae58e1e1f2b")</f>
        <v>6e2e95032e9349d8e0e89ae58e1e1f2b</v>
      </c>
      <c r="B45" s="11" t="str">
        <f ca="1">IFERROR(__xludf.DUMMYFUNCTION("""COMPUTED_VALUE"""),"The Programme was subject to socio-economic evaluation and strategic environmental assessment. It was approved in December 2007 and ten hydroelectric power plant locations were selected, out of the 25 potential sites initially identified. The ten plants a"&amp;"re to be located in the basins of the Rivers Douro, Vouga, Mondego and Tejo.")</f>
        <v>The Programme was subject to socio-economic evaluation and strategic environmental assessment. It was approved in December 2007 and ten hydroelectric power plant locations were selected, out of the 25 potential sites initially identified. The ten plants are to be located in the basins of the Rivers Douro, Vouga, Mondego and Tejo.</v>
      </c>
      <c r="C45" s="41"/>
      <c r="D45" s="7" t="b">
        <f t="shared" ref="D45:I45" ca="1" si="129">VLOOKUP($A45, INDIRECT(D$1&amp;"!A:C"), 3, FALSE)</f>
        <v>0</v>
      </c>
      <c r="E45" s="7" t="str">
        <f t="shared" ca="1" si="129"/>
        <v>TO DO</v>
      </c>
      <c r="F45" s="7" t="b">
        <f t="shared" ca="1" si="129"/>
        <v>0</v>
      </c>
      <c r="G45" s="7" t="e">
        <f t="shared" ca="1" si="129"/>
        <v>#REF!</v>
      </c>
      <c r="H45" s="7" t="b">
        <f t="shared" ca="1" si="129"/>
        <v>0</v>
      </c>
      <c r="I45" s="7" t="b">
        <f t="shared" ca="1" si="129"/>
        <v>0</v>
      </c>
      <c r="J45" s="38">
        <f t="shared" ca="1" si="1"/>
        <v>0.8</v>
      </c>
      <c r="K45" s="39">
        <f t="shared" ref="K45:L45" ca="1" si="130">VLOOKUP($A45, INDIRECT(K$1&amp;"!A:D"), 4, FALSE)</f>
        <v>0</v>
      </c>
      <c r="L45" s="39">
        <f t="shared" ca="1" si="130"/>
        <v>0</v>
      </c>
      <c r="M45" s="39"/>
      <c r="N45" s="39" t="e">
        <f t="shared" ref="N45:P45" ca="1" si="131">VLOOKUP($A45, INDIRECT(N$1&amp;"!A:D"), 4, FALSE)</f>
        <v>#REF!</v>
      </c>
      <c r="O45" s="39">
        <f t="shared" ca="1" si="131"/>
        <v>0</v>
      </c>
      <c r="P45" s="39">
        <f t="shared" ca="1" si="131"/>
        <v>0</v>
      </c>
      <c r="Q45" s="38" t="str">
        <f ca="1">IFERROR(__xludf.DUMMYFUNCTION("IF(COUNTA(K45:P45)=0, """", ARRAYFORMULA(""- ""&amp;TEXTJOIN(char(10)&amp;""- "", TRUE, FILTER(K$1:P$1&amp;"": ""&amp;K45:P45, NOT(ISBLANK(K45:P45))))))"),"")</f>
        <v/>
      </c>
      <c r="R45" s="38" t="str">
        <f ca="1"/>
        <v/>
      </c>
      <c r="S45" s="40" t="b">
        <v>0</v>
      </c>
    </row>
    <row r="46" spans="1:20">
      <c r="A46" s="11" t="str">
        <f ca="1">IFERROR(__xludf.DUMMYFUNCTION("""COMPUTED_VALUE"""),"1ca7b29c9b1b93e03b31fba69ed9f4a5")</f>
        <v>1ca7b29c9b1b93e03b31fba69ed9f4a5</v>
      </c>
      <c r="B46" s="11" t="str">
        <f ca="1">IFERROR(__xludf.DUMMYFUNCTION("""COMPUTED_VALUE"""),"A growing number of inter-ministerial mechanisms have been introduced to increase policy coherence and enhance implementation. The scale and pace of these changes has made it difficult to ensure that high quality projects were identified and implemented, "&amp;"that consultation with the public and local authorities was conducted according to the spirit rather than the letter of the law, and that sufficient capacity for policy implementation was developed, particularly at the local level. The enactment of so man"&amp;"y laws and regulations in a comparatively short period of time also resulted initially in the business community facing a complex set of environmental requirements, though this has now improved.")</f>
        <v>A growing number of inter-ministerial mechanisms have been introduced to increase policy coherence and enhance implementation. The scale and pace of these changes has made it difficult to ensure that high quality projects were identified and implemented, that consultation with the public and local authorities was conducted according to the spirit rather than the letter of the law, and that sufficient capacity for policy implementation was developed, particularly at the local level. The enactment of so many laws and regulations in a comparatively short period of time also resulted initially in the business community facing a complex set of environmental requirements, though this has now improved.</v>
      </c>
      <c r="C46" s="41"/>
      <c r="D46" s="7" t="b">
        <f t="shared" ref="D46:I46" ca="1" si="132">VLOOKUP($A46, INDIRECT(D$1&amp;"!A:C"), 3, FALSE)</f>
        <v>0</v>
      </c>
      <c r="E46" s="7" t="str">
        <f t="shared" ca="1" si="132"/>
        <v>TO DO</v>
      </c>
      <c r="F46" s="7" t="str">
        <f t="shared" ca="1" si="132"/>
        <v>SKIP</v>
      </c>
      <c r="G46" s="7" t="e">
        <f t="shared" ca="1" si="132"/>
        <v>#REF!</v>
      </c>
      <c r="H46" s="7" t="b">
        <f t="shared" ca="1" si="132"/>
        <v>1</v>
      </c>
      <c r="I46" s="7" t="b">
        <f t="shared" ca="1" si="132"/>
        <v>0</v>
      </c>
      <c r="J46" s="38">
        <f t="shared" ca="1" si="1"/>
        <v>0.2</v>
      </c>
      <c r="K46" s="39">
        <f t="shared" ref="K46:L46" ca="1" si="133">VLOOKUP($A46, INDIRECT(K$1&amp;"!A:D"), 4, FALSE)</f>
        <v>0</v>
      </c>
      <c r="L46" s="39">
        <f t="shared" ca="1" si="133"/>
        <v>0</v>
      </c>
      <c r="M46" s="39"/>
      <c r="N46" s="39" t="e">
        <f t="shared" ref="N46:P46" ca="1" si="134">VLOOKUP($A46, INDIRECT(N$1&amp;"!A:D"), 4, FALSE)</f>
        <v>#REF!</v>
      </c>
      <c r="O46" s="39">
        <f t="shared" ca="1" si="134"/>
        <v>0</v>
      </c>
      <c r="P46" s="39">
        <f t="shared" ca="1" si="134"/>
        <v>0</v>
      </c>
      <c r="Q46" s="38" t="str">
        <f ca="1">IFERROR(__xludf.DUMMYFUNCTION("IF(COUNTA(K46:P46)=0, """", ARRAYFORMULA(""- ""&amp;TEXTJOIN(char(10)&amp;""- "", TRUE, FILTER(K$1:P$1&amp;"": ""&amp;K46:P46, NOT(ISBLANK(K46:P46))))))"),"")</f>
        <v/>
      </c>
      <c r="R46" s="38" t="str">
        <f ca="1"/>
        <v/>
      </c>
      <c r="S46" s="40" t="s">
        <v>449</v>
      </c>
    </row>
    <row r="47" spans="1:20">
      <c r="A47" s="11" t="str">
        <f ca="1">IFERROR(__xludf.DUMMYFUNCTION("""COMPUTED_VALUE"""),"2e15e98e0cd6e9bd8088c06063ae66d6")</f>
        <v>2e15e98e0cd6e9bd8088c06063ae66d6</v>
      </c>
      <c r="B47" s="11" t="str">
        <f ca="1">IFERROR(__xludf.DUMMYFUNCTION("""COMPUTED_VALUE"""),"The Sendai Framework for Disaster Risk Reduction 2015-2030 outlines clear targets and priorities for action to prevent new disaster risks and reduce existing ones. In the latest reports (2017-2018) from 70 countries, 67 had strategies that were aligned to"&amp;" some extent with the Sendai Framework. The biggest challenges are investment in disaster risk reduction for resilience and promoting policy coherence between the SDGs and climate change.")</f>
        <v>The Sendai Framework for Disaster Risk Reduction 2015-2030 outlines clear targets and priorities for action to prevent new disaster risks and reduce existing ones. In the latest reports (2017-2018) from 70 countries, 67 had strategies that were aligned to some extent with the Sendai Framework. The biggest challenges are investment in disaster risk reduction for resilience and promoting policy coherence between the SDGs and climate change.</v>
      </c>
      <c r="C47" s="7"/>
      <c r="D47" s="7" t="b">
        <f t="shared" ref="D47:I47" ca="1" si="135">VLOOKUP($A47, INDIRECT(D$1&amp;"!A:C"), 3, FALSE)</f>
        <v>1</v>
      </c>
      <c r="E47" s="7" t="str">
        <f t="shared" ca="1" si="135"/>
        <v>TO DO</v>
      </c>
      <c r="F47" s="7" t="b">
        <f t="shared" ca="1" si="135"/>
        <v>1</v>
      </c>
      <c r="G47" s="7" t="e">
        <f t="shared" ca="1" si="135"/>
        <v>#REF!</v>
      </c>
      <c r="H47" s="7" t="str">
        <f t="shared" ca="1" si="135"/>
        <v>TO DO</v>
      </c>
      <c r="I47" s="7" t="b">
        <f t="shared" ca="1" si="135"/>
        <v>1</v>
      </c>
      <c r="J47" s="38">
        <f t="shared" ca="1" si="1"/>
        <v>0.75</v>
      </c>
      <c r="K47" s="39">
        <f t="shared" ref="K47:L47" ca="1" si="136">VLOOKUP($A47, INDIRECT(K$1&amp;"!A:D"), 4, FALSE)</f>
        <v>0</v>
      </c>
      <c r="L47" s="39">
        <f t="shared" ca="1" si="136"/>
        <v>0</v>
      </c>
      <c r="M47" s="39"/>
      <c r="N47" s="39" t="e">
        <f t="shared" ref="N47:P47" ca="1" si="137">VLOOKUP($A47, INDIRECT(N$1&amp;"!A:D"), 4, FALSE)</f>
        <v>#REF!</v>
      </c>
      <c r="O47" s="39">
        <f t="shared" ca="1" si="137"/>
        <v>0</v>
      </c>
      <c r="P47" s="39">
        <f t="shared" ca="1" si="137"/>
        <v>17.14</v>
      </c>
      <c r="Q47" s="38" t="str">
        <f ca="1">IFERROR(__xludf.DUMMYFUNCTION("IF(COUNTA(K47:P47)=0, """", ARRAYFORMULA(""- ""&amp;TEXTJOIN(char(10)&amp;""- "", TRUE, FILTER(K$1:P$1&amp;"": ""&amp;K47:P47, NOT(ISBLANK(K47:P47))))))"),"- Steve: 17.14")</f>
        <v>- Steve: 17.14</v>
      </c>
      <c r="R47" s="38" t="str">
        <f ca="1"/>
        <v>- Steve: 17.14</v>
      </c>
      <c r="S47" s="40" t="b">
        <v>1</v>
      </c>
    </row>
    <row r="48" spans="1:20">
      <c r="A48" s="11" t="str">
        <f ca="1">IFERROR(__xludf.DUMMYFUNCTION("""COMPUTED_VALUE"""),"4efe676a22c7c8b91cc45d3403290313")</f>
        <v>4efe676a22c7c8b91cc45d3403290313</v>
      </c>
      <c r="B48" s="11" t="str">
        <f ca="1">IFERROR(__xludf.DUMMYFUNCTION("""COMPUTED_VALUE"""),"Nevertheless, as in many other countries, an institutional culture of multiple silo-type ministries still prevails. Ensuring high-profile leadership or co-ordination would help improve policy coherence and enable a whole-of-government approach to sustaina"&amp;"ble development. For instance, about a quarter of municipal environmental councils were inactive in 2013 (IBGE, 2014). Many state agencies face a significant challenge to attract and retain qualified technical staff.")</f>
        <v>Nevertheless, as in many other countries, an institutional culture of multiple silo-type ministries still prevails. Ensuring high-profile leadership or co-ordination would help improve policy coherence and enable a whole-of-government approach to sustainable development. For instance, about a quarter of municipal environmental councils were inactive in 2013 (IBGE, 2014). Many state agencies face a significant challenge to attract and retain qualified technical staff.</v>
      </c>
      <c r="C48" s="7" t="s">
        <v>452</v>
      </c>
      <c r="D48" s="7" t="b">
        <f t="shared" ref="D48:I48" ca="1" si="138">VLOOKUP($A48, INDIRECT(D$1&amp;"!A:C"), 3, FALSE)</f>
        <v>1</v>
      </c>
      <c r="E48" s="7" t="str">
        <f t="shared" ca="1" si="138"/>
        <v>TO DO</v>
      </c>
      <c r="F48" s="7" t="str">
        <f t="shared" ca="1" si="138"/>
        <v>SKIP</v>
      </c>
      <c r="G48" s="7" t="e">
        <f t="shared" ca="1" si="138"/>
        <v>#REF!</v>
      </c>
      <c r="H48" s="7" t="b">
        <f t="shared" ca="1" si="138"/>
        <v>1</v>
      </c>
      <c r="I48" s="7" t="b">
        <f t="shared" ca="1" si="138"/>
        <v>1</v>
      </c>
      <c r="J48" s="38">
        <f t="shared" ca="1" si="1"/>
        <v>0.6</v>
      </c>
      <c r="K48" s="39">
        <f t="shared" ref="K48:L48" ca="1" si="139">VLOOKUP($A48, INDIRECT(K$1&amp;"!A:D"), 4, FALSE)</f>
        <v>0</v>
      </c>
      <c r="L48" s="39">
        <f t="shared" ca="1" si="139"/>
        <v>0</v>
      </c>
      <c r="M48" s="39"/>
      <c r="N48" s="39" t="e">
        <f t="shared" ref="N48:P48" ca="1" si="140">VLOOKUP($A48, INDIRECT(N$1&amp;"!A:D"), 4, FALSE)</f>
        <v>#REF!</v>
      </c>
      <c r="O48" s="39">
        <f t="shared" ca="1" si="140"/>
        <v>0</v>
      </c>
      <c r="P48" s="39">
        <f t="shared" ca="1" si="140"/>
        <v>0</v>
      </c>
      <c r="Q48" s="38" t="str">
        <f ca="1">IFERROR(__xludf.DUMMYFUNCTION("IF(COUNTA(K48:P48)=0, """", ARRAYFORMULA(""- ""&amp;TEXTJOIN(char(10)&amp;""- "", TRUE, FILTER(K$1:P$1&amp;"": ""&amp;K48:P48, NOT(ISBLANK(K48:P48))))))"),"")</f>
        <v/>
      </c>
      <c r="R48" s="38" t="str">
        <f ca="1"/>
        <v/>
      </c>
      <c r="S48" s="40" t="b">
        <v>1</v>
      </c>
      <c r="T48" s="5" t="s">
        <v>458</v>
      </c>
    </row>
    <row r="49" spans="1:20">
      <c r="A49" s="11" t="str">
        <f ca="1">IFERROR(__xludf.DUMMYFUNCTION("""COMPUTED_VALUE"""),"edb3e38847428a4f7892de106059e067")</f>
        <v>edb3e38847428a4f7892de106059e067</v>
      </c>
      <c r="B49" s="11" t="str">
        <f ca="1">IFERROR(__xludf.DUMMYFUNCTION("""COMPUTED_VALUE"""),"There are several examples of highly fragmented contexts (Canada, France, Mexico) where the multiple actors and layers usually perceived as obstacles to policy coherence have been compensated by the adoption of sound co-ordination mechanisms (see below) t"&amp;"hat reduced, to a more or less important degree, the impact of sectoral fragmentation. In federal states with important geographical and hydrological disparities (Australia, Canada, the United States), or strong regional characteristics (Belgium), local a"&amp;"nd regional authorities are the main actors in water-resources management and service delivery. In most cases (EU countries), sub-national governments play a significant role in the design and implementation of water policies, together with the central go"&amp;"vernment, while in some countries (Chile, Israel, Japan, Korea), they are mostly “implementers” of central government policies, with low involvement in the “design” stage. In addition, there are very few significant river basin scale organisations and the"&amp;" institutional mapping and governance challenges vary greatly from one state to another.")</f>
        <v>There are several examples of highly fragmented contexts (Canada, France, Mexico) where the multiple actors and layers usually perceived as obstacles to policy coherence have been compensated by the adoption of sound co-ordination mechanisms (see below) that reduced, to a more or less important degree, the impact of sectoral fragmentation. In federal states with important geographical and hydrological disparities (Australia, Canada, the United States), or strong regional characteristics (Belgium), local and regional authorities are the main actors in water-resources management and service delivery. In most cases (EU countries), sub-national governments play a significant role in the design and implementation of water policies, together with the central government, while in some countries (Chile, Israel, Japan, Korea), they are mostly “implementers” of central government policies, with low involvement in the “design” stage. In addition, there are very few significant river basin scale organisations and the institutional mapping and governance challenges vary greatly from one state to another.</v>
      </c>
      <c r="C49" s="7"/>
      <c r="D49" s="7" t="b">
        <f t="shared" ref="D49:I49" ca="1" si="141">VLOOKUP($A49, INDIRECT(D$1&amp;"!A:C"), 3, FALSE)</f>
        <v>0</v>
      </c>
      <c r="E49" s="7" t="str">
        <f t="shared" ca="1" si="141"/>
        <v>TO DO</v>
      </c>
      <c r="F49" s="7" t="str">
        <f t="shared" ca="1" si="141"/>
        <v>SKIP</v>
      </c>
      <c r="G49" s="7" t="e">
        <f t="shared" ca="1" si="141"/>
        <v>#REF!</v>
      </c>
      <c r="H49" s="7" t="str">
        <f t="shared" ca="1" si="141"/>
        <v>TO DO</v>
      </c>
      <c r="I49" s="7" t="b">
        <f t="shared" ca="1" si="141"/>
        <v>1</v>
      </c>
      <c r="J49" s="38">
        <f t="shared" ca="1" si="1"/>
        <v>0</v>
      </c>
      <c r="K49" s="39">
        <f t="shared" ref="K49:L49" ca="1" si="142">VLOOKUP($A49, INDIRECT(K$1&amp;"!A:D"), 4, FALSE)</f>
        <v>0</v>
      </c>
      <c r="L49" s="39">
        <f t="shared" ca="1" si="142"/>
        <v>0</v>
      </c>
      <c r="M49" s="39"/>
      <c r="N49" s="39" t="e">
        <f t="shared" ref="N49:P49" ca="1" si="143">VLOOKUP($A49, INDIRECT(N$1&amp;"!A:D"), 4, FALSE)</f>
        <v>#REF!</v>
      </c>
      <c r="O49" s="39">
        <f t="shared" ca="1" si="143"/>
        <v>0</v>
      </c>
      <c r="P49" s="39">
        <f t="shared" ca="1" si="143"/>
        <v>0</v>
      </c>
      <c r="Q49" s="38" t="str">
        <f ca="1">IFERROR(__xludf.DUMMYFUNCTION("IF(COUNTA(K49:P49)=0, """", ARRAYFORMULA(""- ""&amp;TEXTJOIN(char(10)&amp;""- "", TRUE, FILTER(K$1:P$1&amp;"": ""&amp;K49:P49, NOT(ISBLANK(K49:P49))))))"),"")</f>
        <v/>
      </c>
      <c r="R49" s="38" t="str">
        <f ca="1"/>
        <v/>
      </c>
      <c r="S49" s="40" t="s">
        <v>449</v>
      </c>
    </row>
    <row r="50" spans="1:20">
      <c r="A50" s="11" t="str">
        <f ca="1">IFERROR(__xludf.DUMMYFUNCTION("""COMPUTED_VALUE"""),"1bbfb4a2e6287262ba5bfa7c5f275fe1")</f>
        <v>1bbfb4a2e6287262ba5bfa7c5f275fe1</v>
      </c>
      <c r="B50" s="11" t="str">
        <f ca="1">IFERROR(__xludf.DUMMYFUNCTION("""COMPUTED_VALUE"""),"With a fixed timetable of regular assessments, Costa Rica might consider alternating the subjects assessed at lower secondary level to enable the evaluation of more of the curriculum, including the more innovative dimensions of education for global citize"&amp;"nship and sustainable development, for example. At no point has the assessment sampled the entire census of schools in a way that would enable school leaders, teachers, students, parents and the local community to understand w'hether their institution is "&amp;"achieving national learning objectives, or whether it is more or less successful than other similar schools. The national assessment could help teachers understand how the new national competence-based curriculum can be tested in practice and ensure class"&amp;"room-based assessments are setting the same standards across the country.")</f>
        <v>With a fixed timetable of regular assessments, Costa Rica might consider alternating the subjects assessed at lower secondary level to enable the evaluation of more of the curriculum, including the more innovative dimensions of education for global citizenship and sustainable development, for example. At no point has the assessment sampled the entire census of schools in a way that would enable school leaders, teachers, students, parents and the local community to understand w'hether their institution is achieving national learning objectives, or whether it is more or less successful than other similar schools. The national assessment could help teachers understand how the new national competence-based curriculum can be tested in practice and ensure classroom-based assessments are setting the same standards across the country.</v>
      </c>
      <c r="C50" s="7" t="s">
        <v>455</v>
      </c>
      <c r="D50" s="7" t="b">
        <f t="shared" ref="D50:I50" ca="1" si="144">VLOOKUP($A50, INDIRECT(D$1&amp;"!A:C"), 3, FALSE)</f>
        <v>0</v>
      </c>
      <c r="E50" s="7" t="str">
        <f t="shared" ca="1" si="144"/>
        <v>TO DO</v>
      </c>
      <c r="F50" s="7" t="b">
        <f t="shared" ca="1" si="144"/>
        <v>0</v>
      </c>
      <c r="G50" s="7" t="e">
        <f t="shared" ca="1" si="144"/>
        <v>#REF!</v>
      </c>
      <c r="H50" s="7" t="b">
        <f t="shared" ca="1" si="144"/>
        <v>1</v>
      </c>
      <c r="I50" s="7" t="b">
        <f t="shared" ca="1" si="144"/>
        <v>0</v>
      </c>
      <c r="J50" s="38">
        <f t="shared" ca="1" si="1"/>
        <v>0.4</v>
      </c>
      <c r="K50" s="39">
        <f t="shared" ref="K50:L50" ca="1" si="145">VLOOKUP($A50, INDIRECT(K$1&amp;"!A:D"), 4, FALSE)</f>
        <v>0</v>
      </c>
      <c r="L50" s="39">
        <f t="shared" ca="1" si="145"/>
        <v>0</v>
      </c>
      <c r="M50" s="39"/>
      <c r="N50" s="39" t="e">
        <f t="shared" ref="N50:P50" ca="1" si="146">VLOOKUP($A50, INDIRECT(N$1&amp;"!A:D"), 4, FALSE)</f>
        <v>#REF!</v>
      </c>
      <c r="O50" s="39">
        <f t="shared" ca="1" si="146"/>
        <v>0</v>
      </c>
      <c r="P50" s="39">
        <f t="shared" ca="1" si="146"/>
        <v>0</v>
      </c>
      <c r="Q50" s="38" t="str">
        <f ca="1">IFERROR(__xludf.DUMMYFUNCTION("IF(COUNTA(K50:P50)=0, """", ARRAYFORMULA(""- ""&amp;TEXTJOIN(char(10)&amp;""- "", TRUE, FILTER(K$1:P$1&amp;"": ""&amp;K50:P50, NOT(ISBLANK(K50:P50))))))"),"")</f>
        <v/>
      </c>
      <c r="R50" s="38" t="str">
        <f ca="1"/>
        <v/>
      </c>
      <c r="S50" s="40" t="s">
        <v>449</v>
      </c>
    </row>
    <row r="51" spans="1:20">
      <c r="A51" s="11" t="str">
        <f ca="1">IFERROR(__xludf.DUMMYFUNCTION("""COMPUTED_VALUE"""),"22a8c8ad7fca121559996cf5be31d969")</f>
        <v>22a8c8ad7fca121559996cf5be31d969</v>
      </c>
      <c r="B51" s="11" t="str">
        <f ca="1">IFERROR(__xludf.DUMMYFUNCTION("""COMPUTED_VALUE"""),"The international community has created processes for monitoring progress at the regional and global levels, and for countries to exchange policy experiences, to learn from each other, and to coordiante their policies where appropriate. The present chapte"&amp;"r contributes to this effort by analyzing how the current innovation policies of Kyrgyzstan contribute to the country’s national sustainable development priorities, comparing current policies to international good practice, and recommending policy reforms"&amp;" that could further encourage innovations contributing to sustainable development. The present chapter focuses on the other two pillars of sustainable development, i.e. environmental sustainability and social inclusiveness. However, it should be noted tha"&amp;"t failures to address unsustainable practices has a very real economic cost. While no estimates of this cost are available for Kyrgyzstan at present, the World Bank has for instance estimated that for neighboring Tajikistan the direct and indirect economi"&amp;"c damage caused by environmental degradation may be as high as 8 percent of GDP.90 Thus the key to sustainable development is to achieve all three dimensions together, rather than achieving one at the expense of the others.")</f>
        <v>The international community has created processes for monitoring progress at the regional and global levels, and for countries to exchange policy experiences, to learn from each other, and to coordiante their policies where appropriate. The present chapter contributes to this effort by analyzing how the current innovation policies of Kyrgyzstan contribute to the country’s national sustainable development priorities, comparing current policies to international good practice, and recommending policy reforms that could further encourage innovations contributing to sustainable development. The present chapter focuses on the other two pillars of sustainable development, i.e. environmental sustainability and social inclusiveness. However, it should be noted that failures to address unsustainable practices has a very real economic cost. While no estimates of this cost are available for Kyrgyzstan at present, the World Bank has for instance estimated that for neighboring Tajikistan the direct and indirect economic damage caused by environmental degradation may be as high as 8 percent of GDP.90 Thus the key to sustainable development is to achieve all three dimensions together, rather than achieving one at the expense of the others.</v>
      </c>
      <c r="C51" s="7" t="s">
        <v>450</v>
      </c>
      <c r="D51" s="7" t="b">
        <f t="shared" ref="D51:I51" ca="1" si="147">VLOOKUP($A51, INDIRECT(D$1&amp;"!A:C"), 3, FALSE)</f>
        <v>1</v>
      </c>
      <c r="E51" s="7" t="b">
        <f t="shared" ca="1" si="147"/>
        <v>1</v>
      </c>
      <c r="F51" s="7" t="b">
        <f t="shared" ca="1" si="147"/>
        <v>1</v>
      </c>
      <c r="G51" s="7" t="e">
        <f t="shared" ca="1" si="147"/>
        <v>#REF!</v>
      </c>
      <c r="H51" s="7" t="str">
        <f t="shared" ca="1" si="147"/>
        <v>TO DO</v>
      </c>
      <c r="I51" s="7" t="b">
        <f t="shared" ca="1" si="147"/>
        <v>0</v>
      </c>
      <c r="J51" s="38">
        <f t="shared" ca="1" si="1"/>
        <v>0.4</v>
      </c>
      <c r="K51" s="39">
        <f t="shared" ref="K51:L51" ca="1" si="148">VLOOKUP($A51, INDIRECT(K$1&amp;"!A:D"), 4, FALSE)</f>
        <v>0</v>
      </c>
      <c r="L51" s="39">
        <f t="shared" ca="1" si="148"/>
        <v>0</v>
      </c>
      <c r="M51" s="39"/>
      <c r="N51" s="39" t="e">
        <f t="shared" ref="N51:P51" ca="1" si="149">VLOOKUP($A51, INDIRECT(N$1&amp;"!A:D"), 4, FALSE)</f>
        <v>#REF!</v>
      </c>
      <c r="O51" s="39">
        <f t="shared" ca="1" si="149"/>
        <v>0</v>
      </c>
      <c r="P51" s="39">
        <f t="shared" ca="1" si="149"/>
        <v>0</v>
      </c>
      <c r="Q51" s="38" t="str">
        <f ca="1">IFERROR(__xludf.DUMMYFUNCTION("IF(COUNTA(K51:P51)=0, """", ARRAYFORMULA(""- ""&amp;TEXTJOIN(char(10)&amp;""- "", TRUE, FILTER(K$1:P$1&amp;"": ""&amp;K51:P51, NOT(ISBLANK(K51:P51))))))"),"")</f>
        <v/>
      </c>
      <c r="R51" s="38" t="str">
        <f ca="1"/>
        <v/>
      </c>
      <c r="S51" s="40" t="b">
        <v>1</v>
      </c>
      <c r="T51" s="5" t="s">
        <v>459</v>
      </c>
    </row>
    <row r="52" spans="1:20">
      <c r="A52" s="11" t="str">
        <f ca="1">IFERROR(__xludf.DUMMYFUNCTION("""COMPUTED_VALUE"""),"67b7a262b7baf4b024eb0798df13f68f")</f>
        <v>67b7a262b7baf4b024eb0798df13f68f</v>
      </c>
      <c r="B52" s="11" t="str">
        <f ca="1">IFERROR(__xludf.DUMMYFUNCTION("""COMPUTED_VALUE"""),"They have also paid special attention to expanding social opportunities by setting policy priorities, nurturing selected industries, fostering state-market complementarities, committing to long-term reforms, having strong political leadership, learning by"&amp;" doing and boosting public investment. Getting policies and policy priorities right raises the equally important issue of getting policymaking right. Governing institutions and policies are profoundly and inextricably linked, one cannot succeed without th"&amp;"e other. It is thus important to have policy processes managed by committed people in effective and responsive government structures. Policies also change at different stages of development: at early stages, for example, many countries prioritize job crea"&amp;"tion and poverty reduction.")</f>
        <v>They have also paid special attention to expanding social opportunities by setting policy priorities, nurturing selected industries, fostering state-market complementarities, committing to long-term reforms, having strong political leadership, learning by doing and boosting public investment. Getting policies and policy priorities right raises the equally important issue of getting policymaking right. Governing institutions and policies are profoundly and inextricably linked, one cannot succeed without the other. It is thus important to have policy processes managed by committed people in effective and responsive government structures. Policies also change at different stages of development: at early stages, for example, many countries prioritize job creation and poverty reduction.</v>
      </c>
      <c r="C52" s="7" t="s">
        <v>450</v>
      </c>
      <c r="D52" s="7" t="b">
        <f t="shared" ref="D52:I52" ca="1" si="150">VLOOKUP($A52, INDIRECT(D$1&amp;"!A:C"), 3, FALSE)</f>
        <v>1</v>
      </c>
      <c r="E52" s="7" t="str">
        <f t="shared" ca="1" si="150"/>
        <v>TO DO</v>
      </c>
      <c r="F52" s="7" t="b">
        <f t="shared" ca="1" si="150"/>
        <v>0</v>
      </c>
      <c r="G52" s="7" t="e">
        <f t="shared" ca="1" si="150"/>
        <v>#REF!</v>
      </c>
      <c r="H52" s="7" t="b">
        <f t="shared" ca="1" si="150"/>
        <v>0</v>
      </c>
      <c r="I52" s="7" t="b">
        <f t="shared" ca="1" si="150"/>
        <v>0</v>
      </c>
      <c r="J52" s="38">
        <f t="shared" ca="1" si="1"/>
        <v>0.4</v>
      </c>
      <c r="K52" s="39">
        <f t="shared" ref="K52:L52" ca="1" si="151">VLOOKUP($A52, INDIRECT(K$1&amp;"!A:D"), 4, FALSE)</f>
        <v>0</v>
      </c>
      <c r="L52" s="39">
        <f t="shared" ca="1" si="151"/>
        <v>0</v>
      </c>
      <c r="M52" s="39"/>
      <c r="N52" s="39" t="e">
        <f t="shared" ref="N52:P52" ca="1" si="152">VLOOKUP($A52, INDIRECT(N$1&amp;"!A:D"), 4, FALSE)</f>
        <v>#REF!</v>
      </c>
      <c r="O52" s="39">
        <f t="shared" ca="1" si="152"/>
        <v>0</v>
      </c>
      <c r="P52" s="39" t="str">
        <f t="shared" ca="1" si="152"/>
        <v>though quite a few generic linkns to SDG 17</v>
      </c>
      <c r="Q52" s="38" t="str">
        <f ca="1">IFERROR(__xludf.DUMMYFUNCTION("IF(COUNTA(K52:P52)=0, """", ARRAYFORMULA(""- ""&amp;TEXTJOIN(char(10)&amp;""- "", TRUE, FILTER(K$1:P$1&amp;"": ""&amp;K52:P52, NOT(ISBLANK(K52:P52))))))"),"- Steve: though quite a few generic linkns to SDG 17")</f>
        <v>- Steve: though quite a few generic linkns to SDG 17</v>
      </c>
      <c r="R52" s="38" t="str">
        <f ca="1"/>
        <v>- Steve: though quite a few generic linkns to SDG 17</v>
      </c>
      <c r="S52" s="40" t="b">
        <v>0</v>
      </c>
      <c r="T52" s="5" t="s">
        <v>460</v>
      </c>
    </row>
    <row r="53" spans="1:20">
      <c r="A53" s="11" t="str">
        <f ca="1">IFERROR(__xludf.DUMMYFUNCTION("""COMPUTED_VALUE"""),"c5a7e8fe3a9b142703dfa88c1594449f")</f>
        <v>c5a7e8fe3a9b142703dfa88c1594449f</v>
      </c>
      <c r="B53" s="11" t="str">
        <f ca="1">IFERROR(__xludf.DUMMYFUNCTION("""COMPUTED_VALUE"""),"Women are more likely than men to work part-time or have temporary contracts, which is largely explained by their family care responsibilities. While such work arrangements can help balance work and family life in the short and medium-terms, part-time or "&amp;"temporary workers may have fewer career development opportunities, face lower pay rates and higher rates of old-age poverty. These work arrangements are also viewed as less compatible with executive leadership and management positions: less than 1% of wom"&amp;"en employed part-time are in top management jobs.")</f>
        <v>Women are more likely than men to work part-time or have temporary contracts, which is largely explained by their family care responsibilities. While such work arrangements can help balance work and family life in the short and medium-terms, part-time or temporary workers may have fewer career development opportunities, face lower pay rates and higher rates of old-age poverty. These work arrangements are also viewed as less compatible with executive leadership and management positions: less than 1% of women employed part-time are in top management jobs.</v>
      </c>
      <c r="C53" s="7"/>
      <c r="D53" s="7" t="b">
        <f t="shared" ref="D53:I53" ca="1" si="153">VLOOKUP($A53, INDIRECT(D$1&amp;"!A:C"), 3, FALSE)</f>
        <v>0</v>
      </c>
      <c r="E53" s="7" t="str">
        <f t="shared" ca="1" si="153"/>
        <v>TO DO</v>
      </c>
      <c r="F53" s="7" t="b">
        <f t="shared" ca="1" si="153"/>
        <v>0</v>
      </c>
      <c r="G53" s="7" t="e">
        <f t="shared" ca="1" si="153"/>
        <v>#REF!</v>
      </c>
      <c r="H53" s="7" t="str">
        <f t="shared" ca="1" si="153"/>
        <v>TO DO</v>
      </c>
      <c r="I53" s="7" t="b">
        <f t="shared" ca="1" si="153"/>
        <v>0</v>
      </c>
      <c r="J53" s="38">
        <f t="shared" ca="1" si="1"/>
        <v>0.75</v>
      </c>
      <c r="K53" s="39">
        <f t="shared" ref="K53:L53" ca="1" si="154">VLOOKUP($A53, INDIRECT(K$1&amp;"!A:D"), 4, FALSE)</f>
        <v>0</v>
      </c>
      <c r="L53" s="39">
        <f t="shared" ca="1" si="154"/>
        <v>0</v>
      </c>
      <c r="M53" s="39"/>
      <c r="N53" s="39" t="e">
        <f t="shared" ref="N53:P53" ca="1" si="155">VLOOKUP($A53, INDIRECT(N$1&amp;"!A:D"), 4, FALSE)</f>
        <v>#REF!</v>
      </c>
      <c r="O53" s="39">
        <f t="shared" ca="1" si="155"/>
        <v>0</v>
      </c>
      <c r="P53" s="39">
        <f t="shared" ca="1" si="155"/>
        <v>0</v>
      </c>
      <c r="Q53" s="38" t="str">
        <f ca="1">IFERROR(__xludf.DUMMYFUNCTION("IF(COUNTA(K53:P53)=0, """", ARRAYFORMULA(""- ""&amp;TEXTJOIN(char(10)&amp;""- "", TRUE, FILTER(K$1:P$1&amp;"": ""&amp;K53:P53, NOT(ISBLANK(K53:P53))))))"),"")</f>
        <v/>
      </c>
      <c r="R53" s="38" t="str">
        <f ca="1"/>
        <v/>
      </c>
      <c r="S53" s="40" t="b">
        <v>0</v>
      </c>
    </row>
    <row r="54" spans="1:20">
      <c r="A54" s="11" t="str">
        <f ca="1">IFERROR(__xludf.DUMMYFUNCTION("""COMPUTED_VALUE"""),"0706f7ce87c41745bfc91ccdae504a2d")</f>
        <v>0706f7ce87c41745bfc91ccdae504a2d</v>
      </c>
      <c r="B54" s="11" t="str">
        <f ca="1">IFERROR(__xludf.DUMMYFUNCTION("""COMPUTED_VALUE"""),"Young people and adults are entering, staying, and ending partnerships in ways different from previous generations, and education and services must respond to these changes. Young people need services between their first sexual experiences and when they m"&amp;"arry. Services and information should be made available to adults who are separated from their partners or in new partnerships later in life.")</f>
        <v>Young people and adults are entering, staying, and ending partnerships in ways different from previous generations, and education and services must respond to these changes. Young people need services between their first sexual experiences and when they marry. Services and information should be made available to adults who are separated from their partners or in new partnerships later in life.</v>
      </c>
      <c r="C54" s="41"/>
      <c r="D54" s="7" t="b">
        <f t="shared" ref="D54:I54" ca="1" si="156">VLOOKUP($A54, INDIRECT(D$1&amp;"!A:C"), 3, FALSE)</f>
        <v>0</v>
      </c>
      <c r="E54" s="7" t="str">
        <f t="shared" ca="1" si="156"/>
        <v>TO DO</v>
      </c>
      <c r="F54" s="7" t="b">
        <f t="shared" ca="1" si="156"/>
        <v>0</v>
      </c>
      <c r="G54" s="7" t="e">
        <f t="shared" ca="1" si="156"/>
        <v>#REF!</v>
      </c>
      <c r="H54" s="7" t="b">
        <f t="shared" ca="1" si="156"/>
        <v>0</v>
      </c>
      <c r="I54" s="7" t="b">
        <f t="shared" ca="1" si="156"/>
        <v>0</v>
      </c>
      <c r="J54" s="38">
        <f t="shared" ca="1" si="1"/>
        <v>0.8</v>
      </c>
      <c r="K54" s="39">
        <f t="shared" ref="K54:L54" ca="1" si="157">VLOOKUP($A54, INDIRECT(K$1&amp;"!A:D"), 4, FALSE)</f>
        <v>0</v>
      </c>
      <c r="L54" s="39">
        <f t="shared" ca="1" si="157"/>
        <v>0</v>
      </c>
      <c r="M54" s="39"/>
      <c r="N54" s="39" t="e">
        <f t="shared" ref="N54:P54" ca="1" si="158">VLOOKUP($A54, INDIRECT(N$1&amp;"!A:D"), 4, FALSE)</f>
        <v>#REF!</v>
      </c>
      <c r="O54" s="39">
        <f t="shared" ca="1" si="158"/>
        <v>0</v>
      </c>
      <c r="P54" s="39">
        <f t="shared" ca="1" si="158"/>
        <v>0</v>
      </c>
      <c r="Q54" s="38" t="str">
        <f ca="1">IFERROR(__xludf.DUMMYFUNCTION("IF(COUNTA(K54:P54)=0, """", ARRAYFORMULA(""- ""&amp;TEXTJOIN(char(10)&amp;""- "", TRUE, FILTER(K$1:P$1&amp;"": ""&amp;K54:P54, NOT(ISBLANK(K54:P54))))))"),"")</f>
        <v/>
      </c>
      <c r="R54" s="38" t="str">
        <f ca="1"/>
        <v/>
      </c>
      <c r="S54" s="40" t="b">
        <v>0</v>
      </c>
    </row>
    <row r="55" spans="1:20">
      <c r="A55" s="11" t="str">
        <f ca="1">IFERROR(__xludf.DUMMYFUNCTION("""COMPUTED_VALUE"""),"286f12aa673630b72f027f7fe247f721")</f>
        <v>286f12aa673630b72f027f7fe247f721</v>
      </c>
      <c r="B55" s="11" t="str">
        <f ca="1">IFERROR(__xludf.DUMMYFUNCTION("""COMPUTED_VALUE"""),"Several of the goals and targets in the 2030 Agenda for Global Action have a direct bearing on the nexus between trade policy and gender equality (Table 4.2). End hunger, achieve fooc security and improved nutrition and promote sustainable agriculture. St"&amp;"rengthen the means of implementation and revitaii, the global partnership for sustainable development. These data can then be used to inform, develop and monitor government policies and the support development partners provide in promoting gender equality"&amp;" in trade-related issues.")</f>
        <v>Several of the goals and targets in the 2030 Agenda for Global Action have a direct bearing on the nexus between trade policy and gender equality (Table 4.2). End hunger, achieve fooc security and improved nutrition and promote sustainable agriculture. Strengthen the means of implementation and revitaii, the global partnership for sustainable development. These data can then be used to inform, develop and monitor government policies and the support development partners provide in promoting gender equality in trade-related issues.</v>
      </c>
      <c r="C55" s="41"/>
      <c r="D55" s="7" t="b">
        <f t="shared" ref="D55:I55" ca="1" si="159">VLOOKUP($A55, INDIRECT(D$1&amp;"!A:C"), 3, FALSE)</f>
        <v>1</v>
      </c>
      <c r="E55" s="7" t="str">
        <f t="shared" ca="1" si="159"/>
        <v>TO DO</v>
      </c>
      <c r="F55" s="7" t="b">
        <f t="shared" ca="1" si="159"/>
        <v>1</v>
      </c>
      <c r="G55" s="7" t="e">
        <f t="shared" ca="1" si="159"/>
        <v>#REF!</v>
      </c>
      <c r="H55" s="7" t="str">
        <f t="shared" ca="1" si="159"/>
        <v>TO DO</v>
      </c>
      <c r="I55" s="7" t="b">
        <f t="shared" ca="1" si="159"/>
        <v>0</v>
      </c>
      <c r="J55" s="38">
        <f t="shared" ca="1" si="1"/>
        <v>0.25</v>
      </c>
      <c r="K55" s="39">
        <f t="shared" ref="K55:L55" ca="1" si="160">VLOOKUP($A55, INDIRECT(K$1&amp;"!A:D"), 4, FALSE)</f>
        <v>0</v>
      </c>
      <c r="L55" s="39">
        <f t="shared" ca="1" si="160"/>
        <v>0</v>
      </c>
      <c r="M55" s="39"/>
      <c r="N55" s="39" t="e">
        <f t="shared" ref="N55:P55" ca="1" si="161">VLOOKUP($A55, INDIRECT(N$1&amp;"!A:D"), 4, FALSE)</f>
        <v>#REF!</v>
      </c>
      <c r="O55" s="39">
        <f t="shared" ca="1" si="161"/>
        <v>0</v>
      </c>
      <c r="P55" s="39">
        <f t="shared" ca="1" si="161"/>
        <v>0</v>
      </c>
      <c r="Q55" s="38" t="str">
        <f ca="1">IFERROR(__xludf.DUMMYFUNCTION("IF(COUNTA(K55:P55)=0, """", ARRAYFORMULA(""- ""&amp;TEXTJOIN(char(10)&amp;""- "", TRUE, FILTER(K$1:P$1&amp;"": ""&amp;K55:P55, NOT(ISBLANK(K55:P55))))))"),"")</f>
        <v/>
      </c>
      <c r="R55" s="38" t="str">
        <f ca="1"/>
        <v/>
      </c>
      <c r="S55" s="40" t="s">
        <v>449</v>
      </c>
    </row>
    <row r="56" spans="1:20">
      <c r="A56" s="11" t="str">
        <f ca="1">IFERROR(__xludf.DUMMYFUNCTION("""COMPUTED_VALUE"""),"97ccf5345388dc394c601bf6a0dae110")</f>
        <v>97ccf5345388dc394c601bf6a0dae110</v>
      </c>
      <c r="B56" s="11" t="str">
        <f ca="1">IFERROR(__xludf.DUMMYFUNCTION("""COMPUTED_VALUE"""),"For example, several countries have adopted legislation that takes into account changes in family structure, recognizing same-sex marriages (e.g., the Netherlands,’36 Spain’37 and Uruguay’3*)’39 and civic unions between same-sex partners (e.g., Argentina,"&amp;"140 Chile’4’ and Sweden142). Thanks to women’s movements,143 many countries have also adopted or improved legislation to prevent and respond to violence against women. Civil Code, article 30, Book I, reform of 2001.")</f>
        <v>For example, several countries have adopted legislation that takes into account changes in family structure, recognizing same-sex marriages (e.g., the Netherlands,’36 Spain’37 and Uruguay’3*)’39 and civic unions between same-sex partners (e.g., Argentina,140 Chile’4’ and Sweden142). Thanks to women’s movements,143 many countries have also adopted or improved legislation to prevent and respond to violence against women. Civil Code, article 30, Book I, reform of 2001.</v>
      </c>
      <c r="C56" s="7"/>
      <c r="D56" s="7" t="b">
        <f t="shared" ref="D56:I56" ca="1" si="162">VLOOKUP($A56, INDIRECT(D$1&amp;"!A:C"), 3, FALSE)</f>
        <v>0</v>
      </c>
      <c r="E56" s="7" t="str">
        <f t="shared" ca="1" si="162"/>
        <v>TO DO</v>
      </c>
      <c r="F56" s="7" t="b">
        <f t="shared" ca="1" si="162"/>
        <v>0</v>
      </c>
      <c r="G56" s="7" t="e">
        <f t="shared" ca="1" si="162"/>
        <v>#REF!</v>
      </c>
      <c r="H56" s="7" t="b">
        <f t="shared" ca="1" si="162"/>
        <v>0</v>
      </c>
      <c r="I56" s="7" t="b">
        <f t="shared" ca="1" si="162"/>
        <v>0</v>
      </c>
      <c r="J56" s="38">
        <f t="shared" ca="1" si="1"/>
        <v>0.8</v>
      </c>
      <c r="K56" s="39">
        <f t="shared" ref="K56:L56" ca="1" si="163">VLOOKUP($A56, INDIRECT(K$1&amp;"!A:D"), 4, FALSE)</f>
        <v>0</v>
      </c>
      <c r="L56" s="39">
        <f t="shared" ca="1" si="163"/>
        <v>0</v>
      </c>
      <c r="M56" s="39"/>
      <c r="N56" s="39" t="e">
        <f t="shared" ref="N56:P56" ca="1" si="164">VLOOKUP($A56, INDIRECT(N$1&amp;"!A:D"), 4, FALSE)</f>
        <v>#REF!</v>
      </c>
      <c r="O56" s="39">
        <f t="shared" ca="1" si="164"/>
        <v>0</v>
      </c>
      <c r="P56" s="39">
        <f t="shared" ca="1" si="164"/>
        <v>0</v>
      </c>
      <c r="Q56" s="38" t="str">
        <f ca="1">IFERROR(__xludf.DUMMYFUNCTION("IF(COUNTA(K56:P56)=0, """", ARRAYFORMULA(""- ""&amp;TEXTJOIN(char(10)&amp;""- "", TRUE, FILTER(K$1:P$1&amp;"": ""&amp;K56:P56, NOT(ISBLANK(K56:P56))))))"),"")</f>
        <v/>
      </c>
      <c r="R56" s="38" t="str">
        <f ca="1"/>
        <v/>
      </c>
      <c r="S56" s="40" t="b">
        <v>0</v>
      </c>
    </row>
    <row r="57" spans="1:20">
      <c r="A57" s="11" t="str">
        <f ca="1">IFERROR(__xludf.DUMMYFUNCTION("""COMPUTED_VALUE"""),"a5b0f691bf38ae1ba9b11ce474551016")</f>
        <v>a5b0f691bf38ae1ba9b11ce474551016</v>
      </c>
      <c r="B57" s="11" t="str">
        <f ca="1">IFERROR(__xludf.DUMMYFUNCTION("""COMPUTED_VALUE"""),"Delivering on SDG 14 requires teamwork and a spirit of partnership among diverse stakeholders from many nations and sectors. The oceans cover almost three quarters of the Earth’s surface, storing one third of all the carbon emissions stemming from human a"&amp;"ctivity. They are part of the solution, and we must make them a key focus of our efforts to cope with and mitigate climate change.")</f>
        <v>Delivering on SDG 14 requires teamwork and a spirit of partnership among diverse stakeholders from many nations and sectors. The oceans cover almost three quarters of the Earth’s surface, storing one third of all the carbon emissions stemming from human activity. They are part of the solution, and we must make them a key focus of our efforts to cope with and mitigate climate change.</v>
      </c>
      <c r="C57" s="7"/>
      <c r="D57" s="7" t="b">
        <f t="shared" ref="D57:I57" ca="1" si="165">VLOOKUP($A57, INDIRECT(D$1&amp;"!A:C"), 3, FALSE)</f>
        <v>1</v>
      </c>
      <c r="E57" s="7" t="str">
        <f t="shared" ca="1" si="165"/>
        <v>TO DO</v>
      </c>
      <c r="F57" s="7" t="b">
        <f t="shared" ca="1" si="165"/>
        <v>0</v>
      </c>
      <c r="G57" s="7" t="e">
        <f t="shared" ca="1" si="165"/>
        <v>#REF!</v>
      </c>
      <c r="H57" s="7" t="str">
        <f t="shared" ca="1" si="165"/>
        <v>TO DO</v>
      </c>
      <c r="I57" s="7" t="b">
        <f t="shared" ca="1" si="165"/>
        <v>1</v>
      </c>
      <c r="J57" s="38">
        <f t="shared" ca="1" si="1"/>
        <v>0.25</v>
      </c>
      <c r="K57" s="39">
        <f t="shared" ref="K57:L57" ca="1" si="166">VLOOKUP($A57, INDIRECT(K$1&amp;"!A:D"), 4, FALSE)</f>
        <v>0</v>
      </c>
      <c r="L57" s="39">
        <f t="shared" ca="1" si="166"/>
        <v>0</v>
      </c>
      <c r="M57" s="39"/>
      <c r="N57" s="39" t="e">
        <f t="shared" ref="N57:P57" ca="1" si="167">VLOOKUP($A57, INDIRECT(N$1&amp;"!A:D"), 4, FALSE)</f>
        <v>#REF!</v>
      </c>
      <c r="O57" s="39">
        <f t="shared" ca="1" si="167"/>
        <v>0</v>
      </c>
      <c r="P57" s="39" t="str">
        <f t="shared" ca="1" si="167"/>
        <v>partnerships</v>
      </c>
      <c r="Q57" s="38" t="str">
        <f ca="1">IFERROR(__xludf.DUMMYFUNCTION("IF(COUNTA(K57:P57)=0, """", ARRAYFORMULA(""- ""&amp;TEXTJOIN(char(10)&amp;""- "", TRUE, FILTER(K$1:P$1&amp;"": ""&amp;K57:P57, NOT(ISBLANK(K57:P57))))))"),"- Steve: partnerships")</f>
        <v>- Steve: partnerships</v>
      </c>
      <c r="R57" s="38" t="str">
        <f ca="1"/>
        <v>- Steve: partnerships</v>
      </c>
      <c r="S57" s="40" t="s">
        <v>449</v>
      </c>
    </row>
    <row r="58" spans="1:20">
      <c r="A58" s="11" t="str">
        <f ca="1">IFERROR(__xludf.DUMMYFUNCTION("""COMPUTED_VALUE"""),"00defece7fdb7a55891994903a193734")</f>
        <v>00defece7fdb7a55891994903a193734</v>
      </c>
      <c r="B58" s="11" t="str">
        <f ca="1">IFERROR(__xludf.DUMMYFUNCTION("""COMPUTED_VALUE"""),"Information and transaction costs include obstacles that firms have to overcome in order to search for trading partners, acquiring information about tastes, regulations and technical requirements, and enforcing contracts. World Bank-ESCAP database on Inte"&amp;"rnational trade costs. Each time series is standardized to 100 at the beginning of the sample period.")</f>
        <v>Information and transaction costs include obstacles that firms have to overcome in order to search for trading partners, acquiring information about tastes, regulations and technical requirements, and enforcing contracts. World Bank-ESCAP database on International trade costs. Each time series is standardized to 100 at the beginning of the sample period.</v>
      </c>
      <c r="C58" s="7"/>
      <c r="D58" s="7" t="b">
        <f t="shared" ref="D58:I58" ca="1" si="168">VLOOKUP($A58, INDIRECT(D$1&amp;"!A:C"), 3, FALSE)</f>
        <v>0</v>
      </c>
      <c r="E58" s="7" t="str">
        <f t="shared" ca="1" si="168"/>
        <v>TO DO</v>
      </c>
      <c r="F58" s="7" t="b">
        <f t="shared" ca="1" si="168"/>
        <v>0</v>
      </c>
      <c r="G58" s="7" t="e">
        <f t="shared" ca="1" si="168"/>
        <v>#REF!</v>
      </c>
      <c r="H58" s="7" t="b">
        <f t="shared" ca="1" si="168"/>
        <v>0</v>
      </c>
      <c r="I58" s="7" t="b">
        <f t="shared" ca="1" si="168"/>
        <v>0</v>
      </c>
      <c r="J58" s="38">
        <f t="shared" ca="1" si="1"/>
        <v>0.8</v>
      </c>
      <c r="K58" s="39">
        <f t="shared" ref="K58:L58" ca="1" si="169">VLOOKUP($A58, INDIRECT(K$1&amp;"!A:D"), 4, FALSE)</f>
        <v>0</v>
      </c>
      <c r="L58" s="39">
        <f t="shared" ca="1" si="169"/>
        <v>0</v>
      </c>
      <c r="M58" s="39"/>
      <c r="N58" s="39" t="e">
        <f t="shared" ref="N58:P58" ca="1" si="170">VLOOKUP($A58, INDIRECT(N$1&amp;"!A:D"), 4, FALSE)</f>
        <v>#REF!</v>
      </c>
      <c r="O58" s="39">
        <f t="shared" ca="1" si="170"/>
        <v>0</v>
      </c>
      <c r="P58" s="39">
        <f t="shared" ca="1" si="170"/>
        <v>0</v>
      </c>
      <c r="Q58" s="38" t="str">
        <f ca="1">IFERROR(__xludf.DUMMYFUNCTION("IF(COUNTA(K58:P58)=0, """", ARRAYFORMULA(""- ""&amp;TEXTJOIN(char(10)&amp;""- "", TRUE, FILTER(K$1:P$1&amp;"": ""&amp;K58:P58, NOT(ISBLANK(K58:P58))))))"),"")</f>
        <v/>
      </c>
      <c r="R58" s="38" t="str">
        <f ca="1"/>
        <v/>
      </c>
      <c r="S58" s="40" t="b">
        <v>0</v>
      </c>
    </row>
    <row r="59" spans="1:20">
      <c r="A59" s="11" t="str">
        <f ca="1">IFERROR(__xludf.DUMMYFUNCTION("""COMPUTED_VALUE"""),"03e4a6dde7176e5c9f4fd24941db7652")</f>
        <v>03e4a6dde7176e5c9f4fd24941db7652</v>
      </c>
      <c r="B59" s="11" t="str">
        <f ca="1">IFERROR(__xludf.DUMMYFUNCTION("""COMPUTED_VALUE"""),"Journal of Marriage and the Family, 131-146. Gender &amp; Development, 23(2), 279-297. Intimate partner violence: causes and prevention. The Lancet', 359:1423-29. Relationship between alcohol-attributable disease and socioeconomic status, and the role of alco"&amp;"hol consumption in this relationship: a systematic review and meta-analysis. Psychology of Violence (in press).")</f>
        <v>Journal of Marriage and the Family, 131-146. Gender &amp; Development, 23(2), 279-297. Intimate partner violence: causes and prevention. The Lancet', 359:1423-29. Relationship between alcohol-attributable disease and socioeconomic status, and the role of alcohol consumption in this relationship: a systematic review and meta-analysis. Psychology of Violence (in press).</v>
      </c>
      <c r="C59" s="41"/>
      <c r="D59" s="7" t="b">
        <f t="shared" ref="D59:I59" ca="1" si="171">VLOOKUP($A59, INDIRECT(D$1&amp;"!A:C"), 3, FALSE)</f>
        <v>0</v>
      </c>
      <c r="E59" s="7" t="str">
        <f t="shared" ca="1" si="171"/>
        <v>TO DO</v>
      </c>
      <c r="F59" s="7" t="b">
        <f t="shared" ca="1" si="171"/>
        <v>0</v>
      </c>
      <c r="G59" s="7" t="e">
        <f t="shared" ca="1" si="171"/>
        <v>#REF!</v>
      </c>
      <c r="H59" s="7" t="b">
        <f t="shared" ca="1" si="171"/>
        <v>0</v>
      </c>
      <c r="I59" s="7" t="b">
        <f t="shared" ca="1" si="171"/>
        <v>0</v>
      </c>
      <c r="J59" s="38">
        <f t="shared" ca="1" si="1"/>
        <v>0.8</v>
      </c>
      <c r="K59" s="39">
        <f t="shared" ref="K59:L59" ca="1" si="172">VLOOKUP($A59, INDIRECT(K$1&amp;"!A:D"), 4, FALSE)</f>
        <v>0</v>
      </c>
      <c r="L59" s="39">
        <f t="shared" ca="1" si="172"/>
        <v>0</v>
      </c>
      <c r="M59" s="39"/>
      <c r="N59" s="39" t="e">
        <f t="shared" ref="N59:P59" ca="1" si="173">VLOOKUP($A59, INDIRECT(N$1&amp;"!A:D"), 4, FALSE)</f>
        <v>#REF!</v>
      </c>
      <c r="O59" s="39">
        <f t="shared" ca="1" si="173"/>
        <v>0</v>
      </c>
      <c r="P59" s="39">
        <f t="shared" ca="1" si="173"/>
        <v>0</v>
      </c>
      <c r="Q59" s="38" t="str">
        <f ca="1">IFERROR(__xludf.DUMMYFUNCTION("IF(COUNTA(K59:P59)=0, """", ARRAYFORMULA(""- ""&amp;TEXTJOIN(char(10)&amp;""- "", TRUE, FILTER(K$1:P$1&amp;"": ""&amp;K59:P59, NOT(ISBLANK(K59:P59))))))"),"")</f>
        <v/>
      </c>
      <c r="R59" s="38" t="str">
        <f ca="1"/>
        <v/>
      </c>
      <c r="S59" s="40" t="b">
        <v>0</v>
      </c>
    </row>
    <row r="60" spans="1:20">
      <c r="A60" s="11" t="str">
        <f ca="1">IFERROR(__xludf.DUMMYFUNCTION("""COMPUTED_VALUE"""),"c9ba891fc2360ed296043c2ccee4bf09")</f>
        <v>c9ba891fc2360ed296043c2ccee4bf09</v>
      </c>
      <c r="B60" s="11" t="str">
        <f ca="1">IFERROR(__xludf.DUMMYFUNCTION("""COMPUTED_VALUE"""),"Moreover, there is a poor record of civil society participation and partnership in the implementation of plans and strategies that exist to support cultural and heritage preservation. For cities, culture appears as an economic asset, a social good and a p"&amp;"roductive and dynamic process that undergoes continuous change.*"" Many cities around the world contain a historical core with various forms of cultural and natural heritage that have resisted forces of urbanization and modernization.")</f>
        <v>Moreover, there is a poor record of civil society participation and partnership in the implementation of plans and strategies that exist to support cultural and heritage preservation. For cities, culture appears as an economic asset, a social good and a productive and dynamic process that undergoes continuous change.*" Many cities around the world contain a historical core with various forms of cultural and natural heritage that have resisted forces of urbanization and modernization.</v>
      </c>
      <c r="C60" s="7" t="s">
        <v>450</v>
      </c>
      <c r="D60" s="7" t="b">
        <f t="shared" ref="D60:I60" ca="1" si="174">VLOOKUP($A60, INDIRECT(D$1&amp;"!A:C"), 3, FALSE)</f>
        <v>1</v>
      </c>
      <c r="E60" s="7" t="str">
        <f t="shared" ca="1" si="174"/>
        <v>TO DO</v>
      </c>
      <c r="F60" s="7" t="b">
        <f t="shared" ca="1" si="174"/>
        <v>0</v>
      </c>
      <c r="G60" s="7" t="e">
        <f t="shared" ca="1" si="174"/>
        <v>#REF!</v>
      </c>
      <c r="H60" s="7" t="b">
        <f t="shared" ca="1" si="174"/>
        <v>0</v>
      </c>
      <c r="I60" s="7" t="b">
        <f t="shared" ca="1" si="174"/>
        <v>0</v>
      </c>
      <c r="J60" s="38">
        <f t="shared" ca="1" si="1"/>
        <v>0.4</v>
      </c>
      <c r="K60" s="39">
        <f t="shared" ref="K60:L60" ca="1" si="175">VLOOKUP($A60, INDIRECT(K$1&amp;"!A:D"), 4, FALSE)</f>
        <v>0</v>
      </c>
      <c r="L60" s="39">
        <f t="shared" ca="1" si="175"/>
        <v>0</v>
      </c>
      <c r="M60" s="39"/>
      <c r="N60" s="39" t="e">
        <f t="shared" ref="N60:P60" ca="1" si="176">VLOOKUP($A60, INDIRECT(N$1&amp;"!A:D"), 4, FALSE)</f>
        <v>#REF!</v>
      </c>
      <c r="O60" s="39">
        <f t="shared" ca="1" si="176"/>
        <v>0</v>
      </c>
      <c r="P60" s="39">
        <f t="shared" ca="1" si="176"/>
        <v>0</v>
      </c>
      <c r="Q60" s="38" t="str">
        <f ca="1">IFERROR(__xludf.DUMMYFUNCTION("IF(COUNTA(K60:P60)=0, """", ARRAYFORMULA(""- ""&amp;TEXTJOIN(char(10)&amp;""- "", TRUE, FILTER(K$1:P$1&amp;"": ""&amp;K60:P60, NOT(ISBLANK(K60:P60))))))"),"")</f>
        <v/>
      </c>
      <c r="R60" s="38" t="str">
        <f ca="1"/>
        <v/>
      </c>
      <c r="S60" s="40" t="s">
        <v>449</v>
      </c>
    </row>
    <row r="61" spans="1:20">
      <c r="A61" s="11" t="str">
        <f ca="1">IFERROR(__xludf.DUMMYFUNCTION("""COMPUTED_VALUE"""),"fe4b55f8505c4d4dc6f3e64707fa4516")</f>
        <v>fe4b55f8505c4d4dc6f3e64707fa4516</v>
      </c>
      <c r="B61" s="11" t="str">
        <f ca="1">IFERROR(__xludf.DUMMYFUNCTION("""COMPUTED_VALUE"""),"The chapter traces the development of the international response to the pandemic of HIV/AIDS from the designation of the World Health Organization (WHO) as “lead agency” in the late 1980s to the emergence of a variety of public-private partnerships from t"&amp;"he 1990s onwards. This trajectory is related to general trends in global public health governance. Existing partnerships in the field of HIV/AIDS are described and typified. Finally, the legitimacy and democratic qualities of today’s global governance arr"&amp;"angements in the fight against AIDS are discussed in terms of coordination, representation and accountability.")</f>
        <v>The chapter traces the development of the international response to the pandemic of HIV/AIDS from the designation of the World Health Organization (WHO) as “lead agency” in the late 1980s to the emergence of a variety of public-private partnerships from the 1990s onwards. This trajectory is related to general trends in global public health governance. Existing partnerships in the field of HIV/AIDS are described and typified. Finally, the legitimacy and democratic qualities of today’s global governance arrangements in the fight against AIDS are discussed in terms of coordination, representation and accountability.</v>
      </c>
      <c r="C61" s="41"/>
      <c r="D61" s="7" t="b">
        <f t="shared" ref="D61:I61" ca="1" si="177">VLOOKUP($A61, INDIRECT(D$1&amp;"!A:C"), 3, FALSE)</f>
        <v>1</v>
      </c>
      <c r="E61" s="7" t="str">
        <f t="shared" ca="1" si="177"/>
        <v>TO DO</v>
      </c>
      <c r="F61" s="7" t="b">
        <f t="shared" ca="1" si="177"/>
        <v>0</v>
      </c>
      <c r="G61" s="7" t="e">
        <f t="shared" ca="1" si="177"/>
        <v>#REF!</v>
      </c>
      <c r="H61" s="7" t="b">
        <f t="shared" ca="1" si="177"/>
        <v>1</v>
      </c>
      <c r="I61" s="7" t="b">
        <f t="shared" ca="1" si="177"/>
        <v>0</v>
      </c>
      <c r="J61" s="38">
        <f t="shared" ca="1" si="1"/>
        <v>0</v>
      </c>
      <c r="K61" s="39">
        <f t="shared" ref="K61:L61" ca="1" si="178">VLOOKUP($A61, INDIRECT(K$1&amp;"!A:D"), 4, FALSE)</f>
        <v>0</v>
      </c>
      <c r="L61" s="39">
        <f t="shared" ca="1" si="178"/>
        <v>0</v>
      </c>
      <c r="M61" s="39"/>
      <c r="N61" s="39" t="e">
        <f t="shared" ref="N61:P61" ca="1" si="179">VLOOKUP($A61, INDIRECT(N$1&amp;"!A:D"), 4, FALSE)</f>
        <v>#REF!</v>
      </c>
      <c r="O61" s="39">
        <f t="shared" ca="1" si="179"/>
        <v>0</v>
      </c>
      <c r="P61" s="39">
        <f t="shared" ca="1" si="179"/>
        <v>0</v>
      </c>
      <c r="Q61" s="38" t="str">
        <f ca="1">IFERROR(__xludf.DUMMYFUNCTION("IF(COUNTA(K61:P61)=0, """", ARRAYFORMULA(""- ""&amp;TEXTJOIN(char(10)&amp;""- "", TRUE, FILTER(K$1:P$1&amp;"": ""&amp;K61:P61, NOT(ISBLANK(K61:P61))))))"),"")</f>
        <v/>
      </c>
      <c r="R61" s="38" t="str">
        <f ca="1"/>
        <v/>
      </c>
      <c r="S61" s="40" t="s">
        <v>449</v>
      </c>
    </row>
    <row r="62" spans="1:20">
      <c r="A62" s="11" t="str">
        <f ca="1">IFERROR(__xludf.DUMMYFUNCTION("""COMPUTED_VALUE"""),"22bc84c637e02ea9eb996181bf505b3e")</f>
        <v>22bc84c637e02ea9eb996181bf505b3e</v>
      </c>
      <c r="B62" s="11" t="str">
        <f ca="1">IFERROR(__xludf.DUMMYFUNCTION("""COMPUTED_VALUE"""),"Regular household surveys are not yet undertaken in many countries, especially LDCs, and do not always follow the same guidelines for data gathering on ICTs. The rapid pace of change in technology and markets also affects the comparability of data, so tha"&amp;"t targets and indicators need to be kept under review and updated from time to time to meet changing data availability and policy requirements. More attention also needs to be addressed to building the capacity of national statistical offices and others c"&amp;"oncerned with data gathering and analysis.")</f>
        <v>Regular household surveys are not yet undertaken in many countries, especially LDCs, and do not always follow the same guidelines for data gathering on ICTs. The rapid pace of change in technology and markets also affects the comparability of data, so that targets and indicators need to be kept under review and updated from time to time to meet changing data availability and policy requirements. More attention also needs to be addressed to building the capacity of national statistical offices and others concerned with data gathering and analysis.</v>
      </c>
      <c r="C62" s="41"/>
      <c r="D62" s="7" t="b">
        <f t="shared" ref="D62:I62" ca="1" si="180">VLOOKUP($A62, INDIRECT(D$1&amp;"!A:C"), 3, FALSE)</f>
        <v>1</v>
      </c>
      <c r="E62" s="7" t="str">
        <f t="shared" ca="1" si="180"/>
        <v>TO DO</v>
      </c>
      <c r="F62" s="7" t="b">
        <f t="shared" ca="1" si="180"/>
        <v>1</v>
      </c>
      <c r="G62" s="7" t="e">
        <f t="shared" ca="1" si="180"/>
        <v>#REF!</v>
      </c>
      <c r="H62" s="7" t="b">
        <f t="shared" ca="1" si="180"/>
        <v>1</v>
      </c>
      <c r="I62" s="7" t="b">
        <f t="shared" ca="1" si="180"/>
        <v>1</v>
      </c>
      <c r="J62" s="38">
        <f t="shared" ca="1" si="1"/>
        <v>0.8</v>
      </c>
      <c r="K62" s="39">
        <f t="shared" ref="K62:L62" ca="1" si="181">VLOOKUP($A62, INDIRECT(K$1&amp;"!A:D"), 4, FALSE)</f>
        <v>0</v>
      </c>
      <c r="L62" s="39">
        <f t="shared" ca="1" si="181"/>
        <v>0</v>
      </c>
      <c r="M62" s="39"/>
      <c r="N62" s="39" t="e">
        <f t="shared" ref="N62:P62" ca="1" si="182">VLOOKUP($A62, INDIRECT(N$1&amp;"!A:D"), 4, FALSE)</f>
        <v>#REF!</v>
      </c>
      <c r="O62" s="39">
        <f t="shared" ca="1" si="182"/>
        <v>0</v>
      </c>
      <c r="P62" s="39">
        <f t="shared" ca="1" si="182"/>
        <v>0</v>
      </c>
      <c r="Q62" s="38" t="str">
        <f ca="1">IFERROR(__xludf.DUMMYFUNCTION("IF(COUNTA(K62:P62)=0, """", ARRAYFORMULA(""- ""&amp;TEXTJOIN(char(10)&amp;""- "", TRUE, FILTER(K$1:P$1&amp;"": ""&amp;K62:P62, NOT(ISBLANK(K62:P62))))))"),"")</f>
        <v/>
      </c>
      <c r="R62" s="38" t="str">
        <f ca="1"/>
        <v/>
      </c>
      <c r="S62" s="40" t="b">
        <v>1</v>
      </c>
    </row>
    <row r="63" spans="1:20">
      <c r="A63" s="11" t="str">
        <f ca="1">IFERROR(__xludf.DUMMYFUNCTION("""COMPUTED_VALUE"""),"693d90b8de8af9a2e02231644a613426")</f>
        <v>693d90b8de8af9a2e02231644a613426</v>
      </c>
      <c r="B63" s="11" t="str">
        <f ca="1">IFERROR(__xludf.DUMMYFUNCTION("""COMPUTED_VALUE"""),"Between 2013 and 2035, this investment would avert an estimated 147 million child deaths, 32 million stillborn deaths and 5 million maternal deaths. Yet more than 100 developing countries lack the civil registration and vital statistics (CRVS) systems nee"&amp;"ded to generate accurate birth and death data. That figure includes 39 per cent of children in sub-Saharan Africa and 44 per cent of children in South Asia. In the absence of reliable data, estimates for child mortality in countries lacking CRVS systems a"&amp;"re based on a sophisticated statistical model using survey responses, census information and other sources.")</f>
        <v>Between 2013 and 2035, this investment would avert an estimated 147 million child deaths, 32 million stillborn deaths and 5 million maternal deaths. Yet more than 100 developing countries lack the civil registration and vital statistics (CRVS) systems needed to generate accurate birth and death data. That figure includes 39 per cent of children in sub-Saharan Africa and 44 per cent of children in South Asia. In the absence of reliable data, estimates for child mortality in countries lacking CRVS systems are based on a sophisticated statistical model using survey responses, census information and other sources.</v>
      </c>
      <c r="C63" s="7" t="s">
        <v>450</v>
      </c>
      <c r="D63" s="7" t="b">
        <f t="shared" ref="D63:I63" ca="1" si="183">VLOOKUP($A63, INDIRECT(D$1&amp;"!A:C"), 3, FALSE)</f>
        <v>1</v>
      </c>
      <c r="E63" s="7" t="str">
        <f t="shared" ca="1" si="183"/>
        <v>TO DO</v>
      </c>
      <c r="F63" s="7" t="b">
        <f t="shared" ca="1" si="183"/>
        <v>0</v>
      </c>
      <c r="G63" s="7" t="e">
        <f t="shared" ca="1" si="183"/>
        <v>#REF!</v>
      </c>
      <c r="H63" s="7" t="b">
        <f t="shared" ca="1" si="183"/>
        <v>0</v>
      </c>
      <c r="I63" s="7" t="b">
        <f t="shared" ca="1" si="183"/>
        <v>0</v>
      </c>
      <c r="J63" s="38">
        <f t="shared" ca="1" si="1"/>
        <v>0.4</v>
      </c>
      <c r="K63" s="39">
        <f t="shared" ref="K63:L63" ca="1" si="184">VLOOKUP($A63, INDIRECT(K$1&amp;"!A:D"), 4, FALSE)</f>
        <v>0</v>
      </c>
      <c r="L63" s="39">
        <f t="shared" ca="1" si="184"/>
        <v>0</v>
      </c>
      <c r="M63" s="39"/>
      <c r="N63" s="39" t="e">
        <f t="shared" ref="N63:P63" ca="1" si="185">VLOOKUP($A63, INDIRECT(N$1&amp;"!A:D"), 4, FALSE)</f>
        <v>#REF!</v>
      </c>
      <c r="O63" s="39">
        <f t="shared" ca="1" si="185"/>
        <v>0</v>
      </c>
      <c r="P63" s="39" t="str">
        <f t="shared" ca="1" si="185"/>
        <v>SDG 16</v>
      </c>
      <c r="Q63" s="38" t="str">
        <f ca="1">IFERROR(__xludf.DUMMYFUNCTION("IF(COUNTA(K63:P63)=0, """", ARRAYFORMULA(""- ""&amp;TEXTJOIN(char(10)&amp;""- "", TRUE, FILTER(K$1:P$1&amp;"": ""&amp;K63:P63, NOT(ISBLANK(K63:P63))))))"),"- Steve: SDG 16")</f>
        <v>- Steve: SDG 16</v>
      </c>
      <c r="R63" s="38" t="str">
        <f ca="1"/>
        <v>- Steve: SDG 16</v>
      </c>
      <c r="S63" s="40" t="b">
        <v>0</v>
      </c>
      <c r="T63" s="5" t="s">
        <v>461</v>
      </c>
    </row>
    <row r="64" spans="1:20">
      <c r="A64" s="11" t="str">
        <f ca="1">IFERROR(__xludf.DUMMYFUNCTION("""COMPUTED_VALUE"""),"a09de162ef33c868b943d5a8fa2343b3")</f>
        <v>a09de162ef33c868b943d5a8fa2343b3</v>
      </c>
      <c r="B64" s="11" t="str">
        <f ca="1">IFERROR(__xludf.DUMMYFUNCTION("""COMPUTED_VALUE"""),"The most recent data compiled by UNICEF (2013) shows that in 82 out of 95 developing countries for which data are available the prevalence of child underweight is higher in rural areas than in urban areas. Guha-Khasnobis and James (2010) found a prevalenc"&amp;"e of adult underweight of around 23 percent in the slum areas of eight Indian cities, while the prevalence in rural areas in the same states was close to 40 percent. It is technically a form of undernutrition (UNSCN, 2010), but is often referred to separa"&amp;"tely because it can coexist with adequate or excessive consumption of macronutrients and carries health consequences that are distinct from those associated with stunting.")</f>
        <v>The most recent data compiled by UNICEF (2013) shows that in 82 out of 95 developing countries for which data are available the prevalence of child underweight is higher in rural areas than in urban areas. Guha-Khasnobis and James (2010) found a prevalence of adult underweight of around 23 percent in the slum areas of eight Indian cities, while the prevalence in rural areas in the same states was close to 40 percent. It is technically a form of undernutrition (UNSCN, 2010), but is often referred to separately because it can coexist with adequate or excessive consumption of macronutrients and carries health consequences that are distinct from those associated with stunting.</v>
      </c>
      <c r="C64" s="7"/>
      <c r="D64" s="7" t="b">
        <f t="shared" ref="D64:I64" ca="1" si="186">VLOOKUP($A64, INDIRECT(D$1&amp;"!A:C"), 3, FALSE)</f>
        <v>0</v>
      </c>
      <c r="E64" s="7" t="str">
        <f t="shared" ca="1" si="186"/>
        <v>TO DO</v>
      </c>
      <c r="F64" s="7" t="b">
        <f t="shared" ca="1" si="186"/>
        <v>0</v>
      </c>
      <c r="G64" s="7" t="e">
        <f t="shared" ca="1" si="186"/>
        <v>#REF!</v>
      </c>
      <c r="H64" s="7" t="str">
        <f t="shared" ca="1" si="186"/>
        <v>TO DO</v>
      </c>
      <c r="I64" s="7" t="b">
        <f t="shared" ca="1" si="186"/>
        <v>0</v>
      </c>
      <c r="J64" s="38">
        <f t="shared" ca="1" si="1"/>
        <v>0.75</v>
      </c>
      <c r="K64" s="39">
        <f t="shared" ref="K64:L64" ca="1" si="187">VLOOKUP($A64, INDIRECT(K$1&amp;"!A:D"), 4, FALSE)</f>
        <v>0</v>
      </c>
      <c r="L64" s="39">
        <f t="shared" ca="1" si="187"/>
        <v>0</v>
      </c>
      <c r="M64" s="39"/>
      <c r="N64" s="39" t="e">
        <f t="shared" ref="N64:P64" ca="1" si="188">VLOOKUP($A64, INDIRECT(N$1&amp;"!A:D"), 4, FALSE)</f>
        <v>#REF!</v>
      </c>
      <c r="O64" s="39">
        <f t="shared" ca="1" si="188"/>
        <v>0</v>
      </c>
      <c r="P64" s="39">
        <f t="shared" ca="1" si="188"/>
        <v>0</v>
      </c>
      <c r="Q64" s="38" t="str">
        <f ca="1">IFERROR(__xludf.DUMMYFUNCTION("IF(COUNTA(K64:P64)=0, """", ARRAYFORMULA(""- ""&amp;TEXTJOIN(char(10)&amp;""- "", TRUE, FILTER(K$1:P$1&amp;"": ""&amp;K64:P64, NOT(ISBLANK(K64:P64))))))"),"")</f>
        <v/>
      </c>
      <c r="R64" s="38" t="str">
        <f ca="1"/>
        <v/>
      </c>
      <c r="S64" s="40" t="b">
        <v>0</v>
      </c>
    </row>
    <row r="65" spans="1:20">
      <c r="A65" s="11" t="str">
        <f ca="1">IFERROR(__xludf.DUMMYFUNCTION("""COMPUTED_VALUE"""),"c143c038ae310e7c5d15d9f7d7cfbce1")</f>
        <v>c143c038ae310e7c5d15d9f7d7cfbce1</v>
      </c>
      <c r="B65" s="11" t="str">
        <f ca="1">IFERROR(__xludf.DUMMYFUNCTION("""COMPUTED_VALUE"""),"If the capacity of national data centers is limited, storage and cloud computing applications will be located abroad, adding to the need and subsequent costs of international bandwidth as well as increasing dependency on external networks over which there"&amp;" is no control. See: Alaerds et al. This section reviews domain name developments among LDCs. It explores the important benefit that can accrue for LDCs by bundling domain names with local web hosting to build up the national Internet ecosystem, develop s"&amp;"kills and generate employment.")</f>
        <v>If the capacity of national data centers is limited, storage and cloud computing applications will be located abroad, adding to the need and subsequent costs of international bandwidth as well as increasing dependency on external networks over which there is no control. See: Alaerds et al. This section reviews domain name developments among LDCs. It explores the important benefit that can accrue for LDCs by bundling domain names with local web hosting to build up the national Internet ecosystem, develop skills and generate employment.</v>
      </c>
      <c r="C65" s="7"/>
      <c r="D65" s="7" t="b">
        <f t="shared" ref="D65:I65" ca="1" si="189">VLOOKUP($A65, INDIRECT(D$1&amp;"!A:C"), 3, FALSE)</f>
        <v>0</v>
      </c>
      <c r="E65" s="7" t="str">
        <f t="shared" ca="1" si="189"/>
        <v>TO DO</v>
      </c>
      <c r="F65" s="7" t="b">
        <f t="shared" ca="1" si="189"/>
        <v>1</v>
      </c>
      <c r="G65" s="7" t="e">
        <f t="shared" ca="1" si="189"/>
        <v>#REF!</v>
      </c>
      <c r="H65" s="7" t="str">
        <f t="shared" ca="1" si="189"/>
        <v>TO DO</v>
      </c>
      <c r="I65" s="7" t="b">
        <f t="shared" ca="1" si="189"/>
        <v>1</v>
      </c>
      <c r="J65" s="38">
        <f t="shared" ca="1" si="1"/>
        <v>0.25</v>
      </c>
      <c r="K65" s="39">
        <f t="shared" ref="K65:L65" ca="1" si="190">VLOOKUP($A65, INDIRECT(K$1&amp;"!A:D"), 4, FALSE)</f>
        <v>0</v>
      </c>
      <c r="L65" s="39">
        <f t="shared" ca="1" si="190"/>
        <v>0</v>
      </c>
      <c r="M65" s="39"/>
      <c r="N65" s="39" t="e">
        <f t="shared" ref="N65:P65" ca="1" si="191">VLOOKUP($A65, INDIRECT(N$1&amp;"!A:D"), 4, FALSE)</f>
        <v>#REF!</v>
      </c>
      <c r="O65" s="39">
        <f t="shared" ca="1" si="191"/>
        <v>0</v>
      </c>
      <c r="P65" s="39">
        <f t="shared" ca="1" si="191"/>
        <v>17.8</v>
      </c>
      <c r="Q65" s="38" t="str">
        <f ca="1">IFERROR(__xludf.DUMMYFUNCTION("IF(COUNTA(K65:P65)=0, """", ARRAYFORMULA(""- ""&amp;TEXTJOIN(char(10)&amp;""- "", TRUE, FILTER(K$1:P$1&amp;"": ""&amp;K65:P65, NOT(ISBLANK(K65:P65))))))"),"- Steve: 17.8")</f>
        <v>- Steve: 17.8</v>
      </c>
      <c r="R65" s="38" t="str">
        <f ca="1"/>
        <v>- Steve: 17.8</v>
      </c>
      <c r="S65" s="40" t="s">
        <v>449</v>
      </c>
    </row>
    <row r="66" spans="1:20">
      <c r="A66" s="11" t="str">
        <f ca="1">IFERROR(__xludf.DUMMYFUNCTION("""COMPUTED_VALUE"""),"009408d19e771891fcce817c7c7316db")</f>
        <v>009408d19e771891fcce817c7c7316db</v>
      </c>
      <c r="B66" s="11" t="str">
        <f ca="1">IFERROR(__xludf.DUMMYFUNCTION("""COMPUTED_VALUE"""),"Following their concerns that physicians across the Japanese health system were not able to identify signs of psychological distress which could help reduce suicide, the Japanese Medical Association reports that they began sharing information and guidance"&amp;" on depression with all doctors, first in 2004 and then again in 2009. At present, only indicators on the rate of seclusion and restraint, and involuntary admission, are collected by providers and at a Prefectural level. Systematically collected informati"&amp;"on on the mental health care system is limited to structural indicators - facilities, staff numbers, bed numbers.")</f>
        <v>Following their concerns that physicians across the Japanese health system were not able to identify signs of psychological distress which could help reduce suicide, the Japanese Medical Association reports that they began sharing information and guidance on depression with all doctors, first in 2004 and then again in 2009. At present, only indicators on the rate of seclusion and restraint, and involuntary admission, are collected by providers and at a Prefectural level. Systematically collected information on the mental health care system is limited to structural indicators - facilities, staff numbers, bed numbers.</v>
      </c>
      <c r="C66" s="41"/>
      <c r="D66" s="7" t="b">
        <f t="shared" ref="D66:I66" ca="1" si="192">VLOOKUP($A66, INDIRECT(D$1&amp;"!A:C"), 3, FALSE)</f>
        <v>0</v>
      </c>
      <c r="E66" s="7" t="str">
        <f t="shared" ca="1" si="192"/>
        <v>TO DO</v>
      </c>
      <c r="F66" s="7" t="b">
        <f t="shared" ca="1" si="192"/>
        <v>0</v>
      </c>
      <c r="G66" s="7" t="e">
        <f t="shared" ca="1" si="192"/>
        <v>#REF!</v>
      </c>
      <c r="H66" s="7" t="str">
        <f t="shared" ca="1" si="192"/>
        <v>TO DO</v>
      </c>
      <c r="I66" s="7" t="b">
        <f t="shared" ca="1" si="192"/>
        <v>0</v>
      </c>
      <c r="J66" s="38">
        <f t="shared" ca="1" si="1"/>
        <v>0.75</v>
      </c>
      <c r="K66" s="39">
        <f t="shared" ref="K66:L66" ca="1" si="193">VLOOKUP($A66, INDIRECT(K$1&amp;"!A:D"), 4, FALSE)</f>
        <v>0</v>
      </c>
      <c r="L66" s="39">
        <f t="shared" ca="1" si="193"/>
        <v>0</v>
      </c>
      <c r="M66" s="39"/>
      <c r="N66" s="39" t="e">
        <f t="shared" ref="N66:P66" ca="1" si="194">VLOOKUP($A66, INDIRECT(N$1&amp;"!A:D"), 4, FALSE)</f>
        <v>#REF!</v>
      </c>
      <c r="O66" s="39">
        <f t="shared" ca="1" si="194"/>
        <v>0</v>
      </c>
      <c r="P66" s="39">
        <f t="shared" ca="1" si="194"/>
        <v>0</v>
      </c>
      <c r="Q66" s="38" t="str">
        <f ca="1">IFERROR(__xludf.DUMMYFUNCTION("IF(COUNTA(K66:P66)=0, """", ARRAYFORMULA(""- ""&amp;TEXTJOIN(char(10)&amp;""- "", TRUE, FILTER(K$1:P$1&amp;"": ""&amp;K66:P66, NOT(ISBLANK(K66:P66))))))"),"")</f>
        <v/>
      </c>
      <c r="R66" s="38" t="str">
        <f ca="1"/>
        <v/>
      </c>
      <c r="S66" s="40" t="b">
        <v>0</v>
      </c>
    </row>
    <row r="67" spans="1:20">
      <c r="A67" s="11" t="str">
        <f ca="1">IFERROR(__xludf.DUMMYFUNCTION("""COMPUTED_VALUE"""),"1daecd588ace044156e92e055f44126e")</f>
        <v>1daecd588ace044156e92e055f44126e</v>
      </c>
      <c r="B67" s="11" t="str">
        <f ca="1">IFERROR(__xludf.DUMMYFUNCTION("""COMPUTED_VALUE"""),"Moreover, the indicators should be developed which support the monitoring of the Global Goals for Sustainable Development (SDGs) adopted in 2015 by the UN General Assembly. This will ensure more accurate assessment of sustainable development progress and,"&amp;" if necessary, lead to adjustment of urban development policy. For example, a private construction practice of building several houses on six-acre (rural areas) and four-acre (urban areas) plots exists. It is essential to monitor this process and update d"&amp;"evelopment density and infrastructure indicators.")</f>
        <v>Moreover, the indicators should be developed which support the monitoring of the Global Goals for Sustainable Development (SDGs) adopted in 2015 by the UN General Assembly. This will ensure more accurate assessment of sustainable development progress and, if necessary, lead to adjustment of urban development policy. For example, a private construction practice of building several houses on six-acre (rural areas) and four-acre (urban areas) plots exists. It is essential to monitor this process and update development density and infrastructure indicators.</v>
      </c>
      <c r="C67" s="41"/>
      <c r="D67" s="7" t="b">
        <f t="shared" ref="D67:I67" ca="1" si="195">VLOOKUP($A67, INDIRECT(D$1&amp;"!A:C"), 3, FALSE)</f>
        <v>1</v>
      </c>
      <c r="E67" s="7" t="b">
        <f t="shared" ca="1" si="195"/>
        <v>1</v>
      </c>
      <c r="F67" s="7" t="b">
        <f t="shared" ca="1" si="195"/>
        <v>1</v>
      </c>
      <c r="G67" s="7" t="e">
        <f t="shared" ca="1" si="195"/>
        <v>#REF!</v>
      </c>
      <c r="H67" s="7" t="b">
        <f t="shared" ca="1" si="195"/>
        <v>1</v>
      </c>
      <c r="I67" s="7" t="b">
        <f t="shared" ca="1" si="195"/>
        <v>1</v>
      </c>
      <c r="J67" s="38">
        <f t="shared" ca="1" si="1"/>
        <v>0.83333333333333337</v>
      </c>
      <c r="K67" s="39">
        <f t="shared" ref="K67:L67" ca="1" si="196">VLOOKUP($A67, INDIRECT(K$1&amp;"!A:D"), 4, FALSE)</f>
        <v>0</v>
      </c>
      <c r="L67" s="39">
        <f t="shared" ca="1" si="196"/>
        <v>17.190000000000001</v>
      </c>
      <c r="M67" s="39"/>
      <c r="N67" s="39" t="e">
        <f t="shared" ref="N67:P67" ca="1" si="197">VLOOKUP($A67, INDIRECT(N$1&amp;"!A:D"), 4, FALSE)</f>
        <v>#REF!</v>
      </c>
      <c r="O67" s="39">
        <f t="shared" ca="1" si="197"/>
        <v>0</v>
      </c>
      <c r="P67" s="39">
        <f t="shared" ca="1" si="197"/>
        <v>0</v>
      </c>
      <c r="Q67" s="38" t="str">
        <f ca="1">IFERROR(__xludf.DUMMYFUNCTION("IF(COUNTA(K67:P67)=0, """", ARRAYFORMULA(""- ""&amp;TEXTJOIN(char(10)&amp;""- "", TRUE, FILTER(K$1:P$1&amp;"": ""&amp;K67:P67, NOT(ISBLANK(K67:P67))))))"),"- Gib: 17.19")</f>
        <v>- Gib: 17.19</v>
      </c>
      <c r="R67" s="38" t="str">
        <f ca="1"/>
        <v>- Gib: 17.19</v>
      </c>
      <c r="S67" s="40" t="b">
        <v>1</v>
      </c>
    </row>
    <row r="68" spans="1:20">
      <c r="A68" s="11" t="str">
        <f ca="1">IFERROR(__xludf.DUMMYFUNCTION("""COMPUTED_VALUE"""),"552cabc214cd1694a4e2bcf9e53e320b")</f>
        <v>552cabc214cd1694a4e2bcf9e53e320b</v>
      </c>
      <c r="B68" s="11" t="str">
        <f ca="1">IFERROR(__xludf.DUMMYFUNCTION("""COMPUTED_VALUE"""),"It is important that the indicators align to the same framework for a full and comprehensive analysis to be made. All Nordic statistical offices are currently working to establish regular routines to produce and disseminate these statistics. Rather than t"&amp;"o dig deep into the intricacies of a green GDP, the thrust of the effort is on developing a Nordic set of already existing indicators and measures, which relate to the SEEA Central Framework. This can be used besides GDP, as a satellite environmental acco"&amp;"unt, that could be combined with traditional SNA national accounts and provide input for thorough, transparent and reliable analysis of the interplay between economy and environment. A common Nordic effort in this field would be a path-breaking contributi"&amp;"on to the follow-up of the new UN sustainable development goals.")</f>
        <v>It is important that the indicators align to the same framework for a full and comprehensive analysis to be made. All Nordic statistical offices are currently working to establish regular routines to produce and disseminate these statistics. Rather than to dig deep into the intricacies of a green GDP, the thrust of the effort is on developing a Nordic set of already existing indicators and measures, which relate to the SEEA Central Framework. This can be used besides GDP, as a satellite environmental account, that could be combined with traditional SNA national accounts and provide input for thorough, transparent and reliable analysis of the interplay between economy and environment. A common Nordic effort in this field would be a path-breaking contribution to the follow-up of the new UN sustainable development goals.</v>
      </c>
      <c r="C68" s="7" t="s">
        <v>450</v>
      </c>
      <c r="D68" s="7" t="b">
        <f t="shared" ref="D68:I68" ca="1" si="198">VLOOKUP($A68, INDIRECT(D$1&amp;"!A:C"), 3, FALSE)</f>
        <v>1</v>
      </c>
      <c r="E68" s="7" t="str">
        <f t="shared" ca="1" si="198"/>
        <v>TO DO</v>
      </c>
      <c r="F68" s="7" t="b">
        <f t="shared" ca="1" si="198"/>
        <v>1</v>
      </c>
      <c r="G68" s="7" t="e">
        <f t="shared" ca="1" si="198"/>
        <v>#REF!</v>
      </c>
      <c r="H68" s="7" t="b">
        <f t="shared" ca="1" si="198"/>
        <v>1</v>
      </c>
      <c r="I68" s="7" t="b">
        <f t="shared" ca="1" si="198"/>
        <v>0</v>
      </c>
      <c r="J68" s="38">
        <f t="shared" ca="1" si="1"/>
        <v>0.4</v>
      </c>
      <c r="K68" s="39">
        <f t="shared" ref="K68:L68" ca="1" si="199">VLOOKUP($A68, INDIRECT(K$1&amp;"!A:D"), 4, FALSE)</f>
        <v>0</v>
      </c>
      <c r="L68" s="39">
        <f t="shared" ca="1" si="199"/>
        <v>0</v>
      </c>
      <c r="M68" s="39"/>
      <c r="N68" s="39" t="e">
        <f t="shared" ref="N68:P68" ca="1" si="200">VLOOKUP($A68, INDIRECT(N$1&amp;"!A:D"), 4, FALSE)</f>
        <v>#REF!</v>
      </c>
      <c r="O68" s="39">
        <f t="shared" ca="1" si="200"/>
        <v>0</v>
      </c>
      <c r="P68" s="39" t="str">
        <f t="shared" ca="1" si="200"/>
        <v>statistical capacities, but no developing countries context</v>
      </c>
      <c r="Q68" s="38" t="str">
        <f ca="1">IFERROR(__xludf.DUMMYFUNCTION("IF(COUNTA(K68:P68)=0, """", ARRAYFORMULA(""- ""&amp;TEXTJOIN(char(10)&amp;""- "", TRUE, FILTER(K$1:P$1&amp;"": ""&amp;K68:P68, NOT(ISBLANK(K68:P68))))))"),"- Steve: statistical capacities, but no developing countries context")</f>
        <v>- Steve: statistical capacities, but no developing countries context</v>
      </c>
      <c r="R68" s="38" t="str">
        <f ca="1"/>
        <v>- Steve: statistical capacities, but no developing countries context</v>
      </c>
      <c r="S68" s="40" t="b">
        <v>1</v>
      </c>
      <c r="T68" s="5" t="s">
        <v>462</v>
      </c>
    </row>
    <row r="69" spans="1:20">
      <c r="A69" s="11" t="str">
        <f ca="1">IFERROR(__xludf.DUMMYFUNCTION("""COMPUTED_VALUE"""),"b56e57501cd56ce5d7ebf243cc31fd86")</f>
        <v>b56e57501cd56ce5d7ebf243cc31fd86</v>
      </c>
      <c r="B69" s="11" t="str">
        <f ca="1">IFERROR(__xludf.DUMMYFUNCTION("""COMPUTED_VALUE"""),"Strong real economy investments, large and small, with their important job-creating capacity must displace financial operations from the driver's seat of the global economy. The expansion of short-term profits in financial markets, with little employment "&amp;"to show for it, has channelled away resources from the longer term horizon of sustainable real economy enterprises. The world is awash in liquidity that needs to become productive investments through a regulatory framework ensuring that financial institut"&amp;"ions fulfil their original role of channelling savings into the real economy. Also, expanding wage participation in GDP within reasonable inflation rates will increase real demand and serve as a source of sustainable development growth.")</f>
        <v>Strong real economy investments, large and small, with their important job-creating capacity must displace financial operations from the driver's seat of the global economy. The expansion of short-term profits in financial markets, with little employment to show for it, has channelled away resources from the longer term horizon of sustainable real economy enterprises. The world is awash in liquidity that needs to become productive investments through a regulatory framework ensuring that financial institutions fulfil their original role of channelling savings into the real economy. Also, expanding wage participation in GDP within reasonable inflation rates will increase real demand and serve as a source of sustainable development growth.</v>
      </c>
      <c r="C69" s="7" t="s">
        <v>450</v>
      </c>
      <c r="D69" s="7" t="b">
        <f t="shared" ref="D69:I69" ca="1" si="201">VLOOKUP($A69, INDIRECT(D$1&amp;"!A:C"), 3, FALSE)</f>
        <v>0</v>
      </c>
      <c r="E69" s="7" t="str">
        <f t="shared" ca="1" si="201"/>
        <v>TO DO</v>
      </c>
      <c r="F69" s="7" t="b">
        <f t="shared" ca="1" si="201"/>
        <v>1</v>
      </c>
      <c r="G69" s="7" t="e">
        <f t="shared" ca="1" si="201"/>
        <v>#REF!</v>
      </c>
      <c r="H69" s="7" t="b">
        <f t="shared" ca="1" si="201"/>
        <v>0</v>
      </c>
      <c r="I69" s="7" t="b">
        <f t="shared" ca="1" si="201"/>
        <v>0</v>
      </c>
      <c r="J69" s="38">
        <f t="shared" ca="1" si="1"/>
        <v>0.4</v>
      </c>
      <c r="K69" s="39">
        <f t="shared" ref="K69:L69" ca="1" si="202">VLOOKUP($A69, INDIRECT(K$1&amp;"!A:D"), 4, FALSE)</f>
        <v>0</v>
      </c>
      <c r="L69" s="39">
        <f t="shared" ca="1" si="202"/>
        <v>0</v>
      </c>
      <c r="M69" s="39"/>
      <c r="N69" s="39" t="e">
        <f t="shared" ref="N69:P69" ca="1" si="203">VLOOKUP($A69, INDIRECT(N$1&amp;"!A:D"), 4, FALSE)</f>
        <v>#REF!</v>
      </c>
      <c r="O69" s="39">
        <f t="shared" ca="1" si="203"/>
        <v>0</v>
      </c>
      <c r="P69" s="39">
        <f t="shared" ca="1" si="203"/>
        <v>0</v>
      </c>
      <c r="Q69" s="38" t="str">
        <f ca="1">IFERROR(__xludf.DUMMYFUNCTION("IF(COUNTA(K69:P69)=0, """", ARRAYFORMULA(""- ""&amp;TEXTJOIN(char(10)&amp;""- "", TRUE, FILTER(K$1:P$1&amp;"": ""&amp;K69:P69, NOT(ISBLANK(K69:P69))))))"),"")</f>
        <v/>
      </c>
      <c r="R69" s="38" t="str">
        <f ca="1"/>
        <v/>
      </c>
      <c r="S69" s="40" t="b">
        <v>0</v>
      </c>
      <c r="T69" s="5" t="s">
        <v>463</v>
      </c>
    </row>
    <row r="70" spans="1:20">
      <c r="A70" s="11" t="str">
        <f ca="1">IFERROR(__xludf.DUMMYFUNCTION("""COMPUTED_VALUE"""),"40885ff87e8ffd2e245e7cd6ee5a179c")</f>
        <v>40885ff87e8ffd2e245e7cd6ee5a179c</v>
      </c>
      <c r="B70" s="11" t="str">
        <f ca="1">IFERROR(__xludf.DUMMYFUNCTION("""COMPUTED_VALUE"""),"The world’s nations annually contribute over $1 trillion to subsidies for agriculture, energy, water and transport. This is 12 times the amount needed to bring official development assistance up to the 0.7 per cent target set in 1966, it is 15 times the a"&amp;"mount that was estimated to be necessary if the Millennium Development Goals were to be fully implemented, and it is even 8 times the massive amount that the architects of the Earth Summit calculated would be needed to implement the ambitious Agenda 21. S"&amp;"ubsidies to irrigation, for example, lead to massive wastage of scarce water resources, subsidies to coal production and consumption invalidate efforts to move towards cleaner energy, subsidies to fishing fleets lead to the devastation of fish stocks, and"&amp;" subsidies to transport fuel lead to wasteful use of energy in transport.")</f>
        <v>The world’s nations annually contribute over $1 trillion to subsidies for agriculture, energy, water and transport. This is 12 times the amount needed to bring official development assistance up to the 0.7 per cent target set in 1966, it is 15 times the amount that was estimated to be necessary if the Millennium Development Goals were to be fully implemented, and it is even 8 times the massive amount that the architects of the Earth Summit calculated would be needed to implement the ambitious Agenda 21. Subsidies to irrigation, for example, lead to massive wastage of scarce water resources, subsidies to coal production and consumption invalidate efforts to move towards cleaner energy, subsidies to fishing fleets lead to the devastation of fish stocks, and subsidies to transport fuel lead to wasteful use of energy in transport.</v>
      </c>
      <c r="C70" s="7" t="s">
        <v>450</v>
      </c>
      <c r="D70" s="7" t="b">
        <f t="shared" ref="D70:I70" ca="1" si="204">VLOOKUP($A70, INDIRECT(D$1&amp;"!A:C"), 3, FALSE)</f>
        <v>0</v>
      </c>
      <c r="E70" s="7" t="str">
        <f t="shared" ca="1" si="204"/>
        <v>TO DO</v>
      </c>
      <c r="F70" s="7" t="b">
        <f t="shared" ca="1" si="204"/>
        <v>1</v>
      </c>
      <c r="G70" s="7" t="e">
        <f t="shared" ca="1" si="204"/>
        <v>#REF!</v>
      </c>
      <c r="H70" s="7" t="b">
        <f t="shared" ca="1" si="204"/>
        <v>0</v>
      </c>
      <c r="I70" s="7" t="b">
        <f t="shared" ca="1" si="204"/>
        <v>0</v>
      </c>
      <c r="J70" s="38">
        <f t="shared" ca="1" si="1"/>
        <v>0.4</v>
      </c>
      <c r="K70" s="39">
        <f t="shared" ref="K70:L70" ca="1" si="205">VLOOKUP($A70, INDIRECT(K$1&amp;"!A:D"), 4, FALSE)</f>
        <v>0</v>
      </c>
      <c r="L70" s="39">
        <f t="shared" ca="1" si="205"/>
        <v>0</v>
      </c>
      <c r="M70" s="39"/>
      <c r="N70" s="39" t="e">
        <f t="shared" ref="N70:P70" ca="1" si="206">VLOOKUP($A70, INDIRECT(N$1&amp;"!A:D"), 4, FALSE)</f>
        <v>#REF!</v>
      </c>
      <c r="O70" s="39">
        <f t="shared" ca="1" si="206"/>
        <v>0</v>
      </c>
      <c r="P70" s="39">
        <f t="shared" ca="1" si="206"/>
        <v>0</v>
      </c>
      <c r="Q70" s="38" t="str">
        <f ca="1">IFERROR(__xludf.DUMMYFUNCTION("IF(COUNTA(K70:P70)=0, """", ARRAYFORMULA(""- ""&amp;TEXTJOIN(char(10)&amp;""- "", TRUE, FILTER(K$1:P$1&amp;"": ""&amp;K70:P70, NOT(ISBLANK(K70:P70))))))"),"")</f>
        <v/>
      </c>
      <c r="R70" s="38" t="str">
        <f ca="1"/>
        <v/>
      </c>
      <c r="S70" s="40" t="b">
        <v>0</v>
      </c>
      <c r="T70" s="5" t="s">
        <v>464</v>
      </c>
    </row>
    <row r="71" spans="1:20">
      <c r="A71" s="11" t="str">
        <f ca="1">IFERROR(__xludf.DUMMYFUNCTION("""COMPUTED_VALUE"""),"95034907d6a34f440af3bc94d53616c9")</f>
        <v>95034907d6a34f440af3bc94d53616c9</v>
      </c>
      <c r="B71" s="11" t="str">
        <f ca="1">IFERROR(__xludf.DUMMYFUNCTION("""COMPUTED_VALUE"""),"As Minister of Health, she implemented healthcare reform, improving attention to primary care facilities with the aim of ensuring better and faster healthcare response for families. She highlights the contribution that official development assistance (ODA"&amp;") has made to empowering women and girls to exercise their rights fully as equal citizens. Partnerships on gender equality between the United Nations (UN) and the Organisation for Economic Co-operation and Development (OECD) have also played a fundamental"&amp;" role in ensuring enhanced support to and impact on gender equality goals, particularly as the deadline for achieving the Millennium Development Goals (MDGs) approaches.")</f>
        <v>As Minister of Health, she implemented healthcare reform, improving attention to primary care facilities with the aim of ensuring better and faster healthcare response for families. She highlights the contribution that official development assistance (ODA) has made to empowering women and girls to exercise their rights fully as equal citizens. Partnerships on gender equality between the United Nations (UN) and the Organisation for Economic Co-operation and Development (OECD) have also played a fundamental role in ensuring enhanced support to and impact on gender equality goals, particularly as the deadline for achieving the Millennium Development Goals (MDGs) approaches.</v>
      </c>
      <c r="C71" s="7" t="s">
        <v>450</v>
      </c>
      <c r="D71" s="7" t="b">
        <f t="shared" ref="D71:I71" ca="1" si="207">VLOOKUP($A71, INDIRECT(D$1&amp;"!A:C"), 3, FALSE)</f>
        <v>0</v>
      </c>
      <c r="E71" s="7" t="str">
        <f t="shared" ca="1" si="207"/>
        <v>TO DO</v>
      </c>
      <c r="F71" s="7" t="b">
        <f t="shared" ca="1" si="207"/>
        <v>1</v>
      </c>
      <c r="G71" s="7" t="e">
        <f t="shared" ca="1" si="207"/>
        <v>#REF!</v>
      </c>
      <c r="H71" s="7" t="b">
        <f t="shared" ca="1" si="207"/>
        <v>1</v>
      </c>
      <c r="I71" s="7" t="b">
        <f t="shared" ca="1" si="207"/>
        <v>1</v>
      </c>
      <c r="J71" s="38">
        <f t="shared" ca="1" si="1"/>
        <v>0.4</v>
      </c>
      <c r="K71" s="39">
        <f t="shared" ref="K71:L71" ca="1" si="208">VLOOKUP($A71, INDIRECT(K$1&amp;"!A:D"), 4, FALSE)</f>
        <v>0</v>
      </c>
      <c r="L71" s="39">
        <f t="shared" ca="1" si="208"/>
        <v>0</v>
      </c>
      <c r="M71" s="39"/>
      <c r="N71" s="39" t="e">
        <f t="shared" ref="N71:P71" ca="1" si="209">VLOOKUP($A71, INDIRECT(N$1&amp;"!A:D"), 4, FALSE)</f>
        <v>#REF!</v>
      </c>
      <c r="O71" s="39">
        <f t="shared" ca="1" si="209"/>
        <v>0</v>
      </c>
      <c r="P71" s="39">
        <f t="shared" ca="1" si="209"/>
        <v>0</v>
      </c>
      <c r="Q71" s="38" t="str">
        <f ca="1">IFERROR(__xludf.DUMMYFUNCTION("IF(COUNTA(K71:P71)=0, """", ARRAYFORMULA(""- ""&amp;TEXTJOIN(char(10)&amp;""- "", TRUE, FILTER(K$1:P$1&amp;"": ""&amp;K71:P71, NOT(ISBLANK(K71:P71))))))"),"")</f>
        <v/>
      </c>
      <c r="R71" s="38" t="str">
        <f ca="1"/>
        <v/>
      </c>
      <c r="S71" s="40" t="b">
        <v>1</v>
      </c>
      <c r="T71" s="5" t="s">
        <v>465</v>
      </c>
    </row>
    <row r="72" spans="1:20">
      <c r="A72" s="11" t="str">
        <f ca="1">IFERROR(__xludf.DUMMYFUNCTION("""COMPUTED_VALUE"""),"a0aa9ee0af0fcbc1161c26d11abe343d")</f>
        <v>a0aa9ee0af0fcbc1161c26d11abe343d</v>
      </c>
      <c r="B72" s="11" t="str">
        <f ca="1">IFERROR(__xludf.DUMMYFUNCTION("""COMPUTED_VALUE"""),"However, the lack of clarity about the distinction between climate change and development is one of the factors that has led to distrust between developed and developing countries, fuelled by concerns about additionality and the potential for competition "&amp;"between climate finance and development finance for a limited amount of international public finance. Development finance in the form of Official Development Assistance (ODA) increased steadily from the end of the 1990s up to 2010. In 2015, net official d"&amp;"evelopment assistance (ODA) flows from member countries of the Development Assistance Committee (DAC) of the OECD totalled USD 131.6 billion.")</f>
        <v>However, the lack of clarity about the distinction between climate change and development is one of the factors that has led to distrust between developed and developing countries, fuelled by concerns about additionality and the potential for competition between climate finance and development finance for a limited amount of international public finance. Development finance in the form of Official Development Assistance (ODA) increased steadily from the end of the 1990s up to 2010. In 2015, net official development assistance (ODA) flows from member countries of the Development Assistance Committee (DAC) of the OECD totalled USD 131.6 billion.</v>
      </c>
      <c r="C72" s="41"/>
      <c r="D72" s="7" t="b">
        <f t="shared" ref="D72:I72" ca="1" si="210">VLOOKUP($A72, INDIRECT(D$1&amp;"!A:C"), 3, FALSE)</f>
        <v>1</v>
      </c>
      <c r="E72" s="7" t="str">
        <f t="shared" ca="1" si="210"/>
        <v>TO DO</v>
      </c>
      <c r="F72" s="7" t="b">
        <f t="shared" ca="1" si="210"/>
        <v>1</v>
      </c>
      <c r="G72" s="7" t="e">
        <f t="shared" ca="1" si="210"/>
        <v>#REF!</v>
      </c>
      <c r="H72" s="7" t="str">
        <f t="shared" ca="1" si="210"/>
        <v>TO DO</v>
      </c>
      <c r="I72" s="7" t="b">
        <f t="shared" ca="1" si="210"/>
        <v>1</v>
      </c>
      <c r="J72" s="38">
        <f t="shared" ca="1" si="1"/>
        <v>0.75</v>
      </c>
      <c r="K72" s="39">
        <f t="shared" ref="K72:L72" ca="1" si="211">VLOOKUP($A72, INDIRECT(K$1&amp;"!A:D"), 4, FALSE)</f>
        <v>0</v>
      </c>
      <c r="L72" s="39">
        <f t="shared" ca="1" si="211"/>
        <v>0</v>
      </c>
      <c r="M72" s="39"/>
      <c r="N72" s="39" t="e">
        <f t="shared" ref="N72:P72" ca="1" si="212">VLOOKUP($A72, INDIRECT(N$1&amp;"!A:D"), 4, FALSE)</f>
        <v>#REF!</v>
      </c>
      <c r="O72" s="39">
        <f t="shared" ca="1" si="212"/>
        <v>0</v>
      </c>
      <c r="P72" s="39" t="str">
        <f t="shared" ca="1" si="212"/>
        <v>resource mobilisation, ODA inherently value laden</v>
      </c>
      <c r="Q72" s="38" t="str">
        <f ca="1">IFERROR(__xludf.DUMMYFUNCTION("IF(COUNTA(K72:P72)=0, """", ARRAYFORMULA(""- ""&amp;TEXTJOIN(char(10)&amp;""- "", TRUE, FILTER(K$1:P$1&amp;"": ""&amp;K72:P72, NOT(ISBLANK(K72:P72))))))"),"- Steve: resource mobilisation, ODA inherently value laden")</f>
        <v>- Steve: resource mobilisation, ODA inherently value laden</v>
      </c>
      <c r="R72" s="38" t="str">
        <f ca="1"/>
        <v>- Steve: resource mobilisation, ODA inherently value laden</v>
      </c>
      <c r="S72" s="40" t="b">
        <v>1</v>
      </c>
    </row>
    <row r="73" spans="1:20">
      <c r="A73" s="11" t="str">
        <f ca="1">IFERROR(__xludf.DUMMYFUNCTION("""COMPUTED_VALUE"""),"dc3b6d73253284451159a5e80f17f10d")</f>
        <v>dc3b6d73253284451159a5e80f17f10d</v>
      </c>
      <c r="B73" s="11" t="str">
        <f ca="1">IFERROR(__xludf.DUMMYFUNCTION("""COMPUTED_VALUE"""),"Building national capacities and international cooperation in these areas will be important. The world needs a big push—one that is public investment-led, based on international development cooperation, and capable of catalysing private sector investment "&amp;"and innovation so as to sustainably transform the energy system. It is recognized that the fulfilment of official development assistance (ODA) commitments is crucial. Innovative financing mechanisms can also make contributions to developing countries in r"&amp;"espect of mobilization of additional resources for financing for development.")</f>
        <v>Building national capacities and international cooperation in these areas will be important. The world needs a big push—one that is public investment-led, based on international development cooperation, and capable of catalysing private sector investment and innovation so as to sustainably transform the energy system. It is recognized that the fulfilment of official development assistance (ODA) commitments is crucial. Innovative financing mechanisms can also make contributions to developing countries in respect of mobilization of additional resources for financing for development.</v>
      </c>
      <c r="C73" s="41"/>
      <c r="D73" s="7" t="b">
        <f t="shared" ref="D73:I73" ca="1" si="213">VLOOKUP($A73, INDIRECT(D$1&amp;"!A:C"), 3, FALSE)</f>
        <v>1</v>
      </c>
      <c r="E73" s="7" t="str">
        <f t="shared" ca="1" si="213"/>
        <v>TO DO</v>
      </c>
      <c r="F73" s="7" t="b">
        <f t="shared" ca="1" si="213"/>
        <v>1</v>
      </c>
      <c r="G73" s="7" t="e">
        <f t="shared" ca="1" si="213"/>
        <v>#REF!</v>
      </c>
      <c r="H73" s="7" t="str">
        <f t="shared" ca="1" si="213"/>
        <v>TO DO</v>
      </c>
      <c r="I73" s="7" t="b">
        <f t="shared" ca="1" si="213"/>
        <v>1</v>
      </c>
      <c r="J73" s="38">
        <f t="shared" ca="1" si="1"/>
        <v>0.75</v>
      </c>
      <c r="K73" s="39">
        <f t="shared" ref="K73:L73" ca="1" si="214">VLOOKUP($A73, INDIRECT(K$1&amp;"!A:D"), 4, FALSE)</f>
        <v>0</v>
      </c>
      <c r="L73" s="39">
        <f t="shared" ca="1" si="214"/>
        <v>0</v>
      </c>
      <c r="M73" s="39"/>
      <c r="N73" s="39" t="e">
        <f t="shared" ref="N73:P73" ca="1" si="215">VLOOKUP($A73, INDIRECT(N$1&amp;"!A:D"), 4, FALSE)</f>
        <v>#REF!</v>
      </c>
      <c r="O73" s="39">
        <f t="shared" ca="1" si="215"/>
        <v>0</v>
      </c>
      <c r="P73" s="39">
        <f t="shared" ca="1" si="215"/>
        <v>0</v>
      </c>
      <c r="Q73" s="38" t="str">
        <f ca="1">IFERROR(__xludf.DUMMYFUNCTION("IF(COUNTA(K73:P73)=0, """", ARRAYFORMULA(""- ""&amp;TEXTJOIN(char(10)&amp;""- "", TRUE, FILTER(K$1:P$1&amp;"": ""&amp;K73:P73, NOT(ISBLANK(K73:P73))))))"),"")</f>
        <v/>
      </c>
      <c r="R73" s="38" t="str">
        <f ca="1"/>
        <v/>
      </c>
      <c r="S73" s="40" t="b">
        <v>1</v>
      </c>
    </row>
    <row r="74" spans="1:20">
      <c r="A74" s="11" t="str">
        <f ca="1">IFERROR(__xludf.DUMMYFUNCTION("""COMPUTED_VALUE"""),"587d2c3437cf5dd56dcf301b5246d2ee")</f>
        <v>587d2c3437cf5dd56dcf301b5246d2ee</v>
      </c>
      <c r="B74" s="11" t="str">
        <f ca="1">IFERROR(__xludf.DUMMYFUNCTION("""COMPUTED_VALUE"""),"This being said, information on foreign applications and grants could also help a developing country patent examiner to better identify those particular elements of an invention that do not deserve patent protection. Where the line is drawn between those "&amp;"areas that are the preserve of the patent holder to control, and those areas [i.e. of exceptions and limitations] which the patent holder may not control, is therefore a very important policy question for members.” Exceptions to exclusive rights as consid"&amp;"ered here apply after a patent has been granted.")</f>
        <v>This being said, information on foreign applications and grants could also help a developing country patent examiner to better identify those particular elements of an invention that do not deserve patent protection. Where the line is drawn between those areas that are the preserve of the patent holder to control, and those areas [i.e. of exceptions and limitations] which the patent holder may not control, is therefore a very important policy question for members.” Exceptions to exclusive rights as considered here apply after a patent has been granted.</v>
      </c>
      <c r="C74" s="7" t="s">
        <v>450</v>
      </c>
      <c r="D74" s="7" t="b">
        <f t="shared" ref="D74:I74" ca="1" si="216">VLOOKUP($A74, INDIRECT(D$1&amp;"!A:C"), 3, FALSE)</f>
        <v>0</v>
      </c>
      <c r="E74" s="7" t="str">
        <f t="shared" ca="1" si="216"/>
        <v>TO DO</v>
      </c>
      <c r="F74" s="7" t="b">
        <f t="shared" ca="1" si="216"/>
        <v>0</v>
      </c>
      <c r="G74" s="7" t="e">
        <f t="shared" ca="1" si="216"/>
        <v>#REF!</v>
      </c>
      <c r="H74" s="7" t="b">
        <f t="shared" ca="1" si="216"/>
        <v>0</v>
      </c>
      <c r="I74" s="7" t="b">
        <f t="shared" ca="1" si="216"/>
        <v>1</v>
      </c>
      <c r="J74" s="38">
        <f t="shared" ca="1" si="1"/>
        <v>0.4</v>
      </c>
      <c r="K74" s="39">
        <f t="shared" ref="K74:L74" ca="1" si="217">VLOOKUP($A74, INDIRECT(K$1&amp;"!A:D"), 4, FALSE)</f>
        <v>0</v>
      </c>
      <c r="L74" s="39">
        <f t="shared" ca="1" si="217"/>
        <v>0</v>
      </c>
      <c r="M74" s="39"/>
      <c r="N74" s="39" t="e">
        <f t="shared" ref="N74:P74" ca="1" si="218">VLOOKUP($A74, INDIRECT(N$1&amp;"!A:D"), 4, FALSE)</f>
        <v>#REF!</v>
      </c>
      <c r="O74" s="39">
        <f t="shared" ca="1" si="218"/>
        <v>0</v>
      </c>
      <c r="P74" s="39">
        <f t="shared" ca="1" si="218"/>
        <v>17.600000000000001</v>
      </c>
      <c r="Q74" s="38" t="str">
        <f ca="1">IFERROR(__xludf.DUMMYFUNCTION("IF(COUNTA(K74:P74)=0, """", ARRAYFORMULA(""- ""&amp;TEXTJOIN(char(10)&amp;""- "", TRUE, FILTER(K$1:P$1&amp;"": ""&amp;K74:P74, NOT(ISBLANK(K74:P74))))))"),"- Steve: 17.6")</f>
        <v>- Steve: 17.6</v>
      </c>
      <c r="R74" s="38" t="str">
        <f ca="1"/>
        <v>- Steve: 17.6</v>
      </c>
      <c r="S74" s="40" t="s">
        <v>449</v>
      </c>
    </row>
    <row r="75" spans="1:20">
      <c r="A75" s="11" t="str">
        <f ca="1">IFERROR(__xludf.DUMMYFUNCTION("""COMPUTED_VALUE"""),"856de84a5d4897b3ea52f105cb668edc")</f>
        <v>856de84a5d4897b3ea52f105cb668edc</v>
      </c>
      <c r="B75" s="11" t="str">
        <f ca="1">IFERROR(__xludf.DUMMYFUNCTION("""COMPUTED_VALUE"""),"They reduce design and production costs related to differentiated compliance. And they help remove trade barriers by harmonizing test protocols or increasing their compatibility. But they can also create barriers to market access in developed countries fo"&amp;"r small and developing country producers, especially those that lack the technical or financial capacity to comply.")</f>
        <v>They reduce design and production costs related to differentiated compliance. And they help remove trade barriers by harmonizing test protocols or increasing their compatibility. But they can also create barriers to market access in developed countries for small and developing country producers, especially those that lack the technical or financial capacity to comply.</v>
      </c>
      <c r="C75" s="41"/>
      <c r="D75" s="7" t="b">
        <f t="shared" ref="D75:I75" ca="1" si="219">VLOOKUP($A75, INDIRECT(D$1&amp;"!A:C"), 3, FALSE)</f>
        <v>0</v>
      </c>
      <c r="E75" s="7" t="str">
        <f t="shared" ca="1" si="219"/>
        <v>TO DO</v>
      </c>
      <c r="F75" s="7" t="b">
        <f t="shared" ca="1" si="219"/>
        <v>1</v>
      </c>
      <c r="G75" s="7" t="e">
        <f t="shared" ca="1" si="219"/>
        <v>#REF!</v>
      </c>
      <c r="H75" s="7" t="str">
        <f t="shared" ca="1" si="219"/>
        <v>TO DO</v>
      </c>
      <c r="I75" s="7" t="b">
        <f t="shared" ca="1" si="219"/>
        <v>1</v>
      </c>
      <c r="J75" s="38">
        <f t="shared" ca="1" si="1"/>
        <v>0.25</v>
      </c>
      <c r="K75" s="39">
        <f t="shared" ref="K75:L75" ca="1" si="220">VLOOKUP($A75, INDIRECT(K$1&amp;"!A:D"), 4, FALSE)</f>
        <v>0</v>
      </c>
      <c r="L75" s="39">
        <f t="shared" ca="1" si="220"/>
        <v>0</v>
      </c>
      <c r="M75" s="39"/>
      <c r="N75" s="39" t="e">
        <f t="shared" ref="N75:P75" ca="1" si="221">VLOOKUP($A75, INDIRECT(N$1&amp;"!A:D"), 4, FALSE)</f>
        <v>#REF!</v>
      </c>
      <c r="O75" s="39">
        <f t="shared" ca="1" si="221"/>
        <v>0</v>
      </c>
      <c r="P75" s="39">
        <f t="shared" ca="1" si="221"/>
        <v>0</v>
      </c>
      <c r="Q75" s="38" t="str">
        <f ca="1">IFERROR(__xludf.DUMMYFUNCTION("IF(COUNTA(K75:P75)=0, """", ARRAYFORMULA(""- ""&amp;TEXTJOIN(char(10)&amp;""- "", TRUE, FILTER(K$1:P$1&amp;"": ""&amp;K75:P75, NOT(ISBLANK(K75:P75))))))"),"")</f>
        <v/>
      </c>
      <c r="R75" s="38" t="str">
        <f ca="1"/>
        <v/>
      </c>
      <c r="S75" s="40" t="s">
        <v>449</v>
      </c>
    </row>
    <row r="76" spans="1:20">
      <c r="A76" s="11" t="str">
        <f ca="1">IFERROR(__xludf.DUMMYFUNCTION("""COMPUTED_VALUE"""),"a1f114a34a446f7afbfc933748a634a8")</f>
        <v>a1f114a34a446f7afbfc933748a634a8</v>
      </c>
      <c r="B76" s="11" t="str">
        <f ca="1">IFERROR(__xludf.DUMMYFUNCTION("""COMPUTED_VALUE"""),"Accessing international capital markets can also be difficult for many developing countries. These challenges can be further exacerbated for clean energy infrastructure projects, as lenders may be reluctant to lend due to an insufficient knowledge of loca"&amp;"l markets and a higher technology risk. Ensuring access to affordable finance will require developing country governments, in particular, to combine a short-term strategy of facilitating access to international financing and a longer-term approach. The la"&amp;"tter would need to address the full range of risks and limitations that increase the cost of financing for clean energy, including: the shallowness of the domestic financial market, key informational, social or behavioural risks related to clean energy fi"&amp;"nancing, and the limited number of financial products that are available and suited to the sector’s financing needs. In some countries, like Brazil or China, bank lending has played a predominant role, with state-owned and/or national development banks be"&amp;"ing the main sources of long-term financing. In China for example, banks hold around 80% of the total loan portfolio for infrastructure (Walsh et al.,")</f>
        <v>Accessing international capital markets can also be difficult for many developing countries. These challenges can be further exacerbated for clean energy infrastructure projects, as lenders may be reluctant to lend due to an insufficient knowledge of local markets and a higher technology risk. Ensuring access to affordable finance will require developing country governments, in particular, to combine a short-term strategy of facilitating access to international financing and a longer-term approach. The latter would need to address the full range of risks and limitations that increase the cost of financing for clean energy, including: the shallowness of the domestic financial market, key informational, social or behavioural risks related to clean energy financing, and the limited number of financial products that are available and suited to the sector’s financing needs. In some countries, like Brazil or China, bank lending has played a predominant role, with state-owned and/or national development banks being the main sources of long-term financing. In China for example, banks hold around 80% of the total loan portfolio for infrastructure (Walsh et al.,</v>
      </c>
      <c r="C76" s="7"/>
      <c r="D76" s="7" t="b">
        <f t="shared" ref="D76:I76" ca="1" si="222">VLOOKUP($A76, INDIRECT(D$1&amp;"!A:C"), 3, FALSE)</f>
        <v>1</v>
      </c>
      <c r="E76" s="7" t="str">
        <f t="shared" ca="1" si="222"/>
        <v>TO DO</v>
      </c>
      <c r="F76" s="7" t="b">
        <f t="shared" ca="1" si="222"/>
        <v>1</v>
      </c>
      <c r="G76" s="7" t="e">
        <f t="shared" ca="1" si="222"/>
        <v>#REF!</v>
      </c>
      <c r="H76" s="7" t="str">
        <f t="shared" ca="1" si="222"/>
        <v>TO DO</v>
      </c>
      <c r="I76" s="7" t="b">
        <f t="shared" ca="1" si="222"/>
        <v>1</v>
      </c>
      <c r="J76" s="38">
        <f t="shared" ca="1" si="1"/>
        <v>0.75</v>
      </c>
      <c r="K76" s="39">
        <f t="shared" ref="K76:L76" ca="1" si="223">VLOOKUP($A76, INDIRECT(K$1&amp;"!A:D"), 4, FALSE)</f>
        <v>0</v>
      </c>
      <c r="L76" s="39">
        <f t="shared" ca="1" si="223"/>
        <v>0</v>
      </c>
      <c r="M76" s="39"/>
      <c r="N76" s="39" t="e">
        <f t="shared" ref="N76:P76" ca="1" si="224">VLOOKUP($A76, INDIRECT(N$1&amp;"!A:D"), 4, FALSE)</f>
        <v>#REF!</v>
      </c>
      <c r="O76" s="39">
        <f t="shared" ca="1" si="224"/>
        <v>0</v>
      </c>
      <c r="P76" s="39">
        <f t="shared" ca="1" si="224"/>
        <v>0</v>
      </c>
      <c r="Q76" s="38" t="str">
        <f ca="1">IFERROR(__xludf.DUMMYFUNCTION("IF(COUNTA(K76:P76)=0, """", ARRAYFORMULA(""- ""&amp;TEXTJOIN(char(10)&amp;""- "", TRUE, FILTER(K$1:P$1&amp;"": ""&amp;K76:P76, NOT(ISBLANK(K76:P76))))))"),"")</f>
        <v/>
      </c>
      <c r="R76" s="38" t="str">
        <f ca="1"/>
        <v/>
      </c>
      <c r="S76" s="40" t="b">
        <v>1</v>
      </c>
    </row>
    <row r="77" spans="1:20">
      <c r="A77" s="11" t="str">
        <f ca="1">IFERROR(__xludf.DUMMYFUNCTION("""COMPUTED_VALUE"""),"ab2c7068988202411d5b93c93571c595")</f>
        <v>ab2c7068988202411d5b93c93571c595</v>
      </c>
      <c r="B77" s="11" t="str">
        <f ca="1">IFERROR(__xludf.DUMMYFUNCTION("""COMPUTED_VALUE"""),"Accessing international capital markets can also be difficult for many developing countries. These challenges can be further exacerbated for clean energy infrastructure projects, as lenders may be reluctant to lend due to an insufficient knowledge of loca"&amp;"l markets and a higher technology risk. Ensuring access to affordable finance will require developing country governments, in particular, to combine a short-term strategy of facilitating access to international financing and a longer-term approach.")</f>
        <v>Accessing international capital markets can also be difficult for many developing countries. These challenges can be further exacerbated for clean energy infrastructure projects, as lenders may be reluctant to lend due to an insufficient knowledge of local markets and a higher technology risk. Ensuring access to affordable finance will require developing country governments, in particular, to combine a short-term strategy of facilitating access to international financing and a longer-term approach.</v>
      </c>
      <c r="C77" s="7" t="s">
        <v>455</v>
      </c>
      <c r="D77" s="7" t="b">
        <f t="shared" ref="D77:I77" ca="1" si="225">VLOOKUP($A77, INDIRECT(D$1&amp;"!A:C"), 3, FALSE)</f>
        <v>1</v>
      </c>
      <c r="E77" s="7" t="str">
        <f t="shared" ca="1" si="225"/>
        <v>TO DO</v>
      </c>
      <c r="F77" s="7" t="b">
        <f t="shared" ca="1" si="225"/>
        <v>1</v>
      </c>
      <c r="G77" s="7" t="e">
        <f t="shared" ca="1" si="225"/>
        <v>#REF!</v>
      </c>
      <c r="H77" s="7" t="b">
        <f t="shared" ca="1" si="225"/>
        <v>0</v>
      </c>
      <c r="I77" s="7" t="b">
        <f t="shared" ca="1" si="225"/>
        <v>1</v>
      </c>
      <c r="J77" s="38">
        <f t="shared" ca="1" si="1"/>
        <v>0.4</v>
      </c>
      <c r="K77" s="39">
        <f t="shared" ref="K77:L77" ca="1" si="226">VLOOKUP($A77, INDIRECT(K$1&amp;"!A:D"), 4, FALSE)</f>
        <v>0</v>
      </c>
      <c r="L77" s="39">
        <f t="shared" ca="1" si="226"/>
        <v>0</v>
      </c>
      <c r="M77" s="39"/>
      <c r="N77" s="39" t="e">
        <f t="shared" ref="N77:P77" ca="1" si="227">VLOOKUP($A77, INDIRECT(N$1&amp;"!A:D"), 4, FALSE)</f>
        <v>#REF!</v>
      </c>
      <c r="O77" s="39">
        <f t="shared" ca="1" si="227"/>
        <v>0</v>
      </c>
      <c r="P77" s="39">
        <f t="shared" ca="1" si="227"/>
        <v>0</v>
      </c>
      <c r="Q77" s="38" t="str">
        <f ca="1">IFERROR(__xludf.DUMMYFUNCTION("IF(COUNTA(K77:P77)=0, """", ARRAYFORMULA(""- ""&amp;TEXTJOIN(char(10)&amp;""- "", TRUE, FILTER(K$1:P$1&amp;"": ""&amp;K77:P77, NOT(ISBLANK(K77:P77))))))"),"")</f>
        <v/>
      </c>
      <c r="R77" s="38" t="str">
        <f ca="1"/>
        <v/>
      </c>
      <c r="S77" s="40" t="s">
        <v>449</v>
      </c>
    </row>
    <row r="78" spans="1:20">
      <c r="A78" s="11" t="str">
        <f ca="1">IFERROR(__xludf.DUMMYFUNCTION("""COMPUTED_VALUE"""),"7f0f4057da4f1ac3ac1cc53d7c9d0d8b")</f>
        <v>7f0f4057da4f1ac3ac1cc53d7c9d0d8b</v>
      </c>
      <c r="B78" s="11" t="str">
        <f ca="1">IFERROR(__xludf.DUMMYFUNCTION("""COMPUTED_VALUE"""),"Governments introduced several measures in order to help families, for instance measures of debt relief. As a result, firms started to cut jobs or reduce wages. Moreover, they increasingly used temporary employment contracts without benefits, and more gen"&amp;"erally entailing a reduction in job security and deterioration in job quality.")</f>
        <v>Governments introduced several measures in order to help families, for instance measures of debt relief. As a result, firms started to cut jobs or reduce wages. Moreover, they increasingly used temporary employment contracts without benefits, and more generally entailing a reduction in job security and deterioration in job quality.</v>
      </c>
      <c r="C78" s="41"/>
      <c r="D78" s="7" t="b">
        <f t="shared" ref="D78:I78" ca="1" si="228">VLOOKUP($A78, INDIRECT(D$1&amp;"!A:C"), 3, FALSE)</f>
        <v>0</v>
      </c>
      <c r="E78" s="7" t="str">
        <f t="shared" ca="1" si="228"/>
        <v>TO DO</v>
      </c>
      <c r="F78" s="7" t="b">
        <f t="shared" ca="1" si="228"/>
        <v>0</v>
      </c>
      <c r="G78" s="7" t="e">
        <f t="shared" ca="1" si="228"/>
        <v>#REF!</v>
      </c>
      <c r="H78" s="7" t="b">
        <f t="shared" ca="1" si="228"/>
        <v>0</v>
      </c>
      <c r="I78" s="7" t="b">
        <f t="shared" ca="1" si="228"/>
        <v>0</v>
      </c>
      <c r="J78" s="38">
        <f t="shared" ca="1" si="1"/>
        <v>0.8</v>
      </c>
      <c r="K78" s="39">
        <f t="shared" ref="K78:L78" ca="1" si="229">VLOOKUP($A78, INDIRECT(K$1&amp;"!A:D"), 4, FALSE)</f>
        <v>0</v>
      </c>
      <c r="L78" s="39">
        <f t="shared" ca="1" si="229"/>
        <v>0</v>
      </c>
      <c r="M78" s="39"/>
      <c r="N78" s="39" t="e">
        <f t="shared" ref="N78:P78" ca="1" si="230">VLOOKUP($A78, INDIRECT(N$1&amp;"!A:D"), 4, FALSE)</f>
        <v>#REF!</v>
      </c>
      <c r="O78" s="39">
        <f t="shared" ca="1" si="230"/>
        <v>0</v>
      </c>
      <c r="P78" s="39">
        <f t="shared" ca="1" si="230"/>
        <v>0</v>
      </c>
      <c r="Q78" s="38" t="str">
        <f ca="1">IFERROR(__xludf.DUMMYFUNCTION("IF(COUNTA(K78:P78)=0, """", ARRAYFORMULA(""- ""&amp;TEXTJOIN(char(10)&amp;""- "", TRUE, FILTER(K$1:P$1&amp;"": ""&amp;K78:P78, NOT(ISBLANK(K78:P78))))))"),"")</f>
        <v/>
      </c>
      <c r="R78" s="38" t="str">
        <f ca="1"/>
        <v/>
      </c>
      <c r="S78" s="40" t="b">
        <v>0</v>
      </c>
    </row>
    <row r="79" spans="1:20">
      <c r="A79" s="11" t="str">
        <f ca="1">IFERROR(__xludf.DUMMYFUNCTION("""COMPUTED_VALUE"""),"8d663f2f8836003e9e59158d4b98d2ab")</f>
        <v>8d663f2f8836003e9e59158d4b98d2ab</v>
      </c>
      <c r="B79" s="11" t="str">
        <f ca="1">IFERROR(__xludf.DUMMYFUNCTION("""COMPUTED_VALUE"""),"In order to encourage corporatisation, the government agreed to assume part of the debts of those hospitals willing to go through that process until the end of 2013. The Ministry of Health gave hospital authorities an opportunity to transform indebted ter"&amp;"tiary-care facilities from publicly owned institutions managed by local governments into companies owned by such governments with the further option to also involve a private investor. In the 2009-11 period, this form of transformation of public health-ca"&amp;"re units was supported by public resources from the general budget.")</f>
        <v>In order to encourage corporatisation, the government agreed to assume part of the debts of those hospitals willing to go through that process until the end of 2013. The Ministry of Health gave hospital authorities an opportunity to transform indebted tertiary-care facilities from publicly owned institutions managed by local governments into companies owned by such governments with the further option to also involve a private investor. In the 2009-11 period, this form of transformation of public health-care units was supported by public resources from the general budget.</v>
      </c>
      <c r="C79" s="41"/>
      <c r="D79" s="7" t="b">
        <f t="shared" ref="D79:I79" ca="1" si="231">VLOOKUP($A79, INDIRECT(D$1&amp;"!A:C"), 3, FALSE)</f>
        <v>0</v>
      </c>
      <c r="E79" s="7" t="str">
        <f t="shared" ca="1" si="231"/>
        <v>TO DO</v>
      </c>
      <c r="F79" s="7" t="b">
        <f t="shared" ca="1" si="231"/>
        <v>0</v>
      </c>
      <c r="G79" s="7" t="e">
        <f t="shared" ca="1" si="231"/>
        <v>#REF!</v>
      </c>
      <c r="H79" s="7" t="str">
        <f t="shared" ca="1" si="231"/>
        <v>TO DO</v>
      </c>
      <c r="I79" s="7" t="b">
        <f t="shared" ca="1" si="231"/>
        <v>0</v>
      </c>
      <c r="J79" s="38">
        <f t="shared" ca="1" si="1"/>
        <v>0.75</v>
      </c>
      <c r="K79" s="39">
        <f t="shared" ref="K79:L79" ca="1" si="232">VLOOKUP($A79, INDIRECT(K$1&amp;"!A:D"), 4, FALSE)</f>
        <v>0</v>
      </c>
      <c r="L79" s="39">
        <f t="shared" ca="1" si="232"/>
        <v>0</v>
      </c>
      <c r="M79" s="39"/>
      <c r="N79" s="39" t="e">
        <f t="shared" ref="N79:P79" ca="1" si="233">VLOOKUP($A79, INDIRECT(N$1&amp;"!A:D"), 4, FALSE)</f>
        <v>#REF!</v>
      </c>
      <c r="O79" s="39">
        <f t="shared" ca="1" si="233"/>
        <v>0</v>
      </c>
      <c r="P79" s="39">
        <f t="shared" ca="1" si="233"/>
        <v>0</v>
      </c>
      <c r="Q79" s="38" t="str">
        <f ca="1">IFERROR(__xludf.DUMMYFUNCTION("IF(COUNTA(K79:P79)=0, """", ARRAYFORMULA(""- ""&amp;TEXTJOIN(char(10)&amp;""- "", TRUE, FILTER(K$1:P$1&amp;"": ""&amp;K79:P79, NOT(ISBLANK(K79:P79))))))"),"")</f>
        <v/>
      </c>
      <c r="R79" s="38" t="str">
        <f ca="1"/>
        <v/>
      </c>
      <c r="S79" s="40" t="b">
        <v>0</v>
      </c>
    </row>
    <row r="80" spans="1:20">
      <c r="A80" s="11" t="str">
        <f ca="1">IFERROR(__xludf.DUMMYFUNCTION("""COMPUTED_VALUE"""),"9234e72011b4d85087f8cff80ae0645b")</f>
        <v>9234e72011b4d85087f8cff80ae0645b</v>
      </c>
      <c r="B80" s="11" t="str">
        <f ca="1">IFERROR(__xludf.DUMMYFUNCTION("""COMPUTED_VALUE"""),"Poverty reduction was featured as the first and pre-eminent goal. At the end of the 1990s, the World Bank and the International Monetary Fund had incorporated a linkage between market-oriented structural adjustment policies and the poverty agenda within t"&amp;"he revised framework for the heavily indebted poor countries (HIPCs), making the formulation of Poverty Reduction Strategy Papers (PRSPs) a precondition for the receipt of debt relief under the heavily indebted poor countries Initiative. However, the Goal"&amp;"s, per se, do not encompass any particular strategy for achieving those objectives.")</f>
        <v>Poverty reduction was featured as the first and pre-eminent goal. At the end of the 1990s, the World Bank and the International Monetary Fund had incorporated a linkage between market-oriented structural adjustment policies and the poverty agenda within the revised framework for the heavily indebted poor countries (HIPCs), making the formulation of Poverty Reduction Strategy Papers (PRSPs) a precondition for the receipt of debt relief under the heavily indebted poor countries Initiative. However, the Goals, per se, do not encompass any particular strategy for achieving those objectives.</v>
      </c>
      <c r="C80" s="7" t="s">
        <v>455</v>
      </c>
      <c r="D80" s="7" t="b">
        <f t="shared" ref="D80:I80" ca="1" si="234">VLOOKUP($A80, INDIRECT(D$1&amp;"!A:C"), 3, FALSE)</f>
        <v>1</v>
      </c>
      <c r="E80" s="7" t="str">
        <f t="shared" ca="1" si="234"/>
        <v>TO DO</v>
      </c>
      <c r="F80" s="7" t="b">
        <f t="shared" ca="1" si="234"/>
        <v>1</v>
      </c>
      <c r="G80" s="7" t="e">
        <f t="shared" ca="1" si="234"/>
        <v>#REF!</v>
      </c>
      <c r="H80" s="7" t="b">
        <f t="shared" ca="1" si="234"/>
        <v>0</v>
      </c>
      <c r="I80" s="7" t="b">
        <f t="shared" ca="1" si="234"/>
        <v>1</v>
      </c>
      <c r="J80" s="38">
        <f t="shared" ca="1" si="1"/>
        <v>0.4</v>
      </c>
      <c r="K80" s="39">
        <f t="shared" ref="K80:L80" ca="1" si="235">VLOOKUP($A80, INDIRECT(K$1&amp;"!A:D"), 4, FALSE)</f>
        <v>0</v>
      </c>
      <c r="L80" s="39">
        <f t="shared" ca="1" si="235"/>
        <v>0</v>
      </c>
      <c r="M80" s="39"/>
      <c r="N80" s="39" t="e">
        <f t="shared" ref="N80:P80" ca="1" si="236">VLOOKUP($A80, INDIRECT(N$1&amp;"!A:D"), 4, FALSE)</f>
        <v>#REF!</v>
      </c>
      <c r="O80" s="39">
        <f t="shared" ca="1" si="236"/>
        <v>0</v>
      </c>
      <c r="P80" s="39">
        <f t="shared" ca="1" si="236"/>
        <v>17.399999999999999</v>
      </c>
      <c r="Q80" s="38" t="str">
        <f ca="1">IFERROR(__xludf.DUMMYFUNCTION("IF(COUNTA(K80:P80)=0, """", ARRAYFORMULA(""- ""&amp;TEXTJOIN(char(10)&amp;""- "", TRUE, FILTER(K$1:P$1&amp;"": ""&amp;K80:P80, NOT(ISBLANK(K80:P80))))))"),"- Steve: 17.4")</f>
        <v>- Steve: 17.4</v>
      </c>
      <c r="R80" s="38" t="str">
        <f ca="1"/>
        <v>- Steve: 17.4</v>
      </c>
      <c r="S80" s="40" t="s">
        <v>449</v>
      </c>
    </row>
    <row r="81" spans="1:19">
      <c r="A81" s="11" t="str">
        <f ca="1">IFERROR(__xludf.DUMMYFUNCTION("""COMPUTED_VALUE"""),"9cd5d99078edee795d3fdf0d3db91b76")</f>
        <v>9cd5d99078edee795d3fdf0d3db91b76</v>
      </c>
      <c r="B81" s="11" t="str">
        <f ca="1">IFERROR(__xludf.DUMMYFUNCTION("""COMPUTED_VALUE"""),"Programmes for facing the development challenges of the poorest and the hungriest have also been expanded. This includes the heavily indebted poor countries (HIPC) and Enhanced HIPC Initiatives, Education for All Fast Track Initiative (EFA-FTI), and other"&amp;" similar measures. The international assistance programmes have begun to focus on the poorest countries and peoples to complement the BPoA. The World Summit (September 2005) reiterated the commitments of the donors to fulfil the BPoA target of providing 0"&amp;".15-0.20 per cent of GNI as ODA to the LDCs.")</f>
        <v>Programmes for facing the development challenges of the poorest and the hungriest have also been expanded. This includes the heavily indebted poor countries (HIPC) and Enhanced HIPC Initiatives, Education for All Fast Track Initiative (EFA-FTI), and other similar measures. The international assistance programmes have begun to focus on the poorest countries and peoples to complement the BPoA. The World Summit (September 2005) reiterated the commitments of the donors to fulfil the BPoA target of providing 0.15-0.20 per cent of GNI as ODA to the LDCs.</v>
      </c>
      <c r="C81" s="7" t="s">
        <v>466</v>
      </c>
      <c r="D81" s="7" t="b">
        <f t="shared" ref="D81:I81" ca="1" si="237">VLOOKUP($A81, INDIRECT(D$1&amp;"!A:C"), 3, FALSE)</f>
        <v>1</v>
      </c>
      <c r="E81" s="7" t="b">
        <f t="shared" ca="1" si="237"/>
        <v>1</v>
      </c>
      <c r="F81" s="7" t="b">
        <f t="shared" ca="1" si="237"/>
        <v>1</v>
      </c>
      <c r="G81" s="7" t="e">
        <f t="shared" ca="1" si="237"/>
        <v>#REF!</v>
      </c>
      <c r="H81" s="7" t="b">
        <f t="shared" ca="1" si="237"/>
        <v>0</v>
      </c>
      <c r="I81" s="7" t="b">
        <f t="shared" ca="1" si="237"/>
        <v>1</v>
      </c>
      <c r="J81" s="38">
        <f t="shared" ca="1" si="1"/>
        <v>0.5</v>
      </c>
      <c r="K81" s="39">
        <f t="shared" ref="K81:L81" ca="1" si="238">VLOOKUP($A81, INDIRECT(K$1&amp;"!A:D"), 4, FALSE)</f>
        <v>0</v>
      </c>
      <c r="L81" s="39">
        <f t="shared" ca="1" si="238"/>
        <v>0</v>
      </c>
      <c r="M81" s="39"/>
      <c r="N81" s="39" t="e">
        <f t="shared" ref="N81:P81" ca="1" si="239">VLOOKUP($A81, INDIRECT(N$1&amp;"!A:D"), 4, FALSE)</f>
        <v>#REF!</v>
      </c>
      <c r="O81" s="39">
        <f t="shared" ca="1" si="239"/>
        <v>0</v>
      </c>
      <c r="P81" s="39" t="str">
        <f t="shared" ca="1" si="239"/>
        <v>resource mobilisation</v>
      </c>
      <c r="Q81" s="38" t="str">
        <f ca="1">IFERROR(__xludf.DUMMYFUNCTION("IF(COUNTA(K81:P81)=0, """", ARRAYFORMULA(""- ""&amp;TEXTJOIN(char(10)&amp;""- "", TRUE, FILTER(K$1:P$1&amp;"": ""&amp;K81:P81, NOT(ISBLANK(K81:P81))))))"),"- Steve: resource mobilisation")</f>
        <v>- Steve: resource mobilisation</v>
      </c>
      <c r="R81" s="38" t="str">
        <f ca="1"/>
        <v>- Steve: resource mobilisation</v>
      </c>
      <c r="S81" s="40" t="s">
        <v>449</v>
      </c>
    </row>
    <row r="82" spans="1:19">
      <c r="A82" s="11" t="str">
        <f ca="1">IFERROR(__xludf.DUMMYFUNCTION("""COMPUTED_VALUE"""),"6da8eaad0746d3238a7bbaf8c1743efb")</f>
        <v>6da8eaad0746d3238a7bbaf8c1743efb</v>
      </c>
      <c r="B82" s="11" t="str">
        <f ca="1">IFERROR(__xludf.DUMMYFUNCTION("""COMPUTED_VALUE"""),"When temperatures drop, and lichen is covered with ice, many reindeer are likely to starve. In addition, the thinning of the Arctic ice has made tracking reindeer herds more dangerous, as the inherited local knowledge regarding safe tracking is then no lo"&amp;"nger useful. This is clear when considering the case of Nepal, a least developed country, where rising temperatures, erratic rain- and snowfall, and the unpredictability of the beginning of the monsoon season have resulted in slow growth and decreased cro"&amp;"p production.")</f>
        <v>When temperatures drop, and lichen is covered with ice, many reindeer are likely to starve. In addition, the thinning of the Arctic ice has made tracking reindeer herds more dangerous, as the inherited local knowledge regarding safe tracking is then no longer useful. This is clear when considering the case of Nepal, a least developed country, where rising temperatures, erratic rain- and snowfall, and the unpredictability of the beginning of the monsoon season have resulted in slow growth and decreased crop production.</v>
      </c>
      <c r="C82" s="41"/>
      <c r="D82" s="7" t="b">
        <f t="shared" ref="D82:I82" ca="1" si="240">VLOOKUP($A82, INDIRECT(D$1&amp;"!A:C"), 3, FALSE)</f>
        <v>0</v>
      </c>
      <c r="E82" s="7" t="str">
        <f t="shared" ca="1" si="240"/>
        <v>TO DO</v>
      </c>
      <c r="F82" s="7" t="b">
        <f t="shared" ca="1" si="240"/>
        <v>0</v>
      </c>
      <c r="G82" s="7" t="e">
        <f t="shared" ca="1" si="240"/>
        <v>#REF!</v>
      </c>
      <c r="H82" s="7" t="b">
        <f t="shared" ca="1" si="240"/>
        <v>0</v>
      </c>
      <c r="I82" s="7" t="b">
        <f t="shared" ca="1" si="240"/>
        <v>0</v>
      </c>
      <c r="J82" s="38">
        <f t="shared" ca="1" si="1"/>
        <v>0.8</v>
      </c>
      <c r="K82" s="39">
        <f t="shared" ref="K82:L82" ca="1" si="241">VLOOKUP($A82, INDIRECT(K$1&amp;"!A:D"), 4, FALSE)</f>
        <v>0</v>
      </c>
      <c r="L82" s="39">
        <f t="shared" ca="1" si="241"/>
        <v>0</v>
      </c>
      <c r="M82" s="39"/>
      <c r="N82" s="39" t="e">
        <f t="shared" ref="N82:P82" ca="1" si="242">VLOOKUP($A82, INDIRECT(N$1&amp;"!A:D"), 4, FALSE)</f>
        <v>#REF!</v>
      </c>
      <c r="O82" s="39">
        <f t="shared" ca="1" si="242"/>
        <v>0</v>
      </c>
      <c r="P82" s="39">
        <f t="shared" ca="1" si="242"/>
        <v>0</v>
      </c>
      <c r="Q82" s="38" t="str">
        <f ca="1">IFERROR(__xludf.DUMMYFUNCTION("IF(COUNTA(K82:P82)=0, """", ARRAYFORMULA(""- ""&amp;TEXTJOIN(char(10)&amp;""- "", TRUE, FILTER(K$1:P$1&amp;"": ""&amp;K82:P82, NOT(ISBLANK(K82:P82))))))"),"")</f>
        <v/>
      </c>
      <c r="R82" s="38" t="str">
        <f ca="1"/>
        <v/>
      </c>
      <c r="S82" s="40" t="b">
        <v>0</v>
      </c>
    </row>
    <row r="83" spans="1:19">
      <c r="A83" s="11" t="str">
        <f ca="1">IFERROR(__xludf.DUMMYFUNCTION("""COMPUTED_VALUE"""),"73f015cb5eeb37a0cda89d82ec481729")</f>
        <v>73f015cb5eeb37a0cda89d82ec481729</v>
      </c>
      <c r="B83" s="11" t="str">
        <f ca="1">IFERROR(__xludf.DUMMYFUNCTION("""COMPUTED_VALUE"""),"It provides an overview of the financing for development agenda, highlighting the critical role of official development assistance (ODA) for the least developed countries, as well as its catalytic role in higher-income developing countries. The chapter an"&amp;"alyses2002-15aggregate aid-for-trade disbursements (around USD 300 billion) and takes a detailed look at aid-for-trade programmes that are building physical and digital connectivity. It offers a brief overview of academic findings on the results of aid-fo"&amp;"r-trade investments, as well as recent evaluations of donor aid-for-trade strategies and programmes. Case stories show how aid for trade is helping countries improve their physical and digital connectivity, turning trade opportunities into trade flows. Fi"&amp;"nally, the chapter provides an analysis of aid-for-trade commitments in 2015, closing with a series of conclusion.")</f>
        <v>It provides an overview of the financing for development agenda, highlighting the critical role of official development assistance (ODA) for the least developed countries, as well as its catalytic role in higher-income developing countries. The chapter analyses2002-15aggregate aid-for-trade disbursements (around USD 300 billion) and takes a detailed look at aid-for-trade programmes that are building physical and digital connectivity. It offers a brief overview of academic findings on the results of aid-for-trade investments, as well as recent evaluations of donor aid-for-trade strategies and programmes. Case stories show how aid for trade is helping countries improve their physical and digital connectivity, turning trade opportunities into trade flows. Finally, the chapter provides an analysis of aid-for-trade commitments in 2015, closing with a series of conclusion.</v>
      </c>
      <c r="C83" s="41"/>
      <c r="D83" s="7" t="b">
        <f t="shared" ref="D83:I83" ca="1" si="243">VLOOKUP($A83, INDIRECT(D$1&amp;"!A:C"), 3, FALSE)</f>
        <v>1</v>
      </c>
      <c r="E83" s="7" t="str">
        <f t="shared" ca="1" si="243"/>
        <v>TO DO</v>
      </c>
      <c r="F83" s="7" t="b">
        <f t="shared" ca="1" si="243"/>
        <v>1</v>
      </c>
      <c r="G83" s="7" t="e">
        <f t="shared" ca="1" si="243"/>
        <v>#REF!</v>
      </c>
      <c r="H83" s="7" t="b">
        <f t="shared" ca="1" si="243"/>
        <v>1</v>
      </c>
      <c r="I83" s="7" t="b">
        <f t="shared" ca="1" si="243"/>
        <v>1</v>
      </c>
      <c r="J83" s="38">
        <f t="shared" ca="1" si="1"/>
        <v>0.8</v>
      </c>
      <c r="K83" s="39">
        <f t="shared" ref="K83:L83" ca="1" si="244">VLOOKUP($A83, INDIRECT(K$1&amp;"!A:D"), 4, FALSE)</f>
        <v>0</v>
      </c>
      <c r="L83" s="39">
        <f t="shared" ca="1" si="244"/>
        <v>0</v>
      </c>
      <c r="M83" s="39"/>
      <c r="N83" s="39" t="e">
        <f t="shared" ref="N83:P83" ca="1" si="245">VLOOKUP($A83, INDIRECT(N$1&amp;"!A:D"), 4, FALSE)</f>
        <v>#REF!</v>
      </c>
      <c r="O83" s="39">
        <f t="shared" ca="1" si="245"/>
        <v>0</v>
      </c>
      <c r="P83" s="39">
        <f t="shared" ca="1" si="245"/>
        <v>0</v>
      </c>
      <c r="Q83" s="38" t="str">
        <f ca="1">IFERROR(__xludf.DUMMYFUNCTION("IF(COUNTA(K83:P83)=0, """", ARRAYFORMULA(""- ""&amp;TEXTJOIN(char(10)&amp;""- "", TRUE, FILTER(K$1:P$1&amp;"": ""&amp;K83:P83, NOT(ISBLANK(K83:P83))))))"),"")</f>
        <v/>
      </c>
      <c r="R83" s="38" t="str">
        <f ca="1"/>
        <v/>
      </c>
      <c r="S83" s="40" t="b">
        <v>1</v>
      </c>
    </row>
    <row r="84" spans="1:19">
      <c r="A84" s="11" t="str">
        <f ca="1">IFERROR(__xludf.DUMMYFUNCTION("""COMPUTED_VALUE"""),"c6c157e0d9e70b30426c105a02ecb05a")</f>
        <v>c6c157e0d9e70b30426c105a02ecb05a</v>
      </c>
      <c r="B84" s="11" t="str">
        <f ca="1">IFERROR(__xludf.DUMMYFUNCTION("""COMPUTED_VALUE"""),"This is particularly pressing in developing countries where young people often lack job-ready skills and Al platforms, tools, and applications are scarce. In the least developed countries (LDCs), a lack of mass digitalization and low penetration of broadb"&amp;"and mean there is insufficient data for machine learning and deep learning. There is also a lack of transparency in the use of education data to ensure algorithmic accountability, privacy and data transparency.")</f>
        <v>This is particularly pressing in developing countries where young people often lack job-ready skills and Al platforms, tools, and applications are scarce. In the least developed countries (LDCs), a lack of mass digitalization and low penetration of broadband mean there is insufficient data for machine learning and deep learning. There is also a lack of transparency in the use of education data to ensure algorithmic accountability, privacy and data transparency.</v>
      </c>
      <c r="C84" s="41"/>
      <c r="D84" s="7" t="b">
        <f t="shared" ref="D84:I84" ca="1" si="246">VLOOKUP($A84, INDIRECT(D$1&amp;"!A:C"), 3, FALSE)</f>
        <v>0</v>
      </c>
      <c r="E84" s="7" t="str">
        <f t="shared" ca="1" si="246"/>
        <v>TO DO</v>
      </c>
      <c r="F84" s="7" t="b">
        <f t="shared" ca="1" si="246"/>
        <v>1</v>
      </c>
      <c r="G84" s="7" t="e">
        <f t="shared" ca="1" si="246"/>
        <v>#REF!</v>
      </c>
      <c r="H84" s="7" t="str">
        <f t="shared" ca="1" si="246"/>
        <v>TO DO</v>
      </c>
      <c r="I84" s="7" t="b">
        <f t="shared" ca="1" si="246"/>
        <v>1</v>
      </c>
      <c r="J84" s="38">
        <f t="shared" ca="1" si="1"/>
        <v>0.25</v>
      </c>
      <c r="K84" s="39">
        <f t="shared" ref="K84:L84" ca="1" si="247">VLOOKUP($A84, INDIRECT(K$1&amp;"!A:D"), 4, FALSE)</f>
        <v>0</v>
      </c>
      <c r="L84" s="39">
        <f t="shared" ca="1" si="247"/>
        <v>0</v>
      </c>
      <c r="M84" s="39"/>
      <c r="N84" s="39" t="e">
        <f t="shared" ref="N84:P84" ca="1" si="248">VLOOKUP($A84, INDIRECT(N$1&amp;"!A:D"), 4, FALSE)</f>
        <v>#REF!</v>
      </c>
      <c r="O84" s="39">
        <f t="shared" ca="1" si="248"/>
        <v>0</v>
      </c>
      <c r="P84" s="39">
        <f t="shared" ca="1" si="248"/>
        <v>0</v>
      </c>
      <c r="Q84" s="38" t="str">
        <f ca="1">IFERROR(__xludf.DUMMYFUNCTION("IF(COUNTA(K84:P84)=0, """", ARRAYFORMULA(""- ""&amp;TEXTJOIN(char(10)&amp;""- "", TRUE, FILTER(K$1:P$1&amp;"": ""&amp;K84:P84, NOT(ISBLANK(K84:P84))))))"),"")</f>
        <v/>
      </c>
      <c r="R84" s="38" t="str">
        <f ca="1"/>
        <v/>
      </c>
      <c r="S84" s="40" t="s">
        <v>449</v>
      </c>
    </row>
    <row r="85" spans="1:19">
      <c r="A85" s="11" t="str">
        <f ca="1">IFERROR(__xludf.DUMMYFUNCTION("""COMPUTED_VALUE"""),"daed8f635ad6c363df5ffa2916ea6bdb")</f>
        <v>daed8f635ad6c363df5ffa2916ea6bdb</v>
      </c>
      <c r="B85" s="11" t="str">
        <f ca="1">IFERROR(__xludf.DUMMYFUNCTION("""COMPUTED_VALUE"""),"This source of funding is actually a number of different sources, with funds flowing from various donors through the World Bank and other agents, to countries that take action to reduce emissions from their forestry sectors. The Fund currently has US$10 b"&amp;"illion in committed funding available. In an innovative arrangement, financing is available not only to states (and public bodies such as environment or development ministries, development banks), but also to the private sector.13 Also worth noting is the"&amp;" intention to roughly balance investment between mitigation and adaptation, with at least half of the latter funds going to those countries most vulnerable to the impacts of climate change: least developed countries (LDCs), small island states and African"&amp;" states.")</f>
        <v>This source of funding is actually a number of different sources, with funds flowing from various donors through the World Bank and other agents, to countries that take action to reduce emissions from their forestry sectors. The Fund currently has US$10 billion in committed funding available. In an innovative arrangement, financing is available not only to states (and public bodies such as environment or development ministries, development banks), but also to the private sector.13 Also worth noting is the intention to roughly balance investment between mitigation and adaptation, with at least half of the latter funds going to those countries most vulnerable to the impacts of climate change: least developed countries (LDCs), small island states and African states.</v>
      </c>
      <c r="C85" s="41"/>
      <c r="D85" s="7" t="b">
        <f t="shared" ref="D85:I85" ca="1" si="249">VLOOKUP($A85, INDIRECT(D$1&amp;"!A:C"), 3, FALSE)</f>
        <v>1</v>
      </c>
      <c r="E85" s="7" t="b">
        <f t="shared" ca="1" si="249"/>
        <v>1</v>
      </c>
      <c r="F85" s="7" t="b">
        <f t="shared" ca="1" si="249"/>
        <v>1</v>
      </c>
      <c r="G85" s="7" t="e">
        <f t="shared" ca="1" si="249"/>
        <v>#REF!</v>
      </c>
      <c r="H85" s="7" t="b">
        <f t="shared" ca="1" si="249"/>
        <v>1</v>
      </c>
      <c r="I85" s="7" t="b">
        <f t="shared" ca="1" si="249"/>
        <v>1</v>
      </c>
      <c r="J85" s="38">
        <f t="shared" ca="1" si="1"/>
        <v>0.83333333333333337</v>
      </c>
      <c r="K85" s="39">
        <f t="shared" ref="K85:L85" ca="1" si="250">VLOOKUP($A85, INDIRECT(K$1&amp;"!A:D"), 4, FALSE)</f>
        <v>0</v>
      </c>
      <c r="L85" s="39">
        <f t="shared" ca="1" si="250"/>
        <v>17.3</v>
      </c>
      <c r="M85" s="39"/>
      <c r="N85" s="39" t="e">
        <f t="shared" ref="N85:P85" ca="1" si="251">VLOOKUP($A85, INDIRECT(N$1&amp;"!A:D"), 4, FALSE)</f>
        <v>#REF!</v>
      </c>
      <c r="O85" s="39">
        <f t="shared" ca="1" si="251"/>
        <v>0</v>
      </c>
      <c r="P85" s="39">
        <f t="shared" ca="1" si="251"/>
        <v>0</v>
      </c>
      <c r="Q85" s="38" t="str">
        <f ca="1">IFERROR(__xludf.DUMMYFUNCTION("IF(COUNTA(K85:P85)=0, """", ARRAYFORMULA(""- ""&amp;TEXTJOIN(char(10)&amp;""- "", TRUE, FILTER(K$1:P$1&amp;"": ""&amp;K85:P85, NOT(ISBLANK(K85:P85))))))"),"- Gib: 17.3")</f>
        <v>- Gib: 17.3</v>
      </c>
      <c r="R85" s="38" t="str">
        <f ca="1"/>
        <v>- Gib: 17.3</v>
      </c>
      <c r="S85" s="40" t="b">
        <v>1</v>
      </c>
    </row>
    <row r="86" spans="1:19">
      <c r="A86" s="11" t="str">
        <f ca="1">IFERROR(__xludf.DUMMYFUNCTION("""COMPUTED_VALUE"""),"018140e5ee7827b95ee7b9ac76ab9ae2")</f>
        <v>018140e5ee7827b95ee7b9ac76ab9ae2</v>
      </c>
      <c r="B86" s="11" t="str">
        <f ca="1">IFERROR(__xludf.DUMMYFUNCTION("""COMPUTED_VALUE"""),"Many development providers are exploring new ways of how to better integrate ICTs in the planning and implementation of development activities. However, more consolidated efforts through the DAC and other forums can improve knowledge sharing and set new s"&amp;"tandard and requirements across the development planning and implementation cycle. With greater access to the Internet through 3G and LTE mobile networks in developing countries, tailored ICT tools have the potential to improve measuring results and stren"&amp;"gthen monitoring and evaluation of development projects.")</f>
        <v>Many development providers are exploring new ways of how to better integrate ICTs in the planning and implementation of development activities. However, more consolidated efforts through the DAC and other forums can improve knowledge sharing and set new standard and requirements across the development planning and implementation cycle. With greater access to the Internet through 3G and LTE mobile networks in developing countries, tailored ICT tools have the potential to improve measuring results and strengthen monitoring and evaluation of development projects.</v>
      </c>
      <c r="C86" s="7" t="s">
        <v>455</v>
      </c>
      <c r="D86" s="7" t="b">
        <f t="shared" ref="D86:I86" ca="1" si="252">VLOOKUP($A86, INDIRECT(D$1&amp;"!A:C"), 3, FALSE)</f>
        <v>1</v>
      </c>
      <c r="E86" s="7" t="str">
        <f t="shared" ca="1" si="252"/>
        <v>TO DO</v>
      </c>
      <c r="F86" s="7" t="b">
        <f t="shared" ca="1" si="252"/>
        <v>1</v>
      </c>
      <c r="G86" s="7" t="e">
        <f t="shared" ca="1" si="252"/>
        <v>#REF!</v>
      </c>
      <c r="H86" s="7" t="b">
        <f t="shared" ca="1" si="252"/>
        <v>0</v>
      </c>
      <c r="I86" s="7" t="b">
        <f t="shared" ca="1" si="252"/>
        <v>1</v>
      </c>
      <c r="J86" s="38">
        <f t="shared" ca="1" si="1"/>
        <v>0.4</v>
      </c>
      <c r="K86" s="39">
        <f t="shared" ref="K86:L86" ca="1" si="253">VLOOKUP($A86, INDIRECT(K$1&amp;"!A:D"), 4, FALSE)</f>
        <v>0</v>
      </c>
      <c r="L86" s="39">
        <f t="shared" ca="1" si="253"/>
        <v>0</v>
      </c>
      <c r="M86" s="39"/>
      <c r="N86" s="39" t="e">
        <f t="shared" ref="N86:P86" ca="1" si="254">VLOOKUP($A86, INDIRECT(N$1&amp;"!A:D"), 4, FALSE)</f>
        <v>#REF!</v>
      </c>
      <c r="O86" s="39">
        <f t="shared" ca="1" si="254"/>
        <v>0</v>
      </c>
      <c r="P86" s="39">
        <f t="shared" ca="1" si="254"/>
        <v>0</v>
      </c>
      <c r="Q86" s="38" t="str">
        <f ca="1">IFERROR(__xludf.DUMMYFUNCTION("IF(COUNTA(K86:P86)=0, """", ARRAYFORMULA(""- ""&amp;TEXTJOIN(char(10)&amp;""- "", TRUE, FILTER(K$1:P$1&amp;"": ""&amp;K86:P86, NOT(ISBLANK(K86:P86))))))"),"")</f>
        <v/>
      </c>
      <c r="R86" s="38" t="str">
        <f ca="1"/>
        <v/>
      </c>
      <c r="S86" s="40" t="s">
        <v>449</v>
      </c>
    </row>
    <row r="87" spans="1:19">
      <c r="A87" s="11" t="str">
        <f ca="1">IFERROR(__xludf.DUMMYFUNCTION("""COMPUTED_VALUE"""),"2d7e4fc2800638a6df49715d80c51860")</f>
        <v>2d7e4fc2800638a6df49715d80c51860</v>
      </c>
      <c r="B87" s="11" t="str">
        <f ca="1">IFERROR(__xludf.DUMMYFUNCTION("""COMPUTED_VALUE"""),"Unless reversed, the mega trends sketched above suggest migratory pressures should be expected to increase substantially moving forward. International migration is bringing benefits to both countries of origin and destination, including remittances, knowl"&amp;"edge sharing and mitigation of labour shortages. It also comes with important costs to migrants themselves and the societies they live in, as migrants often face much less secure job situations, discrimination, and less than full access to health, educati"&amp;"on and other social services, while vast migration inflows has been a source of political and social tensions in many recipient countries.")</f>
        <v>Unless reversed, the mega trends sketched above suggest migratory pressures should be expected to increase substantially moving forward. International migration is bringing benefits to both countries of origin and destination, including remittances, knowledge sharing and mitigation of labour shortages. It also comes with important costs to migrants themselves and the societies they live in, as migrants often face much less secure job situations, discrimination, and less than full access to health, education and other social services, while vast migration inflows has been a source of political and social tensions in many recipient countries.</v>
      </c>
      <c r="C87" s="7" t="s">
        <v>455</v>
      </c>
      <c r="D87" s="7" t="b">
        <f t="shared" ref="D87:I87" ca="1" si="255">VLOOKUP($A87, INDIRECT(D$1&amp;"!A:C"), 3, FALSE)</f>
        <v>0</v>
      </c>
      <c r="E87" s="7" t="str">
        <f t="shared" ca="1" si="255"/>
        <v>TO DO</v>
      </c>
      <c r="F87" s="7" t="b">
        <f t="shared" ca="1" si="255"/>
        <v>0</v>
      </c>
      <c r="G87" s="7" t="e">
        <f t="shared" ca="1" si="255"/>
        <v>#REF!</v>
      </c>
      <c r="H87" s="7" t="b">
        <f t="shared" ca="1" si="255"/>
        <v>1</v>
      </c>
      <c r="I87" s="7" t="b">
        <f t="shared" ca="1" si="255"/>
        <v>0</v>
      </c>
      <c r="J87" s="38">
        <f t="shared" ca="1" si="1"/>
        <v>0.4</v>
      </c>
      <c r="K87" s="39">
        <f t="shared" ref="K87:L87" ca="1" si="256">VLOOKUP($A87, INDIRECT(K$1&amp;"!A:D"), 4, FALSE)</f>
        <v>0</v>
      </c>
      <c r="L87" s="39">
        <f t="shared" ca="1" si="256"/>
        <v>0</v>
      </c>
      <c r="M87" s="39"/>
      <c r="N87" s="39" t="e">
        <f t="shared" ref="N87:P87" ca="1" si="257">VLOOKUP($A87, INDIRECT(N$1&amp;"!A:D"), 4, FALSE)</f>
        <v>#REF!</v>
      </c>
      <c r="O87" s="39">
        <f t="shared" ca="1" si="257"/>
        <v>0</v>
      </c>
      <c r="P87" s="39">
        <f t="shared" ca="1" si="257"/>
        <v>0</v>
      </c>
      <c r="Q87" s="38" t="str">
        <f ca="1">IFERROR(__xludf.DUMMYFUNCTION("IF(COUNTA(K87:P87)=0, """", ARRAYFORMULA(""- ""&amp;TEXTJOIN(char(10)&amp;""- "", TRUE, FILTER(K$1:P$1&amp;"": ""&amp;K87:P87, NOT(ISBLANK(K87:P87))))))"),"")</f>
        <v/>
      </c>
      <c r="R87" s="38" t="str">
        <f ca="1"/>
        <v/>
      </c>
      <c r="S87" s="40" t="s">
        <v>449</v>
      </c>
    </row>
    <row r="88" spans="1:19">
      <c r="A88" s="11" t="str">
        <f ca="1">IFERROR(__xludf.DUMMYFUNCTION("""COMPUTED_VALUE"""),"85c3b72aeb7dac86b9d06614abc02e01")</f>
        <v>85c3b72aeb7dac86b9d06614abc02e01</v>
      </c>
      <c r="B88" s="11" t="str">
        <f ca="1">IFERROR(__xludf.DUMMYFUNCTION("""COMPUTED_VALUE"""),"The DAC are also discussing ways to improve knowledge sharing, promote learning, and incentivise innovation in development co-operation policies and practices. While the details of such marker are not yet defined, the proposal to add a new marker on innov"&amp;"ation signals DAC members’ increasing ambition towards greater innovation in how development co-operation is planned and implemented. While there are many technological developments across many fields, most references in STI policy are linked to the digit"&amp;"al transformation and the access and use of modern information, communication technologies (ICTs).")</f>
        <v>The DAC are also discussing ways to improve knowledge sharing, promote learning, and incentivise innovation in development co-operation policies and practices. While the details of such marker are not yet defined, the proposal to add a new marker on innovation signals DAC members’ increasing ambition towards greater innovation in how development co-operation is planned and implemented. While there are many technological developments across many fields, most references in STI policy are linked to the digital transformation and the access and use of modern information, communication technologies (ICTs).</v>
      </c>
      <c r="C88" s="41"/>
      <c r="D88" s="7" t="b">
        <f t="shared" ref="D88:I88" ca="1" si="258">VLOOKUP($A88, INDIRECT(D$1&amp;"!A:C"), 3, FALSE)</f>
        <v>1</v>
      </c>
      <c r="E88" s="7" t="str">
        <f t="shared" ca="1" si="258"/>
        <v>TO DO</v>
      </c>
      <c r="F88" s="7" t="b">
        <f t="shared" ca="1" si="258"/>
        <v>1</v>
      </c>
      <c r="G88" s="7" t="e">
        <f t="shared" ca="1" si="258"/>
        <v>#REF!</v>
      </c>
      <c r="H88" s="7" t="str">
        <f t="shared" ca="1" si="258"/>
        <v>TO DO</v>
      </c>
      <c r="I88" s="7" t="b">
        <f t="shared" ca="1" si="258"/>
        <v>1</v>
      </c>
      <c r="J88" s="38">
        <f t="shared" ca="1" si="1"/>
        <v>0.75</v>
      </c>
      <c r="K88" s="39">
        <f t="shared" ref="K88:L88" ca="1" si="259">VLOOKUP($A88, INDIRECT(K$1&amp;"!A:D"), 4, FALSE)</f>
        <v>0</v>
      </c>
      <c r="L88" s="39">
        <f t="shared" ca="1" si="259"/>
        <v>0</v>
      </c>
      <c r="M88" s="39"/>
      <c r="N88" s="39" t="e">
        <f t="shared" ref="N88:P88" ca="1" si="260">VLOOKUP($A88, INDIRECT(N$1&amp;"!A:D"), 4, FALSE)</f>
        <v>#REF!</v>
      </c>
      <c r="O88" s="39">
        <f t="shared" ca="1" si="260"/>
        <v>0</v>
      </c>
      <c r="P88" s="39">
        <f t="shared" ca="1" si="260"/>
        <v>0</v>
      </c>
      <c r="Q88" s="38" t="str">
        <f ca="1">IFERROR(__xludf.DUMMYFUNCTION("IF(COUNTA(K88:P88)=0, """", ARRAYFORMULA(""- ""&amp;TEXTJOIN(char(10)&amp;""- "", TRUE, FILTER(K$1:P$1&amp;"": ""&amp;K88:P88, NOT(ISBLANK(K88:P88))))))"),"")</f>
        <v/>
      </c>
      <c r="R88" s="38" t="str">
        <f ca="1"/>
        <v/>
      </c>
      <c r="S88" s="40" t="b">
        <v>1</v>
      </c>
    </row>
    <row r="89" spans="1:19">
      <c r="A89" s="11" t="str">
        <f ca="1">IFERROR(__xludf.DUMMYFUNCTION("""COMPUTED_VALUE"""),"e4cf1adbdcd9214fac33eb65e49e93a3")</f>
        <v>e4cf1adbdcd9214fac33eb65e49e93a3</v>
      </c>
      <c r="B89" s="11" t="str">
        <f ca="1">IFERROR(__xludf.DUMMYFUNCTION("""COMPUTED_VALUE"""),"The practical deployment of new ICTs has become a driving force of customised Internet platforms and applications (Pereira et al., The function of ICT platforms has taken new and varied dimensions as virtual meetings, Internet-based platforms (social medi"&amp;"a, chat rooms, online fora) and e-voting are used more frequently. Their role is not only to provide the available knowledge to inform stakeholders and debates but also to constitute the common-ground through which these debates are organised, and to inte"&amp;"grate other sources of knowledge (e.g. crowdsourcing and knowledge sharing from the community collected through apps and social media).")</f>
        <v>The practical deployment of new ICTs has become a driving force of customised Internet platforms and applications (Pereira et al., The function of ICT platforms has taken new and varied dimensions as virtual meetings, Internet-based platforms (social media, chat rooms, online fora) and e-voting are used more frequently. Their role is not only to provide the available knowledge to inform stakeholders and debates but also to constitute the common-ground through which these debates are organised, and to integrate other sources of knowledge (e.g. crowdsourcing and knowledge sharing from the community collected through apps and social media).</v>
      </c>
      <c r="C89" s="41"/>
      <c r="D89" s="7" t="b">
        <f t="shared" ref="D89:I89" ca="1" si="261">VLOOKUP($A89, INDIRECT(D$1&amp;"!A:C"), 3, FALSE)</f>
        <v>0</v>
      </c>
      <c r="E89" s="7" t="str">
        <f t="shared" ca="1" si="261"/>
        <v>TO DO</v>
      </c>
      <c r="F89" s="7" t="b">
        <f t="shared" ca="1" si="261"/>
        <v>0</v>
      </c>
      <c r="G89" s="7" t="e">
        <f t="shared" ca="1" si="261"/>
        <v>#REF!</v>
      </c>
      <c r="H89" s="7" t="b">
        <f t="shared" ca="1" si="261"/>
        <v>0</v>
      </c>
      <c r="I89" s="7" t="b">
        <f t="shared" ca="1" si="261"/>
        <v>0</v>
      </c>
      <c r="J89" s="38">
        <f t="shared" ca="1" si="1"/>
        <v>0.8</v>
      </c>
      <c r="K89" s="39">
        <f t="shared" ref="K89:L89" ca="1" si="262">VLOOKUP($A89, INDIRECT(K$1&amp;"!A:D"), 4, FALSE)</f>
        <v>0</v>
      </c>
      <c r="L89" s="39">
        <f t="shared" ca="1" si="262"/>
        <v>0</v>
      </c>
      <c r="M89" s="39"/>
      <c r="N89" s="39" t="e">
        <f t="shared" ref="N89:P89" ca="1" si="263">VLOOKUP($A89, INDIRECT(N$1&amp;"!A:D"), 4, FALSE)</f>
        <v>#REF!</v>
      </c>
      <c r="O89" s="39">
        <f t="shared" ca="1" si="263"/>
        <v>0</v>
      </c>
      <c r="P89" s="39">
        <f t="shared" ca="1" si="263"/>
        <v>0</v>
      </c>
      <c r="Q89" s="38" t="str">
        <f ca="1">IFERROR(__xludf.DUMMYFUNCTION("IF(COUNTA(K89:P89)=0, """", ARRAYFORMULA(""- ""&amp;TEXTJOIN(char(10)&amp;""- "", TRUE, FILTER(K$1:P$1&amp;"": ""&amp;K89:P89, NOT(ISBLANK(K89:P89))))))"),"")</f>
        <v/>
      </c>
      <c r="R89" s="38" t="str">
        <f ca="1"/>
        <v/>
      </c>
      <c r="S89" s="40" t="b">
        <v>0</v>
      </c>
    </row>
    <row r="90" spans="1:19">
      <c r="A90" s="11" t="str">
        <f ca="1">IFERROR(__xludf.DUMMYFUNCTION("""COMPUTED_VALUE"""),"29eff581258b80edb918583680aba4f0")</f>
        <v>29eff581258b80edb918583680aba4f0</v>
      </c>
      <c r="B90" s="11" t="str">
        <f ca="1">IFERROR(__xludf.DUMMYFUNCTION("""COMPUTED_VALUE"""),"Cyberjaya in Malaysia was built between the new national airport and Kuala Lumpur, with fast road and rail links to the airport and high quality communications infrastructure to attract international ICT companies. Biotechnology is one sectoral focus -oft"&amp;"en fostered by regional biotech strategies. In Germany, regions developed strategies as part of their participation in the national BioRegio initiative. North Carolina State University’s Centennial Campus is being developed around four main technologies w"&amp;"hich lie at the heart of the university’s strategy - IT, genomics/biotech, advanced materials and environmental technologies. The different objectives can work against each other, such as those relating to innovation and technology transfer being undermin"&amp;"ed by commercial expediency in filling space. The strictness of criteria for entry will be weighed against the market premium for space rental based on tenant quality.")</f>
        <v>Cyberjaya in Malaysia was built between the new national airport and Kuala Lumpur, with fast road and rail links to the airport and high quality communications infrastructure to attract international ICT companies. Biotechnology is one sectoral focus -often fostered by regional biotech strategies. In Germany, regions developed strategies as part of their participation in the national BioRegio initiative. North Carolina State University’s Centennial Campus is being developed around four main technologies which lie at the heart of the university’s strategy - IT, genomics/biotech, advanced materials and environmental technologies. The different objectives can work against each other, such as those relating to innovation and technology transfer being undermined by commercial expediency in filling space. The strictness of criteria for entry will be weighed against the market premium for space rental based on tenant quality.</v>
      </c>
      <c r="C90" s="7" t="s">
        <v>455</v>
      </c>
      <c r="D90" s="7" t="b">
        <f t="shared" ref="D90:I90" ca="1" si="264">VLOOKUP($A90, INDIRECT(D$1&amp;"!A:C"), 3, FALSE)</f>
        <v>0</v>
      </c>
      <c r="E90" s="7" t="str">
        <f t="shared" ca="1" si="264"/>
        <v>TO DO</v>
      </c>
      <c r="F90" s="7" t="b">
        <f t="shared" ca="1" si="264"/>
        <v>0</v>
      </c>
      <c r="G90" s="7" t="e">
        <f t="shared" ca="1" si="264"/>
        <v>#REF!</v>
      </c>
      <c r="H90" s="7" t="b">
        <f t="shared" ca="1" si="264"/>
        <v>1</v>
      </c>
      <c r="I90" s="7" t="b">
        <f t="shared" ca="1" si="264"/>
        <v>0</v>
      </c>
      <c r="J90" s="38">
        <f t="shared" ca="1" si="1"/>
        <v>0.4</v>
      </c>
      <c r="K90" s="39">
        <f t="shared" ref="K90:L90" ca="1" si="265">VLOOKUP($A90, INDIRECT(K$1&amp;"!A:D"), 4, FALSE)</f>
        <v>0</v>
      </c>
      <c r="L90" s="39">
        <f t="shared" ca="1" si="265"/>
        <v>0</v>
      </c>
      <c r="M90" s="39"/>
      <c r="N90" s="39" t="e">
        <f t="shared" ref="N90:P90" ca="1" si="266">VLOOKUP($A90, INDIRECT(N$1&amp;"!A:D"), 4, FALSE)</f>
        <v>#REF!</v>
      </c>
      <c r="O90" s="39">
        <f t="shared" ca="1" si="266"/>
        <v>0</v>
      </c>
      <c r="P90" s="39">
        <f t="shared" ca="1" si="266"/>
        <v>0</v>
      </c>
      <c r="Q90" s="38" t="str">
        <f ca="1">IFERROR(__xludf.DUMMYFUNCTION("IF(COUNTA(K90:P90)=0, """", ARRAYFORMULA(""- ""&amp;TEXTJOIN(char(10)&amp;""- "", TRUE, FILTER(K$1:P$1&amp;"": ""&amp;K90:P90, NOT(ISBLANK(K90:P90))))))"),"")</f>
        <v/>
      </c>
      <c r="R90" s="38" t="str">
        <f ca="1"/>
        <v/>
      </c>
      <c r="S90" s="40" t="s">
        <v>449</v>
      </c>
    </row>
    <row r="91" spans="1:19">
      <c r="A91" s="11" t="str">
        <f ca="1">IFERROR(__xludf.DUMMYFUNCTION("""COMPUTED_VALUE"""),"5813e579def72bd9cb026d1271e4ad9e")</f>
        <v>5813e579def72bd9cb026d1271e4ad9e</v>
      </c>
      <c r="B91" s="11" t="str">
        <f ca="1">IFERROR(__xludf.DUMMYFUNCTION("""COMPUTED_VALUE"""),"However, recalling that this is not at present the main avenue for mitigation under the Paris Agreement, it remains to be seen whether demand for developing country emissions reductions will be a major source of exchange and opportunity or only play a min"&amp;"or role. It is also unclear whether the scope of the SDM will specifically favour LDCs or a broader group of developing or vulnerable states that reflects the specific circumstances of the SIDS - an issue that arose under the CDM of the Kyoto Protocol20. "&amp;"Again, however, the vague nature of the Paris Agreement's provisions on technology transfer commends some caution as to how and when this element of the agreement will actually affect the global economy.")</f>
        <v>However, recalling that this is not at present the main avenue for mitigation under the Paris Agreement, it remains to be seen whether demand for developing country emissions reductions will be a major source of exchange and opportunity or only play a minor role. It is also unclear whether the scope of the SDM will specifically favour LDCs or a broader group of developing or vulnerable states that reflects the specific circumstances of the SIDS - an issue that arose under the CDM of the Kyoto Protocol20. Again, however, the vague nature of the Paris Agreement's provisions on technology transfer commends some caution as to how and when this element of the agreement will actually affect the global economy.</v>
      </c>
      <c r="C91" s="41"/>
      <c r="D91" s="7" t="b">
        <f t="shared" ref="D91:I91" ca="1" si="267">VLOOKUP($A91, INDIRECT(D$1&amp;"!A:C"), 3, FALSE)</f>
        <v>1</v>
      </c>
      <c r="E91" s="7" t="str">
        <f t="shared" ca="1" si="267"/>
        <v>TO DO</v>
      </c>
      <c r="F91" s="7" t="b">
        <f t="shared" ca="1" si="267"/>
        <v>1</v>
      </c>
      <c r="G91" s="7" t="e">
        <f t="shared" ca="1" si="267"/>
        <v>#REF!</v>
      </c>
      <c r="H91" s="7" t="b">
        <f t="shared" ca="1" si="267"/>
        <v>0</v>
      </c>
      <c r="I91" s="7" t="b">
        <f t="shared" ca="1" si="267"/>
        <v>0</v>
      </c>
      <c r="J91" s="38">
        <f t="shared" ca="1" si="1"/>
        <v>0</v>
      </c>
      <c r="K91" s="39">
        <f t="shared" ref="K91:L91" ca="1" si="268">VLOOKUP($A91, INDIRECT(K$1&amp;"!A:D"), 4, FALSE)</f>
        <v>0</v>
      </c>
      <c r="L91" s="39">
        <f t="shared" ca="1" si="268"/>
        <v>0</v>
      </c>
      <c r="M91" s="39"/>
      <c r="N91" s="39" t="e">
        <f t="shared" ref="N91:P91" ca="1" si="269">VLOOKUP($A91, INDIRECT(N$1&amp;"!A:D"), 4, FALSE)</f>
        <v>#REF!</v>
      </c>
      <c r="O91" s="39">
        <f t="shared" ca="1" si="269"/>
        <v>0</v>
      </c>
      <c r="P91" s="39">
        <f t="shared" ca="1" si="269"/>
        <v>0</v>
      </c>
      <c r="Q91" s="38" t="str">
        <f ca="1">IFERROR(__xludf.DUMMYFUNCTION("IF(COUNTA(K91:P91)=0, """", ARRAYFORMULA(""- ""&amp;TEXTJOIN(char(10)&amp;""- "", TRUE, FILTER(K$1:P$1&amp;"": ""&amp;K91:P91, NOT(ISBLANK(K91:P91))))))"),"")</f>
        <v/>
      </c>
      <c r="R91" s="38" t="str">
        <f ca="1"/>
        <v/>
      </c>
      <c r="S91" s="40" t="s">
        <v>449</v>
      </c>
    </row>
    <row r="92" spans="1:19">
      <c r="A92" s="11" t="str">
        <f ca="1">IFERROR(__xludf.DUMMYFUNCTION("""COMPUTED_VALUE"""),"9b93f14a7860f878ece456a4d6e53656")</f>
        <v>9b93f14a7860f878ece456a4d6e53656</v>
      </c>
      <c r="B92" s="11" t="str">
        <f ca="1">IFERROR(__xludf.DUMMYFUNCTION("""COMPUTED_VALUE"""),"Public environment-related R&amp;D expenditure has been more or less constant as a share of public R&amp;D spending in OECD countries. The development and diffusion of environmental technologies, as measured through patent data, is generally increasing across cou"&amp;"ntries in all areas of importance to green growth. Yet progress is uneven across countries, and is unlikely to deliver major changes in key environmental domains (OECD, 2014a). Given that a large majority of “green” innovations are developed in a small nu"&amp;"mber of countries, achieving greater global diffusion will be essential.")</f>
        <v>Public environment-related R&amp;D expenditure has been more or less constant as a share of public R&amp;D spending in OECD countries. The development and diffusion of environmental technologies, as measured through patent data, is generally increasing across countries in all areas of importance to green growth. Yet progress is uneven across countries, and is unlikely to deliver major changes in key environmental domains (OECD, 2014a). Given that a large majority of “green” innovations are developed in a small number of countries, achieving greater global diffusion will be essential.</v>
      </c>
      <c r="C92" s="7"/>
      <c r="D92" s="7" t="b">
        <f t="shared" ref="D92:I92" ca="1" si="270">VLOOKUP($A92, INDIRECT(D$1&amp;"!A:C"), 3, FALSE)</f>
        <v>0</v>
      </c>
      <c r="E92" s="7" t="str">
        <f t="shared" ca="1" si="270"/>
        <v>TO DO</v>
      </c>
      <c r="F92" s="7" t="b">
        <f t="shared" ca="1" si="270"/>
        <v>1</v>
      </c>
      <c r="G92" s="7" t="e">
        <f t="shared" ca="1" si="270"/>
        <v>#REF!</v>
      </c>
      <c r="H92" s="7" t="b">
        <f t="shared" ca="1" si="270"/>
        <v>1</v>
      </c>
      <c r="I92" s="7" t="b">
        <f t="shared" ca="1" si="270"/>
        <v>0</v>
      </c>
      <c r="J92" s="38">
        <f t="shared" ca="1" si="1"/>
        <v>0</v>
      </c>
      <c r="K92" s="39">
        <f t="shared" ref="K92:L92" ca="1" si="271">VLOOKUP($A92, INDIRECT(K$1&amp;"!A:D"), 4, FALSE)</f>
        <v>0</v>
      </c>
      <c r="L92" s="39">
        <f t="shared" ca="1" si="271"/>
        <v>0</v>
      </c>
      <c r="M92" s="39"/>
      <c r="N92" s="39" t="e">
        <f t="shared" ref="N92:P92" ca="1" si="272">VLOOKUP($A92, INDIRECT(N$1&amp;"!A:D"), 4, FALSE)</f>
        <v>#REF!</v>
      </c>
      <c r="O92" s="39">
        <f t="shared" ca="1" si="272"/>
        <v>0</v>
      </c>
      <c r="P92" s="39" t="str">
        <f t="shared" ca="1" si="272"/>
        <v>no developing countries context</v>
      </c>
      <c r="Q92" s="38" t="str">
        <f ca="1">IFERROR(__xludf.DUMMYFUNCTION("IF(COUNTA(K92:P92)=0, """", ARRAYFORMULA(""- ""&amp;TEXTJOIN(char(10)&amp;""- "", TRUE, FILTER(K$1:P$1&amp;"": ""&amp;K92:P92, NOT(ISBLANK(K92:P92))))))"),"- Steve: no developing countries context")</f>
        <v>- Steve: no developing countries context</v>
      </c>
      <c r="R92" s="38" t="str">
        <f ca="1"/>
        <v>- Steve: no developing countries context</v>
      </c>
      <c r="S92" s="40" t="s">
        <v>449</v>
      </c>
    </row>
    <row r="93" spans="1:19">
      <c r="A93" s="11" t="str">
        <f ca="1">IFERROR(__xludf.DUMMYFUNCTION("""COMPUTED_VALUE"""),"c0e623b99899a1d8f19efca591f9846a")</f>
        <v>c0e623b99899a1d8f19efca591f9846a</v>
      </c>
      <c r="B93" s="11" t="str">
        <f ca="1">IFERROR(__xludf.DUMMYFUNCTION("""COMPUTED_VALUE"""),"The Paris Agreement continues this bifurcation in some respects by not making reporting on financial, technology transfer and capacity-building support received mandatory (Article 13.10 indicates that developing countries “should” provide this information"&amp;"). However, the Paris Agreement does indicate that developed countries “shall” biennially communicate indicative quantitative and qualitative information on climate finance, technology transfer and capacity building provided to developing country parties,"&amp;" as well as on climate finance mobilised, and that other countries “are encouraged to do so”. This information on support needs is included in various documents that have been prepared inside the UNFCCC framework (e.g. BURs, NCs, NAPAs, TNAs and INDCs) as"&amp;" well as outside (e.g. Strategic Program for Climate Resilience - SPCR, national climate funds).")</f>
        <v>The Paris Agreement continues this bifurcation in some respects by not making reporting on financial, technology transfer and capacity-building support received mandatory (Article 13.10 indicates that developing countries “should” provide this information). However, the Paris Agreement does indicate that developed countries “shall” biennially communicate indicative quantitative and qualitative information on climate finance, technology transfer and capacity building provided to developing country parties, as well as on climate finance mobilised, and that other countries “are encouraged to do so”. This information on support needs is included in various documents that have been prepared inside the UNFCCC framework (e.g. BURs, NCs, NAPAs, TNAs and INDCs) as well as outside (e.g. Strategic Program for Climate Resilience - SPCR, national climate funds).</v>
      </c>
      <c r="C93" s="7"/>
      <c r="D93" s="7" t="b">
        <f t="shared" ref="D93:I93" ca="1" si="273">VLOOKUP($A93, INDIRECT(D$1&amp;"!A:C"), 3, FALSE)</f>
        <v>1</v>
      </c>
      <c r="E93" s="7" t="str">
        <f t="shared" ca="1" si="273"/>
        <v>TO DO</v>
      </c>
      <c r="F93" s="7" t="b">
        <f t="shared" ca="1" si="273"/>
        <v>1</v>
      </c>
      <c r="G93" s="7" t="e">
        <f t="shared" ca="1" si="273"/>
        <v>#REF!</v>
      </c>
      <c r="H93" s="7" t="str">
        <f t="shared" ca="1" si="273"/>
        <v>TO DO</v>
      </c>
      <c r="I93" s="7" t="b">
        <f t="shared" ca="1" si="273"/>
        <v>1</v>
      </c>
      <c r="J93" s="38">
        <f t="shared" ca="1" si="1"/>
        <v>0.75</v>
      </c>
      <c r="K93" s="39">
        <f t="shared" ref="K93:L93" ca="1" si="274">VLOOKUP($A93, INDIRECT(K$1&amp;"!A:D"), 4, FALSE)</f>
        <v>0</v>
      </c>
      <c r="L93" s="39">
        <f t="shared" ca="1" si="274"/>
        <v>0</v>
      </c>
      <c r="M93" s="39"/>
      <c r="N93" s="39" t="e">
        <f t="shared" ref="N93:P93" ca="1" si="275">VLOOKUP($A93, INDIRECT(N$1&amp;"!A:D"), 4, FALSE)</f>
        <v>#REF!</v>
      </c>
      <c r="O93" s="39">
        <f t="shared" ca="1" si="275"/>
        <v>0</v>
      </c>
      <c r="P93" s="39">
        <f t="shared" ca="1" si="275"/>
        <v>0</v>
      </c>
      <c r="Q93" s="38" t="str">
        <f ca="1">IFERROR(__xludf.DUMMYFUNCTION("IF(COUNTA(K93:P93)=0, """", ARRAYFORMULA(""- ""&amp;TEXTJOIN(char(10)&amp;""- "", TRUE, FILTER(K$1:P$1&amp;"": ""&amp;K93:P93, NOT(ISBLANK(K93:P93))))))"),"")</f>
        <v/>
      </c>
      <c r="R93" s="38" t="str">
        <f ca="1"/>
        <v/>
      </c>
      <c r="S93" s="40" t="b">
        <v>1</v>
      </c>
    </row>
    <row r="94" spans="1:19">
      <c r="A94" s="11" t="str">
        <f ca="1">IFERROR(__xludf.DUMMYFUNCTION("""COMPUTED_VALUE"""),"00d1f63db99df50cb6e61519d2a32f50")</f>
        <v>00d1f63db99df50cb6e61519d2a32f50</v>
      </c>
      <c r="B94" s="11" t="str">
        <f ca="1">IFERROR(__xludf.DUMMYFUNCTION("""COMPUTED_VALUE"""),"This technology bank for the LDCs was officially established on 23 December 2016, through the adoption of the UN General Assembly Resolution A/71/L.52. In addition, ITU's Membership recognized the importance of ICTs for LDCs by adopting specific targets f"&amp;"or the LDCs in its Connect 2020 Agenda (ITU, 2014). Target 2, on inclusiveness, includes specific targets on household access to ICTs, Internet use, and affordability in the LDCs. Most have been primarily based on basic, low-bandwidth mobile cellular tech"&amp;"nologies.")</f>
        <v>This technology bank for the LDCs was officially established on 23 December 2016, through the adoption of the UN General Assembly Resolution A/71/L.52. In addition, ITU's Membership recognized the importance of ICTs for LDCs by adopting specific targets for the LDCs in its Connect 2020 Agenda (ITU, 2014). Target 2, on inclusiveness, includes specific targets on household access to ICTs, Internet use, and affordability in the LDCs. Most have been primarily based on basic, low-bandwidth mobile cellular technologies.</v>
      </c>
      <c r="C94" s="7"/>
      <c r="D94" s="7" t="b">
        <f t="shared" ref="D94:I94" ca="1" si="276">VLOOKUP($A94, INDIRECT(D$1&amp;"!A:C"), 3, FALSE)</f>
        <v>1</v>
      </c>
      <c r="E94" s="7" t="b">
        <f t="shared" ca="1" si="276"/>
        <v>1</v>
      </c>
      <c r="F94" s="7" t="b">
        <f t="shared" ca="1" si="276"/>
        <v>1</v>
      </c>
      <c r="G94" s="7" t="e">
        <f t="shared" ca="1" si="276"/>
        <v>#REF!</v>
      </c>
      <c r="H94" s="7" t="str">
        <f t="shared" ca="1" si="276"/>
        <v>TO DO</v>
      </c>
      <c r="I94" s="7" t="b">
        <f t="shared" ca="1" si="276"/>
        <v>1</v>
      </c>
      <c r="J94" s="38">
        <f t="shared" ca="1" si="1"/>
        <v>0.8</v>
      </c>
      <c r="K94" s="39">
        <f t="shared" ref="K94:L94" ca="1" si="277">VLOOKUP($A94, INDIRECT(K$1&amp;"!A:D"), 4, FALSE)</f>
        <v>0</v>
      </c>
      <c r="L94" s="39">
        <f t="shared" ca="1" si="277"/>
        <v>0</v>
      </c>
      <c r="M94" s="39"/>
      <c r="N94" s="39" t="e">
        <f t="shared" ref="N94:P94" ca="1" si="278">VLOOKUP($A94, INDIRECT(N$1&amp;"!A:D"), 4, FALSE)</f>
        <v>#REF!</v>
      </c>
      <c r="O94" s="39">
        <f t="shared" ca="1" si="278"/>
        <v>0</v>
      </c>
      <c r="P94" s="39">
        <f t="shared" ca="1" si="278"/>
        <v>0</v>
      </c>
      <c r="Q94" s="38" t="str">
        <f ca="1">IFERROR(__xludf.DUMMYFUNCTION("IF(COUNTA(K94:P94)=0, """", ARRAYFORMULA(""- ""&amp;TEXTJOIN(char(10)&amp;""- "", TRUE, FILTER(K$1:P$1&amp;"": ""&amp;K94:P94, NOT(ISBLANK(K94:P94))))))"),"")</f>
        <v/>
      </c>
      <c r="R94" s="38" t="str">
        <f ca="1"/>
        <v/>
      </c>
      <c r="S94" s="40" t="b">
        <v>1</v>
      </c>
    </row>
    <row r="95" spans="1:19">
      <c r="A95" s="11" t="str">
        <f ca="1">IFERROR(__xludf.DUMMYFUNCTION("""COMPUTED_VALUE"""),"02f4feb0143d7e70b119abdbdb6a6758")</f>
        <v>02f4feb0143d7e70b119abdbdb6a6758</v>
      </c>
      <c r="B95" s="11" t="str">
        <f ca="1">IFERROR(__xludf.DUMMYFUNCTION("""COMPUTED_VALUE"""),"Some technologies with potential benefits for the electricity sector in LDCs, such as the “Internet of Things"", remain out of reach for most of these countries (box 4.2). This rapidly evolving context has important implications for governance of the sect"&amp;"or, potentially raising questions as to whether current sectoral governance arrangements remain fit for purpose (Scott, 2015). The principal pathways are outlined in figure 4.6. Planning is particularly important for electricity systems because of the mis"&amp;"match between the time required to build distribution networks and that required to build generation facilities, highlighting the need for coordination of planning processes for generation and transmission (Chattopadhyay et al.,")</f>
        <v>Some technologies with potential benefits for the electricity sector in LDCs, such as the “Internet of Things", remain out of reach for most of these countries (box 4.2). This rapidly evolving context has important implications for governance of the sector, potentially raising questions as to whether current sectoral governance arrangements remain fit for purpose (Scott, 2015). The principal pathways are outlined in figure 4.6. Planning is particularly important for electricity systems because of the mismatch between the time required to build distribution networks and that required to build generation facilities, highlighting the need for coordination of planning processes for generation and transmission (Chattopadhyay et al.,</v>
      </c>
      <c r="C95" s="7"/>
      <c r="D95" s="7" t="b">
        <f t="shared" ref="D95:I95" ca="1" si="279">VLOOKUP($A95, INDIRECT(D$1&amp;"!A:C"), 3, FALSE)</f>
        <v>0</v>
      </c>
      <c r="E95" s="7" t="str">
        <f t="shared" ca="1" si="279"/>
        <v>TO DO</v>
      </c>
      <c r="F95" s="7" t="b">
        <f t="shared" ca="1" si="279"/>
        <v>1</v>
      </c>
      <c r="G95" s="7" t="e">
        <f t="shared" ca="1" si="279"/>
        <v>#REF!</v>
      </c>
      <c r="H95" s="7" t="str">
        <f t="shared" ca="1" si="279"/>
        <v>TO DO</v>
      </c>
      <c r="I95" s="7" t="b">
        <f t="shared" ca="1" si="279"/>
        <v>1</v>
      </c>
      <c r="J95" s="38">
        <f t="shared" ca="1" si="1"/>
        <v>0.25</v>
      </c>
      <c r="K95" s="39">
        <f t="shared" ref="K95:L95" ca="1" si="280">VLOOKUP($A95, INDIRECT(K$1&amp;"!A:D"), 4, FALSE)</f>
        <v>0</v>
      </c>
      <c r="L95" s="39">
        <f t="shared" ca="1" si="280"/>
        <v>0</v>
      </c>
      <c r="M95" s="39"/>
      <c r="N95" s="39" t="e">
        <f t="shared" ref="N95:P95" ca="1" si="281">VLOOKUP($A95, INDIRECT(N$1&amp;"!A:D"), 4, FALSE)</f>
        <v>#REF!</v>
      </c>
      <c r="O95" s="39">
        <f t="shared" ca="1" si="281"/>
        <v>0</v>
      </c>
      <c r="P95" s="39">
        <f t="shared" ca="1" si="281"/>
        <v>0</v>
      </c>
      <c r="Q95" s="38" t="str">
        <f ca="1">IFERROR(__xludf.DUMMYFUNCTION("IF(COUNTA(K95:P95)=0, """", ARRAYFORMULA(""- ""&amp;TEXTJOIN(char(10)&amp;""- "", TRUE, FILTER(K$1:P$1&amp;"": ""&amp;K95:P95, NOT(ISBLANK(K95:P95))))))"),"")</f>
        <v/>
      </c>
      <c r="R95" s="38" t="str">
        <f ca="1"/>
        <v/>
      </c>
      <c r="S95" s="40" t="s">
        <v>449</v>
      </c>
    </row>
    <row r="96" spans="1:19">
      <c r="A96" s="11" t="str">
        <f ca="1">IFERROR(__xludf.DUMMYFUNCTION("""COMPUTED_VALUE"""),"060b36638e4483cba76f2808d449919a")</f>
        <v>060b36638e4483cba76f2808d449919a</v>
      </c>
      <c r="B96" s="11" t="str">
        <f ca="1">IFERROR(__xludf.DUMMYFUNCTION("""COMPUTED_VALUE"""),"There is also scope to strengthen and leverage South-South cooperation in promoting STI development. In 2016, the United Nations held the first Multi-stakeholder Forum on Science, Technology and Innovation for the Sustainable Development Goals as one elem"&amp;"ent of the Technology Facilitation Mechanism and established the Technology Bank for LDCs. For the Technology Bank, it will be critical to establish the financial base as soon as possible to ensure that all LDCs can benefitfrom the new institution.")</f>
        <v>There is also scope to strengthen and leverage South-South cooperation in promoting STI development. In 2016, the United Nations held the first Multi-stakeholder Forum on Science, Technology and Innovation for the Sustainable Development Goals as one element of the Technology Facilitation Mechanism and established the Technology Bank for LDCs. For the Technology Bank, it will be critical to establish the financial base as soon as possible to ensure that all LDCs can benefitfrom the new institution.</v>
      </c>
      <c r="C96" s="41"/>
      <c r="D96" s="7" t="b">
        <f t="shared" ref="D96:I96" ca="1" si="282">VLOOKUP($A96, INDIRECT(D$1&amp;"!A:C"), 3, FALSE)</f>
        <v>1</v>
      </c>
      <c r="E96" s="7" t="str">
        <f t="shared" ca="1" si="282"/>
        <v>TO DO</v>
      </c>
      <c r="F96" s="7" t="b">
        <f t="shared" ca="1" si="282"/>
        <v>1</v>
      </c>
      <c r="G96" s="7" t="e">
        <f t="shared" ca="1" si="282"/>
        <v>#REF!</v>
      </c>
      <c r="H96" s="7" t="str">
        <f t="shared" ca="1" si="282"/>
        <v>TO DO</v>
      </c>
      <c r="I96" s="7" t="b">
        <f t="shared" ca="1" si="282"/>
        <v>1</v>
      </c>
      <c r="J96" s="38">
        <f t="shared" ca="1" si="1"/>
        <v>0.75</v>
      </c>
      <c r="K96" s="39">
        <f t="shared" ref="K96:L96" ca="1" si="283">VLOOKUP($A96, INDIRECT(K$1&amp;"!A:D"), 4, FALSE)</f>
        <v>0</v>
      </c>
      <c r="L96" s="39">
        <f t="shared" ca="1" si="283"/>
        <v>0</v>
      </c>
      <c r="M96" s="39"/>
      <c r="N96" s="39" t="e">
        <f t="shared" ref="N96:P96" ca="1" si="284">VLOOKUP($A96, INDIRECT(N$1&amp;"!A:D"), 4, FALSE)</f>
        <v>#REF!</v>
      </c>
      <c r="O96" s="39">
        <f t="shared" ca="1" si="284"/>
        <v>0</v>
      </c>
      <c r="P96" s="39">
        <f t="shared" ca="1" si="284"/>
        <v>0</v>
      </c>
      <c r="Q96" s="38" t="str">
        <f ca="1">IFERROR(__xludf.DUMMYFUNCTION("IF(COUNTA(K96:P96)=0, """", ARRAYFORMULA(""- ""&amp;TEXTJOIN(char(10)&amp;""- "", TRUE, FILTER(K$1:P$1&amp;"": ""&amp;K96:P96, NOT(ISBLANK(K96:P96))))))"),"")</f>
        <v/>
      </c>
      <c r="R96" s="38" t="str">
        <f ca="1"/>
        <v/>
      </c>
      <c r="S96" s="40" t="b">
        <v>1</v>
      </c>
    </row>
    <row r="97" spans="1:19">
      <c r="A97" s="11" t="str">
        <f ca="1">IFERROR(__xludf.DUMMYFUNCTION("""COMPUTED_VALUE"""),"1edda33e74fb408587cb75092db9c826")</f>
        <v>1edda33e74fb408587cb75092db9c826</v>
      </c>
      <c r="B97" s="11" t="str">
        <f ca="1">IFERROR(__xludf.DUMMYFUNCTION("""COMPUTED_VALUE"""),"Agricultural production expansion in LDCs since the early 1980s has occurred partly as a result of extensive growth, i.e. the expansion of the area used for agricultural production. In LDCs as a group it has grown by 10 per cent, slower than in ODCs, whil"&amp;"e in developed countries it actually contracted by 11 per cent. The extension of agricultural land use has been strongest in African LDCs and Haiti and in island LDCs.")</f>
        <v>Agricultural production expansion in LDCs since the early 1980s has occurred partly as a result of extensive growth, i.e. the expansion of the area used for agricultural production. In LDCs as a group it has grown by 10 per cent, slower than in ODCs, while in developed countries it actually contracted by 11 per cent. The extension of agricultural land use has been strongest in African LDCs and Haiti and in island LDCs.</v>
      </c>
      <c r="C97" s="41"/>
      <c r="D97" s="7" t="b">
        <f t="shared" ref="D97:I97" ca="1" si="285">VLOOKUP($A97, INDIRECT(D$1&amp;"!A:C"), 3, FALSE)</f>
        <v>0</v>
      </c>
      <c r="E97" s="7" t="str">
        <f t="shared" ca="1" si="285"/>
        <v>TO DO</v>
      </c>
      <c r="F97" s="7" t="b">
        <f t="shared" ca="1" si="285"/>
        <v>0</v>
      </c>
      <c r="G97" s="7" t="e">
        <f t="shared" ca="1" si="285"/>
        <v>#REF!</v>
      </c>
      <c r="H97" s="7" t="str">
        <f t="shared" ca="1" si="285"/>
        <v>TO DO</v>
      </c>
      <c r="I97" s="7" t="b">
        <f t="shared" ca="1" si="285"/>
        <v>0</v>
      </c>
      <c r="J97" s="38">
        <f t="shared" ca="1" si="1"/>
        <v>0.75</v>
      </c>
      <c r="K97" s="39">
        <f t="shared" ref="K97:L97" ca="1" si="286">VLOOKUP($A97, INDIRECT(K$1&amp;"!A:D"), 4, FALSE)</f>
        <v>0</v>
      </c>
      <c r="L97" s="39">
        <f t="shared" ca="1" si="286"/>
        <v>0</v>
      </c>
      <c r="M97" s="39"/>
      <c r="N97" s="39" t="e">
        <f t="shared" ref="N97:P97" ca="1" si="287">VLOOKUP($A97, INDIRECT(N$1&amp;"!A:D"), 4, FALSE)</f>
        <v>#REF!</v>
      </c>
      <c r="O97" s="39">
        <f t="shared" ca="1" si="287"/>
        <v>0</v>
      </c>
      <c r="P97" s="39">
        <f t="shared" ca="1" si="287"/>
        <v>0</v>
      </c>
      <c r="Q97" s="38" t="str">
        <f ca="1">IFERROR(__xludf.DUMMYFUNCTION("IF(COUNTA(K97:P97)=0, """", ARRAYFORMULA(""- ""&amp;TEXTJOIN(char(10)&amp;""- "", TRUE, FILTER(K$1:P$1&amp;"": ""&amp;K97:P97, NOT(ISBLANK(K97:P97))))))"),"")</f>
        <v/>
      </c>
      <c r="R97" s="38" t="str">
        <f ca="1"/>
        <v/>
      </c>
      <c r="S97" s="40" t="b">
        <v>0</v>
      </c>
    </row>
    <row r="98" spans="1:19">
      <c r="A98" s="11" t="str">
        <f ca="1">IFERROR(__xludf.DUMMYFUNCTION("""COMPUTED_VALUE"""),"004d7719d6c26c11427bb3e89535efab")</f>
        <v>004d7719d6c26c11427bb3e89535efab</v>
      </c>
      <c r="B98" s="11" t="str">
        <f ca="1">IFERROR(__xludf.DUMMYFUNCTION("""COMPUTED_VALUE"""),"Foster capacity-building at all levels of government. This implies combining investment in physical water and sanitation “hard” infrastructure with the provision of “soft’ infrastructure, which is essentially the institutions upon which water outcomes rel"&amp;"y. The development of skills, technical expertise and knowledge and the availability of staff and time are preconditions for effective governance of water policy.")</f>
        <v>Foster capacity-building at all levels of government. This implies combining investment in physical water and sanitation “hard” infrastructure with the provision of “soft’ infrastructure, which is essentially the institutions upon which water outcomes rely. The development of skills, technical expertise and knowledge and the availability of staff and time are preconditions for effective governance of water policy.</v>
      </c>
      <c r="C98" s="41"/>
      <c r="D98" s="7" t="b">
        <f t="shared" ref="D98:I98" ca="1" si="288">VLOOKUP($A98, INDIRECT(D$1&amp;"!A:C"), 3, FALSE)</f>
        <v>0</v>
      </c>
      <c r="E98" s="7" t="b">
        <f t="shared" ca="1" si="288"/>
        <v>1</v>
      </c>
      <c r="F98" s="7" t="str">
        <f t="shared" ca="1" si="288"/>
        <v>SKIP</v>
      </c>
      <c r="G98" s="7" t="e">
        <f t="shared" ca="1" si="288"/>
        <v>#REF!</v>
      </c>
      <c r="H98" s="7" t="str">
        <f t="shared" ca="1" si="288"/>
        <v>TO DO</v>
      </c>
      <c r="I98" s="7" t="b">
        <f t="shared" ca="1" si="288"/>
        <v>0</v>
      </c>
      <c r="J98" s="38">
        <f t="shared" ca="1" si="1"/>
        <v>0.2</v>
      </c>
      <c r="K98" s="39">
        <f t="shared" ref="K98:L98" ca="1" si="289">VLOOKUP($A98, INDIRECT(K$1&amp;"!A:D"), 4, FALSE)</f>
        <v>0</v>
      </c>
      <c r="L98" s="39">
        <f t="shared" ca="1" si="289"/>
        <v>0</v>
      </c>
      <c r="M98" s="39"/>
      <c r="N98" s="39" t="e">
        <f t="shared" ref="N98:P98" ca="1" si="290">VLOOKUP($A98, INDIRECT(N$1&amp;"!A:D"), 4, FALSE)</f>
        <v>#REF!</v>
      </c>
      <c r="O98" s="39">
        <f t="shared" ca="1" si="290"/>
        <v>0</v>
      </c>
      <c r="P98" s="39">
        <f t="shared" ca="1" si="290"/>
        <v>0</v>
      </c>
      <c r="Q98" s="38" t="str">
        <f ca="1">IFERROR(__xludf.DUMMYFUNCTION("IF(COUNTA(K98:P98)=0, """", ARRAYFORMULA(""- ""&amp;TEXTJOIN(char(10)&amp;""- "", TRUE, FILTER(K$1:P$1&amp;"": ""&amp;K98:P98, NOT(ISBLANK(K98:P98))))))"),"")</f>
        <v/>
      </c>
      <c r="R98" s="38" t="str">
        <f ca="1"/>
        <v/>
      </c>
      <c r="S98" s="40" t="s">
        <v>449</v>
      </c>
    </row>
    <row r="99" spans="1:19">
      <c r="A99" s="11" t="str">
        <f ca="1">IFERROR(__xludf.DUMMYFUNCTION("""COMPUTED_VALUE"""),"26443f27488420a4af1a208fd73f5bbd")</f>
        <v>26443f27488420a4af1a208fd73f5bbd</v>
      </c>
      <c r="B99" s="11" t="str">
        <f ca="1">IFERROR(__xludf.DUMMYFUNCTION("""COMPUTED_VALUE"""),"In 2015, the geographic scope was expanded to include small island developing States in the Pacific. It contributes to the narrowing of capacity gaps through regional and South-South cooperation, sharing of resources and the development of an integrated r"&amp;"egional warning system comprising a network of collaborative centres. Civil society innovations and business sector initiatives.")</f>
        <v>In 2015, the geographic scope was expanded to include small island developing States in the Pacific. It contributes to the narrowing of capacity gaps through regional and South-South cooperation, sharing of resources and the development of an integrated regional warning system comprising a network of collaborative centres. Civil society innovations and business sector initiatives.</v>
      </c>
      <c r="C99" s="41"/>
      <c r="D99" s="7" t="b">
        <f t="shared" ref="D99:I99" ca="1" si="291">VLOOKUP($A99, INDIRECT(D$1&amp;"!A:C"), 3, FALSE)</f>
        <v>1</v>
      </c>
      <c r="E99" s="7" t="b">
        <f t="shared" ca="1" si="291"/>
        <v>1</v>
      </c>
      <c r="F99" s="7" t="b">
        <f t="shared" ca="1" si="291"/>
        <v>1</v>
      </c>
      <c r="G99" s="7" t="e">
        <f t="shared" ca="1" si="291"/>
        <v>#REF!</v>
      </c>
      <c r="H99" s="7" t="str">
        <f t="shared" ca="1" si="291"/>
        <v>TO DO</v>
      </c>
      <c r="I99" s="7" t="b">
        <f t="shared" ca="1" si="291"/>
        <v>1</v>
      </c>
      <c r="J99" s="38">
        <f t="shared" ca="1" si="1"/>
        <v>0.8</v>
      </c>
      <c r="K99" s="39">
        <f t="shared" ref="K99:L99" ca="1" si="292">VLOOKUP($A99, INDIRECT(K$1&amp;"!A:D"), 4, FALSE)</f>
        <v>0</v>
      </c>
      <c r="L99" s="39">
        <f t="shared" ca="1" si="292"/>
        <v>0</v>
      </c>
      <c r="M99" s="39"/>
      <c r="N99" s="39" t="e">
        <f t="shared" ref="N99:P99" ca="1" si="293">VLOOKUP($A99, INDIRECT(N$1&amp;"!A:D"), 4, FALSE)</f>
        <v>#REF!</v>
      </c>
      <c r="O99" s="39">
        <f t="shared" ca="1" si="293"/>
        <v>0</v>
      </c>
      <c r="P99" s="39">
        <f t="shared" ca="1" si="293"/>
        <v>0</v>
      </c>
      <c r="Q99" s="38" t="str">
        <f ca="1">IFERROR(__xludf.DUMMYFUNCTION("IF(COUNTA(K99:P99)=0, """", ARRAYFORMULA(""- ""&amp;TEXTJOIN(char(10)&amp;""- "", TRUE, FILTER(K$1:P$1&amp;"": ""&amp;K99:P99, NOT(ISBLANK(K99:P99))))))"),"")</f>
        <v/>
      </c>
      <c r="R99" s="38" t="str">
        <f ca="1"/>
        <v/>
      </c>
      <c r="S99" s="40" t="b">
        <v>1</v>
      </c>
    </row>
    <row r="100" spans="1:19">
      <c r="A100" s="11" t="str">
        <f ca="1">IFERROR(__xludf.DUMMYFUNCTION("""COMPUTED_VALUE"""),"3858885da364e209438596812a89ae4f")</f>
        <v>3858885da364e209438596812a89ae4f</v>
      </c>
      <c r="B100" s="11" t="str">
        <f ca="1">IFERROR(__xludf.DUMMYFUNCTION("""COMPUTED_VALUE"""),"Some speakers pointed out that the full value of forest-related goods and services to their national economies could be much greater than the monetary figures reported by official statistics. Several speakers stressed that, for effective implementation be"&amp;"yond 2015, it would be essential to continue to facilitate capacity-building, training and technology transfer, through South-South cooperation as well as North-South and triangular cooperation. Speakers also highlighted the importance of working in partn"&amp;"ership with members of the Collaborative Partnership on Forests and stakeholders, including the private sector and non-governmental organizations, and the need for adequate resources to strengthen implementation.")</f>
        <v>Some speakers pointed out that the full value of forest-related goods and services to their national economies could be much greater than the monetary figures reported by official statistics. Several speakers stressed that, for effective implementation beyond 2015, it would be essential to continue to facilitate capacity-building, training and technology transfer, through South-South cooperation as well as North-South and triangular cooperation. Speakers also highlighted the importance of working in partnership with members of the Collaborative Partnership on Forests and stakeholders, including the private sector and non-governmental organizations, and the need for adequate resources to strengthen implementation.</v>
      </c>
      <c r="C100" s="7"/>
      <c r="D100" s="7" t="b">
        <f t="shared" ref="D100:I100" ca="1" si="294">VLOOKUP($A100, INDIRECT(D$1&amp;"!A:C"), 3, FALSE)</f>
        <v>1</v>
      </c>
      <c r="E100" s="7" t="str">
        <f t="shared" ca="1" si="294"/>
        <v>TO DO</v>
      </c>
      <c r="F100" s="7" t="b">
        <f t="shared" ca="1" si="294"/>
        <v>1</v>
      </c>
      <c r="G100" s="7" t="e">
        <f t="shared" ca="1" si="294"/>
        <v>#REF!</v>
      </c>
      <c r="H100" s="7" t="b">
        <f t="shared" ca="1" si="294"/>
        <v>1</v>
      </c>
      <c r="I100" s="7" t="b">
        <f t="shared" ca="1" si="294"/>
        <v>1</v>
      </c>
      <c r="J100" s="38">
        <f t="shared" ca="1" si="1"/>
        <v>0.8</v>
      </c>
      <c r="K100" s="39">
        <f t="shared" ref="K100:L100" ca="1" si="295">VLOOKUP($A100, INDIRECT(K$1&amp;"!A:D"), 4, FALSE)</f>
        <v>0</v>
      </c>
      <c r="L100" s="39">
        <f t="shared" ca="1" si="295"/>
        <v>0</v>
      </c>
      <c r="M100" s="39"/>
      <c r="N100" s="39" t="e">
        <f t="shared" ref="N100:P100" ca="1" si="296">VLOOKUP($A100, INDIRECT(N$1&amp;"!A:D"), 4, FALSE)</f>
        <v>#REF!</v>
      </c>
      <c r="O100" s="39">
        <f t="shared" ca="1" si="296"/>
        <v>0</v>
      </c>
      <c r="P100" s="39">
        <f t="shared" ca="1" si="296"/>
        <v>0</v>
      </c>
      <c r="Q100" s="38" t="str">
        <f ca="1">IFERROR(__xludf.DUMMYFUNCTION("IF(COUNTA(K100:P100)=0, """", ARRAYFORMULA(""- ""&amp;TEXTJOIN(char(10)&amp;""- "", TRUE, FILTER(K$1:P$1&amp;"": ""&amp;K100:P100, NOT(ISBLANK(K100:P100))))))"),"")</f>
        <v/>
      </c>
      <c r="R100" s="38" t="str">
        <f ca="1"/>
        <v/>
      </c>
      <c r="S100" s="40" t="b">
        <v>1</v>
      </c>
    </row>
    <row r="101" spans="1:19">
      <c r="A101" s="11" t="str">
        <f ca="1">IFERROR(__xludf.DUMMYFUNCTION("""COMPUTED_VALUE"""),"f51174ff1171dba727ff6d42c81200f2")</f>
        <v>f51174ff1171dba727ff6d42c81200f2</v>
      </c>
      <c r="B101" s="11" t="str">
        <f ca="1">IFERROR(__xludf.DUMMYFUNCTION("""COMPUTED_VALUE"""),"Cash income from women in Gazi Bay only came from this ecotourism initiative in 2011 (UNEP 2011). At Wasini, the boardwalk project generated US$6 500 from entrance fees in 2002, of which US$2 000 was used to set up a craft shop and US$2 800 given to membe"&amp;"rs as dividends (Zeppel 2006). Although total compliance with unregulated mangrove cutting may not have been achieved consistently amongst the stakeholders, community members acknowledged that capacity-building and the associated financial incentive had p"&amp;"romoted compliance with the resource use regulations and management within the mangroves (UNEP 2006).")</f>
        <v>Cash income from women in Gazi Bay only came from this ecotourism initiative in 2011 (UNEP 2011). At Wasini, the boardwalk project generated US$6 500 from entrance fees in 2002, of which US$2 000 was used to set up a craft shop and US$2 800 given to members as dividends (Zeppel 2006). Although total compliance with unregulated mangrove cutting may not have been achieved consistently amongst the stakeholders, community members acknowledged that capacity-building and the associated financial incentive had promoted compliance with the resource use regulations and management within the mangroves (UNEP 2006).</v>
      </c>
      <c r="C101" s="41"/>
      <c r="D101" s="7" t="b">
        <f t="shared" ref="D101:I101" ca="1" si="297">VLOOKUP($A101, INDIRECT(D$1&amp;"!A:C"), 3, FALSE)</f>
        <v>0</v>
      </c>
      <c r="E101" s="7" t="str">
        <f t="shared" ca="1" si="297"/>
        <v>TO DO</v>
      </c>
      <c r="F101" s="7" t="b">
        <f t="shared" ca="1" si="297"/>
        <v>0</v>
      </c>
      <c r="G101" s="7" t="e">
        <f t="shared" ca="1" si="297"/>
        <v>#REF!</v>
      </c>
      <c r="H101" s="7" t="b">
        <f t="shared" ca="1" si="297"/>
        <v>0</v>
      </c>
      <c r="I101" s="7" t="b">
        <f t="shared" ca="1" si="297"/>
        <v>0</v>
      </c>
      <c r="J101" s="38">
        <f t="shared" ca="1" si="1"/>
        <v>0.8</v>
      </c>
      <c r="K101" s="39">
        <f t="shared" ref="K101:L101" ca="1" si="298">VLOOKUP($A101, INDIRECT(K$1&amp;"!A:D"), 4, FALSE)</f>
        <v>0</v>
      </c>
      <c r="L101" s="39">
        <f t="shared" ca="1" si="298"/>
        <v>0</v>
      </c>
      <c r="M101" s="39"/>
      <c r="N101" s="39" t="e">
        <f t="shared" ref="N101:P101" ca="1" si="299">VLOOKUP($A101, INDIRECT(N$1&amp;"!A:D"), 4, FALSE)</f>
        <v>#REF!</v>
      </c>
      <c r="O101" s="39">
        <f t="shared" ca="1" si="299"/>
        <v>0</v>
      </c>
      <c r="P101" s="39">
        <f t="shared" ca="1" si="299"/>
        <v>0</v>
      </c>
      <c r="Q101" s="38" t="str">
        <f ca="1">IFERROR(__xludf.DUMMYFUNCTION("IF(COUNTA(K101:P101)=0, """", ARRAYFORMULA(""- ""&amp;TEXTJOIN(char(10)&amp;""- "", TRUE, FILTER(K$1:P$1&amp;"": ""&amp;K101:P101, NOT(ISBLANK(K101:P101))))))"),"")</f>
        <v/>
      </c>
      <c r="R101" s="38" t="str">
        <f ca="1"/>
        <v/>
      </c>
      <c r="S101" s="40" t="b">
        <v>0</v>
      </c>
    </row>
  </sheetData>
  <autoFilter ref="A1:U101" xr:uid="{00000000-0009-0000-0000-000008000000}"/>
  <conditionalFormatting sqref="C2:R101">
    <cfRule type="cellIs" dxfId="3" priority="1" operator="equal">
      <formula>"TRUE"</formula>
    </cfRule>
    <cfRule type="beginsWith" dxfId="2" priority="2" operator="beginsWith" text="FALSE">
      <formula>LEFT((C2),LEN("FALSE"))=("FALSE")</formula>
    </cfRule>
    <cfRule type="cellIs" dxfId="1" priority="3" operator="equal">
      <formula>"TO DO"</formula>
    </cfRule>
    <cfRule type="cellIs" dxfId="0" priority="4" operator="equal">
      <formula>"SKIP"</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01"/>
  <sheetViews>
    <sheetView workbookViewId="0"/>
  </sheetViews>
  <sheetFormatPr defaultColWidth="12.5703125" defaultRowHeight="15.75" customHeight="1"/>
  <cols>
    <col min="2" max="2" width="67.7109375" customWidth="1"/>
    <col min="5" max="5" width="15" customWidth="1"/>
    <col min="6" max="6" width="26.42578125" customWidth="1"/>
  </cols>
  <sheetData>
    <row r="1" spans="1:7">
      <c r="A1" s="20" t="s">
        <v>467</v>
      </c>
      <c r="B1" s="5" t="s">
        <v>321</v>
      </c>
      <c r="C1" s="20" t="s">
        <v>322</v>
      </c>
      <c r="D1" s="20" t="s">
        <v>468</v>
      </c>
      <c r="E1" s="43" t="s">
        <v>469</v>
      </c>
      <c r="F1" s="20" t="s">
        <v>319</v>
      </c>
      <c r="G1" s="20" t="s">
        <v>470</v>
      </c>
    </row>
    <row r="2" spans="1:7">
      <c r="A2" s="5" t="e">
        <f t="shared" ref="A2:A101" ca="1" si="0">IF(NOT(ISBLANK(B2)), LEFT(MD5(B2), 7), "")</f>
        <v>#REF!</v>
      </c>
      <c r="B2" s="44" t="s">
        <v>230</v>
      </c>
      <c r="C2" s="5">
        <v>17</v>
      </c>
      <c r="D2" s="44" t="b">
        <v>0</v>
      </c>
      <c r="E2" s="44" t="s">
        <v>229</v>
      </c>
      <c r="F2" s="5" t="s">
        <v>330</v>
      </c>
    </row>
    <row r="3" spans="1:7">
      <c r="A3" s="5" t="e">
        <f t="shared" ca="1" si="0"/>
        <v>#REF!</v>
      </c>
      <c r="B3" s="11" t="s">
        <v>226</v>
      </c>
      <c r="C3" s="5">
        <v>17</v>
      </c>
      <c r="D3" s="5" t="b">
        <v>0</v>
      </c>
      <c r="E3" s="11" t="s">
        <v>225</v>
      </c>
      <c r="F3" s="5" t="s">
        <v>332</v>
      </c>
    </row>
    <row r="4" spans="1:7">
      <c r="A4" s="5" t="e">
        <f t="shared" ca="1" si="0"/>
        <v>#REF!</v>
      </c>
      <c r="B4" s="11" t="s">
        <v>150</v>
      </c>
      <c r="C4" s="5">
        <v>17</v>
      </c>
      <c r="D4" s="5" t="b">
        <v>0</v>
      </c>
      <c r="E4" s="11" t="s">
        <v>149</v>
      </c>
      <c r="F4" s="5" t="s">
        <v>333</v>
      </c>
    </row>
    <row r="5" spans="1:7">
      <c r="A5" s="5" t="e">
        <f t="shared" ca="1" si="0"/>
        <v>#REF!</v>
      </c>
      <c r="B5" s="11" t="s">
        <v>104</v>
      </c>
      <c r="C5" s="5">
        <v>17</v>
      </c>
      <c r="D5" s="5" t="b">
        <v>1</v>
      </c>
      <c r="E5" s="11" t="s">
        <v>103</v>
      </c>
      <c r="F5" s="5" t="s">
        <v>336</v>
      </c>
      <c r="G5" s="5" t="s">
        <v>451</v>
      </c>
    </row>
    <row r="6" spans="1:7">
      <c r="A6" s="5" t="e">
        <f t="shared" ca="1" si="0"/>
        <v>#REF!</v>
      </c>
      <c r="B6" s="11" t="s">
        <v>236</v>
      </c>
      <c r="C6" s="5">
        <v>17</v>
      </c>
      <c r="D6" s="5" t="b">
        <v>0</v>
      </c>
      <c r="E6" s="11" t="s">
        <v>235</v>
      </c>
      <c r="F6" s="5" t="s">
        <v>337</v>
      </c>
    </row>
    <row r="7" spans="1:7">
      <c r="A7" s="5" t="e">
        <f t="shared" ca="1" si="0"/>
        <v>#REF!</v>
      </c>
      <c r="B7" s="11" t="s">
        <v>270</v>
      </c>
      <c r="C7" s="5">
        <v>17</v>
      </c>
      <c r="D7" s="5" t="b">
        <v>0</v>
      </c>
      <c r="E7" s="11" t="s">
        <v>269</v>
      </c>
      <c r="F7" s="5" t="s">
        <v>338</v>
      </c>
    </row>
    <row r="8" spans="1:7">
      <c r="A8" s="5" t="e">
        <f t="shared" ca="1" si="0"/>
        <v>#REF!</v>
      </c>
      <c r="B8" s="11" t="s">
        <v>296</v>
      </c>
      <c r="C8" s="5">
        <v>17</v>
      </c>
      <c r="D8" s="5" t="b">
        <v>1</v>
      </c>
      <c r="E8" s="11" t="s">
        <v>295</v>
      </c>
      <c r="F8" s="5" t="s">
        <v>344</v>
      </c>
    </row>
    <row r="9" spans="1:7">
      <c r="A9" s="5" t="e">
        <f t="shared" ca="1" si="0"/>
        <v>#REF!</v>
      </c>
      <c r="B9" s="11" t="s">
        <v>186</v>
      </c>
      <c r="C9" s="5">
        <v>17</v>
      </c>
      <c r="D9" s="5" t="b">
        <v>1</v>
      </c>
      <c r="E9" s="11" t="s">
        <v>185</v>
      </c>
      <c r="F9" s="5" t="s">
        <v>339</v>
      </c>
    </row>
    <row r="10" spans="1:7">
      <c r="A10" s="5" t="e">
        <f t="shared" ca="1" si="0"/>
        <v>#REF!</v>
      </c>
      <c r="B10" s="11" t="s">
        <v>180</v>
      </c>
      <c r="C10" s="5">
        <v>17</v>
      </c>
      <c r="D10" s="5" t="b">
        <v>0</v>
      </c>
      <c r="E10" s="11" t="s">
        <v>179</v>
      </c>
      <c r="F10" s="5" t="s">
        <v>346</v>
      </c>
      <c r="G10" s="5" t="s">
        <v>453</v>
      </c>
    </row>
    <row r="11" spans="1:7">
      <c r="A11" s="5" t="e">
        <f t="shared" ca="1" si="0"/>
        <v>#REF!</v>
      </c>
      <c r="B11" s="11" t="s">
        <v>158</v>
      </c>
      <c r="C11" s="5">
        <v>17</v>
      </c>
      <c r="D11" s="5" t="b">
        <v>0</v>
      </c>
      <c r="E11" s="11" t="s">
        <v>157</v>
      </c>
      <c r="F11" s="5" t="s">
        <v>347</v>
      </c>
      <c r="G11" s="5" t="s">
        <v>454</v>
      </c>
    </row>
    <row r="12" spans="1:7">
      <c r="A12" s="5" t="e">
        <f t="shared" ca="1" si="0"/>
        <v>#REF!</v>
      </c>
      <c r="B12" s="11" t="s">
        <v>202</v>
      </c>
      <c r="C12" s="5">
        <v>17</v>
      </c>
      <c r="D12" s="5" t="b">
        <v>1</v>
      </c>
      <c r="E12" s="11" t="s">
        <v>201</v>
      </c>
      <c r="F12" s="5" t="s">
        <v>348</v>
      </c>
    </row>
    <row r="13" spans="1:7">
      <c r="A13" s="5" t="e">
        <f t="shared" ca="1" si="0"/>
        <v>#REF!</v>
      </c>
      <c r="B13" s="11" t="s">
        <v>194</v>
      </c>
      <c r="C13" s="5">
        <v>17</v>
      </c>
      <c r="D13" s="5" t="b">
        <v>0</v>
      </c>
      <c r="E13" s="11" t="s">
        <v>193</v>
      </c>
      <c r="F13" s="5" t="s">
        <v>349</v>
      </c>
    </row>
    <row r="14" spans="1:7">
      <c r="A14" s="5" t="e">
        <f t="shared" ca="1" si="0"/>
        <v>#REF!</v>
      </c>
      <c r="B14" s="11" t="s">
        <v>471</v>
      </c>
      <c r="C14" s="5">
        <v>17</v>
      </c>
      <c r="D14" s="5" t="b">
        <v>1</v>
      </c>
      <c r="E14" s="11" t="s">
        <v>287</v>
      </c>
      <c r="F14" s="5" t="s">
        <v>351</v>
      </c>
      <c r="G14" s="5" t="s">
        <v>472</v>
      </c>
    </row>
    <row r="15" spans="1:7">
      <c r="A15" s="5" t="e">
        <f t="shared" ca="1" si="0"/>
        <v>#REF!</v>
      </c>
      <c r="B15" s="11" t="s">
        <v>166</v>
      </c>
      <c r="C15" s="5">
        <v>17</v>
      </c>
      <c r="D15" s="5" t="b">
        <v>1</v>
      </c>
      <c r="E15" s="11" t="s">
        <v>165</v>
      </c>
      <c r="F15" s="5" t="s">
        <v>354</v>
      </c>
      <c r="G15" s="5" t="s">
        <v>456</v>
      </c>
    </row>
    <row r="16" spans="1:7">
      <c r="A16" s="5" t="e">
        <f t="shared" ca="1" si="0"/>
        <v>#REF!</v>
      </c>
      <c r="B16" s="11" t="s">
        <v>184</v>
      </c>
      <c r="C16" s="5">
        <v>17</v>
      </c>
      <c r="D16" s="5" t="b">
        <v>0</v>
      </c>
      <c r="E16" s="11" t="s">
        <v>183</v>
      </c>
      <c r="F16" s="5" t="s">
        <v>356</v>
      </c>
      <c r="G16" s="5" t="s">
        <v>457</v>
      </c>
    </row>
    <row r="17" spans="1:7">
      <c r="A17" s="5" t="e">
        <f t="shared" ca="1" si="0"/>
        <v>#REF!</v>
      </c>
      <c r="B17" s="11" t="s">
        <v>298</v>
      </c>
      <c r="C17" s="5">
        <v>17</v>
      </c>
      <c r="D17" s="5" t="b">
        <v>1</v>
      </c>
      <c r="E17" s="11" t="s">
        <v>297</v>
      </c>
      <c r="F17" s="5" t="s">
        <v>348</v>
      </c>
    </row>
    <row r="18" spans="1:7">
      <c r="A18" s="5" t="e">
        <f t="shared" ca="1" si="0"/>
        <v>#REF!</v>
      </c>
      <c r="B18" s="11" t="s">
        <v>473</v>
      </c>
      <c r="C18" s="5">
        <v>17</v>
      </c>
      <c r="D18" s="5" t="b">
        <v>1</v>
      </c>
      <c r="E18" s="11" t="s">
        <v>207</v>
      </c>
      <c r="F18" s="5" t="s">
        <v>358</v>
      </c>
      <c r="G18" s="5" t="s">
        <v>474</v>
      </c>
    </row>
    <row r="19" spans="1:7">
      <c r="A19" s="5" t="e">
        <f t="shared" ca="1" si="0"/>
        <v>#REF!</v>
      </c>
      <c r="B19" s="11" t="s">
        <v>118</v>
      </c>
      <c r="C19" s="5">
        <v>17</v>
      </c>
      <c r="D19" s="5" t="b">
        <v>1</v>
      </c>
      <c r="E19" s="11" t="s">
        <v>117</v>
      </c>
      <c r="F19" s="5" t="s">
        <v>360</v>
      </c>
    </row>
    <row r="20" spans="1:7">
      <c r="A20" s="5" t="e">
        <f t="shared" ca="1" si="0"/>
        <v>#REF!</v>
      </c>
      <c r="B20" s="11" t="s">
        <v>475</v>
      </c>
      <c r="C20" s="5">
        <v>17</v>
      </c>
      <c r="D20" s="5" t="b">
        <v>0</v>
      </c>
      <c r="E20" s="11" t="s">
        <v>147</v>
      </c>
      <c r="F20" s="5" t="s">
        <v>361</v>
      </c>
      <c r="G20" s="5" t="s">
        <v>472</v>
      </c>
    </row>
    <row r="21" spans="1:7">
      <c r="A21" s="5" t="e">
        <f t="shared" ca="1" si="0"/>
        <v>#REF!</v>
      </c>
      <c r="B21" s="11" t="s">
        <v>282</v>
      </c>
      <c r="C21" s="5">
        <v>17</v>
      </c>
      <c r="D21" s="5" t="b">
        <v>0</v>
      </c>
      <c r="E21" s="11" t="s">
        <v>281</v>
      </c>
      <c r="F21" s="5" t="s">
        <v>362</v>
      </c>
    </row>
    <row r="22" spans="1:7">
      <c r="A22" s="5" t="e">
        <f t="shared" ca="1" si="0"/>
        <v>#REF!</v>
      </c>
      <c r="B22" s="11" t="s">
        <v>294</v>
      </c>
      <c r="C22" s="5">
        <v>17</v>
      </c>
      <c r="D22" s="5" t="b">
        <v>0</v>
      </c>
      <c r="E22" s="11" t="s">
        <v>293</v>
      </c>
      <c r="F22" s="5" t="s">
        <v>367</v>
      </c>
    </row>
    <row r="23" spans="1:7">
      <c r="A23" s="5" t="e">
        <f t="shared" ca="1" si="0"/>
        <v>#REF!</v>
      </c>
      <c r="B23" s="11" t="s">
        <v>164</v>
      </c>
      <c r="C23" s="5">
        <v>17</v>
      </c>
      <c r="D23" s="5" t="b">
        <v>0</v>
      </c>
      <c r="E23" s="11" t="s">
        <v>163</v>
      </c>
      <c r="F23" s="5" t="s">
        <v>368</v>
      </c>
    </row>
    <row r="24" spans="1:7">
      <c r="A24" s="5" t="e">
        <f t="shared" ca="1" si="0"/>
        <v>#REF!</v>
      </c>
      <c r="B24" s="11" t="s">
        <v>120</v>
      </c>
      <c r="C24" s="5">
        <v>17</v>
      </c>
      <c r="D24" s="5" t="b">
        <v>0</v>
      </c>
      <c r="E24" s="11" t="s">
        <v>119</v>
      </c>
      <c r="F24" s="5" t="s">
        <v>370</v>
      </c>
    </row>
    <row r="25" spans="1:7">
      <c r="A25" s="5" t="e">
        <f t="shared" ca="1" si="0"/>
        <v>#REF!</v>
      </c>
      <c r="B25" s="11" t="s">
        <v>200</v>
      </c>
      <c r="C25" s="5">
        <v>17</v>
      </c>
      <c r="D25" s="5" t="b">
        <v>1</v>
      </c>
      <c r="E25" s="11" t="s">
        <v>199</v>
      </c>
      <c r="F25" s="5" t="s">
        <v>371</v>
      </c>
    </row>
    <row r="26" spans="1:7">
      <c r="A26" s="5" t="e">
        <f t="shared" ca="1" si="0"/>
        <v>#REF!</v>
      </c>
      <c r="B26" s="11" t="s">
        <v>156</v>
      </c>
      <c r="C26" s="5">
        <v>17</v>
      </c>
      <c r="D26" s="5" t="b">
        <v>1</v>
      </c>
      <c r="E26" s="11" t="s">
        <v>155</v>
      </c>
      <c r="F26" s="5" t="s">
        <v>366</v>
      </c>
    </row>
    <row r="27" spans="1:7">
      <c r="A27" s="5" t="e">
        <f t="shared" ca="1" si="0"/>
        <v>#REF!</v>
      </c>
      <c r="B27" s="11" t="s">
        <v>174</v>
      </c>
      <c r="C27" s="5">
        <v>17</v>
      </c>
      <c r="D27" s="5" t="b">
        <v>1</v>
      </c>
      <c r="E27" s="11" t="s">
        <v>173</v>
      </c>
      <c r="F27" s="5" t="s">
        <v>372</v>
      </c>
    </row>
    <row r="28" spans="1:7">
      <c r="A28" s="5" t="e">
        <f t="shared" ca="1" si="0"/>
        <v>#REF!</v>
      </c>
      <c r="B28" s="11" t="s">
        <v>256</v>
      </c>
      <c r="C28" s="5">
        <v>17</v>
      </c>
      <c r="D28" s="5" t="b">
        <v>1</v>
      </c>
      <c r="E28" s="11" t="s">
        <v>255</v>
      </c>
      <c r="F28" s="5" t="s">
        <v>374</v>
      </c>
    </row>
    <row r="29" spans="1:7">
      <c r="A29" s="5" t="e">
        <f t="shared" ca="1" si="0"/>
        <v>#REF!</v>
      </c>
      <c r="B29" s="11" t="s">
        <v>210</v>
      </c>
      <c r="C29" s="5">
        <v>17</v>
      </c>
      <c r="D29" s="5" t="b">
        <v>0</v>
      </c>
      <c r="E29" s="11" t="s">
        <v>209</v>
      </c>
      <c r="F29" s="5" t="s">
        <v>375</v>
      </c>
    </row>
    <row r="30" spans="1:7">
      <c r="A30" s="5" t="e">
        <f t="shared" ca="1" si="0"/>
        <v>#REF!</v>
      </c>
      <c r="B30" s="11" t="s">
        <v>136</v>
      </c>
      <c r="C30" s="5">
        <v>17</v>
      </c>
      <c r="D30" s="5" t="b">
        <v>0</v>
      </c>
      <c r="E30" s="11" t="s">
        <v>135</v>
      </c>
      <c r="F30" s="5" t="s">
        <v>376</v>
      </c>
    </row>
    <row r="31" spans="1:7">
      <c r="A31" s="5" t="e">
        <f t="shared" ca="1" si="0"/>
        <v>#REF!</v>
      </c>
      <c r="B31" s="11" t="s">
        <v>204</v>
      </c>
      <c r="C31" s="5">
        <v>17</v>
      </c>
      <c r="D31" s="5" t="b">
        <v>1</v>
      </c>
      <c r="E31" s="11" t="s">
        <v>203</v>
      </c>
      <c r="F31" s="5" t="s">
        <v>379</v>
      </c>
    </row>
    <row r="32" spans="1:7">
      <c r="A32" s="5" t="e">
        <f t="shared" ca="1" si="0"/>
        <v>#REF!</v>
      </c>
      <c r="B32" s="11" t="s">
        <v>108</v>
      </c>
      <c r="C32" s="5">
        <v>17</v>
      </c>
      <c r="D32" s="5" t="b">
        <v>1</v>
      </c>
      <c r="E32" s="11" t="s">
        <v>107</v>
      </c>
      <c r="F32" s="5" t="s">
        <v>380</v>
      </c>
      <c r="G32" s="5" t="s">
        <v>458</v>
      </c>
    </row>
    <row r="33" spans="1:7">
      <c r="A33" s="5" t="e">
        <f t="shared" ca="1" si="0"/>
        <v>#REF!</v>
      </c>
      <c r="B33" s="11" t="s">
        <v>476</v>
      </c>
      <c r="C33" s="5">
        <v>17</v>
      </c>
      <c r="D33" s="5" t="b">
        <v>1</v>
      </c>
      <c r="E33" s="11" t="s">
        <v>141</v>
      </c>
      <c r="F33" s="5" t="s">
        <v>384</v>
      </c>
      <c r="G33" s="5" t="s">
        <v>477</v>
      </c>
    </row>
    <row r="34" spans="1:7">
      <c r="A34" s="5" t="e">
        <f t="shared" ca="1" si="0"/>
        <v>#REF!</v>
      </c>
      <c r="B34" s="11" t="s">
        <v>280</v>
      </c>
      <c r="C34" s="5">
        <v>17</v>
      </c>
      <c r="D34" s="5" t="b">
        <v>0</v>
      </c>
      <c r="E34" s="11" t="s">
        <v>279</v>
      </c>
      <c r="F34" s="5" t="s">
        <v>385</v>
      </c>
      <c r="G34" s="5" t="s">
        <v>460</v>
      </c>
    </row>
    <row r="35" spans="1:7">
      <c r="A35" s="5" t="e">
        <f t="shared" ca="1" si="0"/>
        <v>#REF!</v>
      </c>
      <c r="B35" s="11" t="s">
        <v>242</v>
      </c>
      <c r="C35" s="5">
        <v>17</v>
      </c>
      <c r="D35" s="5" t="b">
        <v>0</v>
      </c>
      <c r="E35" s="11" t="s">
        <v>241</v>
      </c>
      <c r="F35" s="5" t="s">
        <v>386</v>
      </c>
    </row>
    <row r="36" spans="1:7">
      <c r="A36" s="5" t="e">
        <f t="shared" ca="1" si="0"/>
        <v>#REF!</v>
      </c>
      <c r="B36" s="11" t="s">
        <v>216</v>
      </c>
      <c r="C36" s="5">
        <v>17</v>
      </c>
      <c r="D36" s="5" t="b">
        <v>0</v>
      </c>
      <c r="E36" s="11" t="s">
        <v>215</v>
      </c>
      <c r="F36" s="5" t="s">
        <v>387</v>
      </c>
    </row>
    <row r="37" spans="1:7">
      <c r="A37" s="5" t="e">
        <f t="shared" ca="1" si="0"/>
        <v>#REF!</v>
      </c>
      <c r="B37" s="11" t="s">
        <v>146</v>
      </c>
      <c r="C37" s="5">
        <v>17</v>
      </c>
      <c r="D37" s="5" t="b">
        <v>0</v>
      </c>
      <c r="E37" s="11" t="s">
        <v>145</v>
      </c>
      <c r="F37" s="5" t="s">
        <v>390</v>
      </c>
    </row>
    <row r="38" spans="1:7">
      <c r="A38" s="5" t="e">
        <f t="shared" ca="1" si="0"/>
        <v>#REF!</v>
      </c>
      <c r="B38" s="11" t="s">
        <v>168</v>
      </c>
      <c r="C38" s="5">
        <v>17</v>
      </c>
      <c r="D38" s="5" t="b">
        <v>0</v>
      </c>
      <c r="E38" s="11" t="s">
        <v>167</v>
      </c>
      <c r="F38" s="5" t="s">
        <v>368</v>
      </c>
    </row>
    <row r="39" spans="1:7">
      <c r="A39" s="5" t="e">
        <f t="shared" ca="1" si="0"/>
        <v>#REF!</v>
      </c>
      <c r="B39" s="11" t="s">
        <v>110</v>
      </c>
      <c r="C39" s="5">
        <v>17</v>
      </c>
      <c r="D39" s="5" t="b">
        <v>0</v>
      </c>
      <c r="E39" s="11" t="s">
        <v>109</v>
      </c>
      <c r="F39" s="5" t="s">
        <v>393</v>
      </c>
    </row>
    <row r="40" spans="1:7">
      <c r="A40" s="5" t="e">
        <f t="shared" ca="1" si="0"/>
        <v>#REF!</v>
      </c>
      <c r="B40" s="11" t="s">
        <v>128</v>
      </c>
      <c r="C40" s="5">
        <v>17</v>
      </c>
      <c r="D40" s="5" t="b">
        <v>1</v>
      </c>
      <c r="E40" s="11" t="s">
        <v>127</v>
      </c>
      <c r="F40" s="5" t="s">
        <v>396</v>
      </c>
    </row>
    <row r="41" spans="1:7">
      <c r="A41" s="5" t="e">
        <f t="shared" ca="1" si="0"/>
        <v>#REF!</v>
      </c>
      <c r="B41" s="11" t="s">
        <v>170</v>
      </c>
      <c r="C41" s="5">
        <v>17</v>
      </c>
      <c r="D41" s="5" t="b">
        <v>0</v>
      </c>
      <c r="E41" s="11" t="s">
        <v>169</v>
      </c>
      <c r="F41" s="5" t="s">
        <v>398</v>
      </c>
      <c r="G41" s="5" t="s">
        <v>461</v>
      </c>
    </row>
    <row r="42" spans="1:7">
      <c r="A42" s="5" t="e">
        <f t="shared" ca="1" si="0"/>
        <v>#REF!</v>
      </c>
      <c r="B42" s="11" t="s">
        <v>198</v>
      </c>
      <c r="C42" s="5">
        <v>17</v>
      </c>
      <c r="D42" s="5" t="b">
        <v>0</v>
      </c>
      <c r="E42" s="11" t="s">
        <v>197</v>
      </c>
      <c r="F42" s="5" t="s">
        <v>399</v>
      </c>
    </row>
    <row r="43" spans="1:7">
      <c r="A43" s="5" t="e">
        <f t="shared" ca="1" si="0"/>
        <v>#REF!</v>
      </c>
      <c r="B43" s="11" t="s">
        <v>222</v>
      </c>
      <c r="C43" s="5">
        <v>17</v>
      </c>
      <c r="D43" s="5" t="b">
        <v>0</v>
      </c>
      <c r="E43" s="11" t="s">
        <v>221</v>
      </c>
      <c r="F43" s="5" t="s">
        <v>401</v>
      </c>
    </row>
    <row r="44" spans="1:7">
      <c r="A44" s="5" t="e">
        <f t="shared" ca="1" si="0"/>
        <v>#REF!</v>
      </c>
      <c r="B44" s="11" t="s">
        <v>286</v>
      </c>
      <c r="C44" s="5">
        <v>17</v>
      </c>
      <c r="D44" s="5" t="b">
        <v>1</v>
      </c>
      <c r="E44" s="11" t="s">
        <v>285</v>
      </c>
      <c r="F44" s="5" t="s">
        <v>403</v>
      </c>
    </row>
    <row r="45" spans="1:7">
      <c r="A45" s="5" t="e">
        <f t="shared" ca="1" si="0"/>
        <v>#REF!</v>
      </c>
      <c r="B45" s="11" t="s">
        <v>248</v>
      </c>
      <c r="C45" s="5">
        <v>17</v>
      </c>
      <c r="D45" s="5" t="b">
        <v>1</v>
      </c>
      <c r="E45" s="11" t="s">
        <v>247</v>
      </c>
      <c r="F45" s="5" t="s">
        <v>404</v>
      </c>
      <c r="G45" s="5" t="s">
        <v>462</v>
      </c>
    </row>
    <row r="46" spans="1:7">
      <c r="A46" s="5" t="e">
        <f t="shared" ca="1" si="0"/>
        <v>#REF!</v>
      </c>
      <c r="B46" s="11" t="s">
        <v>232</v>
      </c>
      <c r="C46" s="5">
        <v>17</v>
      </c>
      <c r="D46" s="5" t="b">
        <v>0</v>
      </c>
      <c r="E46" s="11" t="s">
        <v>231</v>
      </c>
      <c r="F46" s="5" t="s">
        <v>405</v>
      </c>
      <c r="G46" s="5" t="s">
        <v>463</v>
      </c>
    </row>
    <row r="47" spans="1:7">
      <c r="A47" s="5" t="e">
        <f t="shared" ca="1" si="0"/>
        <v>#REF!</v>
      </c>
      <c r="B47" s="11" t="s">
        <v>264</v>
      </c>
      <c r="C47" s="5">
        <v>17</v>
      </c>
      <c r="D47" s="5" t="b">
        <v>0</v>
      </c>
      <c r="E47" s="11" t="s">
        <v>263</v>
      </c>
      <c r="F47" s="5" t="s">
        <v>406</v>
      </c>
      <c r="G47" s="5" t="s">
        <v>464</v>
      </c>
    </row>
    <row r="48" spans="1:7">
      <c r="A48" s="5" t="e">
        <f t="shared" ca="1" si="0"/>
        <v>#REF!</v>
      </c>
      <c r="B48" s="11" t="s">
        <v>214</v>
      </c>
      <c r="C48" s="5">
        <v>17</v>
      </c>
      <c r="D48" s="5" t="b">
        <v>1</v>
      </c>
      <c r="E48" s="11" t="s">
        <v>213</v>
      </c>
      <c r="F48" s="5" t="s">
        <v>408</v>
      </c>
      <c r="G48" s="5" t="s">
        <v>465</v>
      </c>
    </row>
    <row r="49" spans="1:7">
      <c r="A49" s="5" t="e">
        <f t="shared" ca="1" si="0"/>
        <v>#REF!</v>
      </c>
      <c r="B49" s="11" t="s">
        <v>218</v>
      </c>
      <c r="C49" s="5">
        <v>17</v>
      </c>
      <c r="D49" s="5" t="b">
        <v>1</v>
      </c>
      <c r="E49" s="11" t="s">
        <v>217</v>
      </c>
      <c r="F49" s="5" t="s">
        <v>348</v>
      </c>
    </row>
    <row r="50" spans="1:7">
      <c r="A50" s="5" t="e">
        <f t="shared" ca="1" si="0"/>
        <v>#REF!</v>
      </c>
      <c r="B50" s="11" t="s">
        <v>240</v>
      </c>
      <c r="C50" s="5">
        <v>17</v>
      </c>
      <c r="D50" s="5" t="b">
        <v>1</v>
      </c>
      <c r="E50" s="11" t="s">
        <v>239</v>
      </c>
      <c r="F50" s="5" t="s">
        <v>409</v>
      </c>
    </row>
    <row r="51" spans="1:7">
      <c r="A51" s="5" t="e">
        <f t="shared" ca="1" si="0"/>
        <v>#REF!</v>
      </c>
      <c r="B51" s="11" t="s">
        <v>116</v>
      </c>
      <c r="C51" s="5">
        <v>17</v>
      </c>
      <c r="D51" s="5" t="b">
        <v>1</v>
      </c>
      <c r="E51" s="11" t="s">
        <v>115</v>
      </c>
      <c r="F51" s="5" t="s">
        <v>413</v>
      </c>
    </row>
    <row r="52" spans="1:7">
      <c r="A52" s="5" t="e">
        <f t="shared" ca="1" si="0"/>
        <v>#REF!</v>
      </c>
      <c r="B52" s="11" t="s">
        <v>254</v>
      </c>
      <c r="C52" s="5">
        <v>17</v>
      </c>
      <c r="D52" s="5" t="b">
        <v>0</v>
      </c>
      <c r="E52" s="11" t="s">
        <v>253</v>
      </c>
      <c r="F52" s="5" t="s">
        <v>414</v>
      </c>
    </row>
    <row r="53" spans="1:7">
      <c r="A53" s="5" t="e">
        <f t="shared" ca="1" si="0"/>
        <v>#REF!</v>
      </c>
      <c r="B53" s="11" t="s">
        <v>272</v>
      </c>
      <c r="C53" s="5">
        <v>17</v>
      </c>
      <c r="D53" s="5" t="b">
        <v>0</v>
      </c>
      <c r="E53" s="11" t="s">
        <v>271</v>
      </c>
      <c r="F53" s="5" t="s">
        <v>416</v>
      </c>
    </row>
    <row r="54" spans="1:7">
      <c r="A54" s="5" t="e">
        <f t="shared" ca="1" si="0"/>
        <v>#REF!</v>
      </c>
      <c r="B54" s="11" t="s">
        <v>258</v>
      </c>
      <c r="C54" s="5">
        <v>17</v>
      </c>
      <c r="D54" s="5" t="b">
        <v>0</v>
      </c>
      <c r="E54" s="11" t="s">
        <v>257</v>
      </c>
      <c r="F54" s="5" t="s">
        <v>419</v>
      </c>
    </row>
    <row r="55" spans="1:7">
      <c r="A55" s="5" t="e">
        <f t="shared" ca="1" si="0"/>
        <v>#REF!</v>
      </c>
      <c r="B55" s="11" t="s">
        <v>478</v>
      </c>
      <c r="C55" s="5">
        <v>17</v>
      </c>
      <c r="D55" s="5" t="b">
        <v>1</v>
      </c>
      <c r="E55" s="11" t="s">
        <v>161</v>
      </c>
      <c r="F55" s="5" t="s">
        <v>339</v>
      </c>
      <c r="G55" s="5" t="s">
        <v>472</v>
      </c>
    </row>
    <row r="56" spans="1:7">
      <c r="A56" s="5" t="e">
        <f t="shared" ca="1" si="0"/>
        <v>#REF!</v>
      </c>
      <c r="B56" s="11" t="s">
        <v>100</v>
      </c>
      <c r="C56" s="5">
        <v>17</v>
      </c>
      <c r="D56" s="5" t="b">
        <v>1</v>
      </c>
      <c r="E56" s="11" t="s">
        <v>99</v>
      </c>
      <c r="F56" s="5" t="s">
        <v>422</v>
      </c>
    </row>
    <row r="57" spans="1:7">
      <c r="A57" s="5" t="e">
        <f t="shared" ca="1" si="0"/>
        <v>#REF!</v>
      </c>
      <c r="B57" s="11" t="s">
        <v>479</v>
      </c>
      <c r="C57" s="5">
        <v>17</v>
      </c>
      <c r="D57" s="5" t="b">
        <v>1</v>
      </c>
      <c r="E57" s="11" t="s">
        <v>261</v>
      </c>
      <c r="F57" s="5" t="s">
        <v>423</v>
      </c>
      <c r="G57" s="5" t="s">
        <v>472</v>
      </c>
    </row>
    <row r="58" spans="1:7">
      <c r="A58" s="5" t="e">
        <f t="shared" ca="1" si="0"/>
        <v>#REF!</v>
      </c>
      <c r="B58" s="11" t="s">
        <v>154</v>
      </c>
      <c r="C58" s="5">
        <v>17</v>
      </c>
      <c r="D58" s="5" t="b">
        <v>0</v>
      </c>
      <c r="E58" s="11" t="s">
        <v>153</v>
      </c>
      <c r="F58" s="5" t="s">
        <v>426</v>
      </c>
    </row>
    <row r="59" spans="1:7">
      <c r="A59" s="5" t="e">
        <f t="shared" ca="1" si="0"/>
        <v>#REF!</v>
      </c>
      <c r="B59" s="11" t="s">
        <v>138</v>
      </c>
      <c r="C59" s="5">
        <v>17</v>
      </c>
      <c r="D59" s="5" t="b">
        <v>1</v>
      </c>
      <c r="E59" s="11" t="s">
        <v>137</v>
      </c>
      <c r="F59" s="5" t="s">
        <v>431</v>
      </c>
    </row>
    <row r="60" spans="1:7">
      <c r="A60" s="5" t="e">
        <f t="shared" ca="1" si="0"/>
        <v>#REF!</v>
      </c>
      <c r="B60" s="11" t="s">
        <v>276</v>
      </c>
      <c r="C60" s="5">
        <v>17</v>
      </c>
      <c r="D60" s="5" t="b">
        <v>1</v>
      </c>
      <c r="E60" s="11" t="s">
        <v>275</v>
      </c>
      <c r="F60" s="5" t="s">
        <v>432</v>
      </c>
    </row>
    <row r="61" spans="1:7">
      <c r="A61" s="5" t="e">
        <f t="shared" ca="1" si="0"/>
        <v>#REF!</v>
      </c>
      <c r="B61" s="11" t="s">
        <v>480</v>
      </c>
      <c r="C61" s="5">
        <v>17</v>
      </c>
      <c r="D61" s="5" t="b">
        <v>1</v>
      </c>
      <c r="E61" s="11" t="s">
        <v>187</v>
      </c>
      <c r="F61" s="5" t="s">
        <v>435</v>
      </c>
      <c r="G61" s="5" t="s">
        <v>481</v>
      </c>
    </row>
    <row r="62" spans="1:7">
      <c r="A62" s="5" t="e">
        <f t="shared" ca="1" si="0"/>
        <v>#REF!</v>
      </c>
      <c r="B62" s="11" t="s">
        <v>260</v>
      </c>
      <c r="C62" s="5">
        <v>17</v>
      </c>
      <c r="D62" s="5" t="b">
        <v>0</v>
      </c>
      <c r="E62" s="11" t="s">
        <v>259</v>
      </c>
      <c r="F62" s="5" t="s">
        <v>436</v>
      </c>
    </row>
    <row r="63" spans="1:7">
      <c r="A63" s="5" t="e">
        <f t="shared" ca="1" si="0"/>
        <v>#REF!</v>
      </c>
      <c r="B63" s="11" t="s">
        <v>228</v>
      </c>
      <c r="C63" s="5">
        <v>17</v>
      </c>
      <c r="D63" s="5" t="b">
        <v>1</v>
      </c>
      <c r="E63" s="11" t="s">
        <v>227</v>
      </c>
      <c r="F63" s="5" t="s">
        <v>439</v>
      </c>
    </row>
    <row r="64" spans="1:7">
      <c r="A64" s="5" t="e">
        <f t="shared" ca="1" si="0"/>
        <v>#REF!</v>
      </c>
      <c r="B64" s="11" t="s">
        <v>292</v>
      </c>
      <c r="C64" s="5">
        <v>17</v>
      </c>
      <c r="D64" s="5" t="b">
        <v>1</v>
      </c>
      <c r="E64" s="11" t="s">
        <v>291</v>
      </c>
      <c r="F64" s="5" t="s">
        <v>347</v>
      </c>
    </row>
    <row r="65" spans="1:6">
      <c r="A65" s="5" t="e">
        <f t="shared" ca="1" si="0"/>
        <v>#REF!</v>
      </c>
      <c r="B65" s="11" t="s">
        <v>190</v>
      </c>
      <c r="C65" s="5">
        <v>17</v>
      </c>
      <c r="D65" s="5" t="b">
        <v>0</v>
      </c>
      <c r="E65" s="11" t="s">
        <v>189</v>
      </c>
      <c r="F65" s="5" t="s">
        <v>440</v>
      </c>
    </row>
    <row r="66" spans="1:6">
      <c r="A66" s="5" t="str">
        <f t="shared" si="0"/>
        <v/>
      </c>
      <c r="B66" s="11"/>
      <c r="C66" s="5" t="str">
        <f>IF(NOT(ISBLANK(E66)), VLOOKUP(E66,Source!B:D,3,FALSE), "")</f>
        <v/>
      </c>
      <c r="E66" s="11"/>
      <c r="F66" s="5" t="s">
        <v>447</v>
      </c>
    </row>
    <row r="67" spans="1:6">
      <c r="A67" s="5" t="str">
        <f t="shared" si="0"/>
        <v/>
      </c>
      <c r="B67" s="11"/>
      <c r="C67" s="5" t="str">
        <f>IF(NOT(ISBLANK(E67)), VLOOKUP(E67,Source!B:D,3,FALSE), "")</f>
        <v/>
      </c>
      <c r="E67" s="11"/>
      <c r="F67" s="5" t="s">
        <v>447</v>
      </c>
    </row>
    <row r="68" spans="1:6">
      <c r="A68" s="5" t="str">
        <f t="shared" si="0"/>
        <v/>
      </c>
      <c r="B68" s="11"/>
      <c r="C68" s="5" t="str">
        <f>IF(NOT(ISBLANK(E68)), VLOOKUP(E68,Source!B:D,3,FALSE), "")</f>
        <v/>
      </c>
      <c r="E68" s="11"/>
      <c r="F68" s="5" t="s">
        <v>447</v>
      </c>
    </row>
    <row r="69" spans="1:6">
      <c r="A69" s="5" t="str">
        <f t="shared" si="0"/>
        <v/>
      </c>
      <c r="B69" s="11"/>
      <c r="C69" s="5" t="str">
        <f>IF(NOT(ISBLANK(E69)), VLOOKUP(E69,Source!B:D,3,FALSE), "")</f>
        <v/>
      </c>
      <c r="E69" s="11"/>
      <c r="F69" s="5" t="s">
        <v>447</v>
      </c>
    </row>
    <row r="70" spans="1:6">
      <c r="A70" s="5" t="str">
        <f t="shared" si="0"/>
        <v/>
      </c>
      <c r="B70" s="11"/>
      <c r="C70" s="5" t="str">
        <f>IF(NOT(ISBLANK(E70)), VLOOKUP(E70,Source!B:D,3,FALSE), "")</f>
        <v/>
      </c>
      <c r="E70" s="11"/>
      <c r="F70" s="5" t="s">
        <v>447</v>
      </c>
    </row>
    <row r="71" spans="1:6">
      <c r="A71" s="5" t="str">
        <f t="shared" si="0"/>
        <v/>
      </c>
      <c r="B71" s="11"/>
      <c r="C71" s="5" t="str">
        <f>IF(NOT(ISBLANK(E71)), VLOOKUP(E71,Source!B:D,3,FALSE), "")</f>
        <v/>
      </c>
      <c r="E71" s="11"/>
      <c r="F71" s="5" t="s">
        <v>447</v>
      </c>
    </row>
    <row r="72" spans="1:6">
      <c r="A72" s="5" t="str">
        <f t="shared" si="0"/>
        <v/>
      </c>
      <c r="B72" s="11"/>
      <c r="C72" s="5" t="str">
        <f>IF(NOT(ISBLANK(E72)), VLOOKUP(E72,Source!B:D,3,FALSE), "")</f>
        <v/>
      </c>
      <c r="E72" s="11"/>
      <c r="F72" s="5" t="s">
        <v>447</v>
      </c>
    </row>
    <row r="73" spans="1:6">
      <c r="A73" s="5" t="str">
        <f t="shared" si="0"/>
        <v/>
      </c>
      <c r="B73" s="11"/>
      <c r="C73" s="5" t="str">
        <f>IF(NOT(ISBLANK(E73)), VLOOKUP(E73,Source!B:D,3,FALSE), "")</f>
        <v/>
      </c>
      <c r="E73" s="11"/>
      <c r="F73" s="5" t="s">
        <v>447</v>
      </c>
    </row>
    <row r="74" spans="1:6">
      <c r="A74" s="5" t="str">
        <f t="shared" si="0"/>
        <v/>
      </c>
      <c r="B74" s="11"/>
      <c r="C74" s="5" t="str">
        <f>IF(NOT(ISBLANK(E74)), VLOOKUP(E74,Source!B:D,3,FALSE), "")</f>
        <v/>
      </c>
      <c r="E74" s="11"/>
      <c r="F74" s="5" t="s">
        <v>447</v>
      </c>
    </row>
    <row r="75" spans="1:6">
      <c r="A75" s="5" t="str">
        <f t="shared" si="0"/>
        <v/>
      </c>
      <c r="B75" s="11"/>
      <c r="C75" s="5" t="str">
        <f>IF(NOT(ISBLANK(E75)), VLOOKUP(E75,Source!B:D,3,FALSE), "")</f>
        <v/>
      </c>
      <c r="E75" s="11"/>
      <c r="F75" s="5" t="s">
        <v>447</v>
      </c>
    </row>
    <row r="76" spans="1:6">
      <c r="A76" s="5" t="str">
        <f t="shared" si="0"/>
        <v/>
      </c>
      <c r="B76" s="11"/>
      <c r="C76" s="5" t="str">
        <f>IF(NOT(ISBLANK(E76)), VLOOKUP(E76,Source!B:D,3,FALSE), "")</f>
        <v/>
      </c>
      <c r="E76" s="11"/>
      <c r="F76" s="5" t="s">
        <v>447</v>
      </c>
    </row>
    <row r="77" spans="1:6">
      <c r="A77" s="5" t="str">
        <f t="shared" si="0"/>
        <v/>
      </c>
      <c r="B77" s="11"/>
      <c r="C77" s="5" t="str">
        <f>IF(NOT(ISBLANK(E77)), VLOOKUP(E77,Source!B:D,3,FALSE), "")</f>
        <v/>
      </c>
      <c r="E77" s="11"/>
      <c r="F77" s="5" t="s">
        <v>447</v>
      </c>
    </row>
    <row r="78" spans="1:6">
      <c r="A78" s="5" t="str">
        <f t="shared" si="0"/>
        <v/>
      </c>
      <c r="B78" s="11"/>
      <c r="C78" s="5" t="str">
        <f>IF(NOT(ISBLANK(E78)), VLOOKUP(E78,Source!B:D,3,FALSE), "")</f>
        <v/>
      </c>
      <c r="E78" s="11"/>
      <c r="F78" s="5" t="s">
        <v>447</v>
      </c>
    </row>
    <row r="79" spans="1:6">
      <c r="A79" s="5" t="str">
        <f t="shared" si="0"/>
        <v/>
      </c>
      <c r="B79" s="11"/>
      <c r="C79" s="5" t="str">
        <f>IF(NOT(ISBLANK(E79)), VLOOKUP(E79,Source!B:D,3,FALSE), "")</f>
        <v/>
      </c>
      <c r="E79" s="11"/>
      <c r="F79" s="5" t="s">
        <v>447</v>
      </c>
    </row>
    <row r="80" spans="1:6">
      <c r="A80" s="5" t="str">
        <f t="shared" si="0"/>
        <v/>
      </c>
      <c r="B80" s="11"/>
      <c r="C80" s="5" t="str">
        <f>IF(NOT(ISBLANK(E80)), VLOOKUP(E80,Source!B:D,3,FALSE), "")</f>
        <v/>
      </c>
      <c r="E80" s="11"/>
      <c r="F80" s="5" t="s">
        <v>447</v>
      </c>
    </row>
    <row r="81" spans="1:6">
      <c r="A81" s="5" t="str">
        <f t="shared" si="0"/>
        <v/>
      </c>
      <c r="B81" s="11"/>
      <c r="C81" s="5" t="str">
        <f>IF(NOT(ISBLANK(E81)), VLOOKUP(E81,Source!B:D,3,FALSE), "")</f>
        <v/>
      </c>
      <c r="E81" s="11"/>
      <c r="F81" s="5" t="s">
        <v>447</v>
      </c>
    </row>
    <row r="82" spans="1:6">
      <c r="A82" s="5" t="str">
        <f t="shared" si="0"/>
        <v/>
      </c>
      <c r="B82" s="11"/>
      <c r="C82" s="5" t="str">
        <f>IF(NOT(ISBLANK(E82)), VLOOKUP(E82,Source!B:D,3,FALSE), "")</f>
        <v/>
      </c>
      <c r="E82" s="11"/>
      <c r="F82" s="5" t="s">
        <v>447</v>
      </c>
    </row>
    <row r="83" spans="1:6">
      <c r="A83" s="5" t="str">
        <f t="shared" si="0"/>
        <v/>
      </c>
      <c r="B83" s="11"/>
      <c r="C83" s="5" t="str">
        <f>IF(NOT(ISBLANK(E83)), VLOOKUP(E83,Source!B:D,3,FALSE), "")</f>
        <v/>
      </c>
      <c r="E83" s="11"/>
      <c r="F83" s="5" t="s">
        <v>447</v>
      </c>
    </row>
    <row r="84" spans="1:6">
      <c r="A84" s="5" t="str">
        <f t="shared" si="0"/>
        <v/>
      </c>
      <c r="B84" s="11"/>
      <c r="C84" s="5" t="str">
        <f>IF(NOT(ISBLANK(E84)), VLOOKUP(E84,Source!B:D,3,FALSE), "")</f>
        <v/>
      </c>
      <c r="E84" s="11"/>
      <c r="F84" s="5" t="s">
        <v>447</v>
      </c>
    </row>
    <row r="85" spans="1:6">
      <c r="A85" s="5" t="str">
        <f t="shared" si="0"/>
        <v/>
      </c>
      <c r="B85" s="11"/>
      <c r="C85" s="5" t="str">
        <f>IF(NOT(ISBLANK(E85)), VLOOKUP(E85,Source!B:D,3,FALSE), "")</f>
        <v/>
      </c>
      <c r="E85" s="11"/>
      <c r="F85" s="5" t="s">
        <v>447</v>
      </c>
    </row>
    <row r="86" spans="1:6">
      <c r="A86" s="5" t="str">
        <f t="shared" si="0"/>
        <v/>
      </c>
      <c r="B86" s="11"/>
      <c r="C86" s="5" t="str">
        <f>IF(NOT(ISBLANK(E86)), VLOOKUP(E86,Source!B:D,3,FALSE), "")</f>
        <v/>
      </c>
      <c r="E86" s="11"/>
      <c r="F86" s="5" t="s">
        <v>447</v>
      </c>
    </row>
    <row r="87" spans="1:6">
      <c r="A87" s="5" t="str">
        <f t="shared" si="0"/>
        <v/>
      </c>
      <c r="B87" s="5"/>
      <c r="C87" s="5" t="str">
        <f>IF(NOT(ISBLANK(E87)), VLOOKUP(E87,Source!B:D,3,FALSE), "")</f>
        <v/>
      </c>
      <c r="F87" s="5" t="s">
        <v>447</v>
      </c>
    </row>
    <row r="88" spans="1:6">
      <c r="A88" s="5" t="str">
        <f t="shared" si="0"/>
        <v/>
      </c>
      <c r="B88" s="5"/>
      <c r="C88" s="5" t="str">
        <f>IF(NOT(ISBLANK(E88)), VLOOKUP(E88,Source!B:D,3,FALSE), "")</f>
        <v/>
      </c>
      <c r="F88" s="5" t="s">
        <v>447</v>
      </c>
    </row>
    <row r="89" spans="1:6">
      <c r="A89" s="5" t="str">
        <f t="shared" si="0"/>
        <v/>
      </c>
      <c r="B89" s="5"/>
      <c r="C89" s="5" t="str">
        <f>IF(NOT(ISBLANK(E89)), VLOOKUP(E89,Source!B:D,3,FALSE), "")</f>
        <v/>
      </c>
      <c r="F89" s="5" t="s">
        <v>447</v>
      </c>
    </row>
    <row r="90" spans="1:6">
      <c r="A90" s="5" t="str">
        <f t="shared" si="0"/>
        <v/>
      </c>
      <c r="B90" s="5"/>
      <c r="C90" s="5" t="str">
        <f>IF(NOT(ISBLANK(E90)), VLOOKUP(E90,Source!B:D,3,FALSE), "")</f>
        <v/>
      </c>
      <c r="F90" s="5" t="s">
        <v>447</v>
      </c>
    </row>
    <row r="91" spans="1:6">
      <c r="A91" s="5" t="str">
        <f t="shared" si="0"/>
        <v/>
      </c>
      <c r="B91" s="5"/>
      <c r="C91" s="5" t="str">
        <f>IF(NOT(ISBLANK(E91)), VLOOKUP(E91,Source!B:D,3,FALSE), "")</f>
        <v/>
      </c>
      <c r="F91" s="5" t="s">
        <v>447</v>
      </c>
    </row>
    <row r="92" spans="1:6">
      <c r="A92" s="5" t="str">
        <f t="shared" si="0"/>
        <v/>
      </c>
      <c r="B92" s="5"/>
      <c r="C92" s="5" t="str">
        <f>IF(NOT(ISBLANK(E92)), VLOOKUP(E92,Source!B:D,3,FALSE), "")</f>
        <v/>
      </c>
      <c r="F92" s="5" t="s">
        <v>447</v>
      </c>
    </row>
    <row r="93" spans="1:6">
      <c r="A93" s="5" t="str">
        <f t="shared" si="0"/>
        <v/>
      </c>
      <c r="B93" s="5"/>
      <c r="C93" s="5" t="str">
        <f>IF(NOT(ISBLANK(E93)), VLOOKUP(E93,Source!B:D,3,FALSE), "")</f>
        <v/>
      </c>
      <c r="F93" s="5" t="s">
        <v>447</v>
      </c>
    </row>
    <row r="94" spans="1:6">
      <c r="A94" s="5" t="str">
        <f t="shared" si="0"/>
        <v/>
      </c>
      <c r="B94" s="5"/>
      <c r="C94" s="5" t="str">
        <f>IF(NOT(ISBLANK(E94)), VLOOKUP(E94,Source!B:D,3,FALSE), "")</f>
        <v/>
      </c>
      <c r="F94" s="5" t="s">
        <v>447</v>
      </c>
    </row>
    <row r="95" spans="1:6">
      <c r="A95" s="5" t="str">
        <f t="shared" si="0"/>
        <v/>
      </c>
      <c r="B95" s="5"/>
      <c r="C95" s="5" t="str">
        <f>IF(NOT(ISBLANK(E95)), VLOOKUP(E95,Source!B:D,3,FALSE), "")</f>
        <v/>
      </c>
      <c r="F95" s="5" t="s">
        <v>447</v>
      </c>
    </row>
    <row r="96" spans="1:6">
      <c r="A96" s="5" t="str">
        <f t="shared" si="0"/>
        <v/>
      </c>
      <c r="B96" s="5"/>
      <c r="C96" s="5" t="str">
        <f>IF(NOT(ISBLANK(E96)), VLOOKUP(E96,Source!B:D,3,FALSE), "")</f>
        <v/>
      </c>
      <c r="F96" s="5" t="s">
        <v>447</v>
      </c>
    </row>
    <row r="97" spans="1:6">
      <c r="A97" s="5" t="str">
        <f t="shared" si="0"/>
        <v/>
      </c>
      <c r="B97" s="5"/>
      <c r="C97" s="5" t="str">
        <f>IF(NOT(ISBLANK(E97)), VLOOKUP(E97,Source!B:D,3,FALSE), "")</f>
        <v/>
      </c>
      <c r="F97" s="5" t="s">
        <v>447</v>
      </c>
    </row>
    <row r="98" spans="1:6">
      <c r="A98" s="5" t="str">
        <f t="shared" si="0"/>
        <v/>
      </c>
      <c r="B98" s="5"/>
      <c r="C98" s="5" t="str">
        <f>IF(NOT(ISBLANK(E98)), VLOOKUP(E98,Source!B:D,3,FALSE), "")</f>
        <v/>
      </c>
      <c r="F98" s="5" t="s">
        <v>447</v>
      </c>
    </row>
    <row r="99" spans="1:6">
      <c r="A99" s="5" t="str">
        <f t="shared" si="0"/>
        <v/>
      </c>
      <c r="B99" s="5"/>
      <c r="C99" s="5" t="str">
        <f>IF(NOT(ISBLANK(E99)), VLOOKUP(E99,Source!B:D,3,FALSE), "")</f>
        <v/>
      </c>
      <c r="F99" s="5" t="s">
        <v>447</v>
      </c>
    </row>
    <row r="100" spans="1:6">
      <c r="A100" s="5" t="str">
        <f t="shared" si="0"/>
        <v/>
      </c>
      <c r="B100" s="5"/>
      <c r="C100" s="5" t="str">
        <f>IF(NOT(ISBLANK(E100)), VLOOKUP(E100,Source!B:D,3,FALSE), "")</f>
        <v/>
      </c>
      <c r="F100" s="5" t="s">
        <v>447</v>
      </c>
    </row>
    <row r="101" spans="1:6">
      <c r="A101" s="5" t="str">
        <f t="shared" si="0"/>
        <v/>
      </c>
      <c r="B101" s="5"/>
      <c r="C101" s="5" t="str">
        <f>IF(NOT(ISBLANK(E101)), VLOOKUP(E101,Source!B:D,3,FALSE), "")</f>
        <v/>
      </c>
      <c r="F101" s="5" t="s">
        <v>447</v>
      </c>
    </row>
  </sheetData>
  <autoFilter ref="A1:G65"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vt:lpstr>
      <vt:lpstr>Finn</vt:lpstr>
      <vt:lpstr>Gib</vt:lpstr>
      <vt:lpstr>Ivan</vt:lpstr>
      <vt:lpstr>Jean-Baptiste</vt:lpstr>
      <vt:lpstr>Meike</vt:lpstr>
      <vt:lpstr>Steve</vt:lpstr>
      <vt:lpstr>Source</vt:lpstr>
      <vt:lpstr>Final Review</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Gebruiker</dc:creator>
  <cp:lastModifiedBy>Morren, M.H. (MH)</cp:lastModifiedBy>
  <dcterms:created xsi:type="dcterms:W3CDTF">2025-10-03T11:56:15Z</dcterms:created>
  <dcterms:modified xsi:type="dcterms:W3CDTF">2025-10-03T11:56:15Z</dcterms:modified>
</cp:coreProperties>
</file>