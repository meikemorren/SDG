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inn" sheetId="2" r:id="rId5"/>
    <sheet state="visible" name="Gib" sheetId="3" r:id="rId6"/>
    <sheet state="visible" name="Jean-Baptiste" sheetId="4" r:id="rId7"/>
    <sheet state="visible" name="Meike" sheetId="5" r:id="rId8"/>
    <sheet state="visible" name="Steve" sheetId="6" r:id="rId9"/>
    <sheet state="visible" name="Source" sheetId="7" r:id="rId10"/>
    <sheet state="visible" name="Final Review" sheetId="8" r:id="rId11"/>
    <sheet state="visible" name="Output" sheetId="9" r:id="rId12"/>
  </sheets>
  <definedNames>
    <definedName hidden="1" localSheetId="7" name="_xlnm._FilterDatabase">'Final Review'!$A$1:$S$101</definedName>
    <definedName hidden="1" localSheetId="8" name="_xlnm._FilterDatabase">Output!$A$1:$G$961</definedName>
  </definedNames>
  <calcPr/>
</workbook>
</file>

<file path=xl/sharedStrings.xml><?xml version="1.0" encoding="utf-8"?>
<sst xmlns="http://schemas.openxmlformats.org/spreadsheetml/2006/main" count="2187" uniqueCount="483">
  <si>
    <t>Hello 👋</t>
  </si>
  <si>
    <t>Welcome to the labeling exercise for SDG 11.</t>
  </si>
  <si>
    <t>The objective of this exercise is to label 100 texts in terms of their relevance to SDG 11.</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</si>
  <si>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</si>
  <si>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</si>
  <si>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</si>
  <si>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</si>
  <si>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</si>
  <si>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</si>
  <si>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</si>
  <si>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B.</t>
  </si>
  <si>
    <t>Column C contains a drop-down for picking the appropriate label. The options are:</t>
  </si>
  <si>
    <t>This text is relevant to SDG 11</t>
  </si>
  <si>
    <t>This text is not relevant to SDG 11</t>
  </si>
  <si>
    <t>SKIP</t>
  </si>
  <si>
    <t>You can use this if you are not sure about the label</t>
  </si>
  <si>
    <t>If you want, you can put any comments in column D.</t>
  </si>
  <si>
    <t>Instructions for Labeling</t>
  </si>
  <si>
    <t>The text should be annotated as SDG 11 only if:</t>
  </si>
  <si>
    <r>
      <rPr>
        <rFont val="Arial"/>
        <color theme="1"/>
        <u/>
      </rPr>
      <t xml:space="preserve">1. The text addresses </t>
    </r>
    <r>
      <rPr>
        <rFont val="Arial"/>
        <b/>
        <color theme="1"/>
        <u/>
      </rPr>
      <t>SDG 11 or one of its targets</t>
    </r>
  </si>
  <si>
    <t>See the official definitions of SDG 11 and its targets below ("SDG 11 Description &amp; Targets").</t>
  </si>
  <si>
    <t>AND</t>
  </si>
  <si>
    <r>
      <rPr>
        <rFont val="Arial"/>
        <color theme="1"/>
        <u/>
      </rPr>
      <t xml:space="preserve">2. The text addresses SDG 11 or its targets </t>
    </r>
    <r>
      <rPr>
        <rFont val="Arial"/>
        <b/>
        <color theme="1"/>
        <u/>
      </rPr>
      <t>directly</t>
    </r>
    <r>
      <rPr>
        <rFont val="Arial"/>
        <color theme="1"/>
        <u/>
      </rPr>
      <t>:</t>
    </r>
  </si>
  <si>
    <t>- the text should be directly relevant to SDG 11 or to achieving SDG 11</t>
  </si>
  <si>
    <t>- if a text only has an indirect or implicit relevance, it should not be labeled SDG 11</t>
  </si>
  <si>
    <r>
      <rPr>
        <rFont val="Arial"/>
        <color theme="1"/>
        <u/>
      </rPr>
      <t xml:space="preserve">3. The text addresses SDG 11 or its targets </t>
    </r>
    <r>
      <rPr>
        <rFont val="Arial"/>
        <b/>
        <color theme="1"/>
        <u/>
      </rPr>
      <t>specifically</t>
    </r>
    <r>
      <rPr>
        <rFont val="Arial"/>
        <color theme="1"/>
        <u/>
      </rPr>
      <t>:</t>
    </r>
  </si>
  <si>
    <t>- the text should be specific to SDG 11 and its targets</t>
  </si>
  <si>
    <t>- if fact stating, the text should contain value-laden words (e.g. renewable energy instead of energy, drug abuse instead of drugs, infant mortality instead of premature deaths)</t>
  </si>
  <si>
    <r>
      <rPr>
        <rFont val="Arial"/>
        <color theme="1"/>
        <u/>
      </rPr>
      <t xml:space="preserve">4. Annotate as SDG 11 regardless of </t>
    </r>
    <r>
      <rPr>
        <rFont val="Arial"/>
        <b/>
        <color theme="1"/>
        <u/>
      </rPr>
      <t>valence</t>
    </r>
    <r>
      <rPr>
        <rFont val="Arial"/>
        <color theme="1"/>
        <u/>
      </rPr>
      <t xml:space="preserve"> and </t>
    </r>
    <r>
      <rPr>
        <rFont val="Arial"/>
        <b/>
        <color theme="1"/>
        <u/>
      </rPr>
      <t>other SDGs</t>
    </r>
    <r>
      <rPr>
        <rFont val="Arial"/>
        <color theme="1"/>
        <u/>
      </rPr>
      <t>:</t>
    </r>
  </si>
  <si>
    <t>- annotate as SDG 11 regardless of whether the content is discussed in a positive or negative light. We ignore valence (sentiment) for now.</t>
  </si>
  <si>
    <t>- annotate as SDG 11 even if other SDGs are mentioned and annotate as SDG 11 even if SDG 11 is not the "most important" SDG in the text</t>
  </si>
  <si>
    <t>With all that said, please do trust your judgment! I am sure we will have important discussions about these issues next time — which is exactly what we want 😊</t>
  </si>
  <si>
    <t>SDG 11 Description &amp; Targets</t>
  </si>
  <si>
    <t>SDG 11</t>
  </si>
  <si>
    <t>Make cities and human settlements inclusive, safe, resilient and sustainable</t>
  </si>
  <si>
    <t>Target 11.1</t>
  </si>
  <si>
    <t>By 2030, ensure access for all to adequate, safe and affordable housing and basic services and upgrade slums</t>
  </si>
  <si>
    <t>Target 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</si>
  <si>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</si>
  <si>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Target 11.3</t>
  </si>
  <si>
    <t>By 2030, enhance inclusive and sustainable urbanization and capacity for participatory, integrated and sustainable human settlement planning and management in all countries</t>
  </si>
  <si>
    <t>Target 11.4</t>
  </si>
  <si>
    <t>Strengthen efforts to protect and safeguard the world’s cultural and natural heritage</t>
  </si>
  <si>
    <t>Target 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</si>
  <si>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</si>
  <si>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Target 11.6</t>
  </si>
  <si>
    <t>By 2030, reduce the adverse per capita environmental impact of cities, including by paying special attention to air quality and municipal and other waste management</t>
  </si>
  <si>
    <t>Target 11.7</t>
  </si>
  <si>
    <t>By 2030, provide universal access to safe, inclusive and accessible, green and public spaces, in particular for women and children, older persons and persons with disabilities</t>
  </si>
  <si>
    <t>Target 11.a</t>
  </si>
  <si>
    <t>Support positive economic, social and environmental links between urban, per-urban and rural areas by strengthening national and regional development planning</t>
  </si>
  <si>
    <t>Target 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</si>
  <si>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</si>
  <si>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Target 11.c</t>
  </si>
  <si>
    <t>Support least developed countries, including through financial and technical assistance, in building sustainable and resilient buildings utilizing local materials</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</si>
  <si>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</si>
  <si>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</si>
  <si>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</si>
  <si>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</si>
  <si>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</si>
  <si>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Finn</t>
  </si>
  <si>
    <t>Gib</t>
  </si>
  <si>
    <t>Jean-Baptiste</t>
  </si>
  <si>
    <t>Meike</t>
  </si>
  <si>
    <t>Steve</t>
  </si>
  <si>
    <t>Thank you for being part of this exercise and thanks to OSDG for the dataset! ❤️</t>
  </si>
  <si>
    <t>Text Selection</t>
  </si>
  <si>
    <t>FYI: You do not need to read this section. We are just documenting how the texts for this exercise were selected.</t>
  </si>
  <si>
    <t>In total, 100 texts were selected from the OSDG dataset for SDG 11. The reason for selecting each text is documented in the "Source" sheet.</t>
  </si>
  <si>
    <t>Automatic Selection (50 texts)</t>
  </si>
  <si>
    <t>50 texts were selected automatically</t>
  </si>
  <si>
    <t>- 25 texts that OSDG community labeled as "SDG 11"</t>
  </si>
  <si>
    <t>- 25 texts that OSDG community labeled as "not SDG 11"</t>
  </si>
  <si>
    <t>In the OSDG dataset, each text has an agreement score between 0 (equal positive and negative labels) to 1 (full consensus).</t>
  </si>
  <si>
    <t>Each set of the 25 texts above consist of:</t>
  </si>
  <si>
    <t>- 5 texts with agreement score &gt; 0.8</t>
  </si>
  <si>
    <t>- 5 texts with agreement score &gt; 0.6 and &lt;= 0.8</t>
  </si>
  <si>
    <t>- 5 texts with agreement score &gt; 0.4 and &lt;= 0.6</t>
  </si>
  <si>
    <t>- 5 texts with agreement score &gt; 0.2 and &lt;= 0.4</t>
  </si>
  <si>
    <t>- 5 texts with agrement score &gt; 0 and &lt;= 0.2</t>
  </si>
  <si>
    <t>For each permutation (label + agreement level), the five texts with the largest number of annotators were selected.</t>
  </si>
  <si>
    <t>Manual Selection (50 texts)</t>
  </si>
  <si>
    <t>25 texts that OSDG community labeled as "SDG 11"</t>
  </si>
  <si>
    <t>- 5 texts that relate to the goal as a whole</t>
  </si>
  <si>
    <t>- 20 texts (2 per target) that relate to the SDG targets</t>
  </si>
  <si>
    <t>25 texts that OSDG community labeled as "not SDG 11"</t>
  </si>
  <si>
    <t>- 5 texts that contain words relating to the goal as a whole</t>
  </si>
  <si>
    <t>- 20 texts (2 per target) that contain words relating to the SDG targets</t>
  </si>
  <si>
    <t>Text ID</t>
  </si>
  <si>
    <t>Text</t>
  </si>
  <si>
    <t>SDG 11 Label</t>
  </si>
  <si>
    <t>Comments (optional)</t>
  </si>
  <si>
    <t>ae3443f14845002f264f1713b83fd0ec</t>
  </si>
  <si>
    <t>Falling yields (except at the very short end) and a flattening yield curve can be observed in the euro area as well. However, while the euro has been generally stable against the currencies of major trading partners, the US dollar has strengthened. Meanwhile, the equity market volatility index, which has ebbed since the start of 2019, is picking up again somewhat following the new tariff measures introduced by the United States and China in May 2019. Capital markets in Emerging Asia - Stable but headwinds persist10 (cont.)</t>
  </si>
  <si>
    <t>0f242faa3d49f975f27dfb1c5603c7e2</t>
  </si>
  <si>
    <t>The IMF’s rapid financing instrument (RFI)'. Secretariat of the Pacific Regional Environment Programme (SPREP). Voluntary Guidelines for the Pacific Islands Region, available at: http://www.pacificdisaster.net/dox/ FRDP_2016_Resilient_Dev_pacific.pdf (accessed 29 September 2017). United States Department of State (2017), Bureau of Economic and Business Affairs: Investment Climate Statements for 2017 - Dominica, available at: https://www.state.g0v/e/eb/rls/0thr/ics/ investmentclimatestatements/index.htm?dlid =270062&amp;year=2017#wrapper (accessed 29 September 2017).</t>
  </si>
  <si>
    <t>e6dc4cad356ac7cf988e3df85ac6520d</t>
  </si>
  <si>
    <t>For every 100 hospitalised casualties, police reported 115 serious injuries - serious injuries do not always result in hospitalisation. The reporting ratio that was achieved is a more accurate reflection of the true level of serious road trauma. Over the same period, the number of crash casualty hospital admissions was stable, indicating that the actual level of road trauma had not risen, and the significant increase in reported injuries was attributable to improved reporting. Figure 5.1 shows how Otago and Southland police reporting of serious injuries improved between 1997 and 2002.</t>
  </si>
  <si>
    <t>target 11.2</t>
  </si>
  <si>
    <t>230f5ab2c873869772e462c22a19744a</t>
  </si>
  <si>
    <t>To boost Kaznex Invest’s effectiveness in attracting investors to the key strategic sectors, the government of Kazakhstan requested a review of Kaznex Invest operations from the OECD and a benchmarking in relation to best practices in other agencies, with a view to making adjustments in its mandate, structure, or operations (OECD, 2015d). Investment Promotion Agency of Kazakhstan: how well is it doing? ( Only 5% of total FDI inflows were estimated to have been directly generated by Kaznex Invest in 2013, as compared to 11% in Nicaragua or 33% in Czech Republic. Reasons for this relatively poor performance included, the relatively large mandate of the institution, which resulted in lesser attention given to investment promotion and facilitation, its focus on serving the needs of the ministry1 rather than of investors, and a lack of clear strategy', well-identified priority sectors and key performance indicators that were outcome- rather than process-oriented and in line with the pre-identified strategy .</t>
  </si>
  <si>
    <t>f2a94335f1f51b9998ced8bb9d32542f</t>
  </si>
  <si>
    <t>However, it also combines elements from a top-down approach like the selection of areas, organisation of coordination meetings, developing strategies and offering guidance (Faggian, 2017|2i]). The results from this tops-down-bottom-up approach are materialised in the form of a Programme Framework Agreement {Accordo di Programme Quadro), which is a contract among the municipal association, regional and central governments. Project areas are selected through a standardised public proceeding that involves a desk and field analyses of pre-selected areas. Pre-selected areas are analysed with respect to a series of demographic and socio-economic parameters (utilised agricultural area, deforestation, hydrological risk, population losses, entrepreneurship, tourism and cultural heritage, quality of education and health services among others).</t>
  </si>
  <si>
    <t>inter-regional planning</t>
  </si>
  <si>
    <t>8d0e14eb6adeecb6f86e0d0f215c85fa</t>
  </si>
  <si>
    <t>Thus, it provides assistance in the preparation of public decisions of elected officials, its implementation, its monitoring and Evaluation. It may give themselves records or any matter it deems necessary. It occupies a prominent place for the dissemination of information within the professional circles and associations, or even to the entire population and receives experts as needs.</t>
  </si>
  <si>
    <t>e5b248174d4c7bc30f6eb0c69224aecf</t>
  </si>
  <si>
    <t>So should the risk-informed development approach called for in the Sendai Framework, through the systematic integration of risk information across all sectoral planning processes. Delivering DRR is possible in any context, but the scope of what is viable and appropriate will change depending on the context. And for some, such as those affected by armed conflict and fragility, what this looks like is still to be learned.469 There remains a dearth of practical and policy advice on how to devise and implement DRR strategies for complex risk contexts, including where violent conflict forms part of the broader environment in which DRR takes place.</t>
  </si>
  <si>
    <t>56c07b1c6bd7e390e29a05b94305693c</t>
  </si>
  <si>
    <t>These tools are contributing to the growing science of cities. This initiative envisions the use of circular economy techniques to link an urban extension to existing settlements. The initiative aims to incen-tivize ideas for decentralized, closed-loop models of spatial planning and peri-urban service provision that replace fossil energy with renewables, derive new water, biogas, and fertilizer from wastewater, and produce food and biofuel with recycled inputs, all co-generated at near net-zero waste. Each RENEWW Zone would offer, within walking or cycling distance, a green space for community recreation, recycling and sanitation services, as well as a place to purchase fresh food, recycled goods, biofuels and safe drinking water.</t>
  </si>
  <si>
    <t>9f82e353b92a3556c1a940873d5da1aa</t>
  </si>
  <si>
    <t>In 2015, Sudan was removed from the “black list” of the Financial Action Task Force, an international financial-fraud monitoring body located at the OECD. However, the continued difficulties of processing international banking transactions may fuel informal transfers, contribute to exchange-rate distortion, and reduce fiscal revenues. In urban areas, job creation is above average and the poverty rate is less than half of the national average.</t>
  </si>
  <si>
    <t>dbffc996583a690ac9ad01eec4f066ed</t>
  </si>
  <si>
    <t>The city can experiment with new' technologies at the new' landfill site planned at Gia Minh solid waste treatment complex in Thuy Nguyen district, which is 15 kilometres away from the centre and a part of the project on rain and wastewater drainage and solid waste management. Such efforts can directly improve the economic competitiveness of SMEs. Community-based action has played a key role in reducing the city’s domestic waste by setting up targets and various pilot projects that empowered identifiable groups in waste collection and sorting for recycling. For example, in Cebu, small and medium-scale businesses have identified waste treatment and recycling as a business and located a market for their end products.</t>
  </si>
  <si>
    <t>sustainable city</t>
  </si>
  <si>
    <t>d4e5265d4553d8e42c46182669ddd9e2</t>
  </si>
  <si>
    <t>It is presently unclear how land use planning is going to evolve with all the changes implied by the wave of recent legislative changes (e.g. ALUR, MAPTAM and NOTRe). Intercommunal power is increasingly emphasised and the new regions (13 instead of 22) should have more influence on planning. But, with the tradition of the commune’s monopoly in term of land use, regions are uncertain about their areas of competence. While the intent has been to make the process of planning more co-ordinated and to establish clearer responsibilities at each level, in some cases the effect has been to destabilise existing relationships that were formed under the old rules and now have to be readjusted to reflect the new rules. This can occur in the middle of multi-year agreements and can affect outcomes. In an assessment of the French system, Reimer et al.</t>
  </si>
  <si>
    <t>interregional cooperation</t>
  </si>
  <si>
    <t>f625b9bc7ce99302f72ba28accabc605</t>
  </si>
  <si>
    <t>A major change at the municipal (and provincial) level is the adoption of one plan for the entire territory that will incorporate all applicable zoning regulations and pertinent administrative laws. All existing zoning plans will be transferred to the environmental plan and local governments will have a period of ten years to transform them. It is anticipated that some areas will have a high degree of protection, such as heritage sites, while others will have far fewer rules and constraints and be more open to experimental uses and spaces.</t>
  </si>
  <si>
    <t>edf93c3307609eb79e5aa894e52d3945</t>
  </si>
  <si>
    <t>Walking accessibility should be improved, with especial consideration for accessibility for persons with disabilities. Transport strategy will need to be further developed and, if streets become narrower, the currently successful public transport system will need to be extended and improved. Green spaces should be multi-functional: accessible to citizens, protection from noise, purification of air, and help in lowering extremely high temperatures.</t>
  </si>
  <si>
    <t>9a169e5bd34ccfd93a9434caad4a8c80</t>
  </si>
  <si>
    <t>The latter region pays almost the same amount of attention to human development as to economic development. In Africa, these are the two dominant themes. Latin America and the Caribbean's and Arab States' NUPs also pay the most amount of their attention to spatial structure. Environmental sustainability also gets low attention globally, although the results are more diverse across regions.</t>
  </si>
  <si>
    <t>88334f0d691f35cf7f7223c6d73f30b9</t>
  </si>
  <si>
    <t>Public-Private Partnerships (PPPs) play a role in creating smart, sustainable and resilient cities and overcoming financing constraints. However, it is important that such partnerships are designed in way that they are not a source of risk to public finances and that affordability and inclusiveness considerations are duly taken into account. While the value for money concept remains important, with the adoption of the 2030 Agenda, the challenge is to implement PPPs according to a broader set of holistic criteria and undertake projects that from inception to termination create 'value for people'. The action plan for implementation of a National Disaster Risk Management Programme for period 2017-2020 was adopted by the Government in March 2017. The plan was coordinated by the Public Investment Management Office -with participation of all line ministries, special organizations, local self-governments, non-governmental organizations, and other stakeholders in the countiy. Along with the action plan, a Disaster Risk Financing Programme has also been adopted.</t>
  </si>
  <si>
    <t>feb9f138ce3a24abf7c20185de1e6761</t>
  </si>
  <si>
    <t>The committee was set up when Region Vastra Gotaland was founded in 1999. It brings together politicians from the region and from the four associations of municipalities in the region (representing the 49 municipalities). The committee is directly linked to decision making in the Regional Executive Board.</t>
  </si>
  <si>
    <t>interregional planning</t>
  </si>
  <si>
    <t>59817bab27fa71125af7ca040e5805bb</t>
  </si>
  <si>
    <t>This implies no responsibility by community or government and gives the impression that road trauma is inevitable. The implication in the use of the word 'accident' is that road trauma is an 'act of God' and outside our control. New Zealand Police prefer the term crash or collision to ensure that these events are not regarded as inevitable, as most road incidents are preventable.</t>
  </si>
  <si>
    <t>not sure</t>
  </si>
  <si>
    <t>48334d11bf354345c2bffcf30c51af11</t>
  </si>
  <si>
    <t>What will be the consequences? Life expectancy, incomes, literacy, and access of girls to education have changed remarkably. However, beneath this global perspective lie significant and compelling regional differences, with tremendous economic growth in East Asia while Africa features dangerously low incomes and poor health conditions. The outbreak of Ebola fever and the need for a broad-based response has highlighted the great risks that deprivation can bring on local, national and worldwide scales.</t>
  </si>
  <si>
    <t>04fa7f8e790b8447cc003980e8d5cb2e</t>
  </si>
  <si>
    <t>These policies will need to be synchronised and implemented in parallel with the initiatives of the Council for Human Capital. These drivers, also called “framework conditions”, are largely endogenous to the region and include agglomeration effects, sectoral specialisation, human capital, accessibility and infrastructure, innovation and institutional factors. To strengthen its regional economy, Morelos w'ill need to leverage its diverse set of assets and comparative advantages by adopting a territorial, comprehensive approach to different challenges.</t>
  </si>
  <si>
    <t>territorial approach?</t>
  </si>
  <si>
    <t>db6e0c40b4d8c538f0cce5d3e1260563</t>
  </si>
  <si>
    <t>Fiscal management requires judicious policy actions moving forward. The budget deficit has been persistently high the last few years, resulting in a marked rise in the government debt-to-GDP ratio. While the imposition of appropriate spending restrictions is helpful, the falling revenue-to-GDP ratio needs attention. Furthermore, sustaining growth requires the leveraging of economic gains from electricity and mining production and from infrastructure projects (e.g. the railway from Lao PDR to China) to develop other industries. For instance, agriculture could use additional investment to enhance its climate resilience, operational efficiency and productivity. Despite the movement of labour to other sectors over the years, agriculture still accounts for more than 60% of total employment.</t>
  </si>
  <si>
    <t>73157abeb01e78a44910f85cf380611f</t>
  </si>
  <si>
    <t>One of the main problems is that even the existence of landfills does not guarantee an adequate treatment of waste. Only between 3.9% and 6.7% of the waste that enters into the selection plants is recuperated, and the rest is deposited in landfills. Managing solid waste costs MXN 3 billion yearly (USD 185 million approximately). Mexico City has 13 transfer stations to select, store and concentrate solid waste. It also has two selection plants to separate waste that can be recycled.</t>
  </si>
  <si>
    <t>8a092779223b85e018851a4d632a9610</t>
  </si>
  <si>
    <t>The stock of public debt rose from just below 70% of GDP at end-2010 to 108% by end-2015. Consequently, interest payments on public sector debt increased to absorb 40% of government revenues in 2015, up from 25% in 2013. The outlook for 2016 is clouded by policy slippages related to financing another large programmed deficit of 9.3% of GDP. Associated with the fiscal deficit, Gambia experienced a significant balance of payments crisis, which led to a decrease in its official reserves from six months of import cover at end-2012 to less than three months in early 2016.</t>
  </si>
  <si>
    <t>f7b9209827e091c67a295dca0057d21c</t>
  </si>
  <si>
    <t>In Eastern and South-Eastern Europe, Albania and Romania stand out with half of the housing lacking piped water. As in the case of water supply, sewerage services are most problematic in Albania, Romania and the EECCA countries. The data indicate that a limited share of the housing has a bath or shower—Uzbekistan (13.3 per cent), Bosnia and Herzegovina (22 per cent), Kyrgyzstan (24 per cent) and the Republic of Moldova and Turkmenistan (30 per cent).</t>
  </si>
  <si>
    <t>9342ee3d92f04c8383a4b0a1c9687f31</t>
  </si>
  <si>
    <t>These linkages have multifaceted positive impacts on individuals, families and communities. The potential for the co-development of urban and rural communities exists but requires partnerships between the migrants and the local authorities of both communities as well as support from national governments. It assists to shift the focus away from why people move to how they work, live and shape their habitats. Cities across the development spectrum have growing mobile and diverse populations to manage. In developed countries, one of the main sources of population diversity is international migration while, in less-developed countries, it is most likely internal migration1 and, to a lesser extent, growing international South-South migration.</t>
  </si>
  <si>
    <t>49da96874469a2993f151ec58ff990dc</t>
  </si>
  <si>
    <t>While the growth trends are somewhat comparable for certain commodities, the speed of adjustment between commodities and markets differs (Figure 1). These dynamics are presumably determined by the macroeconomic structure, extent of global value chain involvement of each sector in the economy, free trade agreements and investment linkages, among other factors. Commodity nomenclatures are not necessarily the same across countries. In this regard, concerns mainly revolve around the movement of the Chinese yuan.</t>
  </si>
  <si>
    <t>1738cb4612c166d8e83829d17a531093</t>
  </si>
  <si>
    <t>The first are relatively straightforward to measure, as they are the marginal labour and vehicle operating costs, measured through costs for fuel and vehicle maintenance. Costs associated to schedule delay and non-adherence are harder to grasp, and can be classified into three categories. These are especially harmful in the context of just in time delivery practises, flexible inventories and perishable goods.</t>
  </si>
  <si>
    <t>73176a7318b3e67122469c803ebf18a8</t>
  </si>
  <si>
    <t>In 2014, Gangwon-do and Jeju-do's GDP per capita were lower than the national average as well as the average OECD rural region. Four out of five predominantly rural regions had faster GDP per capita growth than the national average in 2000-2014 (Figure 1.9). The highest growth rate occurred in Chungcheongnam-do, where the GDP per capita grew by 6.2%.</t>
  </si>
  <si>
    <t>32282e63dd170a21f7cb16e599bb8c56</t>
  </si>
  <si>
    <t>These in turn are divorced from the less common initiatives to counter economic and geopolitical risk. Again, the focus is on large drought, locust invasion and animal disease shocks, with priority placed on food and nutrition security as the overall objective of risk management. Undeniably, these are the critical issues affecting those most vulnerable to disaster, however this prioritisation, at the expense of other risks and risk management approaches, means that flooding, human epidemics (and pandemics) and other (non-negligible) economic and geopolitical risks are inadequately addressed or are siloed from the predominant drought risk management programming in Niger. The disproportional focus on using shorter-term instruments at the expense of longer-term development (as outlined in Section 4.1) is replicated in risk management programming, reinforced by the prioritisation of food and nutrition security and preparedness, traditionally led by humanitarian actors.</t>
  </si>
  <si>
    <t>more SDG 2</t>
  </si>
  <si>
    <t>0590a65954fb64fd03f2a89ae4824da2</t>
  </si>
  <si>
    <t>If large-scale hazardous events and outliers are excluded disaster mortality triggered by hydrometeorological hazards can be observed in an upward trend, as shown in figure 15. These variations call for deeper analysis of each sector and kinds of disasters, for informed policymaking. Earthquakes account for the highest number of people potentially exposed, while flooding is the most frequent natural hazard, for which about 1 billion people in 155 countries were potentially exposed in 2015.</t>
  </si>
  <si>
    <t>45d33738d0763be0e2f7493b5cb282e5</t>
  </si>
  <si>
    <t>While governments are the most important actors in metropolitan area governance, they are not the only ones. Therefore, the condition does not rale out that other actors, such as the business community or representatives of the civil society, be represented on the governance body. In some countries, organisations that were created explicitly for the purpose of metropolitan area governance have the status of a full local government.</t>
  </si>
  <si>
    <t>SDG 16?</t>
  </si>
  <si>
    <t>781ca313ef4818f06bf4e99f50f3fcb5</t>
  </si>
  <si>
    <t>Over 1.6 million people have been displaced internally while over 616 000 people have fled to neighbouring states. Severe food insecurity is expected to affect 4.6 million people this year, compared to 3.8 million last year, at the height of the lean season. The incidence of poverty has worsened from 44.7% in 2011 to more than 57% in 2015.</t>
  </si>
  <si>
    <t>0eb4e8e81d1ff8905ec2a816e9192c3c</t>
  </si>
  <si>
    <t>It analyses the administrative and institutional fragmentation affecting urban governance and explores institutionally based governance models, including those for metropolitan areas. Finally, it examines mechanisms to reinforce strategic planning and public service delivery capacity based on the country’s own context and international experience. The government may wish to consider promoting obligatory, city-wide multi-purpose (i.e. not limited to only one activity) joint authorities.</t>
  </si>
  <si>
    <t>79902a4fab2ddb85c1c4930afc06754d</t>
  </si>
  <si>
    <t>Distances travelled vary considerably between cities as well, the length of the average trip by car is 14.2 km in Mumbai, but only 3.1 km in Bhopal. The pump price per litre of diesel varies across the region, from USD 0.22 in Brunei Darussalam to USD 0.81 in China and India, while that of gasoline ranges between USD 0.37 in Brunei Darussalam to USD 1.25 in Singapore (Figure 2.9). Fuel prices can account for a large share of drivers’ transportation costs (Box 2.4). These prices are affected by taxes, which are often designed to generate revenue and to price the environmental effects of vehicle emissions.</t>
  </si>
  <si>
    <t>b03f61f7e6b6f474e9901ce5b49dad40</t>
  </si>
  <si>
    <t>A police officer typically requires that a suspected drunk driver undergo a field sobriety test to confirm impairment before a breath test can be administered. The permissible drink drive limit across the United States is high - 80 milligrams of alcohol per 100 millilitres of blood - and well above the 50 milligram limit prescribed in most countries. The legal constraints applicable in the United States do not allow best practice enforcement to be carried out, and high rates of alcohol related road trauma continue.</t>
  </si>
  <si>
    <t>64c6f0109216f35fc54981f6c9624bac</t>
  </si>
  <si>
    <t>Understanding why risks are higher or lower is a basis to attach priorities to problems. The title clearly reflects Korea’s ambition to reduce the number of road deaths. This means there is a target. Deciding on a realistic and ambitious timeframe within which this halving should be realized is a key component of target setting. Experiences in other countries teach us that a halving within 10 years is possible but may also be ambitious. Halving the deaths with a 30 year target cannot be considered ambitious.</t>
  </si>
  <si>
    <t>SDG 3?</t>
  </si>
  <si>
    <t>64d168a672a7dd971a56568b8d272eda</t>
  </si>
  <si>
    <t>However, developing policy measures will be necessary to ensure that inclusive development is being pursued. Since NAFTA, the state of Morelos lost its absolute advantage of proximity to major markets and is now struggling to keep its position. The case study of Nissan is detailed below for illustrating the complexity and implications of accessibility and connectivity policies in relation to Morelos and regional economic growth. Together with other auto plants established in the state of Mexico and Puebla, the Nissan plant was built in the Cl VAC industrial park and operated from there until the 1980s with a relatively high degree of national integration in the supply of inputs.</t>
  </si>
  <si>
    <t>0f762fad9a17c9f99c82627ff4432c8c</t>
  </si>
  <si>
    <t>Substantial increases in land productivity were achieved through strict enforcement of the adoption of high-yield crop varieties, subsidised fertiliser and pesticide programmes, and collection and distribution systems run by the government. In order to rebuild agriculture, the Saemaul Undong was first initiated from 1971 to 1973, under the strong leadership of the central government. At the beginning, 6 000 rural villages participated, increasing to 34 665 villages in 1973.</t>
  </si>
  <si>
    <t>be46d4321ed02f0ff6a8667345b7ddd7</t>
  </si>
  <si>
    <t>The Thai government and international partners have provided assistance to train and share knowledge with local governments, but their capacity could be further developed, including results-based monitoring and evaluation systems. The BMA has developed key performance indicators (KPIs), but no such mechanism exists at the level of the BMR. Similarly, data is not consistently produced at the scale of the BMR.</t>
  </si>
  <si>
    <t>ea875431b5187a426686ac8a78004987</t>
  </si>
  <si>
    <t>Next, debt should be exclusively used to finance capital projects with a long life, and not to cover budget gaps for current expenditure. The third critical aspect would be to impose a hard budget constraint on borrowers, to eliminate the possibility of a costly bailout by higher levels of government. A central-govemment-mandated borrowing framework would need clear rules about who can borrow, how much, for what purpose, from whom, with what instruments and with what restrictions.</t>
  </si>
  <si>
    <t>de263d842282fe93a77fb4d8a7f3fb3e</t>
  </si>
  <si>
    <t>Since the adoption of the Programme of Action, which contains one of the most comprehensive negotiated texts on international migration to date, the issue of international migration and its relation to development has become increasingly prominent. The High-level Dialogue on International Migration and Development, held in September 2006, was the first high-level meeting of the General Assembly exclusively dedicated to the topic. The Sustainable Development Goals include several migration-related targets, including one for the facilitation of orderly, safe, regular and responsible migration and mobility of people, while the Addis Ababa Action Agenda, adopted at the Third International Conference on Financing for Development, in 2015, includes practical recommendations to strengthen the contribution of migration and remittances to development (see General Assembly resolution 69/313). In 2016, the Assembly decided to develop two global compacts, one on refugees and one for safe, orderly and regular migration, both to be adopted in 2018 (see Assembly resolution 71/1). Both urbanization and international migration are inextricably linked with the process of development.</t>
  </si>
  <si>
    <t>af000be593760edb6870c0aa73308648</t>
  </si>
  <si>
    <t>There are also significant opportunities for disaster risk reduction, response and reconstruction in cities including through land use planning, building codes and regulations, risk assessments, monitoring and early warning, and building-back-better response and reconstruction approaches. The response of cities to the challenges of climate change has been fragmented, and significant gaps exist between the rhetoric of addressing climate change and the realities of action on the ground. The critical factor shaping urban responses to climate change is government capacity, which is hindered by factors that are institutional, technical, economic, or political in character. In developing countries, where resources are particularly limited, municipal authorities might be hesitant to invest in climate change adaptation given the many competing issues on their urban agendas.</t>
  </si>
  <si>
    <t>c2960a2966661cc6168ace0e738ff27a</t>
  </si>
  <si>
    <t>If the industrial zone is within the city, DOC and PPC are involved as well. The overlapping of mandates, coupled with the lack of co-ordination has crippled effective implementation. The Decision has assigned each ministry to be responsible for the air quality resulting from the economic activities that they manage, and all ministries to be equally responsible for the implementation of this decision. However, no co-ordination mechanism across ministries such as an appointed focal point has been proposed, which tends to make the implementation more difficult.</t>
  </si>
  <si>
    <t>air quality</t>
  </si>
  <si>
    <t>1270ad29d410f9f4dc0e8f045a3c84b0</t>
  </si>
  <si>
    <t>It has a planned capacity of 35 cubic metres per second (m3/s), of which tw'o-thirds will result in “safe to handle” water and one-third in water that can be drained into rivers and dams (see CONAGUA, 2015). Given the plant's location, the benefit of the plant will be outside the Valle de Mexico. The raw sewage is appreciated by the farmers, as it significantly increases yield for crops.</t>
  </si>
  <si>
    <t>4d6b26f71367410945101fdd9168901e</t>
  </si>
  <si>
    <t>The main focus of the plan in public spaces has been pavements, crossings, bus stops and reserved parking for people with disabilities. The city thus aimed at reducing barriers to walking, adapting existing environmental design and raising awareness among pedestrians and road users, all of which are measures to improve autonomous access to services and comprise a starting point for reducing social isolation. The matter generated intense public debate, as cobblestones are associated with Lisbon's visual identity. However, cobblestones make pavements irregular, uncomfortable and slippery, reducing safety and accessibility.</t>
  </si>
  <si>
    <t>d0358b81619326b5e0b8a88ea6a6eb61</t>
  </si>
  <si>
    <t>Both parts of the outcome document—the “Quito Declaration on Sustainable Cities and Human Settlements for All” and the “Quito Implementation Plan for the New Urban Agenda”—clearly enunciate three priorities that will frame the successful execution of Goal 11 and the urban aspects of the other SDGs, and lead to the achievement of sustainable urbanization in the coming decades. These priorities are: having a supportive governance structure, inventing and maintaining twenty-first century planning and managing urban spatial development, and establishing sound financing mechanisms. For overall guidance, they reference the International Guidelines on Urban and Territorial Planning, adopted in April 2015 by the Governing Council of the United Nations Human Settlements Programme (UN-Habitat). The Guidelines provide direction in establishing planning functions at several levels: national (e.g. connecting and balancing the system of towns and cities), metropolitan (e.g. regional economic development, rural-urban linkages, and ecosystem protection), municipal (e.g. design and protection of citywide systems of public space, capital investments in basic infrastructure, overall block layout, and connectivity), and neighbourhoods (e.g. site-specific design and local urban commons).</t>
  </si>
  <si>
    <t>d9392d7755022ff65c164ea78ddf68b0</t>
  </si>
  <si>
    <t>For example, a Capital Area Traffic Center was founded in 2005 with the objective to facilitate consultations on metropolitan transport matters between Seoul, Incheon and Gyeonggi. The centre is composed of 48 members (19 representatives from Seoul, 18 from Gyeonggi and 11 from Incheon) and operates with a common budget based on contributions from the three local governments. One of the most representative projects is the metropolitan artery express bus rapid transit (BRT) links. However, the role of the centre is limited to BRT construction/operation and conducting National Household Travel Surveys.</t>
  </si>
  <si>
    <t>a006715155165a76910935a541df0c31</t>
  </si>
  <si>
    <t>They also had similar challenges, particularly around logistics and transportation, as well as coordination of efforts on the ground. However, in terms of learning from their experiences, while both countries conducted workshops to review the lessons learnt, only Vanuatu produced a detailed report with practical recommendations forthe government to pursue. This is further evidence of Vanuatu's strong commitment to disaster risk reduction and management compared with Dominica.</t>
  </si>
  <si>
    <t>61a14c8aa329e76d6d83c70bec9bd87a</t>
  </si>
  <si>
    <t>Thus, direct hierarchical involvement in investment projects is not how vertical co-ordination issues are typically dealt with in Sweden. Instead, the different levels of government together with central government agencies and all other relevant actors engage in continuous dialogue. The OECD Review recommended that it could be fruitful to better link dialogue with the evidence obtained from the indicator system and case-specific impact evaluations, as a means to make a stronger case for co-financing arrangements.</t>
  </si>
  <si>
    <t>8450d28c2510726997c4f87227878655</t>
  </si>
  <si>
    <t>In an overview supporting the implementation ofthe Norwegian value creation programme, the consultant outlined a few circumstances that could contribute to better utilization ofthe economic potentia I of cultural heritage. Firstly, cultural heritage could provide a competitive advantage of the tourism and travel industry, if the marketing is focused on segments (i.e. groups of people) that are willing to pay more than average for their services. Secondly, there are several benefits of networking between individual companies, a single cultural site may not be sufficient to attract visitors, but as a part of a network of cultural sites, it may become more interesting. Investments in infrastructure and marketing require resources, and by joining forces more cost-effective solutions could be found.</t>
  </si>
  <si>
    <t>this is more about economic utilization</t>
  </si>
  <si>
    <t>f64d30a83b6ded6dca6c7b5b98df00f4</t>
  </si>
  <si>
    <t>Thanks to a massive scale-up in humanitarian assistance, famine was averted, but it remains a looming risk in the future. Large parts of the drought-affected rural areas in southern and central Somalia were controlled by al Shabaab and were inaccessible to the government and most humanitarian organizations and international actors. To assess drought impacts under these circumstances and guarantee the personal security of staff, humanitarian actors relied on remote assessment methods that combined remote-sensing technologies and social media analytics.</t>
  </si>
  <si>
    <t>9041eb58c6a884bf01e685db2315667c</t>
  </si>
  <si>
    <t>For the more developed regions, the urban population has been exceeding the rural one already since 1950 (figure 2.2.) Both of these trends show uninterrupted continuation since 1950. The latter ones saw urban population exceeding in number the rural population in late 1950 in Central and Eastern Europe, Caucasus and Central Asia and only in mid-1980 in South Eastern Europe. The situation in the sub regions is nevertheless impacted by its most populous countries, like e.g. the South-Eastern Europe byTurkey. Most of these countries have been seeing decreases in both rural and urban population, with the latter one being even steeper, which resulted in lower rates of urbanization in 2010 compared with 1990. The explanation for such a development can be the migration of population related with the collapse of the communist system and the disintegration of the Soviet Union in the early 1990, and in later years, for countries that joined the European Union, the job migration to Western Europe and for the Eastern European and Central Asian countries, the job migration to Russian cities.</t>
  </si>
  <si>
    <t>e239978801cc887b5d53998790830e08</t>
  </si>
  <si>
    <t>Although data is available for a few countries, it needs to be re-packaged to allow for disaggregation by relevant variables. Local materials provide efficient ways for energy conservation and protection from disasters. In developing economies between 7 and 10% of the labour force are involved in residential construction.</t>
  </si>
  <si>
    <t>weak</t>
  </si>
  <si>
    <t>01ae2350ef2becd09ce26a38d5a072bf</t>
  </si>
  <si>
    <t>The slower gross domestic product (GDP) growth was due to lower than expected exports and a decrease in public expenditure and foreign direct investment. A reduced influx of hard currency assisted the devaluation of the metical (MZN) against the US dollar and pressured the balance of payments. This was halted only by a USD 282.9 million standby credit facility agreement with the International Monetary Fund in December 2015. The budget deficit was reduced from 6.6% in 2014 to 5.4% in 2015.</t>
  </si>
  <si>
    <t>e57ea5958114334ee198bfe3a399f1d7</t>
  </si>
  <si>
    <t>Some OECD governments go further, seeking to direct growth to particular regions (e.g. outside a capital city) or to particular areas within a city (e.g. inner-city development). Korea, for instance, has attempted to address regional disparities by directing growth to less-developed regions and alleviating agglomeration pressures on major population and industrial centres. While most often implemented by lower levels of government, these tools often require legitimation through national legislation, and may be motivated by national strategies for sustainable urban development. They can include the public acquisition of land, regulation (e.g. zoning provisions, development moratoria, urban growth boundaries, green belts) and fiscal policies (e.g. development impact fees, infill or redevelopment incentives).</t>
  </si>
  <si>
    <t>reducing pressure on cities</t>
  </si>
  <si>
    <t>39afe4be4f05bb5c018ff0a114770838</t>
  </si>
  <si>
    <t>In 2014, the educational attainment rate of the region was 73%, approximately 10 percentage points smaller than the national average. However, the educational attainment rate of the region is about 7 percentage points higher than the average rural TL2 region’s rate. Another area of comparative weakness is environmental quality: The level of air pollution was in 2014 about 21.7 in pg/m3, positioning Gangwong in the bottom in terms of environmental quality performance across OECD TL2 regions.</t>
  </si>
  <si>
    <t>a329efb3796c2a2a2675e0aef85856d6</t>
  </si>
  <si>
    <t>Complexity may be a problem in some European jurisdictions with multiple and tiered governance arrangements. There is, therefore, no universal blueprint to dictate the specific way in which relations between different tiers of government are structured and regulated, as they depend on institutional traditions and the relative capacity of each level. However, a key opportunity can be found in a balance between top-down and bottom-up approaches in the NUP processes.</t>
  </si>
  <si>
    <t>344cd01a76bf0a73e187e9c1fc3018ee</t>
  </si>
  <si>
    <t>Korea needs to work out its own mix of solutions adapted to its situation and culture. A Korean approach, with public support, needs to be developed. What the Safe System approach will deliver is new energy. The approach should be stepwise, with realistic interim targets to short/medium term deadlines complementing the ambitious long term vision.</t>
  </si>
  <si>
    <t>05ef8c9f76f8ee35eaa4e37059e4930a</t>
  </si>
  <si>
    <t>In response to the low rate of collection by municipalities, the CAEM, the Water Commission for the State of Mexico, introduced a chargeback system, in which transfers to municipalities are reduced if they do not collect their fees. A lack of coverage with individual water meters results in a significant percentage of households paying fixed fees for their water. In the Valle de Mexico metropolitan area, only 52% of households are metered.</t>
  </si>
  <si>
    <t>basic services</t>
  </si>
  <si>
    <t>493b53ddf7f4abd7b708bc0fb3f27518</t>
  </si>
  <si>
    <t>Slum dwellers are a heterogeneous population, and not only the very poor live in slum communities (UN-Habitat, 2003). Even though slum areas can differ substantially cross-nationally in size and other characteristics, extreme housing deprivation is a common trait. The numbers are relatively less dramatic in Brazil: 3.3% of people in Brazilian faveias lack access to tap water and 12.3% lack an indoor flushing latrine in their homes (IBGE, 2010).</t>
  </si>
  <si>
    <t>d0d3c38907f445ec4a87e24564539df6</t>
  </si>
  <si>
    <t>There is too little water for current and future demand for potable water to be met from local sources. At the same time, torrential rainfall during the rainy season results in frequent flooding that affects residents, houses and infrastructure. Moreover, growing water demand, overexploited local and neighbouring aquifers and basins, ageing infrastructure, lack of investment, artificial low tariffs and high operation costs, and the deterioration of water quality have taken the water system to the limits of its physical and financial operability. The largest body of water is the artificially created lake “Nabor Carrillo”, with a surface area of about 10 km2, the sixth-largest lake in Mexico (CONAGUA, 2014a).</t>
  </si>
  <si>
    <t>e1011006a88d133194ecbe6829dbf9eb</t>
  </si>
  <si>
    <t>Furthermore, taxation of residential, rental and social rental housing is excluded from this analysis because of limitations in the reported data.9 Overall, more work is needed to improve coverage and validate the quality of the data. The next sections provide more information on these policy instruments, on their coherence with social policy objectives and on the amount of resources invested in them. Owner-occupied housing is the dominant tenure across OECD countries (see Figure 1) and it received public support in all of the countries surveyed in OECD QuASH. The collected data show that multiple policy instruments are typically used to this end and generally include both demand-side and supply-side subsidies.</t>
  </si>
  <si>
    <t>7fe1686f1fc070dcbdcd4f8f3281c56f</t>
  </si>
  <si>
    <t>However, taking advantage of these new data sources needs investments in staff training and in systems for integrating geospatial, and earth observation data and ensuring interoperability. Advances in technology or technical human capabilities will only deliver their potential as part of integrated systems that align the flow of information with the shifting needs and demands of users. There can also be measures at the regional level.</t>
  </si>
  <si>
    <t>31b7bdf98af44b02c97baaa4384686b7</t>
  </si>
  <si>
    <t>The measures need to be selected based on evidence of the results they can be expected to produce. Detailed ex-ante assessment is employed in countries at the leading edge of achievement. In the United Kingdom, for example, targets for specific users or types of crash are based on ex-ante assessments. In the Netherlands, overall targets for reducing deaths and serious injuries are tightened periodically and the accompanying measures modelled to assess whether they will deliver the improvement required to meet the new target.</t>
  </si>
  <si>
    <t>5673d17b89346c0ed6615f7bb28051ac</t>
  </si>
  <si>
    <t>Nonetheless, export data by commodity and partner country yield some notable findings. As can be gleaned from Figure 1.12, exports of certain goods to China from Thailand and Viet Nam exhibit somewhat comparable trends over the year through April-May 2019. Commodity nomenclatures are not necessarily the same across countries.</t>
  </si>
  <si>
    <t>58d2964f44eefc3c06eb3418b169055a</t>
  </si>
  <si>
    <t>Most telling is the fact that at the southern end of Western Scandinavia, Skane generally frames its own development as part of the Copenhagen area as illustrated in the creation of the Greater Copenhagen and Skane Committee (see earlier description) and the common branding of Skane under “Greater Copenhagen”. Paradoxically, this is a case where cross-border governance to better control borders may have addressed one policy issue (migration) but aggravated others (labour market, environment). High-speed train (running at 320 km/hour) was supposed to connect Stockholm with Gothenburg in 2 hours and with Malmo in 2.5 hours by 2035.</t>
  </si>
  <si>
    <t>68a219f1d0dca186e7b86bd0268ac9d7</t>
  </si>
  <si>
    <t>With shorter journeys, they are more likely to walk. However, women have more complex journey patterns and are at a disadvantage when living in peripheral urban areas because of the poor frequency of public transport. People with disabilities suffer a wide range of issues when travelling, including obstructed and dangerous sidewalks.</t>
  </si>
  <si>
    <t>6622b5f1b7750ebb40cedc96eb11749a</t>
  </si>
  <si>
    <t>Historically, economic development has usually been accompanied by higher emigration rates.32 As countries develop, rates of emigration tend to rise before they fall. Emigration rates in middle-income countries have been found to triple those of low-income countries. Furthermore, in developing countries at the early or intermediate stages of the demographic transition, emigration is spurred by the large cohorts of relatively well-educated young people entering the labour market. Migration can also propel economic development through increased labour productivity.</t>
  </si>
  <si>
    <t>da6a6bd787a8eab69390494ce0acec4a</t>
  </si>
  <si>
    <t>The services and industry sectors led the expansion during this period. Growth in the agriculture sector, however, was moderate in part due to fluctuations in weather conditions. For 2016 and 2017, sustained investments to address energy and transport infrastructure constraints, continued progression in industry and a recovery in services are expected to lead growth. Agriculture is projected to grow at a moderate rate.</t>
  </si>
  <si>
    <t>1305d3f1bba0b87e620cee82f935559f</t>
  </si>
  <si>
    <t>The IUDF is expected to contribute to strengthening rural-urban linkages, and promote urban resilience and urban safety. These goals inform the priority objectives of nice policy levers: i) integrated uiban planning and management, ii) integrated transport and mobility, iii) integrated sustainable human settlements, iv) integrated uiban infrastructure, v) efficient land governance and management, vi) inclusive economic development, vii) empowered active communities, viii) effective uiban governance, and ix) sustainable finances. The current urban legislative framework in Viet Nam, despite its considerable extent (e.g., laws, plans, strategies and programmes) (Table 2.2), has a very similar caveat as the current urban policy frameworks.</t>
  </si>
  <si>
    <t>96a638e4d229137e4e992e53e350cfb3</t>
  </si>
  <si>
    <t>All the Sendai Framework's targets are critical for the achievement of the SDGs, whose progress in turn is key to building and strengthening resilience against disasters. Local leaders showed strong leadership and commitment under the Global Action Agenda and this links well with the global goals of SDGs and NUA targets. The SDGs offer many opportunities to develop mitigation and adaptation strategies to address climate change especially through environmentally sustainable and resilient urban development.</t>
  </si>
  <si>
    <t>db5b4d07ae8da899ecafb97db700c4ef</t>
  </si>
  <si>
    <t>Hence, to avoid duplication, this Review will not go into detail on these issues. Directly elected mayors in England”, Cahiers du MIMMOC, http://mimmoc.revues.org/2288 (accessed 22 November 2016). Problems of Economic Transition, Routledge, Vol. Kazakhstan 2050: Toward a Modern Society for All, Nazarbayev University, National Analytical Centre, Oxford University Press, Group Centennial International, Astana, pp.</t>
  </si>
  <si>
    <t>b0dbbb396e992f56f78486dbfd47521c</t>
  </si>
  <si>
    <t>In Myanmar, however, the persistent weakness of the kyat has fuelled a rise in domestic prices, and in China, supply-side pressures have pushed food prices upwards. Thailand raised interest rates as a precautionary measure against risks in the real estate market, while China, India, Malaysia and the Philippines have eased monetary controls to a certain degree. Nevertheless, the overall balance-of-payments positions have remained in good stead.</t>
  </si>
  <si>
    <t>ee0b31af44c3594163819b39b940ae51</t>
  </si>
  <si>
    <t>Pay levels make it difficult to attract and retain skilled and highly qualified staff, as civil servants (i.e. urban planners) in key cities such as Almaty are paid USD 300 per month, compared to USD 600-800 in the private sector. Kazakhstan requires a clear competence management framework to ensure the skills, knowledge and behaviour that result in good performance at individual and organisational level. Competences should be linked to different elements of human resource management (HRM), in the recruitment and selection of staff, training and development, and succession or career planning. Several models are used in OECD countries, but Kazakhstan may wish to review the French model, known as Employment, Workforce and Competency Planning (Gestion previsionnelle des emplois, des effectifs et des competences or GPEEC), as it shows how recruitment methods may incorporate competences without abandoning the established principle of selection through competitive examination.</t>
  </si>
  <si>
    <t>1048a91f65ea37e7f67fa4f0b1fcbc86</t>
  </si>
  <si>
    <t>Due to highly arid conditions, the region is one of the most vulnerable to climate change, putting cities at risk of water scarcity and extreme heat conditions. However, it was found that the "underlying risks of humanitarian crisis and disasters challenge the process of building resilience in the Arab region, combined with the lack of coping capacities when faced with climate change, conflict, and displacement. City-wide hazard maps are often limited or do not exist, while updates on risk assessment are scarce and lack clear multi-hazard components, according to a recent assessment.410 This challenge is often linked to disaster risk governance, when the legal framework fails to require the maintenance and updating of disaster data.</t>
  </si>
  <si>
    <t>disaster risk</t>
  </si>
  <si>
    <t>9ea293245255c1ddb9f3cdee09ad6c17</t>
  </si>
  <si>
    <t>Forcibly displaced persons comprise refugees, asylum seekers, persons in refugee-like situations and internally displaced persons. The Convention relating to the Status of Refugees defines a refugee as someone with a well-founded fear of being persecuted for reasons related to race, religion, nationality, membership of a particular social group or political opinion, who resides outside their country of nationality and who is unable to return to it. In Africa, persons fleeing armed conflict and violence are also considered refugees (see box 3).</t>
  </si>
  <si>
    <t>bc028535112c3488cac67fecc0be62b4</t>
  </si>
  <si>
    <t>They provide help through medical examinations and counselling, emergency treatment in case of acute illness, referral to specialized physicians if necessary, care during pregnancy and delivery, and referral to services for social and legal counselling. Anonymity is assured to all beneficiaries, who often fear to seek help from an ordinary doctor's practice or hospital. Both health professionals and administrative staff work voluntarily, without any remuneration.</t>
  </si>
  <si>
    <t>57941b10fef4017cdafe1ff6951b797d</t>
  </si>
  <si>
    <t>Direct investment, portfolio and other investment flows have propped up the balances of countries with current account deficits. Fiscal policy direction will be mixed in the near term. The stability in the fiscal positions of the region’s economies has remained intact at the close of recent fiscal years.</t>
  </si>
  <si>
    <t>ef2eefd96209298590ea57de6f87e7e9</t>
  </si>
  <si>
    <t>Current production of desalinated water is expected to quadruple by 2019 (Edwards et al., While large-scale desalination significantly increases water availability, it has potentially adverse environmental impacts in the form of greater energy consumption and subsequent increases in greenhouse gas emissions (OECD, 2011 a). Brine discharges to the sea can lead to substantial increases in salinity and temperature, and to the accumulation of metals (e.g. iron), hydrocarbons and toxic anti-fouling compounds in receiving waters (Roberts et al.,</t>
  </si>
  <si>
    <t>63198fd1e2fc7a436934721254669d35</t>
  </si>
  <si>
    <t>Flexible working hours, high staff turnover, a share of low-skilled workers and the need for functional versatility are characteristics of the tourism labour market in Portugal. The study proposed four key values to guide the human resources development agenda: service culture, market orientation, ICT and professionalism. The importance of soft skills is particularly underlined, as is the need to build capacity in tourism SMEs, by developing a training strategy for entrepreneurs and managers.</t>
  </si>
  <si>
    <t>f333389933e7a4c88cc6938f62c84b49</t>
  </si>
  <si>
    <t>The pilot is limited to 100 participants who are either parking pass subscribers or non-parking pass subscribers. Parking pass subscribers receive free trips to and from the station and non-parking pass subscribers will be charged a flat USD 2 rate per ride. Because the focus is on work commute trips, rides are limited to two per workday per person and from only 5:00 to 21:00.</t>
  </si>
  <si>
    <t>transport?</t>
  </si>
  <si>
    <t>7217a37ffe7cc5f7b6af3f3fdd243c29</t>
  </si>
  <si>
    <t>The tool is intended to assist governments and decision makers in deciding on the most appropriate road safety policies and measures to achieve tangible results. The model is based on historical road safety data and relations between several road safety parameters, and provides information on different road safety scenarios. The tool's output is a spider diagram that summarizes a city's overall state of urban transport and performance against each indicator.</t>
  </si>
  <si>
    <t>ea2d5e24a1a4dd383694d6f018f4b6c9</t>
  </si>
  <si>
    <t>This principle, however, could be stated clearly in all strategic government documents. In pursuing equal opportunities in government, Kazakhstan might adopt the 2015 “OECD Recommendation of the Council on Gender Equality in Public Life” to mainstream gender equality in the design, development, implementation and evaluation of relevant public policies and budget (OECD, 2016f). The Ministry of the Civil Service and its counterparts in subnational levels need to be staffed with experts.</t>
  </si>
  <si>
    <t>c62b6b3b2896fb859c2933ef1a8cae31</t>
  </si>
  <si>
    <t>Local Governance in Developing Countries, The World Bank, International Bank for Reconstruction and Development, pp. Financing Metropolitan Governments in Developing Countries, Lincoln Institute of Land Policy, Massachusetts, pp. Initial Assessment, OECD Development Pathways, OECD Publishing, Paris, http://dx.doi.org/10.1787/9789264246768-cn. Measuring Regional and Local Well-beingfor Policy Malang, OECD Publishing, Paris, http://dx.doi.org/10.1787/9789264217416-en.</t>
  </si>
  <si>
    <t>11ed456df853a192cd01dea84b05e90c</t>
  </si>
  <si>
    <t>The study also focused on the importance of cultural heritage as a factor attracting people to stay in the region. According to the study, about 60% of the tourists visited Raros because ofthetown's cultural heritage. In addition, around 40% of guests attending conferences stayed in Raros due to the cultural heritage of the town.</t>
  </si>
  <si>
    <t>375195ec09ab9c6ef49ffd6462bd0696</t>
  </si>
  <si>
    <t>The National Urban Policy Programme (NUPP) is meant to address these issues of governance, capacity and knowledge sharing to facilitate the development of NUPs and to contribute to the implementation of the New Urban Agenda and other global agreements. Other objectives include direct assistance, such as providing training to policymakers and other relevant stakeholders to help them develop specialised skills to directly bridge the capacity gap or offering technical assistance and advisory services for every stage of the NUP cycle within a country. Finally, it also aims to build a platform for all levels of government, the private sector and civil society actors and any other relevant stakeholder to be engaged, network and exchange, to encourage transfer of best practices and policies, and raise awareness of NUPs.</t>
  </si>
  <si>
    <t>374476374face68cd69c384037410d5d</t>
  </si>
  <si>
    <t>Technology can help rural residents provide and access information about service quality' and about alternative providers. Geolocation facilitates matching between the supply of and demand for services. Renewable energy can reduce “fuel poverty” that can be a common feature of remote regions, by allowing isolated communities to produce their own energy instead of importing expensive conventional fuels.</t>
  </si>
  <si>
    <t>c111b96e28b9d1557f21ef1f0a990232</t>
  </si>
  <si>
    <t>The following three sections discuss governmental authorities, institutional arrangements and stakeholder engagement, respectively. Finally, Section 5.5 interprets the results and provides conclusions. Nonetheless, in some instances, stakeholders were highly involved in NUP development, including in some systematic and highly participatory ways. These tended to be found in the North America and Europe, Asia and the Pacific, and Latin America and the Caribbean regions.</t>
  </si>
  <si>
    <t>c0b7723d479259afb1b78b656f59c7a8</t>
  </si>
  <si>
    <t>However, in some cases a monetary evaluation of the values related to natural and cultural heritage may be beneficial and provide information that could stimulate balanced discussions about the options at hand, for instance regarding future land use and allocation of both public and private funding. The concept of ecosystem services is only emerging but has proved to be useful in this regard, in parallel to valuation methods focusing especially on cultural heritage.</t>
  </si>
  <si>
    <t>cf68961dbd8cfce36afee53d5a51d15c</t>
  </si>
  <si>
    <t>Occupational health and safety controls that include the vehicle as part of the workplace and systems of controls for organisations that use the road network to transport people and goods are also important contributors. Criminal justice systems are designed to deter and punish behaviours that transgress society’s norms and values as reflected in the laws to a considerable and conspicuous extent. It is not intended to respond to less than perfect behavioural transgressions to which the majority, if not all of citizenry are prone. Many of the behavioural shortcomings contributing to road trauma are of the “less than perfect” type of error and misjudgement, wandering attention of human beings.</t>
  </si>
  <si>
    <t>90877df6e8ec5767a70401b356c053eb</t>
  </si>
  <si>
    <t>While such metrics would not replace indicators based on casualty numbers, they could alleviate some difficulties associated with the comparability and statistical power of casualty figures. This is essential given the proven relationships between speed and crash risk {ITF, 2018b) and the contribution that speeding plays in making people feel unsafe on the streets. Technology could play a role and support such analysis.</t>
  </si>
  <si>
    <t>measuring, not action</t>
  </si>
  <si>
    <t>d3ff00663df26d3678ca443015f5b23f</t>
  </si>
  <si>
    <t>There are opportunities to further raise ow n revenue, in particular tariffs and user charges. Attracting private investment should also be emphasised: FDI inflows have been lower in the Philippines than in other countries of the Southeast Asian region, in particular because of the strong restrictiveness imposed by the central government. Opportunities also lie in Public-Private Partnerships (PPP) which are currently encouraged at the subnational level through the PPP Centre of NEDA, however, the impact of such initiative is not yet visible in Cebu.</t>
  </si>
  <si>
    <t>339a89f254e23c71b8d13021182561ed</t>
  </si>
  <si>
    <t>The targets are designed to be integrated and indivisible and to balance the social, economic and environmental dimensions of sustainable development. The 2030 Agenda further seeks to realize the human rights of all, and to achieve gender equality and empowerment of all women and girls. Unlike the Millennium Development Goals (MDGs), the Sustainable Development Goals (SDGs) is an ambitious agenda that is indivisible and supposed to be implemented universally by all countries in a collaborative partnership. The theme of each HLPF, and a subset of goals to be reviewed, is agreed in advance.</t>
  </si>
  <si>
    <t>9e7ed2260831a3b78bbf9ef1f97b0d2a</t>
  </si>
  <si>
    <t>The probability that recurrent emergencies will persist is high, even with well-planned and executed strategies. However, over time and with dedicated attention and often incremental action, complex disaster risks can be managed and reduced. Coordinated, collaborative action allows for organizations to play to their strengths and not extend beyond their own institutional capacity while also creating synergies and positive exchanges among actors.</t>
  </si>
  <si>
    <t>d3af8ed2f7be1db16fabd94d612886e4</t>
  </si>
  <si>
    <t>In this period, the absolute number of people living in Africa’s slums increased by 14.8 million to about 212 million people (figure 3.5). The proliferation of slums in African cities is the most significant manifestation of rapid and unplanned urbanization outpacing demand for services. Living conditions in the urban slums and informal settlements are particularly dire.</t>
  </si>
  <si>
    <t>51b75ec4743d08dd01c32a342ee1672f</t>
  </si>
  <si>
    <t>For instance, the purpose of the Digital Readiness Framework is to improve citizens’ quality of life. The framework documents also repeatedly identify improving digital and physical infrastructure and cybersecurity while ensuring privacy of data as key focus areas. Regarding institutional organisation, the Digital Government Blueprint describes co-ordination measures between ministries, notably through increased sharing and alignment of data between ministries as well as the appointment of Chief Digital Strategy Officers and Chief Information Officers to lead and implement digitalisation plans within their ministries and respective agencies.</t>
  </si>
  <si>
    <t>f66cfaf9bc4803c9cb79d3d2aeea2aee</t>
  </si>
  <si>
    <t>Therefore, for most migrants, moving to a city is a sound decision that is likely to benefit their well-being and strengthen their resilience to adversity. Migrants are often faced with legal, cultural and social barriers and obstacles to accessing formal housing, employment, education, health and other social services. These barriers may force them to live in conditions of exclusion, segregation and vulnerability. Migrant women, for instance, are more likely to work in low-paid, irregular, and potentially exploitive jobs, often in the informal sector.</t>
  </si>
  <si>
    <t>formal housing? weak</t>
  </si>
  <si>
    <t>96e7781631a269b3f00c4bc5d8c3a8e0</t>
  </si>
  <si>
    <t>Figure 2.14 shows the locations of accidents in the selected hotspots for 2009-13. The map depicts about 1 000 individual accidents (black dots) with overlaps when several accidents occurred at the same location. Dark blue lines indicate expressway and light blue lines national highways in 2012. For example, local governments responsible for the area where the hotspots are located are typically less affluent than other local governments.</t>
  </si>
  <si>
    <t>b34e6064bec3a3a7154c208c82950ddd</t>
  </si>
  <si>
    <t>The fiscal stance remains viable, with a manageable overall balance deficit equal to 2.9% of GDP (3.7% in 2014). By the end of 2015, official foreign-exchange reserves had remained comfortable at an estimated US dollar (USD) 809 million, or 6.8% of non-extractive imports (5.5 months of imports), against USD 639.1 million in 2014, or 4.7 months of imports. The tertiary sector’s share of GDP continued growing to reach 44.8%, its highest ever.</t>
  </si>
  <si>
    <t>0e0abbf7d56973b3369880cf465f4cea</t>
  </si>
  <si>
    <t>Agricultural production for processed and formally marketed food is highly concentrated. A secure institutional framework is critical to keep transaction costs low, lower barriers to entry, and provide certainty on the ties between farmers and agri-businesses (Sautier et al., Housing is a major source of wealth creation and savings, with investments accounting for 6 per cent of GDP, and for each house built, five jobs can be created (World Bank, 2015).</t>
  </si>
  <si>
    <t>94d2808587eb003f9005f88941f107bc</t>
  </si>
  <si>
    <t>One of the most prominent risks is the trade tension between the United States and China. The rising trade tensions may affect Emerging Asia through various channels. Import growth from ASEAN showed signs of improving in March 2019, but prospects are uncertain. While new tariff measures were announced in May 2019, the resumption of trade talks during the G20 summit sends a positive signal. The downturn in China’s imports since late 2018 has affected ASEAN to varying degrees.</t>
  </si>
  <si>
    <t>TO DO</t>
  </si>
  <si>
    <r>
      <rPr>
        <rFont val="Calibri"/>
        <color theme="1"/>
      </rPr>
      <t xml:space="preserve">A major change at the municipal (and provincial) level is the adoption of one plan for the entire territory that will incorporate all applicable zoning regulations and pertinent administrative laws. All existing zoning plans will be transferred to the environmental plan and local governments will have a period of ten years to transform them. It is anticipated that some areas will have a high degree of protection, such as </t>
    </r>
    <r>
      <rPr>
        <rFont val="Calibri"/>
        <b/>
        <color theme="1"/>
      </rPr>
      <t xml:space="preserve">heritage </t>
    </r>
    <r>
      <rPr>
        <rFont val="Calibri"/>
        <color theme="1"/>
      </rPr>
      <t>sites, while others will have far fewer rules and constraints and be more open to experimental uses and spaces.</t>
    </r>
  </si>
  <si>
    <t>not specific enough on urban planning</t>
  </si>
  <si>
    <t>on SDG 3.6</t>
  </si>
  <si>
    <t>on sustainable transportation, though more on fuel prices and less on access to affordable, safe sustainable transportation</t>
  </si>
  <si>
    <t>11.a, though rather weak lin k</t>
  </si>
  <si>
    <t>more on skills development</t>
  </si>
  <si>
    <t>"overall state of road transport" still no direct link to clear SDG 11 objectives</t>
  </si>
  <si>
    <t>11.a, though vaguely again</t>
  </si>
  <si>
    <t xml:space="preserve">links to transport infrastructure constraints </t>
  </si>
  <si>
    <t>11.a, again rather weak link</t>
  </si>
  <si>
    <t>Disaster risk protection, residential construction+</t>
  </si>
  <si>
    <t>urbanization and international migration, weak link though</t>
  </si>
  <si>
    <t>NUP = National urban policy</t>
  </si>
  <si>
    <t>11.3? Not a strong link though</t>
  </si>
  <si>
    <t>question is if anything related to road accidents should be linked to safe transportation?</t>
  </si>
  <si>
    <t>more on effective multi-level governance</t>
  </si>
  <si>
    <t>categorically excluded road accident-related snaps as clearly linked to 3.6</t>
  </si>
  <si>
    <t>on housing but not on access to safe, affordable housing</t>
  </si>
  <si>
    <t>maybe, if Morelos would be a city not a state</t>
  </si>
  <si>
    <t>urban and regional planning, heritage sites mentioned but not their protection or preservation</t>
  </si>
  <si>
    <t>uncertain though</t>
  </si>
  <si>
    <t>not focusing on city level, even though 11.5 does also not specifically mention cities</t>
  </si>
  <si>
    <t>not really on protection and safeguarding heritage sites but more on making them economically viable and beneficial</t>
  </si>
  <si>
    <t>links very vaguely to 11.3</t>
  </si>
  <si>
    <t>only vaguely linked to access to affordable,safe sustainable housing</t>
  </si>
  <si>
    <t>on country level, again 11.5 is broadly defined</t>
  </si>
  <si>
    <t>again 11.5 at core but on country level</t>
  </si>
  <si>
    <t>doi</t>
  </si>
  <si>
    <t>text_id</t>
  </si>
  <si>
    <t>text</t>
  </si>
  <si>
    <t>sdg</t>
  </si>
  <si>
    <t>labels_negative</t>
  </si>
  <si>
    <t>labels_positive</t>
  </si>
  <si>
    <t>labels_total</t>
  </si>
  <si>
    <t>agreement</t>
  </si>
  <si>
    <t>label</t>
  </si>
  <si>
    <t>difficulty</t>
  </si>
  <si>
    <t>selection reason</t>
  </si>
  <si>
    <t>10.1787/aeo-2016-14-en</t>
  </si>
  <si>
    <t>very easy</t>
  </si>
  <si>
    <t>automated selection</t>
  </si>
  <si>
    <t>10.1787/5jlwvz85537c-en</t>
  </si>
  <si>
    <t>10.1787/859159ab-en</t>
  </si>
  <si>
    <t>10.1787/9789264290679-5-en</t>
  </si>
  <si>
    <t>10.1787/saeo-2019-6-en</t>
  </si>
  <si>
    <t>10.6027/9789289349437-6-en</t>
  </si>
  <si>
    <t>10.18356/97f03e0a-en</t>
  </si>
  <si>
    <t>10.1787/9789264290747-en</t>
  </si>
  <si>
    <t>10.1787/9789264260207-5-en</t>
  </si>
  <si>
    <t>10.1787/9789264274648-6-en</t>
  </si>
  <si>
    <t>10.1787/9789264267817-6-en</t>
  </si>
  <si>
    <t>easy</t>
  </si>
  <si>
    <t>10.18356/a11581d8-en</t>
  </si>
  <si>
    <t>10.1787/9789264245174-8-en</t>
  </si>
  <si>
    <t>10.18356/bf400991-en</t>
  </si>
  <si>
    <t>medium</t>
  </si>
  <si>
    <t>10.1787/9789264272637-5-en</t>
  </si>
  <si>
    <t>10.1787/9789264268852-7-en</t>
  </si>
  <si>
    <t>10.18356/6fe73f8b-en</t>
  </si>
  <si>
    <t>hard</t>
  </si>
  <si>
    <t>10.18356/d256607a-en</t>
  </si>
  <si>
    <t>10.1787/ad4de8a1-en</t>
  </si>
  <si>
    <t>10.1787/9789264268852-5-en</t>
  </si>
  <si>
    <t>10.14217/6f77cc82-en</t>
  </si>
  <si>
    <t>10.1787/50e33932-en</t>
  </si>
  <si>
    <t>very hard</t>
  </si>
  <si>
    <t>10.18356/3dd278d2-en</t>
  </si>
  <si>
    <t>10.1787/9789264281936-8-en</t>
  </si>
  <si>
    <t>10.18356/2715ea3d-en</t>
  </si>
  <si>
    <t>10.1787/9789264255517-6-en</t>
  </si>
  <si>
    <t>10.18356/ea26e442-en</t>
  </si>
  <si>
    <t>10.1787/9789264268791-5-en</t>
  </si>
  <si>
    <t>10.1787/9789264277991-7-en</t>
  </si>
  <si>
    <t>10.1787/9789264201415-9-en</t>
  </si>
  <si>
    <t>10.18356/dd2e120a-en</t>
  </si>
  <si>
    <t>10.18356/c1d6ed54-en</t>
  </si>
  <si>
    <t>10.18356/288df776-en</t>
  </si>
  <si>
    <t>target 11.1</t>
  </si>
  <si>
    <t>10.1787/5jm3p5gl4djd-en</t>
  </si>
  <si>
    <t>10.1787/9789264237087-7-en</t>
  </si>
  <si>
    <t>10.18356/eb366761-en</t>
  </si>
  <si>
    <t>10.1787/9789264191808-6-en</t>
  </si>
  <si>
    <t>target 11.3</t>
  </si>
  <si>
    <t>10.18356/64011ade-en</t>
  </si>
  <si>
    <t>10.18356/48644704-en</t>
  </si>
  <si>
    <t>target 11.4</t>
  </si>
  <si>
    <t>10.1787/5k3ttg4cxcbp-en</t>
  </si>
  <si>
    <t>target 11.5</t>
  </si>
  <si>
    <t>10.1787/9789264203914-7-en</t>
  </si>
  <si>
    <t>target 11.6</t>
  </si>
  <si>
    <t>10.1787/9789264286191-8-en</t>
  </si>
  <si>
    <t>target 11.7</t>
  </si>
  <si>
    <t>10.1787/7a1f7b89-en</t>
  </si>
  <si>
    <t>10.1787/9789264286191-7-en</t>
  </si>
  <si>
    <t>target 11.a</t>
  </si>
  <si>
    <t>10.18356/fa0355fa-en</t>
  </si>
  <si>
    <t>10.18356/bc5ec3da-en</t>
  </si>
  <si>
    <t>target 11.b</t>
  </si>
  <si>
    <t>10.18356/ee1a3170-en</t>
  </si>
  <si>
    <t>target 11.c</t>
  </si>
  <si>
    <t>10.1787/9789264268791-6-en</t>
  </si>
  <si>
    <t>Group</t>
  </si>
  <si>
    <t>Alignment</t>
  </si>
  <si>
    <t>Comments</t>
  </si>
  <si>
    <t>Consensus</t>
  </si>
  <si>
    <t>Rationale</t>
  </si>
  <si>
    <t>Notes</t>
  </si>
  <si>
    <t/>
  </si>
  <si>
    <t>road safety</t>
  </si>
  <si>
    <t>- Steve: question is if anything related to road accidents should be linked to safe transportation?</t>
  </si>
  <si>
    <t>UNDECIDED</t>
  </si>
  <si>
    <t>- Steve: 11.a, though rather weak lin k</t>
  </si>
  <si>
    <t>- Steve: on sustainable transportation, though more on fuel prices and less on access to affordable, safe sustainable transportation</t>
  </si>
  <si>
    <t>cultural heritage</t>
  </si>
  <si>
    <t>- Finn: this is more about economic utilization
- Steve: not really on protection and safeguarding heritage sites but more on making them economically viable and beneficial</t>
  </si>
  <si>
    <t>not about protecting cultural heritage</t>
  </si>
  <si>
    <t>- Steve: not focusing on city level, even though 11.5 does also not specifically mention cities</t>
  </si>
  <si>
    <t>- Steve: more on effective multi-level governance</t>
  </si>
  <si>
    <t>- Finn: sustainable city</t>
  </si>
  <si>
    <t>- Steve: urban and regional planning, heritage sites mentioned but not their protection or preservation</t>
  </si>
  <si>
    <t>- Finn: not sure</t>
  </si>
  <si>
    <t>- Finn: territorial approach?
- Steve: maybe, if Morelos would be a city not a state</t>
  </si>
  <si>
    <t>- Finn: SDG 3?</t>
  </si>
  <si>
    <t>texts related to SDG 3.6 will always fall under SDG 11.2</t>
  </si>
  <si>
    <t>- Finn: basic services
- Steve: uncertain though</t>
  </si>
  <si>
    <t>- Finn: target 11.2
- Steve: categorically excluded road accident-related snaps as clearly linked to 3.6</t>
  </si>
  <si>
    <t>- Finn: measuring, not action</t>
  </si>
  <si>
    <t>making people feel safe on the streets falls under target 11.2</t>
  </si>
  <si>
    <t>- Steve: NUP = National urban policy</t>
  </si>
  <si>
    <t>- Steve: not specific enough on urban planning</t>
  </si>
  <si>
    <t>- Steve: more on skills development</t>
  </si>
  <si>
    <t>- Finn: interregional planning
- Steve: links very vaguely to 11.3</t>
  </si>
  <si>
    <t>- Steve: on housing but not on access to safe, affordable housing</t>
  </si>
  <si>
    <t>- Finn: SDG 16?
- Steve: 11.3? Not a strong link though</t>
  </si>
  <si>
    <t>- Steve: on SDG 3.6</t>
  </si>
  <si>
    <t>- Finn: interregional cooperation</t>
  </si>
  <si>
    <t>- Finn: reducing pressure on cities</t>
  </si>
  <si>
    <t>- Finn: formal housing? weak</t>
  </si>
  <si>
    <t>- Steve: only vaguely linked to access to affordable,safe sustainable housing</t>
  </si>
  <si>
    <t>- Steve: "overall state of road transport" still no direct link to clear SDG 11 objectives</t>
  </si>
  <si>
    <t>road safety falls under target 11.2</t>
  </si>
  <si>
    <t xml:space="preserve">- Steve: links to transport infrastructure constraints </t>
  </si>
  <si>
    <t>- Steve: 11.a, though vaguely again</t>
  </si>
  <si>
    <t>- Steve: urbanization and international migration, weak link though</t>
  </si>
  <si>
    <t>- Finn: weak</t>
  </si>
  <si>
    <t>- Finn: inter-regional planning</t>
  </si>
  <si>
    <t>- Finn: more SDG 2
- Steve: again 11.5 at core but on country level</t>
  </si>
  <si>
    <t>- Steve: on country level, again 11.5 is broadly defined</t>
  </si>
  <si>
    <t>- Finn: air quality</t>
  </si>
  <si>
    <t>- Finn: transport?</t>
  </si>
  <si>
    <t>- Steve: 11.a, again rather weak link</t>
  </si>
  <si>
    <t>- Finn: disaster risk</t>
  </si>
  <si>
    <t>- Finn: weak
- Steve: Disaster risk protection, residential construction+</t>
  </si>
  <si>
    <t>id</t>
  </si>
  <si>
    <t>osdg_text_id</t>
  </si>
  <si>
    <t>comment</t>
  </si>
  <si>
    <t>In an overview supporting the implementation of the Norwegian value creation programme, the consultant outlined a few circumstances that could contribute to better utilization of the economic potentiaI of cultural heritage. Firstly, cultural heritage could provide a competitive advantage of the tourism and travel industry, if the marketing is focused on segments (i.e. groups of people) that are willing to pay more than average for their services. Secondly, there are several benefits of networking between individual companies, a single cultural site may not be sufficient to attract visitors, but as a part of a network of cultural sites, it may become more interesting. Investments in infrastructure and marketing require resources, and by joining forces more cost-effective solutions could be found.</t>
  </si>
  <si>
    <t>not about protecting cultural heritage; fixed typos</t>
  </si>
  <si>
    <t>The city can experiment with new technologies at the new landfill site planned at Gia Minh solid waste treatment complex in Thuy Nguyen district, which is 15 kilometres away from the centre and a part of the project on rain and wastewater drainage and solid waste management. Such efforts can directly improve the economic competitiveness of SMEs. Community-based action has played a key role in reducing the city’s domestic waste by setting up targets and various pilot projects that empowered identifiable groups in waste collection and sorting for recycling. For example, in Cebu, small and medium-scale businesses have identified waste treatment and recycling as a business and located a market for their end products.</t>
  </si>
  <si>
    <t>fixed typos</t>
  </si>
  <si>
    <t>Next, debt should be exclusively used to finance capital projects with a long life, and not to cover budget gaps for current expenditure. The third critical aspect would be to impose a hard budget constraint on borrowers, to eliminate the possibility of a costly bailout by higher levels of government. A central-government-mandated borrowing framework would need clear rules about who can borrow, how much, for what purpose, from whom, with what instruments and with what restrictions.</t>
  </si>
  <si>
    <t>fixed typo</t>
  </si>
  <si>
    <t>To boost Kaznex Invest’s effectiveness in attracting investors to the key strategic sectors, the government of Kazakhstan requested a review of Kaznex Invest operations from the OECD and a benchmarking in relation to best practices in other agencies, with a view to making adjustments in its mandate, structure, or operations (OECD, 2015d). Investment Promotion Agency of Kazakhstan: how well is it doing? ( Only 5% of total FDI inflows were estimated to have been directly generated by Kaznex Invest in 2013, as compared to 11% in Nicaragua or 33% in Czech Republic. Reasons for this relatively poor performance included, the relatively large mandate of the institution, which resulted in lesser attention given to investment promotion and facilitation, its focus on serving the needs of the ministry rather than of investors, and a lack of clear strategy', well-identified priority sectors and key performance indicators that were outcome- rather than process-oriented and in line with the pre-identified strategy .</t>
  </si>
  <si>
    <t>removed footnote number</t>
  </si>
  <si>
    <t>There are opportunities to further raise own revenue, in particular tariffs and user charges. Attracting private investment should also be emphasised: FDI inflows have been lower in the Philippines than in other countries of the Southeast Asian region, in particular because of the strong restrictiveness imposed by the central government. Opportunities also lie in Public-Private Partnerships (PPP) which are currently encouraged at the subnational level through the PPP Centre of NEDA, however, the impact of such initiative is not yet visible in Cebu.</t>
  </si>
  <si>
    <t>Public-Private Partnerships (PPPs) play a role in creating smart, sustainable and resilient cities and overcoming financing constraints. However, it is important that such partnerships are designed in a way that they are not a source of risk to public finances and that affordability and inclusiveness considerations are duly taken into account. While the value for money concept remains important, with the adoption of the 2030 Agenda, the challenge is to implement PPPs according to a broader set of holistic criteria and undertake projects that from inception to termination create 'value for people'. The action plan for implementation of a National Disaster Risk Management Programme for period 2017-2020 was adopted by the Government in March 2017. The plan was coordinated by the Public Investment Management Office -with participation of all line ministries, special organizations, local self-governments, non-governmental organizations, and other stakeholders in the country. Along with the action plan, a Disaster Risk Financing Programme has also been adopted.</t>
  </si>
  <si>
    <t>Slum dwellers are a heterogeneous population, and not only the very poor live in slum communities (UN-Habitat, 2003). Even though slum areas can differ substantially cross-nationally in size and other characteristics, extreme housing deprivation is a common trait. The numbers are relatively less dramatic in Brazil: 3.3% of people in Brazilian favelas lack access to tap water and 12.3% lack an indoor flushing latrine in their homes (IBGE, 2010).</t>
  </si>
  <si>
    <t>The study also focused on the importance of cultural heritage as a factor attracting people to stay in the region. According to the study, about 60% of the tourists visited Raros because of the town's cultural heritage. In addition, around 40% of guests attending conferences stayed in Raros due to the cultural heritage of the town.</t>
  </si>
  <si>
    <t>not about protecting cultural heritage; fixed typo</t>
  </si>
  <si>
    <t>They also had similar challenges, particularly around logistics and transportation, as well as coordination of efforts on the ground. However, in terms of learning from their experiences, while both countries conducted workshops to review the lessons learnt, only Vanuatu produced a detailed report with practical recommendations for the government to pursue. This is further evidence of Vanuatu's strong commitment to disaster risk reduction and management compared with Dominica.</t>
  </si>
  <si>
    <t>The IUDF is expected to contribute to strengthening rural-urban linkages, and promote urban resilience and urban safety. These goals inform the priority objectives of nice policy levers: i) integrated urban planning and management, ii) integrated transport and mobility, iii) integrated sustainable human settlements, iv) integrated urban infrastructure, v) efficient land governance and management, vi) inclusive economic development, vii) empowered active communities, viii) effective urban governance, and ix) sustainable finances. The current urban legislative framework in Viet Nam, despite its considerable extent (e.g., laws, plans, strategies and programmes) (Table 2.2), has a very similar caveat as the current urban policy frameworks.</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</si>
</sst>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sz val="17.0"/>
      <color rgb="FF000000"/>
      <name val="&quot;Arial&quot;"/>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color theme="1"/>
      <name val="Arial"/>
    </font>
    <font>
      <b/>
      <color rgb="FF000000"/>
      <name val="&quot;Arial&quot;"/>
    </font>
    <font>
      <b/>
      <color rgb="FFFFFFFF"/>
      <name val="Arial"/>
    </font>
    <font>
      <b/>
      <color theme="1"/>
      <name val="Arial"/>
    </font>
    <font>
      <u/>
      <color rgb="FF0000FF"/>
    </font>
    <font>
      <b/>
      <color theme="1"/>
      <name val="Arial"/>
      <scheme val="minor"/>
    </font>
    <font>
      <sz val="13.0"/>
      <color theme="1"/>
      <name val="Arial"/>
      <scheme val="minor"/>
    </font>
    <font>
      <b/>
      <u/>
      <color theme="1"/>
      <name val="Arial"/>
      <scheme val="minor"/>
    </font>
    <font>
      <b/>
      <color theme="1"/>
      <name val="Calibri"/>
    </font>
    <font>
      <b/>
      <sz val="10.0"/>
      <color theme="1"/>
      <name val="Arial"/>
      <scheme val="minor"/>
    </font>
    <font>
      <color theme="1"/>
      <name val="Calibri"/>
    </font>
    <font>
      <sz val="11.0"/>
      <color theme="1"/>
      <name val="Arial"/>
      <scheme val="minor"/>
    </font>
    <font>
      <b/>
      <sz val="10.0"/>
      <color theme="1"/>
      <name val="Arial"/>
    </font>
    <font>
      <sz val="10.0"/>
      <color theme="1"/>
      <name val="Arial"/>
      <scheme val="minor"/>
    </font>
    <font>
      <sz val="9.0"/>
      <color theme="1"/>
      <name val="Arial"/>
      <scheme val="minor"/>
    </font>
  </fonts>
  <fills count="5">
    <fill>
      <patternFill patternType="none"/>
    </fill>
    <fill>
      <patternFill patternType="lightGray"/>
    </fill>
    <fill>
      <patternFill patternType="solid">
        <fgColor rgb="FFFD9D24"/>
        <bgColor rgb="FFFD9D24"/>
      </patternFill>
    </fill>
    <fill>
      <patternFill patternType="solid">
        <fgColor rgb="FFF4CCCC"/>
        <bgColor rgb="FFF4CCCC"/>
      </patternFill>
    </fill>
    <fill>
      <patternFill patternType="solid">
        <fgColor rgb="FFD9EAD3"/>
        <bgColor rgb="FFD9EAD3"/>
      </patternFill>
    </fill>
  </fills>
  <borders count="5">
    <border/>
    <border>
      <right style="thin">
        <color rgb="FF999999"/>
      </right>
    </border>
    <border>
      <right style="thin">
        <color rgb="FF999999"/>
      </right>
      <top style="thin">
        <color rgb="FF999999"/>
      </top>
      <bottom style="thin">
        <color rgb="FF999999"/>
      </bottom>
    </border>
    <border>
      <right style="thin">
        <color rgb="FF999999"/>
      </right>
      <bottom style="thin">
        <color rgb="FF999999"/>
      </bottom>
    </border>
    <border>
      <left style="thick">
        <color rgb="FF000000"/>
      </lef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center" wrapText="1"/>
    </xf>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vertical="bottom"/>
    </xf>
    <xf borderId="0" fillId="0" fontId="9" numFmtId="0" xfId="0" applyAlignment="1" applyFont="1">
      <alignment shrinkToFit="0" vertical="bottom" wrapText="0"/>
    </xf>
    <xf borderId="0" fillId="0" fontId="9" numFmtId="0" xfId="0" applyFont="1"/>
    <xf borderId="0" fillId="0" fontId="5" numFmtId="0" xfId="0" applyAlignment="1" applyFont="1">
      <alignment readingOrder="0" shrinkToFit="0" wrapText="1"/>
    </xf>
    <xf borderId="0" fillId="0" fontId="10" numFmtId="0" xfId="0" applyAlignment="1" applyFont="1">
      <alignment readingOrder="0"/>
    </xf>
    <xf borderId="1" fillId="0" fontId="9" numFmtId="0" xfId="0" applyAlignment="1" applyBorder="1" applyFont="1">
      <alignment vertical="bottom"/>
    </xf>
    <xf borderId="2" fillId="2" fontId="11" numFmtId="0" xfId="0" applyAlignment="1" applyBorder="1" applyFill="1" applyFont="1">
      <alignment horizontal="center" readingOrder="0" vertical="center"/>
    </xf>
    <xf borderId="2" fillId="0" fontId="12" numFmtId="0" xfId="0" applyAlignment="1" applyBorder="1" applyFont="1">
      <alignment readingOrder="0" vertical="bottom"/>
    </xf>
    <xf borderId="3" fillId="2" fontId="11" numFmtId="0" xfId="0" applyAlignment="1" applyBorder="1" applyFont="1">
      <alignment horizontal="center" readingOrder="0" shrinkToFit="0" vertical="center" wrapText="1"/>
    </xf>
    <xf borderId="3" fillId="0" fontId="9" numFmtId="0" xfId="0" applyAlignment="1" applyBorder="1" applyFont="1">
      <alignment readingOrder="0" shrinkToFit="0" vertical="bottom" wrapText="1"/>
    </xf>
    <xf borderId="0" fillId="0" fontId="13" numFmtId="0" xfId="0" applyAlignment="1" applyFont="1">
      <alignment readingOrder="0"/>
    </xf>
    <xf borderId="0" fillId="0" fontId="14" numFmtId="0" xfId="0" applyAlignment="1" applyFont="1">
      <alignment readingOrder="0"/>
    </xf>
    <xf borderId="0" fillId="0" fontId="5" numFmtId="0" xfId="0" applyFont="1"/>
    <xf borderId="0" fillId="0" fontId="0" numFmtId="0" xfId="0" applyAlignment="1" applyFont="1">
      <alignment horizontal="right"/>
    </xf>
    <xf borderId="0" fillId="0" fontId="15" numFmtId="0" xfId="0" applyAlignment="1" applyFont="1">
      <alignment readingOrder="0"/>
    </xf>
    <xf borderId="0" fillId="0" fontId="16" numFmtId="0" xfId="0" applyAlignment="1" applyFont="1">
      <alignment readingOrder="0"/>
    </xf>
    <xf borderId="0" fillId="0" fontId="17" numFmtId="0" xfId="0" applyAlignment="1" applyFont="1">
      <alignment readingOrder="0" vertical="bottom"/>
    </xf>
    <xf borderId="0" fillId="0" fontId="17" numFmtId="0" xfId="0" applyAlignment="1" applyFont="1">
      <alignment readingOrder="0" shrinkToFit="0" vertical="bottom" wrapText="1"/>
    </xf>
    <xf borderId="0" fillId="0" fontId="18" numFmtId="0" xfId="0" applyAlignment="1" applyFont="1">
      <alignment horizontal="center" readingOrder="0" vertical="bottom"/>
    </xf>
    <xf borderId="0" fillId="0" fontId="19" numFmtId="0" xfId="0" applyAlignment="1" applyFont="1">
      <alignment vertical="bottom"/>
    </xf>
    <xf borderId="0" fillId="0" fontId="19" numFmtId="0" xfId="0" applyAlignment="1" applyFont="1">
      <alignment shrinkToFit="0" vertical="bottom" wrapText="1"/>
    </xf>
    <xf borderId="0" fillId="0" fontId="20" numFmtId="0" xfId="0" applyAlignment="1" applyFont="1">
      <alignment horizontal="center" readingOrder="0" vertical="center"/>
    </xf>
    <xf borderId="0" fillId="3" fontId="19" numFmtId="0" xfId="0" applyAlignment="1" applyFill="1" applyFont="1">
      <alignment shrinkToFit="0" vertical="bottom" wrapText="1"/>
    </xf>
    <xf borderId="0" fillId="4" fontId="19" numFmtId="0" xfId="0" applyAlignment="1" applyFill="1" applyFont="1">
      <alignment shrinkToFit="0" vertical="bottom" wrapText="1"/>
    </xf>
    <xf borderId="0" fillId="4" fontId="19" numFmtId="0" xfId="0" applyAlignment="1" applyFont="1">
      <alignment readingOrder="0" shrinkToFit="0" vertical="bottom" wrapText="1"/>
    </xf>
    <xf borderId="0" fillId="0" fontId="12" numFmtId="0" xfId="0" applyAlignment="1" applyFont="1">
      <alignment vertical="bottom"/>
    </xf>
    <xf borderId="0" fillId="0" fontId="12" numFmtId="0" xfId="0" applyAlignment="1" applyFont="1">
      <alignment vertical="bottom"/>
    </xf>
    <xf borderId="0" fillId="0" fontId="12" numFmtId="0" xfId="0" applyAlignment="1" applyFont="1">
      <alignment horizontal="right" readingOrder="0" vertical="bottom"/>
    </xf>
    <xf borderId="0" fillId="0" fontId="9" numFmtId="0" xfId="0" applyAlignment="1" applyFont="1">
      <alignment vertical="bottom"/>
    </xf>
    <xf borderId="0" fillId="0" fontId="9" numFmtId="0" xfId="0" applyAlignment="1" applyFont="1">
      <alignment horizontal="right" vertical="bottom"/>
    </xf>
    <xf borderId="0" fillId="0" fontId="9" numFmtId="0" xfId="0" applyAlignment="1" applyFont="1">
      <alignment horizontal="right" vertical="bottom"/>
    </xf>
    <xf borderId="0" fillId="0" fontId="9" numFmtId="0" xfId="0" applyAlignment="1" applyFont="1">
      <alignment horizontal="center" vertical="bottom"/>
    </xf>
    <xf borderId="0" fillId="0" fontId="12" numFmtId="0" xfId="0" applyAlignment="1" applyFont="1">
      <alignment horizontal="center" readingOrder="0" vertical="bottom"/>
    </xf>
    <xf borderId="0" fillId="0" fontId="12" numFmtId="0" xfId="0" applyAlignment="1" applyFont="1">
      <alignment horizontal="center" vertical="bottom"/>
    </xf>
    <xf borderId="0" fillId="0" fontId="21" numFmtId="0" xfId="0" applyAlignment="1" applyFont="1">
      <alignment readingOrder="0" vertical="bottom"/>
    </xf>
    <xf borderId="4" fillId="0" fontId="14" numFmtId="0" xfId="0" applyAlignment="1" applyBorder="1" applyFont="1">
      <alignment horizontal="center"/>
    </xf>
    <xf borderId="0" fillId="0" fontId="5" numFmtId="0" xfId="0" applyAlignment="1" applyFont="1">
      <alignment horizontal="center"/>
    </xf>
    <xf borderId="0" fillId="0" fontId="22" numFmtId="10" xfId="0" applyFont="1" applyNumberFormat="1"/>
    <xf borderId="0" fillId="0" fontId="23" numFmtId="10" xfId="0" applyFont="1" applyNumberFormat="1"/>
    <xf borderId="4" fillId="0" fontId="5" numFmtId="0" xfId="0" applyAlignment="1" applyBorder="1" applyFont="1">
      <alignment horizontal="center"/>
    </xf>
    <xf borderId="4" fillId="0" fontId="5" numFmtId="0" xfId="0" applyAlignment="1" applyBorder="1" applyFont="1">
      <alignment horizontal="center" readingOrder="0"/>
    </xf>
    <xf borderId="0" fillId="0" fontId="5" numFmtId="0" xfId="0" applyAlignment="1" applyFont="1">
      <alignment horizontal="center" vertical="center"/>
    </xf>
    <xf borderId="0" fillId="0" fontId="5" numFmtId="0" xfId="0" applyAlignment="1" applyFont="1">
      <alignment horizontal="center" readingOrder="0" vertical="center"/>
    </xf>
    <xf borderId="0" fillId="0" fontId="5" numFmtId="0" xfId="0" applyFont="1"/>
    <xf borderId="0" fillId="0" fontId="9" numFmtId="0" xfId="0" applyAlignment="1" applyFont="1">
      <alignment readingOrder="0" vertical="bottom"/>
    </xf>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25"/>
    <col customWidth="1" min="3" max="3" width="85.63"/>
  </cols>
  <sheetData>
    <row r="1">
      <c r="A1" s="1"/>
    </row>
    <row r="2">
      <c r="B2" s="2" t="s">
        <v>0</v>
      </c>
    </row>
    <row r="3">
      <c r="B3" s="3"/>
    </row>
    <row r="4">
      <c r="B4" s="4" t="s">
        <v>1</v>
      </c>
    </row>
    <row r="5">
      <c r="B5" s="5" t="s">
        <v>2</v>
      </c>
    </row>
    <row r="6">
      <c r="B6" s="5"/>
    </row>
    <row r="7">
      <c r="B7" s="6" t="s">
        <v>3</v>
      </c>
    </row>
    <row r="8">
      <c r="B8" s="5" t="s">
        <v>4</v>
      </c>
    </row>
    <row r="9">
      <c r="B9" s="5" t="s">
        <v>5</v>
      </c>
    </row>
    <row r="10">
      <c r="B10" s="5" t="s">
        <v>6</v>
      </c>
    </row>
    <row r="11">
      <c r="B11" s="5" t="s">
        <v>7</v>
      </c>
    </row>
    <row r="12">
      <c r="B12" s="5" t="s">
        <v>8</v>
      </c>
    </row>
    <row r="13">
      <c r="B13" s="5"/>
    </row>
    <row r="14">
      <c r="B14" s="6" t="s">
        <v>9</v>
      </c>
    </row>
    <row r="15">
      <c r="B15" s="5" t="s">
        <v>10</v>
      </c>
    </row>
    <row r="16">
      <c r="B16" s="5" t="s">
        <v>11</v>
      </c>
    </row>
    <row r="17">
      <c r="B17" s="5"/>
      <c r="C17" s="5"/>
    </row>
    <row r="18">
      <c r="B18" s="7" t="b">
        <v>1</v>
      </c>
      <c r="C18" s="5" t="s">
        <v>12</v>
      </c>
    </row>
    <row r="19">
      <c r="B19" s="7" t="b">
        <v>0</v>
      </c>
      <c r="C19" s="5" t="s">
        <v>13</v>
      </c>
    </row>
    <row r="20">
      <c r="B20" s="7" t="s">
        <v>14</v>
      </c>
      <c r="C20" s="5" t="s">
        <v>15</v>
      </c>
    </row>
    <row r="22">
      <c r="B22" s="5" t="s">
        <v>16</v>
      </c>
    </row>
    <row r="24">
      <c r="B24" s="6" t="s">
        <v>17</v>
      </c>
    </row>
    <row r="25">
      <c r="B25" s="5" t="s">
        <v>18</v>
      </c>
      <c r="C25" s="8"/>
    </row>
    <row r="26">
      <c r="B26" s="9"/>
      <c r="C26" s="8"/>
    </row>
    <row r="27">
      <c r="B27" s="9" t="s">
        <v>19</v>
      </c>
      <c r="C27" s="8"/>
    </row>
    <row r="28">
      <c r="B28" s="10" t="s">
        <v>20</v>
      </c>
      <c r="C28" s="8"/>
    </row>
    <row r="29">
      <c r="B29" s="5"/>
      <c r="C29" s="8"/>
    </row>
    <row r="30">
      <c r="B30" s="11" t="s">
        <v>21</v>
      </c>
      <c r="C30" s="8"/>
    </row>
    <row r="31">
      <c r="B31" s="5"/>
      <c r="C31" s="8"/>
    </row>
    <row r="32">
      <c r="B32" s="9" t="s">
        <v>22</v>
      </c>
      <c r="C32" s="8"/>
    </row>
    <row r="33">
      <c r="B33" s="5" t="s">
        <v>23</v>
      </c>
      <c r="C33" s="8"/>
    </row>
    <row r="34">
      <c r="B34" s="5" t="s">
        <v>24</v>
      </c>
      <c r="C34" s="8"/>
    </row>
    <row r="35">
      <c r="C35" s="8"/>
    </row>
    <row r="36">
      <c r="B36" s="11" t="s">
        <v>21</v>
      </c>
      <c r="C36" s="8"/>
    </row>
    <row r="37">
      <c r="C37" s="8"/>
    </row>
    <row r="38">
      <c r="B38" s="9" t="s">
        <v>25</v>
      </c>
      <c r="C38" s="8"/>
    </row>
    <row r="39">
      <c r="B39" s="5" t="s">
        <v>26</v>
      </c>
      <c r="C39" s="8"/>
    </row>
    <row r="40">
      <c r="A40" s="12"/>
      <c r="B40" s="13" t="s">
        <v>27</v>
      </c>
      <c r="C40" s="14"/>
      <c r="D40" s="12"/>
      <c r="E40" s="12"/>
      <c r="F40" s="12"/>
      <c r="G40" s="12"/>
      <c r="H40" s="12"/>
      <c r="I40" s="12"/>
      <c r="J40" s="12"/>
      <c r="K40" s="12"/>
      <c r="L40" s="12"/>
      <c r="M40" s="12"/>
      <c r="N40" s="12"/>
      <c r="O40" s="12"/>
      <c r="P40" s="12"/>
      <c r="Q40" s="12"/>
      <c r="R40" s="12"/>
      <c r="S40" s="12"/>
      <c r="T40" s="12"/>
      <c r="U40" s="12"/>
      <c r="V40" s="12"/>
      <c r="W40" s="12"/>
      <c r="X40" s="12"/>
      <c r="Y40" s="12"/>
      <c r="Z40" s="12"/>
    </row>
    <row r="41">
      <c r="C41" s="8"/>
    </row>
    <row r="42">
      <c r="B42" s="9" t="s">
        <v>28</v>
      </c>
      <c r="C42" s="15"/>
    </row>
    <row r="43">
      <c r="B43" s="5" t="s">
        <v>29</v>
      </c>
    </row>
    <row r="44">
      <c r="B44" s="5" t="s">
        <v>30</v>
      </c>
    </row>
    <row r="45">
      <c r="B45" s="16"/>
    </row>
    <row r="46">
      <c r="B46" s="3" t="s">
        <v>31</v>
      </c>
    </row>
    <row r="48">
      <c r="B48" s="6" t="s">
        <v>32</v>
      </c>
    </row>
    <row r="49">
      <c r="A49" s="17"/>
      <c r="B49" s="18" t="s">
        <v>33</v>
      </c>
      <c r="C49" s="19" t="s">
        <v>34</v>
      </c>
      <c r="D49" s="12"/>
      <c r="E49" s="12"/>
      <c r="F49" s="12"/>
      <c r="G49" s="12"/>
      <c r="H49" s="12"/>
      <c r="I49" s="12"/>
      <c r="J49" s="12"/>
      <c r="K49" s="12"/>
      <c r="L49" s="12"/>
      <c r="M49" s="12"/>
      <c r="N49" s="12"/>
      <c r="O49" s="12"/>
      <c r="P49" s="12"/>
      <c r="Q49" s="12"/>
      <c r="R49" s="12"/>
      <c r="S49" s="12"/>
      <c r="T49" s="12"/>
      <c r="U49" s="12"/>
      <c r="V49" s="12"/>
      <c r="W49" s="12"/>
      <c r="X49" s="12"/>
      <c r="Y49" s="12"/>
      <c r="Z49" s="12"/>
    </row>
    <row r="50">
      <c r="A50" s="17"/>
      <c r="B50" s="20" t="s">
        <v>35</v>
      </c>
      <c r="C50" s="21" t="s">
        <v>36</v>
      </c>
      <c r="D50" s="12"/>
      <c r="E50" s="12"/>
      <c r="F50" s="12"/>
      <c r="G50" s="12"/>
      <c r="H50" s="12"/>
      <c r="I50" s="12"/>
      <c r="J50" s="12"/>
      <c r="K50" s="12"/>
      <c r="L50" s="12"/>
      <c r="M50" s="12"/>
      <c r="N50" s="12"/>
      <c r="O50" s="12"/>
      <c r="P50" s="12"/>
      <c r="Q50" s="12"/>
      <c r="R50" s="12"/>
      <c r="S50" s="12"/>
      <c r="T50" s="12"/>
      <c r="U50" s="12"/>
      <c r="V50" s="12"/>
      <c r="W50" s="12"/>
      <c r="X50" s="12"/>
      <c r="Y50" s="12"/>
      <c r="Z50" s="12"/>
    </row>
    <row r="51">
      <c r="A51" s="17"/>
      <c r="B51" s="20" t="s">
        <v>37</v>
      </c>
      <c r="C51" s="21" t="s">
        <v>38</v>
      </c>
      <c r="D51" s="12"/>
      <c r="E51" s="12"/>
      <c r="F51" s="12"/>
      <c r="G51" s="12"/>
      <c r="H51" s="12"/>
      <c r="I51" s="12"/>
      <c r="J51" s="12"/>
      <c r="K51" s="12"/>
      <c r="L51" s="12"/>
      <c r="M51" s="12"/>
      <c r="N51" s="12"/>
      <c r="O51" s="12"/>
      <c r="P51" s="12"/>
      <c r="Q51" s="12"/>
      <c r="R51" s="12"/>
      <c r="S51" s="12"/>
      <c r="T51" s="12"/>
      <c r="U51" s="12"/>
      <c r="V51" s="12"/>
      <c r="W51" s="12"/>
      <c r="X51" s="12"/>
      <c r="Y51" s="12"/>
      <c r="Z51" s="12"/>
    </row>
    <row r="52">
      <c r="A52" s="17"/>
      <c r="B52" s="20" t="s">
        <v>39</v>
      </c>
      <c r="C52" s="21" t="s">
        <v>40</v>
      </c>
      <c r="D52" s="12"/>
      <c r="E52" s="12"/>
      <c r="F52" s="12"/>
      <c r="G52" s="12"/>
      <c r="H52" s="12"/>
      <c r="I52" s="12"/>
      <c r="J52" s="12"/>
      <c r="K52" s="12"/>
      <c r="L52" s="12"/>
      <c r="M52" s="12"/>
      <c r="N52" s="12"/>
      <c r="O52" s="12"/>
      <c r="P52" s="12"/>
      <c r="Q52" s="12"/>
      <c r="R52" s="12"/>
      <c r="S52" s="12"/>
      <c r="T52" s="12"/>
      <c r="U52" s="12"/>
      <c r="V52" s="12"/>
      <c r="W52" s="12"/>
      <c r="X52" s="12"/>
      <c r="Y52" s="12"/>
      <c r="Z52" s="12"/>
    </row>
    <row r="53">
      <c r="A53" s="17"/>
      <c r="B53" s="20" t="s">
        <v>41</v>
      </c>
      <c r="C53" s="21" t="s">
        <v>42</v>
      </c>
      <c r="D53" s="12"/>
      <c r="E53" s="12"/>
      <c r="F53" s="12"/>
      <c r="G53" s="12"/>
      <c r="H53" s="12"/>
      <c r="I53" s="12"/>
      <c r="J53" s="12"/>
      <c r="K53" s="12"/>
      <c r="L53" s="12"/>
      <c r="M53" s="12"/>
      <c r="N53" s="12"/>
      <c r="O53" s="12"/>
      <c r="P53" s="12"/>
      <c r="Q53" s="12"/>
      <c r="R53" s="12"/>
      <c r="S53" s="12"/>
      <c r="T53" s="12"/>
      <c r="U53" s="12"/>
      <c r="V53" s="12"/>
      <c r="W53" s="12"/>
      <c r="X53" s="12"/>
      <c r="Y53" s="12"/>
      <c r="Z53" s="12"/>
    </row>
    <row r="54">
      <c r="A54" s="17"/>
      <c r="B54" s="20" t="s">
        <v>43</v>
      </c>
      <c r="C54" s="21" t="s">
        <v>44</v>
      </c>
      <c r="D54" s="12"/>
      <c r="E54" s="12"/>
      <c r="F54" s="12"/>
      <c r="G54" s="12"/>
      <c r="H54" s="12"/>
      <c r="I54" s="12"/>
      <c r="J54" s="12"/>
      <c r="K54" s="12"/>
      <c r="L54" s="12"/>
      <c r="M54" s="12"/>
      <c r="N54" s="12"/>
      <c r="O54" s="12"/>
      <c r="P54" s="12"/>
      <c r="Q54" s="12"/>
      <c r="R54" s="12"/>
      <c r="S54" s="12"/>
      <c r="T54" s="12"/>
      <c r="U54" s="12"/>
      <c r="V54" s="12"/>
      <c r="W54" s="12"/>
      <c r="X54" s="12"/>
      <c r="Y54" s="12"/>
      <c r="Z54" s="12"/>
    </row>
    <row r="55">
      <c r="A55" s="17"/>
      <c r="B55" s="20" t="s">
        <v>45</v>
      </c>
      <c r="C55" s="21" t="s">
        <v>46</v>
      </c>
      <c r="D55" s="12"/>
      <c r="E55" s="12"/>
      <c r="F55" s="12"/>
      <c r="G55" s="12"/>
      <c r="H55" s="12"/>
      <c r="I55" s="12"/>
      <c r="J55" s="12"/>
      <c r="K55" s="12"/>
      <c r="L55" s="12"/>
      <c r="M55" s="12"/>
      <c r="N55" s="12"/>
      <c r="O55" s="12"/>
      <c r="P55" s="12"/>
      <c r="Q55" s="12"/>
      <c r="R55" s="12"/>
      <c r="S55" s="12"/>
      <c r="T55" s="12"/>
      <c r="U55" s="12"/>
      <c r="V55" s="12"/>
      <c r="W55" s="12"/>
      <c r="X55" s="12"/>
      <c r="Y55" s="12"/>
      <c r="Z55" s="12"/>
    </row>
    <row r="56">
      <c r="A56" s="17"/>
      <c r="B56" s="20" t="s">
        <v>47</v>
      </c>
      <c r="C56" s="21" t="s">
        <v>48</v>
      </c>
      <c r="D56" s="12"/>
      <c r="E56" s="12"/>
      <c r="F56" s="12"/>
      <c r="G56" s="12"/>
      <c r="H56" s="12"/>
      <c r="I56" s="12"/>
      <c r="J56" s="12"/>
      <c r="K56" s="12"/>
      <c r="L56" s="12"/>
      <c r="M56" s="12"/>
      <c r="N56" s="12"/>
      <c r="O56" s="12"/>
      <c r="P56" s="12"/>
      <c r="Q56" s="12"/>
      <c r="R56" s="12"/>
      <c r="S56" s="12"/>
      <c r="T56" s="12"/>
      <c r="U56" s="12"/>
      <c r="V56" s="12"/>
      <c r="W56" s="12"/>
      <c r="X56" s="12"/>
      <c r="Y56" s="12"/>
      <c r="Z56" s="12"/>
    </row>
    <row r="57">
      <c r="A57" s="17"/>
      <c r="B57" s="20" t="s">
        <v>49</v>
      </c>
      <c r="C57" s="21" t="s">
        <v>50</v>
      </c>
      <c r="D57" s="12"/>
      <c r="E57" s="12"/>
      <c r="F57" s="12"/>
      <c r="G57" s="12"/>
      <c r="H57" s="12"/>
      <c r="I57" s="12"/>
      <c r="J57" s="12"/>
      <c r="K57" s="12"/>
      <c r="L57" s="12"/>
      <c r="M57" s="12"/>
      <c r="N57" s="12"/>
      <c r="O57" s="12"/>
      <c r="P57" s="12"/>
      <c r="Q57" s="12"/>
      <c r="R57" s="12"/>
      <c r="S57" s="12"/>
      <c r="T57" s="12"/>
      <c r="U57" s="12"/>
      <c r="V57" s="12"/>
      <c r="W57" s="12"/>
      <c r="X57" s="12"/>
      <c r="Y57" s="12"/>
      <c r="Z57" s="12"/>
    </row>
    <row r="58">
      <c r="A58" s="17"/>
      <c r="B58" s="20" t="s">
        <v>51</v>
      </c>
      <c r="C58" s="21" t="s">
        <v>52</v>
      </c>
      <c r="D58" s="12"/>
      <c r="E58" s="12"/>
      <c r="F58" s="12"/>
      <c r="G58" s="12"/>
      <c r="H58" s="12"/>
      <c r="I58" s="12"/>
      <c r="J58" s="12"/>
      <c r="K58" s="12"/>
      <c r="L58" s="12"/>
      <c r="M58" s="12"/>
      <c r="N58" s="12"/>
      <c r="O58" s="12"/>
      <c r="P58" s="12"/>
      <c r="Q58" s="12"/>
      <c r="R58" s="12"/>
      <c r="S58" s="12"/>
      <c r="T58" s="12"/>
      <c r="U58" s="12"/>
      <c r="V58" s="12"/>
      <c r="W58" s="12"/>
      <c r="X58" s="12"/>
      <c r="Y58" s="12"/>
      <c r="Z58" s="12"/>
    </row>
    <row r="59">
      <c r="A59" s="17"/>
      <c r="B59" s="20" t="s">
        <v>53</v>
      </c>
      <c r="C59" s="21" t="s">
        <v>54</v>
      </c>
      <c r="D59" s="12"/>
      <c r="E59" s="12"/>
      <c r="F59" s="12"/>
      <c r="G59" s="12"/>
      <c r="H59" s="12"/>
      <c r="I59" s="12"/>
      <c r="J59" s="12"/>
      <c r="K59" s="12"/>
      <c r="L59" s="12"/>
      <c r="M59" s="12"/>
      <c r="N59" s="12"/>
      <c r="O59" s="12"/>
      <c r="P59" s="12"/>
      <c r="Q59" s="12"/>
      <c r="R59" s="12"/>
      <c r="S59" s="12"/>
      <c r="T59" s="12"/>
      <c r="U59" s="12"/>
      <c r="V59" s="12"/>
      <c r="W59" s="12"/>
      <c r="X59" s="12"/>
      <c r="Y59" s="12"/>
      <c r="Z59" s="12"/>
    </row>
    <row r="60">
      <c r="B60" s="22" t="s">
        <v>55</v>
      </c>
    </row>
    <row r="62">
      <c r="B62" s="6" t="s">
        <v>56</v>
      </c>
    </row>
    <row r="63">
      <c r="B63" s="5" t="s">
        <v>57</v>
      </c>
    </row>
    <row r="64">
      <c r="B64" s="5"/>
    </row>
    <row r="65">
      <c r="B65" s="23" t="s">
        <v>58</v>
      </c>
      <c r="C65" s="23" t="s">
        <v>59</v>
      </c>
    </row>
    <row r="66">
      <c r="B66" s="22" t="s">
        <v>60</v>
      </c>
      <c r="C66" s="24" t="str">
        <f>IFERROR(__xludf.DUMMYFUNCTION("SPARKLINE((100-COUNTIF(INDIRECT(B66&amp;""!C:C""), ""TO DO""))/100+0.01,{""charttype"",""bar"";""max"",1.01;""min"",0; ""color1"", ""#4285f4""})"),"")</f>
        <v/>
      </c>
      <c r="D66" s="25" t="str">
        <f t="shared" ref="D66:D70" si="1">(100-COUNTIF(INDIRECT(B66&amp;"!C:C"), "TO DO")) &amp; " / 100"</f>
        <v>100 / 100</v>
      </c>
    </row>
    <row r="67">
      <c r="B67" s="22" t="s">
        <v>61</v>
      </c>
      <c r="C67" s="24" t="str">
        <f>IFERROR(__xludf.DUMMYFUNCTION("SPARKLINE((100-COUNTIF(INDIRECT(B67&amp;""!C:C""), ""TO DO""))/100+0.01,{""charttype"",""bar"";""max"",1.01;""min"",0; ""color1"", ""#4285f4""})"),"")</f>
        <v/>
      </c>
      <c r="D67" s="25" t="str">
        <f t="shared" si="1"/>
        <v>0 / 100</v>
      </c>
    </row>
    <row r="68">
      <c r="B68" s="22" t="s">
        <v>62</v>
      </c>
      <c r="C68" s="24" t="str">
        <f>IFERROR(__xludf.DUMMYFUNCTION("SPARKLINE((100-COUNTIF(INDIRECT(B68&amp;""!C:C""), ""TO DO""))/100+0.01,{""charttype"",""bar"";""max"",1.01;""min"",0; ""color1"", ""#4285f4""})"),"")</f>
        <v/>
      </c>
      <c r="D68" s="25" t="str">
        <f t="shared" si="1"/>
        <v>0 / 100</v>
      </c>
    </row>
    <row r="69">
      <c r="B69" s="22" t="s">
        <v>63</v>
      </c>
      <c r="C69" s="24" t="str">
        <f>IFERROR(__xludf.DUMMYFUNCTION("SPARKLINE((100-COUNTIF(INDIRECT(B69&amp;""!C:C""), ""TO DO""))/100+0.01,{""charttype"",""bar"";""max"",1.01;""min"",0; ""color1"", ""#4285f4""})"),"")</f>
        <v/>
      </c>
      <c r="D69" s="25" t="str">
        <f t="shared" si="1"/>
        <v>100 / 100</v>
      </c>
    </row>
    <row r="70">
      <c r="B70" s="22" t="s">
        <v>64</v>
      </c>
      <c r="C70" s="24" t="str">
        <f>IFERROR(__xludf.DUMMYFUNCTION("SPARKLINE((100-COUNTIF(INDIRECT(B70&amp;""!C:C""), ""TO DO""))/100+0.01,{""charttype"",""bar"";""max"",1.01;""min"",0; ""color1"", ""#4285f4""})"),"")</f>
        <v/>
      </c>
      <c r="D70" s="25" t="str">
        <f t="shared" si="1"/>
        <v>100 / 100</v>
      </c>
    </row>
    <row r="72">
      <c r="B72" s="26" t="s">
        <v>65</v>
      </c>
    </row>
    <row r="74">
      <c r="B74" s="6" t="s">
        <v>66</v>
      </c>
    </row>
    <row r="75">
      <c r="B75" s="5" t="s">
        <v>67</v>
      </c>
    </row>
    <row r="76">
      <c r="B76" s="5"/>
    </row>
    <row r="77">
      <c r="B77" s="5" t="s">
        <v>68</v>
      </c>
    </row>
    <row r="78">
      <c r="B78" s="5"/>
    </row>
    <row r="79">
      <c r="B79" s="27" t="s">
        <v>69</v>
      </c>
    </row>
    <row r="80">
      <c r="B80" s="5" t="s">
        <v>70</v>
      </c>
    </row>
    <row r="81">
      <c r="B81" s="5" t="s">
        <v>71</v>
      </c>
    </row>
    <row r="82">
      <c r="B82" s="5" t="s">
        <v>72</v>
      </c>
    </row>
    <row r="83">
      <c r="B83" s="5" t="s">
        <v>73</v>
      </c>
    </row>
    <row r="84">
      <c r="B84" s="5" t="s">
        <v>74</v>
      </c>
    </row>
    <row r="85">
      <c r="B85" s="5" t="s">
        <v>75</v>
      </c>
    </row>
    <row r="86">
      <c r="B86" s="5" t="s">
        <v>76</v>
      </c>
    </row>
    <row r="87">
      <c r="B87" s="5" t="s">
        <v>77</v>
      </c>
    </row>
    <row r="88">
      <c r="B88" s="5" t="s">
        <v>78</v>
      </c>
    </row>
    <row r="89">
      <c r="B89" s="5" t="s">
        <v>79</v>
      </c>
    </row>
    <row r="90">
      <c r="B90" s="5" t="s">
        <v>80</v>
      </c>
    </row>
    <row r="92">
      <c r="B92" s="27" t="s">
        <v>81</v>
      </c>
    </row>
    <row r="93">
      <c r="B93" s="5" t="s">
        <v>82</v>
      </c>
    </row>
    <row r="94">
      <c r="B94" s="5" t="s">
        <v>83</v>
      </c>
    </row>
    <row r="95">
      <c r="B95" s="5" t="s">
        <v>84</v>
      </c>
    </row>
    <row r="96">
      <c r="B96" s="5" t="s">
        <v>85</v>
      </c>
    </row>
    <row r="97">
      <c r="B97" s="5" t="s">
        <v>86</v>
      </c>
    </row>
    <row r="98">
      <c r="B98" s="5" t="s">
        <v>87</v>
      </c>
    </row>
    <row r="100">
      <c r="B100" s="13"/>
    </row>
    <row r="101">
      <c r="B101" s="13"/>
    </row>
    <row r="102">
      <c r="B102" s="13"/>
    </row>
    <row r="103">
      <c r="B103" s="13"/>
    </row>
    <row r="104">
      <c r="B104" s="13"/>
    </row>
  </sheetData>
  <dataValidations>
    <dataValidation type="list" allowBlank="1" showErrorMessage="1" sqref="B18:B20">
      <formula1>"TRUE,FALSE,SKIP"</formula1>
    </dataValidation>
  </dataValidations>
  <hyperlinks>
    <hyperlink r:id="rId1" ref="B60"/>
    <hyperlink display="Finn" location="Finn!A1" ref="B66"/>
    <hyperlink display="Gib" location="Gib!A1" ref="B67"/>
    <hyperlink display="Jean-Baptiste" location="'Jean-Baptiste'!A1" ref="B68"/>
    <hyperlink display="Meike" location="Meike!A1" ref="B69"/>
    <hyperlink display="Steve" location="Steve!A1" ref="B7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34.63"/>
  </cols>
  <sheetData>
    <row r="1">
      <c r="A1" s="28" t="s">
        <v>88</v>
      </c>
      <c r="B1" s="29" t="s">
        <v>89</v>
      </c>
      <c r="C1" s="30" t="s">
        <v>90</v>
      </c>
      <c r="D1" s="23" t="s">
        <v>91</v>
      </c>
    </row>
    <row r="2">
      <c r="A2" s="31" t="s">
        <v>92</v>
      </c>
      <c r="B2" s="32" t="s">
        <v>93</v>
      </c>
      <c r="C2" s="33" t="b">
        <v>0</v>
      </c>
    </row>
    <row r="3">
      <c r="A3" s="31" t="s">
        <v>94</v>
      </c>
      <c r="B3" s="32" t="s">
        <v>95</v>
      </c>
      <c r="C3" s="33" t="b">
        <v>0</v>
      </c>
    </row>
    <row r="4">
      <c r="A4" s="31" t="s">
        <v>96</v>
      </c>
      <c r="B4" s="32" t="s">
        <v>97</v>
      </c>
      <c r="C4" s="33" t="b">
        <v>1</v>
      </c>
      <c r="D4" s="5" t="s">
        <v>98</v>
      </c>
    </row>
    <row r="5">
      <c r="A5" s="31" t="s">
        <v>99</v>
      </c>
      <c r="B5" s="32" t="s">
        <v>100</v>
      </c>
      <c r="C5" s="33" t="b">
        <v>0</v>
      </c>
    </row>
    <row r="6">
      <c r="A6" s="31" t="s">
        <v>101</v>
      </c>
      <c r="B6" s="32" t="s">
        <v>102</v>
      </c>
      <c r="C6" s="33" t="b">
        <v>1</v>
      </c>
      <c r="D6" s="5" t="s">
        <v>103</v>
      </c>
    </row>
    <row r="7">
      <c r="A7" s="31" t="s">
        <v>104</v>
      </c>
      <c r="B7" s="32" t="s">
        <v>105</v>
      </c>
      <c r="C7" s="33" t="b">
        <v>0</v>
      </c>
    </row>
    <row r="8">
      <c r="A8" s="31" t="s">
        <v>106</v>
      </c>
      <c r="B8" s="32" t="s">
        <v>107</v>
      </c>
      <c r="C8" s="33" t="b">
        <v>1</v>
      </c>
    </row>
    <row r="9">
      <c r="A9" s="31" t="s">
        <v>108</v>
      </c>
      <c r="B9" s="32" t="s">
        <v>109</v>
      </c>
      <c r="C9" s="33" t="b">
        <v>1</v>
      </c>
    </row>
    <row r="10">
      <c r="A10" s="31" t="s">
        <v>110</v>
      </c>
      <c r="B10" s="32" t="s">
        <v>111</v>
      </c>
      <c r="C10" s="33" t="b">
        <v>0</v>
      </c>
    </row>
    <row r="11">
      <c r="A11" s="31" t="s">
        <v>112</v>
      </c>
      <c r="B11" s="32" t="s">
        <v>113</v>
      </c>
      <c r="C11" s="33" t="b">
        <v>1</v>
      </c>
      <c r="D11" s="5" t="s">
        <v>114</v>
      </c>
    </row>
    <row r="12">
      <c r="A12" s="31" t="s">
        <v>115</v>
      </c>
      <c r="B12" s="32" t="s">
        <v>116</v>
      </c>
      <c r="C12" s="33" t="b">
        <v>1</v>
      </c>
      <c r="D12" s="5" t="s">
        <v>117</v>
      </c>
    </row>
    <row r="13">
      <c r="A13" s="31" t="s">
        <v>118</v>
      </c>
      <c r="B13" s="32" t="s">
        <v>119</v>
      </c>
      <c r="C13" s="33" t="b">
        <v>1</v>
      </c>
    </row>
    <row r="14">
      <c r="A14" s="31" t="s">
        <v>120</v>
      </c>
      <c r="B14" s="32" t="s">
        <v>121</v>
      </c>
      <c r="C14" s="33" t="b">
        <v>1</v>
      </c>
    </row>
    <row r="15">
      <c r="A15" s="31" t="s">
        <v>122</v>
      </c>
      <c r="B15" s="32" t="s">
        <v>123</v>
      </c>
      <c r="C15" s="33" t="b">
        <v>0</v>
      </c>
    </row>
    <row r="16">
      <c r="A16" s="31" t="s">
        <v>124</v>
      </c>
      <c r="B16" s="32" t="s">
        <v>125</v>
      </c>
      <c r="C16" s="33" t="b">
        <v>1</v>
      </c>
    </row>
    <row r="17">
      <c r="A17" s="31" t="s">
        <v>126</v>
      </c>
      <c r="B17" s="32" t="s">
        <v>127</v>
      </c>
      <c r="C17" s="33" t="b">
        <v>1</v>
      </c>
      <c r="D17" s="5" t="s">
        <v>128</v>
      </c>
    </row>
    <row r="18">
      <c r="A18" s="31" t="s">
        <v>129</v>
      </c>
      <c r="B18" s="32" t="s">
        <v>130</v>
      </c>
      <c r="C18" s="33" t="b">
        <v>0</v>
      </c>
      <c r="D18" s="5" t="s">
        <v>131</v>
      </c>
    </row>
    <row r="19">
      <c r="A19" s="31" t="s">
        <v>132</v>
      </c>
      <c r="B19" s="32" t="s">
        <v>133</v>
      </c>
      <c r="C19" s="33" t="b">
        <v>0</v>
      </c>
    </row>
    <row r="20">
      <c r="A20" s="31" t="s">
        <v>134</v>
      </c>
      <c r="B20" s="32" t="s">
        <v>135</v>
      </c>
      <c r="C20" s="33" t="b">
        <v>1</v>
      </c>
      <c r="D20" s="5" t="s">
        <v>136</v>
      </c>
    </row>
    <row r="21">
      <c r="A21" s="31" t="s">
        <v>137</v>
      </c>
      <c r="B21" s="32" t="s">
        <v>138</v>
      </c>
      <c r="C21" s="33" t="b">
        <v>0</v>
      </c>
    </row>
    <row r="22">
      <c r="A22" s="31" t="s">
        <v>139</v>
      </c>
      <c r="B22" s="32" t="s">
        <v>140</v>
      </c>
      <c r="C22" s="33" t="b">
        <v>1</v>
      </c>
    </row>
    <row r="23">
      <c r="A23" s="31" t="s">
        <v>141</v>
      </c>
      <c r="B23" s="32" t="s">
        <v>142</v>
      </c>
      <c r="C23" s="33" t="b">
        <v>0</v>
      </c>
    </row>
    <row r="24">
      <c r="A24" s="31" t="s">
        <v>143</v>
      </c>
      <c r="B24" s="32" t="s">
        <v>144</v>
      </c>
      <c r="C24" s="33" t="b">
        <v>1</v>
      </c>
    </row>
    <row r="25">
      <c r="A25" s="31" t="s">
        <v>145</v>
      </c>
      <c r="B25" s="32" t="s">
        <v>146</v>
      </c>
      <c r="C25" s="33" t="b">
        <v>1</v>
      </c>
    </row>
    <row r="26">
      <c r="A26" s="31" t="s">
        <v>147</v>
      </c>
      <c r="B26" s="32" t="s">
        <v>148</v>
      </c>
      <c r="C26" s="33" t="b">
        <v>0</v>
      </c>
    </row>
    <row r="27">
      <c r="A27" s="31" t="s">
        <v>149</v>
      </c>
      <c r="B27" s="32" t="s">
        <v>150</v>
      </c>
      <c r="C27" s="33" t="b">
        <v>0</v>
      </c>
    </row>
    <row r="28">
      <c r="A28" s="31" t="s">
        <v>151</v>
      </c>
      <c r="B28" s="32" t="s">
        <v>152</v>
      </c>
      <c r="C28" s="33" t="b">
        <v>0</v>
      </c>
    </row>
    <row r="29">
      <c r="A29" s="31" t="s">
        <v>153</v>
      </c>
      <c r="B29" s="32" t="s">
        <v>154</v>
      </c>
      <c r="C29" s="33" t="b">
        <v>0</v>
      </c>
      <c r="D29" s="5" t="s">
        <v>155</v>
      </c>
    </row>
    <row r="30">
      <c r="A30" s="31" t="s">
        <v>156</v>
      </c>
      <c r="B30" s="32" t="s">
        <v>157</v>
      </c>
      <c r="C30" s="33" t="b">
        <v>0</v>
      </c>
    </row>
    <row r="31">
      <c r="A31" s="31" t="s">
        <v>158</v>
      </c>
      <c r="B31" s="32" t="s">
        <v>159</v>
      </c>
      <c r="C31" s="33" t="b">
        <v>0</v>
      </c>
      <c r="D31" s="5" t="s">
        <v>160</v>
      </c>
    </row>
    <row r="32">
      <c r="A32" s="31" t="s">
        <v>161</v>
      </c>
      <c r="B32" s="32" t="s">
        <v>162</v>
      </c>
      <c r="C32" s="33" t="b">
        <v>0</v>
      </c>
    </row>
    <row r="33">
      <c r="A33" s="31" t="s">
        <v>163</v>
      </c>
      <c r="B33" s="32" t="s">
        <v>164</v>
      </c>
      <c r="C33" s="33" t="b">
        <v>0</v>
      </c>
      <c r="D33" s="5" t="s">
        <v>131</v>
      </c>
    </row>
    <row r="34">
      <c r="A34" s="31" t="s">
        <v>165</v>
      </c>
      <c r="B34" s="32" t="s">
        <v>166</v>
      </c>
      <c r="C34" s="33" t="b">
        <v>0</v>
      </c>
    </row>
    <row r="35">
      <c r="A35" s="31" t="s">
        <v>167</v>
      </c>
      <c r="B35" s="32" t="s">
        <v>168</v>
      </c>
      <c r="C35" s="33" t="b">
        <v>0</v>
      </c>
    </row>
    <row r="36">
      <c r="A36" s="31" t="s">
        <v>169</v>
      </c>
      <c r="B36" s="32" t="s">
        <v>170</v>
      </c>
      <c r="C36" s="33" t="b">
        <v>0</v>
      </c>
      <c r="D36" s="5" t="s">
        <v>171</v>
      </c>
    </row>
    <row r="37">
      <c r="A37" s="31" t="s">
        <v>172</v>
      </c>
      <c r="B37" s="32" t="s">
        <v>173</v>
      </c>
      <c r="C37" s="33" t="b">
        <v>0</v>
      </c>
    </row>
    <row r="38">
      <c r="A38" s="31" t="s">
        <v>174</v>
      </c>
      <c r="B38" s="32" t="s">
        <v>175</v>
      </c>
      <c r="C38" s="33" t="b">
        <v>0</v>
      </c>
    </row>
    <row r="39">
      <c r="A39" s="31" t="s">
        <v>176</v>
      </c>
      <c r="B39" s="32" t="s">
        <v>177</v>
      </c>
      <c r="C39" s="33" t="b">
        <v>0</v>
      </c>
    </row>
    <row r="40">
      <c r="A40" s="31" t="s">
        <v>178</v>
      </c>
      <c r="B40" s="32" t="s">
        <v>179</v>
      </c>
      <c r="C40" s="33" t="b">
        <v>0</v>
      </c>
    </row>
    <row r="41">
      <c r="A41" s="31" t="s">
        <v>180</v>
      </c>
      <c r="B41" s="32" t="s">
        <v>181</v>
      </c>
      <c r="C41" s="33" t="b">
        <v>0</v>
      </c>
    </row>
    <row r="42">
      <c r="A42" s="31" t="s">
        <v>182</v>
      </c>
      <c r="B42" s="32" t="s">
        <v>183</v>
      </c>
      <c r="C42" s="33" t="b">
        <v>1</v>
      </c>
    </row>
    <row r="43">
      <c r="A43" s="31" t="s">
        <v>184</v>
      </c>
      <c r="B43" s="32" t="s">
        <v>185</v>
      </c>
      <c r="C43" s="33" t="b">
        <v>1</v>
      </c>
      <c r="D43" s="5" t="s">
        <v>186</v>
      </c>
    </row>
    <row r="44">
      <c r="A44" s="31" t="s">
        <v>187</v>
      </c>
      <c r="B44" s="32" t="s">
        <v>188</v>
      </c>
      <c r="C44" s="33" t="b">
        <v>0</v>
      </c>
    </row>
    <row r="45">
      <c r="A45" s="31" t="s">
        <v>189</v>
      </c>
      <c r="B45" s="32" t="s">
        <v>190</v>
      </c>
      <c r="C45" s="33" t="b">
        <v>1</v>
      </c>
    </row>
    <row r="46">
      <c r="A46" s="31" t="s">
        <v>191</v>
      </c>
      <c r="B46" s="32" t="s">
        <v>192</v>
      </c>
      <c r="C46" s="33" t="b">
        <v>1</v>
      </c>
    </row>
    <row r="47">
      <c r="A47" s="31" t="s">
        <v>193</v>
      </c>
      <c r="B47" s="32" t="s">
        <v>194</v>
      </c>
      <c r="C47" s="33" t="b">
        <v>1</v>
      </c>
    </row>
    <row r="48">
      <c r="A48" s="31" t="s">
        <v>195</v>
      </c>
      <c r="B48" s="32" t="s">
        <v>196</v>
      </c>
      <c r="C48" s="33" t="b">
        <v>0</v>
      </c>
    </row>
    <row r="49">
      <c r="A49" s="31" t="s">
        <v>197</v>
      </c>
      <c r="B49" s="32" t="s">
        <v>198</v>
      </c>
      <c r="C49" s="33" t="b">
        <v>0</v>
      </c>
    </row>
    <row r="50">
      <c r="A50" s="31" t="s">
        <v>199</v>
      </c>
      <c r="B50" s="32" t="s">
        <v>200</v>
      </c>
      <c r="C50" s="33" t="b">
        <v>1</v>
      </c>
      <c r="D50" s="5" t="s">
        <v>201</v>
      </c>
    </row>
    <row r="51">
      <c r="A51" s="31" t="s">
        <v>202</v>
      </c>
      <c r="B51" s="32" t="s">
        <v>203</v>
      </c>
      <c r="C51" s="33" t="b">
        <v>0</v>
      </c>
    </row>
    <row r="52">
      <c r="A52" s="31" t="s">
        <v>204</v>
      </c>
      <c r="B52" s="32" t="s">
        <v>205</v>
      </c>
      <c r="C52" s="33" t="b">
        <v>0</v>
      </c>
    </row>
    <row r="53">
      <c r="A53" s="31" t="s">
        <v>206</v>
      </c>
      <c r="B53" s="32" t="s">
        <v>207</v>
      </c>
      <c r="C53" s="33" t="b">
        <v>1</v>
      </c>
      <c r="D53" s="5" t="s">
        <v>208</v>
      </c>
    </row>
    <row r="54">
      <c r="A54" s="31" t="s">
        <v>209</v>
      </c>
      <c r="B54" s="32" t="s">
        <v>210</v>
      </c>
      <c r="C54" s="33" t="b">
        <v>0</v>
      </c>
    </row>
    <row r="55">
      <c r="A55" s="31" t="s">
        <v>211</v>
      </c>
      <c r="B55" s="32" t="s">
        <v>212</v>
      </c>
      <c r="C55" s="33" t="b">
        <v>1</v>
      </c>
      <c r="D55" s="5" t="s">
        <v>213</v>
      </c>
    </row>
    <row r="56">
      <c r="A56" s="31" t="s">
        <v>214</v>
      </c>
      <c r="B56" s="32" t="s">
        <v>215</v>
      </c>
      <c r="C56" s="33" t="b">
        <v>1</v>
      </c>
    </row>
    <row r="57">
      <c r="A57" s="31" t="s">
        <v>216</v>
      </c>
      <c r="B57" s="32" t="s">
        <v>217</v>
      </c>
      <c r="C57" s="33" t="b">
        <v>0</v>
      </c>
    </row>
    <row r="58">
      <c r="A58" s="31" t="s">
        <v>218</v>
      </c>
      <c r="B58" s="32" t="s">
        <v>219</v>
      </c>
      <c r="C58" s="33" t="b">
        <v>0</v>
      </c>
    </row>
    <row r="59">
      <c r="A59" s="31" t="s">
        <v>220</v>
      </c>
      <c r="B59" s="32" t="s">
        <v>221</v>
      </c>
      <c r="C59" s="33" t="b">
        <v>1</v>
      </c>
      <c r="D59" s="5" t="s">
        <v>222</v>
      </c>
    </row>
    <row r="60">
      <c r="A60" s="31" t="s">
        <v>223</v>
      </c>
      <c r="B60" s="32" t="s">
        <v>224</v>
      </c>
      <c r="C60" s="33" t="b">
        <v>1</v>
      </c>
    </row>
    <row r="61">
      <c r="A61" s="31" t="s">
        <v>225</v>
      </c>
      <c r="B61" s="32" t="s">
        <v>226</v>
      </c>
      <c r="C61" s="33" t="b">
        <v>1</v>
      </c>
    </row>
    <row r="62">
      <c r="A62" s="31" t="s">
        <v>227</v>
      </c>
      <c r="B62" s="32" t="s">
        <v>228</v>
      </c>
      <c r="C62" s="33" t="b">
        <v>0</v>
      </c>
    </row>
    <row r="63">
      <c r="A63" s="31" t="s">
        <v>229</v>
      </c>
      <c r="B63" s="32" t="s">
        <v>230</v>
      </c>
      <c r="C63" s="33" t="b">
        <v>0</v>
      </c>
    </row>
    <row r="64">
      <c r="A64" s="31" t="s">
        <v>231</v>
      </c>
      <c r="B64" s="32" t="s">
        <v>232</v>
      </c>
      <c r="C64" s="33" t="b">
        <v>0</v>
      </c>
    </row>
    <row r="65">
      <c r="A65" s="31" t="s">
        <v>233</v>
      </c>
      <c r="B65" s="32" t="s">
        <v>234</v>
      </c>
      <c r="C65" s="33" t="b">
        <v>0</v>
      </c>
    </row>
    <row r="66">
      <c r="A66" s="31" t="s">
        <v>235</v>
      </c>
      <c r="B66" s="32" t="s">
        <v>236</v>
      </c>
      <c r="C66" s="33" t="b">
        <v>0</v>
      </c>
    </row>
    <row r="67">
      <c r="A67" s="31" t="s">
        <v>237</v>
      </c>
      <c r="B67" s="32" t="s">
        <v>238</v>
      </c>
      <c r="C67" s="33" t="b">
        <v>1</v>
      </c>
    </row>
    <row r="68">
      <c r="A68" s="31" t="s">
        <v>239</v>
      </c>
      <c r="B68" s="32" t="s">
        <v>240</v>
      </c>
      <c r="C68" s="33" t="b">
        <v>0</v>
      </c>
    </row>
    <row r="69">
      <c r="A69" s="31" t="s">
        <v>241</v>
      </c>
      <c r="B69" s="32" t="s">
        <v>242</v>
      </c>
      <c r="C69" s="33" t="b">
        <v>0</v>
      </c>
    </row>
    <row r="70">
      <c r="A70" s="31" t="s">
        <v>243</v>
      </c>
      <c r="B70" s="32" t="s">
        <v>244</v>
      </c>
      <c r="C70" s="33" t="b">
        <v>1</v>
      </c>
    </row>
    <row r="71">
      <c r="A71" s="31" t="s">
        <v>245</v>
      </c>
      <c r="B71" s="32" t="s">
        <v>246</v>
      </c>
      <c r="C71" s="33" t="b">
        <v>1</v>
      </c>
    </row>
    <row r="72">
      <c r="A72" s="31" t="s">
        <v>247</v>
      </c>
      <c r="B72" s="32" t="s">
        <v>248</v>
      </c>
      <c r="C72" s="33" t="b">
        <v>0</v>
      </c>
    </row>
    <row r="73">
      <c r="A73" s="31" t="s">
        <v>249</v>
      </c>
      <c r="B73" s="32" t="s">
        <v>250</v>
      </c>
      <c r="C73" s="33" t="b">
        <v>0</v>
      </c>
    </row>
    <row r="74">
      <c r="A74" s="31" t="s">
        <v>251</v>
      </c>
      <c r="B74" s="32" t="s">
        <v>252</v>
      </c>
      <c r="C74" s="33" t="b">
        <v>0</v>
      </c>
    </row>
    <row r="75">
      <c r="A75" s="31" t="s">
        <v>253</v>
      </c>
      <c r="B75" s="32" t="s">
        <v>254</v>
      </c>
      <c r="C75" s="33" t="b">
        <v>1</v>
      </c>
      <c r="D75" s="5" t="s">
        <v>255</v>
      </c>
    </row>
    <row r="76">
      <c r="A76" s="31" t="s">
        <v>256</v>
      </c>
      <c r="B76" s="32" t="s">
        <v>257</v>
      </c>
      <c r="C76" s="33" t="b">
        <v>0</v>
      </c>
    </row>
    <row r="77">
      <c r="A77" s="31" t="s">
        <v>258</v>
      </c>
      <c r="B77" s="32" t="s">
        <v>259</v>
      </c>
      <c r="C77" s="33" t="b">
        <v>0</v>
      </c>
    </row>
    <row r="78">
      <c r="A78" s="31" t="s">
        <v>260</v>
      </c>
      <c r="B78" s="32" t="s">
        <v>261</v>
      </c>
      <c r="C78" s="33" t="b">
        <v>0</v>
      </c>
    </row>
    <row r="79">
      <c r="A79" s="31" t="s">
        <v>262</v>
      </c>
      <c r="B79" s="32" t="s">
        <v>263</v>
      </c>
      <c r="C79" s="33" t="b">
        <v>0</v>
      </c>
    </row>
    <row r="80">
      <c r="A80" s="31" t="s">
        <v>264</v>
      </c>
      <c r="B80" s="32" t="s">
        <v>265</v>
      </c>
      <c r="C80" s="33" t="b">
        <v>0</v>
      </c>
    </row>
    <row r="81">
      <c r="A81" s="31" t="s">
        <v>266</v>
      </c>
      <c r="B81" s="32" t="s">
        <v>267</v>
      </c>
      <c r="C81" s="33" t="b">
        <v>1</v>
      </c>
      <c r="D81" s="5" t="s">
        <v>268</v>
      </c>
    </row>
    <row r="82">
      <c r="A82" s="31" t="s">
        <v>269</v>
      </c>
      <c r="B82" s="32" t="s">
        <v>270</v>
      </c>
      <c r="C82" s="33" t="b">
        <v>1</v>
      </c>
    </row>
    <row r="83">
      <c r="A83" s="31" t="s">
        <v>271</v>
      </c>
      <c r="B83" s="32" t="s">
        <v>272</v>
      </c>
      <c r="C83" s="33" t="b">
        <v>0</v>
      </c>
    </row>
    <row r="84">
      <c r="A84" s="31" t="s">
        <v>273</v>
      </c>
      <c r="B84" s="32" t="s">
        <v>274</v>
      </c>
      <c r="C84" s="33" t="b">
        <v>0</v>
      </c>
    </row>
    <row r="85">
      <c r="A85" s="31" t="s">
        <v>275</v>
      </c>
      <c r="B85" s="32" t="s">
        <v>276</v>
      </c>
      <c r="C85" s="33" t="b">
        <v>0</v>
      </c>
      <c r="D85" s="5" t="s">
        <v>208</v>
      </c>
    </row>
    <row r="86">
      <c r="A86" s="31" t="s">
        <v>277</v>
      </c>
      <c r="B86" s="32" t="s">
        <v>278</v>
      </c>
      <c r="C86" s="33" t="b">
        <v>1</v>
      </c>
    </row>
    <row r="87">
      <c r="A87" s="31" t="s">
        <v>279</v>
      </c>
      <c r="B87" s="32" t="s">
        <v>280</v>
      </c>
      <c r="C87" s="33" t="b">
        <v>0</v>
      </c>
    </row>
    <row r="88">
      <c r="A88" s="31" t="s">
        <v>281</v>
      </c>
      <c r="B88" s="32" t="s">
        <v>282</v>
      </c>
      <c r="C88" s="33" t="b">
        <v>0</v>
      </c>
    </row>
    <row r="89">
      <c r="A89" s="31" t="s">
        <v>283</v>
      </c>
      <c r="B89" s="32" t="s">
        <v>284</v>
      </c>
      <c r="C89" s="33" t="b">
        <v>1</v>
      </c>
    </row>
    <row r="90">
      <c r="A90" s="31" t="s">
        <v>285</v>
      </c>
      <c r="B90" s="32" t="s">
        <v>286</v>
      </c>
      <c r="C90" s="33" t="b">
        <v>0</v>
      </c>
    </row>
    <row r="91">
      <c r="A91" s="31" t="s">
        <v>287</v>
      </c>
      <c r="B91" s="32" t="s">
        <v>288</v>
      </c>
      <c r="C91" s="33" t="b">
        <v>1</v>
      </c>
      <c r="D91" s="5" t="s">
        <v>289</v>
      </c>
    </row>
    <row r="92">
      <c r="A92" s="31" t="s">
        <v>290</v>
      </c>
      <c r="B92" s="32" t="s">
        <v>291</v>
      </c>
      <c r="C92" s="33" t="b">
        <v>0</v>
      </c>
    </row>
    <row r="93">
      <c r="A93" s="31" t="s">
        <v>292</v>
      </c>
      <c r="B93" s="32" t="s">
        <v>293</v>
      </c>
      <c r="C93" s="33" t="b">
        <v>0</v>
      </c>
    </row>
    <row r="94">
      <c r="A94" s="31" t="s">
        <v>294</v>
      </c>
      <c r="B94" s="32" t="s">
        <v>295</v>
      </c>
      <c r="C94" s="33" t="b">
        <v>0</v>
      </c>
    </row>
    <row r="95">
      <c r="A95" s="31" t="s">
        <v>296</v>
      </c>
      <c r="B95" s="32" t="s">
        <v>297</v>
      </c>
      <c r="C95" s="33" t="b">
        <v>1</v>
      </c>
    </row>
    <row r="96">
      <c r="A96" s="31" t="s">
        <v>298</v>
      </c>
      <c r="B96" s="32" t="s">
        <v>299</v>
      </c>
      <c r="C96" s="33" t="b">
        <v>0</v>
      </c>
    </row>
    <row r="97">
      <c r="A97" s="31" t="s">
        <v>300</v>
      </c>
      <c r="B97" s="32" t="s">
        <v>301</v>
      </c>
      <c r="C97" s="33" t="b">
        <v>1</v>
      </c>
      <c r="D97" s="5" t="s">
        <v>302</v>
      </c>
    </row>
    <row r="98">
      <c r="A98" s="31" t="s">
        <v>303</v>
      </c>
      <c r="B98" s="32" t="s">
        <v>304</v>
      </c>
      <c r="C98" s="33" t="b">
        <v>0</v>
      </c>
    </row>
    <row r="99">
      <c r="A99" s="31" t="s">
        <v>305</v>
      </c>
      <c r="B99" s="32" t="s">
        <v>306</v>
      </c>
      <c r="C99" s="33" t="b">
        <v>0</v>
      </c>
    </row>
    <row r="100">
      <c r="A100" s="31" t="s">
        <v>307</v>
      </c>
      <c r="B100" s="32" t="s">
        <v>308</v>
      </c>
      <c r="C100" s="33" t="b">
        <v>0</v>
      </c>
    </row>
    <row r="101">
      <c r="A101" s="31" t="s">
        <v>309</v>
      </c>
      <c r="B101" s="32" t="s">
        <v>310</v>
      </c>
      <c r="C101" s="33" t="b">
        <v>0</v>
      </c>
    </row>
  </sheetData>
  <dataValidations>
    <dataValidation type="list" allowBlank="1" showErrorMessage="1" sqref="C2:C101">
      <formula1>"TO DO,TRUE,FALSE,SKIP"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8" t="s">
        <v>88</v>
      </c>
      <c r="B1" s="29" t="s">
        <v>89</v>
      </c>
      <c r="C1" s="30" t="s">
        <v>90</v>
      </c>
      <c r="D1" s="23" t="s">
        <v>91</v>
      </c>
    </row>
    <row r="2">
      <c r="A2" s="31" t="s">
        <v>206</v>
      </c>
      <c r="B2" s="32" t="s">
        <v>207</v>
      </c>
      <c r="C2" s="33" t="s">
        <v>311</v>
      </c>
    </row>
    <row r="3">
      <c r="A3" s="31" t="s">
        <v>260</v>
      </c>
      <c r="B3" s="32" t="s">
        <v>261</v>
      </c>
      <c r="C3" s="33" t="s">
        <v>311</v>
      </c>
    </row>
    <row r="4">
      <c r="A4" s="31" t="s">
        <v>287</v>
      </c>
      <c r="B4" s="32" t="s">
        <v>288</v>
      </c>
      <c r="C4" s="33" t="s">
        <v>311</v>
      </c>
    </row>
    <row r="5">
      <c r="A5" s="31" t="s">
        <v>204</v>
      </c>
      <c r="B5" s="32" t="s">
        <v>205</v>
      </c>
      <c r="C5" s="33" t="s">
        <v>311</v>
      </c>
    </row>
    <row r="6">
      <c r="A6" s="31" t="s">
        <v>253</v>
      </c>
      <c r="B6" s="32" t="s">
        <v>254</v>
      </c>
      <c r="C6" s="33" t="s">
        <v>311</v>
      </c>
    </row>
    <row r="7">
      <c r="A7" s="31" t="s">
        <v>139</v>
      </c>
      <c r="B7" s="32" t="s">
        <v>140</v>
      </c>
      <c r="C7" s="33" t="s">
        <v>311</v>
      </c>
    </row>
    <row r="8">
      <c r="A8" s="31" t="s">
        <v>172</v>
      </c>
      <c r="B8" s="32" t="s">
        <v>173</v>
      </c>
      <c r="C8" s="33" t="s">
        <v>311</v>
      </c>
    </row>
    <row r="9">
      <c r="A9" s="31" t="s">
        <v>300</v>
      </c>
      <c r="B9" s="32" t="s">
        <v>301</v>
      </c>
      <c r="C9" s="33" t="s">
        <v>311</v>
      </c>
    </row>
    <row r="10">
      <c r="A10" s="31" t="s">
        <v>285</v>
      </c>
      <c r="B10" s="32" t="s">
        <v>286</v>
      </c>
      <c r="C10" s="33" t="s">
        <v>311</v>
      </c>
    </row>
    <row r="11">
      <c r="A11" s="31" t="s">
        <v>225</v>
      </c>
      <c r="B11" s="32" t="s">
        <v>226</v>
      </c>
      <c r="C11" s="33" t="s">
        <v>311</v>
      </c>
    </row>
    <row r="12">
      <c r="A12" s="31" t="s">
        <v>249</v>
      </c>
      <c r="B12" s="32" t="s">
        <v>250</v>
      </c>
      <c r="C12" s="33" t="s">
        <v>311</v>
      </c>
    </row>
    <row r="13">
      <c r="A13" s="31" t="s">
        <v>134</v>
      </c>
      <c r="B13" s="32" t="s">
        <v>135</v>
      </c>
      <c r="C13" s="33" t="s">
        <v>311</v>
      </c>
    </row>
    <row r="14">
      <c r="A14" s="31" t="s">
        <v>290</v>
      </c>
      <c r="B14" s="32" t="s">
        <v>291</v>
      </c>
      <c r="C14" s="33" t="s">
        <v>311</v>
      </c>
    </row>
    <row r="15">
      <c r="A15" s="31" t="s">
        <v>195</v>
      </c>
      <c r="B15" s="32" t="s">
        <v>196</v>
      </c>
      <c r="C15" s="33" t="s">
        <v>311</v>
      </c>
    </row>
    <row r="16">
      <c r="A16" s="31" t="s">
        <v>241</v>
      </c>
      <c r="B16" s="32" t="s">
        <v>242</v>
      </c>
      <c r="C16" s="33" t="s">
        <v>311</v>
      </c>
    </row>
    <row r="17">
      <c r="A17" s="31" t="s">
        <v>229</v>
      </c>
      <c r="B17" s="32" t="s">
        <v>230</v>
      </c>
      <c r="C17" s="33" t="s">
        <v>311</v>
      </c>
    </row>
    <row r="18">
      <c r="A18" s="31" t="s">
        <v>167</v>
      </c>
      <c r="B18" s="32" t="s">
        <v>168</v>
      </c>
      <c r="C18" s="33" t="s">
        <v>311</v>
      </c>
    </row>
    <row r="19">
      <c r="A19" s="31" t="s">
        <v>214</v>
      </c>
      <c r="B19" s="32" t="s">
        <v>215</v>
      </c>
      <c r="C19" s="33" t="s">
        <v>311</v>
      </c>
    </row>
    <row r="20">
      <c r="A20" s="31" t="s">
        <v>115</v>
      </c>
      <c r="B20" s="32" t="s">
        <v>116</v>
      </c>
      <c r="C20" s="33" t="s">
        <v>311</v>
      </c>
    </row>
    <row r="21">
      <c r="A21" s="31" t="s">
        <v>303</v>
      </c>
      <c r="B21" s="32" t="s">
        <v>304</v>
      </c>
      <c r="C21" s="33" t="s">
        <v>311</v>
      </c>
    </row>
    <row r="22">
      <c r="A22" s="31" t="s">
        <v>199</v>
      </c>
      <c r="B22" s="32" t="s">
        <v>200</v>
      </c>
      <c r="C22" s="33" t="s">
        <v>311</v>
      </c>
    </row>
    <row r="23">
      <c r="A23" s="31" t="s">
        <v>145</v>
      </c>
      <c r="B23" s="32" t="s">
        <v>146</v>
      </c>
      <c r="C23" s="33" t="s">
        <v>311</v>
      </c>
    </row>
    <row r="24">
      <c r="A24" s="31" t="s">
        <v>283</v>
      </c>
      <c r="B24" s="32" t="s">
        <v>284</v>
      </c>
      <c r="C24" s="33" t="s">
        <v>311</v>
      </c>
    </row>
    <row r="25">
      <c r="A25" s="31" t="s">
        <v>118</v>
      </c>
      <c r="B25" s="32" t="s">
        <v>119</v>
      </c>
      <c r="C25" s="33" t="s">
        <v>311</v>
      </c>
    </row>
    <row r="26">
      <c r="A26" s="31" t="s">
        <v>184</v>
      </c>
      <c r="B26" s="32" t="s">
        <v>185</v>
      </c>
      <c r="C26" s="33" t="s">
        <v>311</v>
      </c>
    </row>
    <row r="27">
      <c r="A27" s="31" t="s">
        <v>124</v>
      </c>
      <c r="B27" s="32" t="s">
        <v>125</v>
      </c>
      <c r="C27" s="33" t="s">
        <v>311</v>
      </c>
    </row>
    <row r="28">
      <c r="A28" s="31" t="s">
        <v>92</v>
      </c>
      <c r="B28" s="32" t="s">
        <v>93</v>
      </c>
      <c r="C28" s="33" t="s">
        <v>311</v>
      </c>
    </row>
    <row r="29">
      <c r="A29" s="31" t="s">
        <v>151</v>
      </c>
      <c r="B29" s="32" t="s">
        <v>152</v>
      </c>
      <c r="C29" s="33" t="s">
        <v>311</v>
      </c>
    </row>
    <row r="30">
      <c r="A30" s="31" t="s">
        <v>104</v>
      </c>
      <c r="B30" s="32" t="s">
        <v>105</v>
      </c>
      <c r="C30" s="33" t="s">
        <v>311</v>
      </c>
    </row>
    <row r="31">
      <c r="A31" s="31" t="s">
        <v>296</v>
      </c>
      <c r="B31" s="32" t="s">
        <v>297</v>
      </c>
      <c r="C31" s="33" t="s">
        <v>311</v>
      </c>
    </row>
    <row r="32">
      <c r="A32" s="31" t="s">
        <v>298</v>
      </c>
      <c r="B32" s="32" t="s">
        <v>299</v>
      </c>
      <c r="C32" s="33" t="s">
        <v>311</v>
      </c>
    </row>
    <row r="33">
      <c r="A33" s="31" t="s">
        <v>197</v>
      </c>
      <c r="B33" s="32" t="s">
        <v>198</v>
      </c>
      <c r="C33" s="33" t="s">
        <v>311</v>
      </c>
    </row>
    <row r="34">
      <c r="A34" s="31" t="s">
        <v>239</v>
      </c>
      <c r="B34" s="32" t="s">
        <v>240</v>
      </c>
      <c r="C34" s="33" t="s">
        <v>311</v>
      </c>
    </row>
    <row r="35">
      <c r="A35" s="31" t="s">
        <v>269</v>
      </c>
      <c r="B35" s="32" t="s">
        <v>270</v>
      </c>
      <c r="C35" s="33" t="s">
        <v>311</v>
      </c>
    </row>
    <row r="36">
      <c r="A36" s="31" t="s">
        <v>231</v>
      </c>
      <c r="B36" s="32" t="s">
        <v>232</v>
      </c>
      <c r="C36" s="33" t="s">
        <v>311</v>
      </c>
    </row>
    <row r="37">
      <c r="A37" s="31" t="s">
        <v>165</v>
      </c>
      <c r="B37" s="32" t="s">
        <v>166</v>
      </c>
      <c r="C37" s="33" t="s">
        <v>311</v>
      </c>
    </row>
    <row r="38">
      <c r="A38" s="31" t="s">
        <v>182</v>
      </c>
      <c r="B38" s="32" t="s">
        <v>183</v>
      </c>
      <c r="C38" s="33" t="s">
        <v>311</v>
      </c>
    </row>
    <row r="39">
      <c r="A39" s="31" t="s">
        <v>161</v>
      </c>
      <c r="B39" s="32" t="s">
        <v>162</v>
      </c>
      <c r="C39" s="33" t="s">
        <v>311</v>
      </c>
    </row>
    <row r="40">
      <c r="A40" s="31" t="s">
        <v>271</v>
      </c>
      <c r="B40" s="32" t="s">
        <v>272</v>
      </c>
      <c r="C40" s="33" t="s">
        <v>311</v>
      </c>
    </row>
    <row r="41">
      <c r="A41" s="31" t="s">
        <v>218</v>
      </c>
      <c r="B41" s="32" t="s">
        <v>219</v>
      </c>
      <c r="C41" s="33" t="s">
        <v>311</v>
      </c>
    </row>
    <row r="42">
      <c r="A42" s="31" t="s">
        <v>96</v>
      </c>
      <c r="B42" s="32" t="s">
        <v>97</v>
      </c>
      <c r="C42" s="33" t="s">
        <v>311</v>
      </c>
    </row>
    <row r="43">
      <c r="A43" s="31" t="s">
        <v>99</v>
      </c>
      <c r="B43" s="32" t="s">
        <v>100</v>
      </c>
      <c r="C43" s="33" t="s">
        <v>311</v>
      </c>
    </row>
    <row r="44">
      <c r="A44" s="31" t="s">
        <v>106</v>
      </c>
      <c r="B44" s="32" t="s">
        <v>107</v>
      </c>
      <c r="C44" s="33" t="s">
        <v>311</v>
      </c>
    </row>
    <row r="45">
      <c r="A45" s="31" t="s">
        <v>101</v>
      </c>
      <c r="B45" s="32" t="s">
        <v>102</v>
      </c>
      <c r="C45" s="33" t="s">
        <v>311</v>
      </c>
    </row>
    <row r="46">
      <c r="A46" s="31" t="s">
        <v>256</v>
      </c>
      <c r="B46" s="32" t="s">
        <v>257</v>
      </c>
      <c r="C46" s="33" t="s">
        <v>311</v>
      </c>
    </row>
    <row r="47">
      <c r="A47" s="31" t="s">
        <v>120</v>
      </c>
      <c r="B47" s="32" t="s">
        <v>121</v>
      </c>
      <c r="C47" s="33" t="s">
        <v>311</v>
      </c>
    </row>
    <row r="48">
      <c r="A48" s="31" t="s">
        <v>137</v>
      </c>
      <c r="B48" s="32" t="s">
        <v>138</v>
      </c>
      <c r="C48" s="33" t="s">
        <v>311</v>
      </c>
    </row>
    <row r="49">
      <c r="A49" s="31" t="s">
        <v>266</v>
      </c>
      <c r="B49" s="32" t="s">
        <v>267</v>
      </c>
      <c r="C49" s="33" t="s">
        <v>311</v>
      </c>
    </row>
    <row r="50">
      <c r="A50" s="31" t="s">
        <v>94</v>
      </c>
      <c r="B50" s="32" t="s">
        <v>95</v>
      </c>
      <c r="C50" s="33" t="s">
        <v>311</v>
      </c>
    </row>
    <row r="51">
      <c r="A51" s="31" t="s">
        <v>247</v>
      </c>
      <c r="B51" s="32" t="s">
        <v>248</v>
      </c>
      <c r="C51" s="33" t="s">
        <v>311</v>
      </c>
    </row>
    <row r="52">
      <c r="A52" s="31" t="s">
        <v>158</v>
      </c>
      <c r="B52" s="32" t="s">
        <v>159</v>
      </c>
      <c r="C52" s="33" t="s">
        <v>311</v>
      </c>
    </row>
    <row r="53">
      <c r="A53" s="31" t="s">
        <v>153</v>
      </c>
      <c r="B53" s="32" t="s">
        <v>154</v>
      </c>
      <c r="C53" s="33" t="s">
        <v>311</v>
      </c>
    </row>
    <row r="54">
      <c r="A54" s="31" t="s">
        <v>273</v>
      </c>
      <c r="B54" s="32" t="s">
        <v>274</v>
      </c>
      <c r="C54" s="33" t="s">
        <v>311</v>
      </c>
    </row>
    <row r="55">
      <c r="A55" s="31" t="s">
        <v>220</v>
      </c>
      <c r="B55" s="32" t="s">
        <v>221</v>
      </c>
      <c r="C55" s="33" t="s">
        <v>311</v>
      </c>
    </row>
    <row r="56">
      <c r="A56" s="31" t="s">
        <v>193</v>
      </c>
      <c r="B56" s="32" t="s">
        <v>194</v>
      </c>
      <c r="C56" s="33" t="s">
        <v>311</v>
      </c>
    </row>
    <row r="57">
      <c r="A57" s="31" t="s">
        <v>176</v>
      </c>
      <c r="B57" s="32" t="s">
        <v>177</v>
      </c>
      <c r="C57" s="33" t="s">
        <v>311</v>
      </c>
    </row>
    <row r="58">
      <c r="A58" s="31" t="s">
        <v>149</v>
      </c>
      <c r="B58" s="32" t="s">
        <v>150</v>
      </c>
      <c r="C58" s="33" t="s">
        <v>311</v>
      </c>
    </row>
    <row r="59">
      <c r="A59" s="31" t="s">
        <v>191</v>
      </c>
      <c r="B59" s="32" t="s">
        <v>192</v>
      </c>
      <c r="C59" s="33" t="s">
        <v>311</v>
      </c>
    </row>
    <row r="60">
      <c r="A60" s="31" t="s">
        <v>275</v>
      </c>
      <c r="B60" s="32" t="s">
        <v>276</v>
      </c>
      <c r="C60" s="33" t="s">
        <v>311</v>
      </c>
    </row>
    <row r="61">
      <c r="A61" s="31" t="s">
        <v>305</v>
      </c>
      <c r="B61" s="32" t="s">
        <v>306</v>
      </c>
      <c r="C61" s="33" t="s">
        <v>311</v>
      </c>
    </row>
    <row r="62">
      <c r="A62" s="31" t="s">
        <v>187</v>
      </c>
      <c r="B62" s="32" t="s">
        <v>188</v>
      </c>
      <c r="C62" s="33" t="s">
        <v>311</v>
      </c>
    </row>
    <row r="63">
      <c r="A63" s="31" t="s">
        <v>126</v>
      </c>
      <c r="B63" s="32" t="s">
        <v>127</v>
      </c>
      <c r="C63" s="33" t="s">
        <v>311</v>
      </c>
    </row>
    <row r="64">
      <c r="A64" s="31" t="s">
        <v>108</v>
      </c>
      <c r="B64" s="32" t="s">
        <v>109</v>
      </c>
      <c r="C64" s="33" t="s">
        <v>311</v>
      </c>
    </row>
    <row r="65">
      <c r="A65" s="31" t="s">
        <v>307</v>
      </c>
      <c r="B65" s="32" t="s">
        <v>308</v>
      </c>
      <c r="C65" s="33" t="s">
        <v>311</v>
      </c>
    </row>
    <row r="66">
      <c r="A66" s="31" t="s">
        <v>132</v>
      </c>
      <c r="B66" s="32" t="s">
        <v>133</v>
      </c>
      <c r="C66" s="33" t="s">
        <v>311</v>
      </c>
    </row>
    <row r="67">
      <c r="A67" s="31" t="s">
        <v>169</v>
      </c>
      <c r="B67" s="32" t="s">
        <v>170</v>
      </c>
      <c r="C67" s="33" t="s">
        <v>311</v>
      </c>
    </row>
    <row r="68">
      <c r="A68" s="31" t="s">
        <v>178</v>
      </c>
      <c r="B68" s="32" t="s">
        <v>179</v>
      </c>
      <c r="C68" s="33" t="s">
        <v>311</v>
      </c>
    </row>
    <row r="69">
      <c r="A69" s="31" t="s">
        <v>202</v>
      </c>
      <c r="B69" s="32" t="s">
        <v>203</v>
      </c>
      <c r="C69" s="33" t="s">
        <v>311</v>
      </c>
    </row>
    <row r="70">
      <c r="A70" s="31" t="s">
        <v>147</v>
      </c>
      <c r="B70" s="32" t="s">
        <v>148</v>
      </c>
      <c r="C70" s="33" t="s">
        <v>311</v>
      </c>
    </row>
    <row r="71">
      <c r="A71" s="31" t="s">
        <v>227</v>
      </c>
      <c r="B71" s="32" t="s">
        <v>228</v>
      </c>
      <c r="C71" s="33" t="s">
        <v>311</v>
      </c>
    </row>
    <row r="72">
      <c r="A72" s="31" t="s">
        <v>262</v>
      </c>
      <c r="B72" s="32" t="s">
        <v>263</v>
      </c>
      <c r="C72" s="33" t="s">
        <v>311</v>
      </c>
    </row>
    <row r="73">
      <c r="A73" s="31" t="s">
        <v>251</v>
      </c>
      <c r="B73" s="32" t="s">
        <v>252</v>
      </c>
      <c r="C73" s="33" t="s">
        <v>311</v>
      </c>
    </row>
    <row r="74">
      <c r="A74" s="31" t="s">
        <v>294</v>
      </c>
      <c r="B74" s="32" t="s">
        <v>295</v>
      </c>
      <c r="C74" s="33" t="s">
        <v>311</v>
      </c>
    </row>
    <row r="75">
      <c r="A75" s="31" t="s">
        <v>216</v>
      </c>
      <c r="B75" s="32" t="s">
        <v>217</v>
      </c>
      <c r="C75" s="33" t="s">
        <v>311</v>
      </c>
    </row>
    <row r="76">
      <c r="A76" s="31" t="s">
        <v>258</v>
      </c>
      <c r="B76" s="32" t="s">
        <v>259</v>
      </c>
      <c r="C76" s="33" t="s">
        <v>311</v>
      </c>
    </row>
    <row r="77">
      <c r="A77" s="31" t="s">
        <v>277</v>
      </c>
      <c r="B77" s="32" t="s">
        <v>278</v>
      </c>
      <c r="C77" s="33" t="s">
        <v>311</v>
      </c>
    </row>
    <row r="78">
      <c r="A78" s="31" t="s">
        <v>309</v>
      </c>
      <c r="B78" s="32" t="s">
        <v>310</v>
      </c>
      <c r="C78" s="33" t="s">
        <v>311</v>
      </c>
    </row>
    <row r="79">
      <c r="A79" s="31" t="s">
        <v>223</v>
      </c>
      <c r="B79" s="32" t="s">
        <v>224</v>
      </c>
      <c r="C79" s="33" t="s">
        <v>311</v>
      </c>
    </row>
    <row r="80">
      <c r="A80" s="31" t="s">
        <v>281</v>
      </c>
      <c r="B80" s="32" t="s">
        <v>282</v>
      </c>
      <c r="C80" s="33" t="s">
        <v>311</v>
      </c>
    </row>
    <row r="81">
      <c r="A81" s="31" t="s">
        <v>243</v>
      </c>
      <c r="B81" s="32" t="s">
        <v>244</v>
      </c>
      <c r="C81" s="33" t="s">
        <v>311</v>
      </c>
    </row>
    <row r="82">
      <c r="A82" s="31" t="s">
        <v>233</v>
      </c>
      <c r="B82" s="32" t="s">
        <v>234</v>
      </c>
      <c r="C82" s="33" t="s">
        <v>311</v>
      </c>
    </row>
    <row r="83">
      <c r="A83" s="31" t="s">
        <v>211</v>
      </c>
      <c r="B83" s="32" t="s">
        <v>212</v>
      </c>
      <c r="C83" s="33" t="s">
        <v>311</v>
      </c>
    </row>
    <row r="84">
      <c r="A84" s="31" t="s">
        <v>143</v>
      </c>
      <c r="B84" s="32" t="s">
        <v>144</v>
      </c>
      <c r="C84" s="33" t="s">
        <v>311</v>
      </c>
    </row>
    <row r="85">
      <c r="A85" s="31" t="s">
        <v>156</v>
      </c>
      <c r="B85" s="32" t="s">
        <v>157</v>
      </c>
      <c r="C85" s="33" t="s">
        <v>311</v>
      </c>
    </row>
    <row r="86">
      <c r="A86" s="31" t="s">
        <v>122</v>
      </c>
      <c r="B86" s="32" t="s">
        <v>123</v>
      </c>
      <c r="C86" s="33" t="s">
        <v>311</v>
      </c>
    </row>
    <row r="87">
      <c r="A87" s="31" t="s">
        <v>292</v>
      </c>
      <c r="B87" s="32" t="s">
        <v>293</v>
      </c>
      <c r="C87" s="33" t="s">
        <v>311</v>
      </c>
    </row>
    <row r="88">
      <c r="A88" s="31" t="s">
        <v>112</v>
      </c>
      <c r="B88" s="32" t="s">
        <v>113</v>
      </c>
      <c r="C88" s="33" t="s">
        <v>311</v>
      </c>
    </row>
    <row r="89">
      <c r="A89" s="31" t="s">
        <v>110</v>
      </c>
      <c r="B89" s="32" t="s">
        <v>111</v>
      </c>
      <c r="C89" s="33" t="s">
        <v>311</v>
      </c>
    </row>
    <row r="90">
      <c r="A90" s="31" t="s">
        <v>141</v>
      </c>
      <c r="B90" s="32" t="s">
        <v>142</v>
      </c>
      <c r="C90" s="33" t="s">
        <v>311</v>
      </c>
    </row>
    <row r="91">
      <c r="A91" s="31" t="s">
        <v>279</v>
      </c>
      <c r="B91" s="32" t="s">
        <v>280</v>
      </c>
      <c r="C91" s="33" t="s">
        <v>311</v>
      </c>
    </row>
    <row r="92">
      <c r="A92" s="31" t="s">
        <v>235</v>
      </c>
      <c r="B92" s="32" t="s">
        <v>236</v>
      </c>
      <c r="C92" s="33" t="s">
        <v>311</v>
      </c>
    </row>
    <row r="93">
      <c r="A93" s="31" t="s">
        <v>264</v>
      </c>
      <c r="B93" s="32" t="s">
        <v>265</v>
      </c>
      <c r="C93" s="33" t="s">
        <v>311</v>
      </c>
    </row>
    <row r="94">
      <c r="A94" s="31" t="s">
        <v>237</v>
      </c>
      <c r="B94" s="32" t="s">
        <v>238</v>
      </c>
      <c r="C94" s="33" t="s">
        <v>311</v>
      </c>
    </row>
    <row r="95">
      <c r="A95" s="31" t="s">
        <v>174</v>
      </c>
      <c r="B95" s="32" t="s">
        <v>175</v>
      </c>
      <c r="C95" s="33" t="s">
        <v>311</v>
      </c>
    </row>
    <row r="96">
      <c r="A96" s="31" t="s">
        <v>245</v>
      </c>
      <c r="B96" s="32" t="s">
        <v>246</v>
      </c>
      <c r="C96" s="33" t="s">
        <v>311</v>
      </c>
    </row>
    <row r="97">
      <c r="A97" s="31" t="s">
        <v>209</v>
      </c>
      <c r="B97" s="32" t="s">
        <v>210</v>
      </c>
      <c r="C97" s="33" t="s">
        <v>311</v>
      </c>
    </row>
    <row r="98">
      <c r="A98" s="31" t="s">
        <v>129</v>
      </c>
      <c r="B98" s="32" t="s">
        <v>130</v>
      </c>
      <c r="C98" s="33" t="s">
        <v>311</v>
      </c>
    </row>
    <row r="99">
      <c r="A99" s="31" t="s">
        <v>163</v>
      </c>
      <c r="B99" s="32" t="s">
        <v>164</v>
      </c>
      <c r="C99" s="33" t="s">
        <v>311</v>
      </c>
    </row>
    <row r="100">
      <c r="A100" s="31" t="s">
        <v>180</v>
      </c>
      <c r="B100" s="32" t="s">
        <v>181</v>
      </c>
      <c r="C100" s="33" t="s">
        <v>311</v>
      </c>
    </row>
    <row r="101">
      <c r="A101" s="31" t="s">
        <v>189</v>
      </c>
      <c r="B101" s="32" t="s">
        <v>190</v>
      </c>
      <c r="C101" s="33" t="s">
        <v>311</v>
      </c>
    </row>
  </sheetData>
  <dataValidations>
    <dataValidation type="list" allowBlank="1" showErrorMessage="1" sqref="C2:C101">
      <formula1>"TO DO,TRUE,FALSE,SKIP"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8" t="s">
        <v>88</v>
      </c>
      <c r="B1" s="29" t="s">
        <v>89</v>
      </c>
      <c r="C1" s="30" t="s">
        <v>90</v>
      </c>
      <c r="D1" s="23" t="s">
        <v>91</v>
      </c>
    </row>
    <row r="2">
      <c r="A2" s="31" t="s">
        <v>172</v>
      </c>
      <c r="B2" s="32" t="s">
        <v>173</v>
      </c>
      <c r="C2" s="33" t="s">
        <v>311</v>
      </c>
    </row>
    <row r="3">
      <c r="A3" s="31" t="s">
        <v>239</v>
      </c>
      <c r="B3" s="32" t="s">
        <v>240</v>
      </c>
      <c r="C3" s="33" t="s">
        <v>311</v>
      </c>
    </row>
    <row r="4">
      <c r="A4" s="31" t="s">
        <v>211</v>
      </c>
      <c r="B4" s="32" t="s">
        <v>212</v>
      </c>
      <c r="C4" s="33" t="s">
        <v>311</v>
      </c>
    </row>
    <row r="5">
      <c r="A5" s="31" t="s">
        <v>101</v>
      </c>
      <c r="B5" s="32" t="s">
        <v>102</v>
      </c>
      <c r="C5" s="33" t="s">
        <v>311</v>
      </c>
    </row>
    <row r="6">
      <c r="A6" s="31" t="s">
        <v>124</v>
      </c>
      <c r="B6" s="32" t="s">
        <v>125</v>
      </c>
      <c r="C6" s="33" t="s">
        <v>311</v>
      </c>
    </row>
    <row r="7">
      <c r="A7" s="31" t="s">
        <v>132</v>
      </c>
      <c r="B7" s="32" t="s">
        <v>133</v>
      </c>
      <c r="C7" s="33" t="s">
        <v>311</v>
      </c>
    </row>
    <row r="8">
      <c r="A8" s="31" t="s">
        <v>296</v>
      </c>
      <c r="B8" s="32" t="s">
        <v>297</v>
      </c>
      <c r="C8" s="33" t="s">
        <v>311</v>
      </c>
    </row>
    <row r="9">
      <c r="A9" s="31" t="s">
        <v>251</v>
      </c>
      <c r="B9" s="32" t="s">
        <v>252</v>
      </c>
      <c r="C9" s="33" t="s">
        <v>311</v>
      </c>
    </row>
    <row r="10">
      <c r="A10" s="31" t="s">
        <v>218</v>
      </c>
      <c r="B10" s="32" t="s">
        <v>219</v>
      </c>
      <c r="C10" s="33" t="s">
        <v>311</v>
      </c>
    </row>
    <row r="11">
      <c r="A11" s="31" t="s">
        <v>199</v>
      </c>
      <c r="B11" s="32" t="s">
        <v>200</v>
      </c>
      <c r="C11" s="33" t="s">
        <v>311</v>
      </c>
    </row>
    <row r="12">
      <c r="A12" s="31" t="s">
        <v>214</v>
      </c>
      <c r="B12" s="32" t="s">
        <v>215</v>
      </c>
      <c r="C12" s="33" t="s">
        <v>311</v>
      </c>
    </row>
    <row r="13">
      <c r="A13" s="31" t="s">
        <v>104</v>
      </c>
      <c r="B13" s="32" t="s">
        <v>105</v>
      </c>
      <c r="C13" s="33" t="s">
        <v>311</v>
      </c>
    </row>
    <row r="14">
      <c r="A14" s="31" t="s">
        <v>292</v>
      </c>
      <c r="B14" s="32" t="s">
        <v>293</v>
      </c>
      <c r="C14" s="33" t="s">
        <v>311</v>
      </c>
    </row>
    <row r="15">
      <c r="A15" s="31" t="s">
        <v>174</v>
      </c>
      <c r="B15" s="32" t="s">
        <v>175</v>
      </c>
      <c r="C15" s="33" t="s">
        <v>311</v>
      </c>
    </row>
    <row r="16">
      <c r="A16" s="31" t="s">
        <v>264</v>
      </c>
      <c r="B16" s="32" t="s">
        <v>265</v>
      </c>
      <c r="C16" s="33" t="s">
        <v>311</v>
      </c>
    </row>
    <row r="17">
      <c r="A17" s="31" t="s">
        <v>115</v>
      </c>
      <c r="B17" s="32" t="s">
        <v>116</v>
      </c>
      <c r="C17" s="33" t="s">
        <v>311</v>
      </c>
    </row>
    <row r="18">
      <c r="A18" s="31" t="s">
        <v>241</v>
      </c>
      <c r="B18" s="32" t="s">
        <v>242</v>
      </c>
      <c r="C18" s="33" t="s">
        <v>311</v>
      </c>
    </row>
    <row r="19">
      <c r="A19" s="31" t="s">
        <v>106</v>
      </c>
      <c r="B19" s="32" t="s">
        <v>107</v>
      </c>
      <c r="C19" s="33" t="s">
        <v>311</v>
      </c>
    </row>
    <row r="20">
      <c r="A20" s="31" t="s">
        <v>303</v>
      </c>
      <c r="B20" s="32" t="s">
        <v>304</v>
      </c>
      <c r="C20" s="33" t="s">
        <v>311</v>
      </c>
    </row>
    <row r="21">
      <c r="A21" s="31" t="s">
        <v>231</v>
      </c>
      <c r="B21" s="32" t="s">
        <v>232</v>
      </c>
      <c r="C21" s="33" t="s">
        <v>311</v>
      </c>
    </row>
    <row r="22">
      <c r="A22" s="31" t="s">
        <v>206</v>
      </c>
      <c r="B22" s="32" t="s">
        <v>207</v>
      </c>
      <c r="C22" s="33" t="s">
        <v>311</v>
      </c>
    </row>
    <row r="23">
      <c r="A23" s="31" t="s">
        <v>129</v>
      </c>
      <c r="B23" s="32" t="s">
        <v>130</v>
      </c>
      <c r="C23" s="33" t="s">
        <v>311</v>
      </c>
    </row>
    <row r="24">
      <c r="A24" s="31" t="s">
        <v>309</v>
      </c>
      <c r="B24" s="32" t="s">
        <v>310</v>
      </c>
      <c r="C24" s="33" t="s">
        <v>311</v>
      </c>
    </row>
    <row r="25">
      <c r="A25" s="31" t="s">
        <v>290</v>
      </c>
      <c r="B25" s="32" t="s">
        <v>291</v>
      </c>
      <c r="C25" s="33" t="s">
        <v>311</v>
      </c>
    </row>
    <row r="26">
      <c r="A26" s="31" t="s">
        <v>169</v>
      </c>
      <c r="B26" s="32" t="s">
        <v>170</v>
      </c>
      <c r="C26" s="33" t="s">
        <v>311</v>
      </c>
    </row>
    <row r="27">
      <c r="A27" s="31" t="s">
        <v>147</v>
      </c>
      <c r="B27" s="32" t="s">
        <v>148</v>
      </c>
      <c r="C27" s="33" t="s">
        <v>311</v>
      </c>
    </row>
    <row r="28">
      <c r="A28" s="31" t="s">
        <v>151</v>
      </c>
      <c r="B28" s="32" t="s">
        <v>152</v>
      </c>
      <c r="C28" s="33" t="s">
        <v>311</v>
      </c>
    </row>
    <row r="29">
      <c r="A29" s="31" t="s">
        <v>223</v>
      </c>
      <c r="B29" s="32" t="s">
        <v>224</v>
      </c>
      <c r="C29" s="33" t="s">
        <v>311</v>
      </c>
    </row>
    <row r="30">
      <c r="A30" s="31" t="s">
        <v>202</v>
      </c>
      <c r="B30" s="32" t="s">
        <v>203</v>
      </c>
      <c r="C30" s="33" t="s">
        <v>311</v>
      </c>
    </row>
    <row r="31">
      <c r="A31" s="31" t="s">
        <v>141</v>
      </c>
      <c r="B31" s="32" t="s">
        <v>142</v>
      </c>
      <c r="C31" s="33" t="s">
        <v>311</v>
      </c>
    </row>
    <row r="32">
      <c r="A32" s="31" t="s">
        <v>176</v>
      </c>
      <c r="B32" s="32" t="s">
        <v>177</v>
      </c>
      <c r="C32" s="33" t="s">
        <v>311</v>
      </c>
    </row>
    <row r="33">
      <c r="A33" s="31" t="s">
        <v>126</v>
      </c>
      <c r="B33" s="32" t="s">
        <v>127</v>
      </c>
      <c r="C33" s="33" t="s">
        <v>311</v>
      </c>
    </row>
    <row r="34">
      <c r="A34" s="31" t="s">
        <v>262</v>
      </c>
      <c r="B34" s="32" t="s">
        <v>263</v>
      </c>
      <c r="C34" s="33" t="s">
        <v>311</v>
      </c>
    </row>
    <row r="35">
      <c r="A35" s="31" t="s">
        <v>275</v>
      </c>
      <c r="B35" s="32" t="s">
        <v>276</v>
      </c>
      <c r="C35" s="33" t="s">
        <v>311</v>
      </c>
    </row>
    <row r="36">
      <c r="A36" s="31" t="s">
        <v>118</v>
      </c>
      <c r="B36" s="32" t="s">
        <v>119</v>
      </c>
      <c r="C36" s="33" t="s">
        <v>311</v>
      </c>
    </row>
    <row r="37">
      <c r="A37" s="31" t="s">
        <v>189</v>
      </c>
      <c r="B37" s="32" t="s">
        <v>190</v>
      </c>
      <c r="C37" s="33" t="s">
        <v>311</v>
      </c>
    </row>
    <row r="38">
      <c r="A38" s="31" t="s">
        <v>178</v>
      </c>
      <c r="B38" s="32" t="s">
        <v>179</v>
      </c>
      <c r="C38" s="33" t="s">
        <v>311</v>
      </c>
    </row>
    <row r="39">
      <c r="A39" s="31" t="s">
        <v>191</v>
      </c>
      <c r="B39" s="32" t="s">
        <v>192</v>
      </c>
      <c r="C39" s="33" t="s">
        <v>311</v>
      </c>
    </row>
    <row r="40">
      <c r="A40" s="31" t="s">
        <v>283</v>
      </c>
      <c r="B40" s="32" t="s">
        <v>284</v>
      </c>
      <c r="C40" s="33" t="s">
        <v>311</v>
      </c>
    </row>
    <row r="41">
      <c r="A41" s="31" t="s">
        <v>233</v>
      </c>
      <c r="B41" s="32" t="s">
        <v>234</v>
      </c>
      <c r="C41" s="33" t="s">
        <v>311</v>
      </c>
    </row>
    <row r="42">
      <c r="A42" s="31" t="s">
        <v>253</v>
      </c>
      <c r="B42" s="32" t="s">
        <v>254</v>
      </c>
      <c r="C42" s="33" t="s">
        <v>311</v>
      </c>
    </row>
    <row r="43">
      <c r="A43" s="31" t="s">
        <v>158</v>
      </c>
      <c r="B43" s="32" t="s">
        <v>159</v>
      </c>
      <c r="C43" s="33" t="s">
        <v>311</v>
      </c>
    </row>
    <row r="44">
      <c r="A44" s="31" t="s">
        <v>182</v>
      </c>
      <c r="B44" s="32" t="s">
        <v>183</v>
      </c>
      <c r="C44" s="33" t="s">
        <v>311</v>
      </c>
    </row>
    <row r="45">
      <c r="A45" s="31" t="s">
        <v>120</v>
      </c>
      <c r="B45" s="32" t="s">
        <v>121</v>
      </c>
      <c r="C45" s="33" t="s">
        <v>311</v>
      </c>
    </row>
    <row r="46">
      <c r="A46" s="31" t="s">
        <v>139</v>
      </c>
      <c r="B46" s="32" t="s">
        <v>140</v>
      </c>
      <c r="C46" s="33" t="s">
        <v>311</v>
      </c>
    </row>
    <row r="47">
      <c r="A47" s="31" t="s">
        <v>145</v>
      </c>
      <c r="B47" s="32" t="s">
        <v>146</v>
      </c>
      <c r="C47" s="33" t="s">
        <v>311</v>
      </c>
    </row>
    <row r="48">
      <c r="A48" s="31" t="s">
        <v>279</v>
      </c>
      <c r="B48" s="32" t="s">
        <v>280</v>
      </c>
      <c r="C48" s="33" t="s">
        <v>311</v>
      </c>
    </row>
    <row r="49">
      <c r="A49" s="31" t="s">
        <v>305</v>
      </c>
      <c r="B49" s="32" t="s">
        <v>306</v>
      </c>
      <c r="C49" s="33" t="s">
        <v>311</v>
      </c>
    </row>
    <row r="50">
      <c r="A50" s="31" t="s">
        <v>258</v>
      </c>
      <c r="B50" s="32" t="s">
        <v>259</v>
      </c>
      <c r="C50" s="33" t="s">
        <v>311</v>
      </c>
    </row>
    <row r="51">
      <c r="A51" s="31" t="s">
        <v>243</v>
      </c>
      <c r="B51" s="32" t="s">
        <v>244</v>
      </c>
      <c r="C51" s="33" t="s">
        <v>311</v>
      </c>
    </row>
    <row r="52">
      <c r="A52" s="31" t="s">
        <v>161</v>
      </c>
      <c r="B52" s="32" t="s">
        <v>162</v>
      </c>
      <c r="C52" s="33" t="s">
        <v>311</v>
      </c>
    </row>
    <row r="53">
      <c r="A53" s="31" t="s">
        <v>220</v>
      </c>
      <c r="B53" s="32" t="s">
        <v>221</v>
      </c>
      <c r="C53" s="33" t="s">
        <v>311</v>
      </c>
    </row>
    <row r="54">
      <c r="A54" s="31" t="s">
        <v>165</v>
      </c>
      <c r="B54" s="32" t="s">
        <v>166</v>
      </c>
      <c r="C54" s="33" t="s">
        <v>311</v>
      </c>
    </row>
    <row r="55">
      <c r="A55" s="31" t="s">
        <v>294</v>
      </c>
      <c r="B55" s="32" t="s">
        <v>295</v>
      </c>
      <c r="C55" s="33" t="s">
        <v>311</v>
      </c>
    </row>
    <row r="56">
      <c r="A56" s="31" t="s">
        <v>112</v>
      </c>
      <c r="B56" s="32" t="s">
        <v>113</v>
      </c>
      <c r="C56" s="33" t="s">
        <v>311</v>
      </c>
    </row>
    <row r="57">
      <c r="A57" s="31" t="s">
        <v>137</v>
      </c>
      <c r="B57" s="32" t="s">
        <v>138</v>
      </c>
      <c r="C57" s="33" t="s">
        <v>311</v>
      </c>
    </row>
    <row r="58">
      <c r="A58" s="31" t="s">
        <v>153</v>
      </c>
      <c r="B58" s="32" t="s">
        <v>154</v>
      </c>
      <c r="C58" s="33" t="s">
        <v>311</v>
      </c>
    </row>
    <row r="59">
      <c r="A59" s="31" t="s">
        <v>247</v>
      </c>
      <c r="B59" s="32" t="s">
        <v>248</v>
      </c>
      <c r="C59" s="33" t="s">
        <v>311</v>
      </c>
    </row>
    <row r="60">
      <c r="A60" s="31" t="s">
        <v>281</v>
      </c>
      <c r="B60" s="32" t="s">
        <v>282</v>
      </c>
      <c r="C60" s="33" t="s">
        <v>311</v>
      </c>
    </row>
    <row r="61">
      <c r="A61" s="31" t="s">
        <v>163</v>
      </c>
      <c r="B61" s="32" t="s">
        <v>164</v>
      </c>
      <c r="C61" s="33" t="s">
        <v>311</v>
      </c>
    </row>
    <row r="62">
      <c r="A62" s="31" t="s">
        <v>229</v>
      </c>
      <c r="B62" s="32" t="s">
        <v>230</v>
      </c>
      <c r="C62" s="33" t="s">
        <v>311</v>
      </c>
    </row>
    <row r="63">
      <c r="A63" s="31" t="s">
        <v>184</v>
      </c>
      <c r="B63" s="32" t="s">
        <v>185</v>
      </c>
      <c r="C63" s="33" t="s">
        <v>311</v>
      </c>
    </row>
    <row r="64">
      <c r="A64" s="31" t="s">
        <v>134</v>
      </c>
      <c r="B64" s="32" t="s">
        <v>135</v>
      </c>
      <c r="C64" s="33" t="s">
        <v>311</v>
      </c>
    </row>
    <row r="65">
      <c r="A65" s="31" t="s">
        <v>277</v>
      </c>
      <c r="B65" s="32" t="s">
        <v>278</v>
      </c>
      <c r="C65" s="33" t="s">
        <v>311</v>
      </c>
    </row>
    <row r="66">
      <c r="A66" s="31" t="s">
        <v>260</v>
      </c>
      <c r="B66" s="32" t="s">
        <v>261</v>
      </c>
      <c r="C66" s="33" t="s">
        <v>311</v>
      </c>
    </row>
    <row r="67">
      <c r="A67" s="31" t="s">
        <v>287</v>
      </c>
      <c r="B67" s="32" t="s">
        <v>288</v>
      </c>
      <c r="C67" s="33" t="s">
        <v>311</v>
      </c>
    </row>
    <row r="68">
      <c r="A68" s="31" t="s">
        <v>156</v>
      </c>
      <c r="B68" s="32" t="s">
        <v>157</v>
      </c>
      <c r="C68" s="33" t="s">
        <v>311</v>
      </c>
    </row>
    <row r="69">
      <c r="A69" s="31" t="s">
        <v>110</v>
      </c>
      <c r="B69" s="32" t="s">
        <v>111</v>
      </c>
      <c r="C69" s="33" t="s">
        <v>311</v>
      </c>
    </row>
    <row r="70">
      <c r="A70" s="31" t="s">
        <v>273</v>
      </c>
      <c r="B70" s="32" t="s">
        <v>274</v>
      </c>
      <c r="C70" s="33" t="s">
        <v>311</v>
      </c>
    </row>
    <row r="71">
      <c r="A71" s="31" t="s">
        <v>108</v>
      </c>
      <c r="B71" s="32" t="s">
        <v>109</v>
      </c>
      <c r="C71" s="33" t="s">
        <v>311</v>
      </c>
    </row>
    <row r="72">
      <c r="A72" s="31" t="s">
        <v>187</v>
      </c>
      <c r="B72" s="32" t="s">
        <v>188</v>
      </c>
      <c r="C72" s="33" t="s">
        <v>311</v>
      </c>
    </row>
    <row r="73">
      <c r="A73" s="31" t="s">
        <v>92</v>
      </c>
      <c r="B73" s="32" t="s">
        <v>93</v>
      </c>
      <c r="C73" s="33" t="s">
        <v>311</v>
      </c>
    </row>
    <row r="74">
      <c r="A74" s="31" t="s">
        <v>266</v>
      </c>
      <c r="B74" s="32" t="s">
        <v>267</v>
      </c>
      <c r="C74" s="33" t="s">
        <v>311</v>
      </c>
    </row>
    <row r="75">
      <c r="A75" s="31" t="s">
        <v>225</v>
      </c>
      <c r="B75" s="32" t="s">
        <v>226</v>
      </c>
      <c r="C75" s="33" t="s">
        <v>311</v>
      </c>
    </row>
    <row r="76">
      <c r="A76" s="31" t="s">
        <v>269</v>
      </c>
      <c r="B76" s="32" t="s">
        <v>270</v>
      </c>
      <c r="C76" s="33" t="s">
        <v>311</v>
      </c>
    </row>
    <row r="77">
      <c r="A77" s="31" t="s">
        <v>271</v>
      </c>
      <c r="B77" s="32" t="s">
        <v>272</v>
      </c>
      <c r="C77" s="33" t="s">
        <v>311</v>
      </c>
    </row>
    <row r="78">
      <c r="A78" s="31" t="s">
        <v>149</v>
      </c>
      <c r="B78" s="32" t="s">
        <v>150</v>
      </c>
      <c r="C78" s="33" t="s">
        <v>311</v>
      </c>
    </row>
    <row r="79">
      <c r="A79" s="31" t="s">
        <v>197</v>
      </c>
      <c r="B79" s="32" t="s">
        <v>198</v>
      </c>
      <c r="C79" s="33" t="s">
        <v>311</v>
      </c>
    </row>
    <row r="80">
      <c r="A80" s="31" t="s">
        <v>180</v>
      </c>
      <c r="B80" s="32" t="s">
        <v>181</v>
      </c>
      <c r="C80" s="33" t="s">
        <v>311</v>
      </c>
    </row>
    <row r="81">
      <c r="A81" s="31" t="s">
        <v>285</v>
      </c>
      <c r="B81" s="32" t="s">
        <v>286</v>
      </c>
      <c r="C81" s="33" t="s">
        <v>311</v>
      </c>
    </row>
    <row r="82">
      <c r="A82" s="31" t="s">
        <v>167</v>
      </c>
      <c r="B82" s="32" t="s">
        <v>168</v>
      </c>
      <c r="C82" s="33" t="s">
        <v>311</v>
      </c>
    </row>
    <row r="83">
      <c r="A83" s="31" t="s">
        <v>245</v>
      </c>
      <c r="B83" s="32" t="s">
        <v>246</v>
      </c>
      <c r="C83" s="33" t="s">
        <v>311</v>
      </c>
    </row>
    <row r="84">
      <c r="A84" s="31" t="s">
        <v>204</v>
      </c>
      <c r="B84" s="32" t="s">
        <v>205</v>
      </c>
      <c r="C84" s="33" t="s">
        <v>311</v>
      </c>
    </row>
    <row r="85">
      <c r="A85" s="31" t="s">
        <v>300</v>
      </c>
      <c r="B85" s="32" t="s">
        <v>301</v>
      </c>
      <c r="C85" s="33" t="s">
        <v>311</v>
      </c>
    </row>
    <row r="86">
      <c r="A86" s="31" t="s">
        <v>143</v>
      </c>
      <c r="B86" s="32" t="s">
        <v>144</v>
      </c>
      <c r="C86" s="33" t="s">
        <v>311</v>
      </c>
    </row>
    <row r="87">
      <c r="A87" s="31" t="s">
        <v>227</v>
      </c>
      <c r="B87" s="32" t="s">
        <v>228</v>
      </c>
      <c r="C87" s="33" t="s">
        <v>311</v>
      </c>
    </row>
    <row r="88">
      <c r="A88" s="31" t="s">
        <v>298</v>
      </c>
      <c r="B88" s="32" t="s">
        <v>299</v>
      </c>
      <c r="C88" s="33" t="s">
        <v>311</v>
      </c>
    </row>
    <row r="89">
      <c r="A89" s="31" t="s">
        <v>193</v>
      </c>
      <c r="B89" s="32" t="s">
        <v>194</v>
      </c>
      <c r="C89" s="33" t="s">
        <v>311</v>
      </c>
    </row>
    <row r="90">
      <c r="A90" s="31" t="s">
        <v>249</v>
      </c>
      <c r="B90" s="32" t="s">
        <v>250</v>
      </c>
      <c r="C90" s="33" t="s">
        <v>311</v>
      </c>
    </row>
    <row r="91">
      <c r="A91" s="31" t="s">
        <v>235</v>
      </c>
      <c r="B91" s="32" t="s">
        <v>236</v>
      </c>
      <c r="C91" s="33" t="s">
        <v>311</v>
      </c>
    </row>
    <row r="92">
      <c r="A92" s="31" t="s">
        <v>209</v>
      </c>
      <c r="B92" s="32" t="s">
        <v>210</v>
      </c>
      <c r="C92" s="33" t="s">
        <v>311</v>
      </c>
    </row>
    <row r="93">
      <c r="A93" s="31" t="s">
        <v>307</v>
      </c>
      <c r="B93" s="32" t="s">
        <v>308</v>
      </c>
      <c r="C93" s="33" t="s">
        <v>311</v>
      </c>
    </row>
    <row r="94">
      <c r="A94" s="31" t="s">
        <v>195</v>
      </c>
      <c r="B94" s="32" t="s">
        <v>196</v>
      </c>
      <c r="C94" s="33" t="s">
        <v>311</v>
      </c>
    </row>
    <row r="95">
      <c r="A95" s="31" t="s">
        <v>256</v>
      </c>
      <c r="B95" s="32" t="s">
        <v>257</v>
      </c>
      <c r="C95" s="33" t="s">
        <v>311</v>
      </c>
    </row>
    <row r="96">
      <c r="A96" s="31" t="s">
        <v>99</v>
      </c>
      <c r="B96" s="32" t="s">
        <v>100</v>
      </c>
      <c r="C96" s="33" t="s">
        <v>311</v>
      </c>
    </row>
    <row r="97">
      <c r="A97" s="31" t="s">
        <v>96</v>
      </c>
      <c r="B97" s="32" t="s">
        <v>97</v>
      </c>
      <c r="C97" s="33" t="s">
        <v>311</v>
      </c>
    </row>
    <row r="98">
      <c r="A98" s="31" t="s">
        <v>216</v>
      </c>
      <c r="B98" s="32" t="s">
        <v>217</v>
      </c>
      <c r="C98" s="33" t="s">
        <v>311</v>
      </c>
    </row>
    <row r="99">
      <c r="A99" s="31" t="s">
        <v>94</v>
      </c>
      <c r="B99" s="32" t="s">
        <v>95</v>
      </c>
      <c r="C99" s="33" t="s">
        <v>311</v>
      </c>
    </row>
    <row r="100">
      <c r="A100" s="31" t="s">
        <v>122</v>
      </c>
      <c r="B100" s="32" t="s">
        <v>123</v>
      </c>
      <c r="C100" s="33" t="s">
        <v>311</v>
      </c>
    </row>
    <row r="101">
      <c r="A101" s="31" t="s">
        <v>237</v>
      </c>
      <c r="B101" s="32" t="s">
        <v>238</v>
      </c>
      <c r="C101" s="33" t="s">
        <v>311</v>
      </c>
    </row>
  </sheetData>
  <dataValidations>
    <dataValidation type="list" allowBlank="1" showErrorMessage="1" sqref="C2:C101">
      <formula1>"TO DO,TRUE,FALSE,SKIP"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5"/>
    <col customWidth="1" min="2" max="2" width="92.75"/>
    <col customWidth="1" min="3" max="4" width="19.75"/>
  </cols>
  <sheetData>
    <row r="1">
      <c r="A1" s="28"/>
      <c r="B1" s="29" t="s">
        <v>89</v>
      </c>
      <c r="C1" s="30" t="s">
        <v>90</v>
      </c>
      <c r="D1" s="23" t="s">
        <v>91</v>
      </c>
    </row>
    <row r="2">
      <c r="A2" s="31" t="s">
        <v>141</v>
      </c>
      <c r="B2" s="32" t="s">
        <v>142</v>
      </c>
      <c r="C2" s="33" t="b">
        <v>0</v>
      </c>
    </row>
    <row r="3">
      <c r="A3" s="31" t="s">
        <v>195</v>
      </c>
      <c r="B3" s="32" t="s">
        <v>196</v>
      </c>
      <c r="C3" s="33" t="b">
        <v>0</v>
      </c>
    </row>
    <row r="4">
      <c r="A4" s="31" t="s">
        <v>112</v>
      </c>
      <c r="B4" s="32" t="s">
        <v>113</v>
      </c>
      <c r="C4" s="33" t="b">
        <v>1</v>
      </c>
    </row>
    <row r="5">
      <c r="A5" s="31" t="s">
        <v>96</v>
      </c>
      <c r="B5" s="32" t="s">
        <v>97</v>
      </c>
      <c r="C5" s="33" t="b">
        <v>1</v>
      </c>
    </row>
    <row r="6">
      <c r="A6" s="31" t="s">
        <v>169</v>
      </c>
      <c r="B6" s="32" t="s">
        <v>170</v>
      </c>
      <c r="C6" s="33" t="b">
        <v>1</v>
      </c>
    </row>
    <row r="7">
      <c r="A7" s="31" t="s">
        <v>94</v>
      </c>
      <c r="B7" s="32" t="s">
        <v>95</v>
      </c>
      <c r="C7" s="33" t="b">
        <v>0</v>
      </c>
    </row>
    <row r="8">
      <c r="A8" s="31" t="s">
        <v>294</v>
      </c>
      <c r="B8" s="34" t="s">
        <v>295</v>
      </c>
      <c r="C8" s="33" t="b">
        <v>0</v>
      </c>
    </row>
    <row r="9">
      <c r="A9" s="31" t="s">
        <v>251</v>
      </c>
      <c r="B9" s="32" t="s">
        <v>252</v>
      </c>
      <c r="C9" s="33" t="b">
        <v>0</v>
      </c>
    </row>
    <row r="10">
      <c r="A10" s="31" t="s">
        <v>290</v>
      </c>
      <c r="B10" s="32" t="s">
        <v>291</v>
      </c>
      <c r="C10" s="33" t="b">
        <v>0</v>
      </c>
    </row>
    <row r="11">
      <c r="A11" s="31" t="s">
        <v>129</v>
      </c>
      <c r="B11" s="32" t="s">
        <v>130</v>
      </c>
      <c r="C11" s="33" t="b">
        <v>1</v>
      </c>
    </row>
    <row r="12">
      <c r="A12" s="31" t="s">
        <v>249</v>
      </c>
      <c r="B12" s="32" t="s">
        <v>250</v>
      </c>
      <c r="C12" s="33" t="b">
        <v>0</v>
      </c>
    </row>
    <row r="13">
      <c r="A13" s="31" t="s">
        <v>283</v>
      </c>
      <c r="B13" s="32" t="s">
        <v>284</v>
      </c>
      <c r="C13" s="33" t="b">
        <v>1</v>
      </c>
    </row>
    <row r="14">
      <c r="A14" s="31" t="s">
        <v>99</v>
      </c>
      <c r="B14" s="32" t="s">
        <v>100</v>
      </c>
      <c r="C14" s="33" t="b">
        <v>0</v>
      </c>
    </row>
    <row r="15">
      <c r="A15" s="31" t="s">
        <v>209</v>
      </c>
      <c r="B15" s="32" t="s">
        <v>210</v>
      </c>
      <c r="C15" s="33" t="b">
        <v>0</v>
      </c>
    </row>
    <row r="16">
      <c r="A16" s="31" t="s">
        <v>145</v>
      </c>
      <c r="B16" s="32" t="s">
        <v>146</v>
      </c>
      <c r="C16" s="33" t="b">
        <v>1</v>
      </c>
    </row>
    <row r="17">
      <c r="A17" s="31" t="s">
        <v>108</v>
      </c>
      <c r="B17" s="32" t="s">
        <v>109</v>
      </c>
      <c r="C17" s="33" t="b">
        <v>1</v>
      </c>
    </row>
    <row r="18">
      <c r="A18" s="31" t="s">
        <v>189</v>
      </c>
      <c r="B18" s="32" t="s">
        <v>190</v>
      </c>
      <c r="C18" s="33" t="b">
        <v>1</v>
      </c>
    </row>
    <row r="19">
      <c r="A19" s="31" t="s">
        <v>115</v>
      </c>
      <c r="B19" s="32" t="s">
        <v>116</v>
      </c>
      <c r="C19" s="33" t="b">
        <v>1</v>
      </c>
    </row>
    <row r="20">
      <c r="A20" s="31" t="s">
        <v>149</v>
      </c>
      <c r="B20" s="35" t="s">
        <v>150</v>
      </c>
      <c r="C20" s="33" t="b">
        <v>1</v>
      </c>
    </row>
    <row r="21">
      <c r="A21" s="31" t="s">
        <v>197</v>
      </c>
      <c r="B21" s="32" t="s">
        <v>198</v>
      </c>
      <c r="C21" s="33" t="b">
        <v>0</v>
      </c>
    </row>
    <row r="22">
      <c r="A22" s="31" t="s">
        <v>193</v>
      </c>
      <c r="B22" s="34" t="s">
        <v>194</v>
      </c>
      <c r="C22" s="33" t="b">
        <v>0</v>
      </c>
    </row>
    <row r="23">
      <c r="A23" s="31" t="s">
        <v>182</v>
      </c>
      <c r="B23" s="32" t="s">
        <v>183</v>
      </c>
      <c r="C23" s="33" t="b">
        <v>1</v>
      </c>
    </row>
    <row r="24">
      <c r="A24" s="31" t="s">
        <v>184</v>
      </c>
      <c r="B24" s="32" t="s">
        <v>185</v>
      </c>
      <c r="C24" s="33" t="b">
        <v>1</v>
      </c>
    </row>
    <row r="25">
      <c r="A25" s="31" t="s">
        <v>256</v>
      </c>
      <c r="B25" s="32" t="s">
        <v>257</v>
      </c>
      <c r="C25" s="33" t="b">
        <v>0</v>
      </c>
    </row>
    <row r="26">
      <c r="A26" s="31" t="s">
        <v>298</v>
      </c>
      <c r="B26" s="32" t="s">
        <v>299</v>
      </c>
      <c r="C26" s="33" t="b">
        <v>0</v>
      </c>
    </row>
    <row r="27">
      <c r="A27" s="31" t="s">
        <v>287</v>
      </c>
      <c r="B27" s="32" t="s">
        <v>288</v>
      </c>
      <c r="C27" s="33" t="b">
        <v>0</v>
      </c>
    </row>
    <row r="28">
      <c r="A28" s="31" t="s">
        <v>167</v>
      </c>
      <c r="B28" s="32" t="s">
        <v>168</v>
      </c>
      <c r="C28" s="33" t="b">
        <v>1</v>
      </c>
    </row>
    <row r="29">
      <c r="A29" s="31" t="s">
        <v>202</v>
      </c>
      <c r="B29" s="32" t="s">
        <v>203</v>
      </c>
      <c r="C29" s="33" t="b">
        <v>0</v>
      </c>
    </row>
    <row r="30">
      <c r="A30" s="31" t="s">
        <v>163</v>
      </c>
      <c r="B30" s="32" t="s">
        <v>164</v>
      </c>
      <c r="C30" s="33" t="b">
        <v>0</v>
      </c>
    </row>
    <row r="31">
      <c r="A31" s="31" t="s">
        <v>172</v>
      </c>
      <c r="B31" s="32" t="s">
        <v>173</v>
      </c>
      <c r="C31" s="33" t="b">
        <v>0</v>
      </c>
    </row>
    <row r="32">
      <c r="A32" s="31" t="s">
        <v>307</v>
      </c>
      <c r="B32" s="34" t="s">
        <v>308</v>
      </c>
      <c r="C32" s="33" t="b">
        <v>0</v>
      </c>
    </row>
    <row r="33">
      <c r="A33" s="31" t="s">
        <v>233</v>
      </c>
      <c r="B33" s="32" t="s">
        <v>234</v>
      </c>
      <c r="C33" s="33" t="b">
        <v>0</v>
      </c>
    </row>
    <row r="34">
      <c r="A34" s="31" t="s">
        <v>122</v>
      </c>
      <c r="B34" s="32" t="s">
        <v>123</v>
      </c>
      <c r="C34" s="33" t="b">
        <v>0</v>
      </c>
    </row>
    <row r="35">
      <c r="A35" s="31" t="s">
        <v>211</v>
      </c>
      <c r="B35" s="32" t="s">
        <v>212</v>
      </c>
      <c r="C35" s="33" t="b">
        <v>1</v>
      </c>
    </row>
    <row r="36">
      <c r="A36" s="31" t="s">
        <v>309</v>
      </c>
      <c r="B36" s="32" t="s">
        <v>310</v>
      </c>
      <c r="C36" s="33" t="b">
        <v>0</v>
      </c>
    </row>
    <row r="37">
      <c r="A37" s="31" t="s">
        <v>214</v>
      </c>
      <c r="B37" s="32" t="s">
        <v>215</v>
      </c>
      <c r="C37" s="33" t="b">
        <v>0</v>
      </c>
    </row>
    <row r="38">
      <c r="A38" s="31" t="s">
        <v>281</v>
      </c>
      <c r="B38" s="32" t="s">
        <v>282</v>
      </c>
      <c r="C38" s="33" t="b">
        <v>1</v>
      </c>
    </row>
    <row r="39">
      <c r="A39" s="31" t="s">
        <v>253</v>
      </c>
      <c r="B39" s="32" t="s">
        <v>254</v>
      </c>
      <c r="C39" s="33" t="b">
        <v>1</v>
      </c>
    </row>
    <row r="40">
      <c r="A40" s="31" t="s">
        <v>187</v>
      </c>
      <c r="B40" s="32" t="s">
        <v>188</v>
      </c>
      <c r="C40" s="33" t="b">
        <v>1</v>
      </c>
    </row>
    <row r="41">
      <c r="A41" s="31" t="s">
        <v>143</v>
      </c>
      <c r="B41" s="32" t="s">
        <v>144</v>
      </c>
      <c r="C41" s="33" t="b">
        <v>1</v>
      </c>
    </row>
    <row r="42">
      <c r="A42" s="31" t="s">
        <v>165</v>
      </c>
      <c r="B42" s="35" t="s">
        <v>166</v>
      </c>
      <c r="C42" s="33" t="b">
        <v>1</v>
      </c>
    </row>
    <row r="43">
      <c r="A43" s="31" t="s">
        <v>223</v>
      </c>
      <c r="B43" s="32" t="s">
        <v>224</v>
      </c>
      <c r="C43" s="33" t="b">
        <v>1</v>
      </c>
    </row>
    <row r="44">
      <c r="A44" s="31" t="s">
        <v>264</v>
      </c>
      <c r="B44" s="32" t="s">
        <v>265</v>
      </c>
      <c r="C44" s="33" t="b">
        <v>0</v>
      </c>
    </row>
    <row r="45">
      <c r="A45" s="31" t="s">
        <v>216</v>
      </c>
      <c r="B45" s="32" t="s">
        <v>217</v>
      </c>
      <c r="C45" s="33" t="b">
        <v>1</v>
      </c>
    </row>
    <row r="46">
      <c r="A46" s="31" t="s">
        <v>237</v>
      </c>
      <c r="B46" s="32" t="s">
        <v>238</v>
      </c>
      <c r="C46" s="33" t="b">
        <v>1</v>
      </c>
    </row>
    <row r="47">
      <c r="A47" s="31" t="s">
        <v>235</v>
      </c>
      <c r="B47" s="32" t="s">
        <v>236</v>
      </c>
      <c r="C47" s="33" t="b">
        <v>1</v>
      </c>
    </row>
    <row r="48">
      <c r="A48" s="31" t="s">
        <v>147</v>
      </c>
      <c r="B48" s="32" t="s">
        <v>148</v>
      </c>
      <c r="C48" s="33" t="b">
        <v>0</v>
      </c>
    </row>
    <row r="49">
      <c r="A49" s="31" t="s">
        <v>106</v>
      </c>
      <c r="B49" s="32" t="s">
        <v>107</v>
      </c>
      <c r="C49" s="33" t="b">
        <v>1</v>
      </c>
    </row>
    <row r="50">
      <c r="A50" s="31" t="s">
        <v>296</v>
      </c>
      <c r="B50" s="32" t="s">
        <v>297</v>
      </c>
      <c r="C50" s="33" t="b">
        <v>1</v>
      </c>
    </row>
    <row r="51">
      <c r="A51" s="31" t="s">
        <v>137</v>
      </c>
      <c r="B51" s="32" t="s">
        <v>138</v>
      </c>
      <c r="C51" s="33" t="b">
        <v>1</v>
      </c>
    </row>
    <row r="52">
      <c r="A52" s="31" t="s">
        <v>279</v>
      </c>
      <c r="B52" s="32" t="s">
        <v>280</v>
      </c>
      <c r="C52" s="33" t="b">
        <v>1</v>
      </c>
    </row>
    <row r="53">
      <c r="A53" s="31" t="s">
        <v>300</v>
      </c>
      <c r="B53" s="32" t="s">
        <v>301</v>
      </c>
      <c r="C53" s="33" t="b">
        <v>1</v>
      </c>
    </row>
    <row r="54">
      <c r="A54" s="31" t="s">
        <v>178</v>
      </c>
      <c r="B54" s="32" t="s">
        <v>179</v>
      </c>
      <c r="C54" s="33" t="b">
        <v>0</v>
      </c>
    </row>
    <row r="55">
      <c r="A55" s="31" t="s">
        <v>204</v>
      </c>
      <c r="B55" s="32" t="s">
        <v>205</v>
      </c>
      <c r="C55" s="33" t="b">
        <v>0</v>
      </c>
    </row>
    <row r="56">
      <c r="A56" s="31" t="s">
        <v>243</v>
      </c>
      <c r="B56" s="32" t="s">
        <v>244</v>
      </c>
      <c r="C56" s="33" t="b">
        <v>1</v>
      </c>
    </row>
    <row r="57">
      <c r="A57" s="31" t="s">
        <v>126</v>
      </c>
      <c r="B57" s="32" t="s">
        <v>127</v>
      </c>
      <c r="C57" s="33" t="b">
        <v>0</v>
      </c>
    </row>
    <row r="58">
      <c r="A58" s="31" t="s">
        <v>153</v>
      </c>
      <c r="B58" s="35" t="s">
        <v>154</v>
      </c>
      <c r="C58" s="33" t="b">
        <v>1</v>
      </c>
    </row>
    <row r="59">
      <c r="A59" s="31" t="s">
        <v>303</v>
      </c>
      <c r="B59" s="35" t="s">
        <v>304</v>
      </c>
      <c r="C59" s="33" t="b">
        <v>1</v>
      </c>
    </row>
    <row r="60">
      <c r="A60" s="31" t="s">
        <v>118</v>
      </c>
      <c r="B60" s="36" t="s">
        <v>312</v>
      </c>
      <c r="C60" s="33" t="b">
        <v>1</v>
      </c>
    </row>
    <row r="61">
      <c r="A61" s="31" t="s">
        <v>292</v>
      </c>
      <c r="B61" s="32" t="s">
        <v>293</v>
      </c>
      <c r="C61" s="33" t="b">
        <v>0</v>
      </c>
    </row>
    <row r="62">
      <c r="A62" s="31" t="s">
        <v>225</v>
      </c>
      <c r="B62" s="32" t="s">
        <v>226</v>
      </c>
      <c r="C62" s="33" t="b">
        <v>1</v>
      </c>
    </row>
    <row r="63">
      <c r="A63" s="31" t="s">
        <v>206</v>
      </c>
      <c r="B63" s="35" t="s">
        <v>207</v>
      </c>
      <c r="C63" s="33" t="b">
        <v>1</v>
      </c>
    </row>
    <row r="64">
      <c r="A64" s="31" t="s">
        <v>241</v>
      </c>
      <c r="B64" s="32" t="s">
        <v>242</v>
      </c>
      <c r="C64" s="33" t="b">
        <v>0</v>
      </c>
    </row>
    <row r="65">
      <c r="A65" s="31" t="s">
        <v>120</v>
      </c>
      <c r="B65" s="32" t="s">
        <v>121</v>
      </c>
      <c r="C65" s="33" t="b">
        <v>1</v>
      </c>
    </row>
    <row r="66">
      <c r="A66" s="31" t="s">
        <v>271</v>
      </c>
      <c r="B66" s="32" t="s">
        <v>272</v>
      </c>
      <c r="C66" s="33" t="b">
        <v>0</v>
      </c>
    </row>
    <row r="67">
      <c r="A67" s="31" t="s">
        <v>191</v>
      </c>
      <c r="B67" s="32" t="s">
        <v>192</v>
      </c>
      <c r="C67" s="33" t="b">
        <v>1</v>
      </c>
    </row>
    <row r="68">
      <c r="A68" s="31" t="s">
        <v>199</v>
      </c>
      <c r="B68" s="34" t="s">
        <v>200</v>
      </c>
      <c r="C68" s="33" t="b">
        <v>0</v>
      </c>
    </row>
    <row r="69">
      <c r="A69" s="31" t="s">
        <v>110</v>
      </c>
      <c r="B69" s="32" t="s">
        <v>111</v>
      </c>
      <c r="C69" s="33" t="b">
        <v>0</v>
      </c>
    </row>
    <row r="70">
      <c r="A70" s="31" t="s">
        <v>277</v>
      </c>
      <c r="B70" s="32" t="s">
        <v>278</v>
      </c>
      <c r="C70" s="33" t="b">
        <v>1</v>
      </c>
    </row>
    <row r="71">
      <c r="A71" s="31" t="s">
        <v>156</v>
      </c>
      <c r="B71" s="32" t="s">
        <v>157</v>
      </c>
      <c r="C71" s="33" t="b">
        <v>0</v>
      </c>
    </row>
    <row r="72">
      <c r="A72" s="31" t="s">
        <v>158</v>
      </c>
      <c r="B72" s="32" t="s">
        <v>159</v>
      </c>
      <c r="C72" s="33" t="b">
        <v>1</v>
      </c>
    </row>
    <row r="73">
      <c r="A73" s="31" t="s">
        <v>139</v>
      </c>
      <c r="B73" s="32" t="s">
        <v>140</v>
      </c>
      <c r="C73" s="33" t="b">
        <v>1</v>
      </c>
    </row>
    <row r="74">
      <c r="A74" s="31" t="s">
        <v>174</v>
      </c>
      <c r="B74" s="32" t="s">
        <v>175</v>
      </c>
      <c r="C74" s="33" t="b">
        <v>0</v>
      </c>
    </row>
    <row r="75">
      <c r="A75" s="31" t="s">
        <v>269</v>
      </c>
      <c r="B75" s="32" t="s">
        <v>270</v>
      </c>
      <c r="C75" s="33" t="b">
        <v>1</v>
      </c>
    </row>
    <row r="76">
      <c r="A76" s="31" t="s">
        <v>231</v>
      </c>
      <c r="B76" s="34" t="s">
        <v>232</v>
      </c>
      <c r="C76" s="33" t="b">
        <v>1</v>
      </c>
    </row>
    <row r="77">
      <c r="A77" s="31" t="s">
        <v>218</v>
      </c>
      <c r="B77" s="32" t="s">
        <v>219</v>
      </c>
      <c r="C77" s="33" t="b">
        <v>0</v>
      </c>
    </row>
    <row r="78">
      <c r="A78" s="31" t="s">
        <v>266</v>
      </c>
      <c r="B78" s="32" t="s">
        <v>267</v>
      </c>
      <c r="C78" s="33" t="b">
        <v>0</v>
      </c>
    </row>
    <row r="79">
      <c r="A79" s="31" t="s">
        <v>262</v>
      </c>
      <c r="B79" s="32" t="s">
        <v>263</v>
      </c>
      <c r="C79" s="33" t="b">
        <v>0</v>
      </c>
    </row>
    <row r="80">
      <c r="A80" s="31" t="s">
        <v>305</v>
      </c>
      <c r="B80" s="32" t="s">
        <v>306</v>
      </c>
      <c r="C80" s="33" t="b">
        <v>0</v>
      </c>
    </row>
    <row r="81">
      <c r="A81" s="31" t="s">
        <v>161</v>
      </c>
      <c r="B81" s="32" t="s">
        <v>162</v>
      </c>
      <c r="C81" s="33" t="b">
        <v>0</v>
      </c>
    </row>
    <row r="82">
      <c r="A82" s="31" t="s">
        <v>180</v>
      </c>
      <c r="B82" s="32" t="s">
        <v>181</v>
      </c>
      <c r="C82" s="33" t="b">
        <v>0</v>
      </c>
    </row>
    <row r="83">
      <c r="A83" s="31" t="s">
        <v>151</v>
      </c>
      <c r="B83" s="32" t="s">
        <v>152</v>
      </c>
      <c r="C83" s="33" t="b">
        <v>0</v>
      </c>
    </row>
    <row r="84">
      <c r="A84" s="31" t="s">
        <v>104</v>
      </c>
      <c r="B84" s="32" t="s">
        <v>105</v>
      </c>
      <c r="C84" s="33" t="b">
        <v>0</v>
      </c>
    </row>
    <row r="85">
      <c r="A85" s="31" t="s">
        <v>124</v>
      </c>
      <c r="B85" s="32" t="s">
        <v>125</v>
      </c>
      <c r="C85" s="33" t="b">
        <v>1</v>
      </c>
    </row>
    <row r="86">
      <c r="A86" s="31" t="s">
        <v>92</v>
      </c>
      <c r="B86" s="32" t="s">
        <v>93</v>
      </c>
      <c r="C86" s="33" t="b">
        <v>0</v>
      </c>
    </row>
    <row r="87">
      <c r="A87" s="31" t="s">
        <v>229</v>
      </c>
      <c r="B87" s="32" t="s">
        <v>230</v>
      </c>
      <c r="C87" s="33" t="b">
        <v>0</v>
      </c>
    </row>
    <row r="88">
      <c r="A88" s="31" t="s">
        <v>275</v>
      </c>
      <c r="B88" s="32" t="s">
        <v>276</v>
      </c>
      <c r="C88" s="33" t="b">
        <v>0</v>
      </c>
    </row>
    <row r="89">
      <c r="A89" s="31" t="s">
        <v>245</v>
      </c>
      <c r="B89" s="32" t="s">
        <v>246</v>
      </c>
      <c r="C89" s="33" t="b">
        <v>1</v>
      </c>
    </row>
    <row r="90">
      <c r="A90" s="31" t="s">
        <v>247</v>
      </c>
      <c r="B90" s="32" t="s">
        <v>248</v>
      </c>
      <c r="C90" s="33" t="b">
        <v>0</v>
      </c>
    </row>
    <row r="91">
      <c r="A91" s="31" t="s">
        <v>285</v>
      </c>
      <c r="B91" s="34" t="s">
        <v>286</v>
      </c>
      <c r="C91" s="33" t="b">
        <v>0</v>
      </c>
    </row>
    <row r="92">
      <c r="A92" s="31" t="s">
        <v>134</v>
      </c>
      <c r="B92" s="32" t="s">
        <v>135</v>
      </c>
      <c r="C92" s="33" t="b">
        <v>0</v>
      </c>
    </row>
    <row r="93">
      <c r="A93" s="31" t="s">
        <v>273</v>
      </c>
      <c r="B93" s="32" t="s">
        <v>274</v>
      </c>
      <c r="C93" s="33" t="b">
        <v>1</v>
      </c>
    </row>
    <row r="94">
      <c r="A94" s="31" t="s">
        <v>227</v>
      </c>
      <c r="B94" s="32" t="s">
        <v>228</v>
      </c>
      <c r="C94" s="33" t="b">
        <v>0</v>
      </c>
    </row>
    <row r="95">
      <c r="A95" s="31" t="s">
        <v>132</v>
      </c>
      <c r="B95" s="32" t="s">
        <v>133</v>
      </c>
      <c r="C95" s="33" t="b">
        <v>0</v>
      </c>
    </row>
    <row r="96">
      <c r="A96" s="31" t="s">
        <v>258</v>
      </c>
      <c r="B96" s="32" t="s">
        <v>259</v>
      </c>
      <c r="C96" s="33" t="b">
        <v>0</v>
      </c>
    </row>
    <row r="97">
      <c r="A97" s="31" t="s">
        <v>260</v>
      </c>
      <c r="B97" s="32" t="s">
        <v>261</v>
      </c>
      <c r="C97" s="33" t="b">
        <v>0</v>
      </c>
    </row>
    <row r="98">
      <c r="A98" s="31" t="s">
        <v>220</v>
      </c>
      <c r="B98" s="32" t="s">
        <v>221</v>
      </c>
      <c r="C98" s="33" t="b">
        <v>1</v>
      </c>
    </row>
    <row r="99">
      <c r="A99" s="31" t="s">
        <v>101</v>
      </c>
      <c r="B99" s="32" t="s">
        <v>102</v>
      </c>
      <c r="C99" s="33" t="b">
        <v>1</v>
      </c>
    </row>
    <row r="100">
      <c r="A100" s="31" t="s">
        <v>239</v>
      </c>
      <c r="B100" s="32" t="s">
        <v>240</v>
      </c>
      <c r="C100" s="33" t="b">
        <v>0</v>
      </c>
    </row>
    <row r="101">
      <c r="A101" s="31" t="s">
        <v>176</v>
      </c>
      <c r="B101" s="32" t="s">
        <v>177</v>
      </c>
      <c r="C101" s="33" t="b">
        <v>0</v>
      </c>
    </row>
  </sheetData>
  <dataValidations>
    <dataValidation type="list" allowBlank="1" showErrorMessage="1" sqref="C2:C101">
      <formula1>"TO DO,TRUE,FALSE,SKIP"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2.63"/>
    <col customWidth="1" min="3" max="3" width="19.75"/>
    <col customWidth="1" min="4" max="4" width="60.63"/>
  </cols>
  <sheetData>
    <row r="1">
      <c r="A1" s="28" t="s">
        <v>88</v>
      </c>
      <c r="B1" s="29" t="s">
        <v>89</v>
      </c>
      <c r="C1" s="30" t="s">
        <v>90</v>
      </c>
      <c r="D1" s="23" t="s">
        <v>91</v>
      </c>
    </row>
    <row r="2">
      <c r="A2" s="31" t="s">
        <v>182</v>
      </c>
      <c r="B2" s="32" t="s">
        <v>183</v>
      </c>
      <c r="C2" s="33" t="b">
        <v>1</v>
      </c>
    </row>
    <row r="3">
      <c r="A3" s="31" t="s">
        <v>271</v>
      </c>
      <c r="B3" s="32" t="s">
        <v>272</v>
      </c>
      <c r="C3" s="33" t="b">
        <v>0</v>
      </c>
      <c r="D3" s="5" t="s">
        <v>313</v>
      </c>
    </row>
    <row r="4">
      <c r="A4" s="31" t="s">
        <v>303</v>
      </c>
      <c r="B4" s="32" t="s">
        <v>304</v>
      </c>
      <c r="C4" s="33" t="b">
        <v>0</v>
      </c>
      <c r="D4" s="5" t="s">
        <v>314</v>
      </c>
    </row>
    <row r="5">
      <c r="A5" s="31" t="s">
        <v>292</v>
      </c>
      <c r="B5" s="32" t="s">
        <v>293</v>
      </c>
      <c r="C5" s="33" t="b">
        <v>0</v>
      </c>
    </row>
    <row r="6">
      <c r="A6" s="31" t="s">
        <v>229</v>
      </c>
      <c r="B6" s="32" t="s">
        <v>230</v>
      </c>
      <c r="C6" s="33" t="b">
        <v>0</v>
      </c>
    </row>
    <row r="7">
      <c r="A7" s="31" t="s">
        <v>165</v>
      </c>
      <c r="B7" s="32" t="s">
        <v>166</v>
      </c>
      <c r="C7" s="33" t="b">
        <v>0</v>
      </c>
      <c r="D7" s="5" t="s">
        <v>315</v>
      </c>
    </row>
    <row r="8">
      <c r="A8" s="31" t="s">
        <v>202</v>
      </c>
      <c r="B8" s="32" t="s">
        <v>203</v>
      </c>
      <c r="C8" s="33" t="b">
        <v>0</v>
      </c>
    </row>
    <row r="9">
      <c r="A9" s="31" t="s">
        <v>260</v>
      </c>
      <c r="B9" s="32" t="s">
        <v>261</v>
      </c>
      <c r="C9" s="33" t="b">
        <v>0</v>
      </c>
    </row>
    <row r="10">
      <c r="A10" s="31" t="s">
        <v>235</v>
      </c>
      <c r="B10" s="32" t="s">
        <v>236</v>
      </c>
      <c r="C10" s="33" t="b">
        <v>1</v>
      </c>
      <c r="D10" s="5" t="s">
        <v>316</v>
      </c>
    </row>
    <row r="11">
      <c r="A11" s="31" t="s">
        <v>174</v>
      </c>
      <c r="B11" s="32" t="s">
        <v>175</v>
      </c>
      <c r="C11" s="33" t="b">
        <v>0</v>
      </c>
    </row>
    <row r="12">
      <c r="A12" s="31" t="s">
        <v>145</v>
      </c>
      <c r="B12" s="32" t="s">
        <v>146</v>
      </c>
      <c r="C12" s="33" t="b">
        <v>1</v>
      </c>
    </row>
    <row r="13">
      <c r="A13" s="31" t="s">
        <v>251</v>
      </c>
      <c r="B13" s="32" t="s">
        <v>252</v>
      </c>
      <c r="C13" s="33" t="b">
        <v>0</v>
      </c>
      <c r="D13" s="5" t="s">
        <v>317</v>
      </c>
    </row>
    <row r="14">
      <c r="A14" s="31" t="s">
        <v>258</v>
      </c>
      <c r="B14" s="32" t="s">
        <v>259</v>
      </c>
      <c r="C14" s="33" t="b">
        <v>0</v>
      </c>
    </row>
    <row r="15">
      <c r="A15" s="31" t="s">
        <v>269</v>
      </c>
      <c r="B15" s="32" t="s">
        <v>270</v>
      </c>
      <c r="C15" s="33" t="b">
        <v>0</v>
      </c>
      <c r="D15" s="5" t="s">
        <v>318</v>
      </c>
    </row>
    <row r="16">
      <c r="A16" s="31" t="s">
        <v>204</v>
      </c>
      <c r="B16" s="32" t="s">
        <v>205</v>
      </c>
      <c r="C16" s="33" t="b">
        <v>1</v>
      </c>
      <c r="D16" s="5" t="s">
        <v>319</v>
      </c>
    </row>
    <row r="17">
      <c r="A17" s="31" t="s">
        <v>129</v>
      </c>
      <c r="B17" s="32" t="s">
        <v>130</v>
      </c>
      <c r="C17" s="33" t="b">
        <v>0</v>
      </c>
    </row>
    <row r="18">
      <c r="A18" s="31" t="s">
        <v>305</v>
      </c>
      <c r="B18" s="32" t="s">
        <v>306</v>
      </c>
      <c r="C18" s="33" t="b">
        <v>0</v>
      </c>
    </row>
    <row r="19">
      <c r="A19" s="31" t="s">
        <v>187</v>
      </c>
      <c r="B19" s="32" t="s">
        <v>188</v>
      </c>
      <c r="C19" s="33" t="b">
        <v>0</v>
      </c>
    </row>
    <row r="20">
      <c r="A20" s="31" t="s">
        <v>110</v>
      </c>
      <c r="B20" s="32" t="s">
        <v>111</v>
      </c>
      <c r="C20" s="33" t="b">
        <v>0</v>
      </c>
    </row>
    <row r="21">
      <c r="A21" s="31" t="s">
        <v>262</v>
      </c>
      <c r="B21" s="32" t="s">
        <v>263</v>
      </c>
      <c r="C21" s="33" t="b">
        <v>0</v>
      </c>
    </row>
    <row r="22">
      <c r="A22" s="31" t="s">
        <v>108</v>
      </c>
      <c r="B22" s="32" t="s">
        <v>109</v>
      </c>
      <c r="C22" s="33" t="b">
        <v>1</v>
      </c>
    </row>
    <row r="23">
      <c r="A23" s="31" t="s">
        <v>94</v>
      </c>
      <c r="B23" s="32" t="s">
        <v>95</v>
      </c>
      <c r="C23" s="33" t="b">
        <v>0</v>
      </c>
    </row>
    <row r="24">
      <c r="A24" s="31" t="s">
        <v>241</v>
      </c>
      <c r="B24" s="32" t="s">
        <v>242</v>
      </c>
      <c r="C24" s="33" t="b">
        <v>1</v>
      </c>
      <c r="D24" s="5" t="s">
        <v>320</v>
      </c>
    </row>
    <row r="25">
      <c r="A25" s="31" t="s">
        <v>249</v>
      </c>
      <c r="B25" s="32" t="s">
        <v>250</v>
      </c>
      <c r="C25" s="33" t="b">
        <v>0</v>
      </c>
    </row>
    <row r="26">
      <c r="A26" s="31" t="s">
        <v>247</v>
      </c>
      <c r="B26" s="32" t="s">
        <v>248</v>
      </c>
      <c r="C26" s="33" t="b">
        <v>0</v>
      </c>
    </row>
    <row r="27">
      <c r="A27" s="31" t="s">
        <v>298</v>
      </c>
      <c r="B27" s="32" t="s">
        <v>299</v>
      </c>
      <c r="C27" s="33" t="b">
        <v>0</v>
      </c>
    </row>
    <row r="28">
      <c r="A28" s="31" t="s">
        <v>279</v>
      </c>
      <c r="B28" s="32" t="s">
        <v>280</v>
      </c>
      <c r="C28" s="33" t="b">
        <v>1</v>
      </c>
      <c r="D28" s="5" t="s">
        <v>321</v>
      </c>
    </row>
    <row r="29">
      <c r="A29" s="31" t="s">
        <v>206</v>
      </c>
      <c r="B29" s="32" t="s">
        <v>207</v>
      </c>
      <c r="C29" s="33" t="b">
        <v>1</v>
      </c>
      <c r="D29" s="5" t="s">
        <v>322</v>
      </c>
    </row>
    <row r="30">
      <c r="A30" s="31" t="s">
        <v>214</v>
      </c>
      <c r="B30" s="32" t="s">
        <v>215</v>
      </c>
      <c r="C30" s="33" t="b">
        <v>0</v>
      </c>
    </row>
    <row r="31">
      <c r="A31" s="31" t="s">
        <v>120</v>
      </c>
      <c r="B31" s="32" t="s">
        <v>121</v>
      </c>
      <c r="C31" s="33" t="b">
        <v>1</v>
      </c>
    </row>
    <row r="32">
      <c r="A32" s="31" t="s">
        <v>277</v>
      </c>
      <c r="B32" s="32" t="s">
        <v>278</v>
      </c>
      <c r="C32" s="33" t="b">
        <v>1</v>
      </c>
    </row>
    <row r="33">
      <c r="A33" s="31" t="s">
        <v>273</v>
      </c>
      <c r="B33" s="32" t="s">
        <v>274</v>
      </c>
      <c r="C33" s="33" t="b">
        <v>1</v>
      </c>
    </row>
    <row r="34">
      <c r="A34" s="31" t="s">
        <v>141</v>
      </c>
      <c r="B34" s="32" t="s">
        <v>142</v>
      </c>
      <c r="C34" s="33" t="b">
        <v>0</v>
      </c>
    </row>
    <row r="35">
      <c r="A35" s="31" t="s">
        <v>285</v>
      </c>
      <c r="B35" s="32" t="s">
        <v>286</v>
      </c>
      <c r="C35" s="33" t="b">
        <v>0</v>
      </c>
    </row>
    <row r="36">
      <c r="A36" s="31" t="s">
        <v>104</v>
      </c>
      <c r="B36" s="32" t="s">
        <v>105</v>
      </c>
      <c r="C36" s="33" t="b">
        <v>0</v>
      </c>
    </row>
    <row r="37">
      <c r="A37" s="31" t="s">
        <v>112</v>
      </c>
      <c r="B37" s="32" t="s">
        <v>113</v>
      </c>
      <c r="C37" s="33" t="b">
        <v>1</v>
      </c>
    </row>
    <row r="38">
      <c r="A38" s="31" t="s">
        <v>180</v>
      </c>
      <c r="B38" s="32" t="s">
        <v>181</v>
      </c>
      <c r="C38" s="33" t="b">
        <v>1</v>
      </c>
      <c r="D38" s="5" t="s">
        <v>323</v>
      </c>
    </row>
    <row r="39">
      <c r="A39" s="31" t="s">
        <v>253</v>
      </c>
      <c r="B39" s="32" t="s">
        <v>254</v>
      </c>
      <c r="C39" s="33" t="b">
        <v>1</v>
      </c>
    </row>
    <row r="40">
      <c r="A40" s="31" t="s">
        <v>223</v>
      </c>
      <c r="B40" s="32" t="s">
        <v>224</v>
      </c>
      <c r="C40" s="33" t="b">
        <v>1</v>
      </c>
    </row>
    <row r="41">
      <c r="A41" s="31" t="s">
        <v>290</v>
      </c>
      <c r="B41" s="32" t="s">
        <v>291</v>
      </c>
      <c r="C41" s="33" t="b">
        <v>0</v>
      </c>
    </row>
    <row r="42">
      <c r="A42" s="31" t="s">
        <v>281</v>
      </c>
      <c r="B42" s="32" t="s">
        <v>282</v>
      </c>
      <c r="C42" s="33" t="b">
        <v>1</v>
      </c>
      <c r="D42" s="5" t="s">
        <v>324</v>
      </c>
    </row>
    <row r="43">
      <c r="A43" s="31" t="s">
        <v>158</v>
      </c>
      <c r="B43" s="32" t="s">
        <v>159</v>
      </c>
      <c r="C43" s="33" t="b">
        <v>1</v>
      </c>
      <c r="D43" s="5" t="s">
        <v>325</v>
      </c>
    </row>
    <row r="44">
      <c r="A44" s="31" t="s">
        <v>239</v>
      </c>
      <c r="B44" s="32" t="s">
        <v>240</v>
      </c>
      <c r="C44" s="33" t="b">
        <v>0</v>
      </c>
    </row>
    <row r="45">
      <c r="A45" s="31" t="s">
        <v>264</v>
      </c>
      <c r="B45" s="32" t="s">
        <v>265</v>
      </c>
      <c r="C45" s="33" t="b">
        <v>0</v>
      </c>
    </row>
    <row r="46">
      <c r="A46" s="31" t="s">
        <v>275</v>
      </c>
      <c r="B46" s="32" t="s">
        <v>276</v>
      </c>
      <c r="C46" s="33" t="b">
        <v>1</v>
      </c>
    </row>
    <row r="47">
      <c r="A47" s="31" t="s">
        <v>122</v>
      </c>
      <c r="B47" s="32" t="s">
        <v>123</v>
      </c>
      <c r="C47" s="33" t="b">
        <v>1</v>
      </c>
    </row>
    <row r="48">
      <c r="A48" s="31" t="s">
        <v>231</v>
      </c>
      <c r="B48" s="32" t="s">
        <v>232</v>
      </c>
      <c r="C48" s="33" t="b">
        <v>0</v>
      </c>
      <c r="D48" s="5" t="s">
        <v>326</v>
      </c>
    </row>
    <row r="49">
      <c r="A49" s="31" t="s">
        <v>216</v>
      </c>
      <c r="B49" s="32" t="s">
        <v>217</v>
      </c>
      <c r="C49" s="33" t="b">
        <v>0</v>
      </c>
      <c r="D49" s="5" t="s">
        <v>327</v>
      </c>
    </row>
    <row r="50">
      <c r="A50" s="31" t="s">
        <v>96</v>
      </c>
      <c r="B50" s="32" t="s">
        <v>97</v>
      </c>
      <c r="C50" s="33" t="b">
        <v>0</v>
      </c>
      <c r="D50" s="5" t="s">
        <v>328</v>
      </c>
    </row>
    <row r="51">
      <c r="A51" s="31" t="s">
        <v>309</v>
      </c>
      <c r="B51" s="32" t="s">
        <v>310</v>
      </c>
      <c r="C51" s="33" t="b">
        <v>0</v>
      </c>
    </row>
    <row r="52">
      <c r="A52" s="31" t="s">
        <v>149</v>
      </c>
      <c r="B52" s="32" t="s">
        <v>150</v>
      </c>
      <c r="C52" s="33" t="b">
        <v>0</v>
      </c>
    </row>
    <row r="53">
      <c r="A53" s="31" t="s">
        <v>283</v>
      </c>
      <c r="B53" s="32" t="s">
        <v>284</v>
      </c>
      <c r="C53" s="33" t="b">
        <v>1</v>
      </c>
    </row>
    <row r="54">
      <c r="A54" s="31" t="s">
        <v>237</v>
      </c>
      <c r="B54" s="32" t="s">
        <v>238</v>
      </c>
      <c r="C54" s="33" t="b">
        <v>1</v>
      </c>
    </row>
    <row r="55">
      <c r="A55" s="31" t="s">
        <v>307</v>
      </c>
      <c r="B55" s="32" t="s">
        <v>308</v>
      </c>
      <c r="C55" s="33" t="b">
        <v>0</v>
      </c>
      <c r="D55" s="5" t="s">
        <v>329</v>
      </c>
    </row>
    <row r="56">
      <c r="A56" s="31" t="s">
        <v>197</v>
      </c>
      <c r="B56" s="32" t="s">
        <v>198</v>
      </c>
      <c r="C56" s="33" t="b">
        <v>0</v>
      </c>
    </row>
    <row r="57">
      <c r="A57" s="31" t="s">
        <v>266</v>
      </c>
      <c r="B57" s="32" t="s">
        <v>267</v>
      </c>
      <c r="C57" s="33" t="b">
        <v>0</v>
      </c>
    </row>
    <row r="58">
      <c r="A58" s="31" t="s">
        <v>245</v>
      </c>
      <c r="B58" s="32" t="s">
        <v>246</v>
      </c>
      <c r="C58" s="33" t="b">
        <v>1</v>
      </c>
    </row>
    <row r="59">
      <c r="A59" s="31" t="s">
        <v>169</v>
      </c>
      <c r="B59" s="32" t="s">
        <v>170</v>
      </c>
      <c r="C59" s="33" t="b">
        <v>0</v>
      </c>
    </row>
    <row r="60">
      <c r="A60" s="31" t="s">
        <v>134</v>
      </c>
      <c r="B60" s="32" t="s">
        <v>135</v>
      </c>
      <c r="C60" s="33" t="b">
        <v>0</v>
      </c>
      <c r="D60" s="5" t="s">
        <v>330</v>
      </c>
    </row>
    <row r="61">
      <c r="A61" s="31" t="s">
        <v>193</v>
      </c>
      <c r="B61" s="32" t="s">
        <v>194</v>
      </c>
      <c r="C61" s="33" t="b">
        <v>1</v>
      </c>
    </row>
    <row r="62">
      <c r="A62" s="31" t="s">
        <v>143</v>
      </c>
      <c r="B62" s="32" t="s">
        <v>144</v>
      </c>
      <c r="C62" s="33" t="b">
        <v>1</v>
      </c>
    </row>
    <row r="63">
      <c r="A63" s="31" t="s">
        <v>243</v>
      </c>
      <c r="B63" s="32" t="s">
        <v>244</v>
      </c>
      <c r="C63" s="33" t="b">
        <v>1</v>
      </c>
    </row>
    <row r="64">
      <c r="A64" s="31" t="s">
        <v>139</v>
      </c>
      <c r="B64" s="32" t="s">
        <v>140</v>
      </c>
      <c r="C64" s="33" t="b">
        <v>1</v>
      </c>
    </row>
    <row r="65">
      <c r="A65" s="31" t="s">
        <v>156</v>
      </c>
      <c r="B65" s="32" t="s">
        <v>157</v>
      </c>
      <c r="C65" s="33" t="b">
        <v>1</v>
      </c>
    </row>
    <row r="66">
      <c r="A66" s="31" t="s">
        <v>115</v>
      </c>
      <c r="B66" s="32" t="s">
        <v>116</v>
      </c>
      <c r="C66" s="33" t="b">
        <v>0</v>
      </c>
    </row>
    <row r="67">
      <c r="A67" s="31" t="s">
        <v>287</v>
      </c>
      <c r="B67" s="32" t="s">
        <v>288</v>
      </c>
      <c r="C67" s="33" t="b">
        <v>0</v>
      </c>
    </row>
    <row r="68">
      <c r="A68" s="31" t="s">
        <v>189</v>
      </c>
      <c r="B68" s="32" t="s">
        <v>190</v>
      </c>
      <c r="C68" s="33" t="b">
        <v>1</v>
      </c>
    </row>
    <row r="69">
      <c r="A69" s="31" t="s">
        <v>118</v>
      </c>
      <c r="B69" s="32" t="s">
        <v>119</v>
      </c>
      <c r="C69" s="33" t="b">
        <v>1</v>
      </c>
      <c r="D69" s="5" t="s">
        <v>331</v>
      </c>
    </row>
    <row r="70">
      <c r="A70" s="31" t="s">
        <v>99</v>
      </c>
      <c r="B70" s="32" t="s">
        <v>100</v>
      </c>
      <c r="C70" s="33" t="b">
        <v>0</v>
      </c>
    </row>
    <row r="71">
      <c r="A71" s="31" t="s">
        <v>233</v>
      </c>
      <c r="B71" s="32" t="s">
        <v>234</v>
      </c>
      <c r="C71" s="33" t="b">
        <v>0</v>
      </c>
    </row>
    <row r="72">
      <c r="A72" s="31" t="s">
        <v>220</v>
      </c>
      <c r="B72" s="32" t="s">
        <v>221</v>
      </c>
      <c r="C72" s="33" t="b">
        <v>0</v>
      </c>
      <c r="D72" s="5" t="s">
        <v>332</v>
      </c>
    </row>
    <row r="73">
      <c r="A73" s="31" t="s">
        <v>294</v>
      </c>
      <c r="B73" s="32" t="s">
        <v>295</v>
      </c>
      <c r="C73" s="33" t="b">
        <v>0</v>
      </c>
      <c r="D73" s="5" t="s">
        <v>333</v>
      </c>
    </row>
    <row r="74">
      <c r="A74" s="31" t="s">
        <v>218</v>
      </c>
      <c r="B74" s="32" t="s">
        <v>219</v>
      </c>
      <c r="C74" s="33" t="b">
        <v>0</v>
      </c>
    </row>
    <row r="75">
      <c r="A75" s="31" t="s">
        <v>199</v>
      </c>
      <c r="B75" s="32" t="s">
        <v>200</v>
      </c>
      <c r="C75" s="33" t="b">
        <v>0</v>
      </c>
      <c r="D75" s="5" t="s">
        <v>334</v>
      </c>
    </row>
    <row r="76">
      <c r="A76" s="31" t="s">
        <v>124</v>
      </c>
      <c r="B76" s="32" t="s">
        <v>125</v>
      </c>
      <c r="C76" s="33" t="b">
        <v>1</v>
      </c>
    </row>
    <row r="77">
      <c r="A77" s="31" t="s">
        <v>161</v>
      </c>
      <c r="B77" s="32" t="s">
        <v>162</v>
      </c>
      <c r="C77" s="33" t="b">
        <v>0</v>
      </c>
    </row>
    <row r="78">
      <c r="A78" s="31" t="s">
        <v>92</v>
      </c>
      <c r="B78" s="32" t="s">
        <v>93</v>
      </c>
      <c r="C78" s="33" t="b">
        <v>0</v>
      </c>
    </row>
    <row r="79">
      <c r="A79" s="31" t="s">
        <v>209</v>
      </c>
      <c r="B79" s="32" t="s">
        <v>210</v>
      </c>
      <c r="C79" s="33" t="b">
        <v>0</v>
      </c>
    </row>
    <row r="80">
      <c r="A80" s="31" t="s">
        <v>172</v>
      </c>
      <c r="B80" s="32" t="s">
        <v>173</v>
      </c>
      <c r="C80" s="33" t="b">
        <v>0</v>
      </c>
    </row>
    <row r="81">
      <c r="A81" s="31" t="s">
        <v>126</v>
      </c>
      <c r="B81" s="32" t="s">
        <v>127</v>
      </c>
      <c r="C81" s="33" t="b">
        <v>0</v>
      </c>
      <c r="D81" s="5" t="s">
        <v>335</v>
      </c>
    </row>
    <row r="82">
      <c r="A82" s="31" t="s">
        <v>191</v>
      </c>
      <c r="B82" s="32" t="s">
        <v>192</v>
      </c>
      <c r="C82" s="33" t="b">
        <v>1</v>
      </c>
    </row>
    <row r="83">
      <c r="A83" s="31" t="s">
        <v>184</v>
      </c>
      <c r="B83" s="32" t="s">
        <v>185</v>
      </c>
      <c r="C83" s="33" t="b">
        <v>0</v>
      </c>
    </row>
    <row r="84">
      <c r="A84" s="31" t="s">
        <v>211</v>
      </c>
      <c r="B84" s="32" t="s">
        <v>212</v>
      </c>
      <c r="C84" s="33" t="b">
        <v>1</v>
      </c>
    </row>
    <row r="85">
      <c r="A85" s="31" t="s">
        <v>132</v>
      </c>
      <c r="B85" s="32" t="s">
        <v>133</v>
      </c>
      <c r="C85" s="33" t="b">
        <v>0</v>
      </c>
    </row>
    <row r="86">
      <c r="A86" s="31" t="s">
        <v>300</v>
      </c>
      <c r="B86" s="32" t="s">
        <v>301</v>
      </c>
      <c r="C86" s="33" t="b">
        <v>1</v>
      </c>
    </row>
    <row r="87">
      <c r="A87" s="31" t="s">
        <v>296</v>
      </c>
      <c r="B87" s="32" t="s">
        <v>297</v>
      </c>
      <c r="C87" s="33" t="b">
        <v>1</v>
      </c>
    </row>
    <row r="88">
      <c r="A88" s="31" t="s">
        <v>167</v>
      </c>
      <c r="B88" s="32" t="s">
        <v>168</v>
      </c>
      <c r="C88" s="33" t="b">
        <v>0</v>
      </c>
    </row>
    <row r="89">
      <c r="A89" s="31" t="s">
        <v>151</v>
      </c>
      <c r="B89" s="32" t="s">
        <v>152</v>
      </c>
      <c r="C89" s="33" t="b">
        <v>0</v>
      </c>
    </row>
    <row r="90">
      <c r="A90" s="31" t="s">
        <v>227</v>
      </c>
      <c r="B90" s="32" t="s">
        <v>228</v>
      </c>
      <c r="C90" s="33" t="b">
        <v>0</v>
      </c>
      <c r="D90" s="5" t="s">
        <v>336</v>
      </c>
    </row>
    <row r="91">
      <c r="A91" s="31" t="s">
        <v>195</v>
      </c>
      <c r="B91" s="32" t="s">
        <v>196</v>
      </c>
      <c r="C91" s="33" t="b">
        <v>0</v>
      </c>
      <c r="D91" s="5" t="s">
        <v>337</v>
      </c>
    </row>
    <row r="92">
      <c r="A92" s="31" t="s">
        <v>256</v>
      </c>
      <c r="B92" s="32" t="s">
        <v>257</v>
      </c>
      <c r="C92" s="33" t="b">
        <v>0</v>
      </c>
    </row>
    <row r="93">
      <c r="A93" s="31" t="s">
        <v>106</v>
      </c>
      <c r="B93" s="32" t="s">
        <v>107</v>
      </c>
      <c r="C93" s="33" t="b">
        <v>1</v>
      </c>
    </row>
    <row r="94">
      <c r="A94" s="31" t="s">
        <v>101</v>
      </c>
      <c r="B94" s="32" t="s">
        <v>102</v>
      </c>
      <c r="C94" s="33" t="b">
        <v>0</v>
      </c>
    </row>
    <row r="95">
      <c r="A95" s="31" t="s">
        <v>137</v>
      </c>
      <c r="B95" s="32" t="s">
        <v>138</v>
      </c>
      <c r="C95" s="33" t="b">
        <v>0</v>
      </c>
    </row>
    <row r="96">
      <c r="A96" s="31" t="s">
        <v>153</v>
      </c>
      <c r="B96" s="32" t="s">
        <v>154</v>
      </c>
      <c r="C96" s="33" t="b">
        <v>0</v>
      </c>
      <c r="D96" s="5" t="s">
        <v>338</v>
      </c>
    </row>
    <row r="97">
      <c r="A97" s="31" t="s">
        <v>176</v>
      </c>
      <c r="B97" s="32" t="s">
        <v>177</v>
      </c>
      <c r="C97" s="33" t="b">
        <v>0</v>
      </c>
    </row>
    <row r="98">
      <c r="A98" s="31" t="s">
        <v>225</v>
      </c>
      <c r="B98" s="32" t="s">
        <v>226</v>
      </c>
      <c r="C98" s="33" t="b">
        <v>1</v>
      </c>
    </row>
    <row r="99">
      <c r="A99" s="31" t="s">
        <v>178</v>
      </c>
      <c r="B99" s="32" t="s">
        <v>179</v>
      </c>
      <c r="C99" s="33" t="b">
        <v>0</v>
      </c>
    </row>
    <row r="100">
      <c r="A100" s="31" t="s">
        <v>147</v>
      </c>
      <c r="B100" s="32" t="s">
        <v>148</v>
      </c>
      <c r="C100" s="33" t="b">
        <v>0</v>
      </c>
    </row>
    <row r="101">
      <c r="A101" s="31" t="s">
        <v>163</v>
      </c>
      <c r="B101" s="32" t="s">
        <v>164</v>
      </c>
      <c r="C101" s="33" t="b">
        <v>1</v>
      </c>
    </row>
  </sheetData>
  <dataValidations>
    <dataValidation type="list" allowBlank="1" showErrorMessage="1" sqref="C2:C101">
      <formula1>"TO DO,TRUE,FALSE,SKIP"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 customWidth="1" min="11" max="11" width="17.13"/>
  </cols>
  <sheetData>
    <row r="1">
      <c r="A1" s="37" t="s">
        <v>339</v>
      </c>
      <c r="B1" s="37" t="s">
        <v>340</v>
      </c>
      <c r="C1" s="37" t="s">
        <v>341</v>
      </c>
      <c r="D1" s="37" t="s">
        <v>342</v>
      </c>
      <c r="E1" s="37" t="s">
        <v>343</v>
      </c>
      <c r="F1" s="37" t="s">
        <v>344</v>
      </c>
      <c r="G1" s="37" t="s">
        <v>345</v>
      </c>
      <c r="H1" s="37" t="s">
        <v>346</v>
      </c>
      <c r="I1" s="38" t="s">
        <v>347</v>
      </c>
      <c r="J1" s="37" t="s">
        <v>348</v>
      </c>
      <c r="K1" s="39" t="s">
        <v>349</v>
      </c>
    </row>
    <row r="2">
      <c r="A2" s="40" t="s">
        <v>350</v>
      </c>
      <c r="B2" s="40" t="s">
        <v>209</v>
      </c>
      <c r="C2" s="40" t="s">
        <v>210</v>
      </c>
      <c r="D2" s="41">
        <v>11.0</v>
      </c>
      <c r="E2" s="42">
        <v>3.0</v>
      </c>
      <c r="F2" s="42">
        <v>0.0</v>
      </c>
      <c r="G2" s="42">
        <v>3.0</v>
      </c>
      <c r="H2" s="42">
        <v>1.0</v>
      </c>
      <c r="I2" s="43" t="b">
        <v>0</v>
      </c>
      <c r="J2" s="12" t="s">
        <v>351</v>
      </c>
      <c r="K2" s="13" t="s">
        <v>352</v>
      </c>
    </row>
    <row r="3">
      <c r="A3" s="40" t="s">
        <v>353</v>
      </c>
      <c r="B3" s="40" t="s">
        <v>231</v>
      </c>
      <c r="C3" s="40" t="s">
        <v>232</v>
      </c>
      <c r="D3" s="41">
        <v>11.0</v>
      </c>
      <c r="E3" s="42">
        <v>4.0</v>
      </c>
      <c r="F3" s="42">
        <v>0.0</v>
      </c>
      <c r="G3" s="42">
        <v>4.0</v>
      </c>
      <c r="H3" s="42">
        <v>1.0</v>
      </c>
      <c r="I3" s="43" t="b">
        <v>0</v>
      </c>
      <c r="J3" s="12" t="s">
        <v>351</v>
      </c>
      <c r="K3" s="13" t="s">
        <v>352</v>
      </c>
    </row>
    <row r="4">
      <c r="A4" s="40" t="s">
        <v>354</v>
      </c>
      <c r="B4" s="40" t="s">
        <v>260</v>
      </c>
      <c r="C4" s="40" t="s">
        <v>261</v>
      </c>
      <c r="D4" s="41">
        <v>11.0</v>
      </c>
      <c r="E4" s="42">
        <v>4.0</v>
      </c>
      <c r="F4" s="42">
        <v>0.0</v>
      </c>
      <c r="G4" s="42">
        <v>4.0</v>
      </c>
      <c r="H4" s="42">
        <v>1.0</v>
      </c>
      <c r="I4" s="43" t="b">
        <v>0</v>
      </c>
      <c r="J4" s="12" t="s">
        <v>351</v>
      </c>
      <c r="K4" s="13" t="s">
        <v>352</v>
      </c>
    </row>
    <row r="5">
      <c r="A5" s="40" t="s">
        <v>355</v>
      </c>
      <c r="B5" s="40" t="s">
        <v>235</v>
      </c>
      <c r="C5" s="40" t="s">
        <v>236</v>
      </c>
      <c r="D5" s="41">
        <v>11.0</v>
      </c>
      <c r="E5" s="42">
        <v>0.0</v>
      </c>
      <c r="F5" s="42">
        <v>12.0</v>
      </c>
      <c r="G5" s="42">
        <v>12.0</v>
      </c>
      <c r="H5" s="42">
        <v>1.0</v>
      </c>
      <c r="I5" s="43" t="b">
        <v>1</v>
      </c>
      <c r="J5" s="12" t="s">
        <v>351</v>
      </c>
      <c r="K5" s="13" t="s">
        <v>352</v>
      </c>
    </row>
    <row r="6">
      <c r="A6" s="40" t="s">
        <v>356</v>
      </c>
      <c r="B6" s="40" t="s">
        <v>165</v>
      </c>
      <c r="C6" s="40" t="s">
        <v>166</v>
      </c>
      <c r="D6" s="41">
        <v>11.0</v>
      </c>
      <c r="E6" s="42">
        <v>0.0</v>
      </c>
      <c r="F6" s="42">
        <v>19.0</v>
      </c>
      <c r="G6" s="42">
        <v>19.0</v>
      </c>
      <c r="H6" s="42">
        <v>1.0</v>
      </c>
      <c r="I6" s="43" t="b">
        <v>1</v>
      </c>
      <c r="J6" s="12" t="s">
        <v>351</v>
      </c>
      <c r="K6" s="13" t="s">
        <v>352</v>
      </c>
    </row>
    <row r="7">
      <c r="A7" s="40" t="s">
        <v>357</v>
      </c>
      <c r="B7" s="40" t="s">
        <v>199</v>
      </c>
      <c r="C7" s="40" t="s">
        <v>200</v>
      </c>
      <c r="D7" s="41">
        <v>11.0</v>
      </c>
      <c r="E7" s="42">
        <v>4.0</v>
      </c>
      <c r="F7" s="42">
        <v>0.0</v>
      </c>
      <c r="G7" s="42">
        <v>4.0</v>
      </c>
      <c r="H7" s="42">
        <v>1.0</v>
      </c>
      <c r="I7" s="43" t="b">
        <v>0</v>
      </c>
      <c r="J7" s="12" t="s">
        <v>351</v>
      </c>
      <c r="K7" s="13" t="s">
        <v>352</v>
      </c>
    </row>
    <row r="8">
      <c r="A8" s="40" t="s">
        <v>358</v>
      </c>
      <c r="B8" s="40" t="s">
        <v>294</v>
      </c>
      <c r="C8" s="40" t="s">
        <v>295</v>
      </c>
      <c r="D8" s="41">
        <v>11.0</v>
      </c>
      <c r="E8" s="42">
        <v>4.0</v>
      </c>
      <c r="F8" s="42">
        <v>0.0</v>
      </c>
      <c r="G8" s="42">
        <v>4.0</v>
      </c>
      <c r="H8" s="42">
        <v>1.0</v>
      </c>
      <c r="I8" s="43" t="b">
        <v>0</v>
      </c>
      <c r="J8" s="12" t="s">
        <v>351</v>
      </c>
      <c r="K8" s="13" t="s">
        <v>352</v>
      </c>
    </row>
    <row r="9">
      <c r="A9" s="40" t="s">
        <v>359</v>
      </c>
      <c r="B9" s="40" t="s">
        <v>216</v>
      </c>
      <c r="C9" s="40" t="s">
        <v>217</v>
      </c>
      <c r="D9" s="41">
        <v>11.0</v>
      </c>
      <c r="E9" s="42">
        <v>4.0</v>
      </c>
      <c r="F9" s="42">
        <v>0.0</v>
      </c>
      <c r="G9" s="42">
        <v>4.0</v>
      </c>
      <c r="H9" s="42">
        <v>1.0</v>
      </c>
      <c r="I9" s="43" t="b">
        <v>0</v>
      </c>
      <c r="J9" s="12" t="s">
        <v>351</v>
      </c>
      <c r="K9" s="13" t="s">
        <v>352</v>
      </c>
    </row>
    <row r="10">
      <c r="A10" s="40" t="s">
        <v>350</v>
      </c>
      <c r="B10" s="40" t="s">
        <v>305</v>
      </c>
      <c r="C10" s="40" t="s">
        <v>306</v>
      </c>
      <c r="D10" s="41">
        <v>11.0</v>
      </c>
      <c r="E10" s="42">
        <v>9.0</v>
      </c>
      <c r="F10" s="42">
        <v>0.0</v>
      </c>
      <c r="G10" s="42">
        <v>9.0</v>
      </c>
      <c r="H10" s="42">
        <v>1.0</v>
      </c>
      <c r="I10" s="43" t="b">
        <v>0</v>
      </c>
      <c r="J10" s="12" t="s">
        <v>351</v>
      </c>
      <c r="K10" s="13" t="s">
        <v>352</v>
      </c>
    </row>
    <row r="11">
      <c r="A11" s="40" t="s">
        <v>360</v>
      </c>
      <c r="B11" s="40" t="s">
        <v>112</v>
      </c>
      <c r="C11" s="40" t="s">
        <v>113</v>
      </c>
      <c r="D11" s="41">
        <v>11.0</v>
      </c>
      <c r="E11" s="42">
        <v>60.0</v>
      </c>
      <c r="F11" s="42">
        <v>913.0</v>
      </c>
      <c r="G11" s="42">
        <v>973.0</v>
      </c>
      <c r="H11" s="42">
        <v>0.87667009249743</v>
      </c>
      <c r="I11" s="43" t="b">
        <v>1</v>
      </c>
      <c r="J11" s="12" t="s">
        <v>351</v>
      </c>
      <c r="K11" s="13" t="s">
        <v>352</v>
      </c>
    </row>
    <row r="12">
      <c r="A12" s="40" t="s">
        <v>361</v>
      </c>
      <c r="B12" s="40" t="s">
        <v>118</v>
      </c>
      <c r="C12" s="40" t="s">
        <v>119</v>
      </c>
      <c r="D12" s="41">
        <v>11.0</v>
      </c>
      <c r="E12" s="42">
        <v>1.0</v>
      </c>
      <c r="F12" s="42">
        <v>12.0</v>
      </c>
      <c r="G12" s="42">
        <v>13.0</v>
      </c>
      <c r="H12" s="42">
        <v>0.846153846153846</v>
      </c>
      <c r="I12" s="43" t="b">
        <v>1</v>
      </c>
      <c r="J12" s="12" t="s">
        <v>351</v>
      </c>
      <c r="K12" s="13" t="s">
        <v>352</v>
      </c>
    </row>
    <row r="13">
      <c r="A13" s="40" t="s">
        <v>353</v>
      </c>
      <c r="B13" s="40" t="s">
        <v>129</v>
      </c>
      <c r="C13" s="40" t="s">
        <v>130</v>
      </c>
      <c r="D13" s="41">
        <v>11.0</v>
      </c>
      <c r="E13" s="42">
        <v>1.0</v>
      </c>
      <c r="F13" s="42">
        <v>10.0</v>
      </c>
      <c r="G13" s="42">
        <v>11.0</v>
      </c>
      <c r="H13" s="42">
        <v>0.818181818181818</v>
      </c>
      <c r="I13" s="43" t="b">
        <v>1</v>
      </c>
      <c r="J13" s="12" t="s">
        <v>351</v>
      </c>
      <c r="K13" s="13" t="s">
        <v>352</v>
      </c>
    </row>
    <row r="14">
      <c r="A14" s="40" t="s">
        <v>362</v>
      </c>
      <c r="B14" s="40" t="s">
        <v>134</v>
      </c>
      <c r="C14" s="40" t="s">
        <v>135</v>
      </c>
      <c r="D14" s="41">
        <v>11.0</v>
      </c>
      <c r="E14" s="42">
        <v>1.0</v>
      </c>
      <c r="F14" s="42">
        <v>9.0</v>
      </c>
      <c r="G14" s="42">
        <v>10.0</v>
      </c>
      <c r="H14" s="42">
        <v>0.8</v>
      </c>
      <c r="I14" s="43" t="b">
        <v>1</v>
      </c>
      <c r="J14" s="12" t="s">
        <v>363</v>
      </c>
      <c r="K14" s="13" t="s">
        <v>352</v>
      </c>
    </row>
    <row r="15">
      <c r="A15" s="40" t="s">
        <v>353</v>
      </c>
      <c r="B15" s="40" t="s">
        <v>169</v>
      </c>
      <c r="C15" s="40" t="s">
        <v>170</v>
      </c>
      <c r="D15" s="41">
        <v>11.0</v>
      </c>
      <c r="E15" s="42">
        <v>1.0</v>
      </c>
      <c r="F15" s="42">
        <v>9.0</v>
      </c>
      <c r="G15" s="42">
        <v>10.0</v>
      </c>
      <c r="H15" s="42">
        <v>0.8</v>
      </c>
      <c r="I15" s="43" t="b">
        <v>1</v>
      </c>
      <c r="J15" s="12" t="s">
        <v>363</v>
      </c>
      <c r="K15" s="13" t="s">
        <v>352</v>
      </c>
    </row>
    <row r="16">
      <c r="A16" s="40" t="s">
        <v>364</v>
      </c>
      <c r="B16" s="40" t="s">
        <v>256</v>
      </c>
      <c r="C16" s="40" t="s">
        <v>257</v>
      </c>
      <c r="D16" s="41">
        <v>11.0</v>
      </c>
      <c r="E16" s="42">
        <v>8.0</v>
      </c>
      <c r="F16" s="42">
        <v>1.0</v>
      </c>
      <c r="G16" s="42">
        <v>9.0</v>
      </c>
      <c r="H16" s="42">
        <v>0.777777777777777</v>
      </c>
      <c r="I16" s="43" t="b">
        <v>0</v>
      </c>
      <c r="J16" s="12" t="s">
        <v>363</v>
      </c>
      <c r="K16" s="13" t="s">
        <v>352</v>
      </c>
    </row>
    <row r="17">
      <c r="A17" s="40" t="s">
        <v>354</v>
      </c>
      <c r="B17" s="40" t="s">
        <v>92</v>
      </c>
      <c r="C17" s="40" t="s">
        <v>93</v>
      </c>
      <c r="D17" s="41">
        <v>11.0</v>
      </c>
      <c r="E17" s="42">
        <v>8.0</v>
      </c>
      <c r="F17" s="42">
        <v>1.0</v>
      </c>
      <c r="G17" s="42">
        <v>9.0</v>
      </c>
      <c r="H17" s="42">
        <v>0.777777777777777</v>
      </c>
      <c r="I17" s="43" t="b">
        <v>0</v>
      </c>
      <c r="J17" s="12" t="s">
        <v>363</v>
      </c>
      <c r="K17" s="13" t="s">
        <v>352</v>
      </c>
    </row>
    <row r="18">
      <c r="A18" s="40" t="s">
        <v>365</v>
      </c>
      <c r="B18" s="40" t="s">
        <v>220</v>
      </c>
      <c r="C18" s="40" t="s">
        <v>221</v>
      </c>
      <c r="D18" s="41">
        <v>11.0</v>
      </c>
      <c r="E18" s="42">
        <v>2.0</v>
      </c>
      <c r="F18" s="42">
        <v>9.0</v>
      </c>
      <c r="G18" s="42">
        <v>11.0</v>
      </c>
      <c r="H18" s="42">
        <v>0.636363636363636</v>
      </c>
      <c r="I18" s="43" t="b">
        <v>1</v>
      </c>
      <c r="J18" s="12" t="s">
        <v>363</v>
      </c>
      <c r="K18" s="13" t="s">
        <v>352</v>
      </c>
    </row>
    <row r="19">
      <c r="A19" s="40" t="s">
        <v>366</v>
      </c>
      <c r="B19" s="40" t="s">
        <v>237</v>
      </c>
      <c r="C19" s="40" t="s">
        <v>238</v>
      </c>
      <c r="D19" s="41">
        <v>11.0</v>
      </c>
      <c r="E19" s="42">
        <v>2.0</v>
      </c>
      <c r="F19" s="42">
        <v>9.0</v>
      </c>
      <c r="G19" s="42">
        <v>11.0</v>
      </c>
      <c r="H19" s="42">
        <v>0.636363636363636</v>
      </c>
      <c r="I19" s="43" t="b">
        <v>1</v>
      </c>
      <c r="J19" s="12" t="s">
        <v>363</v>
      </c>
      <c r="K19" s="13" t="s">
        <v>352</v>
      </c>
    </row>
    <row r="20">
      <c r="A20" s="40" t="s">
        <v>353</v>
      </c>
      <c r="B20" s="40" t="s">
        <v>285</v>
      </c>
      <c r="C20" s="40" t="s">
        <v>286</v>
      </c>
      <c r="D20" s="41">
        <v>11.0</v>
      </c>
      <c r="E20" s="42">
        <v>2.0</v>
      </c>
      <c r="F20" s="42">
        <v>9.0</v>
      </c>
      <c r="G20" s="42">
        <v>11.0</v>
      </c>
      <c r="H20" s="42">
        <v>0.636363636363636</v>
      </c>
      <c r="I20" s="43" t="b">
        <v>1</v>
      </c>
      <c r="J20" s="12" t="s">
        <v>363</v>
      </c>
      <c r="K20" s="13" t="s">
        <v>352</v>
      </c>
    </row>
    <row r="21">
      <c r="A21" s="40" t="s">
        <v>354</v>
      </c>
      <c r="B21" s="40" t="s">
        <v>298</v>
      </c>
      <c r="C21" s="40" t="s">
        <v>299</v>
      </c>
      <c r="D21" s="41">
        <v>11.0</v>
      </c>
      <c r="E21" s="42">
        <v>2.0</v>
      </c>
      <c r="F21" s="42">
        <v>8.0</v>
      </c>
      <c r="G21" s="42">
        <v>10.0</v>
      </c>
      <c r="H21" s="42">
        <v>0.6</v>
      </c>
      <c r="I21" s="43" t="b">
        <v>1</v>
      </c>
      <c r="J21" s="12" t="s">
        <v>367</v>
      </c>
      <c r="K21" s="13" t="s">
        <v>352</v>
      </c>
    </row>
    <row r="22">
      <c r="A22" s="40" t="s">
        <v>359</v>
      </c>
      <c r="B22" s="40" t="s">
        <v>122</v>
      </c>
      <c r="C22" s="40" t="s">
        <v>123</v>
      </c>
      <c r="D22" s="41">
        <v>11.0</v>
      </c>
      <c r="E22" s="42">
        <v>2.0</v>
      </c>
      <c r="F22" s="42">
        <v>8.0</v>
      </c>
      <c r="G22" s="42">
        <v>10.0</v>
      </c>
      <c r="H22" s="42">
        <v>0.6</v>
      </c>
      <c r="I22" s="43" t="b">
        <v>1</v>
      </c>
      <c r="J22" s="12" t="s">
        <v>367</v>
      </c>
      <c r="K22" s="13" t="s">
        <v>352</v>
      </c>
    </row>
    <row r="23">
      <c r="A23" s="40" t="s">
        <v>368</v>
      </c>
      <c r="B23" s="40" t="s">
        <v>193</v>
      </c>
      <c r="C23" s="40" t="s">
        <v>194</v>
      </c>
      <c r="D23" s="41">
        <v>11.0</v>
      </c>
      <c r="E23" s="42">
        <v>2.0</v>
      </c>
      <c r="F23" s="42">
        <v>8.0</v>
      </c>
      <c r="G23" s="42">
        <v>10.0</v>
      </c>
      <c r="H23" s="42">
        <v>0.6</v>
      </c>
      <c r="I23" s="43" t="b">
        <v>1</v>
      </c>
      <c r="J23" s="12" t="s">
        <v>367</v>
      </c>
      <c r="K23" s="13" t="s">
        <v>352</v>
      </c>
    </row>
    <row r="24">
      <c r="A24" s="40" t="s">
        <v>362</v>
      </c>
      <c r="B24" s="40" t="s">
        <v>264</v>
      </c>
      <c r="C24" s="40" t="s">
        <v>265</v>
      </c>
      <c r="D24" s="41">
        <v>11.0</v>
      </c>
      <c r="E24" s="42">
        <v>7.0</v>
      </c>
      <c r="F24" s="42">
        <v>2.0</v>
      </c>
      <c r="G24" s="42">
        <v>9.0</v>
      </c>
      <c r="H24" s="42">
        <v>0.555555555555555</v>
      </c>
      <c r="I24" s="43" t="b">
        <v>0</v>
      </c>
      <c r="J24" s="12" t="s">
        <v>367</v>
      </c>
      <c r="K24" s="13" t="s">
        <v>352</v>
      </c>
    </row>
    <row r="25">
      <c r="A25" s="40" t="s">
        <v>350</v>
      </c>
      <c r="B25" s="40" t="s">
        <v>161</v>
      </c>
      <c r="C25" s="40" t="s">
        <v>162</v>
      </c>
      <c r="D25" s="41">
        <v>11.0</v>
      </c>
      <c r="E25" s="42">
        <v>7.0</v>
      </c>
      <c r="F25" s="42">
        <v>2.0</v>
      </c>
      <c r="G25" s="42">
        <v>9.0</v>
      </c>
      <c r="H25" s="42">
        <v>0.555555555555555</v>
      </c>
      <c r="I25" s="43" t="b">
        <v>0</v>
      </c>
      <c r="J25" s="12" t="s">
        <v>367</v>
      </c>
      <c r="K25" s="13" t="s">
        <v>352</v>
      </c>
    </row>
    <row r="26">
      <c r="A26" s="40" t="s">
        <v>354</v>
      </c>
      <c r="B26" s="40" t="s">
        <v>309</v>
      </c>
      <c r="C26" s="40" t="s">
        <v>310</v>
      </c>
      <c r="D26" s="41">
        <v>11.0</v>
      </c>
      <c r="E26" s="42">
        <v>7.0</v>
      </c>
      <c r="F26" s="42">
        <v>2.0</v>
      </c>
      <c r="G26" s="42">
        <v>9.0</v>
      </c>
      <c r="H26" s="42">
        <v>0.555555555555555</v>
      </c>
      <c r="I26" s="43" t="b">
        <v>0</v>
      </c>
      <c r="J26" s="12" t="s">
        <v>367</v>
      </c>
      <c r="K26" s="13" t="s">
        <v>352</v>
      </c>
    </row>
    <row r="27">
      <c r="A27" s="40" t="s">
        <v>350</v>
      </c>
      <c r="B27" s="40" t="s">
        <v>110</v>
      </c>
      <c r="C27" s="40" t="s">
        <v>111</v>
      </c>
      <c r="D27" s="41">
        <v>11.0</v>
      </c>
      <c r="E27" s="42">
        <v>7.0</v>
      </c>
      <c r="F27" s="42">
        <v>2.0</v>
      </c>
      <c r="G27" s="42">
        <v>9.0</v>
      </c>
      <c r="H27" s="42">
        <v>0.555555555555555</v>
      </c>
      <c r="I27" s="43" t="b">
        <v>0</v>
      </c>
      <c r="J27" s="12" t="s">
        <v>367</v>
      </c>
      <c r="K27" s="13" t="s">
        <v>352</v>
      </c>
    </row>
    <row r="28">
      <c r="A28" s="40" t="s">
        <v>353</v>
      </c>
      <c r="B28" s="40" t="s">
        <v>96</v>
      </c>
      <c r="C28" s="40" t="s">
        <v>97</v>
      </c>
      <c r="D28" s="41">
        <v>11.0</v>
      </c>
      <c r="E28" s="42">
        <v>7.0</v>
      </c>
      <c r="F28" s="42">
        <v>2.0</v>
      </c>
      <c r="G28" s="42">
        <v>9.0</v>
      </c>
      <c r="H28" s="42">
        <v>0.555555555555555</v>
      </c>
      <c r="I28" s="43" t="b">
        <v>0</v>
      </c>
      <c r="J28" s="12" t="s">
        <v>367</v>
      </c>
      <c r="K28" s="13" t="s">
        <v>352</v>
      </c>
    </row>
    <row r="29">
      <c r="A29" s="40" t="s">
        <v>369</v>
      </c>
      <c r="B29" s="40" t="s">
        <v>178</v>
      </c>
      <c r="C29" s="40" t="s">
        <v>179</v>
      </c>
      <c r="D29" s="41">
        <v>11.0</v>
      </c>
      <c r="E29" s="42">
        <v>7.0</v>
      </c>
      <c r="F29" s="42">
        <v>2.0</v>
      </c>
      <c r="G29" s="42">
        <v>9.0</v>
      </c>
      <c r="H29" s="42">
        <v>0.555555555555555</v>
      </c>
      <c r="I29" s="43" t="b">
        <v>0</v>
      </c>
      <c r="J29" s="12" t="s">
        <v>367</v>
      </c>
      <c r="K29" s="13" t="s">
        <v>352</v>
      </c>
    </row>
    <row r="30">
      <c r="A30" s="40" t="s">
        <v>353</v>
      </c>
      <c r="B30" s="40" t="s">
        <v>167</v>
      </c>
      <c r="C30" s="40" t="s">
        <v>168</v>
      </c>
      <c r="D30" s="41">
        <v>11.0</v>
      </c>
      <c r="E30" s="42">
        <v>3.0</v>
      </c>
      <c r="F30" s="42">
        <v>10.0</v>
      </c>
      <c r="G30" s="42">
        <v>13.0</v>
      </c>
      <c r="H30" s="42">
        <v>0.538461538461538</v>
      </c>
      <c r="I30" s="43" t="b">
        <v>1</v>
      </c>
      <c r="J30" s="12" t="s">
        <v>367</v>
      </c>
      <c r="K30" s="13" t="s">
        <v>352</v>
      </c>
    </row>
    <row r="31">
      <c r="A31" s="40" t="s">
        <v>365</v>
      </c>
      <c r="B31" s="40" t="s">
        <v>187</v>
      </c>
      <c r="C31" s="40" t="s">
        <v>188</v>
      </c>
      <c r="D31" s="41">
        <v>11.0</v>
      </c>
      <c r="E31" s="42">
        <v>3.0</v>
      </c>
      <c r="F31" s="42">
        <v>9.0</v>
      </c>
      <c r="G31" s="42">
        <v>12.0</v>
      </c>
      <c r="H31" s="42">
        <v>0.5</v>
      </c>
      <c r="I31" s="43" t="b">
        <v>1</v>
      </c>
      <c r="J31" s="12" t="s">
        <v>367</v>
      </c>
      <c r="K31" s="13" t="s">
        <v>352</v>
      </c>
    </row>
    <row r="32">
      <c r="A32" s="40" t="s">
        <v>370</v>
      </c>
      <c r="B32" s="40" t="s">
        <v>292</v>
      </c>
      <c r="C32" s="40" t="s">
        <v>293</v>
      </c>
      <c r="D32" s="41">
        <v>11.0</v>
      </c>
      <c r="E32" s="42">
        <v>3.0</v>
      </c>
      <c r="F32" s="42">
        <v>7.0</v>
      </c>
      <c r="G32" s="42">
        <v>10.0</v>
      </c>
      <c r="H32" s="42">
        <v>0.4</v>
      </c>
      <c r="I32" s="43" t="b">
        <v>1</v>
      </c>
      <c r="J32" s="12" t="s">
        <v>371</v>
      </c>
      <c r="K32" s="13" t="s">
        <v>352</v>
      </c>
    </row>
    <row r="33">
      <c r="A33" s="40" t="s">
        <v>372</v>
      </c>
      <c r="B33" s="40" t="s">
        <v>132</v>
      </c>
      <c r="C33" s="40" t="s">
        <v>133</v>
      </c>
      <c r="D33" s="41">
        <v>11.0</v>
      </c>
      <c r="E33" s="42">
        <v>7.0</v>
      </c>
      <c r="F33" s="42">
        <v>3.0</v>
      </c>
      <c r="G33" s="42">
        <v>10.0</v>
      </c>
      <c r="H33" s="42">
        <v>0.4</v>
      </c>
      <c r="I33" s="43" t="b">
        <v>0</v>
      </c>
      <c r="J33" s="12" t="s">
        <v>371</v>
      </c>
      <c r="K33" s="13" t="s">
        <v>352</v>
      </c>
    </row>
    <row r="34">
      <c r="A34" s="40" t="s">
        <v>373</v>
      </c>
      <c r="B34" s="40" t="s">
        <v>287</v>
      </c>
      <c r="C34" s="40" t="s">
        <v>288</v>
      </c>
      <c r="D34" s="41">
        <v>11.0</v>
      </c>
      <c r="E34" s="42">
        <v>3.0</v>
      </c>
      <c r="F34" s="42">
        <v>7.0</v>
      </c>
      <c r="G34" s="42">
        <v>10.0</v>
      </c>
      <c r="H34" s="42">
        <v>0.4</v>
      </c>
      <c r="I34" s="43" t="b">
        <v>1</v>
      </c>
      <c r="J34" s="12" t="s">
        <v>371</v>
      </c>
      <c r="K34" s="13" t="s">
        <v>352</v>
      </c>
    </row>
    <row r="35">
      <c r="A35" s="40" t="s">
        <v>374</v>
      </c>
      <c r="B35" s="40" t="s">
        <v>99</v>
      </c>
      <c r="C35" s="40" t="s">
        <v>100</v>
      </c>
      <c r="D35" s="41">
        <v>11.0</v>
      </c>
      <c r="E35" s="42">
        <v>6.0</v>
      </c>
      <c r="F35" s="42">
        <v>3.0</v>
      </c>
      <c r="G35" s="42">
        <v>9.0</v>
      </c>
      <c r="H35" s="42">
        <v>0.333333333333333</v>
      </c>
      <c r="I35" s="43" t="b">
        <v>0</v>
      </c>
      <c r="J35" s="12" t="s">
        <v>371</v>
      </c>
      <c r="K35" s="13" t="s">
        <v>352</v>
      </c>
    </row>
    <row r="36">
      <c r="A36" s="40" t="s">
        <v>359</v>
      </c>
      <c r="B36" s="40" t="s">
        <v>281</v>
      </c>
      <c r="C36" s="40" t="s">
        <v>282</v>
      </c>
      <c r="D36" s="41">
        <v>11.0</v>
      </c>
      <c r="E36" s="42">
        <v>6.0</v>
      </c>
      <c r="F36" s="42">
        <v>3.0</v>
      </c>
      <c r="G36" s="42">
        <v>9.0</v>
      </c>
      <c r="H36" s="42">
        <v>0.333333333333333</v>
      </c>
      <c r="I36" s="43" t="b">
        <v>0</v>
      </c>
      <c r="J36" s="12" t="s">
        <v>371</v>
      </c>
      <c r="K36" s="13" t="s">
        <v>352</v>
      </c>
    </row>
    <row r="37">
      <c r="A37" s="40" t="s">
        <v>369</v>
      </c>
      <c r="B37" s="40" t="s">
        <v>271</v>
      </c>
      <c r="C37" s="40" t="s">
        <v>272</v>
      </c>
      <c r="D37" s="41">
        <v>11.0</v>
      </c>
      <c r="E37" s="42">
        <v>6.0</v>
      </c>
      <c r="F37" s="42">
        <v>3.0</v>
      </c>
      <c r="G37" s="42">
        <v>9.0</v>
      </c>
      <c r="H37" s="42">
        <v>0.333333333333333</v>
      </c>
      <c r="I37" s="43" t="b">
        <v>0</v>
      </c>
      <c r="J37" s="12" t="s">
        <v>371</v>
      </c>
      <c r="K37" s="13" t="s">
        <v>352</v>
      </c>
    </row>
    <row r="38">
      <c r="A38" s="40" t="s">
        <v>369</v>
      </c>
      <c r="B38" s="40" t="s">
        <v>251</v>
      </c>
      <c r="C38" s="40" t="s">
        <v>252</v>
      </c>
      <c r="D38" s="41">
        <v>11.0</v>
      </c>
      <c r="E38" s="42">
        <v>6.0</v>
      </c>
      <c r="F38" s="42">
        <v>3.0</v>
      </c>
      <c r="G38" s="42">
        <v>9.0</v>
      </c>
      <c r="H38" s="42">
        <v>0.333333333333333</v>
      </c>
      <c r="I38" s="43" t="b">
        <v>0</v>
      </c>
      <c r="J38" s="12" t="s">
        <v>371</v>
      </c>
      <c r="K38" s="13" t="s">
        <v>352</v>
      </c>
    </row>
    <row r="39">
      <c r="A39" s="40" t="s">
        <v>375</v>
      </c>
      <c r="B39" s="40" t="s">
        <v>94</v>
      </c>
      <c r="C39" s="40" t="s">
        <v>95</v>
      </c>
      <c r="D39" s="41">
        <v>11.0</v>
      </c>
      <c r="E39" s="42">
        <v>4.0</v>
      </c>
      <c r="F39" s="42">
        <v>7.0</v>
      </c>
      <c r="G39" s="42">
        <v>11.0</v>
      </c>
      <c r="H39" s="42">
        <v>0.272727272727272</v>
      </c>
      <c r="I39" s="43" t="b">
        <v>1</v>
      </c>
      <c r="J39" s="12" t="s">
        <v>371</v>
      </c>
      <c r="K39" s="13" t="s">
        <v>352</v>
      </c>
    </row>
    <row r="40">
      <c r="A40" s="40" t="s">
        <v>354</v>
      </c>
      <c r="B40" s="40" t="s">
        <v>147</v>
      </c>
      <c r="C40" s="40" t="s">
        <v>148</v>
      </c>
      <c r="D40" s="41">
        <v>11.0</v>
      </c>
      <c r="E40" s="42">
        <v>4.0</v>
      </c>
      <c r="F40" s="42">
        <v>7.0</v>
      </c>
      <c r="G40" s="42">
        <v>11.0</v>
      </c>
      <c r="H40" s="42">
        <v>0.272727272727272</v>
      </c>
      <c r="I40" s="43" t="b">
        <v>1</v>
      </c>
      <c r="J40" s="12" t="s">
        <v>371</v>
      </c>
      <c r="K40" s="13" t="s">
        <v>352</v>
      </c>
    </row>
    <row r="41">
      <c r="A41" s="40" t="s">
        <v>376</v>
      </c>
      <c r="B41" s="40" t="s">
        <v>151</v>
      </c>
      <c r="C41" s="40" t="s">
        <v>152</v>
      </c>
      <c r="D41" s="41">
        <v>11.0</v>
      </c>
      <c r="E41" s="42">
        <v>4.0</v>
      </c>
      <c r="F41" s="42">
        <v>7.0</v>
      </c>
      <c r="G41" s="42">
        <v>11.0</v>
      </c>
      <c r="H41" s="42">
        <v>0.272727272727272</v>
      </c>
      <c r="I41" s="43" t="b">
        <v>1</v>
      </c>
      <c r="J41" s="12" t="s">
        <v>371</v>
      </c>
      <c r="K41" s="13" t="s">
        <v>352</v>
      </c>
    </row>
    <row r="42">
      <c r="A42" s="40" t="s">
        <v>354</v>
      </c>
      <c r="B42" s="40" t="s">
        <v>249</v>
      </c>
      <c r="C42" s="40" t="s">
        <v>250</v>
      </c>
      <c r="D42" s="41">
        <v>11.0</v>
      </c>
      <c r="E42" s="42">
        <v>4.0</v>
      </c>
      <c r="F42" s="42">
        <v>6.0</v>
      </c>
      <c r="G42" s="42">
        <v>10.0</v>
      </c>
      <c r="H42" s="42">
        <v>0.2</v>
      </c>
      <c r="I42" s="43" t="b">
        <v>1</v>
      </c>
      <c r="J42" s="12" t="s">
        <v>377</v>
      </c>
      <c r="K42" s="13" t="s">
        <v>352</v>
      </c>
    </row>
    <row r="43">
      <c r="A43" s="40" t="s">
        <v>355</v>
      </c>
      <c r="B43" s="40" t="s">
        <v>126</v>
      </c>
      <c r="C43" s="40" t="s">
        <v>127</v>
      </c>
      <c r="D43" s="41">
        <v>11.0</v>
      </c>
      <c r="E43" s="42">
        <v>4.0</v>
      </c>
      <c r="F43" s="42">
        <v>6.0</v>
      </c>
      <c r="G43" s="42">
        <v>10.0</v>
      </c>
      <c r="H43" s="42">
        <v>0.2</v>
      </c>
      <c r="I43" s="43" t="b">
        <v>1</v>
      </c>
      <c r="J43" s="12" t="s">
        <v>377</v>
      </c>
      <c r="K43" s="13" t="s">
        <v>352</v>
      </c>
    </row>
    <row r="44">
      <c r="A44" s="40" t="s">
        <v>378</v>
      </c>
      <c r="B44" s="40" t="s">
        <v>307</v>
      </c>
      <c r="C44" s="40" t="s">
        <v>308</v>
      </c>
      <c r="D44" s="41">
        <v>11.0</v>
      </c>
      <c r="E44" s="42">
        <v>5.0</v>
      </c>
      <c r="F44" s="42">
        <v>4.0</v>
      </c>
      <c r="G44" s="42">
        <v>9.0</v>
      </c>
      <c r="H44" s="42">
        <v>0.111111111111111</v>
      </c>
      <c r="I44" s="43" t="b">
        <v>0</v>
      </c>
      <c r="J44" s="12" t="s">
        <v>377</v>
      </c>
      <c r="K44" s="13" t="s">
        <v>352</v>
      </c>
    </row>
    <row r="45">
      <c r="A45" s="40" t="s">
        <v>379</v>
      </c>
      <c r="B45" s="40" t="s">
        <v>158</v>
      </c>
      <c r="C45" s="40" t="s">
        <v>159</v>
      </c>
      <c r="D45" s="41">
        <v>11.0</v>
      </c>
      <c r="E45" s="42">
        <v>4.0</v>
      </c>
      <c r="F45" s="42">
        <v>5.0</v>
      </c>
      <c r="G45" s="42">
        <v>9.0</v>
      </c>
      <c r="H45" s="42">
        <v>0.111111111111111</v>
      </c>
      <c r="I45" s="43" t="b">
        <v>1</v>
      </c>
      <c r="J45" s="12" t="s">
        <v>377</v>
      </c>
      <c r="K45" s="13" t="s">
        <v>352</v>
      </c>
    </row>
    <row r="46">
      <c r="A46" s="40" t="s">
        <v>380</v>
      </c>
      <c r="B46" s="40" t="s">
        <v>229</v>
      </c>
      <c r="C46" s="40" t="s">
        <v>230</v>
      </c>
      <c r="D46" s="41">
        <v>11.0</v>
      </c>
      <c r="E46" s="42">
        <v>5.0</v>
      </c>
      <c r="F46" s="42">
        <v>4.0</v>
      </c>
      <c r="G46" s="42">
        <v>9.0</v>
      </c>
      <c r="H46" s="42">
        <v>0.111111111111111</v>
      </c>
      <c r="I46" s="43" t="b">
        <v>0</v>
      </c>
      <c r="J46" s="12" t="s">
        <v>377</v>
      </c>
      <c r="K46" s="13" t="s">
        <v>352</v>
      </c>
    </row>
    <row r="47">
      <c r="A47" s="40" t="s">
        <v>381</v>
      </c>
      <c r="B47" s="40" t="s">
        <v>303</v>
      </c>
      <c r="C47" s="40" t="s">
        <v>304</v>
      </c>
      <c r="D47" s="41">
        <v>11.0</v>
      </c>
      <c r="E47" s="42">
        <v>4.0</v>
      </c>
      <c r="F47" s="42">
        <v>5.0</v>
      </c>
      <c r="G47" s="42">
        <v>9.0</v>
      </c>
      <c r="H47" s="42">
        <v>0.111111111111111</v>
      </c>
      <c r="I47" s="43" t="b">
        <v>1</v>
      </c>
      <c r="J47" s="12" t="s">
        <v>377</v>
      </c>
      <c r="K47" s="13" t="s">
        <v>352</v>
      </c>
    </row>
    <row r="48">
      <c r="A48" s="40" t="s">
        <v>382</v>
      </c>
      <c r="B48" s="40" t="s">
        <v>258</v>
      </c>
      <c r="C48" s="40" t="s">
        <v>259</v>
      </c>
      <c r="D48" s="41">
        <v>11.0</v>
      </c>
      <c r="E48" s="42">
        <v>5.0</v>
      </c>
      <c r="F48" s="42">
        <v>4.0</v>
      </c>
      <c r="G48" s="42">
        <v>9.0</v>
      </c>
      <c r="H48" s="42">
        <v>0.111111111111111</v>
      </c>
      <c r="I48" s="43" t="b">
        <v>0</v>
      </c>
      <c r="J48" s="12" t="s">
        <v>377</v>
      </c>
      <c r="K48" s="13" t="s">
        <v>352</v>
      </c>
    </row>
    <row r="49">
      <c r="A49" s="40" t="s">
        <v>369</v>
      </c>
      <c r="B49" s="40" t="s">
        <v>273</v>
      </c>
      <c r="C49" s="40" t="s">
        <v>274</v>
      </c>
      <c r="D49" s="41">
        <v>11.0</v>
      </c>
      <c r="E49" s="42">
        <v>5.0</v>
      </c>
      <c r="F49" s="42">
        <v>4.0</v>
      </c>
      <c r="G49" s="42">
        <v>9.0</v>
      </c>
      <c r="H49" s="42">
        <v>0.111111111111111</v>
      </c>
      <c r="I49" s="43" t="b">
        <v>0</v>
      </c>
      <c r="J49" s="12" t="s">
        <v>377</v>
      </c>
      <c r="K49" s="13" t="s">
        <v>352</v>
      </c>
    </row>
    <row r="50">
      <c r="A50" s="40" t="s">
        <v>358</v>
      </c>
      <c r="B50" s="40" t="s">
        <v>202</v>
      </c>
      <c r="C50" s="40" t="s">
        <v>203</v>
      </c>
      <c r="D50" s="41">
        <v>11.0</v>
      </c>
      <c r="E50" s="42">
        <v>4.0</v>
      </c>
      <c r="F50" s="42">
        <v>5.0</v>
      </c>
      <c r="G50" s="42">
        <v>9.0</v>
      </c>
      <c r="H50" s="42">
        <v>0.111111111111111</v>
      </c>
      <c r="I50" s="43" t="b">
        <v>1</v>
      </c>
      <c r="J50" s="12" t="s">
        <v>377</v>
      </c>
      <c r="K50" s="13" t="s">
        <v>352</v>
      </c>
    </row>
    <row r="51">
      <c r="A51" s="40" t="s">
        <v>383</v>
      </c>
      <c r="B51" s="40" t="s">
        <v>115</v>
      </c>
      <c r="C51" s="40" t="s">
        <v>116</v>
      </c>
      <c r="D51" s="41">
        <v>11.0</v>
      </c>
      <c r="E51" s="42">
        <v>6.0</v>
      </c>
      <c r="F51" s="42">
        <v>5.0</v>
      </c>
      <c r="G51" s="42">
        <v>11.0</v>
      </c>
      <c r="H51" s="42">
        <v>0.0909090909090909</v>
      </c>
      <c r="I51" s="43" t="b">
        <v>0</v>
      </c>
      <c r="J51" s="12" t="s">
        <v>377</v>
      </c>
      <c r="K51" s="13" t="s">
        <v>352</v>
      </c>
    </row>
    <row r="52">
      <c r="A52" s="40" t="s">
        <v>356</v>
      </c>
      <c r="B52" s="40" t="s">
        <v>149</v>
      </c>
      <c r="C52" s="40" t="s">
        <v>150</v>
      </c>
      <c r="D52" s="41">
        <v>11.0</v>
      </c>
      <c r="E52" s="42">
        <v>3.0</v>
      </c>
      <c r="F52" s="42">
        <v>0.0</v>
      </c>
      <c r="G52" s="42">
        <v>3.0</v>
      </c>
      <c r="H52" s="42">
        <v>1.0</v>
      </c>
      <c r="I52" s="43" t="b">
        <v>0</v>
      </c>
      <c r="J52" s="12" t="s">
        <v>351</v>
      </c>
      <c r="K52" s="12" t="s">
        <v>33</v>
      </c>
    </row>
    <row r="53">
      <c r="A53" s="40" t="s">
        <v>354</v>
      </c>
      <c r="B53" s="40" t="s">
        <v>233</v>
      </c>
      <c r="C53" s="40" t="s">
        <v>234</v>
      </c>
      <c r="D53" s="41">
        <v>11.0</v>
      </c>
      <c r="E53" s="42">
        <v>3.0</v>
      </c>
      <c r="F53" s="42">
        <v>0.0</v>
      </c>
      <c r="G53" s="42">
        <v>3.0</v>
      </c>
      <c r="H53" s="42">
        <v>1.0</v>
      </c>
      <c r="I53" s="43" t="b">
        <v>0</v>
      </c>
      <c r="J53" s="12" t="s">
        <v>351</v>
      </c>
      <c r="K53" s="12" t="s">
        <v>33</v>
      </c>
    </row>
    <row r="54">
      <c r="A54" s="40" t="s">
        <v>376</v>
      </c>
      <c r="B54" s="40" t="s">
        <v>197</v>
      </c>
      <c r="C54" s="40" t="s">
        <v>198</v>
      </c>
      <c r="D54" s="41">
        <v>11.0</v>
      </c>
      <c r="E54" s="42">
        <v>3.0</v>
      </c>
      <c r="F54" s="42">
        <v>0.0</v>
      </c>
      <c r="G54" s="42">
        <v>3.0</v>
      </c>
      <c r="H54" s="42">
        <v>1.0</v>
      </c>
      <c r="I54" s="43" t="b">
        <v>0</v>
      </c>
      <c r="J54" s="12" t="s">
        <v>351</v>
      </c>
      <c r="K54" s="12" t="s">
        <v>33</v>
      </c>
    </row>
    <row r="55">
      <c r="A55" s="40" t="s">
        <v>350</v>
      </c>
      <c r="B55" s="40" t="s">
        <v>141</v>
      </c>
      <c r="C55" s="40" t="s">
        <v>142</v>
      </c>
      <c r="D55" s="41">
        <v>11.0</v>
      </c>
      <c r="E55" s="42">
        <v>3.0</v>
      </c>
      <c r="F55" s="42">
        <v>0.0</v>
      </c>
      <c r="G55" s="42">
        <v>3.0</v>
      </c>
      <c r="H55" s="42">
        <v>1.0</v>
      </c>
      <c r="I55" s="43" t="b">
        <v>0</v>
      </c>
      <c r="J55" s="12" t="s">
        <v>351</v>
      </c>
      <c r="K55" s="12" t="s">
        <v>33</v>
      </c>
    </row>
    <row r="56">
      <c r="A56" s="40" t="s">
        <v>384</v>
      </c>
      <c r="B56" s="40" t="s">
        <v>290</v>
      </c>
      <c r="C56" s="40" t="s">
        <v>291</v>
      </c>
      <c r="D56" s="41">
        <v>11.0</v>
      </c>
      <c r="E56" s="42">
        <v>3.0</v>
      </c>
      <c r="F56" s="42">
        <v>0.0</v>
      </c>
      <c r="G56" s="42">
        <v>3.0</v>
      </c>
      <c r="H56" s="42">
        <v>1.0</v>
      </c>
      <c r="I56" s="43" t="b">
        <v>0</v>
      </c>
      <c r="J56" s="12" t="s">
        <v>351</v>
      </c>
      <c r="K56" s="12" t="s">
        <v>33</v>
      </c>
    </row>
    <row r="57">
      <c r="A57" s="40" t="s">
        <v>385</v>
      </c>
      <c r="B57" s="40" t="s">
        <v>211</v>
      </c>
      <c r="C57" s="40" t="s">
        <v>212</v>
      </c>
      <c r="D57" s="41">
        <v>11.0</v>
      </c>
      <c r="E57" s="42">
        <v>2.0</v>
      </c>
      <c r="F57" s="42">
        <v>7.0</v>
      </c>
      <c r="G57" s="42">
        <v>9.0</v>
      </c>
      <c r="H57" s="42">
        <v>0.555555555555555</v>
      </c>
      <c r="I57" s="43" t="b">
        <v>1</v>
      </c>
      <c r="J57" s="12" t="s">
        <v>367</v>
      </c>
      <c r="K57" s="12" t="s">
        <v>33</v>
      </c>
    </row>
    <row r="58">
      <c r="A58" s="40" t="s">
        <v>366</v>
      </c>
      <c r="B58" s="40" t="s">
        <v>124</v>
      </c>
      <c r="C58" s="40" t="s">
        <v>125</v>
      </c>
      <c r="D58" s="41">
        <v>11.0</v>
      </c>
      <c r="E58" s="42">
        <v>1.0</v>
      </c>
      <c r="F58" s="42">
        <v>3.0</v>
      </c>
      <c r="G58" s="42">
        <v>4.0</v>
      </c>
      <c r="H58" s="42">
        <v>0.5</v>
      </c>
      <c r="I58" s="43" t="b">
        <v>1</v>
      </c>
      <c r="J58" s="12" t="s">
        <v>367</v>
      </c>
      <c r="K58" s="12" t="s">
        <v>33</v>
      </c>
    </row>
    <row r="59">
      <c r="A59" s="40" t="s">
        <v>386</v>
      </c>
      <c r="B59" s="40" t="s">
        <v>296</v>
      </c>
      <c r="C59" s="40" t="s">
        <v>297</v>
      </c>
      <c r="D59" s="41">
        <v>11.0</v>
      </c>
      <c r="E59" s="42">
        <v>1.0</v>
      </c>
      <c r="F59" s="42">
        <v>3.0</v>
      </c>
      <c r="G59" s="42">
        <v>4.0</v>
      </c>
      <c r="H59" s="42">
        <v>0.5</v>
      </c>
      <c r="I59" s="43" t="b">
        <v>1</v>
      </c>
      <c r="J59" s="12" t="s">
        <v>367</v>
      </c>
      <c r="K59" s="12" t="s">
        <v>33</v>
      </c>
    </row>
    <row r="60">
      <c r="A60" s="40" t="s">
        <v>362</v>
      </c>
      <c r="B60" s="40" t="s">
        <v>172</v>
      </c>
      <c r="C60" s="40" t="s">
        <v>173</v>
      </c>
      <c r="D60" s="41">
        <v>11.0</v>
      </c>
      <c r="E60" s="42">
        <v>3.0</v>
      </c>
      <c r="F60" s="42">
        <v>6.0</v>
      </c>
      <c r="G60" s="42">
        <v>9.0</v>
      </c>
      <c r="H60" s="42">
        <v>0.333333333333333</v>
      </c>
      <c r="I60" s="43" t="b">
        <v>1</v>
      </c>
      <c r="J60" s="12" t="s">
        <v>371</v>
      </c>
      <c r="K60" s="12" t="s">
        <v>33</v>
      </c>
    </row>
    <row r="61">
      <c r="A61" s="40" t="s">
        <v>387</v>
      </c>
      <c r="B61" s="40" t="s">
        <v>245</v>
      </c>
      <c r="C61" s="40" t="s">
        <v>246</v>
      </c>
      <c r="D61" s="41">
        <v>11.0</v>
      </c>
      <c r="E61" s="42">
        <v>4.0</v>
      </c>
      <c r="F61" s="42">
        <v>5.0</v>
      </c>
      <c r="G61" s="42">
        <v>9.0</v>
      </c>
      <c r="H61" s="42">
        <v>0.111111111111111</v>
      </c>
      <c r="I61" s="43" t="b">
        <v>1</v>
      </c>
      <c r="J61" s="12" t="s">
        <v>377</v>
      </c>
      <c r="K61" s="12" t="s">
        <v>33</v>
      </c>
    </row>
    <row r="62">
      <c r="A62" s="40" t="s">
        <v>388</v>
      </c>
      <c r="B62" s="40" t="s">
        <v>143</v>
      </c>
      <c r="C62" s="40" t="s">
        <v>144</v>
      </c>
      <c r="D62" s="41">
        <v>11.0</v>
      </c>
      <c r="E62" s="42">
        <v>3.0</v>
      </c>
      <c r="F62" s="42">
        <v>0.0</v>
      </c>
      <c r="G62" s="42">
        <v>3.0</v>
      </c>
      <c r="H62" s="42">
        <v>1.0</v>
      </c>
      <c r="I62" s="43" t="b">
        <v>0</v>
      </c>
      <c r="J62" s="12" t="s">
        <v>351</v>
      </c>
      <c r="K62" s="12" t="s">
        <v>389</v>
      </c>
    </row>
    <row r="63">
      <c r="A63" s="40" t="s">
        <v>390</v>
      </c>
      <c r="B63" s="40" t="s">
        <v>223</v>
      </c>
      <c r="C63" s="40" t="s">
        <v>224</v>
      </c>
      <c r="D63" s="41">
        <v>11.0</v>
      </c>
      <c r="E63" s="42">
        <v>1.0</v>
      </c>
      <c r="F63" s="42">
        <v>3.0</v>
      </c>
      <c r="G63" s="42">
        <v>4.0</v>
      </c>
      <c r="H63" s="42">
        <v>0.5</v>
      </c>
      <c r="I63" s="43" t="b">
        <v>1</v>
      </c>
      <c r="J63" s="12" t="s">
        <v>367</v>
      </c>
      <c r="K63" s="12" t="s">
        <v>389</v>
      </c>
    </row>
    <row r="64">
      <c r="A64" s="40" t="s">
        <v>382</v>
      </c>
      <c r="B64" s="40" t="s">
        <v>300</v>
      </c>
      <c r="C64" s="40" t="s">
        <v>301</v>
      </c>
      <c r="D64" s="41">
        <v>11.0</v>
      </c>
      <c r="E64" s="42">
        <v>3.0</v>
      </c>
      <c r="F64" s="42">
        <v>6.0</v>
      </c>
      <c r="G64" s="42">
        <v>9.0</v>
      </c>
      <c r="H64" s="42">
        <v>0.333333333333333</v>
      </c>
      <c r="I64" s="43" t="b">
        <v>1</v>
      </c>
      <c r="J64" s="12" t="s">
        <v>371</v>
      </c>
      <c r="K64" s="12" t="s">
        <v>389</v>
      </c>
    </row>
    <row r="65">
      <c r="A65" s="40" t="s">
        <v>390</v>
      </c>
      <c r="B65" s="40" t="s">
        <v>227</v>
      </c>
      <c r="C65" s="40" t="s">
        <v>228</v>
      </c>
      <c r="D65" s="41">
        <v>11.0</v>
      </c>
      <c r="E65" s="42">
        <v>4.0</v>
      </c>
      <c r="F65" s="42">
        <v>3.0</v>
      </c>
      <c r="G65" s="42">
        <v>7.0</v>
      </c>
      <c r="H65" s="42">
        <v>0.142857142857142</v>
      </c>
      <c r="I65" s="43" t="b">
        <v>0</v>
      </c>
      <c r="J65" s="12" t="s">
        <v>377</v>
      </c>
      <c r="K65" s="12" t="s">
        <v>389</v>
      </c>
    </row>
    <row r="66">
      <c r="A66" s="40" t="s">
        <v>391</v>
      </c>
      <c r="B66" s="40" t="s">
        <v>176</v>
      </c>
      <c r="C66" s="40" t="s">
        <v>177</v>
      </c>
      <c r="D66" s="41">
        <v>11.0</v>
      </c>
      <c r="E66" s="42">
        <v>3.0</v>
      </c>
      <c r="F66" s="42">
        <v>0.0</v>
      </c>
      <c r="G66" s="42">
        <v>3.0</v>
      </c>
      <c r="H66" s="42">
        <v>1.0</v>
      </c>
      <c r="I66" s="43" t="b">
        <v>0</v>
      </c>
      <c r="J66" s="12" t="s">
        <v>351</v>
      </c>
      <c r="K66" s="12" t="s">
        <v>98</v>
      </c>
    </row>
    <row r="67">
      <c r="A67" s="40" t="s">
        <v>392</v>
      </c>
      <c r="B67" s="40" t="s">
        <v>120</v>
      </c>
      <c r="C67" s="40" t="s">
        <v>121</v>
      </c>
      <c r="D67" s="41">
        <v>11.0</v>
      </c>
      <c r="E67" s="42">
        <v>0.0</v>
      </c>
      <c r="F67" s="42">
        <v>3.0</v>
      </c>
      <c r="G67" s="42">
        <v>3.0</v>
      </c>
      <c r="H67" s="42">
        <v>1.0</v>
      </c>
      <c r="I67" s="43" t="b">
        <v>1</v>
      </c>
      <c r="J67" s="12" t="s">
        <v>351</v>
      </c>
      <c r="K67" s="12" t="s">
        <v>98</v>
      </c>
    </row>
    <row r="68">
      <c r="A68" s="40" t="s">
        <v>366</v>
      </c>
      <c r="B68" s="40" t="s">
        <v>269</v>
      </c>
      <c r="C68" s="40" t="s">
        <v>270</v>
      </c>
      <c r="D68" s="41">
        <v>11.0</v>
      </c>
      <c r="E68" s="42">
        <v>1.0</v>
      </c>
      <c r="F68" s="42">
        <v>8.0</v>
      </c>
      <c r="G68" s="42">
        <v>9.0</v>
      </c>
      <c r="H68" s="42">
        <v>0.777777777777777</v>
      </c>
      <c r="I68" s="43" t="b">
        <v>1</v>
      </c>
      <c r="J68" s="12" t="s">
        <v>363</v>
      </c>
      <c r="K68" s="12" t="s">
        <v>98</v>
      </c>
    </row>
    <row r="69">
      <c r="A69" s="40" t="s">
        <v>350</v>
      </c>
      <c r="B69" s="40" t="s">
        <v>241</v>
      </c>
      <c r="C69" s="40" t="s">
        <v>242</v>
      </c>
      <c r="D69" s="41">
        <v>11.0</v>
      </c>
      <c r="E69" s="42">
        <v>7.0</v>
      </c>
      <c r="F69" s="42">
        <v>2.0</v>
      </c>
      <c r="G69" s="42">
        <v>9.0</v>
      </c>
      <c r="H69" s="42">
        <v>0.555555555555555</v>
      </c>
      <c r="I69" s="43" t="b">
        <v>0</v>
      </c>
      <c r="J69" s="12" t="s">
        <v>367</v>
      </c>
      <c r="K69" s="12" t="s">
        <v>98</v>
      </c>
    </row>
    <row r="70">
      <c r="A70" s="40" t="s">
        <v>393</v>
      </c>
      <c r="B70" s="40" t="s">
        <v>163</v>
      </c>
      <c r="C70" s="40" t="s">
        <v>164</v>
      </c>
      <c r="D70" s="41">
        <v>11.0</v>
      </c>
      <c r="E70" s="42">
        <v>2.0</v>
      </c>
      <c r="F70" s="42">
        <v>1.0</v>
      </c>
      <c r="G70" s="42">
        <v>3.0</v>
      </c>
      <c r="H70" s="42">
        <v>0.333333333333333</v>
      </c>
      <c r="I70" s="43" t="b">
        <v>0</v>
      </c>
      <c r="J70" s="12" t="s">
        <v>371</v>
      </c>
      <c r="K70" s="12" t="s">
        <v>394</v>
      </c>
    </row>
    <row r="71">
      <c r="A71" s="40" t="s">
        <v>395</v>
      </c>
      <c r="B71" s="40" t="s">
        <v>204</v>
      </c>
      <c r="C71" s="40" t="s">
        <v>205</v>
      </c>
      <c r="D71" s="41">
        <v>11.0</v>
      </c>
      <c r="E71" s="42">
        <v>3.0</v>
      </c>
      <c r="F71" s="42">
        <v>6.0</v>
      </c>
      <c r="G71" s="42">
        <v>9.0</v>
      </c>
      <c r="H71" s="42">
        <v>0.333333333333333</v>
      </c>
      <c r="I71" s="43" t="b">
        <v>1</v>
      </c>
      <c r="J71" s="12" t="s">
        <v>371</v>
      </c>
      <c r="K71" s="12" t="s">
        <v>394</v>
      </c>
    </row>
    <row r="72">
      <c r="A72" s="40" t="s">
        <v>396</v>
      </c>
      <c r="B72" s="40" t="s">
        <v>191</v>
      </c>
      <c r="C72" s="40" t="s">
        <v>192</v>
      </c>
      <c r="D72" s="41">
        <v>11.0</v>
      </c>
      <c r="E72" s="42">
        <v>1.0</v>
      </c>
      <c r="F72" s="42">
        <v>2.0</v>
      </c>
      <c r="G72" s="42">
        <v>3.0</v>
      </c>
      <c r="H72" s="42">
        <v>0.333333333333333</v>
      </c>
      <c r="I72" s="43" t="b">
        <v>1</v>
      </c>
      <c r="J72" s="12" t="s">
        <v>371</v>
      </c>
      <c r="K72" s="12" t="s">
        <v>394</v>
      </c>
    </row>
    <row r="73">
      <c r="A73" s="40" t="s">
        <v>364</v>
      </c>
      <c r="B73" s="40" t="s">
        <v>180</v>
      </c>
      <c r="C73" s="40" t="s">
        <v>181</v>
      </c>
      <c r="D73" s="41">
        <v>11.0</v>
      </c>
      <c r="E73" s="42">
        <v>2.0</v>
      </c>
      <c r="F73" s="42">
        <v>1.0</v>
      </c>
      <c r="G73" s="42">
        <v>3.0</v>
      </c>
      <c r="H73" s="42">
        <v>0.333333333333333</v>
      </c>
      <c r="I73" s="43" t="b">
        <v>0</v>
      </c>
      <c r="J73" s="12" t="s">
        <v>371</v>
      </c>
      <c r="K73" s="12" t="s">
        <v>394</v>
      </c>
    </row>
    <row r="74">
      <c r="A74" s="40" t="s">
        <v>357</v>
      </c>
      <c r="B74" s="40" t="s">
        <v>275</v>
      </c>
      <c r="C74" s="40" t="s">
        <v>276</v>
      </c>
      <c r="D74" s="41">
        <v>11.0</v>
      </c>
      <c r="E74" s="42">
        <v>0.0</v>
      </c>
      <c r="F74" s="42">
        <v>3.0</v>
      </c>
      <c r="G74" s="42">
        <v>3.0</v>
      </c>
      <c r="H74" s="42">
        <v>1.0</v>
      </c>
      <c r="I74" s="43" t="b">
        <v>1</v>
      </c>
      <c r="J74" s="12" t="s">
        <v>351</v>
      </c>
      <c r="K74" s="12" t="s">
        <v>397</v>
      </c>
    </row>
    <row r="75">
      <c r="A75" s="40" t="s">
        <v>353</v>
      </c>
      <c r="B75" s="40" t="s">
        <v>218</v>
      </c>
      <c r="C75" s="40" t="s">
        <v>219</v>
      </c>
      <c r="D75" s="41">
        <v>11.0</v>
      </c>
      <c r="E75" s="42">
        <v>3.0</v>
      </c>
      <c r="F75" s="42">
        <v>0.0</v>
      </c>
      <c r="G75" s="42">
        <v>3.0</v>
      </c>
      <c r="H75" s="42">
        <v>1.0</v>
      </c>
      <c r="I75" s="43" t="b">
        <v>0</v>
      </c>
      <c r="J75" s="12" t="s">
        <v>351</v>
      </c>
      <c r="K75" s="12" t="s">
        <v>397</v>
      </c>
    </row>
    <row r="76">
      <c r="A76" s="40" t="s">
        <v>357</v>
      </c>
      <c r="B76" s="40" t="s">
        <v>283</v>
      </c>
      <c r="C76" s="40" t="s">
        <v>284</v>
      </c>
      <c r="D76" s="41">
        <v>11.0</v>
      </c>
      <c r="E76" s="42">
        <v>3.0</v>
      </c>
      <c r="F76" s="42">
        <v>6.0</v>
      </c>
      <c r="G76" s="42">
        <v>9.0</v>
      </c>
      <c r="H76" s="42">
        <v>0.333333333333333</v>
      </c>
      <c r="I76" s="43" t="b">
        <v>1</v>
      </c>
      <c r="J76" s="12" t="s">
        <v>371</v>
      </c>
      <c r="K76" s="12" t="s">
        <v>397</v>
      </c>
    </row>
    <row r="77">
      <c r="A77" s="40" t="s">
        <v>376</v>
      </c>
      <c r="B77" s="40" t="s">
        <v>101</v>
      </c>
      <c r="C77" s="40" t="s">
        <v>102</v>
      </c>
      <c r="D77" s="41">
        <v>11.0</v>
      </c>
      <c r="E77" s="42">
        <v>2.0</v>
      </c>
      <c r="F77" s="42">
        <v>1.0</v>
      </c>
      <c r="G77" s="42">
        <v>3.0</v>
      </c>
      <c r="H77" s="42">
        <v>0.333333333333333</v>
      </c>
      <c r="I77" s="43" t="b">
        <v>0</v>
      </c>
      <c r="J77" s="12" t="s">
        <v>371</v>
      </c>
      <c r="K77" s="12" t="s">
        <v>397</v>
      </c>
    </row>
    <row r="78">
      <c r="A78" s="40" t="s">
        <v>398</v>
      </c>
      <c r="B78" s="40" t="s">
        <v>153</v>
      </c>
      <c r="C78" s="40" t="s">
        <v>154</v>
      </c>
      <c r="D78" s="41">
        <v>11.0</v>
      </c>
      <c r="E78" s="42">
        <v>3.0</v>
      </c>
      <c r="F78" s="42">
        <v>0.0</v>
      </c>
      <c r="G78" s="42">
        <v>3.0</v>
      </c>
      <c r="H78" s="42">
        <v>1.0</v>
      </c>
      <c r="I78" s="43" t="b">
        <v>0</v>
      </c>
      <c r="J78" s="12" t="s">
        <v>351</v>
      </c>
      <c r="K78" s="12" t="s">
        <v>399</v>
      </c>
    </row>
    <row r="79">
      <c r="A79" s="40" t="s">
        <v>375</v>
      </c>
      <c r="B79" s="40" t="s">
        <v>195</v>
      </c>
      <c r="C79" s="40" t="s">
        <v>196</v>
      </c>
      <c r="D79" s="41">
        <v>11.0</v>
      </c>
      <c r="E79" s="42">
        <v>1.0</v>
      </c>
      <c r="F79" s="42">
        <v>8.0</v>
      </c>
      <c r="G79" s="42">
        <v>9.0</v>
      </c>
      <c r="H79" s="42">
        <v>0.777777777777777</v>
      </c>
      <c r="I79" s="43" t="b">
        <v>1</v>
      </c>
      <c r="J79" s="12" t="s">
        <v>363</v>
      </c>
      <c r="K79" s="12" t="s">
        <v>399</v>
      </c>
    </row>
    <row r="80">
      <c r="A80" s="40" t="s">
        <v>366</v>
      </c>
      <c r="B80" s="40" t="s">
        <v>156</v>
      </c>
      <c r="C80" s="40" t="s">
        <v>157</v>
      </c>
      <c r="D80" s="41">
        <v>11.0</v>
      </c>
      <c r="E80" s="42">
        <v>2.0</v>
      </c>
      <c r="F80" s="42">
        <v>1.0</v>
      </c>
      <c r="G80" s="42">
        <v>3.0</v>
      </c>
      <c r="H80" s="42">
        <v>0.333333333333333</v>
      </c>
      <c r="I80" s="43" t="b">
        <v>0</v>
      </c>
      <c r="J80" s="12" t="s">
        <v>371</v>
      </c>
      <c r="K80" s="12" t="s">
        <v>399</v>
      </c>
    </row>
    <row r="81">
      <c r="A81" s="40" t="s">
        <v>365</v>
      </c>
      <c r="B81" s="40" t="s">
        <v>225</v>
      </c>
      <c r="C81" s="40" t="s">
        <v>226</v>
      </c>
      <c r="D81" s="41">
        <v>11.0</v>
      </c>
      <c r="E81" s="42">
        <v>4.0</v>
      </c>
      <c r="F81" s="42">
        <v>5.0</v>
      </c>
      <c r="G81" s="42">
        <v>9.0</v>
      </c>
      <c r="H81" s="42">
        <v>0.111111111111111</v>
      </c>
      <c r="I81" s="43" t="b">
        <v>1</v>
      </c>
      <c r="J81" s="12" t="s">
        <v>377</v>
      </c>
      <c r="K81" s="12" t="s">
        <v>399</v>
      </c>
    </row>
    <row r="82">
      <c r="A82" s="40" t="s">
        <v>400</v>
      </c>
      <c r="B82" s="40" t="s">
        <v>262</v>
      </c>
      <c r="C82" s="40" t="s">
        <v>263</v>
      </c>
      <c r="D82" s="41">
        <v>11.0</v>
      </c>
      <c r="E82" s="42">
        <v>3.0</v>
      </c>
      <c r="F82" s="42">
        <v>0.0</v>
      </c>
      <c r="G82" s="42">
        <v>3.0</v>
      </c>
      <c r="H82" s="42">
        <v>1.0</v>
      </c>
      <c r="I82" s="43" t="b">
        <v>0</v>
      </c>
      <c r="J82" s="12" t="s">
        <v>351</v>
      </c>
      <c r="K82" s="12" t="s">
        <v>401</v>
      </c>
    </row>
    <row r="83">
      <c r="A83" s="40" t="s">
        <v>365</v>
      </c>
      <c r="B83" s="40" t="s">
        <v>139</v>
      </c>
      <c r="C83" s="40" t="s">
        <v>140</v>
      </c>
      <c r="D83" s="41">
        <v>11.0</v>
      </c>
      <c r="E83" s="42">
        <v>2.0</v>
      </c>
      <c r="F83" s="42">
        <v>7.0</v>
      </c>
      <c r="G83" s="42">
        <v>9.0</v>
      </c>
      <c r="H83" s="42">
        <v>0.555555555555555</v>
      </c>
      <c r="I83" s="43" t="b">
        <v>1</v>
      </c>
      <c r="J83" s="12" t="s">
        <v>367</v>
      </c>
      <c r="K83" s="12" t="s">
        <v>401</v>
      </c>
    </row>
    <row r="84">
      <c r="A84" s="40" t="s">
        <v>376</v>
      </c>
      <c r="B84" s="40" t="s">
        <v>214</v>
      </c>
      <c r="C84" s="40" t="s">
        <v>215</v>
      </c>
      <c r="D84" s="41">
        <v>11.0</v>
      </c>
      <c r="E84" s="42">
        <v>2.0</v>
      </c>
      <c r="F84" s="42">
        <v>1.0</v>
      </c>
      <c r="G84" s="42">
        <v>3.0</v>
      </c>
      <c r="H84" s="42">
        <v>0.333333333333333</v>
      </c>
      <c r="I84" s="43" t="b">
        <v>0</v>
      </c>
      <c r="J84" s="12" t="s">
        <v>371</v>
      </c>
      <c r="K84" s="12" t="s">
        <v>401</v>
      </c>
    </row>
    <row r="85">
      <c r="A85" s="40" t="s">
        <v>402</v>
      </c>
      <c r="B85" s="40" t="s">
        <v>184</v>
      </c>
      <c r="C85" s="40" t="s">
        <v>185</v>
      </c>
      <c r="D85" s="41">
        <v>11.0</v>
      </c>
      <c r="E85" s="42">
        <v>2.0</v>
      </c>
      <c r="F85" s="42">
        <v>3.0</v>
      </c>
      <c r="G85" s="42">
        <v>5.0</v>
      </c>
      <c r="H85" s="42">
        <v>0.2</v>
      </c>
      <c r="I85" s="43" t="b">
        <v>1</v>
      </c>
      <c r="J85" s="12" t="s">
        <v>377</v>
      </c>
      <c r="K85" s="12" t="s">
        <v>401</v>
      </c>
    </row>
    <row r="86">
      <c r="A86" s="40" t="s">
        <v>396</v>
      </c>
      <c r="B86" s="40" t="s">
        <v>108</v>
      </c>
      <c r="C86" s="40" t="s">
        <v>109</v>
      </c>
      <c r="D86" s="41">
        <v>11.0</v>
      </c>
      <c r="E86" s="42">
        <v>0.0</v>
      </c>
      <c r="F86" s="42">
        <v>9.0</v>
      </c>
      <c r="G86" s="42">
        <v>9.0</v>
      </c>
      <c r="H86" s="42">
        <v>1.0</v>
      </c>
      <c r="I86" s="43" t="b">
        <v>1</v>
      </c>
      <c r="J86" s="12" t="s">
        <v>351</v>
      </c>
      <c r="K86" s="12" t="s">
        <v>403</v>
      </c>
    </row>
    <row r="87">
      <c r="A87" s="40" t="s">
        <v>373</v>
      </c>
      <c r="B87" s="40" t="s">
        <v>189</v>
      </c>
      <c r="C87" s="40" t="s">
        <v>190</v>
      </c>
      <c r="D87" s="41">
        <v>11.0</v>
      </c>
      <c r="E87" s="42">
        <v>1.0</v>
      </c>
      <c r="F87" s="42">
        <v>8.0</v>
      </c>
      <c r="G87" s="42">
        <v>9.0</v>
      </c>
      <c r="H87" s="42">
        <v>0.777777777777777</v>
      </c>
      <c r="I87" s="43" t="b">
        <v>1</v>
      </c>
      <c r="J87" s="12" t="s">
        <v>363</v>
      </c>
      <c r="K87" s="12" t="s">
        <v>403</v>
      </c>
    </row>
    <row r="88">
      <c r="A88" s="40" t="s">
        <v>369</v>
      </c>
      <c r="B88" s="40" t="s">
        <v>247</v>
      </c>
      <c r="C88" s="40" t="s">
        <v>248</v>
      </c>
      <c r="D88" s="41">
        <v>11.0</v>
      </c>
      <c r="E88" s="42">
        <v>3.0</v>
      </c>
      <c r="F88" s="42">
        <v>1.0</v>
      </c>
      <c r="G88" s="42">
        <v>4.0</v>
      </c>
      <c r="H88" s="42">
        <v>0.5</v>
      </c>
      <c r="I88" s="43" t="b">
        <v>0</v>
      </c>
      <c r="J88" s="12" t="s">
        <v>367</v>
      </c>
      <c r="K88" s="12" t="s">
        <v>403</v>
      </c>
    </row>
    <row r="89">
      <c r="A89" s="40" t="s">
        <v>404</v>
      </c>
      <c r="B89" s="40" t="s">
        <v>266</v>
      </c>
      <c r="C89" s="40" t="s">
        <v>267</v>
      </c>
      <c r="D89" s="41">
        <v>11.0</v>
      </c>
      <c r="E89" s="42">
        <v>5.0</v>
      </c>
      <c r="F89" s="42">
        <v>4.0</v>
      </c>
      <c r="G89" s="42">
        <v>9.0</v>
      </c>
      <c r="H89" s="42">
        <v>0.111111111111111</v>
      </c>
      <c r="I89" s="43" t="b">
        <v>0</v>
      </c>
      <c r="J89" s="12" t="s">
        <v>377</v>
      </c>
      <c r="K89" s="12" t="s">
        <v>403</v>
      </c>
    </row>
    <row r="90">
      <c r="A90" s="40" t="s">
        <v>405</v>
      </c>
      <c r="B90" s="40" t="s">
        <v>243</v>
      </c>
      <c r="C90" s="40" t="s">
        <v>244</v>
      </c>
      <c r="D90" s="41">
        <v>11.0</v>
      </c>
      <c r="E90" s="42">
        <v>0.0</v>
      </c>
      <c r="F90" s="42">
        <v>9.0</v>
      </c>
      <c r="G90" s="42">
        <v>9.0</v>
      </c>
      <c r="H90" s="42">
        <v>1.0</v>
      </c>
      <c r="I90" s="43" t="b">
        <v>1</v>
      </c>
      <c r="J90" s="12" t="s">
        <v>351</v>
      </c>
      <c r="K90" s="12" t="s">
        <v>406</v>
      </c>
    </row>
    <row r="91">
      <c r="A91" s="40" t="s">
        <v>407</v>
      </c>
      <c r="B91" s="40" t="s">
        <v>145</v>
      </c>
      <c r="C91" s="40" t="s">
        <v>146</v>
      </c>
      <c r="D91" s="41">
        <v>11.0</v>
      </c>
      <c r="E91" s="42">
        <v>0.0</v>
      </c>
      <c r="F91" s="42">
        <v>3.0</v>
      </c>
      <c r="G91" s="42">
        <v>3.0</v>
      </c>
      <c r="H91" s="42">
        <v>1.0</v>
      </c>
      <c r="I91" s="43" t="b">
        <v>1</v>
      </c>
      <c r="J91" s="12" t="s">
        <v>351</v>
      </c>
      <c r="K91" s="12" t="s">
        <v>406</v>
      </c>
    </row>
    <row r="92">
      <c r="A92" s="40" t="s">
        <v>376</v>
      </c>
      <c r="B92" s="40" t="s">
        <v>174</v>
      </c>
      <c r="C92" s="40" t="s">
        <v>175</v>
      </c>
      <c r="D92" s="41">
        <v>11.0</v>
      </c>
      <c r="E92" s="42">
        <v>5.0</v>
      </c>
      <c r="F92" s="42">
        <v>2.0</v>
      </c>
      <c r="G92" s="42">
        <v>7.0</v>
      </c>
      <c r="H92" s="42">
        <v>0.428571428571428</v>
      </c>
      <c r="I92" s="43" t="b">
        <v>0</v>
      </c>
      <c r="J92" s="12" t="s">
        <v>367</v>
      </c>
      <c r="K92" s="12" t="s">
        <v>406</v>
      </c>
    </row>
    <row r="93">
      <c r="A93" s="40" t="s">
        <v>362</v>
      </c>
      <c r="B93" s="40" t="s">
        <v>279</v>
      </c>
      <c r="C93" s="40" t="s">
        <v>280</v>
      </c>
      <c r="D93" s="41">
        <v>11.0</v>
      </c>
      <c r="E93" s="42">
        <v>2.0</v>
      </c>
      <c r="F93" s="42">
        <v>1.0</v>
      </c>
      <c r="G93" s="42">
        <v>3.0</v>
      </c>
      <c r="H93" s="42">
        <v>0.333333333333333</v>
      </c>
      <c r="I93" s="43" t="b">
        <v>0</v>
      </c>
      <c r="J93" s="12" t="s">
        <v>371</v>
      </c>
      <c r="K93" s="12" t="s">
        <v>406</v>
      </c>
    </row>
    <row r="94">
      <c r="A94" s="40" t="s">
        <v>408</v>
      </c>
      <c r="B94" s="40" t="s">
        <v>182</v>
      </c>
      <c r="C94" s="40" t="s">
        <v>183</v>
      </c>
      <c r="D94" s="41">
        <v>11.0</v>
      </c>
      <c r="E94" s="42">
        <v>0.0</v>
      </c>
      <c r="F94" s="42">
        <v>9.0</v>
      </c>
      <c r="G94" s="42">
        <v>9.0</v>
      </c>
      <c r="H94" s="42">
        <v>1.0</v>
      </c>
      <c r="I94" s="43" t="b">
        <v>1</v>
      </c>
      <c r="J94" s="12" t="s">
        <v>351</v>
      </c>
      <c r="K94" s="12" t="s">
        <v>409</v>
      </c>
    </row>
    <row r="95">
      <c r="A95" s="40" t="s">
        <v>354</v>
      </c>
      <c r="B95" s="40" t="s">
        <v>137</v>
      </c>
      <c r="C95" s="40" t="s">
        <v>138</v>
      </c>
      <c r="D95" s="41">
        <v>11.0</v>
      </c>
      <c r="E95" s="42">
        <v>3.0</v>
      </c>
      <c r="F95" s="42">
        <v>0.0</v>
      </c>
      <c r="G95" s="42">
        <v>3.0</v>
      </c>
      <c r="H95" s="42">
        <v>1.0</v>
      </c>
      <c r="I95" s="43" t="b">
        <v>0</v>
      </c>
      <c r="J95" s="12" t="s">
        <v>351</v>
      </c>
      <c r="K95" s="12" t="s">
        <v>409</v>
      </c>
    </row>
    <row r="96">
      <c r="A96" s="40" t="s">
        <v>410</v>
      </c>
      <c r="B96" s="40" t="s">
        <v>253</v>
      </c>
      <c r="C96" s="40" t="s">
        <v>254</v>
      </c>
      <c r="D96" s="41">
        <v>11.0</v>
      </c>
      <c r="E96" s="42">
        <v>1.0</v>
      </c>
      <c r="F96" s="42">
        <v>2.0</v>
      </c>
      <c r="G96" s="42">
        <v>3.0</v>
      </c>
      <c r="H96" s="42">
        <v>0.333333333333333</v>
      </c>
      <c r="I96" s="43" t="b">
        <v>1</v>
      </c>
      <c r="J96" s="12" t="s">
        <v>371</v>
      </c>
      <c r="K96" s="12" t="s">
        <v>409</v>
      </c>
    </row>
    <row r="97">
      <c r="A97" s="40" t="s">
        <v>358</v>
      </c>
      <c r="B97" s="40" t="s">
        <v>106</v>
      </c>
      <c r="C97" s="40" t="s">
        <v>107</v>
      </c>
      <c r="D97" s="41">
        <v>11.0</v>
      </c>
      <c r="E97" s="42">
        <v>2.0</v>
      </c>
      <c r="F97" s="42">
        <v>1.0</v>
      </c>
      <c r="G97" s="42">
        <v>3.0</v>
      </c>
      <c r="H97" s="42">
        <v>0.333333333333333</v>
      </c>
      <c r="I97" s="43" t="b">
        <v>0</v>
      </c>
      <c r="J97" s="12" t="s">
        <v>371</v>
      </c>
      <c r="K97" s="12" t="s">
        <v>409</v>
      </c>
    </row>
    <row r="98">
      <c r="A98" s="40" t="s">
        <v>359</v>
      </c>
      <c r="B98" s="40" t="s">
        <v>277</v>
      </c>
      <c r="C98" s="40" t="s">
        <v>278</v>
      </c>
      <c r="D98" s="41">
        <v>11.0</v>
      </c>
      <c r="E98" s="42">
        <v>0.0</v>
      </c>
      <c r="F98" s="42">
        <v>3.0</v>
      </c>
      <c r="G98" s="42">
        <v>3.0</v>
      </c>
      <c r="H98" s="42">
        <v>1.0</v>
      </c>
      <c r="I98" s="43" t="b">
        <v>1</v>
      </c>
      <c r="J98" s="12" t="s">
        <v>351</v>
      </c>
      <c r="K98" s="12" t="s">
        <v>411</v>
      </c>
    </row>
    <row r="99">
      <c r="A99" s="40" t="s">
        <v>412</v>
      </c>
      <c r="B99" s="40" t="s">
        <v>104</v>
      </c>
      <c r="C99" s="40" t="s">
        <v>105</v>
      </c>
      <c r="D99" s="41">
        <v>11.0</v>
      </c>
      <c r="E99" s="42">
        <v>3.0</v>
      </c>
      <c r="F99" s="42">
        <v>1.0</v>
      </c>
      <c r="G99" s="42">
        <v>4.0</v>
      </c>
      <c r="H99" s="42">
        <v>0.5</v>
      </c>
      <c r="I99" s="43" t="b">
        <v>0</v>
      </c>
      <c r="J99" s="12" t="s">
        <v>367</v>
      </c>
      <c r="K99" s="12" t="s">
        <v>411</v>
      </c>
    </row>
    <row r="100">
      <c r="A100" s="40" t="s">
        <v>364</v>
      </c>
      <c r="B100" s="40" t="s">
        <v>239</v>
      </c>
      <c r="C100" s="40" t="s">
        <v>240</v>
      </c>
      <c r="D100" s="41">
        <v>11.0</v>
      </c>
      <c r="E100" s="42">
        <v>2.0</v>
      </c>
      <c r="F100" s="42">
        <v>1.0</v>
      </c>
      <c r="G100" s="42">
        <v>3.0</v>
      </c>
      <c r="H100" s="42">
        <v>0.333333333333333</v>
      </c>
      <c r="I100" s="43" t="b">
        <v>0</v>
      </c>
      <c r="J100" s="12" t="s">
        <v>371</v>
      </c>
      <c r="K100" s="12" t="s">
        <v>411</v>
      </c>
    </row>
    <row r="101">
      <c r="A101" s="40" t="s">
        <v>366</v>
      </c>
      <c r="B101" s="40" t="s">
        <v>206</v>
      </c>
      <c r="C101" s="40" t="s">
        <v>207</v>
      </c>
      <c r="D101" s="41">
        <v>11.0</v>
      </c>
      <c r="E101" s="42">
        <v>3.0</v>
      </c>
      <c r="F101" s="42">
        <v>6.0</v>
      </c>
      <c r="G101" s="42">
        <v>9.0</v>
      </c>
      <c r="H101" s="42">
        <v>0.333333333333333</v>
      </c>
      <c r="I101" s="43" t="b">
        <v>1</v>
      </c>
      <c r="J101" s="12" t="s">
        <v>371</v>
      </c>
      <c r="K101" s="12" t="s">
        <v>411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sheetViews>
  <sheetFormatPr customHeight="1" defaultColWidth="12.63" defaultRowHeight="15.75"/>
  <cols>
    <col customWidth="1" min="2" max="2" width="53.13"/>
    <col customWidth="1" min="3" max="3" width="21.75"/>
    <col customWidth="1" min="6" max="6" width="14.38"/>
    <col customWidth="1" min="8" max="8" width="12.75"/>
    <col customWidth="1" hidden="1" min="10" max="10" width="7.5"/>
    <col customWidth="1" hidden="1" min="11" max="11" width="7.75"/>
    <col customWidth="1" hidden="1" min="12" max="12" width="7.25"/>
    <col customWidth="1" hidden="1" min="13" max="13" width="6.25"/>
    <col customWidth="1" hidden="1" min="14" max="14" width="8.38"/>
    <col customWidth="1" hidden="1" min="15" max="15" width="23.88"/>
    <col customWidth="1" min="16" max="16" width="39.75"/>
  </cols>
  <sheetData>
    <row r="1">
      <c r="A1" s="28" t="s">
        <v>88</v>
      </c>
      <c r="B1" s="29" t="s">
        <v>89</v>
      </c>
      <c r="C1" s="44" t="s">
        <v>413</v>
      </c>
      <c r="D1" s="45" t="s">
        <v>60</v>
      </c>
      <c r="E1" s="44" t="s">
        <v>61</v>
      </c>
      <c r="F1" s="44" t="s">
        <v>62</v>
      </c>
      <c r="G1" s="44" t="s">
        <v>63</v>
      </c>
      <c r="H1" s="45" t="s">
        <v>64</v>
      </c>
      <c r="I1" s="46" t="s">
        <v>414</v>
      </c>
      <c r="J1" s="45" t="s">
        <v>60</v>
      </c>
      <c r="K1" s="44" t="s">
        <v>61</v>
      </c>
      <c r="L1" s="44" t="s">
        <v>62</v>
      </c>
      <c r="M1" s="44" t="s">
        <v>63</v>
      </c>
      <c r="N1" s="45" t="s">
        <v>64</v>
      </c>
      <c r="O1" s="46" t="s">
        <v>415</v>
      </c>
      <c r="P1" s="46" t="str">
        <f t="array" ref="P1:P101">O:O</f>
        <v>Comments</v>
      </c>
      <c r="Q1" s="47" t="s">
        <v>416</v>
      </c>
      <c r="R1" s="23" t="s">
        <v>417</v>
      </c>
      <c r="S1" s="23" t="s">
        <v>418</v>
      </c>
    </row>
    <row r="2">
      <c r="A2" s="12" t="str">
        <f>IFERROR(__xludf.DUMMYFUNCTION("QUERY(Source!B2:C101,""SELECT B, C"", 1)"),"01ae2350ef2becd09ce26a38d5a072bf")</f>
        <v>01ae2350ef2becd09ce26a38d5a072bf</v>
      </c>
      <c r="B2" s="12" t="str">
        <f>IFERROR(__xludf.DUMMYFUNCTION("""COMPUTED_VALUE"""),"The slower gross domestic product (GDP) growth was due to lower than expected exports and a decrease in public expenditure and foreign direct investment. A reduced influx of hard currency assisted the devaluation of the metical (MZN) against the US dollar"&amp;" and pressured the balance of payments. This was halted only by a USD 282.9 million standby credit facility agreement with the International Monetary Fund in December 2015. The budget deficit was reduced from 6.6% in 2014 to 5.4% in 2015.")</f>
        <v>The slower gross domestic product (GDP) growth was due to lower than expected exports and a decrease in public expenditure and foreign direct investment. A reduced influx of hard currency assisted the devaluation of the metical (MZN) against the US dollar and pressured the balance of payments. This was halted only by a USD 282.9 million standby credit facility agreement with the International Monetary Fund in December 2015. The budget deficit was reduced from 6.6% in 2014 to 5.4% in 2015.</v>
      </c>
      <c r="C2" s="48"/>
      <c r="D2" s="48" t="b">
        <f t="shared" ref="D2:H2" si="1">VLOOKUP($A2, INDIRECT(D$1&amp;"!A:C"), 3, FALSE)</f>
        <v>0</v>
      </c>
      <c r="E2" s="48" t="str">
        <f t="shared" si="1"/>
        <v>TO DO</v>
      </c>
      <c r="F2" s="48" t="str">
        <f t="shared" si="1"/>
        <v>TO DO</v>
      </c>
      <c r="G2" s="48" t="b">
        <f t="shared" si="1"/>
        <v>0</v>
      </c>
      <c r="H2" s="48" t="b">
        <f t="shared" si="1"/>
        <v>0</v>
      </c>
      <c r="I2" s="49">
        <f t="shared" ref="I2:I101" si="4">IF(COUNTA(D2:H2)=COUNTIF(D2:H2, "TO DO"), 0, ABS((COUNTIF(D2:H2,"TRUE")-COUNTIF(D2:H2, "FALSE")) / (COUNTA(D2:H2)-COUNTIF(D2:H2, "TO DO"))))</f>
        <v>1</v>
      </c>
      <c r="J2" s="50" t="str">
        <f t="shared" ref="J2:N2" si="2">VLOOKUP($A2, INDIRECT(J$1&amp;"!A:D"), 4, FALSE)</f>
        <v/>
      </c>
      <c r="K2" s="50" t="str">
        <f t="shared" si="2"/>
        <v/>
      </c>
      <c r="L2" s="50" t="str">
        <f t="shared" si="2"/>
        <v/>
      </c>
      <c r="M2" s="50" t="str">
        <f t="shared" si="2"/>
        <v/>
      </c>
      <c r="N2" s="50" t="str">
        <f t="shared" si="2"/>
        <v/>
      </c>
      <c r="O2" s="49" t="str">
        <f>IFERROR(__xludf.DUMMYFUNCTION("IF(COUNTA(J2:N2)=0, """", ARRAYFORMULA(""- ""&amp;TEXTJOIN(char(10)&amp;""- "", TRUE, FILTER(J$1:N$1&amp;"": ""&amp;J2:N2, NOT(ISBLANK(J2:N2))))))"),"")</f>
        <v/>
      </c>
      <c r="P2" s="49" t="s">
        <v>419</v>
      </c>
      <c r="Q2" s="51" t="b">
        <v>0</v>
      </c>
    </row>
    <row r="3" hidden="1">
      <c r="A3" s="12" t="str">
        <f>IFERROR(__xludf.DUMMYFUNCTION("""COMPUTED_VALUE"""),"31b7bdf98af44b02c97baaa4384686b7")</f>
        <v>31b7bdf98af44b02c97baaa4384686b7</v>
      </c>
      <c r="B3" s="12" t="str">
        <f>IFERROR(__xludf.DUMMYFUNCTION("""COMPUTED_VALUE"""),"The measures need to be selected based on evidence of the results they can be expected to produce. Detailed ex-ante assessment is employed in countries at the leading edge of achievement. In the United Kingdom, for example, targets for specific users or t"&amp;"ypes of crash are based on ex-ante assessments. In the Netherlands, overall targets for reducing deaths and serious injuries are tightened periodically and the accompanying measures modelled to assess whether they will deliver the improvement required to "&amp;"meet the new target.")</f>
        <v>The measures need to be selected based on evidence of the results they can be expected to produce. Detailed ex-ante assessment is employed in countries at the leading edge of achievement. In the United Kingdom, for example, targets for specific users or types of crash are based on ex-ante assessments. In the Netherlands, overall targets for reducing deaths and serious injuries are tightened periodically and the accompanying measures modelled to assess whether they will deliver the improvement required to meet the new target.</v>
      </c>
      <c r="C3" s="7" t="s">
        <v>420</v>
      </c>
      <c r="D3" s="48" t="b">
        <f t="shared" ref="D3:H3" si="3">VLOOKUP($A3, INDIRECT(D$1&amp;"!A:C"), 3, FALSE)</f>
        <v>0</v>
      </c>
      <c r="E3" s="48" t="str">
        <f t="shared" si="3"/>
        <v>TO DO</v>
      </c>
      <c r="F3" s="48" t="str">
        <f t="shared" si="3"/>
        <v>TO DO</v>
      </c>
      <c r="G3" s="48" t="b">
        <f t="shared" si="3"/>
        <v>1</v>
      </c>
      <c r="H3" s="48" t="b">
        <f t="shared" si="3"/>
        <v>0</v>
      </c>
      <c r="I3" s="49">
        <f t="shared" si="4"/>
        <v>0.3333333333</v>
      </c>
      <c r="J3" s="50" t="str">
        <f t="shared" ref="J3:N3" si="5">VLOOKUP($A3, INDIRECT(J$1&amp;"!A:D"), 4, FALSE)</f>
        <v/>
      </c>
      <c r="K3" s="50" t="str">
        <f t="shared" si="5"/>
        <v/>
      </c>
      <c r="L3" s="50" t="str">
        <f t="shared" si="5"/>
        <v/>
      </c>
      <c r="M3" s="50" t="str">
        <f t="shared" si="5"/>
        <v/>
      </c>
      <c r="N3" s="50" t="str">
        <f t="shared" si="5"/>
        <v>question is if anything related to road accidents should be linked to safe transportation?</v>
      </c>
      <c r="O3" s="49" t="str">
        <f>IFERROR(__xludf.DUMMYFUNCTION("IF(COUNTA(J3:N3)=0, """", ARRAYFORMULA(""- ""&amp;TEXTJOIN(char(10)&amp;""- "", TRUE, FILTER(J$1:N$1&amp;"": ""&amp;J3:N3, NOT(ISBLANK(J3:N3))))))"),"- Steve: question is if anything related to road accidents should be linked to safe transportation?")</f>
        <v>- Steve: question is if anything related to road accidents should be linked to safe transportation?</v>
      </c>
      <c r="P3" s="49" t="s">
        <v>421</v>
      </c>
      <c r="Q3" s="51" t="s">
        <v>422</v>
      </c>
    </row>
    <row r="4">
      <c r="A4" s="12" t="str">
        <f>IFERROR(__xludf.DUMMYFUNCTION("""COMPUTED_VALUE"""),"57941b10fef4017cdafe1ff6951b797d")</f>
        <v>57941b10fef4017cdafe1ff6951b797d</v>
      </c>
      <c r="B4" s="12" t="str">
        <f>IFERROR(__xludf.DUMMYFUNCTION("""COMPUTED_VALUE"""),"Direct investment, portfolio and other investment flows have propped up the balances of countries with current account deficits. Fiscal policy direction will be mixed in the near term. The stability in the fiscal positions of the region’s economies has re"&amp;"mained intact at the close of recent fiscal years.")</f>
        <v>Direct investment, portfolio and other investment flows have propped up the balances of countries with current account deficits. Fiscal policy direction will be mixed in the near term. The stability in the fiscal positions of the region’s economies has remained intact at the close of recent fiscal years.</v>
      </c>
      <c r="C4" s="48"/>
      <c r="D4" s="48" t="b">
        <f t="shared" ref="D4:H4" si="6">VLOOKUP($A4, INDIRECT(D$1&amp;"!A:C"), 3, FALSE)</f>
        <v>0</v>
      </c>
      <c r="E4" s="48" t="str">
        <f t="shared" si="6"/>
        <v>TO DO</v>
      </c>
      <c r="F4" s="48" t="str">
        <f t="shared" si="6"/>
        <v>TO DO</v>
      </c>
      <c r="G4" s="48" t="b">
        <f t="shared" si="6"/>
        <v>0</v>
      </c>
      <c r="H4" s="48" t="b">
        <f t="shared" si="6"/>
        <v>0</v>
      </c>
      <c r="I4" s="49">
        <f t="shared" si="4"/>
        <v>1</v>
      </c>
      <c r="J4" s="50" t="str">
        <f t="shared" ref="J4:N4" si="7">VLOOKUP($A4, INDIRECT(J$1&amp;"!A:D"), 4, FALSE)</f>
        <v/>
      </c>
      <c r="K4" s="50" t="str">
        <f t="shared" si="7"/>
        <v/>
      </c>
      <c r="L4" s="50" t="str">
        <f t="shared" si="7"/>
        <v/>
      </c>
      <c r="M4" s="50" t="str">
        <f t="shared" si="7"/>
        <v/>
      </c>
      <c r="N4" s="50" t="str">
        <f t="shared" si="7"/>
        <v/>
      </c>
      <c r="O4" s="49" t="str">
        <f>IFERROR(__xludf.DUMMYFUNCTION("IF(COUNTA(J4:N4)=0, """", ARRAYFORMULA(""- ""&amp;TEXTJOIN(char(10)&amp;""- "", TRUE, FILTER(J$1:N$1&amp;"": ""&amp;J4:N4, NOT(ISBLANK(J4:N4))))))"),"")</f>
        <v/>
      </c>
      <c r="P4" s="49" t="s">
        <v>419</v>
      </c>
      <c r="Q4" s="51" t="b">
        <v>0</v>
      </c>
    </row>
    <row r="5" hidden="1">
      <c r="A5" s="12" t="str">
        <f>IFERROR(__xludf.DUMMYFUNCTION("""COMPUTED_VALUE"""),"58d2964f44eefc3c06eb3418b169055a")</f>
        <v>58d2964f44eefc3c06eb3418b169055a</v>
      </c>
      <c r="B5" s="12" t="str">
        <f>IFERROR(__xludf.DUMMYFUNCTION("""COMPUTED_VALUE"""),"Most telling is the fact that at the southern end of Western Scandinavia, Skane generally frames its own development as part of the Copenhagen area as illustrated in the creation of the Greater Copenhagen and Skane Committee (see earlier description) and "&amp;"the common branding of Skane under “Greater Copenhagen”. Paradoxically, this is a case where cross-border governance to better control borders may have addressed one policy issue (migration) but aggravated others (labour market, environment). High-speed t"&amp;"rain (running at 320 km/hour) was supposed to connect Stockholm with Gothenburg in 2 hours and with Malmo in 2.5 hours by 2035.")</f>
        <v>Most telling is the fact that at the southern end of Western Scandinavia, Skane generally frames its own development as part of the Copenhagen area as illustrated in the creation of the Greater Copenhagen and Skane Committee (see earlier description) and the common branding of Skane under “Greater Copenhagen”. Paradoxically, this is a case where cross-border governance to better control borders may have addressed one policy issue (migration) but aggravated others (labour market, environment). High-speed train (running at 320 km/hour) was supposed to connect Stockholm with Gothenburg in 2 hours and with Malmo in 2.5 hours by 2035.</v>
      </c>
      <c r="C5" s="7"/>
      <c r="D5" s="48" t="b">
        <f t="shared" ref="D5:H5" si="8">VLOOKUP($A5, INDIRECT(D$1&amp;"!A:C"), 3, FALSE)</f>
        <v>0</v>
      </c>
      <c r="E5" s="48" t="str">
        <f t="shared" si="8"/>
        <v>TO DO</v>
      </c>
      <c r="F5" s="48" t="str">
        <f t="shared" si="8"/>
        <v>TO DO</v>
      </c>
      <c r="G5" s="48" t="b">
        <f t="shared" si="8"/>
        <v>1</v>
      </c>
      <c r="H5" s="48" t="b">
        <f t="shared" si="8"/>
        <v>1</v>
      </c>
      <c r="I5" s="49">
        <f t="shared" si="4"/>
        <v>0.3333333333</v>
      </c>
      <c r="J5" s="50" t="str">
        <f t="shared" ref="J5:N5" si="9">VLOOKUP($A5, INDIRECT(J$1&amp;"!A:D"), 4, FALSE)</f>
        <v/>
      </c>
      <c r="K5" s="50" t="str">
        <f t="shared" si="9"/>
        <v/>
      </c>
      <c r="L5" s="50" t="str">
        <f t="shared" si="9"/>
        <v/>
      </c>
      <c r="M5" s="50" t="str">
        <f t="shared" si="9"/>
        <v/>
      </c>
      <c r="N5" s="50" t="str">
        <f t="shared" si="9"/>
        <v>11.a, though rather weak lin k</v>
      </c>
      <c r="O5" s="49" t="str">
        <f>IFERROR(__xludf.DUMMYFUNCTION("IF(COUNTA(J5:N5)=0, """", ARRAYFORMULA(""- ""&amp;TEXTJOIN(char(10)&amp;""- "", TRUE, FILTER(J$1:N$1&amp;"": ""&amp;J5:N5, NOT(ISBLANK(J5:N5))))))"),"- Steve: 11.a, though rather weak lin k")</f>
        <v>- Steve: 11.a, though rather weak lin k</v>
      </c>
      <c r="P5" s="49" t="s">
        <v>423</v>
      </c>
      <c r="Q5" s="51" t="s">
        <v>422</v>
      </c>
    </row>
    <row r="6" hidden="1">
      <c r="A6" s="12" t="str">
        <f>IFERROR(__xludf.DUMMYFUNCTION("""COMPUTED_VALUE"""),"79902a4fab2ddb85c1c4930afc06754d")</f>
        <v>79902a4fab2ddb85c1c4930afc06754d</v>
      </c>
      <c r="B6" s="12" t="str">
        <f>IFERROR(__xludf.DUMMYFUNCTION("""COMPUTED_VALUE"""),"Distances travelled vary considerably between cities as well, the length of the average trip by car is 14.2 km in Mumbai, but only 3.1 km in Bhopal. The pump price per litre of diesel varies across the region, from USD 0.22 in Brunei Darussalam to USD 0.8"&amp;"1 in China and India, while that of gasoline ranges between USD 0.37 in Brunei Darussalam to USD 1.25 in Singapore (Figure 2.9). Fuel prices can account for a large share of drivers’ transportation costs (Box 2.4). These prices are affected by taxes, whic"&amp;"h are often designed to generate revenue and to price the environmental effects of vehicle emissions.")</f>
        <v>Distances travelled vary considerably between cities as well, the length of the average trip by car is 14.2 km in Mumbai, but only 3.1 km in Bhopal. The pump price per litre of diesel varies across the region, from USD 0.22 in Brunei Darussalam to USD 0.81 in China and India, while that of gasoline ranges between USD 0.37 in Brunei Darussalam to USD 1.25 in Singapore (Figure 2.9). Fuel prices can account for a large share of drivers’ transportation costs (Box 2.4). These prices are affected by taxes, which are often designed to generate revenue and to price the environmental effects of vehicle emissions.</v>
      </c>
      <c r="C6" s="7"/>
      <c r="D6" s="48" t="b">
        <f t="shared" ref="D6:H6" si="10">VLOOKUP($A6, INDIRECT(D$1&amp;"!A:C"), 3, FALSE)</f>
        <v>0</v>
      </c>
      <c r="E6" s="48" t="str">
        <f t="shared" si="10"/>
        <v>TO DO</v>
      </c>
      <c r="F6" s="48" t="str">
        <f t="shared" si="10"/>
        <v>TO DO</v>
      </c>
      <c r="G6" s="48" t="b">
        <f t="shared" si="10"/>
        <v>1</v>
      </c>
      <c r="H6" s="48" t="b">
        <f t="shared" si="10"/>
        <v>0</v>
      </c>
      <c r="I6" s="49">
        <f t="shared" si="4"/>
        <v>0.3333333333</v>
      </c>
      <c r="J6" s="50" t="str">
        <f t="shared" ref="J6:N6" si="11">VLOOKUP($A6, INDIRECT(J$1&amp;"!A:D"), 4, FALSE)</f>
        <v/>
      </c>
      <c r="K6" s="50" t="str">
        <f t="shared" si="11"/>
        <v/>
      </c>
      <c r="L6" s="50" t="str">
        <f t="shared" si="11"/>
        <v/>
      </c>
      <c r="M6" s="50" t="str">
        <f t="shared" si="11"/>
        <v/>
      </c>
      <c r="N6" s="50" t="str">
        <f t="shared" si="11"/>
        <v>on sustainable transportation, though more on fuel prices and less on access to affordable, safe sustainable transportation</v>
      </c>
      <c r="O6" s="49" t="str">
        <f>IFERROR(__xludf.DUMMYFUNCTION("IF(COUNTA(J6:N6)=0, """", ARRAYFORMULA(""- ""&amp;TEXTJOIN(char(10)&amp;""- "", TRUE, FILTER(J$1:N$1&amp;"": ""&amp;J6:N6, NOT(ISBLANK(J6:N6))))))"),"- Steve: on sustainable transportation, though more on fuel prices and less on access to affordable, safe sustainable transportation")</f>
        <v>- Steve: on sustainable transportation, though more on fuel prices and less on access to affordable, safe sustainable transportation</v>
      </c>
      <c r="P6" s="49" t="s">
        <v>424</v>
      </c>
      <c r="Q6" s="51" t="s">
        <v>422</v>
      </c>
    </row>
    <row r="7">
      <c r="A7" s="12" t="str">
        <f>IFERROR(__xludf.DUMMYFUNCTION("""COMPUTED_VALUE"""),"8450d28c2510726997c4f87227878655")</f>
        <v>8450d28c2510726997c4f87227878655</v>
      </c>
      <c r="B7" s="12" t="str">
        <f>IFERROR(__xludf.DUMMYFUNCTION("""COMPUTED_VALUE"""),"In an overview supporting the implementation ofthe Norwegian value creation programme, the consultant outlined a few circumstances that could contribute to better utilization ofthe economic potentia I of cultural heritage. Firstly, cultural heritage could"&amp;" provide a competitive advantage of the tourism and travel industry, if the marketing is focused on segments (i.e. groups of people) that are willing to pay more than average for their services. Secondly, there are several benefits of networking between i"&amp;"ndividual companies, a single cultural site may not be sufficient to attract visitors, but as a part of a network of cultural sites, it may become more interesting. Investments in infrastructure and marketing require resources, and by joining forces more "&amp;"cost-effective solutions could be found.")</f>
        <v>In an overview supporting the implementation ofthe Norwegian value creation programme, the consultant outlined a few circumstances that could contribute to better utilization ofthe economic potentia I of cultural heritage. Firstly, cultural heritage could provide a competitive advantage of the tourism and travel industry, if the marketing is focused on segments (i.e. groups of people) that are willing to pay more than average for their services. Secondly, there are several benefits of networking between individual companies, a single cultural site may not be sufficient to attract visitors, but as a part of a network of cultural sites, it may become more interesting. Investments in infrastructure and marketing require resources, and by joining forces more cost-effective solutions could be found.</v>
      </c>
      <c r="C7" s="7" t="s">
        <v>425</v>
      </c>
      <c r="D7" s="48" t="b">
        <f t="shared" ref="D7:H7" si="12">VLOOKUP($A7, INDIRECT(D$1&amp;"!A:C"), 3, FALSE)</f>
        <v>1</v>
      </c>
      <c r="E7" s="48" t="str">
        <f t="shared" si="12"/>
        <v>TO DO</v>
      </c>
      <c r="F7" s="48" t="str">
        <f t="shared" si="12"/>
        <v>TO DO</v>
      </c>
      <c r="G7" s="48" t="b">
        <f t="shared" si="12"/>
        <v>0</v>
      </c>
      <c r="H7" s="48" t="b">
        <f t="shared" si="12"/>
        <v>0</v>
      </c>
      <c r="I7" s="49">
        <f t="shared" si="4"/>
        <v>0.3333333333</v>
      </c>
      <c r="J7" s="50" t="str">
        <f t="shared" ref="J7:N7" si="13">VLOOKUP($A7, INDIRECT(J$1&amp;"!A:D"), 4, FALSE)</f>
        <v>this is more about economic utilization</v>
      </c>
      <c r="K7" s="50" t="str">
        <f t="shared" si="13"/>
        <v/>
      </c>
      <c r="L7" s="50" t="str">
        <f t="shared" si="13"/>
        <v/>
      </c>
      <c r="M7" s="50" t="str">
        <f t="shared" si="13"/>
        <v/>
      </c>
      <c r="N7" s="50" t="str">
        <f t="shared" si="13"/>
        <v>not really on protection and safeguarding heritage sites but more on making them economically viable and beneficial</v>
      </c>
      <c r="O7" s="49" t="str">
        <f>IFERROR(__xludf.DUMMYFUNCTION("IF(COUNTA(J7:N7)=0, """", ARRAYFORMULA(""- ""&amp;TEXTJOIN(char(10)&amp;""- "", TRUE, FILTER(J$1:N$1&amp;"": ""&amp;J7:N7, NOT(ISBLANK(J7:N7))))))"),"- Finn: this is more about economic utilization
- Steve: not really on protection and safeguarding heritage sites but more on making them economically viable and beneficial")</f>
        <v>- Finn: this is more about economic utilization
- Steve: not really on protection and safeguarding heritage sites but more on making them economically viable and beneficial</v>
      </c>
      <c r="P7" s="49" t="s">
        <v>426</v>
      </c>
      <c r="Q7" s="52" t="b">
        <v>0</v>
      </c>
      <c r="R7" s="5" t="s">
        <v>427</v>
      </c>
    </row>
    <row r="8">
      <c r="A8" s="12" t="str">
        <f>IFERROR(__xludf.DUMMYFUNCTION("""COMPUTED_VALUE"""),"9e7ed2260831a3b78bbf9ef1f97b0d2a")</f>
        <v>9e7ed2260831a3b78bbf9ef1f97b0d2a</v>
      </c>
      <c r="B8" s="12" t="str">
        <f>IFERROR(__xludf.DUMMYFUNCTION("""COMPUTED_VALUE"""),"The probability that recurrent emergencies will persist is high, even with well-planned and executed strategies. However, over time and with dedicated attention and often incremental action, complex disaster risks can be managed and reduced. Coordinated, "&amp;"collaborative action allows for organizations to play to their strengths and not extend beyond their own institutional capacity while also creating synergies and positive exchanges among actors.")</f>
        <v>The probability that recurrent emergencies will persist is high, even with well-planned and executed strategies. However, over time and with dedicated attention and often incremental action, complex disaster risks can be managed and reduced. Coordinated, collaborative action allows for organizations to play to their strengths and not extend beyond their own institutional capacity while also creating synergies and positive exchanges among actors.</v>
      </c>
      <c r="C8" s="7"/>
      <c r="D8" s="48" t="b">
        <f t="shared" ref="D8:H8" si="14">VLOOKUP($A8, INDIRECT(D$1&amp;"!A:C"), 3, FALSE)</f>
        <v>0</v>
      </c>
      <c r="E8" s="48" t="str">
        <f t="shared" si="14"/>
        <v>TO DO</v>
      </c>
      <c r="F8" s="48" t="str">
        <f t="shared" si="14"/>
        <v>TO DO</v>
      </c>
      <c r="G8" s="48" t="b">
        <f t="shared" si="14"/>
        <v>0</v>
      </c>
      <c r="H8" s="48" t="b">
        <f t="shared" si="14"/>
        <v>0</v>
      </c>
      <c r="I8" s="49">
        <f t="shared" si="4"/>
        <v>1</v>
      </c>
      <c r="J8" s="50" t="str">
        <f t="shared" ref="J8:N8" si="15">VLOOKUP($A8, INDIRECT(J$1&amp;"!A:D"), 4, FALSE)</f>
        <v/>
      </c>
      <c r="K8" s="50" t="str">
        <f t="shared" si="15"/>
        <v/>
      </c>
      <c r="L8" s="50" t="str">
        <f t="shared" si="15"/>
        <v/>
      </c>
      <c r="M8" s="50" t="str">
        <f t="shared" si="15"/>
        <v/>
      </c>
      <c r="N8" s="50" t="str">
        <f t="shared" si="15"/>
        <v>not focusing on city level, even though 11.5 does also not specifically mention cities</v>
      </c>
      <c r="O8" s="49" t="str">
        <f>IFERROR(__xludf.DUMMYFUNCTION("IF(COUNTA(J8:N8)=0, """", ARRAYFORMULA(""- ""&amp;TEXTJOIN(char(10)&amp;""- "", TRUE, FILTER(J$1:N$1&amp;"": ""&amp;J8:N8, NOT(ISBLANK(J8:N8))))))"),"- Steve: not focusing on city level, even though 11.5 does also not specifically mention cities")</f>
        <v>- Steve: not focusing on city level, even though 11.5 does also not specifically mention cities</v>
      </c>
      <c r="P8" s="49" t="s">
        <v>428</v>
      </c>
      <c r="Q8" s="51" t="b">
        <v>0</v>
      </c>
    </row>
    <row r="9" hidden="1">
      <c r="A9" s="12" t="str">
        <f>IFERROR(__xludf.DUMMYFUNCTION("""COMPUTED_VALUE"""),"a329efb3796c2a2a2675e0aef85856d6")</f>
        <v>a329efb3796c2a2a2675e0aef85856d6</v>
      </c>
      <c r="B9" s="12" t="str">
        <f>IFERROR(__xludf.DUMMYFUNCTION("""COMPUTED_VALUE"""),"Complexity may be a problem in some European jurisdictions with multiple and tiered governance arrangements. There is, therefore, no universal blueprint to dictate the specific way in which relations between different tiers of government are structured an"&amp;"d regulated, as they depend on institutional traditions and the relative capacity of each level. However, a key opportunity can be found in a balance between top-down and bottom-up approaches in the NUP processes.")</f>
        <v>Complexity may be a problem in some European jurisdictions with multiple and tiered governance arrangements. There is, therefore, no universal blueprint to dictate the specific way in which relations between different tiers of government are structured and regulated, as they depend on institutional traditions and the relative capacity of each level. However, a key opportunity can be found in a balance between top-down and bottom-up approaches in the NUP processes.</v>
      </c>
      <c r="C9" s="7"/>
      <c r="D9" s="48" t="b">
        <f t="shared" ref="D9:H9" si="16">VLOOKUP($A9, INDIRECT(D$1&amp;"!A:C"), 3, FALSE)</f>
        <v>0</v>
      </c>
      <c r="E9" s="48" t="str">
        <f t="shared" si="16"/>
        <v>TO DO</v>
      </c>
      <c r="F9" s="48" t="str">
        <f t="shared" si="16"/>
        <v>TO DO</v>
      </c>
      <c r="G9" s="48" t="b">
        <f t="shared" si="16"/>
        <v>1</v>
      </c>
      <c r="H9" s="48" t="b">
        <f t="shared" si="16"/>
        <v>0</v>
      </c>
      <c r="I9" s="49">
        <f t="shared" si="4"/>
        <v>0.3333333333</v>
      </c>
      <c r="J9" s="50" t="str">
        <f t="shared" ref="J9:N9" si="17">VLOOKUP($A9, INDIRECT(J$1&amp;"!A:D"), 4, FALSE)</f>
        <v/>
      </c>
      <c r="K9" s="50" t="str">
        <f t="shared" si="17"/>
        <v/>
      </c>
      <c r="L9" s="50" t="str">
        <f t="shared" si="17"/>
        <v/>
      </c>
      <c r="M9" s="50" t="str">
        <f t="shared" si="17"/>
        <v/>
      </c>
      <c r="N9" s="50" t="str">
        <f t="shared" si="17"/>
        <v>more on effective multi-level governance</v>
      </c>
      <c r="O9" s="49" t="str">
        <f>IFERROR(__xludf.DUMMYFUNCTION("IF(COUNTA(J9:N9)=0, """", ARRAYFORMULA(""- ""&amp;TEXTJOIN(char(10)&amp;""- "", TRUE, FILTER(J$1:N$1&amp;"": ""&amp;J9:N9, NOT(ISBLANK(J9:N9))))))"),"- Steve: more on effective multi-level governance")</f>
        <v>- Steve: more on effective multi-level governance</v>
      </c>
      <c r="P9" s="49" t="s">
        <v>429</v>
      </c>
      <c r="Q9" s="51" t="s">
        <v>422</v>
      </c>
    </row>
    <row r="10">
      <c r="A10" s="12" t="str">
        <f>IFERROR(__xludf.DUMMYFUNCTION("""COMPUTED_VALUE"""),"b34e6064bec3a3a7154c208c82950ddd")</f>
        <v>b34e6064bec3a3a7154c208c82950ddd</v>
      </c>
      <c r="B10" s="12" t="str">
        <f>IFERROR(__xludf.DUMMYFUNCTION("""COMPUTED_VALUE"""),"The fiscal stance remains viable, with a manageable overall balance deficit equal to 2.9% of GDP (3.7% in 2014). By the end of 2015, official foreign-exchange reserves had remained comfortable at an estimated US dollar (USD) 809 million, or 6.8% of non-ex"&amp;"tractive imports (5.5 months of imports), against USD 639.1 million in 2014, or 4.7 months of imports. The tertiary sector’s share of GDP continued growing to reach 44.8%, its highest ever.")</f>
        <v>The fiscal stance remains viable, with a manageable overall balance deficit equal to 2.9% of GDP (3.7% in 2014). By the end of 2015, official foreign-exchange reserves had remained comfortable at an estimated US dollar (USD) 809 million, or 6.8% of non-extractive imports (5.5 months of imports), against USD 639.1 million in 2014, or 4.7 months of imports. The tertiary sector’s share of GDP continued growing to reach 44.8%, its highest ever.</v>
      </c>
      <c r="C10" s="48"/>
      <c r="D10" s="48" t="b">
        <f t="shared" ref="D10:H10" si="18">VLOOKUP($A10, INDIRECT(D$1&amp;"!A:C"), 3, FALSE)</f>
        <v>0</v>
      </c>
      <c r="E10" s="48" t="str">
        <f t="shared" si="18"/>
        <v>TO DO</v>
      </c>
      <c r="F10" s="48" t="str">
        <f t="shared" si="18"/>
        <v>TO DO</v>
      </c>
      <c r="G10" s="48" t="b">
        <f t="shared" si="18"/>
        <v>0</v>
      </c>
      <c r="H10" s="48" t="b">
        <f t="shared" si="18"/>
        <v>0</v>
      </c>
      <c r="I10" s="49">
        <f t="shared" si="4"/>
        <v>1</v>
      </c>
      <c r="J10" s="50" t="str">
        <f t="shared" ref="J10:N10" si="19">VLOOKUP($A10, INDIRECT(J$1&amp;"!A:D"), 4, FALSE)</f>
        <v/>
      </c>
      <c r="K10" s="50" t="str">
        <f t="shared" si="19"/>
        <v/>
      </c>
      <c r="L10" s="50" t="str">
        <f t="shared" si="19"/>
        <v/>
      </c>
      <c r="M10" s="50" t="str">
        <f t="shared" si="19"/>
        <v/>
      </c>
      <c r="N10" s="50" t="str">
        <f t="shared" si="19"/>
        <v/>
      </c>
      <c r="O10" s="49" t="str">
        <f>IFERROR(__xludf.DUMMYFUNCTION("IF(COUNTA(J10:N10)=0, """", ARRAYFORMULA(""- ""&amp;TEXTJOIN(char(10)&amp;""- "", TRUE, FILTER(J$1:N$1&amp;"": ""&amp;J10:N10, NOT(ISBLANK(J10:N10))))))"),"")</f>
        <v/>
      </c>
      <c r="P10" s="49" t="s">
        <v>419</v>
      </c>
      <c r="Q10" s="51" t="b">
        <v>0</v>
      </c>
    </row>
    <row r="11">
      <c r="A11" s="12" t="str">
        <f>IFERROR(__xludf.DUMMYFUNCTION("""COMPUTED_VALUE"""),"dbffc996583a690ac9ad01eec4f066ed")</f>
        <v>dbffc996583a690ac9ad01eec4f066ed</v>
      </c>
      <c r="B11" s="12" t="str">
        <f>IFERROR(__xludf.DUMMYFUNCTION("""COMPUTED_VALUE"""),"The city can experiment with new' technologies at the new' landfill site planned at Gia Minh solid waste treatment complex in Thuy Nguyen district, which is 15 kilometres away from the centre and a part of the project on rain and wastewater drainage and s"&amp;"olid waste management. Such efforts can directly improve the economic competitiveness of SMEs. Community-based action has played a key role in reducing the city’s domestic waste by setting up targets and various pilot projects that empowered identifiable "&amp;"groups in waste collection and sorting for recycling. For example, in Cebu, small and medium-scale businesses have identified waste treatment and recycling as a business and located a market for their end products.")</f>
        <v>The city can experiment with new' technologies at the new' landfill site planned at Gia Minh solid waste treatment complex in Thuy Nguyen district, which is 15 kilometres away from the centre and a part of the project on rain and wastewater drainage and solid waste management. Such efforts can directly improve the economic competitiveness of SMEs. Community-based action has played a key role in reducing the city’s domestic waste by setting up targets and various pilot projects that empowered identifiable groups in waste collection and sorting for recycling. For example, in Cebu, small and medium-scale businesses have identified waste treatment and recycling as a business and located a market for their end products.</v>
      </c>
      <c r="C11" s="53"/>
      <c r="D11" s="48" t="b">
        <f t="shared" ref="D11:H11" si="20">VLOOKUP($A11, INDIRECT(D$1&amp;"!A:C"), 3, FALSE)</f>
        <v>1</v>
      </c>
      <c r="E11" s="48" t="str">
        <f t="shared" si="20"/>
        <v>TO DO</v>
      </c>
      <c r="F11" s="48" t="str">
        <f t="shared" si="20"/>
        <v>TO DO</v>
      </c>
      <c r="G11" s="48" t="b">
        <f t="shared" si="20"/>
        <v>1</v>
      </c>
      <c r="H11" s="48" t="b">
        <f t="shared" si="20"/>
        <v>1</v>
      </c>
      <c r="I11" s="49">
        <f t="shared" si="4"/>
        <v>1</v>
      </c>
      <c r="J11" s="50" t="str">
        <f t="shared" ref="J11:N11" si="21">VLOOKUP($A11, INDIRECT(J$1&amp;"!A:D"), 4, FALSE)</f>
        <v>sustainable city</v>
      </c>
      <c r="K11" s="50" t="str">
        <f t="shared" si="21"/>
        <v/>
      </c>
      <c r="L11" s="50" t="str">
        <f t="shared" si="21"/>
        <v/>
      </c>
      <c r="M11" s="50" t="str">
        <f t="shared" si="21"/>
        <v/>
      </c>
      <c r="N11" s="50" t="str">
        <f t="shared" si="21"/>
        <v/>
      </c>
      <c r="O11" s="49" t="str">
        <f>IFERROR(__xludf.DUMMYFUNCTION("IF(COUNTA(J11:N11)=0, """", ARRAYFORMULA(""- ""&amp;TEXTJOIN(char(10)&amp;""- "", TRUE, FILTER(J$1:N$1&amp;"": ""&amp;J11:N11, NOT(ISBLANK(J11:N11))))))"),"- Finn: sustainable city")</f>
        <v>- Finn: sustainable city</v>
      </c>
      <c r="P11" s="49" t="s">
        <v>430</v>
      </c>
      <c r="Q11" s="51" t="b">
        <v>1</v>
      </c>
    </row>
    <row r="12">
      <c r="A12" s="12" t="str">
        <f>IFERROR(__xludf.DUMMYFUNCTION("""COMPUTED_VALUE"""),"f625b9bc7ce99302f72ba28accabc605")</f>
        <v>f625b9bc7ce99302f72ba28accabc605</v>
      </c>
      <c r="B12" s="12" t="str">
        <f>IFERROR(__xludf.DUMMYFUNCTION("""COMPUTED_VALUE"""),"A major change at the municipal (and provincial) level is the adoption of one plan for the entire territory that will incorporate all applicable zoning regulations and pertinent administrative laws. All existing zoning plans will be transferred to the env"&amp;"ironmental plan and local governments will have a period of ten years to transform them. It is anticipated that some areas will have a high degree of protection, such as heritage sites, while others will have far fewer rules and constraints and be more op"&amp;"en to experimental uses and spaces.")</f>
        <v>A major change at the municipal (and provincial) level is the adoption of one plan for the entire territory that will incorporate all applicable zoning regulations and pertinent administrative laws. All existing zoning plans will be transferred to the environmental plan and local governments will have a period of ten years to transform them. It is anticipated that some areas will have a high degree of protection, such as heritage sites, while others will have far fewer rules and constraints and be more open to experimental uses and spaces.</v>
      </c>
      <c r="C12" s="54"/>
      <c r="D12" s="48" t="b">
        <f t="shared" ref="D12:H12" si="22">VLOOKUP($A12, INDIRECT(D$1&amp;"!A:C"), 3, FALSE)</f>
        <v>1</v>
      </c>
      <c r="E12" s="48" t="str">
        <f t="shared" si="22"/>
        <v>TO DO</v>
      </c>
      <c r="F12" s="48" t="str">
        <f t="shared" si="22"/>
        <v>TO DO</v>
      </c>
      <c r="G12" s="48" t="b">
        <f t="shared" si="22"/>
        <v>1</v>
      </c>
      <c r="H12" s="48" t="b">
        <f t="shared" si="22"/>
        <v>1</v>
      </c>
      <c r="I12" s="49">
        <f t="shared" si="4"/>
        <v>1</v>
      </c>
      <c r="J12" s="50" t="str">
        <f t="shared" ref="J12:N12" si="23">VLOOKUP($A12, INDIRECT(J$1&amp;"!A:D"), 4, FALSE)</f>
        <v/>
      </c>
      <c r="K12" s="50" t="str">
        <f t="shared" si="23"/>
        <v/>
      </c>
      <c r="L12" s="50" t="str">
        <f t="shared" si="23"/>
        <v/>
      </c>
      <c r="M12" s="50" t="str">
        <f t="shared" si="23"/>
        <v/>
      </c>
      <c r="N12" s="50" t="str">
        <f t="shared" si="23"/>
        <v>urban and regional planning, heritage sites mentioned but not their protection or preservation</v>
      </c>
      <c r="O12" s="49" t="str">
        <f>IFERROR(__xludf.DUMMYFUNCTION("IF(COUNTA(J12:N12)=0, """", ARRAYFORMULA(""- ""&amp;TEXTJOIN(char(10)&amp;""- "", TRUE, FILTER(J$1:N$1&amp;"": ""&amp;J12:N12, NOT(ISBLANK(J12:N12))))))"),"- Steve: urban and regional planning, heritage sites mentioned but not their protection or preservation")</f>
        <v>- Steve: urban and regional planning, heritage sites mentioned but not their protection or preservation</v>
      </c>
      <c r="P12" s="49" t="s">
        <v>431</v>
      </c>
      <c r="Q12" s="51" t="b">
        <v>1</v>
      </c>
    </row>
    <row r="13" hidden="1">
      <c r="A13" s="12" t="str">
        <f>IFERROR(__xludf.DUMMYFUNCTION("""COMPUTED_VALUE"""),"59817bab27fa71125af7ca040e5805bb")</f>
        <v>59817bab27fa71125af7ca040e5805bb</v>
      </c>
      <c r="B13" s="12" t="str">
        <f>IFERROR(__xludf.DUMMYFUNCTION("""COMPUTED_VALUE"""),"This implies no responsibility by community or government and gives the impression that road trauma is inevitable. The implication in the use of the word 'accident' is that road trauma is an 'act of God' and outside our control. New Zealand Police prefer "&amp;"the term crash or collision to ensure that these events are not regarded as inevitable, as most road incidents are preventable.")</f>
        <v>This implies no responsibility by community or government and gives the impression that road trauma is inevitable. The implication in the use of the word 'accident' is that road trauma is an 'act of God' and outside our control. New Zealand Police prefer the term crash or collision to ensure that these events are not regarded as inevitable, as most road incidents are preventable.</v>
      </c>
      <c r="C13" s="7" t="s">
        <v>420</v>
      </c>
      <c r="D13" s="48" t="b">
        <f t="shared" ref="D13:H13" si="24">VLOOKUP($A13, INDIRECT(D$1&amp;"!A:C"), 3, FALSE)</f>
        <v>0</v>
      </c>
      <c r="E13" s="48" t="str">
        <f t="shared" si="24"/>
        <v>TO DO</v>
      </c>
      <c r="F13" s="48" t="str">
        <f t="shared" si="24"/>
        <v>TO DO</v>
      </c>
      <c r="G13" s="48" t="b">
        <f t="shared" si="24"/>
        <v>1</v>
      </c>
      <c r="H13" s="48" t="b">
        <f t="shared" si="24"/>
        <v>0</v>
      </c>
      <c r="I13" s="49">
        <f t="shared" si="4"/>
        <v>0.3333333333</v>
      </c>
      <c r="J13" s="50" t="str">
        <f t="shared" ref="J13:N13" si="25">VLOOKUP($A13, INDIRECT(J$1&amp;"!A:D"), 4, FALSE)</f>
        <v>not sure</v>
      </c>
      <c r="K13" s="50" t="str">
        <f t="shared" si="25"/>
        <v/>
      </c>
      <c r="L13" s="50" t="str">
        <f t="shared" si="25"/>
        <v/>
      </c>
      <c r="M13" s="50" t="str">
        <f t="shared" si="25"/>
        <v/>
      </c>
      <c r="N13" s="50" t="str">
        <f t="shared" si="25"/>
        <v/>
      </c>
      <c r="O13" s="49" t="str">
        <f>IFERROR(__xludf.DUMMYFUNCTION("IF(COUNTA(J13:N13)=0, """", ARRAYFORMULA(""- ""&amp;TEXTJOIN(char(10)&amp;""- "", TRUE, FILTER(J$1:N$1&amp;"": ""&amp;J13:N13, NOT(ISBLANK(J13:N13))))))"),"- Finn: not sure")</f>
        <v>- Finn: not sure</v>
      </c>
      <c r="P13" s="49" t="s">
        <v>432</v>
      </c>
      <c r="Q13" s="51" t="s">
        <v>422</v>
      </c>
    </row>
    <row r="14" hidden="1">
      <c r="A14" s="12" t="str">
        <f>IFERROR(__xludf.DUMMYFUNCTION("""COMPUTED_VALUE"""),"04fa7f8e790b8447cc003980e8d5cb2e")</f>
        <v>04fa7f8e790b8447cc003980e8d5cb2e</v>
      </c>
      <c r="B14" s="12" t="str">
        <f>IFERROR(__xludf.DUMMYFUNCTION("""COMPUTED_VALUE"""),"These policies will need to be synchronised and implemented in parallel with the initiatives of the Council for Human Capital. These drivers, also called “framework conditions”, are largely endogenous to the region and include agglomeration effects, secto"&amp;"ral specialisation, human capital, accessibility and infrastructure, innovation and institutional factors. To strengthen its regional economy, Morelos w'ill need to leverage its diverse set of assets and comparative advantages by adopting a territorial, c"&amp;"omprehensive approach to different challenges.")</f>
        <v>These policies will need to be synchronised and implemented in parallel with the initiatives of the Council for Human Capital. These drivers, also called “framework conditions”, are largely endogenous to the region and include agglomeration effects, sectoral specialisation, human capital, accessibility and infrastructure, innovation and institutional factors. To strengthen its regional economy, Morelos w'ill need to leverage its diverse set of assets and comparative advantages by adopting a territorial, comprehensive approach to different challenges.</v>
      </c>
      <c r="C14" s="53"/>
      <c r="D14" s="48" t="b">
        <f t="shared" ref="D14:H14" si="26">VLOOKUP($A14, INDIRECT(D$1&amp;"!A:C"), 3, FALSE)</f>
        <v>1</v>
      </c>
      <c r="E14" s="48" t="str">
        <f t="shared" si="26"/>
        <v>TO DO</v>
      </c>
      <c r="F14" s="48" t="str">
        <f t="shared" si="26"/>
        <v>TO DO</v>
      </c>
      <c r="G14" s="48" t="b">
        <f t="shared" si="26"/>
        <v>0</v>
      </c>
      <c r="H14" s="48" t="b">
        <f t="shared" si="26"/>
        <v>0</v>
      </c>
      <c r="I14" s="49">
        <f t="shared" si="4"/>
        <v>0.3333333333</v>
      </c>
      <c r="J14" s="50" t="str">
        <f t="shared" ref="J14:N14" si="27">VLOOKUP($A14, INDIRECT(J$1&amp;"!A:D"), 4, FALSE)</f>
        <v>territorial approach?</v>
      </c>
      <c r="K14" s="50" t="str">
        <f t="shared" si="27"/>
        <v/>
      </c>
      <c r="L14" s="50" t="str">
        <f t="shared" si="27"/>
        <v/>
      </c>
      <c r="M14" s="50" t="str">
        <f t="shared" si="27"/>
        <v/>
      </c>
      <c r="N14" s="50" t="str">
        <f t="shared" si="27"/>
        <v>maybe, if Morelos would be a city not a state</v>
      </c>
      <c r="O14" s="49" t="str">
        <f>IFERROR(__xludf.DUMMYFUNCTION("IF(COUNTA(J14:N14)=0, """", ARRAYFORMULA(""- ""&amp;TEXTJOIN(char(10)&amp;""- "", TRUE, FILTER(J$1:N$1&amp;"": ""&amp;J14:N14, NOT(ISBLANK(J14:N14))))))"),"- Finn: territorial approach?
- Steve: maybe, if Morelos would be a city not a state")</f>
        <v>- Finn: territorial approach?
- Steve: maybe, if Morelos would be a city not a state</v>
      </c>
      <c r="P14" s="49" t="s">
        <v>433</v>
      </c>
      <c r="Q14" s="51" t="s">
        <v>422</v>
      </c>
    </row>
    <row r="15">
      <c r="A15" s="12" t="str">
        <f>IFERROR(__xludf.DUMMYFUNCTION("""COMPUTED_VALUE"""),"64c6f0109216f35fc54981f6c9624bac")</f>
        <v>64c6f0109216f35fc54981f6c9624bac</v>
      </c>
      <c r="B15" s="12" t="str">
        <f>IFERROR(__xludf.DUMMYFUNCTION("""COMPUTED_VALUE"""),"Understanding why risks are higher or lower is a basis to attach priorities to problems. The title clearly reflects Korea’s ambition to reduce the number of road deaths. This means there is a target. Deciding on a realistic and ambitious timeframe within "&amp;"which this halving should be realized is a key component of target setting. Experiences in other countries teach us that a halving within 10 years is possible but may also be ambitious. Halving the deaths with a 30 year target cannot be considered ambitio"&amp;"us.")</f>
        <v>Understanding why risks are higher or lower is a basis to attach priorities to problems. The title clearly reflects Korea’s ambition to reduce the number of road deaths. This means there is a target. Deciding on a realistic and ambitious timeframe within which this halving should be realized is a key component of target setting. Experiences in other countries teach us that a halving within 10 years is possible but may also be ambitious. Halving the deaths with a 30 year target cannot be considered ambitious.</v>
      </c>
      <c r="C15" s="54" t="s">
        <v>420</v>
      </c>
      <c r="D15" s="48" t="b">
        <f t="shared" ref="D15:H15" si="28">VLOOKUP($A15, INDIRECT(D$1&amp;"!A:C"), 3, FALSE)</f>
        <v>0</v>
      </c>
      <c r="E15" s="48" t="str">
        <f t="shared" si="28"/>
        <v>TO DO</v>
      </c>
      <c r="F15" s="48" t="str">
        <f t="shared" si="28"/>
        <v>TO DO</v>
      </c>
      <c r="G15" s="48" t="b">
        <f t="shared" si="28"/>
        <v>1</v>
      </c>
      <c r="H15" s="48" t="b">
        <f t="shared" si="28"/>
        <v>0</v>
      </c>
      <c r="I15" s="49">
        <f t="shared" si="4"/>
        <v>0.3333333333</v>
      </c>
      <c r="J15" s="50" t="str">
        <f t="shared" ref="J15:N15" si="29">VLOOKUP($A15, INDIRECT(J$1&amp;"!A:D"), 4, FALSE)</f>
        <v>SDG 3?</v>
      </c>
      <c r="K15" s="50" t="str">
        <f t="shared" si="29"/>
        <v/>
      </c>
      <c r="L15" s="50" t="str">
        <f t="shared" si="29"/>
        <v/>
      </c>
      <c r="M15" s="50" t="str">
        <f t="shared" si="29"/>
        <v/>
      </c>
      <c r="N15" s="50" t="str">
        <f t="shared" si="29"/>
        <v/>
      </c>
      <c r="O15" s="49" t="str">
        <f>IFERROR(__xludf.DUMMYFUNCTION("IF(COUNTA(J15:N15)=0, """", ARRAYFORMULA(""- ""&amp;TEXTJOIN(char(10)&amp;""- "", TRUE, FILTER(J$1:N$1&amp;"": ""&amp;J15:N15, NOT(ISBLANK(J15:N15))))))"),"- Finn: SDG 3?")</f>
        <v>- Finn: SDG 3?</v>
      </c>
      <c r="P15" s="49" t="s">
        <v>434</v>
      </c>
      <c r="Q15" s="52" t="b">
        <v>1</v>
      </c>
      <c r="R15" s="5" t="s">
        <v>435</v>
      </c>
    </row>
    <row r="16">
      <c r="A16" s="12" t="str">
        <f>IFERROR(__xludf.DUMMYFUNCTION("""COMPUTED_VALUE"""),"9ea293245255c1ddb9f3cdee09ad6c17")</f>
        <v>9ea293245255c1ddb9f3cdee09ad6c17</v>
      </c>
      <c r="B16" s="12" t="str">
        <f>IFERROR(__xludf.DUMMYFUNCTION("""COMPUTED_VALUE"""),"Forcibly displaced persons comprise refugees, asylum seekers, persons in refugee-like situations and internally displaced persons. The Convention relating to the Status of Refugees defines a refugee as someone with a well-founded fear of being persecuted "&amp;"for reasons related to race, religion, nationality, membership of a particular social group or political opinion, who resides outside their country of nationality and who is unable to return to it. In Africa, persons fleeing armed conflict and violence ar"&amp;"e also considered refugees (see box 3).")</f>
        <v>Forcibly displaced persons comprise refugees, asylum seekers, persons in refugee-like situations and internally displaced persons. The Convention relating to the Status of Refugees defines a refugee as someone with a well-founded fear of being persecuted for reasons related to race, religion, nationality, membership of a particular social group or political opinion, who resides outside their country of nationality and who is unable to return to it. In Africa, persons fleeing armed conflict and violence are also considered refugees (see box 3).</v>
      </c>
      <c r="C16" s="53"/>
      <c r="D16" s="48" t="b">
        <f t="shared" ref="D16:H16" si="30">VLOOKUP($A16, INDIRECT(D$1&amp;"!A:C"), 3, FALSE)</f>
        <v>0</v>
      </c>
      <c r="E16" s="48" t="str">
        <f t="shared" si="30"/>
        <v>TO DO</v>
      </c>
      <c r="F16" s="48" t="str">
        <f t="shared" si="30"/>
        <v>TO DO</v>
      </c>
      <c r="G16" s="48" t="b">
        <f t="shared" si="30"/>
        <v>0</v>
      </c>
      <c r="H16" s="48" t="b">
        <f t="shared" si="30"/>
        <v>0</v>
      </c>
      <c r="I16" s="49">
        <f t="shared" si="4"/>
        <v>1</v>
      </c>
      <c r="J16" s="50" t="str">
        <f t="shared" ref="J16:N16" si="31">VLOOKUP($A16, INDIRECT(J$1&amp;"!A:D"), 4, FALSE)</f>
        <v/>
      </c>
      <c r="K16" s="50" t="str">
        <f t="shared" si="31"/>
        <v/>
      </c>
      <c r="L16" s="50" t="str">
        <f t="shared" si="31"/>
        <v/>
      </c>
      <c r="M16" s="50" t="str">
        <f t="shared" si="31"/>
        <v/>
      </c>
      <c r="N16" s="50" t="str">
        <f t="shared" si="31"/>
        <v/>
      </c>
      <c r="O16" s="49" t="str">
        <f>IFERROR(__xludf.DUMMYFUNCTION("IF(COUNTA(J16:N16)=0, """", ARRAYFORMULA(""- ""&amp;TEXTJOIN(char(10)&amp;""- "", TRUE, FILTER(J$1:N$1&amp;"": ""&amp;J16:N16, NOT(ISBLANK(J16:N16))))))"),"")</f>
        <v/>
      </c>
      <c r="P16" s="49" t="s">
        <v>419</v>
      </c>
      <c r="Q16" s="51" t="b">
        <v>0</v>
      </c>
    </row>
    <row r="17">
      <c r="A17" s="12" t="str">
        <f>IFERROR(__xludf.DUMMYFUNCTION("""COMPUTED_VALUE"""),"ae3443f14845002f264f1713b83fd0ec")</f>
        <v>ae3443f14845002f264f1713b83fd0ec</v>
      </c>
      <c r="B17" s="12" t="str">
        <f>IFERROR(__xludf.DUMMYFUNCTION("""COMPUTED_VALUE"""),"Falling yields (except at the very short end) and a flattening yield curve can be observed in the euro area as well. However, while the euro has been generally stable against the currencies of major trading partners, the US dollar has strengthened. Meanwh"&amp;"ile, the equity market volatility index, which has ebbed since the start of 2019, is picking up again somewhat following the new tariff measures introduced by the United States and China in May 2019. Capital markets in Emerging Asia - Stable but headwinds"&amp;" persist10 (cont.)")</f>
        <v>Falling yields (except at the very short end) and a flattening yield curve can be observed in the euro area as well. However, while the euro has been generally stable against the currencies of major trading partners, the US dollar has strengthened. Meanwhile, the equity market volatility index, which has ebbed since the start of 2019, is picking up again somewhat following the new tariff measures introduced by the United States and China in May 2019. Capital markets in Emerging Asia - Stable but headwinds persist10 (cont.)</v>
      </c>
      <c r="C17" s="7"/>
      <c r="D17" s="48" t="b">
        <f t="shared" ref="D17:H17" si="32">VLOOKUP($A17, INDIRECT(D$1&amp;"!A:C"), 3, FALSE)</f>
        <v>0</v>
      </c>
      <c r="E17" s="48" t="str">
        <f t="shared" si="32"/>
        <v>TO DO</v>
      </c>
      <c r="F17" s="48" t="str">
        <f t="shared" si="32"/>
        <v>TO DO</v>
      </c>
      <c r="G17" s="48" t="b">
        <f t="shared" si="32"/>
        <v>0</v>
      </c>
      <c r="H17" s="48" t="b">
        <f t="shared" si="32"/>
        <v>0</v>
      </c>
      <c r="I17" s="49">
        <f t="shared" si="4"/>
        <v>1</v>
      </c>
      <c r="J17" s="50" t="str">
        <f t="shared" ref="J17:N17" si="33">VLOOKUP($A17, INDIRECT(J$1&amp;"!A:D"), 4, FALSE)</f>
        <v/>
      </c>
      <c r="K17" s="50" t="str">
        <f t="shared" si="33"/>
        <v/>
      </c>
      <c r="L17" s="50" t="str">
        <f t="shared" si="33"/>
        <v/>
      </c>
      <c r="M17" s="50" t="str">
        <f t="shared" si="33"/>
        <v/>
      </c>
      <c r="N17" s="50" t="str">
        <f t="shared" si="33"/>
        <v/>
      </c>
      <c r="O17" s="49" t="str">
        <f>IFERROR(__xludf.DUMMYFUNCTION("IF(COUNTA(J17:N17)=0, """", ARRAYFORMULA(""- ""&amp;TEXTJOIN(char(10)&amp;""- "", TRUE, FILTER(J$1:N$1&amp;"": ""&amp;J17:N17, NOT(ISBLANK(J17:N17))))))"),"")</f>
        <v/>
      </c>
      <c r="P17" s="49" t="s">
        <v>419</v>
      </c>
      <c r="Q17" s="51" t="b">
        <v>0</v>
      </c>
    </row>
    <row r="18" hidden="1">
      <c r="A18" s="12" t="str">
        <f>IFERROR(__xludf.DUMMYFUNCTION("""COMPUTED_VALUE"""),"05ef8c9f76f8ee35eaa4e37059e4930a")</f>
        <v>05ef8c9f76f8ee35eaa4e37059e4930a</v>
      </c>
      <c r="B18" s="12" t="str">
        <f>IFERROR(__xludf.DUMMYFUNCTION("""COMPUTED_VALUE"""),"In response to the low rate of collection by municipalities, the CAEM, the Water Commission for the State of Mexico, introduced a chargeback system, in which transfers to municipalities are reduced if they do not collect their fees. A lack of coverage wit"&amp;"h individual water meters results in a significant percentage of households paying fixed fees for their water. In the Valle de Mexico metropolitan area, only 52% of households are metered.")</f>
        <v>In response to the low rate of collection by municipalities, the CAEM, the Water Commission for the State of Mexico, introduced a chargeback system, in which transfers to municipalities are reduced if they do not collect their fees. A lack of coverage with individual water meters results in a significant percentage of households paying fixed fees for their water. In the Valle de Mexico metropolitan area, only 52% of households are metered.</v>
      </c>
      <c r="C18" s="7"/>
      <c r="D18" s="48" t="b">
        <f t="shared" ref="D18:H18" si="34">VLOOKUP($A18, INDIRECT(D$1&amp;"!A:C"), 3, FALSE)</f>
        <v>1</v>
      </c>
      <c r="E18" s="48" t="str">
        <f t="shared" si="34"/>
        <v>TO DO</v>
      </c>
      <c r="F18" s="48" t="str">
        <f t="shared" si="34"/>
        <v>TO DO</v>
      </c>
      <c r="G18" s="48" t="b">
        <f t="shared" si="34"/>
        <v>1</v>
      </c>
      <c r="H18" s="48" t="b">
        <f t="shared" si="34"/>
        <v>0</v>
      </c>
      <c r="I18" s="49">
        <f t="shared" si="4"/>
        <v>0.3333333333</v>
      </c>
      <c r="J18" s="50" t="str">
        <f t="shared" ref="J18:N18" si="35">VLOOKUP($A18, INDIRECT(J$1&amp;"!A:D"), 4, FALSE)</f>
        <v>basic services</v>
      </c>
      <c r="K18" s="50" t="str">
        <f t="shared" si="35"/>
        <v/>
      </c>
      <c r="L18" s="50" t="str">
        <f t="shared" si="35"/>
        <v/>
      </c>
      <c r="M18" s="50" t="str">
        <f t="shared" si="35"/>
        <v/>
      </c>
      <c r="N18" s="50" t="str">
        <f t="shared" si="35"/>
        <v>uncertain though</v>
      </c>
      <c r="O18" s="49" t="str">
        <f>IFERROR(__xludf.DUMMYFUNCTION("IF(COUNTA(J18:N18)=0, """", ARRAYFORMULA(""- ""&amp;TEXTJOIN(char(10)&amp;""- "", TRUE, FILTER(J$1:N$1&amp;"": ""&amp;J18:N18, NOT(ISBLANK(J18:N18))))))"),"- Finn: basic services
- Steve: uncertain though")</f>
        <v>- Finn: basic services
- Steve: uncertain though</v>
      </c>
      <c r="P18" s="49" t="s">
        <v>436</v>
      </c>
      <c r="Q18" s="51" t="s">
        <v>422</v>
      </c>
    </row>
    <row r="19">
      <c r="A19" s="12" t="str">
        <f>IFERROR(__xludf.DUMMYFUNCTION("""COMPUTED_VALUE"""),"68a219f1d0dca186e7b86bd0268ac9d7")</f>
        <v>68a219f1d0dca186e7b86bd0268ac9d7</v>
      </c>
      <c r="B19" s="12" t="str">
        <f>IFERROR(__xludf.DUMMYFUNCTION("""COMPUTED_VALUE"""),"With shorter journeys, they are more likely to walk. However, women have more complex journey patterns and are at a disadvantage when living in peripheral urban areas because of the poor frequency of public transport. People with disabilities suffer a wid"&amp;"e range of issues when travelling, including obstructed and dangerous sidewalks.")</f>
        <v>With shorter journeys, they are more likely to walk. However, women have more complex journey patterns and are at a disadvantage when living in peripheral urban areas because of the poor frequency of public transport. People with disabilities suffer a wide range of issues when travelling, including obstructed and dangerous sidewalks.</v>
      </c>
      <c r="C19" s="7"/>
      <c r="D19" s="48" t="b">
        <f t="shared" ref="D19:H19" si="36">VLOOKUP($A19, INDIRECT(D$1&amp;"!A:C"), 3, FALSE)</f>
        <v>1</v>
      </c>
      <c r="E19" s="48" t="str">
        <f t="shared" si="36"/>
        <v>TO DO</v>
      </c>
      <c r="F19" s="48" t="str">
        <f t="shared" si="36"/>
        <v>TO DO</v>
      </c>
      <c r="G19" s="48" t="b">
        <f t="shared" si="36"/>
        <v>1</v>
      </c>
      <c r="H19" s="48" t="b">
        <f t="shared" si="36"/>
        <v>1</v>
      </c>
      <c r="I19" s="49">
        <f t="shared" si="4"/>
        <v>1</v>
      </c>
      <c r="J19" s="50" t="str">
        <f t="shared" ref="J19:N19" si="37">VLOOKUP($A19, INDIRECT(J$1&amp;"!A:D"), 4, FALSE)</f>
        <v/>
      </c>
      <c r="K19" s="50" t="str">
        <f t="shared" si="37"/>
        <v/>
      </c>
      <c r="L19" s="50" t="str">
        <f t="shared" si="37"/>
        <v/>
      </c>
      <c r="M19" s="50" t="str">
        <f t="shared" si="37"/>
        <v/>
      </c>
      <c r="N19" s="50" t="str">
        <f t="shared" si="37"/>
        <v/>
      </c>
      <c r="O19" s="49" t="str">
        <f>IFERROR(__xludf.DUMMYFUNCTION("IF(COUNTA(J19:N19)=0, """", ARRAYFORMULA(""- ""&amp;TEXTJOIN(char(10)&amp;""- "", TRUE, FILTER(J$1:N$1&amp;"": ""&amp;J19:N19, NOT(ISBLANK(J19:N19))))))"),"")</f>
        <v/>
      </c>
      <c r="P19" s="49" t="s">
        <v>419</v>
      </c>
      <c r="Q19" s="51" t="b">
        <v>1</v>
      </c>
    </row>
    <row r="20">
      <c r="A20" s="12" t="str">
        <f>IFERROR(__xludf.DUMMYFUNCTION("""COMPUTED_VALUE"""),"cf68961dbd8cfce36afee53d5a51d15c")</f>
        <v>cf68961dbd8cfce36afee53d5a51d15c</v>
      </c>
      <c r="B20" s="12" t="str">
        <f>IFERROR(__xludf.DUMMYFUNCTION("""COMPUTED_VALUE"""),"Occupational health and safety controls that include the vehicle as part of the workplace and systems of controls for organisations that use the road network to transport people and goods are also important contributors. Criminal justice systems are desig"&amp;"ned to deter and punish behaviours that transgress society’s norms and values as reflected in the laws to a considerable and conspicuous extent. It is not intended to respond to less than perfect behavioural transgressions to which the majority, if not al"&amp;"l of citizenry are prone. Many of the behavioural shortcomings contributing to road trauma are of the “less than perfect” type of error and misjudgement, wandering attention of human beings.")</f>
        <v>Occupational health and safety controls that include the vehicle as part of the workplace and systems of controls for organisations that use the road network to transport people and goods are also important contributors. Criminal justice systems are designed to deter and punish behaviours that transgress society’s norms and values as reflected in the laws to a considerable and conspicuous extent. It is not intended to respond to less than perfect behavioural transgressions to which the majority, if not all of citizenry are prone. Many of the behavioural shortcomings contributing to road trauma are of the “less than perfect” type of error and misjudgement, wandering attention of human beings.</v>
      </c>
      <c r="C20" s="7"/>
      <c r="D20" s="48" t="b">
        <f t="shared" ref="D20:H20" si="38">VLOOKUP($A20, INDIRECT(D$1&amp;"!A:C"), 3, FALSE)</f>
        <v>0</v>
      </c>
      <c r="E20" s="48" t="str">
        <f t="shared" si="38"/>
        <v>TO DO</v>
      </c>
      <c r="F20" s="48" t="str">
        <f t="shared" si="38"/>
        <v>TO DO</v>
      </c>
      <c r="G20" s="48" t="b">
        <f t="shared" si="38"/>
        <v>0</v>
      </c>
      <c r="H20" s="48" t="b">
        <f t="shared" si="38"/>
        <v>0</v>
      </c>
      <c r="I20" s="49">
        <f t="shared" si="4"/>
        <v>1</v>
      </c>
      <c r="J20" s="50" t="str">
        <f t="shared" ref="J20:N20" si="39">VLOOKUP($A20, INDIRECT(J$1&amp;"!A:D"), 4, FALSE)</f>
        <v/>
      </c>
      <c r="K20" s="50" t="str">
        <f t="shared" si="39"/>
        <v/>
      </c>
      <c r="L20" s="50" t="str">
        <f t="shared" si="39"/>
        <v/>
      </c>
      <c r="M20" s="50" t="str">
        <f t="shared" si="39"/>
        <v/>
      </c>
      <c r="N20" s="50" t="str">
        <f t="shared" si="39"/>
        <v/>
      </c>
      <c r="O20" s="49" t="str">
        <f>IFERROR(__xludf.DUMMYFUNCTION("IF(COUNTA(J20:N20)=0, """", ARRAYFORMULA(""- ""&amp;TEXTJOIN(char(10)&amp;""- "", TRUE, FILTER(J$1:N$1&amp;"": ""&amp;J20:N20, NOT(ISBLANK(J20:N20))))))"),"")</f>
        <v/>
      </c>
      <c r="P20" s="49" t="s">
        <v>419</v>
      </c>
      <c r="Q20" s="51" t="b">
        <v>0</v>
      </c>
    </row>
    <row r="21">
      <c r="A21" s="12" t="str">
        <f>IFERROR(__xludf.DUMMYFUNCTION("""COMPUTED_VALUE"""),"51b75ec4743d08dd01c32a342ee1672f")</f>
        <v>51b75ec4743d08dd01c32a342ee1672f</v>
      </c>
      <c r="B21" s="12" t="str">
        <f>IFERROR(__xludf.DUMMYFUNCTION("""COMPUTED_VALUE"""),"For instance, the purpose of the Digital Readiness Framework is to improve citizens’ quality of life. The framework documents also repeatedly identify improving digital and physical infrastructure and cybersecurity while ensuring privacy of data as key fo"&amp;"cus areas. Regarding institutional organisation, the Digital Government Blueprint describes co-ordination measures between ministries, notably through increased sharing and alignment of data between ministries as well as the appointment of Chief Digital S"&amp;"trategy Officers and Chief Information Officers to lead and implement digitalisation plans within their ministries and respective agencies.")</f>
        <v>For instance, the purpose of the Digital Readiness Framework is to improve citizens’ quality of life. The framework documents also repeatedly identify improving digital and physical infrastructure and cybersecurity while ensuring privacy of data as key focus areas. Regarding institutional organisation, the Digital Government Blueprint describes co-ordination measures between ministries, notably through increased sharing and alignment of data between ministries as well as the appointment of Chief Digital Strategy Officers and Chief Information Officers to lead and implement digitalisation plans within their ministries and respective agencies.</v>
      </c>
      <c r="C21" s="7"/>
      <c r="D21" s="48" t="b">
        <f t="shared" ref="D21:H21" si="40">VLOOKUP($A21, INDIRECT(D$1&amp;"!A:C"), 3, FALSE)</f>
        <v>0</v>
      </c>
      <c r="E21" s="48" t="str">
        <f t="shared" si="40"/>
        <v>TO DO</v>
      </c>
      <c r="F21" s="48" t="str">
        <f t="shared" si="40"/>
        <v>TO DO</v>
      </c>
      <c r="G21" s="48" t="b">
        <f t="shared" si="40"/>
        <v>0</v>
      </c>
      <c r="H21" s="48" t="b">
        <f t="shared" si="40"/>
        <v>0</v>
      </c>
      <c r="I21" s="49">
        <f t="shared" si="4"/>
        <v>1</v>
      </c>
      <c r="J21" s="50" t="str">
        <f t="shared" ref="J21:N21" si="41">VLOOKUP($A21, INDIRECT(J$1&amp;"!A:D"), 4, FALSE)</f>
        <v/>
      </c>
      <c r="K21" s="50" t="str">
        <f t="shared" si="41"/>
        <v/>
      </c>
      <c r="L21" s="50" t="str">
        <f t="shared" si="41"/>
        <v/>
      </c>
      <c r="M21" s="50" t="str">
        <f t="shared" si="41"/>
        <v/>
      </c>
      <c r="N21" s="50" t="str">
        <f t="shared" si="41"/>
        <v/>
      </c>
      <c r="O21" s="49" t="str">
        <f>IFERROR(__xludf.DUMMYFUNCTION("IF(COUNTA(J21:N21)=0, """", ARRAYFORMULA(""- ""&amp;TEXTJOIN(char(10)&amp;""- "", TRUE, FILTER(J$1:N$1&amp;"": ""&amp;J21:N21, NOT(ISBLANK(J21:N21))))))"),"")</f>
        <v/>
      </c>
      <c r="P21" s="49" t="s">
        <v>419</v>
      </c>
      <c r="Q21" s="51" t="b">
        <v>0</v>
      </c>
    </row>
    <row r="22" hidden="1">
      <c r="A22" s="12" t="str">
        <f>IFERROR(__xludf.DUMMYFUNCTION("""COMPUTED_VALUE"""),"9a169e5bd34ccfd93a9434caad4a8c80")</f>
        <v>9a169e5bd34ccfd93a9434caad4a8c80</v>
      </c>
      <c r="B22" s="12" t="str">
        <f>IFERROR(__xludf.DUMMYFUNCTION("""COMPUTED_VALUE"""),"The latter region pays almost the same amount of attention to human development as to economic development. In Africa, these are the two dominant themes. Latin America and the Caribbean's and Arab States' NUPs also pay the most amount of their attention t"&amp;"o spatial structure. Environmental sustainability also gets low attention globally, although the results are more diverse across regions.")</f>
        <v>The latter region pays almost the same amount of attention to human development as to economic development. In Africa, these are the two dominant themes. Latin America and the Caribbean's and Arab States' NUPs also pay the most amount of their attention to spatial structure. Environmental sustainability also gets low attention globally, although the results are more diverse across regions.</v>
      </c>
      <c r="C22" s="54"/>
      <c r="D22" s="48" t="b">
        <f t="shared" ref="D22:H22" si="42">VLOOKUP($A22, INDIRECT(D$1&amp;"!A:C"), 3, FALSE)</f>
        <v>0</v>
      </c>
      <c r="E22" s="48" t="str">
        <f t="shared" si="42"/>
        <v>TO DO</v>
      </c>
      <c r="F22" s="48" t="str">
        <f t="shared" si="42"/>
        <v>TO DO</v>
      </c>
      <c r="G22" s="48" t="b">
        <f t="shared" si="42"/>
        <v>0</v>
      </c>
      <c r="H22" s="48" t="b">
        <f t="shared" si="42"/>
        <v>1</v>
      </c>
      <c r="I22" s="49">
        <f t="shared" si="4"/>
        <v>0.3333333333</v>
      </c>
      <c r="J22" s="50" t="str">
        <f t="shared" ref="J22:N22" si="43">VLOOKUP($A22, INDIRECT(J$1&amp;"!A:D"), 4, FALSE)</f>
        <v/>
      </c>
      <c r="K22" s="50" t="str">
        <f t="shared" si="43"/>
        <v/>
      </c>
      <c r="L22" s="50" t="str">
        <f t="shared" si="43"/>
        <v/>
      </c>
      <c r="M22" s="50" t="str">
        <f t="shared" si="43"/>
        <v/>
      </c>
      <c r="N22" s="50" t="str">
        <f t="shared" si="43"/>
        <v/>
      </c>
      <c r="O22" s="49" t="str">
        <f>IFERROR(__xludf.DUMMYFUNCTION("IF(COUNTA(J22:N22)=0, """", ARRAYFORMULA(""- ""&amp;TEXTJOIN(char(10)&amp;""- "", TRUE, FILTER(J$1:N$1&amp;"": ""&amp;J22:N22, NOT(ISBLANK(J22:N22))))))"),"")</f>
        <v/>
      </c>
      <c r="P22" s="49" t="s">
        <v>419</v>
      </c>
      <c r="Q22" s="51" t="s">
        <v>422</v>
      </c>
    </row>
    <row r="23" hidden="1">
      <c r="A23" s="12" t="str">
        <f>IFERROR(__xludf.DUMMYFUNCTION("""COMPUTED_VALUE"""),"d9392d7755022ff65c164ea78ddf68b0")</f>
        <v>d9392d7755022ff65c164ea78ddf68b0</v>
      </c>
      <c r="B23" s="12" t="str">
        <f>IFERROR(__xludf.DUMMYFUNCTION("""COMPUTED_VALUE"""),"For example, a Capital Area Traffic Center was founded in 2005 with the objective to facilitate consultations on metropolitan transport matters between Seoul, Incheon and Gyeonggi. The centre is composed of 48 members (19 representatives from Seoul, 18 fr"&amp;"om Gyeonggi and 11 from Incheon) and operates with a common budget based on contributions from the three local governments. One of the most representative projects is the metropolitan artery express bus rapid transit (BRT) links. However, the role of the "&amp;"centre is limited to BRT construction/operation and conducting National Household Travel Surveys.")</f>
        <v>For example, a Capital Area Traffic Center was founded in 2005 with the objective to facilitate consultations on metropolitan transport matters between Seoul, Incheon and Gyeonggi. The centre is composed of 48 members (19 representatives from Seoul, 18 from Gyeonggi and 11 from Incheon) and operates with a common budget based on contributions from the three local governments. One of the most representative projects is the metropolitan artery express bus rapid transit (BRT) links. However, the role of the centre is limited to BRT construction/operation and conducting National Household Travel Surveys.</v>
      </c>
      <c r="C23" s="48"/>
      <c r="D23" s="48" t="b">
        <f t="shared" ref="D23:H23" si="44">VLOOKUP($A23, INDIRECT(D$1&amp;"!A:C"), 3, FALSE)</f>
        <v>1</v>
      </c>
      <c r="E23" s="48" t="str">
        <f t="shared" si="44"/>
        <v>TO DO</v>
      </c>
      <c r="F23" s="48" t="str">
        <f t="shared" si="44"/>
        <v>TO DO</v>
      </c>
      <c r="G23" s="48" t="b">
        <f t="shared" si="44"/>
        <v>0</v>
      </c>
      <c r="H23" s="48" t="b">
        <f t="shared" si="44"/>
        <v>1</v>
      </c>
      <c r="I23" s="49">
        <f t="shared" si="4"/>
        <v>0.3333333333</v>
      </c>
      <c r="J23" s="50" t="str">
        <f t="shared" ref="J23:N23" si="45">VLOOKUP($A23, INDIRECT(J$1&amp;"!A:D"), 4, FALSE)</f>
        <v/>
      </c>
      <c r="K23" s="50" t="str">
        <f t="shared" si="45"/>
        <v/>
      </c>
      <c r="L23" s="50" t="str">
        <f t="shared" si="45"/>
        <v/>
      </c>
      <c r="M23" s="50" t="str">
        <f t="shared" si="45"/>
        <v/>
      </c>
      <c r="N23" s="50" t="str">
        <f t="shared" si="45"/>
        <v/>
      </c>
      <c r="O23" s="49" t="str">
        <f>IFERROR(__xludf.DUMMYFUNCTION("IF(COUNTA(J23:N23)=0, """", ARRAYFORMULA(""- ""&amp;TEXTJOIN(char(10)&amp;""- "", TRUE, FILTER(J$1:N$1&amp;"": ""&amp;J23:N23, NOT(ISBLANK(J23:N23))))))"),"")</f>
        <v/>
      </c>
      <c r="P23" s="49" t="s">
        <v>419</v>
      </c>
      <c r="Q23" s="51" t="s">
        <v>422</v>
      </c>
    </row>
    <row r="24">
      <c r="A24" s="12" t="str">
        <f>IFERROR(__xludf.DUMMYFUNCTION("""COMPUTED_VALUE"""),"63198fd1e2fc7a436934721254669d35")</f>
        <v>63198fd1e2fc7a436934721254669d35</v>
      </c>
      <c r="B24" s="12" t="str">
        <f>IFERROR(__xludf.DUMMYFUNCTION("""COMPUTED_VALUE"""),"Flexible working hours, high staff turnover, a share of low-skilled workers and the need for functional versatility are characteristics of the tourism labour market in Portugal. The study proposed four key values to guide the human resources development a"&amp;"genda: service culture, market orientation, ICT and professionalism. The importance of soft skills is particularly underlined, as is the need to build capacity in tourism SMEs, by developing a training strategy for entrepreneurs and managers.")</f>
        <v>Flexible working hours, high staff turnover, a share of low-skilled workers and the need for functional versatility are characteristics of the tourism labour market in Portugal. The study proposed four key values to guide the human resources development agenda: service culture, market orientation, ICT and professionalism. The importance of soft skills is particularly underlined, as is the need to build capacity in tourism SMEs, by developing a training strategy for entrepreneurs and managers.</v>
      </c>
      <c r="C24" s="48"/>
      <c r="D24" s="48" t="b">
        <f t="shared" ref="D24:H24" si="46">VLOOKUP($A24, INDIRECT(D$1&amp;"!A:C"), 3, FALSE)</f>
        <v>0</v>
      </c>
      <c r="E24" s="48" t="str">
        <f t="shared" si="46"/>
        <v>TO DO</v>
      </c>
      <c r="F24" s="48" t="str">
        <f t="shared" si="46"/>
        <v>TO DO</v>
      </c>
      <c r="G24" s="48" t="b">
        <f t="shared" si="46"/>
        <v>0</v>
      </c>
      <c r="H24" s="48" t="b">
        <f t="shared" si="46"/>
        <v>0</v>
      </c>
      <c r="I24" s="49">
        <f t="shared" si="4"/>
        <v>1</v>
      </c>
      <c r="J24" s="50" t="str">
        <f t="shared" ref="J24:N24" si="47">VLOOKUP($A24, INDIRECT(J$1&amp;"!A:D"), 4, FALSE)</f>
        <v/>
      </c>
      <c r="K24" s="50" t="str">
        <f t="shared" si="47"/>
        <v/>
      </c>
      <c r="L24" s="50" t="str">
        <f t="shared" si="47"/>
        <v/>
      </c>
      <c r="M24" s="50" t="str">
        <f t="shared" si="47"/>
        <v/>
      </c>
      <c r="N24" s="50" t="str">
        <f t="shared" si="47"/>
        <v/>
      </c>
      <c r="O24" s="49" t="str">
        <f>IFERROR(__xludf.DUMMYFUNCTION("IF(COUNTA(J24:N24)=0, """", ARRAYFORMULA(""- ""&amp;TEXTJOIN(char(10)&amp;""- "", TRUE, FILTER(J$1:N$1&amp;"": ""&amp;J24:N24, NOT(ISBLANK(J24:N24))))))"),"")</f>
        <v/>
      </c>
      <c r="P24" s="49" t="s">
        <v>419</v>
      </c>
      <c r="Q24" s="51" t="b">
        <v>0</v>
      </c>
    </row>
    <row r="25">
      <c r="A25" s="12" t="str">
        <f>IFERROR(__xludf.DUMMYFUNCTION("""COMPUTED_VALUE"""),"781ca313ef4818f06bf4e99f50f3fcb5")</f>
        <v>781ca313ef4818f06bf4e99f50f3fcb5</v>
      </c>
      <c r="B25" s="12" t="str">
        <f>IFERROR(__xludf.DUMMYFUNCTION("""COMPUTED_VALUE"""),"Over 1.6 million people have been displaced internally while over 616 000 people have fled to neighbouring states. Severe food insecurity is expected to affect 4.6 million people this year, compared to 3.8 million last year, at the height of the lean seas"&amp;"on. The incidence of poverty has worsened from 44.7% in 2011 to more than 57% in 2015.")</f>
        <v>Over 1.6 million people have been displaced internally while over 616 000 people have fled to neighbouring states. Severe food insecurity is expected to affect 4.6 million people this year, compared to 3.8 million last year, at the height of the lean season. The incidence of poverty has worsened from 44.7% in 2011 to more than 57% in 2015.</v>
      </c>
      <c r="C25" s="53"/>
      <c r="D25" s="48" t="b">
        <f t="shared" ref="D25:H25" si="48">VLOOKUP($A25, INDIRECT(D$1&amp;"!A:C"), 3, FALSE)</f>
        <v>0</v>
      </c>
      <c r="E25" s="48" t="str">
        <f t="shared" si="48"/>
        <v>TO DO</v>
      </c>
      <c r="F25" s="48" t="str">
        <f t="shared" si="48"/>
        <v>TO DO</v>
      </c>
      <c r="G25" s="48" t="b">
        <f t="shared" si="48"/>
        <v>0</v>
      </c>
      <c r="H25" s="48" t="b">
        <f t="shared" si="48"/>
        <v>0</v>
      </c>
      <c r="I25" s="49">
        <f t="shared" si="4"/>
        <v>1</v>
      </c>
      <c r="J25" s="50" t="str">
        <f t="shared" ref="J25:N25" si="49">VLOOKUP($A25, INDIRECT(J$1&amp;"!A:D"), 4, FALSE)</f>
        <v/>
      </c>
      <c r="K25" s="50" t="str">
        <f t="shared" si="49"/>
        <v/>
      </c>
      <c r="L25" s="50" t="str">
        <f t="shared" si="49"/>
        <v/>
      </c>
      <c r="M25" s="50" t="str">
        <f t="shared" si="49"/>
        <v/>
      </c>
      <c r="N25" s="50" t="str">
        <f t="shared" si="49"/>
        <v/>
      </c>
      <c r="O25" s="49" t="str">
        <f>IFERROR(__xludf.DUMMYFUNCTION("IF(COUNTA(J25:N25)=0, """", ARRAYFORMULA(""- ""&amp;TEXTJOIN(char(10)&amp;""- "", TRUE, FILTER(J$1:N$1&amp;"": ""&amp;J25:N25, NOT(ISBLANK(J25:N25))))))"),"")</f>
        <v/>
      </c>
      <c r="P25" s="49" t="s">
        <v>419</v>
      </c>
      <c r="Q25" s="51" t="b">
        <v>0</v>
      </c>
    </row>
    <row r="26">
      <c r="A26" s="12" t="str">
        <f>IFERROR(__xludf.DUMMYFUNCTION("""COMPUTED_VALUE"""),"94d2808587eb003f9005f88941f107bc")</f>
        <v>94d2808587eb003f9005f88941f107bc</v>
      </c>
      <c r="B26" s="12" t="str">
        <f>IFERROR(__xludf.DUMMYFUNCTION("""COMPUTED_VALUE"""),"One of the most prominent risks is the trade tension between the United States and China. The rising trade tensions may affect Emerging Asia through various channels. Import growth from ASEAN showed signs of improving in March 2019, but prospects are unce"&amp;"rtain. While new tariff measures were announced in May 2019, the resumption of trade talks during the G20 summit sends a positive signal. The downturn in China’s imports since late 2018 has affected ASEAN to varying degrees.")</f>
        <v>One of the most prominent risks is the trade tension between the United States and China. The rising trade tensions may affect Emerging Asia through various channels. Import growth from ASEAN showed signs of improving in March 2019, but prospects are uncertain. While new tariff measures were announced in May 2019, the resumption of trade talks during the G20 summit sends a positive signal. The downturn in China’s imports since late 2018 has affected ASEAN to varying degrees.</v>
      </c>
      <c r="C26" s="7"/>
      <c r="D26" s="48" t="b">
        <f t="shared" ref="D26:H26" si="50">VLOOKUP($A26, INDIRECT(D$1&amp;"!A:C"), 3, FALSE)</f>
        <v>0</v>
      </c>
      <c r="E26" s="48" t="str">
        <f t="shared" si="50"/>
        <v>TO DO</v>
      </c>
      <c r="F26" s="48" t="str">
        <f t="shared" si="50"/>
        <v>TO DO</v>
      </c>
      <c r="G26" s="48" t="b">
        <f t="shared" si="50"/>
        <v>0</v>
      </c>
      <c r="H26" s="48" t="b">
        <f t="shared" si="50"/>
        <v>0</v>
      </c>
      <c r="I26" s="49">
        <f t="shared" si="4"/>
        <v>1</v>
      </c>
      <c r="J26" s="50" t="str">
        <f t="shared" ref="J26:N26" si="51">VLOOKUP($A26, INDIRECT(J$1&amp;"!A:D"), 4, FALSE)</f>
        <v/>
      </c>
      <c r="K26" s="50" t="str">
        <f t="shared" si="51"/>
        <v/>
      </c>
      <c r="L26" s="50" t="str">
        <f t="shared" si="51"/>
        <v/>
      </c>
      <c r="M26" s="50" t="str">
        <f t="shared" si="51"/>
        <v/>
      </c>
      <c r="N26" s="50" t="str">
        <f t="shared" si="51"/>
        <v/>
      </c>
      <c r="O26" s="49" t="str">
        <f>IFERROR(__xludf.DUMMYFUNCTION("IF(COUNTA(J26:N26)=0, """", ARRAYFORMULA(""- ""&amp;TEXTJOIN(char(10)&amp;""- "", TRUE, FILTER(J$1:N$1&amp;"": ""&amp;J26:N26, NOT(ISBLANK(J26:N26))))))"),"")</f>
        <v/>
      </c>
      <c r="P26" s="49" t="s">
        <v>419</v>
      </c>
      <c r="Q26" s="51" t="b">
        <v>0</v>
      </c>
    </row>
    <row r="27">
      <c r="A27" s="12" t="str">
        <f>IFERROR(__xludf.DUMMYFUNCTION("""COMPUTED_VALUE"""),"9f82e353b92a3556c1a940873d5da1aa")</f>
        <v>9f82e353b92a3556c1a940873d5da1aa</v>
      </c>
      <c r="B27" s="12" t="str">
        <f>IFERROR(__xludf.DUMMYFUNCTION("""COMPUTED_VALUE"""),"In 2015, Sudan was removed from the “black list” of the Financial Action Task Force, an international financial-fraud monitoring body located at the OECD. However, the continued difficulties of processing international banking transactions may fuel inform"&amp;"al transfers, contribute to exchange-rate distortion, and reduce fiscal revenues. In urban areas, job creation is above average and the poverty rate is less than half of the national average.")</f>
        <v>In 2015, Sudan was removed from the “black list” of the Financial Action Task Force, an international financial-fraud monitoring body located at the OECD. However, the continued difficulties of processing international banking transactions may fuel informal transfers, contribute to exchange-rate distortion, and reduce fiscal revenues. In urban areas, job creation is above average and the poverty rate is less than half of the national average.</v>
      </c>
      <c r="C27" s="48"/>
      <c r="D27" s="48" t="b">
        <f t="shared" ref="D27:H27" si="52">VLOOKUP($A27, INDIRECT(D$1&amp;"!A:C"), 3, FALSE)</f>
        <v>0</v>
      </c>
      <c r="E27" s="48" t="str">
        <f t="shared" si="52"/>
        <v>TO DO</v>
      </c>
      <c r="F27" s="48" t="str">
        <f t="shared" si="52"/>
        <v>TO DO</v>
      </c>
      <c r="G27" s="48" t="b">
        <f t="shared" si="52"/>
        <v>0</v>
      </c>
      <c r="H27" s="48" t="b">
        <f t="shared" si="52"/>
        <v>0</v>
      </c>
      <c r="I27" s="49">
        <f t="shared" si="4"/>
        <v>1</v>
      </c>
      <c r="J27" s="50" t="str">
        <f t="shared" ref="J27:N27" si="53">VLOOKUP($A27, INDIRECT(J$1&amp;"!A:D"), 4, FALSE)</f>
        <v/>
      </c>
      <c r="K27" s="50" t="str">
        <f t="shared" si="53"/>
        <v/>
      </c>
      <c r="L27" s="50" t="str">
        <f t="shared" si="53"/>
        <v/>
      </c>
      <c r="M27" s="50" t="str">
        <f t="shared" si="53"/>
        <v/>
      </c>
      <c r="N27" s="50" t="str">
        <f t="shared" si="53"/>
        <v/>
      </c>
      <c r="O27" s="49" t="str">
        <f>IFERROR(__xludf.DUMMYFUNCTION("IF(COUNTA(J27:N27)=0, """", ARRAYFORMULA(""- ""&amp;TEXTJOIN(char(10)&amp;""- "", TRUE, FILTER(J$1:N$1&amp;"": ""&amp;J27:N27, NOT(ISBLANK(J27:N27))))))"),"")</f>
        <v/>
      </c>
      <c r="P27" s="49" t="s">
        <v>419</v>
      </c>
      <c r="Q27" s="51" t="b">
        <v>0</v>
      </c>
    </row>
    <row r="28" hidden="1">
      <c r="A28" s="12" t="str">
        <f>IFERROR(__xludf.DUMMYFUNCTION("""COMPUTED_VALUE"""),"e6dc4cad356ac7cf988e3df85ac6520d")</f>
        <v>e6dc4cad356ac7cf988e3df85ac6520d</v>
      </c>
      <c r="B28" s="12" t="str">
        <f>IFERROR(__xludf.DUMMYFUNCTION("""COMPUTED_VALUE"""),"For every 100 hospitalised casualties, police reported 115 serious injuries - serious injuries do not always result in hospitalisation. The reporting ratio that was achieved is a more accurate reflection of the true level of serious road trauma. Over the "&amp;"same period, the number of crash casualty hospital admissions was stable, indicating that the actual level of road trauma had not risen, and the significant increase in reported injuries was attributable to improved reporting. Figure 5.1 shows how Otago a"&amp;"nd Southland police reporting of serious injuries improved between 1997 and 2002.")</f>
        <v>For every 100 hospitalised casualties, police reported 115 serious injuries - serious injuries do not always result in hospitalisation. The reporting ratio that was achieved is a more accurate reflection of the true level of serious road trauma. Over the same period, the number of crash casualty hospital admissions was stable, indicating that the actual level of road trauma had not risen, and the significant increase in reported injuries was attributable to improved reporting. Figure 5.1 shows how Otago and Southland police reporting of serious injuries improved between 1997 and 2002.</v>
      </c>
      <c r="C28" s="54" t="s">
        <v>420</v>
      </c>
      <c r="D28" s="48" t="b">
        <f t="shared" ref="D28:H28" si="54">VLOOKUP($A28, INDIRECT(D$1&amp;"!A:C"), 3, FALSE)</f>
        <v>1</v>
      </c>
      <c r="E28" s="48" t="str">
        <f t="shared" si="54"/>
        <v>TO DO</v>
      </c>
      <c r="F28" s="48" t="str">
        <f t="shared" si="54"/>
        <v>TO DO</v>
      </c>
      <c r="G28" s="48" t="b">
        <f t="shared" si="54"/>
        <v>1</v>
      </c>
      <c r="H28" s="48" t="b">
        <f t="shared" si="54"/>
        <v>0</v>
      </c>
      <c r="I28" s="49">
        <f t="shared" si="4"/>
        <v>0.3333333333</v>
      </c>
      <c r="J28" s="50" t="str">
        <f t="shared" ref="J28:N28" si="55">VLOOKUP($A28, INDIRECT(J$1&amp;"!A:D"), 4, FALSE)</f>
        <v>target 11.2</v>
      </c>
      <c r="K28" s="50" t="str">
        <f t="shared" si="55"/>
        <v/>
      </c>
      <c r="L28" s="50" t="str">
        <f t="shared" si="55"/>
        <v/>
      </c>
      <c r="M28" s="50" t="str">
        <f t="shared" si="55"/>
        <v/>
      </c>
      <c r="N28" s="50" t="str">
        <f t="shared" si="55"/>
        <v>categorically excluded road accident-related snaps as clearly linked to 3.6</v>
      </c>
      <c r="O28" s="49" t="str">
        <f>IFERROR(__xludf.DUMMYFUNCTION("IF(COUNTA(J28:N28)=0, """", ARRAYFORMULA(""- ""&amp;TEXTJOIN(char(10)&amp;""- "", TRUE, FILTER(J$1:N$1&amp;"": ""&amp;J28:N28, NOT(ISBLANK(J28:N28))))))"),"- Finn: target 11.2
- Steve: categorically excluded road accident-related snaps as clearly linked to 3.6")</f>
        <v>- Finn: target 11.2
- Steve: categorically excluded road accident-related snaps as clearly linked to 3.6</v>
      </c>
      <c r="P28" s="49" t="s">
        <v>437</v>
      </c>
      <c r="Q28" s="51" t="s">
        <v>422</v>
      </c>
    </row>
    <row r="29">
      <c r="A29" s="12" t="str">
        <f>IFERROR(__xludf.DUMMYFUNCTION("""COMPUTED_VALUE"""),"ea875431b5187a426686ac8a78004987")</f>
        <v>ea875431b5187a426686ac8a78004987</v>
      </c>
      <c r="B29" s="12" t="str">
        <f>IFERROR(__xludf.DUMMYFUNCTION("""COMPUTED_VALUE"""),"Next, debt should be exclusively used to finance capital projects with a long life, and not to cover budget gaps for current expenditure. The third critical aspect would be to impose a hard budget constraint on borrowers, to eliminate the possibility of a"&amp;" costly bailout by higher levels of government. A central-govemment-mandated borrowing framework would need clear rules about who can borrow, how much, for what purpose, from whom, with what instruments and with what restrictions.")</f>
        <v>Next, debt should be exclusively used to finance capital projects with a long life, and not to cover budget gaps for current expenditure. The third critical aspect would be to impose a hard budget constraint on borrowers, to eliminate the possibility of a costly bailout by higher levels of government. A central-govemment-mandated borrowing framework would need clear rules about who can borrow, how much, for what purpose, from whom, with what instruments and with what restrictions.</v>
      </c>
      <c r="C29" s="53"/>
      <c r="D29" s="48" t="b">
        <f t="shared" ref="D29:H29" si="56">VLOOKUP($A29, INDIRECT(D$1&amp;"!A:C"), 3, FALSE)</f>
        <v>0</v>
      </c>
      <c r="E29" s="48" t="str">
        <f t="shared" si="56"/>
        <v>TO DO</v>
      </c>
      <c r="F29" s="48" t="str">
        <f t="shared" si="56"/>
        <v>TO DO</v>
      </c>
      <c r="G29" s="48" t="b">
        <f t="shared" si="56"/>
        <v>0</v>
      </c>
      <c r="H29" s="48" t="b">
        <f t="shared" si="56"/>
        <v>0</v>
      </c>
      <c r="I29" s="49">
        <f t="shared" si="4"/>
        <v>1</v>
      </c>
      <c r="J29" s="50" t="str">
        <f t="shared" ref="J29:N29" si="57">VLOOKUP($A29, INDIRECT(J$1&amp;"!A:D"), 4, FALSE)</f>
        <v/>
      </c>
      <c r="K29" s="50" t="str">
        <f t="shared" si="57"/>
        <v/>
      </c>
      <c r="L29" s="50" t="str">
        <f t="shared" si="57"/>
        <v/>
      </c>
      <c r="M29" s="50" t="str">
        <f t="shared" si="57"/>
        <v/>
      </c>
      <c r="N29" s="50" t="str">
        <f t="shared" si="57"/>
        <v/>
      </c>
      <c r="O29" s="49" t="str">
        <f>IFERROR(__xludf.DUMMYFUNCTION("IF(COUNTA(J29:N29)=0, """", ARRAYFORMULA(""- ""&amp;TEXTJOIN(char(10)&amp;""- "", TRUE, FILTER(J$1:N$1&amp;"": ""&amp;J29:N29, NOT(ISBLANK(J29:N29))))))"),"")</f>
        <v/>
      </c>
      <c r="P29" s="49" t="s">
        <v>419</v>
      </c>
      <c r="Q29" s="51" t="b">
        <v>0</v>
      </c>
    </row>
    <row r="30" hidden="1">
      <c r="A30" s="12" t="str">
        <f>IFERROR(__xludf.DUMMYFUNCTION("""COMPUTED_VALUE"""),"b03f61f7e6b6f474e9901ce5b49dad40")</f>
        <v>b03f61f7e6b6f474e9901ce5b49dad40</v>
      </c>
      <c r="B30" s="12" t="str">
        <f>IFERROR(__xludf.DUMMYFUNCTION("""COMPUTED_VALUE"""),"A police officer typically requires that a suspected drunk driver undergo a field sobriety test to confirm impairment before a breath test can be administered. The permissible drink drive limit across the United States is high - 80 milligrams of alcohol p"&amp;"er 100 millilitres of blood - and well above the 50 milligram limit prescribed in most countries. The legal constraints applicable in the United States do not allow best practice enforcement to be carried out, and high rates of alcohol related road trauma"&amp;" continue.")</f>
        <v>A police officer typically requires that a suspected drunk driver undergo a field sobriety test to confirm impairment before a breath test can be administered. The permissible drink drive limit across the United States is high - 80 milligrams of alcohol per 100 millilitres of blood - and well above the 50 milligram limit prescribed in most countries. The legal constraints applicable in the United States do not allow best practice enforcement to be carried out, and high rates of alcohol related road trauma continue.</v>
      </c>
      <c r="C30" s="7" t="s">
        <v>420</v>
      </c>
      <c r="D30" s="48" t="b">
        <f t="shared" ref="D30:H30" si="58">VLOOKUP($A30, INDIRECT(D$1&amp;"!A:C"), 3, FALSE)</f>
        <v>0</v>
      </c>
      <c r="E30" s="48" t="str">
        <f t="shared" si="58"/>
        <v>TO DO</v>
      </c>
      <c r="F30" s="48" t="str">
        <f t="shared" si="58"/>
        <v>TO DO</v>
      </c>
      <c r="G30" s="48" t="b">
        <f t="shared" si="58"/>
        <v>1</v>
      </c>
      <c r="H30" s="48" t="b">
        <f t="shared" si="58"/>
        <v>0</v>
      </c>
      <c r="I30" s="49">
        <f t="shared" si="4"/>
        <v>0.3333333333</v>
      </c>
      <c r="J30" s="50" t="str">
        <f t="shared" ref="J30:N30" si="59">VLOOKUP($A30, INDIRECT(J$1&amp;"!A:D"), 4, FALSE)</f>
        <v/>
      </c>
      <c r="K30" s="50" t="str">
        <f t="shared" si="59"/>
        <v/>
      </c>
      <c r="L30" s="50" t="str">
        <f t="shared" si="59"/>
        <v/>
      </c>
      <c r="M30" s="50" t="str">
        <f t="shared" si="59"/>
        <v/>
      </c>
      <c r="N30" s="50" t="str">
        <f t="shared" si="59"/>
        <v/>
      </c>
      <c r="O30" s="49" t="str">
        <f>IFERROR(__xludf.DUMMYFUNCTION("IF(COUNTA(J30:N30)=0, """", ARRAYFORMULA(""- ""&amp;TEXTJOIN(char(10)&amp;""- "", TRUE, FILTER(J$1:N$1&amp;"": ""&amp;J30:N30, NOT(ISBLANK(J30:N30))))))"),"")</f>
        <v/>
      </c>
      <c r="P30" s="49" t="s">
        <v>419</v>
      </c>
      <c r="Q30" s="51" t="s">
        <v>422</v>
      </c>
    </row>
    <row r="31" hidden="1">
      <c r="A31" s="12" t="str">
        <f>IFERROR(__xludf.DUMMYFUNCTION("""COMPUTED_VALUE"""),"1270ad29d410f9f4dc0e8f045a3c84b0")</f>
        <v>1270ad29d410f9f4dc0e8f045a3c84b0</v>
      </c>
      <c r="B31" s="12" t="str">
        <f>IFERROR(__xludf.DUMMYFUNCTION("""COMPUTED_VALUE"""),"It has a planned capacity of 35 cubic metres per second (m3/s), of which tw'o-thirds will result in “safe to handle” water and one-third in water that can be drained into rivers and dams (see CONAGUA, 2015). Given the plant's location, the benefit of the "&amp;"plant will be outside the Valle de Mexico. The raw sewage is appreciated by the farmers, as it significantly increases yield for crops.")</f>
        <v>It has a planned capacity of 35 cubic metres per second (m3/s), of which tw'o-thirds will result in “safe to handle” water and one-third in water that can be drained into rivers and dams (see CONAGUA, 2015). Given the plant's location, the benefit of the plant will be outside the Valle de Mexico. The raw sewage is appreciated by the farmers, as it significantly increases yield for crops.</v>
      </c>
      <c r="C31" s="48"/>
      <c r="D31" s="48" t="b">
        <f t="shared" ref="D31:H31" si="60">VLOOKUP($A31, INDIRECT(D$1&amp;"!A:C"), 3, FALSE)</f>
        <v>0</v>
      </c>
      <c r="E31" s="48" t="str">
        <f t="shared" si="60"/>
        <v>TO DO</v>
      </c>
      <c r="F31" s="48" t="str">
        <f t="shared" si="60"/>
        <v>TO DO</v>
      </c>
      <c r="G31" s="48" t="b">
        <f t="shared" si="60"/>
        <v>1</v>
      </c>
      <c r="H31" s="48" t="b">
        <f t="shared" si="60"/>
        <v>0</v>
      </c>
      <c r="I31" s="49">
        <f t="shared" si="4"/>
        <v>0.3333333333</v>
      </c>
      <c r="J31" s="50" t="str">
        <f t="shared" ref="J31:N31" si="61">VLOOKUP($A31, INDIRECT(J$1&amp;"!A:D"), 4, FALSE)</f>
        <v/>
      </c>
      <c r="K31" s="50" t="str">
        <f t="shared" si="61"/>
        <v/>
      </c>
      <c r="L31" s="50" t="str">
        <f t="shared" si="61"/>
        <v/>
      </c>
      <c r="M31" s="50" t="str">
        <f t="shared" si="61"/>
        <v/>
      </c>
      <c r="N31" s="50" t="str">
        <f t="shared" si="61"/>
        <v/>
      </c>
      <c r="O31" s="49" t="str">
        <f>IFERROR(__xludf.DUMMYFUNCTION("IF(COUNTA(J31:N31)=0, """", ARRAYFORMULA(""- ""&amp;TEXTJOIN(char(10)&amp;""- "", TRUE, FILTER(J$1:N$1&amp;"": ""&amp;J31:N31, NOT(ISBLANK(J31:N31))))))"),"")</f>
        <v/>
      </c>
      <c r="P31" s="49" t="s">
        <v>419</v>
      </c>
      <c r="Q31" s="51" t="s">
        <v>422</v>
      </c>
    </row>
    <row r="32">
      <c r="A32" s="12" t="str">
        <f>IFERROR(__xludf.DUMMYFUNCTION("""COMPUTED_VALUE"""),"339a89f254e23c71b8d13021182561ed")</f>
        <v>339a89f254e23c71b8d13021182561ed</v>
      </c>
      <c r="B32" s="12" t="str">
        <f>IFERROR(__xludf.DUMMYFUNCTION("""COMPUTED_VALUE"""),"The targets are designed to be integrated and indivisible and to balance the social, economic and environmental dimensions of sustainable development. The 2030 Agenda further seeks to realize the human rights of all, and to achieve gender equality and emp"&amp;"owerment of all women and girls. Unlike the Millennium Development Goals (MDGs), the Sustainable Development Goals (SDGs) is an ambitious agenda that is indivisible and supposed to be implemented universally by all countries in a collaborative partnership"&amp;". The theme of each HLPF, and a subset of goals to be reviewed, is agreed in advance.")</f>
        <v>The targets are designed to be integrated and indivisible and to balance the social, economic and environmental dimensions of sustainable development. The 2030 Agenda further seeks to realize the human rights of all, and to achieve gender equality and empowerment of all women and girls. Unlike the Millennium Development Goals (MDGs), the Sustainable Development Goals (SDGs) is an ambitious agenda that is indivisible and supposed to be implemented universally by all countries in a collaborative partnership. The theme of each HLPF, and a subset of goals to be reviewed, is agreed in advance.</v>
      </c>
      <c r="C32" s="53"/>
      <c r="D32" s="48" t="b">
        <f t="shared" ref="D32:H32" si="62">VLOOKUP($A32, INDIRECT(D$1&amp;"!A:C"), 3, FALSE)</f>
        <v>0</v>
      </c>
      <c r="E32" s="48" t="str">
        <f t="shared" si="62"/>
        <v>TO DO</v>
      </c>
      <c r="F32" s="48" t="str">
        <f t="shared" si="62"/>
        <v>TO DO</v>
      </c>
      <c r="G32" s="48" t="b">
        <f t="shared" si="62"/>
        <v>0</v>
      </c>
      <c r="H32" s="48" t="b">
        <f t="shared" si="62"/>
        <v>0</v>
      </c>
      <c r="I32" s="49">
        <f t="shared" si="4"/>
        <v>1</v>
      </c>
      <c r="J32" s="50" t="str">
        <f t="shared" ref="J32:N32" si="63">VLOOKUP($A32, INDIRECT(J$1&amp;"!A:D"), 4, FALSE)</f>
        <v/>
      </c>
      <c r="K32" s="50" t="str">
        <f t="shared" si="63"/>
        <v/>
      </c>
      <c r="L32" s="50" t="str">
        <f t="shared" si="63"/>
        <v/>
      </c>
      <c r="M32" s="50" t="str">
        <f t="shared" si="63"/>
        <v/>
      </c>
      <c r="N32" s="50" t="str">
        <f t="shared" si="63"/>
        <v/>
      </c>
      <c r="O32" s="49" t="str">
        <f>IFERROR(__xludf.DUMMYFUNCTION("IF(COUNTA(J32:N32)=0, """", ARRAYFORMULA(""- ""&amp;TEXTJOIN(char(10)&amp;""- "", TRUE, FILTER(J$1:N$1&amp;"": ""&amp;J32:N32, NOT(ISBLANK(J32:N32))))))"),"")</f>
        <v/>
      </c>
      <c r="P32" s="49" t="s">
        <v>419</v>
      </c>
      <c r="Q32" s="51" t="b">
        <v>0</v>
      </c>
    </row>
    <row r="33">
      <c r="A33" s="12" t="str">
        <f>IFERROR(__xludf.DUMMYFUNCTION("""COMPUTED_VALUE"""),"48334d11bf354345c2bffcf30c51af11")</f>
        <v>48334d11bf354345c2bffcf30c51af11</v>
      </c>
      <c r="B33" s="12" t="str">
        <f>IFERROR(__xludf.DUMMYFUNCTION("""COMPUTED_VALUE"""),"What will be the consequences? Life expectancy, incomes, literacy, and access of girls to education have changed remarkably. However, beneath this global perspective lie significant and compelling regional differences, with tremendous economic growth in E"&amp;"ast Asia while Africa features dangerously low incomes and poor health conditions. The outbreak of Ebola fever and the need for a broad-based response has highlighted the great risks that deprivation can bring on local, national and worldwide scales.")</f>
        <v>What will be the consequences? Life expectancy, incomes, literacy, and access of girls to education have changed remarkably. However, beneath this global perspective lie significant and compelling regional differences, with tremendous economic growth in East Asia while Africa features dangerously low incomes and poor health conditions. The outbreak of Ebola fever and the need for a broad-based response has highlighted the great risks that deprivation can bring on local, national and worldwide scales.</v>
      </c>
      <c r="C33" s="53"/>
      <c r="D33" s="48" t="b">
        <f t="shared" ref="D33:H33" si="64">VLOOKUP($A33, INDIRECT(D$1&amp;"!A:C"), 3, FALSE)</f>
        <v>0</v>
      </c>
      <c r="E33" s="48" t="str">
        <f t="shared" si="64"/>
        <v>TO DO</v>
      </c>
      <c r="F33" s="48" t="str">
        <f t="shared" si="64"/>
        <v>TO DO</v>
      </c>
      <c r="G33" s="48" t="b">
        <f t="shared" si="64"/>
        <v>0</v>
      </c>
      <c r="H33" s="48" t="b">
        <f t="shared" si="64"/>
        <v>0</v>
      </c>
      <c r="I33" s="49">
        <f t="shared" si="4"/>
        <v>1</v>
      </c>
      <c r="J33" s="50" t="str">
        <f t="shared" ref="J33:N33" si="65">VLOOKUP($A33, INDIRECT(J$1&amp;"!A:D"), 4, FALSE)</f>
        <v/>
      </c>
      <c r="K33" s="50" t="str">
        <f t="shared" si="65"/>
        <v/>
      </c>
      <c r="L33" s="50" t="str">
        <f t="shared" si="65"/>
        <v/>
      </c>
      <c r="M33" s="50" t="str">
        <f t="shared" si="65"/>
        <v/>
      </c>
      <c r="N33" s="50" t="str">
        <f t="shared" si="65"/>
        <v/>
      </c>
      <c r="O33" s="49" t="str">
        <f>IFERROR(__xludf.DUMMYFUNCTION("IF(COUNTA(J33:N33)=0, """", ARRAYFORMULA(""- ""&amp;TEXTJOIN(char(10)&amp;""- "", TRUE, FILTER(J$1:N$1&amp;"": ""&amp;J33:N33, NOT(ISBLANK(J33:N33))))))"),"")</f>
        <v/>
      </c>
      <c r="P33" s="49" t="s">
        <v>419</v>
      </c>
      <c r="Q33" s="51" t="b">
        <v>0</v>
      </c>
    </row>
    <row r="34">
      <c r="A34" s="12" t="str">
        <f>IFERROR(__xludf.DUMMYFUNCTION("""COMPUTED_VALUE"""),"90877df6e8ec5767a70401b356c053eb")</f>
        <v>90877df6e8ec5767a70401b356c053eb</v>
      </c>
      <c r="B34" s="12" t="str">
        <f>IFERROR(__xludf.DUMMYFUNCTION("""COMPUTED_VALUE"""),"While such metrics would not replace indicators based on casualty numbers, they could alleviate some difficulties associated with the comparability and statistical power of casualty figures. This is essential given the proven relationships between speed a"&amp;"nd crash risk {ITF, 2018b) and the contribution that speeding plays in making people feel unsafe on the streets. Technology could play a role and support such analysis.")</f>
        <v>While such metrics would not replace indicators based on casualty numbers, they could alleviate some difficulties associated with the comparability and statistical power of casualty figures. This is essential given the proven relationships between speed and crash risk {ITF, 2018b) and the contribution that speeding plays in making people feel unsafe on the streets. Technology could play a role and support such analysis.</v>
      </c>
      <c r="C34" s="54" t="s">
        <v>420</v>
      </c>
      <c r="D34" s="48" t="b">
        <f t="shared" ref="D34:H34" si="66">VLOOKUP($A34, INDIRECT(D$1&amp;"!A:C"), 3, FALSE)</f>
        <v>1</v>
      </c>
      <c r="E34" s="48" t="str">
        <f t="shared" si="66"/>
        <v>TO DO</v>
      </c>
      <c r="F34" s="48" t="str">
        <f t="shared" si="66"/>
        <v>TO DO</v>
      </c>
      <c r="G34" s="48" t="b">
        <f t="shared" si="66"/>
        <v>0</v>
      </c>
      <c r="H34" s="48" t="b">
        <f t="shared" si="66"/>
        <v>0</v>
      </c>
      <c r="I34" s="49">
        <f t="shared" si="4"/>
        <v>0.3333333333</v>
      </c>
      <c r="J34" s="50" t="str">
        <f t="shared" ref="J34:N34" si="67">VLOOKUP($A34, INDIRECT(J$1&amp;"!A:D"), 4, FALSE)</f>
        <v>measuring, not action</v>
      </c>
      <c r="K34" s="50" t="str">
        <f t="shared" si="67"/>
        <v/>
      </c>
      <c r="L34" s="50" t="str">
        <f t="shared" si="67"/>
        <v/>
      </c>
      <c r="M34" s="50" t="str">
        <f t="shared" si="67"/>
        <v/>
      </c>
      <c r="N34" s="50" t="str">
        <f t="shared" si="67"/>
        <v/>
      </c>
      <c r="O34" s="49" t="str">
        <f>IFERROR(__xludf.DUMMYFUNCTION("IF(COUNTA(J34:N34)=0, """", ARRAYFORMULA(""- ""&amp;TEXTJOIN(char(10)&amp;""- "", TRUE, FILTER(J$1:N$1&amp;"": ""&amp;J34:N34, NOT(ISBLANK(J34:N34))))))"),"- Finn: measuring, not action")</f>
        <v>- Finn: measuring, not action</v>
      </c>
      <c r="P34" s="49" t="s">
        <v>438</v>
      </c>
      <c r="Q34" s="52" t="b">
        <v>1</v>
      </c>
      <c r="R34" s="5" t="s">
        <v>439</v>
      </c>
    </row>
    <row r="35">
      <c r="A35" s="12" t="str">
        <f>IFERROR(__xludf.DUMMYFUNCTION("""COMPUTED_VALUE"""),"230f5ab2c873869772e462c22a19744a")</f>
        <v>230f5ab2c873869772e462c22a19744a</v>
      </c>
      <c r="B35" s="12" t="str">
        <f>IFERROR(__xludf.DUMMYFUNCTION("""COMPUTED_VALUE"""),"To boost Kaznex Invest’s effectiveness in attracting investors to the key strategic sectors, the government of Kazakhstan requested a review of Kaznex Invest operations from the OECD and a benchmarking in relation to best practices in other agencies, with"&amp;" a view to making adjustments in its mandate, structure, or operations (OECD, 2015d). Investment Promotion Agency of Kazakhstan: how well is it doing? ( Only 5% of total FDI inflows were estimated to have been directly generated by Kaznex Invest in 2013, "&amp;"as compared to 11% in Nicaragua or 33% in Czech Republic. Reasons for this relatively poor performance included, the relatively large mandate of the institution, which resulted in lesser attention given to investment promotion and facilitation, its focus "&amp;"on serving the needs of the ministry1 rather than of investors, and a lack of clear strategy', well-identified priority sectors and key performance indicators that were outcome- rather than process-oriented and in line with the pre-identified strategy .")</f>
        <v>To boost Kaznex Invest’s effectiveness in attracting investors to the key strategic sectors, the government of Kazakhstan requested a review of Kaznex Invest operations from the OECD and a benchmarking in relation to best practices in other agencies, with a view to making adjustments in its mandate, structure, or operations (OECD, 2015d). Investment Promotion Agency of Kazakhstan: how well is it doing? ( Only 5% of total FDI inflows were estimated to have been directly generated by Kaznex Invest in 2013, as compared to 11% in Nicaragua or 33% in Czech Republic. Reasons for this relatively poor performance included, the relatively large mandate of the institution, which resulted in lesser attention given to investment promotion and facilitation, its focus on serving the needs of the ministry1 rather than of investors, and a lack of clear strategy', well-identified priority sectors and key performance indicators that were outcome- rather than process-oriented and in line with the pre-identified strategy .</v>
      </c>
      <c r="C35" s="54"/>
      <c r="D35" s="48" t="b">
        <f t="shared" ref="D35:H35" si="68">VLOOKUP($A35, INDIRECT(D$1&amp;"!A:C"), 3, FALSE)</f>
        <v>0</v>
      </c>
      <c r="E35" s="48" t="str">
        <f t="shared" si="68"/>
        <v>TO DO</v>
      </c>
      <c r="F35" s="48" t="str">
        <f t="shared" si="68"/>
        <v>TO DO</v>
      </c>
      <c r="G35" s="48" t="b">
        <f t="shared" si="68"/>
        <v>0</v>
      </c>
      <c r="H35" s="48" t="b">
        <f t="shared" si="68"/>
        <v>0</v>
      </c>
      <c r="I35" s="49">
        <f t="shared" si="4"/>
        <v>1</v>
      </c>
      <c r="J35" s="50" t="str">
        <f t="shared" ref="J35:N35" si="69">VLOOKUP($A35, INDIRECT(J$1&amp;"!A:D"), 4, FALSE)</f>
        <v/>
      </c>
      <c r="K35" s="50" t="str">
        <f t="shared" si="69"/>
        <v/>
      </c>
      <c r="L35" s="50" t="str">
        <f t="shared" si="69"/>
        <v/>
      </c>
      <c r="M35" s="50" t="str">
        <f t="shared" si="69"/>
        <v/>
      </c>
      <c r="N35" s="50" t="str">
        <f t="shared" si="69"/>
        <v/>
      </c>
      <c r="O35" s="49" t="str">
        <f>IFERROR(__xludf.DUMMYFUNCTION("IF(COUNTA(J35:N35)=0, """", ARRAYFORMULA(""- ""&amp;TEXTJOIN(char(10)&amp;""- "", TRUE, FILTER(J$1:N$1&amp;"": ""&amp;J35:N35, NOT(ISBLANK(J35:N35))))))"),"")</f>
        <v/>
      </c>
      <c r="P35" s="49" t="s">
        <v>419</v>
      </c>
      <c r="Q35" s="51" t="b">
        <v>0</v>
      </c>
    </row>
    <row r="36" hidden="1">
      <c r="A36" s="12" t="str">
        <f>IFERROR(__xludf.DUMMYFUNCTION("""COMPUTED_VALUE"""),"c111b96e28b9d1557f21ef1f0a990232")</f>
        <v>c111b96e28b9d1557f21ef1f0a990232</v>
      </c>
      <c r="B36" s="12" t="str">
        <f>IFERROR(__xludf.DUMMYFUNCTION("""COMPUTED_VALUE"""),"The following three sections discuss governmental authorities, institutional arrangements and stakeholder engagement, respectively. Finally, Section 5.5 interprets the results and provides conclusions. Nonetheless, in some instances, stakeholders were hig"&amp;"hly involved in NUP development, including in some systematic and highly participatory ways. These tended to be found in the North America and Europe, Asia and the Pacific, and Latin America and the Caribbean regions.")</f>
        <v>The following three sections discuss governmental authorities, institutional arrangements and stakeholder engagement, respectively. Finally, Section 5.5 interprets the results and provides conclusions. Nonetheless, in some instances, stakeholders were highly involved in NUP development, including in some systematic and highly participatory ways. These tended to be found in the North America and Europe, Asia and the Pacific, and Latin America and the Caribbean regions.</v>
      </c>
      <c r="C36" s="48"/>
      <c r="D36" s="48" t="b">
        <f t="shared" ref="D36:H36" si="70">VLOOKUP($A36, INDIRECT(D$1&amp;"!A:C"), 3, FALSE)</f>
        <v>0</v>
      </c>
      <c r="E36" s="48" t="str">
        <f t="shared" si="70"/>
        <v>TO DO</v>
      </c>
      <c r="F36" s="48" t="str">
        <f t="shared" si="70"/>
        <v>TO DO</v>
      </c>
      <c r="G36" s="48" t="b">
        <f t="shared" si="70"/>
        <v>1</v>
      </c>
      <c r="H36" s="48" t="b">
        <f t="shared" si="70"/>
        <v>1</v>
      </c>
      <c r="I36" s="49">
        <f t="shared" si="4"/>
        <v>0.3333333333</v>
      </c>
      <c r="J36" s="50" t="str">
        <f t="shared" ref="J36:N36" si="71">VLOOKUP($A36, INDIRECT(J$1&amp;"!A:D"), 4, FALSE)</f>
        <v/>
      </c>
      <c r="K36" s="50" t="str">
        <f t="shared" si="71"/>
        <v/>
      </c>
      <c r="L36" s="50" t="str">
        <f t="shared" si="71"/>
        <v/>
      </c>
      <c r="M36" s="50" t="str">
        <f t="shared" si="71"/>
        <v/>
      </c>
      <c r="N36" s="50" t="str">
        <f t="shared" si="71"/>
        <v>NUP = National urban policy</v>
      </c>
      <c r="O36" s="49" t="str">
        <f>IFERROR(__xludf.DUMMYFUNCTION("IF(COUNTA(J36:N36)=0, """", ARRAYFORMULA(""- ""&amp;TEXTJOIN(char(10)&amp;""- "", TRUE, FILTER(J$1:N$1&amp;"": ""&amp;J36:N36, NOT(ISBLANK(J36:N36))))))"),"- Steve: NUP = National urban policy")</f>
        <v>- Steve: NUP = National urban policy</v>
      </c>
      <c r="P36" s="49" t="s">
        <v>440</v>
      </c>
      <c r="Q36" s="51" t="s">
        <v>422</v>
      </c>
    </row>
    <row r="37">
      <c r="A37" s="12" t="str">
        <f>IFERROR(__xludf.DUMMYFUNCTION("""COMPUTED_VALUE"""),"ea2d5e24a1a4dd383694d6f018f4b6c9")</f>
        <v>ea2d5e24a1a4dd383694d6f018f4b6c9</v>
      </c>
      <c r="B37" s="12" t="str">
        <f>IFERROR(__xludf.DUMMYFUNCTION("""COMPUTED_VALUE"""),"This principle, however, could be stated clearly in all strategic government documents. In pursuing equal opportunities in government, Kazakhstan might adopt the 2015 “OECD Recommendation of the Council on Gender Equality in Public Life” to mainstream gen"&amp;"der equality in the design, development, implementation and evaluation of relevant public policies and budget (OECD, 2016f). The Ministry of the Civil Service and its counterparts in subnational levels need to be staffed with experts.")</f>
        <v>This principle, however, could be stated clearly in all strategic government documents. In pursuing equal opportunities in government, Kazakhstan might adopt the 2015 “OECD Recommendation of the Council on Gender Equality in Public Life” to mainstream gender equality in the design, development, implementation and evaluation of relevant public policies and budget (OECD, 2016f). The Ministry of the Civil Service and its counterparts in subnational levels need to be staffed with experts.</v>
      </c>
      <c r="C37" s="48"/>
      <c r="D37" s="48" t="b">
        <f t="shared" ref="D37:H37" si="72">VLOOKUP($A37, INDIRECT(D$1&amp;"!A:C"), 3, FALSE)</f>
        <v>0</v>
      </c>
      <c r="E37" s="48" t="str">
        <f t="shared" si="72"/>
        <v>TO DO</v>
      </c>
      <c r="F37" s="48" t="str">
        <f t="shared" si="72"/>
        <v>TO DO</v>
      </c>
      <c r="G37" s="48" t="b">
        <f t="shared" si="72"/>
        <v>0</v>
      </c>
      <c r="H37" s="48" t="b">
        <f t="shared" si="72"/>
        <v>0</v>
      </c>
      <c r="I37" s="49">
        <f t="shared" si="4"/>
        <v>1</v>
      </c>
      <c r="J37" s="50" t="str">
        <f t="shared" ref="J37:N37" si="73">VLOOKUP($A37, INDIRECT(J$1&amp;"!A:D"), 4, FALSE)</f>
        <v/>
      </c>
      <c r="K37" s="50" t="str">
        <f t="shared" si="73"/>
        <v/>
      </c>
      <c r="L37" s="50" t="str">
        <f t="shared" si="73"/>
        <v/>
      </c>
      <c r="M37" s="50" t="str">
        <f t="shared" si="73"/>
        <v/>
      </c>
      <c r="N37" s="50" t="str">
        <f t="shared" si="73"/>
        <v>not specific enough on urban planning</v>
      </c>
      <c r="O37" s="49" t="str">
        <f>IFERROR(__xludf.DUMMYFUNCTION("IF(COUNTA(J37:N37)=0, """", ARRAYFORMULA(""- ""&amp;TEXTJOIN(char(10)&amp;""- "", TRUE, FILTER(J$1:N$1&amp;"": ""&amp;J37:N37, NOT(ISBLANK(J37:N37))))))"),"- Steve: not specific enough on urban planning")</f>
        <v>- Steve: not specific enough on urban planning</v>
      </c>
      <c r="P37" s="49" t="s">
        <v>441</v>
      </c>
      <c r="Q37" s="51" t="b">
        <v>0</v>
      </c>
    </row>
    <row r="38">
      <c r="A38" s="12" t="str">
        <f>IFERROR(__xludf.DUMMYFUNCTION("""COMPUTED_VALUE"""),"ee0b31af44c3594163819b39b940ae51")</f>
        <v>ee0b31af44c3594163819b39b940ae51</v>
      </c>
      <c r="B38" s="12" t="str">
        <f>IFERROR(__xludf.DUMMYFUNCTION("""COMPUTED_VALUE"""),"Pay levels make it difficult to attract and retain skilled and highly qualified staff, as civil servants (i.e. urban planners) in key cities such as Almaty are paid USD 300 per month, compared to USD 600-800 in the private sector. Kazakhstan requires a cl"&amp;"ear competence management framework to ensure the skills, knowledge and behaviour that result in good performance at individual and organisational level. Competences should be linked to different elements of human resource management (HRM), in the recruit"&amp;"ment and selection of staff, training and development, and succession or career planning. Several models are used in OECD countries, but Kazakhstan may wish to review the French model, known as Employment, Workforce and Competency Planning (Gestion previs"&amp;"ionnelle des emplois, des effectifs et des competences or GPEEC), as it shows how recruitment methods may incorporate competences without abandoning the established principle of selection through competitive examination.")</f>
        <v>Pay levels make it difficult to attract and retain skilled and highly qualified staff, as civil servants (i.e. urban planners) in key cities such as Almaty are paid USD 300 per month, compared to USD 600-800 in the private sector. Kazakhstan requires a clear competence management framework to ensure the skills, knowledge and behaviour that result in good performance at individual and organisational level. Competences should be linked to different elements of human resource management (HRM), in the recruitment and selection of staff, training and development, and succession or career planning. Several models are used in OECD countries, but Kazakhstan may wish to review the French model, known as Employment, Workforce and Competency Planning (Gestion previsionnelle des emplois, des effectifs et des competences or GPEEC), as it shows how recruitment methods may incorporate competences without abandoning the established principle of selection through competitive examination.</v>
      </c>
      <c r="C38" s="7"/>
      <c r="D38" s="48" t="b">
        <f t="shared" ref="D38:H38" si="74">VLOOKUP($A38, INDIRECT(D$1&amp;"!A:C"), 3, FALSE)</f>
        <v>0</v>
      </c>
      <c r="E38" s="48" t="str">
        <f t="shared" si="74"/>
        <v>TO DO</v>
      </c>
      <c r="F38" s="48" t="str">
        <f t="shared" si="74"/>
        <v>TO DO</v>
      </c>
      <c r="G38" s="48" t="b">
        <f t="shared" si="74"/>
        <v>0</v>
      </c>
      <c r="H38" s="48" t="b">
        <f t="shared" si="74"/>
        <v>0</v>
      </c>
      <c r="I38" s="49">
        <f t="shared" si="4"/>
        <v>1</v>
      </c>
      <c r="J38" s="50" t="str">
        <f t="shared" ref="J38:N38" si="75">VLOOKUP($A38, INDIRECT(J$1&amp;"!A:D"), 4, FALSE)</f>
        <v/>
      </c>
      <c r="K38" s="50" t="str">
        <f t="shared" si="75"/>
        <v/>
      </c>
      <c r="L38" s="50" t="str">
        <f t="shared" si="75"/>
        <v/>
      </c>
      <c r="M38" s="50" t="str">
        <f t="shared" si="75"/>
        <v/>
      </c>
      <c r="N38" s="50" t="str">
        <f t="shared" si="75"/>
        <v>more on skills development</v>
      </c>
      <c r="O38" s="49" t="str">
        <f>IFERROR(__xludf.DUMMYFUNCTION("IF(COUNTA(J38:N38)=0, """", ARRAYFORMULA(""- ""&amp;TEXTJOIN(char(10)&amp;""- "", TRUE, FILTER(J$1:N$1&amp;"": ""&amp;J38:N38, NOT(ISBLANK(J38:N38))))))"),"- Steve: more on skills development")</f>
        <v>- Steve: more on skills development</v>
      </c>
      <c r="P38" s="49" t="s">
        <v>442</v>
      </c>
      <c r="Q38" s="51" t="b">
        <v>0</v>
      </c>
    </row>
    <row r="39">
      <c r="A39" s="12" t="str">
        <f>IFERROR(__xludf.DUMMYFUNCTION("""COMPUTED_VALUE"""),"0f242faa3d49f975f27dfb1c5603c7e2")</f>
        <v>0f242faa3d49f975f27dfb1c5603c7e2</v>
      </c>
      <c r="B39" s="12" t="str">
        <f>IFERROR(__xludf.DUMMYFUNCTION("""COMPUTED_VALUE"""),"The IMF’s rapid financing instrument (RFI)'. Secretariat of the Pacific Regional Environment Programme (SPREP). Voluntary Guidelines for the Pacific Islands Region, available at: http://www.pacificdisaster.net/dox/ FRDP_2016_Resilient_Dev_pacific.pdf (acc"&amp;"essed 29 September 2017). United States Department of State (2017), Bureau of Economic and Business Affairs: Investment Climate Statements for 2017 - Dominica, available at: https://www.state.g0v/e/eb/rls/0thr/ics/ investmentclimatestatements/index.htm?dl"&amp;"id =270062&amp;year=2017#wrapper (accessed 29 September 2017).")</f>
        <v>The IMF’s rapid financing instrument (RFI)'. Secretariat of the Pacific Regional Environment Programme (SPREP). Voluntary Guidelines for the Pacific Islands Region, available at: http://www.pacificdisaster.net/dox/ FRDP_2016_Resilient_Dev_pacific.pdf (accessed 29 September 2017). United States Department of State (2017), Bureau of Economic and Business Affairs: Investment Climate Statements for 2017 - Dominica, available at: https://www.state.g0v/e/eb/rls/0thr/ics/ investmentclimatestatements/index.htm?dlid =270062&amp;year=2017#wrapper (accessed 29 September 2017).</v>
      </c>
      <c r="C39" s="53"/>
      <c r="D39" s="48" t="b">
        <f t="shared" ref="D39:H39" si="76">VLOOKUP($A39, INDIRECT(D$1&amp;"!A:C"), 3, FALSE)</f>
        <v>0</v>
      </c>
      <c r="E39" s="48" t="str">
        <f t="shared" si="76"/>
        <v>TO DO</v>
      </c>
      <c r="F39" s="48" t="str">
        <f t="shared" si="76"/>
        <v>TO DO</v>
      </c>
      <c r="G39" s="48" t="b">
        <f t="shared" si="76"/>
        <v>0</v>
      </c>
      <c r="H39" s="48" t="b">
        <f t="shared" si="76"/>
        <v>0</v>
      </c>
      <c r="I39" s="49">
        <f t="shared" si="4"/>
        <v>1</v>
      </c>
      <c r="J39" s="50" t="str">
        <f t="shared" ref="J39:N39" si="77">VLOOKUP($A39, INDIRECT(J$1&amp;"!A:D"), 4, FALSE)</f>
        <v/>
      </c>
      <c r="K39" s="50" t="str">
        <f t="shared" si="77"/>
        <v/>
      </c>
      <c r="L39" s="50" t="str">
        <f t="shared" si="77"/>
        <v/>
      </c>
      <c r="M39" s="50" t="str">
        <f t="shared" si="77"/>
        <v/>
      </c>
      <c r="N39" s="50" t="str">
        <f t="shared" si="77"/>
        <v/>
      </c>
      <c r="O39" s="49" t="str">
        <f>IFERROR(__xludf.DUMMYFUNCTION("IF(COUNTA(J39:N39)=0, """", ARRAYFORMULA(""- ""&amp;TEXTJOIN(char(10)&amp;""- "", TRUE, FILTER(J$1:N$1&amp;"": ""&amp;J39:N39, NOT(ISBLANK(J39:N39))))))"),"")</f>
        <v/>
      </c>
      <c r="P39" s="49" t="s">
        <v>419</v>
      </c>
      <c r="Q39" s="51" t="b">
        <v>0</v>
      </c>
    </row>
    <row r="40">
      <c r="A40" s="12" t="str">
        <f>IFERROR(__xludf.DUMMYFUNCTION("""COMPUTED_VALUE"""),"49da96874469a2993f151ec58ff990dc")</f>
        <v>49da96874469a2993f151ec58ff990dc</v>
      </c>
      <c r="B40" s="12" t="str">
        <f>IFERROR(__xludf.DUMMYFUNCTION("""COMPUTED_VALUE"""),"While the growth trends are somewhat comparable for certain commodities, the speed of adjustment between commodities and markets differs (Figure 1). These dynamics are presumably determined by the macroeconomic structure, extent of global value chain invo"&amp;"lvement of each sector in the economy, free trade agreements and investment linkages, among other factors. Commodity nomenclatures are not necessarily the same across countries. In this regard, concerns mainly revolve around the movement of the Chinese yu"&amp;"an.")</f>
        <v>While the growth trends are somewhat comparable for certain commodities, the speed of adjustment between commodities and markets differs (Figure 1). These dynamics are presumably determined by the macroeconomic structure, extent of global value chain involvement of each sector in the economy, free trade agreements and investment linkages, among other factors. Commodity nomenclatures are not necessarily the same across countries. In this regard, concerns mainly revolve around the movement of the Chinese yuan.</v>
      </c>
      <c r="C40" s="48"/>
      <c r="D40" s="48" t="b">
        <f t="shared" ref="D40:H40" si="78">VLOOKUP($A40, INDIRECT(D$1&amp;"!A:C"), 3, FALSE)</f>
        <v>0</v>
      </c>
      <c r="E40" s="48" t="str">
        <f t="shared" si="78"/>
        <v>TO DO</v>
      </c>
      <c r="F40" s="48" t="str">
        <f t="shared" si="78"/>
        <v>TO DO</v>
      </c>
      <c r="G40" s="48" t="b">
        <f t="shared" si="78"/>
        <v>0</v>
      </c>
      <c r="H40" s="48" t="b">
        <f t="shared" si="78"/>
        <v>0</v>
      </c>
      <c r="I40" s="49">
        <f t="shared" si="4"/>
        <v>1</v>
      </c>
      <c r="J40" s="50" t="str">
        <f t="shared" ref="J40:N40" si="79">VLOOKUP($A40, INDIRECT(J$1&amp;"!A:D"), 4, FALSE)</f>
        <v/>
      </c>
      <c r="K40" s="50" t="str">
        <f t="shared" si="79"/>
        <v/>
      </c>
      <c r="L40" s="50" t="str">
        <f t="shared" si="79"/>
        <v/>
      </c>
      <c r="M40" s="50" t="str">
        <f t="shared" si="79"/>
        <v/>
      </c>
      <c r="N40" s="50" t="str">
        <f t="shared" si="79"/>
        <v/>
      </c>
      <c r="O40" s="49" t="str">
        <f>IFERROR(__xludf.DUMMYFUNCTION("IF(COUNTA(J40:N40)=0, """", ARRAYFORMULA(""- ""&amp;TEXTJOIN(char(10)&amp;""- "", TRUE, FILTER(J$1:N$1&amp;"": ""&amp;J40:N40, NOT(ISBLANK(J40:N40))))))"),"")</f>
        <v/>
      </c>
      <c r="P40" s="49" t="s">
        <v>419</v>
      </c>
      <c r="Q40" s="51" t="b">
        <v>0</v>
      </c>
    </row>
    <row r="41">
      <c r="A41" s="12" t="str">
        <f>IFERROR(__xludf.DUMMYFUNCTION("""COMPUTED_VALUE"""),"73176a7318b3e67122469c803ebf18a8")</f>
        <v>73176a7318b3e67122469c803ebf18a8</v>
      </c>
      <c r="B41" s="12" t="str">
        <f>IFERROR(__xludf.DUMMYFUNCTION("""COMPUTED_VALUE"""),"In 2014, Gangwon-do and Jeju-do's GDP per capita were lower than the national average as well as the average OECD rural region. Four out of five predominantly rural regions had faster GDP per capita growth than the national average in 2000-2014 (Figure 1."&amp;"9). The highest growth rate occurred in Chungcheongnam-do, where the GDP per capita grew by 6.2%.")</f>
        <v>In 2014, Gangwon-do and Jeju-do's GDP per capita were lower than the national average as well as the average OECD rural region. Four out of five predominantly rural regions had faster GDP per capita growth than the national average in 2000-2014 (Figure 1.9). The highest growth rate occurred in Chungcheongnam-do, where the GDP per capita grew by 6.2%.</v>
      </c>
      <c r="C41" s="7"/>
      <c r="D41" s="48" t="b">
        <f t="shared" ref="D41:H41" si="80">VLOOKUP($A41, INDIRECT(D$1&amp;"!A:C"), 3, FALSE)</f>
        <v>0</v>
      </c>
      <c r="E41" s="48" t="str">
        <f t="shared" si="80"/>
        <v>TO DO</v>
      </c>
      <c r="F41" s="48" t="str">
        <f t="shared" si="80"/>
        <v>TO DO</v>
      </c>
      <c r="G41" s="48" t="b">
        <f t="shared" si="80"/>
        <v>0</v>
      </c>
      <c r="H41" s="48" t="b">
        <f t="shared" si="80"/>
        <v>0</v>
      </c>
      <c r="I41" s="49">
        <f t="shared" si="4"/>
        <v>1</v>
      </c>
      <c r="J41" s="50" t="str">
        <f t="shared" ref="J41:N41" si="81">VLOOKUP($A41, INDIRECT(J$1&amp;"!A:D"), 4, FALSE)</f>
        <v/>
      </c>
      <c r="K41" s="50" t="str">
        <f t="shared" si="81"/>
        <v/>
      </c>
      <c r="L41" s="50" t="str">
        <f t="shared" si="81"/>
        <v/>
      </c>
      <c r="M41" s="50" t="str">
        <f t="shared" si="81"/>
        <v/>
      </c>
      <c r="N41" s="50" t="str">
        <f t="shared" si="81"/>
        <v/>
      </c>
      <c r="O41" s="49" t="str">
        <f>IFERROR(__xludf.DUMMYFUNCTION("IF(COUNTA(J41:N41)=0, """", ARRAYFORMULA(""- ""&amp;TEXTJOIN(char(10)&amp;""- "", TRUE, FILTER(J$1:N$1&amp;"": ""&amp;J41:N41, NOT(ISBLANK(J41:N41))))))"),"")</f>
        <v/>
      </c>
      <c r="P41" s="49" t="s">
        <v>419</v>
      </c>
      <c r="Q41" s="51" t="b">
        <v>0</v>
      </c>
    </row>
    <row r="42">
      <c r="A42" s="12" t="str">
        <f>IFERROR(__xludf.DUMMYFUNCTION("""COMPUTED_VALUE"""),"b0dbbb396e992f56f78486dbfd47521c")</f>
        <v>b0dbbb396e992f56f78486dbfd47521c</v>
      </c>
      <c r="B42" s="12" t="str">
        <f>IFERROR(__xludf.DUMMYFUNCTION("""COMPUTED_VALUE"""),"In Myanmar, however, the persistent weakness of the kyat has fuelled a rise in domestic prices, and in China, supply-side pressures have pushed food prices upwards. Thailand raised interest rates as a precautionary measure against risks in the real estate"&amp;" market, while China, India, Malaysia and the Philippines have eased monetary controls to a certain degree. Nevertheless, the overall balance-of-payments positions have remained in good stead.")</f>
        <v>In Myanmar, however, the persistent weakness of the kyat has fuelled a rise in domestic prices, and in China, supply-side pressures have pushed food prices upwards. Thailand raised interest rates as a precautionary measure against risks in the real estate market, while China, India, Malaysia and the Philippines have eased monetary controls to a certain degree. Nevertheless, the overall balance-of-payments positions have remained in good stead.</v>
      </c>
      <c r="C42" s="53"/>
      <c r="D42" s="48" t="b">
        <f t="shared" ref="D42:H42" si="82">VLOOKUP($A42, INDIRECT(D$1&amp;"!A:C"), 3, FALSE)</f>
        <v>0</v>
      </c>
      <c r="E42" s="48" t="str">
        <f t="shared" si="82"/>
        <v>TO DO</v>
      </c>
      <c r="F42" s="48" t="str">
        <f t="shared" si="82"/>
        <v>TO DO</v>
      </c>
      <c r="G42" s="48" t="b">
        <f t="shared" si="82"/>
        <v>0</v>
      </c>
      <c r="H42" s="48" t="b">
        <f t="shared" si="82"/>
        <v>0</v>
      </c>
      <c r="I42" s="49">
        <f t="shared" si="4"/>
        <v>1</v>
      </c>
      <c r="J42" s="50" t="str">
        <f t="shared" ref="J42:N42" si="83">VLOOKUP($A42, INDIRECT(J$1&amp;"!A:D"), 4, FALSE)</f>
        <v/>
      </c>
      <c r="K42" s="50" t="str">
        <f t="shared" si="83"/>
        <v/>
      </c>
      <c r="L42" s="50" t="str">
        <f t="shared" si="83"/>
        <v/>
      </c>
      <c r="M42" s="50" t="str">
        <f t="shared" si="83"/>
        <v/>
      </c>
      <c r="N42" s="50" t="str">
        <f t="shared" si="83"/>
        <v/>
      </c>
      <c r="O42" s="49" t="str">
        <f>IFERROR(__xludf.DUMMYFUNCTION("IF(COUNTA(J42:N42)=0, """", ARRAYFORMULA(""- ""&amp;TEXTJOIN(char(10)&amp;""- "", TRUE, FILTER(J$1:N$1&amp;"": ""&amp;J42:N42, NOT(ISBLANK(J42:N42))))))"),"")</f>
        <v/>
      </c>
      <c r="P42" s="49" t="s">
        <v>419</v>
      </c>
      <c r="Q42" s="51" t="b">
        <v>0</v>
      </c>
    </row>
    <row r="43" hidden="1">
      <c r="A43" s="12" t="str">
        <f>IFERROR(__xludf.DUMMYFUNCTION("""COMPUTED_VALUE"""),"feb9f138ce3a24abf7c20185de1e6761")</f>
        <v>feb9f138ce3a24abf7c20185de1e6761</v>
      </c>
      <c r="B43" s="12" t="str">
        <f>IFERROR(__xludf.DUMMYFUNCTION("""COMPUTED_VALUE"""),"The committee was set up when Region Vastra Gotaland was founded in 1999. It brings together politicians from the region and from the four associations of municipalities in the region (representing the 49 municipalities). The committee is directly linked "&amp;"to decision making in the Regional Executive Board.")</f>
        <v>The committee was set up when Region Vastra Gotaland was founded in 1999. It brings together politicians from the region and from the four associations of municipalities in the region (representing the 49 municipalities). The committee is directly linked to decision making in the Regional Executive Board.</v>
      </c>
      <c r="C43" s="53"/>
      <c r="D43" s="48" t="b">
        <f t="shared" ref="D43:H43" si="84">VLOOKUP($A43, INDIRECT(D$1&amp;"!A:C"), 3, FALSE)</f>
        <v>1</v>
      </c>
      <c r="E43" s="48" t="str">
        <f t="shared" si="84"/>
        <v>TO DO</v>
      </c>
      <c r="F43" s="48" t="str">
        <f t="shared" si="84"/>
        <v>TO DO</v>
      </c>
      <c r="G43" s="48" t="b">
        <f t="shared" si="84"/>
        <v>0</v>
      </c>
      <c r="H43" s="48" t="b">
        <f t="shared" si="84"/>
        <v>0</v>
      </c>
      <c r="I43" s="49">
        <f t="shared" si="4"/>
        <v>0.3333333333</v>
      </c>
      <c r="J43" s="50" t="str">
        <f t="shared" ref="J43:N43" si="85">VLOOKUP($A43, INDIRECT(J$1&amp;"!A:D"), 4, FALSE)</f>
        <v>interregional planning</v>
      </c>
      <c r="K43" s="50" t="str">
        <f t="shared" si="85"/>
        <v/>
      </c>
      <c r="L43" s="50" t="str">
        <f t="shared" si="85"/>
        <v/>
      </c>
      <c r="M43" s="50" t="str">
        <f t="shared" si="85"/>
        <v/>
      </c>
      <c r="N43" s="50" t="str">
        <f t="shared" si="85"/>
        <v>links very vaguely to 11.3</v>
      </c>
      <c r="O43" s="49" t="str">
        <f>IFERROR(__xludf.DUMMYFUNCTION("IF(COUNTA(J43:N43)=0, """", ARRAYFORMULA(""- ""&amp;TEXTJOIN(char(10)&amp;""- "", TRUE, FILTER(J$1:N$1&amp;"": ""&amp;J43:N43, NOT(ISBLANK(J43:N43))))))"),"- Finn: interregional planning
- Steve: links very vaguely to 11.3")</f>
        <v>- Finn: interregional planning
- Steve: links very vaguely to 11.3</v>
      </c>
      <c r="P43" s="49" t="s">
        <v>443</v>
      </c>
      <c r="Q43" s="51" t="s">
        <v>422</v>
      </c>
    </row>
    <row r="44">
      <c r="A44" s="12" t="str">
        <f>IFERROR(__xludf.DUMMYFUNCTION("""COMPUTED_VALUE"""),"0e0abbf7d56973b3369880cf465f4cea")</f>
        <v>0e0abbf7d56973b3369880cf465f4cea</v>
      </c>
      <c r="B44" s="12" t="str">
        <f>IFERROR(__xludf.DUMMYFUNCTION("""COMPUTED_VALUE"""),"Agricultural production for processed and formally marketed food is highly concentrated. A secure institutional framework is critical to keep transaction costs low, lower barriers to entry, and provide certainty on the ties between farmers and agri-busine"&amp;"sses (Sautier et al., Housing is a major source of wealth creation and savings, with investments accounting for 6 per cent of GDP, and for each house built, five jobs can be created (World Bank, 2015).")</f>
        <v>Agricultural production for processed and formally marketed food is highly concentrated. A secure institutional framework is critical to keep transaction costs low, lower barriers to entry, and provide certainty on the ties between farmers and agri-businesses (Sautier et al., Housing is a major source of wealth creation and savings, with investments accounting for 6 per cent of GDP, and for each house built, five jobs can be created (World Bank, 2015).</v>
      </c>
      <c r="C44" s="48"/>
      <c r="D44" s="48" t="b">
        <f t="shared" ref="D44:H44" si="86">VLOOKUP($A44, INDIRECT(D$1&amp;"!A:C"), 3, FALSE)</f>
        <v>0</v>
      </c>
      <c r="E44" s="48" t="str">
        <f t="shared" si="86"/>
        <v>TO DO</v>
      </c>
      <c r="F44" s="48" t="str">
        <f t="shared" si="86"/>
        <v>TO DO</v>
      </c>
      <c r="G44" s="48" t="b">
        <f t="shared" si="86"/>
        <v>0</v>
      </c>
      <c r="H44" s="48" t="b">
        <f t="shared" si="86"/>
        <v>0</v>
      </c>
      <c r="I44" s="49">
        <f t="shared" si="4"/>
        <v>1</v>
      </c>
      <c r="J44" s="50" t="str">
        <f t="shared" ref="J44:N44" si="87">VLOOKUP($A44, INDIRECT(J$1&amp;"!A:D"), 4, FALSE)</f>
        <v/>
      </c>
      <c r="K44" s="50" t="str">
        <f t="shared" si="87"/>
        <v/>
      </c>
      <c r="L44" s="50" t="str">
        <f t="shared" si="87"/>
        <v/>
      </c>
      <c r="M44" s="50" t="str">
        <f t="shared" si="87"/>
        <v/>
      </c>
      <c r="N44" s="50" t="str">
        <f t="shared" si="87"/>
        <v>on housing but not on access to safe, affordable housing</v>
      </c>
      <c r="O44" s="49" t="str">
        <f>IFERROR(__xludf.DUMMYFUNCTION("IF(COUNTA(J44:N44)=0, """", ARRAYFORMULA(""- ""&amp;TEXTJOIN(char(10)&amp;""- "", TRUE, FILTER(J$1:N$1&amp;"": ""&amp;J44:N44, NOT(ISBLANK(J44:N44))))))"),"- Steve: on housing but not on access to safe, affordable housing")</f>
        <v>- Steve: on housing but not on access to safe, affordable housing</v>
      </c>
      <c r="P44" s="49" t="s">
        <v>444</v>
      </c>
      <c r="Q44" s="51" t="b">
        <v>0</v>
      </c>
    </row>
    <row r="45" hidden="1">
      <c r="A45" s="12" t="str">
        <f>IFERROR(__xludf.DUMMYFUNCTION("""COMPUTED_VALUE"""),"45d33738d0763be0e2f7493b5cb282e5")</f>
        <v>45d33738d0763be0e2f7493b5cb282e5</v>
      </c>
      <c r="B45" s="12" t="str">
        <f>IFERROR(__xludf.DUMMYFUNCTION("""COMPUTED_VALUE"""),"While governments are the most important actors in metropolitan area governance, they are not the only ones. Therefore, the condition does not rale out that other actors, such as the business community or representatives of the civil society, be represent"&amp;"ed on the governance body. In some countries, organisations that were created explicitly for the purpose of metropolitan area governance have the status of a full local government.")</f>
        <v>While governments are the most important actors in metropolitan area governance, they are not the only ones. Therefore, the condition does not rale out that other actors, such as the business community or representatives of the civil society, be represented on the governance body. In some countries, organisations that were created explicitly for the purpose of metropolitan area governance have the status of a full local government.</v>
      </c>
      <c r="C45" s="54"/>
      <c r="D45" s="48" t="b">
        <f t="shared" ref="D45:H45" si="88">VLOOKUP($A45, INDIRECT(D$1&amp;"!A:C"), 3, FALSE)</f>
        <v>0</v>
      </c>
      <c r="E45" s="48" t="str">
        <f t="shared" si="88"/>
        <v>TO DO</v>
      </c>
      <c r="F45" s="48" t="str">
        <f t="shared" si="88"/>
        <v>TO DO</v>
      </c>
      <c r="G45" s="48" t="b">
        <f t="shared" si="88"/>
        <v>1</v>
      </c>
      <c r="H45" s="48" t="b">
        <f t="shared" si="88"/>
        <v>1</v>
      </c>
      <c r="I45" s="49">
        <f t="shared" si="4"/>
        <v>0.3333333333</v>
      </c>
      <c r="J45" s="50" t="str">
        <f t="shared" ref="J45:N45" si="89">VLOOKUP($A45, INDIRECT(J$1&amp;"!A:D"), 4, FALSE)</f>
        <v>SDG 16?</v>
      </c>
      <c r="K45" s="50" t="str">
        <f t="shared" si="89"/>
        <v/>
      </c>
      <c r="L45" s="50" t="str">
        <f t="shared" si="89"/>
        <v/>
      </c>
      <c r="M45" s="50" t="str">
        <f t="shared" si="89"/>
        <v/>
      </c>
      <c r="N45" s="50" t="str">
        <f t="shared" si="89"/>
        <v>11.3? Not a strong link though</v>
      </c>
      <c r="O45" s="49" t="str">
        <f>IFERROR(__xludf.DUMMYFUNCTION("IF(COUNTA(J45:N45)=0, """", ARRAYFORMULA(""- ""&amp;TEXTJOIN(char(10)&amp;""- "", TRUE, FILTER(J$1:N$1&amp;"": ""&amp;J45:N45, NOT(ISBLANK(J45:N45))))))"),"- Finn: SDG 16?
- Steve: 11.3? Not a strong link though")</f>
        <v>- Finn: SDG 16?
- Steve: 11.3? Not a strong link though</v>
      </c>
      <c r="P45" s="49" t="s">
        <v>445</v>
      </c>
      <c r="Q45" s="51" t="s">
        <v>422</v>
      </c>
    </row>
    <row r="46">
      <c r="A46" s="12" t="str">
        <f>IFERROR(__xludf.DUMMYFUNCTION("""COMPUTED_VALUE"""),"7fe1686f1fc070dcbdcd4f8f3281c56f")</f>
        <v>7fe1686f1fc070dcbdcd4f8f3281c56f</v>
      </c>
      <c r="B46" s="12" t="str">
        <f>IFERROR(__xludf.DUMMYFUNCTION("""COMPUTED_VALUE"""),"However, taking advantage of these new data sources needs investments in staff training and in systems for integrating geospatial, and earth observation data and ensuring interoperability. Advances in technology or technical human capabilities will only d"&amp;"eliver their potential as part of integrated systems that align the flow of information with the shifting needs and demands of users. There can also be measures at the regional level.")</f>
        <v>However, taking advantage of these new data sources needs investments in staff training and in systems for integrating geospatial, and earth observation data and ensuring interoperability. Advances in technology or technical human capabilities will only deliver their potential as part of integrated systems that align the flow of information with the shifting needs and demands of users. There can also be measures at the regional level.</v>
      </c>
      <c r="C46" s="53"/>
      <c r="D46" s="48" t="b">
        <f t="shared" ref="D46:H46" si="90">VLOOKUP($A46, INDIRECT(D$1&amp;"!A:C"), 3, FALSE)</f>
        <v>0</v>
      </c>
      <c r="E46" s="48" t="str">
        <f t="shared" si="90"/>
        <v>TO DO</v>
      </c>
      <c r="F46" s="48" t="str">
        <f t="shared" si="90"/>
        <v>TO DO</v>
      </c>
      <c r="G46" s="48" t="b">
        <f t="shared" si="90"/>
        <v>0</v>
      </c>
      <c r="H46" s="48" t="b">
        <f t="shared" si="90"/>
        <v>0</v>
      </c>
      <c r="I46" s="49">
        <f t="shared" si="4"/>
        <v>1</v>
      </c>
      <c r="J46" s="50" t="str">
        <f t="shared" ref="J46:N46" si="91">VLOOKUP($A46, INDIRECT(J$1&amp;"!A:D"), 4, FALSE)</f>
        <v/>
      </c>
      <c r="K46" s="50" t="str">
        <f t="shared" si="91"/>
        <v/>
      </c>
      <c r="L46" s="50" t="str">
        <f t="shared" si="91"/>
        <v/>
      </c>
      <c r="M46" s="50" t="str">
        <f t="shared" si="91"/>
        <v/>
      </c>
      <c r="N46" s="50" t="str">
        <f t="shared" si="91"/>
        <v/>
      </c>
      <c r="O46" s="49" t="str">
        <f>IFERROR(__xludf.DUMMYFUNCTION("IF(COUNTA(J46:N46)=0, """", ARRAYFORMULA(""- ""&amp;TEXTJOIN(char(10)&amp;""- "", TRUE, FILTER(J$1:N$1&amp;"": ""&amp;J46:N46, NOT(ISBLANK(J46:N46))))))"),"")</f>
        <v/>
      </c>
      <c r="P46" s="49" t="s">
        <v>419</v>
      </c>
      <c r="Q46" s="51" t="b">
        <v>0</v>
      </c>
    </row>
    <row r="47" hidden="1">
      <c r="A47" s="12" t="str">
        <f>IFERROR(__xludf.DUMMYFUNCTION("""COMPUTED_VALUE"""),"96e7781631a269b3f00c4bc5d8c3a8e0")</f>
        <v>96e7781631a269b3f00c4bc5d8c3a8e0</v>
      </c>
      <c r="B47" s="12" t="str">
        <f>IFERROR(__xludf.DUMMYFUNCTION("""COMPUTED_VALUE"""),"Figure 2.14 shows the locations of accidents in the selected hotspots for 2009-13. The map depicts about 1 000 individual accidents (black dots) with overlaps when several accidents occurred at the same location. Dark blue lines indicate expressway and li"&amp;"ght blue lines national highways in 2012. For example, local governments responsible for the area where the hotspots are located are typically less affluent than other local governments.")</f>
        <v>Figure 2.14 shows the locations of accidents in the selected hotspots for 2009-13. The map depicts about 1 000 individual accidents (black dots) with overlaps when several accidents occurred at the same location. Dark blue lines indicate expressway and light blue lines national highways in 2012. For example, local governments responsible for the area where the hotspots are located are typically less affluent than other local governments.</v>
      </c>
      <c r="C47" s="7"/>
      <c r="D47" s="48" t="b">
        <f t="shared" ref="D47:H47" si="92">VLOOKUP($A47, INDIRECT(D$1&amp;"!A:C"), 3, FALSE)</f>
        <v>0</v>
      </c>
      <c r="E47" s="48" t="str">
        <f t="shared" si="92"/>
        <v>TO DO</v>
      </c>
      <c r="F47" s="48" t="str">
        <f t="shared" si="92"/>
        <v>TO DO</v>
      </c>
      <c r="G47" s="48" t="b">
        <f t="shared" si="92"/>
        <v>1</v>
      </c>
      <c r="H47" s="48" t="b">
        <f t="shared" si="92"/>
        <v>0</v>
      </c>
      <c r="I47" s="49">
        <f t="shared" si="4"/>
        <v>0.3333333333</v>
      </c>
      <c r="J47" s="50" t="str">
        <f t="shared" ref="J47:N47" si="93">VLOOKUP($A47, INDIRECT(J$1&amp;"!A:D"), 4, FALSE)</f>
        <v/>
      </c>
      <c r="K47" s="50" t="str">
        <f t="shared" si="93"/>
        <v/>
      </c>
      <c r="L47" s="50" t="str">
        <f t="shared" si="93"/>
        <v/>
      </c>
      <c r="M47" s="50" t="str">
        <f t="shared" si="93"/>
        <v/>
      </c>
      <c r="N47" s="50" t="str">
        <f t="shared" si="93"/>
        <v>on SDG 3.6</v>
      </c>
      <c r="O47" s="49" t="str">
        <f>IFERROR(__xludf.DUMMYFUNCTION("IF(COUNTA(J47:N47)=0, """", ARRAYFORMULA(""- ""&amp;TEXTJOIN(char(10)&amp;""- "", TRUE, FILTER(J$1:N$1&amp;"": ""&amp;J47:N47, NOT(ISBLANK(J47:N47))))))"),"- Steve: on SDG 3.6")</f>
        <v>- Steve: on SDG 3.6</v>
      </c>
      <c r="P47" s="49" t="s">
        <v>446</v>
      </c>
      <c r="Q47" s="51" t="s">
        <v>422</v>
      </c>
    </row>
    <row r="48">
      <c r="A48" s="12" t="str">
        <f>IFERROR(__xludf.DUMMYFUNCTION("""COMPUTED_VALUE"""),"bc028535112c3488cac67fecc0be62b4")</f>
        <v>bc028535112c3488cac67fecc0be62b4</v>
      </c>
      <c r="B48" s="12" t="str">
        <f>IFERROR(__xludf.DUMMYFUNCTION("""COMPUTED_VALUE"""),"They provide help through medical examinations and counselling, emergency treatment in case of acute illness, referral to specialized physicians if necessary, care during pregnancy and delivery, and referral to services for social and legal counselling. A"&amp;"nonymity is assured to all beneficiaries, who often fear to seek help from an ordinary doctor's practice or hospital. Both health professionals and administrative staff work voluntarily, without any remuneration.")</f>
        <v>They provide help through medical examinations and counselling, emergency treatment in case of acute illness, referral to specialized physicians if necessary, care during pregnancy and delivery, and referral to services for social and legal counselling. Anonymity is assured to all beneficiaries, who often fear to seek help from an ordinary doctor's practice or hospital. Both health professionals and administrative staff work voluntarily, without any remuneration.</v>
      </c>
      <c r="C48" s="7"/>
      <c r="D48" s="48" t="b">
        <f t="shared" ref="D48:H48" si="94">VLOOKUP($A48, INDIRECT(D$1&amp;"!A:C"), 3, FALSE)</f>
        <v>0</v>
      </c>
      <c r="E48" s="48" t="str">
        <f t="shared" si="94"/>
        <v>TO DO</v>
      </c>
      <c r="F48" s="48" t="str">
        <f t="shared" si="94"/>
        <v>TO DO</v>
      </c>
      <c r="G48" s="48" t="b">
        <f t="shared" si="94"/>
        <v>0</v>
      </c>
      <c r="H48" s="48" t="b">
        <f t="shared" si="94"/>
        <v>0</v>
      </c>
      <c r="I48" s="49">
        <f t="shared" si="4"/>
        <v>1</v>
      </c>
      <c r="J48" s="50" t="str">
        <f t="shared" ref="J48:N48" si="95">VLOOKUP($A48, INDIRECT(J$1&amp;"!A:D"), 4, FALSE)</f>
        <v/>
      </c>
      <c r="K48" s="50" t="str">
        <f t="shared" si="95"/>
        <v/>
      </c>
      <c r="L48" s="50" t="str">
        <f t="shared" si="95"/>
        <v/>
      </c>
      <c r="M48" s="50" t="str">
        <f t="shared" si="95"/>
        <v/>
      </c>
      <c r="N48" s="50" t="str">
        <f t="shared" si="95"/>
        <v/>
      </c>
      <c r="O48" s="49" t="str">
        <f>IFERROR(__xludf.DUMMYFUNCTION("IF(COUNTA(J48:N48)=0, """", ARRAYFORMULA(""- ""&amp;TEXTJOIN(char(10)&amp;""- "", TRUE, FILTER(J$1:N$1&amp;"": ""&amp;J48:N48, NOT(ISBLANK(J48:N48))))))"),"")</f>
        <v/>
      </c>
      <c r="P48" s="49" t="s">
        <v>419</v>
      </c>
      <c r="Q48" s="51" t="b">
        <v>0</v>
      </c>
    </row>
    <row r="49" hidden="1">
      <c r="A49" s="12" t="str">
        <f>IFERROR(__xludf.DUMMYFUNCTION("""COMPUTED_VALUE"""),"c62b6b3b2896fb859c2933ef1a8cae31")</f>
        <v>c62b6b3b2896fb859c2933ef1a8cae31</v>
      </c>
      <c r="B49" s="12" t="str">
        <f>IFERROR(__xludf.DUMMYFUNCTION("""COMPUTED_VALUE"""),"Local Governance in Developing Countries, The World Bank, International Bank for Reconstruction and Development, pp. Financing Metropolitan Governments in Developing Countries, Lincoln Institute of Land Policy, Massachusetts, pp. Initial Assessment, OECD "&amp;"Development Pathways, OECD Publishing, Paris, http://dx.doi.org/10.1787/9789264246768-cn. Measuring Regional and Local Well-beingfor Policy Malang, OECD Publishing, Paris, http://dx.doi.org/10.1787/9789264217416-en.")</f>
        <v>Local Governance in Developing Countries, The World Bank, International Bank for Reconstruction and Development, pp. Financing Metropolitan Governments in Developing Countries, Lincoln Institute of Land Policy, Massachusetts, pp. Initial Assessment, OECD Development Pathways, OECD Publishing, Paris, http://dx.doi.org/10.1787/9789264246768-cn. Measuring Regional and Local Well-beingfor Policy Malang, OECD Publishing, Paris, http://dx.doi.org/10.1787/9789264217416-en.</v>
      </c>
      <c r="C49" s="7"/>
      <c r="D49" s="48" t="b">
        <f t="shared" ref="D49:H49" si="96">VLOOKUP($A49, INDIRECT(D$1&amp;"!A:C"), 3, FALSE)</f>
        <v>0</v>
      </c>
      <c r="E49" s="48" t="str">
        <f t="shared" si="96"/>
        <v>TO DO</v>
      </c>
      <c r="F49" s="48" t="str">
        <f t="shared" si="96"/>
        <v>TO DO</v>
      </c>
      <c r="G49" s="48" t="b">
        <f t="shared" si="96"/>
        <v>1</v>
      </c>
      <c r="H49" s="48" t="b">
        <f t="shared" si="96"/>
        <v>1</v>
      </c>
      <c r="I49" s="49">
        <f t="shared" si="4"/>
        <v>0.3333333333</v>
      </c>
      <c r="J49" s="50" t="str">
        <f t="shared" ref="J49:N49" si="97">VLOOKUP($A49, INDIRECT(J$1&amp;"!A:D"), 4, FALSE)</f>
        <v/>
      </c>
      <c r="K49" s="50" t="str">
        <f t="shared" si="97"/>
        <v/>
      </c>
      <c r="L49" s="50" t="str">
        <f t="shared" si="97"/>
        <v/>
      </c>
      <c r="M49" s="50" t="str">
        <f t="shared" si="97"/>
        <v/>
      </c>
      <c r="N49" s="50" t="str">
        <f t="shared" si="97"/>
        <v/>
      </c>
      <c r="O49" s="49" t="str">
        <f>IFERROR(__xludf.DUMMYFUNCTION("IF(COUNTA(J49:N49)=0, """", ARRAYFORMULA(""- ""&amp;TEXTJOIN(char(10)&amp;""- "", TRUE, FILTER(J$1:N$1&amp;"": ""&amp;J49:N49, NOT(ISBLANK(J49:N49))))))"),"")</f>
        <v/>
      </c>
      <c r="P49" s="49" t="s">
        <v>419</v>
      </c>
      <c r="Q49" s="51" t="s">
        <v>422</v>
      </c>
    </row>
    <row r="50">
      <c r="A50" s="12" t="str">
        <f>IFERROR(__xludf.DUMMYFUNCTION("""COMPUTED_VALUE"""),"f64d30a83b6ded6dca6c7b5b98df00f4")</f>
        <v>f64d30a83b6ded6dca6c7b5b98df00f4</v>
      </c>
      <c r="B50" s="12" t="str">
        <f>IFERROR(__xludf.DUMMYFUNCTION("""COMPUTED_VALUE"""),"Thanks to a massive scale-up in humanitarian assistance, famine was averted, but it remains a looming risk in the future. Large parts of the drought-affected rural areas in southern and central Somalia were controlled by al Shabaab and were inaccessible t"&amp;"o the government and most humanitarian organizations and international actors. To assess drought impacts under these circumstances and guarantee the personal security of staff, humanitarian actors relied on remote assessment methods that combined remote-s"&amp;"ensing technologies and social media analytics.")</f>
        <v>Thanks to a massive scale-up in humanitarian assistance, famine was averted, but it remains a looming risk in the future. Large parts of the drought-affected rural areas in southern and central Somalia were controlled by al Shabaab and were inaccessible to the government and most humanitarian organizations and international actors. To assess drought impacts under these circumstances and guarantee the personal security of staff, humanitarian actors relied on remote assessment methods that combined remote-sensing technologies and social media analytics.</v>
      </c>
      <c r="C50" s="53"/>
      <c r="D50" s="48" t="b">
        <f t="shared" ref="D50:H50" si="98">VLOOKUP($A50, INDIRECT(D$1&amp;"!A:C"), 3, FALSE)</f>
        <v>0</v>
      </c>
      <c r="E50" s="48" t="str">
        <f t="shared" si="98"/>
        <v>TO DO</v>
      </c>
      <c r="F50" s="48" t="str">
        <f t="shared" si="98"/>
        <v>TO DO</v>
      </c>
      <c r="G50" s="48" t="b">
        <f t="shared" si="98"/>
        <v>0</v>
      </c>
      <c r="H50" s="48" t="b">
        <f t="shared" si="98"/>
        <v>0</v>
      </c>
      <c r="I50" s="49">
        <f t="shared" si="4"/>
        <v>1</v>
      </c>
      <c r="J50" s="50" t="str">
        <f t="shared" ref="J50:N50" si="99">VLOOKUP($A50, INDIRECT(J$1&amp;"!A:D"), 4, FALSE)</f>
        <v/>
      </c>
      <c r="K50" s="50" t="str">
        <f t="shared" si="99"/>
        <v/>
      </c>
      <c r="L50" s="50" t="str">
        <f t="shared" si="99"/>
        <v/>
      </c>
      <c r="M50" s="50" t="str">
        <f t="shared" si="99"/>
        <v/>
      </c>
      <c r="N50" s="50" t="str">
        <f t="shared" si="99"/>
        <v/>
      </c>
      <c r="O50" s="49" t="str">
        <f>IFERROR(__xludf.DUMMYFUNCTION("IF(COUNTA(J50:N50)=0, """", ARRAYFORMULA(""- ""&amp;TEXTJOIN(char(10)&amp;""- "", TRUE, FILTER(J$1:N$1&amp;"": ""&amp;J50:N50, NOT(ISBLANK(J50:N50))))))"),"")</f>
        <v/>
      </c>
      <c r="P50" s="49" t="s">
        <v>419</v>
      </c>
      <c r="Q50" s="51" t="b">
        <v>0</v>
      </c>
    </row>
    <row r="51" hidden="1">
      <c r="A51" s="12" t="str">
        <f>IFERROR(__xludf.DUMMYFUNCTION("""COMPUTED_VALUE"""),"d4e5265d4553d8e42c46182669ddd9e2")</f>
        <v>d4e5265d4553d8e42c46182669ddd9e2</v>
      </c>
      <c r="B51" s="12" t="str">
        <f>IFERROR(__xludf.DUMMYFUNCTION("""COMPUTED_VALUE"""),"It is presently unclear how land use planning is going to evolve with all the changes implied by the wave of recent legislative changes (e.g. ALUR, MAPTAM and NOTRe). Intercommunal power is increasingly emphasised and the new regions (13 instead of 22) sh"&amp;"ould have more influence on planning. But, with the tradition of the commune’s monopoly in term of land use, regions are uncertain about their areas of competence. While the intent has been to make the process of planning more co-ordinated and to establis"&amp;"h clearer responsibilities at each level, in some cases the effect has been to destabilise existing relationships that were formed under the old rules and now have to be readjusted to reflect the new rules. This can occur in the middle of multi-year agree"&amp;"ments and can affect outcomes. In an assessment of the French system, Reimer et al.")</f>
        <v>It is presently unclear how land use planning is going to evolve with all the changes implied by the wave of recent legislative changes (e.g. ALUR, MAPTAM and NOTRe). Intercommunal power is increasingly emphasised and the new regions (13 instead of 22) should have more influence on planning. But, with the tradition of the commune’s monopoly in term of land use, regions are uncertain about their areas of competence. While the intent has been to make the process of planning more co-ordinated and to establish clearer responsibilities at each level, in some cases the effect has been to destabilise existing relationships that were formed under the old rules and now have to be readjusted to reflect the new rules. This can occur in the middle of multi-year agreements and can affect outcomes. In an assessment of the French system, Reimer et al.</v>
      </c>
      <c r="C51" s="48"/>
      <c r="D51" s="48" t="b">
        <f t="shared" ref="D51:H51" si="100">VLOOKUP($A51, INDIRECT(D$1&amp;"!A:C"), 3, FALSE)</f>
        <v>1</v>
      </c>
      <c r="E51" s="48" t="str">
        <f t="shared" si="100"/>
        <v>TO DO</v>
      </c>
      <c r="F51" s="48" t="str">
        <f t="shared" si="100"/>
        <v>TO DO</v>
      </c>
      <c r="G51" s="48" t="b">
        <f t="shared" si="100"/>
        <v>1</v>
      </c>
      <c r="H51" s="48" t="b">
        <f t="shared" si="100"/>
        <v>0</v>
      </c>
      <c r="I51" s="49">
        <f t="shared" si="4"/>
        <v>0.3333333333</v>
      </c>
      <c r="J51" s="50" t="str">
        <f t="shared" ref="J51:N51" si="101">VLOOKUP($A51, INDIRECT(J$1&amp;"!A:D"), 4, FALSE)</f>
        <v>interregional cooperation</v>
      </c>
      <c r="K51" s="50" t="str">
        <f t="shared" si="101"/>
        <v/>
      </c>
      <c r="L51" s="50" t="str">
        <f t="shared" si="101"/>
        <v/>
      </c>
      <c r="M51" s="50" t="str">
        <f t="shared" si="101"/>
        <v/>
      </c>
      <c r="N51" s="50" t="str">
        <f t="shared" si="101"/>
        <v/>
      </c>
      <c r="O51" s="49" t="str">
        <f>IFERROR(__xludf.DUMMYFUNCTION("IF(COUNTA(J51:N51)=0, """", ARRAYFORMULA(""- ""&amp;TEXTJOIN(char(10)&amp;""- "", TRUE, FILTER(J$1:N$1&amp;"": ""&amp;J51:N51, NOT(ISBLANK(J51:N51))))))"),"- Finn: interregional cooperation")</f>
        <v>- Finn: interregional cooperation</v>
      </c>
      <c r="P51" s="49" t="s">
        <v>447</v>
      </c>
      <c r="Q51" s="51" t="s">
        <v>422</v>
      </c>
    </row>
    <row r="52" hidden="1">
      <c r="A52" s="12" t="str">
        <f>IFERROR(__xludf.DUMMYFUNCTION("""COMPUTED_VALUE"""),"1738cb4612c166d8e83829d17a531093")</f>
        <v>1738cb4612c166d8e83829d17a531093</v>
      </c>
      <c r="B52" s="12" t="str">
        <f>IFERROR(__xludf.DUMMYFUNCTION("""COMPUTED_VALUE"""),"The first are relatively straightforward to measure, as they are the marginal labour and vehicle operating costs, measured through costs for fuel and vehicle maintenance. Costs associated to schedule delay and non-adherence are harder to grasp, and can be"&amp;" classified into three categories. These are especially harmful in the context of just in time delivery practises, flexible inventories and perishable goods.")</f>
        <v>The first are relatively straightforward to measure, as they are the marginal labour and vehicle operating costs, measured through costs for fuel and vehicle maintenance. Costs associated to schedule delay and non-adherence are harder to grasp, and can be classified into three categories. These are especially harmful in the context of just in time delivery practises, flexible inventories and perishable goods.</v>
      </c>
      <c r="C52" s="53"/>
      <c r="D52" s="48" t="b">
        <f t="shared" ref="D52:H52" si="102">VLOOKUP($A52, INDIRECT(D$1&amp;"!A:C"), 3, FALSE)</f>
        <v>0</v>
      </c>
      <c r="E52" s="48" t="str">
        <f t="shared" si="102"/>
        <v>TO DO</v>
      </c>
      <c r="F52" s="48" t="str">
        <f t="shared" si="102"/>
        <v>TO DO</v>
      </c>
      <c r="G52" s="48" t="b">
        <f t="shared" si="102"/>
        <v>1</v>
      </c>
      <c r="H52" s="48" t="b">
        <f t="shared" si="102"/>
        <v>0</v>
      </c>
      <c r="I52" s="49">
        <f t="shared" si="4"/>
        <v>0.3333333333</v>
      </c>
      <c r="J52" s="50" t="str">
        <f t="shared" ref="J52:N52" si="103">VLOOKUP($A52, INDIRECT(J$1&amp;"!A:D"), 4, FALSE)</f>
        <v/>
      </c>
      <c r="K52" s="50" t="str">
        <f t="shared" si="103"/>
        <v/>
      </c>
      <c r="L52" s="50" t="str">
        <f t="shared" si="103"/>
        <v/>
      </c>
      <c r="M52" s="50" t="str">
        <f t="shared" si="103"/>
        <v/>
      </c>
      <c r="N52" s="50" t="str">
        <f t="shared" si="103"/>
        <v/>
      </c>
      <c r="O52" s="49" t="str">
        <f>IFERROR(__xludf.DUMMYFUNCTION("IF(COUNTA(J52:N52)=0, """", ARRAYFORMULA(""- ""&amp;TEXTJOIN(char(10)&amp;""- "", TRUE, FILTER(J$1:N$1&amp;"": ""&amp;J52:N52, NOT(ISBLANK(J52:N52))))))"),"")</f>
        <v/>
      </c>
      <c r="P52" s="49" t="s">
        <v>419</v>
      </c>
      <c r="Q52" s="51" t="s">
        <v>422</v>
      </c>
    </row>
    <row r="53">
      <c r="A53" s="12" t="str">
        <f>IFERROR(__xludf.DUMMYFUNCTION("""COMPUTED_VALUE"""),"5673d17b89346c0ed6615f7bb28051ac")</f>
        <v>5673d17b89346c0ed6615f7bb28051ac</v>
      </c>
      <c r="B53" s="12" t="str">
        <f>IFERROR(__xludf.DUMMYFUNCTION("""COMPUTED_VALUE"""),"Nonetheless, export data by commodity and partner country yield some notable findings. As can be gleaned from Figure 1.12, exports of certain goods to China from Thailand and Viet Nam exhibit somewhat comparable trends over the year through April-May 2019"&amp;". Commodity nomenclatures are not necessarily the same across countries.")</f>
        <v>Nonetheless, export data by commodity and partner country yield some notable findings. As can be gleaned from Figure 1.12, exports of certain goods to China from Thailand and Viet Nam exhibit somewhat comparable trends over the year through April-May 2019. Commodity nomenclatures are not necessarily the same across countries.</v>
      </c>
      <c r="C53" s="7"/>
      <c r="D53" s="48" t="b">
        <f t="shared" ref="D53:H53" si="104">VLOOKUP($A53, INDIRECT(D$1&amp;"!A:C"), 3, FALSE)</f>
        <v>0</v>
      </c>
      <c r="E53" s="48" t="str">
        <f t="shared" si="104"/>
        <v>TO DO</v>
      </c>
      <c r="F53" s="48" t="str">
        <f t="shared" si="104"/>
        <v>TO DO</v>
      </c>
      <c r="G53" s="48" t="b">
        <f t="shared" si="104"/>
        <v>0</v>
      </c>
      <c r="H53" s="48" t="b">
        <f t="shared" si="104"/>
        <v>0</v>
      </c>
      <c r="I53" s="49">
        <f t="shared" si="4"/>
        <v>1</v>
      </c>
      <c r="J53" s="50" t="str">
        <f t="shared" ref="J53:N53" si="105">VLOOKUP($A53, INDIRECT(J$1&amp;"!A:D"), 4, FALSE)</f>
        <v/>
      </c>
      <c r="K53" s="50" t="str">
        <f t="shared" si="105"/>
        <v/>
      </c>
      <c r="L53" s="50" t="str">
        <f t="shared" si="105"/>
        <v/>
      </c>
      <c r="M53" s="50" t="str">
        <f t="shared" si="105"/>
        <v/>
      </c>
      <c r="N53" s="50" t="str">
        <f t="shared" si="105"/>
        <v/>
      </c>
      <c r="O53" s="49" t="str">
        <f>IFERROR(__xludf.DUMMYFUNCTION("IF(COUNTA(J53:N53)=0, """", ARRAYFORMULA(""- ""&amp;TEXTJOIN(char(10)&amp;""- "", TRUE, FILTER(J$1:N$1&amp;"": ""&amp;J53:N53, NOT(ISBLANK(J53:N53))))))"),"")</f>
        <v/>
      </c>
      <c r="P53" s="49" t="s">
        <v>419</v>
      </c>
      <c r="Q53" s="51" t="b">
        <v>0</v>
      </c>
    </row>
    <row r="54">
      <c r="A54" s="12" t="str">
        <f>IFERROR(__xludf.DUMMYFUNCTION("""COMPUTED_VALUE"""),"61a14c8aa329e76d6d83c70bec9bd87a")</f>
        <v>61a14c8aa329e76d6d83c70bec9bd87a</v>
      </c>
      <c r="B54" s="12" t="str">
        <f>IFERROR(__xludf.DUMMYFUNCTION("""COMPUTED_VALUE"""),"Thus, direct hierarchical involvement in investment projects is not how vertical co-ordination issues are typically dealt with in Sweden. Instead, the different levels of government together with central government agencies and all other relevant actors e"&amp;"ngage in continuous dialogue. The OECD Review recommended that it could be fruitful to better link dialogue with the evidence obtained from the indicator system and case-specific impact evaluations, as a means to make a stronger case for co-financing arra"&amp;"ngements.")</f>
        <v>Thus, direct hierarchical involvement in investment projects is not how vertical co-ordination issues are typically dealt with in Sweden. Instead, the different levels of government together with central government agencies and all other relevant actors engage in continuous dialogue. The OECD Review recommended that it could be fruitful to better link dialogue with the evidence obtained from the indicator system and case-specific impact evaluations, as a means to make a stronger case for co-financing arrangements.</v>
      </c>
      <c r="C54" s="53"/>
      <c r="D54" s="48" t="b">
        <f t="shared" ref="D54:H54" si="106">VLOOKUP($A54, INDIRECT(D$1&amp;"!A:C"), 3, FALSE)</f>
        <v>0</v>
      </c>
      <c r="E54" s="48" t="str">
        <f t="shared" si="106"/>
        <v>TO DO</v>
      </c>
      <c r="F54" s="48" t="str">
        <f t="shared" si="106"/>
        <v>TO DO</v>
      </c>
      <c r="G54" s="48" t="b">
        <f t="shared" si="106"/>
        <v>0</v>
      </c>
      <c r="H54" s="48" t="b">
        <f t="shared" si="106"/>
        <v>0</v>
      </c>
      <c r="I54" s="49">
        <f t="shared" si="4"/>
        <v>1</v>
      </c>
      <c r="J54" s="50" t="str">
        <f t="shared" ref="J54:N54" si="107">VLOOKUP($A54, INDIRECT(J$1&amp;"!A:D"), 4, FALSE)</f>
        <v/>
      </c>
      <c r="K54" s="50" t="str">
        <f t="shared" si="107"/>
        <v/>
      </c>
      <c r="L54" s="50" t="str">
        <f t="shared" si="107"/>
        <v/>
      </c>
      <c r="M54" s="50" t="str">
        <f t="shared" si="107"/>
        <v/>
      </c>
      <c r="N54" s="50" t="str">
        <f t="shared" si="107"/>
        <v/>
      </c>
      <c r="O54" s="49" t="str">
        <f>IFERROR(__xludf.DUMMYFUNCTION("IF(COUNTA(J54:N54)=0, """", ARRAYFORMULA(""- ""&amp;TEXTJOIN(char(10)&amp;""- "", TRUE, FILTER(J$1:N$1&amp;"": ""&amp;J54:N54, NOT(ISBLANK(J54:N54))))))"),"")</f>
        <v/>
      </c>
      <c r="P54" s="49" t="s">
        <v>419</v>
      </c>
      <c r="Q54" s="51" t="b">
        <v>0</v>
      </c>
    </row>
    <row r="55">
      <c r="A55" s="12" t="str">
        <f>IFERROR(__xludf.DUMMYFUNCTION("""COMPUTED_VALUE"""),"8a092779223b85e018851a4d632a9610")</f>
        <v>8a092779223b85e018851a4d632a9610</v>
      </c>
      <c r="B55" s="12" t="str">
        <f>IFERROR(__xludf.DUMMYFUNCTION("""COMPUTED_VALUE"""),"The stock of public debt rose from just below 70% of GDP at end-2010 to 108% by end-2015. Consequently, interest payments on public sector debt increased to absorb 40% of government revenues in 2015, up from 25% in 2013. The outlook for 2016 is clouded by"&amp;" policy slippages related to financing another large programmed deficit of 9.3% of GDP. Associated with the fiscal deficit, Gambia experienced a significant balance of payments crisis, which led to a decrease in its official reserves from six months of im"&amp;"port cover at end-2012 to less than three months in early 2016.")</f>
        <v>The stock of public debt rose from just below 70% of GDP at end-2010 to 108% by end-2015. Consequently, interest payments on public sector debt increased to absorb 40% of government revenues in 2015, up from 25% in 2013. The outlook for 2016 is clouded by policy slippages related to financing another large programmed deficit of 9.3% of GDP. Associated with the fiscal deficit, Gambia experienced a significant balance of payments crisis, which led to a decrease in its official reserves from six months of import cover at end-2012 to less than three months in early 2016.</v>
      </c>
      <c r="C55" s="53"/>
      <c r="D55" s="48" t="b">
        <f t="shared" ref="D55:H55" si="108">VLOOKUP($A55, INDIRECT(D$1&amp;"!A:C"), 3, FALSE)</f>
        <v>0</v>
      </c>
      <c r="E55" s="48" t="str">
        <f t="shared" si="108"/>
        <v>TO DO</v>
      </c>
      <c r="F55" s="48" t="str">
        <f t="shared" si="108"/>
        <v>TO DO</v>
      </c>
      <c r="G55" s="48" t="b">
        <f t="shared" si="108"/>
        <v>0</v>
      </c>
      <c r="H55" s="48" t="b">
        <f t="shared" si="108"/>
        <v>0</v>
      </c>
      <c r="I55" s="49">
        <f t="shared" si="4"/>
        <v>1</v>
      </c>
      <c r="J55" s="50" t="str">
        <f t="shared" ref="J55:N55" si="109">VLOOKUP($A55, INDIRECT(J$1&amp;"!A:D"), 4, FALSE)</f>
        <v/>
      </c>
      <c r="K55" s="50" t="str">
        <f t="shared" si="109"/>
        <v/>
      </c>
      <c r="L55" s="50" t="str">
        <f t="shared" si="109"/>
        <v/>
      </c>
      <c r="M55" s="50" t="str">
        <f t="shared" si="109"/>
        <v/>
      </c>
      <c r="N55" s="50" t="str">
        <f t="shared" si="109"/>
        <v/>
      </c>
      <c r="O55" s="49" t="str">
        <f>IFERROR(__xludf.DUMMYFUNCTION("IF(COUNTA(J55:N55)=0, """", ARRAYFORMULA(""- ""&amp;TEXTJOIN(char(10)&amp;""- "", TRUE, FILTER(J$1:N$1&amp;"": ""&amp;J55:N55, NOT(ISBLANK(J55:N55))))))"),"")</f>
        <v/>
      </c>
      <c r="P55" s="49" t="s">
        <v>419</v>
      </c>
      <c r="Q55" s="51" t="b">
        <v>0</v>
      </c>
    </row>
    <row r="56">
      <c r="A56" s="12" t="str">
        <f>IFERROR(__xludf.DUMMYFUNCTION("""COMPUTED_VALUE"""),"d3ff00663df26d3678ca443015f5b23f")</f>
        <v>d3ff00663df26d3678ca443015f5b23f</v>
      </c>
      <c r="B56" s="12" t="str">
        <f>IFERROR(__xludf.DUMMYFUNCTION("""COMPUTED_VALUE"""),"There are opportunities to further raise ow n revenue, in particular tariffs and user charges. Attracting private investment should also be emphasised: FDI inflows have been lower in the Philippines than in other countries of the Southeast Asian region, i"&amp;"n particular because of the strong restrictiveness imposed by the central government. Opportunities also lie in Public-Private Partnerships (PPP) which are currently encouraged at the subnational level through the PPP Centre of NEDA, however, the impact o"&amp;"f such initiative is not yet visible in Cebu.")</f>
        <v>There are opportunities to further raise ow n revenue, in particular tariffs and user charges. Attracting private investment should also be emphasised: FDI inflows have been lower in the Philippines than in other countries of the Southeast Asian region, in particular because of the strong restrictiveness imposed by the central government. Opportunities also lie in Public-Private Partnerships (PPP) which are currently encouraged at the subnational level through the PPP Centre of NEDA, however, the impact of such initiative is not yet visible in Cebu.</v>
      </c>
      <c r="C56" s="48"/>
      <c r="D56" s="48" t="b">
        <f t="shared" ref="D56:H56" si="110">VLOOKUP($A56, INDIRECT(D$1&amp;"!A:C"), 3, FALSE)</f>
        <v>0</v>
      </c>
      <c r="E56" s="48" t="str">
        <f t="shared" si="110"/>
        <v>TO DO</v>
      </c>
      <c r="F56" s="48" t="str">
        <f t="shared" si="110"/>
        <v>TO DO</v>
      </c>
      <c r="G56" s="48" t="b">
        <f t="shared" si="110"/>
        <v>0</v>
      </c>
      <c r="H56" s="48" t="b">
        <f t="shared" si="110"/>
        <v>0</v>
      </c>
      <c r="I56" s="49">
        <f t="shared" si="4"/>
        <v>1</v>
      </c>
      <c r="J56" s="50" t="str">
        <f t="shared" ref="J56:N56" si="111">VLOOKUP($A56, INDIRECT(J$1&amp;"!A:D"), 4, FALSE)</f>
        <v/>
      </c>
      <c r="K56" s="50" t="str">
        <f t="shared" si="111"/>
        <v/>
      </c>
      <c r="L56" s="50" t="str">
        <f t="shared" si="111"/>
        <v/>
      </c>
      <c r="M56" s="50" t="str">
        <f t="shared" si="111"/>
        <v/>
      </c>
      <c r="N56" s="50" t="str">
        <f t="shared" si="111"/>
        <v/>
      </c>
      <c r="O56" s="49" t="str">
        <f>IFERROR(__xludf.DUMMYFUNCTION("IF(COUNTA(J56:N56)=0, """", ARRAYFORMULA(""- ""&amp;TEXTJOIN(char(10)&amp;""- "", TRUE, FILTER(J$1:N$1&amp;"": ""&amp;J56:N56, NOT(ISBLANK(J56:N56))))))"),"")</f>
        <v/>
      </c>
      <c r="P56" s="49" t="s">
        <v>419</v>
      </c>
      <c r="Q56" s="51" t="b">
        <v>0</v>
      </c>
    </row>
    <row r="57">
      <c r="A57" s="12" t="str">
        <f>IFERROR(__xludf.DUMMYFUNCTION("""COMPUTED_VALUE"""),"e57ea5958114334ee198bfe3a399f1d7")</f>
        <v>e57ea5958114334ee198bfe3a399f1d7</v>
      </c>
      <c r="B57" s="12" t="str">
        <f>IFERROR(__xludf.DUMMYFUNCTION("""COMPUTED_VALUE"""),"Some OECD governments go further, seeking to direct growth to particular regions (e.g. outside a capital city) or to particular areas within a city (e.g. inner-city development). Korea, for instance, has attempted to address regional disparities by direct"&amp;"ing growth to less-developed regions and alleviating agglomeration pressures on major population and industrial centres. While most often implemented by lower levels of government, these tools often require legitimation through national legislation, and m"&amp;"ay be motivated by national strategies for sustainable urban development. They can include the public acquisition of land, regulation (e.g. zoning provisions, development moratoria, urban growth boundaries, green belts) and fiscal policies (e.g. developme"&amp;"nt impact fees, infill or redevelopment incentives).")</f>
        <v>Some OECD governments go further, seeking to direct growth to particular regions (e.g. outside a capital city) or to particular areas within a city (e.g. inner-city development). Korea, for instance, has attempted to address regional disparities by directing growth to less-developed regions and alleviating agglomeration pressures on major population and industrial centres. While most often implemented by lower levels of government, these tools often require legitimation through national legislation, and may be motivated by national strategies for sustainable urban development. They can include the public acquisition of land, regulation (e.g. zoning provisions, development moratoria, urban growth boundaries, green belts) and fiscal policies (e.g. development impact fees, infill or redevelopment incentives).</v>
      </c>
      <c r="C57" s="48"/>
      <c r="D57" s="48" t="b">
        <f t="shared" ref="D57:H57" si="112">VLOOKUP($A57, INDIRECT(D$1&amp;"!A:C"), 3, FALSE)</f>
        <v>1</v>
      </c>
      <c r="E57" s="48" t="str">
        <f t="shared" si="112"/>
        <v>TO DO</v>
      </c>
      <c r="F57" s="48" t="str">
        <f t="shared" si="112"/>
        <v>TO DO</v>
      </c>
      <c r="G57" s="48" t="b">
        <f t="shared" si="112"/>
        <v>1</v>
      </c>
      <c r="H57" s="48" t="b">
        <f t="shared" si="112"/>
        <v>1</v>
      </c>
      <c r="I57" s="49">
        <f t="shared" si="4"/>
        <v>1</v>
      </c>
      <c r="J57" s="50" t="str">
        <f t="shared" ref="J57:N57" si="113">VLOOKUP($A57, INDIRECT(J$1&amp;"!A:D"), 4, FALSE)</f>
        <v>reducing pressure on cities</v>
      </c>
      <c r="K57" s="50" t="str">
        <f t="shared" si="113"/>
        <v/>
      </c>
      <c r="L57" s="50" t="str">
        <f t="shared" si="113"/>
        <v/>
      </c>
      <c r="M57" s="50" t="str">
        <f t="shared" si="113"/>
        <v/>
      </c>
      <c r="N57" s="50" t="str">
        <f t="shared" si="113"/>
        <v/>
      </c>
      <c r="O57" s="49" t="str">
        <f>IFERROR(__xludf.DUMMYFUNCTION("IF(COUNTA(J57:N57)=0, """", ARRAYFORMULA(""- ""&amp;TEXTJOIN(char(10)&amp;""- "", TRUE, FILTER(J$1:N$1&amp;"": ""&amp;J57:N57, NOT(ISBLANK(J57:N57))))))"),"- Finn: reducing pressure on cities")</f>
        <v>- Finn: reducing pressure on cities</v>
      </c>
      <c r="P57" s="49" t="s">
        <v>448</v>
      </c>
      <c r="Q57" s="51" t="b">
        <v>1</v>
      </c>
    </row>
    <row r="58">
      <c r="A58" s="12" t="str">
        <f>IFERROR(__xludf.DUMMYFUNCTION("""COMPUTED_VALUE"""),"88334f0d691f35cf7f7223c6d73f30b9")</f>
        <v>88334f0d691f35cf7f7223c6d73f30b9</v>
      </c>
      <c r="B58" s="12" t="str">
        <f>IFERROR(__xludf.DUMMYFUNCTION("""COMPUTED_VALUE"""),"Public-Private Partnerships (PPPs) play a role in creating smart, sustainable and resilient cities and overcoming financing constraints. However, it is important that such partnerships are designed in way that they are not a source of risk to public finan"&amp;"ces and that affordability and inclusiveness considerations are duly taken into account. While the value for money concept remains important, with the adoption of the 2030 Agenda, the challenge is to implement PPPs according to a broader set of holistic c"&amp;"riteria and undertake projects that from inception to termination create 'value for people'. The action plan for implementation of a National Disaster Risk Management Programme for period 2017-2020 was adopted by the Government in March 2017. The plan was"&amp;" coordinated by the Public Investment Management Office -with participation of all line ministries, special organizations, local self-governments, non-governmental organizations, and other stakeholders in the countiy. Along with the action plan, a Disaste"&amp;"r Risk Financing Programme has also been adopted.")</f>
        <v>Public-Private Partnerships (PPPs) play a role in creating smart, sustainable and resilient cities and overcoming financing constraints. However, it is important that such partnerships are designed in way that they are not a source of risk to public finances and that affordability and inclusiveness considerations are duly taken into account. While the value for money concept remains important, with the adoption of the 2030 Agenda, the challenge is to implement PPPs according to a broader set of holistic criteria and undertake projects that from inception to termination create 'value for people'. The action plan for implementation of a National Disaster Risk Management Programme for period 2017-2020 was adopted by the Government in March 2017. The plan was coordinated by the Public Investment Management Office -with participation of all line ministries, special organizations, local self-governments, non-governmental organizations, and other stakeholders in the countiy. Along with the action plan, a Disaster Risk Financing Programme has also been adopted.</v>
      </c>
      <c r="C58" s="7"/>
      <c r="D58" s="48" t="b">
        <f t="shared" ref="D58:H58" si="114">VLOOKUP($A58, INDIRECT(D$1&amp;"!A:C"), 3, FALSE)</f>
        <v>1</v>
      </c>
      <c r="E58" s="48" t="str">
        <f t="shared" si="114"/>
        <v>TO DO</v>
      </c>
      <c r="F58" s="48" t="str">
        <f t="shared" si="114"/>
        <v>TO DO</v>
      </c>
      <c r="G58" s="48" t="b">
        <f t="shared" si="114"/>
        <v>1</v>
      </c>
      <c r="H58" s="48" t="b">
        <f t="shared" si="114"/>
        <v>1</v>
      </c>
      <c r="I58" s="49">
        <f t="shared" si="4"/>
        <v>1</v>
      </c>
      <c r="J58" s="50" t="str">
        <f t="shared" ref="J58:N58" si="115">VLOOKUP($A58, INDIRECT(J$1&amp;"!A:D"), 4, FALSE)</f>
        <v/>
      </c>
      <c r="K58" s="50" t="str">
        <f t="shared" si="115"/>
        <v/>
      </c>
      <c r="L58" s="50" t="str">
        <f t="shared" si="115"/>
        <v/>
      </c>
      <c r="M58" s="50" t="str">
        <f t="shared" si="115"/>
        <v/>
      </c>
      <c r="N58" s="50" t="str">
        <f t="shared" si="115"/>
        <v/>
      </c>
      <c r="O58" s="49" t="str">
        <f>IFERROR(__xludf.DUMMYFUNCTION("IF(COUNTA(J58:N58)=0, """", ARRAYFORMULA(""- ""&amp;TEXTJOIN(char(10)&amp;""- "", TRUE, FILTER(J$1:N$1&amp;"": ""&amp;J58:N58, NOT(ISBLANK(J58:N58))))))"),"")</f>
        <v/>
      </c>
      <c r="P58" s="49" t="s">
        <v>419</v>
      </c>
      <c r="Q58" s="51" t="b">
        <v>1</v>
      </c>
    </row>
    <row r="59">
      <c r="A59" s="12" t="str">
        <f>IFERROR(__xludf.DUMMYFUNCTION("""COMPUTED_VALUE"""),"d3af8ed2f7be1db16fabd94d612886e4")</f>
        <v>d3af8ed2f7be1db16fabd94d612886e4</v>
      </c>
      <c r="B59" s="12" t="str">
        <f>IFERROR(__xludf.DUMMYFUNCTION("""COMPUTED_VALUE"""),"In this period, the absolute number of people living in Africa’s slums increased by 14.8 million to about 212 million people (figure 3.5). The proliferation of slums in African cities is the most significant manifestation of rapid and unplanned urbanizati"&amp;"on outpacing demand for services. Living conditions in the urban slums and informal settlements are particularly dire.")</f>
        <v>In this period, the absolute number of people living in Africa’s slums increased by 14.8 million to about 212 million people (figure 3.5). The proliferation of slums in African cities is the most significant manifestation of rapid and unplanned urbanization outpacing demand for services. Living conditions in the urban slums and informal settlements are particularly dire.</v>
      </c>
      <c r="C59" s="53"/>
      <c r="D59" s="48" t="b">
        <f t="shared" ref="D59:H59" si="116">VLOOKUP($A59, INDIRECT(D$1&amp;"!A:C"), 3, FALSE)</f>
        <v>1</v>
      </c>
      <c r="E59" s="48" t="str">
        <f t="shared" si="116"/>
        <v>TO DO</v>
      </c>
      <c r="F59" s="48" t="str">
        <f t="shared" si="116"/>
        <v>TO DO</v>
      </c>
      <c r="G59" s="48" t="b">
        <f t="shared" si="116"/>
        <v>1</v>
      </c>
      <c r="H59" s="48" t="b">
        <f t="shared" si="116"/>
        <v>1</v>
      </c>
      <c r="I59" s="49">
        <f t="shared" si="4"/>
        <v>1</v>
      </c>
      <c r="J59" s="50" t="str">
        <f t="shared" ref="J59:N59" si="117">VLOOKUP($A59, INDIRECT(J$1&amp;"!A:D"), 4, FALSE)</f>
        <v/>
      </c>
      <c r="K59" s="50" t="str">
        <f t="shared" si="117"/>
        <v/>
      </c>
      <c r="L59" s="50" t="str">
        <f t="shared" si="117"/>
        <v/>
      </c>
      <c r="M59" s="50" t="str">
        <f t="shared" si="117"/>
        <v/>
      </c>
      <c r="N59" s="50" t="str">
        <f t="shared" si="117"/>
        <v/>
      </c>
      <c r="O59" s="49" t="str">
        <f>IFERROR(__xludf.DUMMYFUNCTION("IF(COUNTA(J59:N59)=0, """", ARRAYFORMULA(""- ""&amp;TEXTJOIN(char(10)&amp;""- "", TRUE, FILTER(J$1:N$1&amp;"": ""&amp;J59:N59, NOT(ISBLANK(J59:N59))))))"),"")</f>
        <v/>
      </c>
      <c r="P59" s="49" t="s">
        <v>419</v>
      </c>
      <c r="Q59" s="51" t="b">
        <v>1</v>
      </c>
    </row>
    <row r="60">
      <c r="A60" s="12" t="str">
        <f>IFERROR(__xludf.DUMMYFUNCTION("""COMPUTED_VALUE"""),"64d168a672a7dd971a56568b8d272eda")</f>
        <v>64d168a672a7dd971a56568b8d272eda</v>
      </c>
      <c r="B60" s="12" t="str">
        <f>IFERROR(__xludf.DUMMYFUNCTION("""COMPUTED_VALUE"""),"However, developing policy measures will be necessary to ensure that inclusive development is being pursued. Since NAFTA, the state of Morelos lost its absolute advantage of proximity to major markets and is now struggling to keep its position. The case s"&amp;"tudy of Nissan is detailed below for illustrating the complexity and implications of accessibility and connectivity policies in relation to Morelos and regional economic growth. Together with other auto plants established in the state of Mexico and Puebla"&amp;", the Nissan plant was built in the Cl VAC industrial park and operated from there until the 1980s with a relatively high degree of national integration in the supply of inputs.")</f>
        <v>However, developing policy measures will be necessary to ensure that inclusive development is being pursued. Since NAFTA, the state of Morelos lost its absolute advantage of proximity to major markets and is now struggling to keep its position. The case study of Nissan is detailed below for illustrating the complexity and implications of accessibility and connectivity policies in relation to Morelos and regional economic growth. Together with other auto plants established in the state of Mexico and Puebla, the Nissan plant was built in the Cl VAC industrial park and operated from there until the 1980s with a relatively high degree of national integration in the supply of inputs.</v>
      </c>
      <c r="C60" s="7"/>
      <c r="D60" s="48" t="b">
        <f t="shared" ref="D60:H60" si="118">VLOOKUP($A60, INDIRECT(D$1&amp;"!A:C"), 3, FALSE)</f>
        <v>0</v>
      </c>
      <c r="E60" s="48" t="str">
        <f t="shared" si="118"/>
        <v>TO DO</v>
      </c>
      <c r="F60" s="48" t="str">
        <f t="shared" si="118"/>
        <v>TO DO</v>
      </c>
      <c r="G60" s="48" t="b">
        <f t="shared" si="118"/>
        <v>0</v>
      </c>
      <c r="H60" s="48" t="b">
        <f t="shared" si="118"/>
        <v>0</v>
      </c>
      <c r="I60" s="49">
        <f t="shared" si="4"/>
        <v>1</v>
      </c>
      <c r="J60" s="50" t="str">
        <f t="shared" ref="J60:N60" si="119">VLOOKUP($A60, INDIRECT(J$1&amp;"!A:D"), 4, FALSE)</f>
        <v/>
      </c>
      <c r="K60" s="50" t="str">
        <f t="shared" si="119"/>
        <v/>
      </c>
      <c r="L60" s="50" t="str">
        <f t="shared" si="119"/>
        <v/>
      </c>
      <c r="M60" s="50" t="str">
        <f t="shared" si="119"/>
        <v/>
      </c>
      <c r="N60" s="50" t="str">
        <f t="shared" si="119"/>
        <v/>
      </c>
      <c r="O60" s="49" t="str">
        <f>IFERROR(__xludf.DUMMYFUNCTION("IF(COUNTA(J60:N60)=0, """", ARRAYFORMULA(""- ""&amp;TEXTJOIN(char(10)&amp;""- "", TRUE, FILTER(J$1:N$1&amp;"": ""&amp;J60:N60, NOT(ISBLANK(J60:N60))))))"),"")</f>
        <v/>
      </c>
      <c r="P60" s="49" t="s">
        <v>419</v>
      </c>
      <c r="Q60" s="51" t="b">
        <v>0</v>
      </c>
    </row>
    <row r="61">
      <c r="A61" s="12" t="str">
        <f>IFERROR(__xludf.DUMMYFUNCTION("""COMPUTED_VALUE"""),"96a638e4d229137e4e992e53e350cfb3")</f>
        <v>96a638e4d229137e4e992e53e350cfb3</v>
      </c>
      <c r="B61" s="12" t="str">
        <f>IFERROR(__xludf.DUMMYFUNCTION("""COMPUTED_VALUE"""),"All the Sendai Framework's targets are critical for the achievement of the SDGs, whose progress in turn is key to building and strengthening resilience against disasters. Local leaders showed strong leadership and commitment under the Global Action Agenda"&amp;" and this links well with the global goals of SDGs and NUA targets. The SDGs offer many opportunities to develop mitigation and adaptation strategies to address climate change especially through environmentally sustainable and resilient urban development.")</f>
        <v>All the Sendai Framework's targets are critical for the achievement of the SDGs, whose progress in turn is key to building and strengthening resilience against disasters. Local leaders showed strong leadership and commitment under the Global Action Agenda and this links well with the global goals of SDGs and NUA targets. The SDGs offer many opportunities to develop mitigation and adaptation strategies to address climate change especially through environmentally sustainable and resilient urban development.</v>
      </c>
      <c r="C61" s="53"/>
      <c r="D61" s="48" t="b">
        <f t="shared" ref="D61:H61" si="120">VLOOKUP($A61, INDIRECT(D$1&amp;"!A:C"), 3, FALSE)</f>
        <v>1</v>
      </c>
      <c r="E61" s="48" t="str">
        <f t="shared" si="120"/>
        <v>TO DO</v>
      </c>
      <c r="F61" s="48" t="str">
        <f t="shared" si="120"/>
        <v>TO DO</v>
      </c>
      <c r="G61" s="48" t="b">
        <f t="shared" si="120"/>
        <v>1</v>
      </c>
      <c r="H61" s="48" t="b">
        <f t="shared" si="120"/>
        <v>1</v>
      </c>
      <c r="I61" s="49">
        <f t="shared" si="4"/>
        <v>1</v>
      </c>
      <c r="J61" s="50" t="str">
        <f t="shared" ref="J61:N61" si="121">VLOOKUP($A61, INDIRECT(J$1&amp;"!A:D"), 4, FALSE)</f>
        <v/>
      </c>
      <c r="K61" s="50" t="str">
        <f t="shared" si="121"/>
        <v/>
      </c>
      <c r="L61" s="50" t="str">
        <f t="shared" si="121"/>
        <v/>
      </c>
      <c r="M61" s="50" t="str">
        <f t="shared" si="121"/>
        <v/>
      </c>
      <c r="N61" s="50" t="str">
        <f t="shared" si="121"/>
        <v/>
      </c>
      <c r="O61" s="49" t="str">
        <f>IFERROR(__xludf.DUMMYFUNCTION("IF(COUNTA(J61:N61)=0, """", ARRAYFORMULA(""- ""&amp;TEXTJOIN(char(10)&amp;""- "", TRUE, FILTER(J$1:N$1&amp;"": ""&amp;J61:N61, NOT(ISBLANK(J61:N61))))))"),"")</f>
        <v/>
      </c>
      <c r="P61" s="49" t="s">
        <v>419</v>
      </c>
      <c r="Q61" s="51" t="b">
        <v>1</v>
      </c>
    </row>
    <row r="62">
      <c r="A62" s="12" t="str">
        <f>IFERROR(__xludf.DUMMYFUNCTION("""COMPUTED_VALUE"""),"f7b9209827e091c67a295dca0057d21c")</f>
        <v>f7b9209827e091c67a295dca0057d21c</v>
      </c>
      <c r="B62" s="12" t="str">
        <f>IFERROR(__xludf.DUMMYFUNCTION("""COMPUTED_VALUE"""),"In Eastern and South-Eastern Europe, Albania and Romania stand out with half of the housing lacking piped water. As in the case of water supply, sewerage services are most problematic in Albania, Romania and the EECCA countries. The data indicate that a l"&amp;"imited share of the housing has a bath or shower—Uzbekistan (13.3 per cent), Bosnia and Herzegovina (22 per cent), Kyrgyzstan (24 per cent) and the Republic of Moldova and Turkmenistan (30 per cent).")</f>
        <v>In Eastern and South-Eastern Europe, Albania and Romania stand out with half of the housing lacking piped water. As in the case of water supply, sewerage services are most problematic in Albania, Romania and the EECCA countries. The data indicate that a limited share of the housing has a bath or shower—Uzbekistan (13.3 per cent), Bosnia and Herzegovina (22 per cent), Kyrgyzstan (24 per cent) and the Republic of Moldova and Turkmenistan (30 per cent).</v>
      </c>
      <c r="C62" s="53"/>
      <c r="D62" s="48" t="b">
        <f t="shared" ref="D62:H62" si="122">VLOOKUP($A62, INDIRECT(D$1&amp;"!A:C"), 3, FALSE)</f>
        <v>1</v>
      </c>
      <c r="E62" s="48" t="str">
        <f t="shared" si="122"/>
        <v>TO DO</v>
      </c>
      <c r="F62" s="48" t="str">
        <f t="shared" si="122"/>
        <v>TO DO</v>
      </c>
      <c r="G62" s="48" t="b">
        <f t="shared" si="122"/>
        <v>1</v>
      </c>
      <c r="H62" s="48" t="b">
        <f t="shared" si="122"/>
        <v>1</v>
      </c>
      <c r="I62" s="49">
        <f t="shared" si="4"/>
        <v>1</v>
      </c>
      <c r="J62" s="50" t="str">
        <f t="shared" ref="J62:N62" si="123">VLOOKUP($A62, INDIRECT(J$1&amp;"!A:D"), 4, FALSE)</f>
        <v/>
      </c>
      <c r="K62" s="50" t="str">
        <f t="shared" si="123"/>
        <v/>
      </c>
      <c r="L62" s="50" t="str">
        <f t="shared" si="123"/>
        <v/>
      </c>
      <c r="M62" s="50" t="str">
        <f t="shared" si="123"/>
        <v/>
      </c>
      <c r="N62" s="50" t="str">
        <f t="shared" si="123"/>
        <v/>
      </c>
      <c r="O62" s="49" t="str">
        <f>IFERROR(__xludf.DUMMYFUNCTION("IF(COUNTA(J62:N62)=0, """", ARRAYFORMULA(""- ""&amp;TEXTJOIN(char(10)&amp;""- "", TRUE, FILTER(J$1:N$1&amp;"": ""&amp;J62:N62, NOT(ISBLANK(J62:N62))))))"),"")</f>
        <v/>
      </c>
      <c r="P62" s="49" t="s">
        <v>419</v>
      </c>
      <c r="Q62" s="51" t="b">
        <v>1</v>
      </c>
    </row>
    <row r="63">
      <c r="A63" s="12" t="str">
        <f>IFERROR(__xludf.DUMMYFUNCTION("""COMPUTED_VALUE"""),"493b53ddf7f4abd7b708bc0fb3f27518")</f>
        <v>493b53ddf7f4abd7b708bc0fb3f27518</v>
      </c>
      <c r="B63" s="12" t="str">
        <f>IFERROR(__xludf.DUMMYFUNCTION("""COMPUTED_VALUE"""),"Slum dwellers are a heterogeneous population, and not only the very poor live in slum communities (UN-Habitat, 2003). Even though slum areas can differ substantially cross-nationally in size and other characteristics, extreme housing deprivation is a comm"&amp;"on trait. The numbers are relatively less dramatic in Brazil: 3.3% of people in Brazilian faveias lack access to tap water and 12.3% lack an indoor flushing latrine in their homes (IBGE, 2010).")</f>
        <v>Slum dwellers are a heterogeneous population, and not only the very poor live in slum communities (UN-Habitat, 2003). Even though slum areas can differ substantially cross-nationally in size and other characteristics, extreme housing deprivation is a common trait. The numbers are relatively less dramatic in Brazil: 3.3% of people in Brazilian faveias lack access to tap water and 12.3% lack an indoor flushing latrine in their homes (IBGE, 2010).</v>
      </c>
      <c r="C63" s="53"/>
      <c r="D63" s="48" t="b">
        <f t="shared" ref="D63:H63" si="124">VLOOKUP($A63, INDIRECT(D$1&amp;"!A:C"), 3, FALSE)</f>
        <v>1</v>
      </c>
      <c r="E63" s="48" t="str">
        <f t="shared" si="124"/>
        <v>TO DO</v>
      </c>
      <c r="F63" s="48" t="str">
        <f t="shared" si="124"/>
        <v>TO DO</v>
      </c>
      <c r="G63" s="48" t="b">
        <f t="shared" si="124"/>
        <v>1</v>
      </c>
      <c r="H63" s="48" t="b">
        <f t="shared" si="124"/>
        <v>1</v>
      </c>
      <c r="I63" s="49">
        <f t="shared" si="4"/>
        <v>1</v>
      </c>
      <c r="J63" s="50" t="str">
        <f t="shared" ref="J63:N63" si="125">VLOOKUP($A63, INDIRECT(J$1&amp;"!A:D"), 4, FALSE)</f>
        <v/>
      </c>
      <c r="K63" s="50" t="str">
        <f t="shared" si="125"/>
        <v/>
      </c>
      <c r="L63" s="50" t="str">
        <f t="shared" si="125"/>
        <v/>
      </c>
      <c r="M63" s="50" t="str">
        <f t="shared" si="125"/>
        <v/>
      </c>
      <c r="N63" s="50" t="str">
        <f t="shared" si="125"/>
        <v/>
      </c>
      <c r="O63" s="49" t="str">
        <f>IFERROR(__xludf.DUMMYFUNCTION("IF(COUNTA(J63:N63)=0, """", ARRAYFORMULA(""- ""&amp;TEXTJOIN(char(10)&amp;""- "", TRUE, FILTER(J$1:N$1&amp;"": ""&amp;J63:N63, NOT(ISBLANK(J63:N63))))))"),"")</f>
        <v/>
      </c>
      <c r="P63" s="49" t="s">
        <v>419</v>
      </c>
      <c r="Q63" s="51" t="b">
        <v>1</v>
      </c>
    </row>
    <row r="64">
      <c r="A64" s="12" t="str">
        <f>IFERROR(__xludf.DUMMYFUNCTION("""COMPUTED_VALUE"""),"f66cfaf9bc4803c9cb79d3d2aeea2aee")</f>
        <v>f66cfaf9bc4803c9cb79d3d2aeea2aee</v>
      </c>
      <c r="B64" s="12" t="str">
        <f>IFERROR(__xludf.DUMMYFUNCTION("""COMPUTED_VALUE"""),"Therefore, for most migrants, moving to a city is a sound decision that is likely to benefit their well-being and strengthen their resilience to adversity. Migrants are often faced with legal, cultural and social barriers and obstacles to accessing formal"&amp;" housing, employment, education, health and other social services. These barriers may force them to live in conditions of exclusion, segregation and vulnerability. Migrant women, for instance, are more likely to work in low-paid, irregular, and potentiall"&amp;"y exploitive jobs, often in the informal sector.")</f>
        <v>Therefore, for most migrants, moving to a city is a sound decision that is likely to benefit their well-being and strengthen their resilience to adversity. Migrants are often faced with legal, cultural and social barriers and obstacles to accessing formal housing, employment, education, health and other social services. These barriers may force them to live in conditions of exclusion, segregation and vulnerability. Migrant women, for instance, are more likely to work in low-paid, irregular, and potentially exploitive jobs, often in the informal sector.</v>
      </c>
      <c r="C64" s="48"/>
      <c r="D64" s="48" t="b">
        <f t="shared" ref="D64:H64" si="126">VLOOKUP($A64, INDIRECT(D$1&amp;"!A:C"), 3, FALSE)</f>
        <v>1</v>
      </c>
      <c r="E64" s="48" t="str">
        <f t="shared" si="126"/>
        <v>TO DO</v>
      </c>
      <c r="F64" s="48" t="str">
        <f t="shared" si="126"/>
        <v>TO DO</v>
      </c>
      <c r="G64" s="48" t="b">
        <f t="shared" si="126"/>
        <v>1</v>
      </c>
      <c r="H64" s="48" t="b">
        <f t="shared" si="126"/>
        <v>1</v>
      </c>
      <c r="I64" s="49">
        <f t="shared" si="4"/>
        <v>1</v>
      </c>
      <c r="J64" s="50" t="str">
        <f t="shared" ref="J64:N64" si="127">VLOOKUP($A64, INDIRECT(J$1&amp;"!A:D"), 4, FALSE)</f>
        <v>formal housing? weak</v>
      </c>
      <c r="K64" s="50" t="str">
        <f t="shared" si="127"/>
        <v/>
      </c>
      <c r="L64" s="50" t="str">
        <f t="shared" si="127"/>
        <v/>
      </c>
      <c r="M64" s="50" t="str">
        <f t="shared" si="127"/>
        <v/>
      </c>
      <c r="N64" s="50" t="str">
        <f t="shared" si="127"/>
        <v/>
      </c>
      <c r="O64" s="49" t="str">
        <f>IFERROR(__xludf.DUMMYFUNCTION("IF(COUNTA(J64:N64)=0, """", ARRAYFORMULA(""- ""&amp;TEXTJOIN(char(10)&amp;""- "", TRUE, FILTER(J$1:N$1&amp;"": ""&amp;J64:N64, NOT(ISBLANK(J64:N64))))))"),"- Finn: formal housing? weak")</f>
        <v>- Finn: formal housing? weak</v>
      </c>
      <c r="P64" s="49" t="s">
        <v>449</v>
      </c>
      <c r="Q64" s="51" t="b">
        <v>1</v>
      </c>
    </row>
    <row r="65">
      <c r="A65" s="12" t="str">
        <f>IFERROR(__xludf.DUMMYFUNCTION("""COMPUTED_VALUE"""),"e1011006a88d133194ecbe6829dbf9eb")</f>
        <v>e1011006a88d133194ecbe6829dbf9eb</v>
      </c>
      <c r="B65" s="12" t="str">
        <f>IFERROR(__xludf.DUMMYFUNCTION("""COMPUTED_VALUE"""),"Furthermore, taxation of residential, rental and social rental housing is excluded from this analysis because of limitations in the reported data.9 Overall, more work is needed to improve coverage and validate the quality of the data. The next sections pr"&amp;"ovide more information on these policy instruments, on their coherence with social policy objectives and on the amount of resources invested in them. Owner-occupied housing is the dominant tenure across OECD countries (see Figure 1) and it received public"&amp;" support in all of the countries surveyed in OECD QuASH. The collected data show that multiple policy instruments are typically used to this end and generally include both demand-side and supply-side subsidies.")</f>
        <v>Furthermore, taxation of residential, rental and social rental housing is excluded from this analysis because of limitations in the reported data.9 Overall, more work is needed to improve coverage and validate the quality of the data. The next sections provide more information on these policy instruments, on their coherence with social policy objectives and on the amount of resources invested in them. Owner-occupied housing is the dominant tenure across OECD countries (see Figure 1) and it received public support in all of the countries surveyed in OECD QuASH. The collected data show that multiple policy instruments are typically used to this end and generally include both demand-side and supply-side subsidies.</v>
      </c>
      <c r="C65" s="7"/>
      <c r="D65" s="48" t="b">
        <f t="shared" ref="D65:H65" si="128">VLOOKUP($A65, INDIRECT(D$1&amp;"!A:C"), 3, FALSE)</f>
        <v>0</v>
      </c>
      <c r="E65" s="48" t="str">
        <f t="shared" si="128"/>
        <v>TO DO</v>
      </c>
      <c r="F65" s="48" t="str">
        <f t="shared" si="128"/>
        <v>TO DO</v>
      </c>
      <c r="G65" s="48" t="b">
        <f t="shared" si="128"/>
        <v>0</v>
      </c>
      <c r="H65" s="48" t="b">
        <f t="shared" si="128"/>
        <v>0</v>
      </c>
      <c r="I65" s="49">
        <f t="shared" si="4"/>
        <v>1</v>
      </c>
      <c r="J65" s="50" t="str">
        <f t="shared" ref="J65:N65" si="129">VLOOKUP($A65, INDIRECT(J$1&amp;"!A:D"), 4, FALSE)</f>
        <v/>
      </c>
      <c r="K65" s="50" t="str">
        <f t="shared" si="129"/>
        <v/>
      </c>
      <c r="L65" s="50" t="str">
        <f t="shared" si="129"/>
        <v/>
      </c>
      <c r="M65" s="50" t="str">
        <f t="shared" si="129"/>
        <v/>
      </c>
      <c r="N65" s="50" t="str">
        <f t="shared" si="129"/>
        <v>only vaguely linked to access to affordable,safe sustainable housing</v>
      </c>
      <c r="O65" s="49" t="str">
        <f>IFERROR(__xludf.DUMMYFUNCTION("IF(COUNTA(J65:N65)=0, """", ARRAYFORMULA(""- ""&amp;TEXTJOIN(char(10)&amp;""- "", TRUE, FILTER(J$1:N$1&amp;"": ""&amp;J65:N65, NOT(ISBLANK(J65:N65))))))"),"- Steve: only vaguely linked to access to affordable,safe sustainable housing")</f>
        <v>- Steve: only vaguely linked to access to affordable,safe sustainable housing</v>
      </c>
      <c r="P65" s="49" t="s">
        <v>450</v>
      </c>
      <c r="Q65" s="51" t="b">
        <v>0</v>
      </c>
    </row>
    <row r="66">
      <c r="A66" s="12" t="str">
        <f>IFERROR(__xludf.DUMMYFUNCTION("""COMPUTED_VALUE"""),"be46d4321ed02f0ff6a8667345b7ddd7")</f>
        <v>be46d4321ed02f0ff6a8667345b7ddd7</v>
      </c>
      <c r="B66" s="12" t="str">
        <f>IFERROR(__xludf.DUMMYFUNCTION("""COMPUTED_VALUE"""),"The Thai government and international partners have provided assistance to train and share knowledge with local governments, but their capacity could be further developed, including results-based monitoring and evaluation systems. The BMA has developed ke"&amp;"y performance indicators (KPIs), but no such mechanism exists at the level of the BMR. Similarly, data is not consistently produced at the scale of the BMR.")</f>
        <v>The Thai government and international partners have provided assistance to train and share knowledge with local governments, but their capacity could be further developed, including results-based monitoring and evaluation systems. The BMA has developed key performance indicators (KPIs), but no such mechanism exists at the level of the BMR. Similarly, data is not consistently produced at the scale of the BMR.</v>
      </c>
      <c r="C66" s="54"/>
      <c r="D66" s="48" t="b">
        <f t="shared" ref="D66:H66" si="130">VLOOKUP($A66, INDIRECT(D$1&amp;"!A:C"), 3, FALSE)</f>
        <v>0</v>
      </c>
      <c r="E66" s="48" t="str">
        <f t="shared" si="130"/>
        <v>TO DO</v>
      </c>
      <c r="F66" s="48" t="str">
        <f t="shared" si="130"/>
        <v>TO DO</v>
      </c>
      <c r="G66" s="48" t="b">
        <f t="shared" si="130"/>
        <v>0</v>
      </c>
      <c r="H66" s="48" t="b">
        <f t="shared" si="130"/>
        <v>0</v>
      </c>
      <c r="I66" s="49">
        <f t="shared" si="4"/>
        <v>1</v>
      </c>
      <c r="J66" s="50" t="str">
        <f t="shared" ref="J66:N66" si="131">VLOOKUP($A66, INDIRECT(J$1&amp;"!A:D"), 4, FALSE)</f>
        <v/>
      </c>
      <c r="K66" s="50" t="str">
        <f t="shared" si="131"/>
        <v/>
      </c>
      <c r="L66" s="50" t="str">
        <f t="shared" si="131"/>
        <v/>
      </c>
      <c r="M66" s="50" t="str">
        <f t="shared" si="131"/>
        <v/>
      </c>
      <c r="N66" s="50" t="str">
        <f t="shared" si="131"/>
        <v/>
      </c>
      <c r="O66" s="49" t="str">
        <f>IFERROR(__xludf.DUMMYFUNCTION("IF(COUNTA(J66:N66)=0, """", ARRAYFORMULA(""- ""&amp;TEXTJOIN(char(10)&amp;""- "", TRUE, FILTER(J$1:N$1&amp;"": ""&amp;J66:N66, NOT(ISBLANK(J66:N66))))))"),"")</f>
        <v/>
      </c>
      <c r="P66" s="49" t="s">
        <v>419</v>
      </c>
      <c r="Q66" s="51" t="b">
        <v>0</v>
      </c>
    </row>
    <row r="67">
      <c r="A67" s="12" t="str">
        <f>IFERROR(__xludf.DUMMYFUNCTION("""COMPUTED_VALUE"""),"edf93c3307609eb79e5aa894e52d3945")</f>
        <v>edf93c3307609eb79e5aa894e52d3945</v>
      </c>
      <c r="B67" s="12" t="str">
        <f>IFERROR(__xludf.DUMMYFUNCTION("""COMPUTED_VALUE"""),"Walking accessibility should be improved, with especial consideration for accessibility for persons with disabilities. Transport strategy will need to be further developed and, if streets become narrower, the currently successful public transport system w"&amp;"ill need to be extended and improved. Green spaces should be multi-functional: accessible to citizens, protection from noise, purification of air, and help in lowering extremely high temperatures.")</f>
        <v>Walking accessibility should be improved, with especial consideration for accessibility for persons with disabilities. Transport strategy will need to be further developed and, if streets become narrower, the currently successful public transport system will need to be extended and improved. Green spaces should be multi-functional: accessible to citizens, protection from noise, purification of air, and help in lowering extremely high temperatures.</v>
      </c>
      <c r="C67" s="53"/>
      <c r="D67" s="48" t="b">
        <f t="shared" ref="D67:H67" si="132">VLOOKUP($A67, INDIRECT(D$1&amp;"!A:C"), 3, FALSE)</f>
        <v>1</v>
      </c>
      <c r="E67" s="48" t="str">
        <f t="shared" si="132"/>
        <v>TO DO</v>
      </c>
      <c r="F67" s="48" t="str">
        <f t="shared" si="132"/>
        <v>TO DO</v>
      </c>
      <c r="G67" s="48" t="b">
        <f t="shared" si="132"/>
        <v>1</v>
      </c>
      <c r="H67" s="48" t="b">
        <f t="shared" si="132"/>
        <v>1</v>
      </c>
      <c r="I67" s="49">
        <f t="shared" si="4"/>
        <v>1</v>
      </c>
      <c r="J67" s="50" t="str">
        <f t="shared" ref="J67:N67" si="133">VLOOKUP($A67, INDIRECT(J$1&amp;"!A:D"), 4, FALSE)</f>
        <v/>
      </c>
      <c r="K67" s="50" t="str">
        <f t="shared" si="133"/>
        <v/>
      </c>
      <c r="L67" s="50" t="str">
        <f t="shared" si="133"/>
        <v/>
      </c>
      <c r="M67" s="50" t="str">
        <f t="shared" si="133"/>
        <v/>
      </c>
      <c r="N67" s="50" t="str">
        <f t="shared" si="133"/>
        <v/>
      </c>
      <c r="O67" s="49" t="str">
        <f>IFERROR(__xludf.DUMMYFUNCTION("IF(COUNTA(J67:N67)=0, """", ARRAYFORMULA(""- ""&amp;TEXTJOIN(char(10)&amp;""- "", TRUE, FILTER(J$1:N$1&amp;"": ""&amp;J67:N67, NOT(ISBLANK(J67:N67))))))"),"")</f>
        <v/>
      </c>
      <c r="P67" s="49" t="s">
        <v>419</v>
      </c>
      <c r="Q67" s="51" t="b">
        <v>1</v>
      </c>
    </row>
    <row r="68">
      <c r="A68" s="12" t="str">
        <f>IFERROR(__xludf.DUMMYFUNCTION("""COMPUTED_VALUE"""),"7217a37ffe7cc5f7b6af3f3fdd243c29")</f>
        <v>7217a37ffe7cc5f7b6af3f3fdd243c29</v>
      </c>
      <c r="B68" s="12" t="str">
        <f>IFERROR(__xludf.DUMMYFUNCTION("""COMPUTED_VALUE"""),"The tool is intended to assist governments and decision makers in deciding on the most appropriate road safety policies and measures to achieve tangible results. The model is based on historical road safety data and relations between several road safety p"&amp;"arameters, and provides information on different road safety scenarios. The tool's output is a spider diagram that summarizes a city's overall state of urban transport and performance against each indicator.")</f>
        <v>The tool is intended to assist governments and decision makers in deciding on the most appropriate road safety policies and measures to achieve tangible results. The model is based on historical road safety data and relations between several road safety parameters, and provides information on different road safety scenarios. The tool's output is a spider diagram that summarizes a city's overall state of urban transport and performance against each indicator.</v>
      </c>
      <c r="C68" s="7" t="s">
        <v>420</v>
      </c>
      <c r="D68" s="48" t="b">
        <f t="shared" ref="D68:H68" si="134">VLOOKUP($A68, INDIRECT(D$1&amp;"!A:C"), 3, FALSE)</f>
        <v>1</v>
      </c>
      <c r="E68" s="48" t="str">
        <f t="shared" si="134"/>
        <v>TO DO</v>
      </c>
      <c r="F68" s="48" t="str">
        <f t="shared" si="134"/>
        <v>TO DO</v>
      </c>
      <c r="G68" s="48" t="b">
        <f t="shared" si="134"/>
        <v>1</v>
      </c>
      <c r="H68" s="48" t="b">
        <f t="shared" si="134"/>
        <v>0</v>
      </c>
      <c r="I68" s="49">
        <f t="shared" si="4"/>
        <v>0.3333333333</v>
      </c>
      <c r="J68" s="50" t="str">
        <f t="shared" ref="J68:N68" si="135">VLOOKUP($A68, INDIRECT(J$1&amp;"!A:D"), 4, FALSE)</f>
        <v/>
      </c>
      <c r="K68" s="50" t="str">
        <f t="shared" si="135"/>
        <v/>
      </c>
      <c r="L68" s="50" t="str">
        <f t="shared" si="135"/>
        <v/>
      </c>
      <c r="M68" s="50" t="str">
        <f t="shared" si="135"/>
        <v/>
      </c>
      <c r="N68" s="50" t="str">
        <f t="shared" si="135"/>
        <v>"overall state of road transport" still no direct link to clear SDG 11 objectives</v>
      </c>
      <c r="O68" s="49" t="str">
        <f>IFERROR(__xludf.DUMMYFUNCTION("IF(COUNTA(J68:N68)=0, """", ARRAYFORMULA(""- ""&amp;TEXTJOIN(char(10)&amp;""- "", TRUE, FILTER(J$1:N$1&amp;"": ""&amp;J68:N68, NOT(ISBLANK(J68:N68))))))"),"- Steve: ""overall state of road transport"" still no direct link to clear SDG 11 objectives")</f>
        <v>- Steve: "overall state of road transport" still no direct link to clear SDG 11 objectives</v>
      </c>
      <c r="P68" s="49" t="s">
        <v>451</v>
      </c>
      <c r="Q68" s="52" t="b">
        <v>1</v>
      </c>
      <c r="R68" s="5" t="s">
        <v>452</v>
      </c>
    </row>
    <row r="69" hidden="1">
      <c r="A69" s="12" t="str">
        <f>IFERROR(__xludf.DUMMYFUNCTION("""COMPUTED_VALUE"""),"da6a6bd787a8eab69390494ce0acec4a")</f>
        <v>da6a6bd787a8eab69390494ce0acec4a</v>
      </c>
      <c r="B69" s="12" t="str">
        <f>IFERROR(__xludf.DUMMYFUNCTION("""COMPUTED_VALUE"""),"The services and industry sectors led the expansion during this period. Growth in the agriculture sector, however, was moderate in part due to fluctuations in weather conditions. For 2016 and 2017, sustained investments to address energy and transport inf"&amp;"rastructure constraints, continued progression in industry and a recovery in services are expected to lead growth. Agriculture is projected to grow at a moderate rate.")</f>
        <v>The services and industry sectors led the expansion during this period. Growth in the agriculture sector, however, was moderate in part due to fluctuations in weather conditions. For 2016 and 2017, sustained investments to address energy and transport infrastructure constraints, continued progression in industry and a recovery in services are expected to lead growth. Agriculture is projected to grow at a moderate rate.</v>
      </c>
      <c r="C69" s="54"/>
      <c r="D69" s="48" t="b">
        <f t="shared" ref="D69:H69" si="136">VLOOKUP($A69, INDIRECT(D$1&amp;"!A:C"), 3, FALSE)</f>
        <v>0</v>
      </c>
      <c r="E69" s="48" t="str">
        <f t="shared" si="136"/>
        <v>TO DO</v>
      </c>
      <c r="F69" s="48" t="str">
        <f t="shared" si="136"/>
        <v>TO DO</v>
      </c>
      <c r="G69" s="48" t="b">
        <f t="shared" si="136"/>
        <v>0</v>
      </c>
      <c r="H69" s="48" t="b">
        <f t="shared" si="136"/>
        <v>1</v>
      </c>
      <c r="I69" s="49">
        <f t="shared" si="4"/>
        <v>0.3333333333</v>
      </c>
      <c r="J69" s="50" t="str">
        <f t="shared" ref="J69:N69" si="137">VLOOKUP($A69, INDIRECT(J$1&amp;"!A:D"), 4, FALSE)</f>
        <v/>
      </c>
      <c r="K69" s="50" t="str">
        <f t="shared" si="137"/>
        <v/>
      </c>
      <c r="L69" s="50" t="str">
        <f t="shared" si="137"/>
        <v/>
      </c>
      <c r="M69" s="50" t="str">
        <f t="shared" si="137"/>
        <v/>
      </c>
      <c r="N69" s="50" t="str">
        <f t="shared" si="137"/>
        <v>links to transport infrastructure constraints </v>
      </c>
      <c r="O69" s="49" t="str">
        <f>IFERROR(__xludf.DUMMYFUNCTION("IF(COUNTA(J69:N69)=0, """", ARRAYFORMULA(""- ""&amp;TEXTJOIN(char(10)&amp;""- "", TRUE, FILTER(J$1:N$1&amp;"": ""&amp;J69:N69, NOT(ISBLANK(J69:N69))))))"),"- Steve: links to transport infrastructure constraints ")</f>
        <v>- Steve: links to transport infrastructure constraints </v>
      </c>
      <c r="P69" s="49" t="s">
        <v>453</v>
      </c>
      <c r="Q69" s="51" t="s">
        <v>422</v>
      </c>
    </row>
    <row r="70" hidden="1">
      <c r="A70" s="12" t="str">
        <f>IFERROR(__xludf.DUMMYFUNCTION("""COMPUTED_VALUE"""),"0eb4e8e81d1ff8905ec2a816e9192c3c")</f>
        <v>0eb4e8e81d1ff8905ec2a816e9192c3c</v>
      </c>
      <c r="B70" s="12" t="str">
        <f>IFERROR(__xludf.DUMMYFUNCTION("""COMPUTED_VALUE"""),"It analyses the administrative and institutional fragmentation affecting urban governance and explores institutionally based governance models, including those for metropolitan areas. Finally, it examines mechanisms to reinforce strategic planning and pub"&amp;"lic service delivery capacity based on the country’s own context and international experience. The government may wish to consider promoting obligatory, city-wide multi-purpose (i.e. not limited to only one activity) joint authorities.")</f>
        <v>It analyses the administrative and institutional fragmentation affecting urban governance and explores institutionally based governance models, including those for metropolitan areas. Finally, it examines mechanisms to reinforce strategic planning and public service delivery capacity based on the country’s own context and international experience. The government may wish to consider promoting obligatory, city-wide multi-purpose (i.e. not limited to only one activity) joint authorities.</v>
      </c>
      <c r="C70" s="7"/>
      <c r="D70" s="48" t="b">
        <f t="shared" ref="D70:H70" si="138">VLOOKUP($A70, INDIRECT(D$1&amp;"!A:C"), 3, FALSE)</f>
        <v>0</v>
      </c>
      <c r="E70" s="48" t="str">
        <f t="shared" si="138"/>
        <v>TO DO</v>
      </c>
      <c r="F70" s="48" t="str">
        <f t="shared" si="138"/>
        <v>TO DO</v>
      </c>
      <c r="G70" s="48" t="b">
        <f t="shared" si="138"/>
        <v>0</v>
      </c>
      <c r="H70" s="48" t="b">
        <f t="shared" si="138"/>
        <v>1</v>
      </c>
      <c r="I70" s="49">
        <f t="shared" si="4"/>
        <v>0.3333333333</v>
      </c>
      <c r="J70" s="50" t="str">
        <f t="shared" ref="J70:N70" si="139">VLOOKUP($A70, INDIRECT(J$1&amp;"!A:D"), 4, FALSE)</f>
        <v>not sure</v>
      </c>
      <c r="K70" s="50" t="str">
        <f t="shared" si="139"/>
        <v/>
      </c>
      <c r="L70" s="50" t="str">
        <f t="shared" si="139"/>
        <v/>
      </c>
      <c r="M70" s="50" t="str">
        <f t="shared" si="139"/>
        <v/>
      </c>
      <c r="N70" s="50" t="str">
        <f t="shared" si="139"/>
        <v/>
      </c>
      <c r="O70" s="49" t="str">
        <f>IFERROR(__xludf.DUMMYFUNCTION("IF(COUNTA(J70:N70)=0, """", ARRAYFORMULA(""- ""&amp;TEXTJOIN(char(10)&amp;""- "", TRUE, FILTER(J$1:N$1&amp;"": ""&amp;J70:N70, NOT(ISBLANK(J70:N70))))))"),"- Finn: not sure")</f>
        <v>- Finn: not sure</v>
      </c>
      <c r="P70" s="49" t="s">
        <v>432</v>
      </c>
      <c r="Q70" s="51" t="s">
        <v>422</v>
      </c>
    </row>
    <row r="71" hidden="1">
      <c r="A71" s="12" t="str">
        <f>IFERROR(__xludf.DUMMYFUNCTION("""COMPUTED_VALUE"""),"9041eb58c6a884bf01e685db2315667c")</f>
        <v>9041eb58c6a884bf01e685db2315667c</v>
      </c>
      <c r="B71" s="12" t="str">
        <f>IFERROR(__xludf.DUMMYFUNCTION("""COMPUTED_VALUE"""),"For the more developed regions, the urban population has been exceeding the rural one already since 1950 (figure 2.2.) Both of these trends show uninterrupted continuation since 1950. The latter ones saw urban population exceeding in number the rural popu"&amp;"lation in late 1950 in Central and Eastern Europe, Caucasus and Central Asia and only in mid-1980 in South Eastern Europe. The situation in the sub regions is nevertheless impacted by its most populous countries, like e.g. the South-Eastern Europe byTurke"&amp;"y. Most of these countries have been seeing decreases in both rural and urban population, with the latter one being even steeper, which resulted in lower rates of urbanization in 2010 compared with 1990. The explanation for such a development can be the m"&amp;"igration of population related with the collapse of the communist system and the disintegration of the Soviet Union in the early 1990, and in later years, for countries that joined the European Union, the job migration to Western Europe and for the Easter"&amp;"n European and Central Asian countries, the job migration to Russian cities.")</f>
        <v>For the more developed regions, the urban population has been exceeding the rural one already since 1950 (figure 2.2.) Both of these trends show uninterrupted continuation since 1950. The latter ones saw urban population exceeding in number the rural population in late 1950 in Central and Eastern Europe, Caucasus and Central Asia and only in mid-1980 in South Eastern Europe. The situation in the sub regions is nevertheless impacted by its most populous countries, like e.g. the South-Eastern Europe byTurkey. Most of these countries have been seeing decreases in both rural and urban population, with the latter one being even steeper, which resulted in lower rates of urbanization in 2010 compared with 1990. The explanation for such a development can be the migration of population related with the collapse of the communist system and the disintegration of the Soviet Union in the early 1990, and in later years, for countries that joined the European Union, the job migration to Western Europe and for the Eastern European and Central Asian countries, the job migration to Russian cities.</v>
      </c>
      <c r="C71" s="53"/>
      <c r="D71" s="48" t="b">
        <f t="shared" ref="D71:H71" si="140">VLOOKUP($A71, INDIRECT(D$1&amp;"!A:C"), 3, FALSE)</f>
        <v>0</v>
      </c>
      <c r="E71" s="48" t="str">
        <f t="shared" si="140"/>
        <v>TO DO</v>
      </c>
      <c r="F71" s="48" t="str">
        <f t="shared" si="140"/>
        <v>TO DO</v>
      </c>
      <c r="G71" s="48" t="b">
        <f t="shared" si="140"/>
        <v>0</v>
      </c>
      <c r="H71" s="48" t="b">
        <f t="shared" si="140"/>
        <v>1</v>
      </c>
      <c r="I71" s="49">
        <f t="shared" si="4"/>
        <v>0.3333333333</v>
      </c>
      <c r="J71" s="50" t="str">
        <f t="shared" ref="J71:N71" si="141">VLOOKUP($A71, INDIRECT(J$1&amp;"!A:D"), 4, FALSE)</f>
        <v/>
      </c>
      <c r="K71" s="50" t="str">
        <f t="shared" si="141"/>
        <v/>
      </c>
      <c r="L71" s="50" t="str">
        <f t="shared" si="141"/>
        <v/>
      </c>
      <c r="M71" s="50" t="str">
        <f t="shared" si="141"/>
        <v/>
      </c>
      <c r="N71" s="50" t="str">
        <f t="shared" si="141"/>
        <v>11.a, though vaguely again</v>
      </c>
      <c r="O71" s="49" t="str">
        <f>IFERROR(__xludf.DUMMYFUNCTION("IF(COUNTA(J71:N71)=0, """", ARRAYFORMULA(""- ""&amp;TEXTJOIN(char(10)&amp;""- "", TRUE, FILTER(J$1:N$1&amp;"": ""&amp;J71:N71, NOT(ISBLANK(J71:N71))))))"),"- Steve: 11.a, though vaguely again")</f>
        <v>- Steve: 11.a, though vaguely again</v>
      </c>
      <c r="P71" s="49" t="s">
        <v>454</v>
      </c>
      <c r="Q71" s="51" t="s">
        <v>422</v>
      </c>
    </row>
    <row r="72">
      <c r="A72" s="12" t="str">
        <f>IFERROR(__xludf.DUMMYFUNCTION("""COMPUTED_VALUE"""),"d0358b81619326b5e0b8a88ea6a6eb61")</f>
        <v>d0358b81619326b5e0b8a88ea6a6eb61</v>
      </c>
      <c r="B72" s="12" t="str">
        <f>IFERROR(__xludf.DUMMYFUNCTION("""COMPUTED_VALUE"""),"Both parts of the outcome document—the “Quito Declaration on Sustainable Cities and Human Settlements for All” and the “Quito Implementation Plan for the New Urban Agenda”—clearly enunciate three priorities that will frame the successful execution of Goal"&amp;" 11 and the urban aspects of the other SDGs, and lead to the achievement of sustainable urbanization in the coming decades. These priorities are: having a supportive governance structure, inventing and maintaining twenty-first century planning and managin"&amp;"g urban spatial development, and establishing sound financing mechanisms. For overall guidance, they reference the International Guidelines on Urban and Territorial Planning, adopted in April 2015 by the Governing Council of the United Nations Human Settl"&amp;"ements Programme (UN-Habitat). The Guidelines provide direction in establishing planning functions at several levels: national (e.g. connecting and balancing the system of towns and cities), metropolitan (e.g. regional economic development, rural-urban li"&amp;"nkages, and ecosystem protection), municipal (e.g. design and protection of citywide systems of public space, capital investments in basic infrastructure, overall block layout, and connectivity), and neighbourhoods (e.g. site-specific design and local urb"&amp;"an commons).")</f>
        <v>Both parts of the outcome document—the “Quito Declaration on Sustainable Cities and Human Settlements for All” and the “Quito Implementation Plan for the New Urban Agenda”—clearly enunciate three priorities that will frame the successful execution of Goal 11 and the urban aspects of the other SDGs, and lead to the achievement of sustainable urbanization in the coming decades. These priorities are: having a supportive governance structure, inventing and maintaining twenty-first century planning and managing urban spatial development, and establishing sound financing mechanisms. For overall guidance, they reference the International Guidelines on Urban and Territorial Planning, adopted in April 2015 by the Governing Council of the United Nations Human Settlements Programme (UN-Habitat). The Guidelines provide direction in establishing planning functions at several levels: national (e.g. connecting and balancing the system of towns and cities), metropolitan (e.g. regional economic development, rural-urban linkages, and ecosystem protection), municipal (e.g. design and protection of citywide systems of public space, capital investments in basic infrastructure, overall block layout, and connectivity), and neighbourhoods (e.g. site-specific design and local urban commons).</v>
      </c>
      <c r="C72" s="54"/>
      <c r="D72" s="48" t="b">
        <f t="shared" ref="D72:H72" si="142">VLOOKUP($A72, INDIRECT(D$1&amp;"!A:C"), 3, FALSE)</f>
        <v>1</v>
      </c>
      <c r="E72" s="48" t="str">
        <f t="shared" si="142"/>
        <v>TO DO</v>
      </c>
      <c r="F72" s="48" t="str">
        <f t="shared" si="142"/>
        <v>TO DO</v>
      </c>
      <c r="G72" s="48" t="b">
        <f t="shared" si="142"/>
        <v>1</v>
      </c>
      <c r="H72" s="48" t="b">
        <f t="shared" si="142"/>
        <v>1</v>
      </c>
      <c r="I72" s="49">
        <f t="shared" si="4"/>
        <v>1</v>
      </c>
      <c r="J72" s="50" t="str">
        <f t="shared" ref="J72:N72" si="143">VLOOKUP($A72, INDIRECT(J$1&amp;"!A:D"), 4, FALSE)</f>
        <v/>
      </c>
      <c r="K72" s="50" t="str">
        <f t="shared" si="143"/>
        <v/>
      </c>
      <c r="L72" s="50" t="str">
        <f t="shared" si="143"/>
        <v/>
      </c>
      <c r="M72" s="50" t="str">
        <f t="shared" si="143"/>
        <v/>
      </c>
      <c r="N72" s="50" t="str">
        <f t="shared" si="143"/>
        <v/>
      </c>
      <c r="O72" s="49" t="str">
        <f>IFERROR(__xludf.DUMMYFUNCTION("IF(COUNTA(J72:N72)=0, """", ARRAYFORMULA(""- ""&amp;TEXTJOIN(char(10)&amp;""- "", TRUE, FILTER(J$1:N$1&amp;"": ""&amp;J72:N72, NOT(ISBLANK(J72:N72))))))"),"")</f>
        <v/>
      </c>
      <c r="P72" s="49" t="s">
        <v>419</v>
      </c>
      <c r="Q72" s="51" t="b">
        <v>1</v>
      </c>
    </row>
    <row r="73" hidden="1">
      <c r="A73" s="12" t="str">
        <f>IFERROR(__xludf.DUMMYFUNCTION("""COMPUTED_VALUE"""),"de263d842282fe93a77fb4d8a7f3fb3e")</f>
        <v>de263d842282fe93a77fb4d8a7f3fb3e</v>
      </c>
      <c r="B73" s="12" t="str">
        <f>IFERROR(__xludf.DUMMYFUNCTION("""COMPUTED_VALUE"""),"Since the adoption of the Programme of Action, which contains one of the most comprehensive negotiated texts on international migration to date, the issue of international migration and its relation to development has become increasingly prominent. The Hi"&amp;"gh-level Dialogue on International Migration and Development, held in September 2006, was the first high-level meeting of the General Assembly exclusively dedicated to the topic. The Sustainable Development Goals include several migration-related targets,"&amp;" including one for the facilitation of orderly, safe, regular and responsible migration and mobility of people, while the Addis Ababa Action Agenda, adopted at the Third International Conference on Financing for Development, in 2015, includes practical re"&amp;"commendations to strengthen the contribution of migration and remittances to development (see General Assembly resolution 69/313). In 2016, the Assembly decided to develop two global compacts, one on refugees and one for safe, orderly and regular migratio"&amp;"n, both to be adopted in 2018 (see Assembly resolution 71/1). Both urbanization and international migration are inextricably linked with the process of development.")</f>
        <v>Since the adoption of the Programme of Action, which contains one of the most comprehensive negotiated texts on international migration to date, the issue of international migration and its relation to development has become increasingly prominent. The High-level Dialogue on International Migration and Development, held in September 2006, was the first high-level meeting of the General Assembly exclusively dedicated to the topic. The Sustainable Development Goals include several migration-related targets, including one for the facilitation of orderly, safe, regular and responsible migration and mobility of people, while the Addis Ababa Action Agenda, adopted at the Third International Conference on Financing for Development, in 2015, includes practical recommendations to strengthen the contribution of migration and remittances to development (see General Assembly resolution 69/313). In 2016, the Assembly decided to develop two global compacts, one on refugees and one for safe, orderly and regular migration, both to be adopted in 2018 (see Assembly resolution 71/1). Both urbanization and international migration are inextricably linked with the process of development.</v>
      </c>
      <c r="C73" s="53"/>
      <c r="D73" s="48" t="b">
        <f t="shared" ref="D73:H73" si="144">VLOOKUP($A73, INDIRECT(D$1&amp;"!A:C"), 3, FALSE)</f>
        <v>0</v>
      </c>
      <c r="E73" s="48" t="str">
        <f t="shared" si="144"/>
        <v>TO DO</v>
      </c>
      <c r="F73" s="48" t="str">
        <f t="shared" si="144"/>
        <v>TO DO</v>
      </c>
      <c r="G73" s="48" t="b">
        <f t="shared" si="144"/>
        <v>0</v>
      </c>
      <c r="H73" s="48" t="b">
        <f t="shared" si="144"/>
        <v>1</v>
      </c>
      <c r="I73" s="49">
        <f t="shared" si="4"/>
        <v>0.3333333333</v>
      </c>
      <c r="J73" s="50" t="str">
        <f t="shared" ref="J73:N73" si="145">VLOOKUP($A73, INDIRECT(J$1&amp;"!A:D"), 4, FALSE)</f>
        <v/>
      </c>
      <c r="K73" s="50" t="str">
        <f t="shared" si="145"/>
        <v/>
      </c>
      <c r="L73" s="50" t="str">
        <f t="shared" si="145"/>
        <v/>
      </c>
      <c r="M73" s="50" t="str">
        <f t="shared" si="145"/>
        <v/>
      </c>
      <c r="N73" s="50" t="str">
        <f t="shared" si="145"/>
        <v>urbanization and international migration, weak link though</v>
      </c>
      <c r="O73" s="49" t="str">
        <f>IFERROR(__xludf.DUMMYFUNCTION("IF(COUNTA(J73:N73)=0, """", ARRAYFORMULA(""- ""&amp;TEXTJOIN(char(10)&amp;""- "", TRUE, FILTER(J$1:N$1&amp;"": ""&amp;J73:N73, NOT(ISBLANK(J73:N73))))))"),"- Steve: urbanization and international migration, weak link though")</f>
        <v>- Steve: urbanization and international migration, weak link though</v>
      </c>
      <c r="P73" s="49" t="s">
        <v>455</v>
      </c>
      <c r="Q73" s="51" t="s">
        <v>422</v>
      </c>
    </row>
    <row r="74">
      <c r="A74" s="12" t="str">
        <f>IFERROR(__xludf.DUMMYFUNCTION("""COMPUTED_VALUE"""),"11ed456df853a192cd01dea84b05e90c")</f>
        <v>11ed456df853a192cd01dea84b05e90c</v>
      </c>
      <c r="B74" s="12" t="str">
        <f>IFERROR(__xludf.DUMMYFUNCTION("""COMPUTED_VALUE"""),"The study also focused on the importance of cultural heritage as a factor attracting people to stay in the region. According to the study, about 60% of the tourists visited Raros because ofthetown's cultural heritage. In addition, around 40% of guests att"&amp;"ending conferences stayed in Raros due to the cultural heritage of the town.")</f>
        <v>The study also focused on the importance of cultural heritage as a factor attracting people to stay in the region. According to the study, about 60% of the tourists visited Raros because ofthetown's cultural heritage. In addition, around 40% of guests attending conferences stayed in Raros due to the cultural heritage of the town.</v>
      </c>
      <c r="C74" s="54" t="s">
        <v>425</v>
      </c>
      <c r="D74" s="48" t="b">
        <f t="shared" ref="D74:H74" si="146">VLOOKUP($A74, INDIRECT(D$1&amp;"!A:C"), 3, FALSE)</f>
        <v>0</v>
      </c>
      <c r="E74" s="48" t="str">
        <f t="shared" si="146"/>
        <v>TO DO</v>
      </c>
      <c r="F74" s="48" t="str">
        <f t="shared" si="146"/>
        <v>TO DO</v>
      </c>
      <c r="G74" s="48" t="b">
        <f t="shared" si="146"/>
        <v>0</v>
      </c>
      <c r="H74" s="48" t="b">
        <f t="shared" si="146"/>
        <v>1</v>
      </c>
      <c r="I74" s="49">
        <f t="shared" si="4"/>
        <v>0.3333333333</v>
      </c>
      <c r="J74" s="50" t="str">
        <f t="shared" ref="J74:N74" si="147">VLOOKUP($A74, INDIRECT(J$1&amp;"!A:D"), 4, FALSE)</f>
        <v>weak</v>
      </c>
      <c r="K74" s="50" t="str">
        <f t="shared" si="147"/>
        <v/>
      </c>
      <c r="L74" s="50" t="str">
        <f t="shared" si="147"/>
        <v/>
      </c>
      <c r="M74" s="50" t="str">
        <f t="shared" si="147"/>
        <v/>
      </c>
      <c r="N74" s="50" t="str">
        <f t="shared" si="147"/>
        <v/>
      </c>
      <c r="O74" s="49" t="str">
        <f>IFERROR(__xludf.DUMMYFUNCTION("IF(COUNTA(J74:N74)=0, """", ARRAYFORMULA(""- ""&amp;TEXTJOIN(char(10)&amp;""- "", TRUE, FILTER(J$1:N$1&amp;"": ""&amp;J74:N74, NOT(ISBLANK(J74:N74))))))"),"- Finn: weak")</f>
        <v>- Finn: weak</v>
      </c>
      <c r="P74" s="49" t="s">
        <v>456</v>
      </c>
      <c r="Q74" s="52" t="b">
        <v>0</v>
      </c>
      <c r="R74" s="5" t="s">
        <v>427</v>
      </c>
    </row>
    <row r="75">
      <c r="A75" s="12" t="str">
        <f>IFERROR(__xludf.DUMMYFUNCTION("""COMPUTED_VALUE"""),"344cd01a76bf0a73e187e9c1fc3018ee")</f>
        <v>344cd01a76bf0a73e187e9c1fc3018ee</v>
      </c>
      <c r="B75" s="12" t="str">
        <f>IFERROR(__xludf.DUMMYFUNCTION("""COMPUTED_VALUE"""),"Korea needs to work out its own mix of solutions adapted to its situation and culture. A Korean approach, with public support, needs to be developed. What the Safe System approach will deliver is new energy. The approach should be stepwise, with realistic"&amp;" interim targets to short/medium term deadlines complementing the ambitious long term vision.")</f>
        <v>Korea needs to work out its own mix of solutions adapted to its situation and culture. A Korean approach, with public support, needs to be developed. What the Safe System approach will deliver is new energy. The approach should be stepwise, with realistic interim targets to short/medium term deadlines complementing the ambitious long term vision.</v>
      </c>
      <c r="C75" s="54"/>
      <c r="D75" s="48" t="b">
        <f t="shared" ref="D75:H75" si="148">VLOOKUP($A75, INDIRECT(D$1&amp;"!A:C"), 3, FALSE)</f>
        <v>0</v>
      </c>
      <c r="E75" s="48" t="str">
        <f t="shared" si="148"/>
        <v>TO DO</v>
      </c>
      <c r="F75" s="48" t="str">
        <f t="shared" si="148"/>
        <v>TO DO</v>
      </c>
      <c r="G75" s="48" t="b">
        <f t="shared" si="148"/>
        <v>0</v>
      </c>
      <c r="H75" s="48" t="b">
        <f t="shared" si="148"/>
        <v>0</v>
      </c>
      <c r="I75" s="49">
        <f t="shared" si="4"/>
        <v>1</v>
      </c>
      <c r="J75" s="50" t="str">
        <f t="shared" ref="J75:N75" si="149">VLOOKUP($A75, INDIRECT(J$1&amp;"!A:D"), 4, FALSE)</f>
        <v/>
      </c>
      <c r="K75" s="50" t="str">
        <f t="shared" si="149"/>
        <v/>
      </c>
      <c r="L75" s="50" t="str">
        <f t="shared" si="149"/>
        <v/>
      </c>
      <c r="M75" s="50" t="str">
        <f t="shared" si="149"/>
        <v/>
      </c>
      <c r="N75" s="50" t="str">
        <f t="shared" si="149"/>
        <v/>
      </c>
      <c r="O75" s="49" t="str">
        <f>IFERROR(__xludf.DUMMYFUNCTION("IF(COUNTA(J75:N75)=0, """", ARRAYFORMULA(""- ""&amp;TEXTJOIN(char(10)&amp;""- "", TRUE, FILTER(J$1:N$1&amp;"": ""&amp;J75:N75, NOT(ISBLANK(J75:N75))))))"),"")</f>
        <v/>
      </c>
      <c r="P75" s="49" t="s">
        <v>419</v>
      </c>
      <c r="Q75" s="51" t="b">
        <v>0</v>
      </c>
    </row>
    <row r="76">
      <c r="A76" s="12" t="str">
        <f>IFERROR(__xludf.DUMMYFUNCTION("""COMPUTED_VALUE"""),"c0b7723d479259afb1b78b656f59c7a8")</f>
        <v>c0b7723d479259afb1b78b656f59c7a8</v>
      </c>
      <c r="B76" s="12" t="str">
        <f>IFERROR(__xludf.DUMMYFUNCTION("""COMPUTED_VALUE"""),"However, in some cases a monetary evaluation of the values related to natural and cultural heritage may be beneficial and provide information that could stimulate balanced discussions about the options at hand, for instance regarding future land use and a"&amp;"llocation of both public and private funding. The concept of ecosystem services is only emerging but has proved to be useful in this regard, in parallel to valuation methods focusing especially on cultural heritage.")</f>
        <v>However, in some cases a monetary evaluation of the values related to natural and cultural heritage may be beneficial and provide information that could stimulate balanced discussions about the options at hand, for instance regarding future land use and allocation of both public and private funding. The concept of ecosystem services is only emerging but has proved to be useful in this regard, in parallel to valuation methods focusing especially on cultural heritage.</v>
      </c>
      <c r="C76" s="48"/>
      <c r="D76" s="48" t="b">
        <f t="shared" ref="D76:H76" si="150">VLOOKUP($A76, INDIRECT(D$1&amp;"!A:C"), 3, FALSE)</f>
        <v>1</v>
      </c>
      <c r="E76" s="48" t="str">
        <f t="shared" si="150"/>
        <v>TO DO</v>
      </c>
      <c r="F76" s="48" t="str">
        <f t="shared" si="150"/>
        <v>TO DO</v>
      </c>
      <c r="G76" s="48" t="b">
        <f t="shared" si="150"/>
        <v>1</v>
      </c>
      <c r="H76" s="48" t="b">
        <f t="shared" si="150"/>
        <v>1</v>
      </c>
      <c r="I76" s="49">
        <f t="shared" si="4"/>
        <v>1</v>
      </c>
      <c r="J76" s="50" t="str">
        <f t="shared" ref="J76:N76" si="151">VLOOKUP($A76, INDIRECT(J$1&amp;"!A:D"), 4, FALSE)</f>
        <v/>
      </c>
      <c r="K76" s="50" t="str">
        <f t="shared" si="151"/>
        <v/>
      </c>
      <c r="L76" s="50" t="str">
        <f t="shared" si="151"/>
        <v/>
      </c>
      <c r="M76" s="50" t="str">
        <f t="shared" si="151"/>
        <v/>
      </c>
      <c r="N76" s="50" t="str">
        <f t="shared" si="151"/>
        <v/>
      </c>
      <c r="O76" s="49" t="str">
        <f>IFERROR(__xludf.DUMMYFUNCTION("IF(COUNTA(J76:N76)=0, """", ARRAYFORMULA(""- ""&amp;TEXTJOIN(char(10)&amp;""- "", TRUE, FILTER(J$1:N$1&amp;"": ""&amp;J76:N76, NOT(ISBLANK(J76:N76))))))"),"")</f>
        <v/>
      </c>
      <c r="P76" s="49" t="s">
        <v>419</v>
      </c>
      <c r="Q76" s="51" t="b">
        <v>1</v>
      </c>
    </row>
    <row r="77" hidden="1">
      <c r="A77" s="12" t="str">
        <f>IFERROR(__xludf.DUMMYFUNCTION("""COMPUTED_VALUE"""),"f2a94335f1f51b9998ced8bb9d32542f")</f>
        <v>f2a94335f1f51b9998ced8bb9d32542f</v>
      </c>
      <c r="B77" s="12" t="str">
        <f>IFERROR(__xludf.DUMMYFUNCTION("""COMPUTED_VALUE"""),"However, it also combines elements from a top-down approach like the selection of areas, organisation of coordination meetings, developing strategies and offering guidance (Faggian, 2017|2i]). The results from this tops-down-bottom-up approach are materia"&amp;"lised in the form of a Programme Framework Agreement {Accordo di Programme Quadro), which is a contract among the municipal association, regional and central governments. Project areas are selected through a standardised public proceeding that involves a "&amp;"desk and field analyses of pre-selected areas. Pre-selected areas are analysed with respect to a series of demographic and socio-economic parameters (utilised agricultural area, deforestation, hydrological risk, population losses, entrepreneurship, touris"&amp;"m and cultural heritage, quality of education and health services among others).")</f>
        <v>However, it also combines elements from a top-down approach like the selection of areas, organisation of coordination meetings, developing strategies and offering guidance (Faggian, 2017|2i]). The results from this tops-down-bottom-up approach are materialised in the form of a Programme Framework Agreement {Accordo di Programme Quadro), which is a contract among the municipal association, regional and central governments. Project areas are selected through a standardised public proceeding that involves a desk and field analyses of pre-selected areas. Pre-selected areas are analysed with respect to a series of demographic and socio-economic parameters (utilised agricultural area, deforestation, hydrological risk, population losses, entrepreneurship, tourism and cultural heritage, quality of education and health services among others).</v>
      </c>
      <c r="C77" s="54"/>
      <c r="D77" s="48" t="b">
        <f t="shared" ref="D77:H77" si="152">VLOOKUP($A77, INDIRECT(D$1&amp;"!A:C"), 3, FALSE)</f>
        <v>1</v>
      </c>
      <c r="E77" s="48" t="str">
        <f t="shared" si="152"/>
        <v>TO DO</v>
      </c>
      <c r="F77" s="48" t="str">
        <f t="shared" si="152"/>
        <v>TO DO</v>
      </c>
      <c r="G77" s="48" t="b">
        <f t="shared" si="152"/>
        <v>1</v>
      </c>
      <c r="H77" s="48" t="b">
        <f t="shared" si="152"/>
        <v>0</v>
      </c>
      <c r="I77" s="49">
        <f t="shared" si="4"/>
        <v>0.3333333333</v>
      </c>
      <c r="J77" s="50" t="str">
        <f t="shared" ref="J77:N77" si="153">VLOOKUP($A77, INDIRECT(J$1&amp;"!A:D"), 4, FALSE)</f>
        <v>inter-regional planning</v>
      </c>
      <c r="K77" s="50" t="str">
        <f t="shared" si="153"/>
        <v/>
      </c>
      <c r="L77" s="50" t="str">
        <f t="shared" si="153"/>
        <v/>
      </c>
      <c r="M77" s="50" t="str">
        <f t="shared" si="153"/>
        <v/>
      </c>
      <c r="N77" s="50" t="str">
        <f t="shared" si="153"/>
        <v/>
      </c>
      <c r="O77" s="49" t="str">
        <f>IFERROR(__xludf.DUMMYFUNCTION("IF(COUNTA(J77:N77)=0, """", ARRAYFORMULA(""- ""&amp;TEXTJOIN(char(10)&amp;""- "", TRUE, FILTER(J$1:N$1&amp;"": ""&amp;J77:N77, NOT(ISBLANK(J77:N77))))))"),"- Finn: inter-regional planning")</f>
        <v>- Finn: inter-regional planning</v>
      </c>
      <c r="P77" s="49" t="s">
        <v>457</v>
      </c>
      <c r="Q77" s="51" t="s">
        <v>422</v>
      </c>
    </row>
    <row r="78" hidden="1">
      <c r="A78" s="12" t="str">
        <f>IFERROR(__xludf.DUMMYFUNCTION("""COMPUTED_VALUE"""),"32282e63dd170a21f7cb16e599bb8c56")</f>
        <v>32282e63dd170a21f7cb16e599bb8c56</v>
      </c>
      <c r="B78" s="12" t="str">
        <f>IFERROR(__xludf.DUMMYFUNCTION("""COMPUTED_VALUE"""),"These in turn are divorced from the less common initiatives to counter economic and geopolitical risk. Again, the focus is on large drought, locust invasion and animal disease shocks, with priority placed on food and nutrition security as the overall obje"&amp;"ctive of risk management. Undeniably, these are the critical issues affecting those most vulnerable to disaster, however this prioritisation, at the expense of other risks and risk management approaches, means that flooding, human epidemics (and pandemics"&amp;") and other (non-negligible) economic and geopolitical risks are inadequately addressed or are siloed from the predominant drought risk management programming in Niger. The disproportional focus on using shorter-term instruments at the expense of longer-t"&amp;"erm development (as outlined in Section 4.1) is replicated in risk management programming, reinforced by the prioritisation of food and nutrition security and preparedness, traditionally led by humanitarian actors.")</f>
        <v>These in turn are divorced from the less common initiatives to counter economic and geopolitical risk. Again, the focus is on large drought, locust invasion and animal disease shocks, with priority placed on food and nutrition security as the overall objective of risk management. Undeniably, these are the critical issues affecting those most vulnerable to disaster, however this prioritisation, at the expense of other risks and risk management approaches, means that flooding, human epidemics (and pandemics) and other (non-negligible) economic and geopolitical risks are inadequately addressed or are siloed from the predominant drought risk management programming in Niger. The disproportional focus on using shorter-term instruments at the expense of longer-term development (as outlined in Section 4.1) is replicated in risk management programming, reinforced by the prioritisation of food and nutrition security and preparedness, traditionally led by humanitarian actors.</v>
      </c>
      <c r="C78" s="54"/>
      <c r="D78" s="48" t="b">
        <f t="shared" ref="D78:H78" si="154">VLOOKUP($A78, INDIRECT(D$1&amp;"!A:C"), 3, FALSE)</f>
        <v>0</v>
      </c>
      <c r="E78" s="48" t="str">
        <f t="shared" si="154"/>
        <v>TO DO</v>
      </c>
      <c r="F78" s="48" t="str">
        <f t="shared" si="154"/>
        <v>TO DO</v>
      </c>
      <c r="G78" s="48" t="b">
        <f t="shared" si="154"/>
        <v>1</v>
      </c>
      <c r="H78" s="48" t="b">
        <f t="shared" si="154"/>
        <v>0</v>
      </c>
      <c r="I78" s="49">
        <f t="shared" si="4"/>
        <v>0.3333333333</v>
      </c>
      <c r="J78" s="50" t="str">
        <f t="shared" ref="J78:N78" si="155">VLOOKUP($A78, INDIRECT(J$1&amp;"!A:D"), 4, FALSE)</f>
        <v>more SDG 2</v>
      </c>
      <c r="K78" s="50" t="str">
        <f t="shared" si="155"/>
        <v/>
      </c>
      <c r="L78" s="50" t="str">
        <f t="shared" si="155"/>
        <v/>
      </c>
      <c r="M78" s="50" t="str">
        <f t="shared" si="155"/>
        <v/>
      </c>
      <c r="N78" s="50" t="str">
        <f t="shared" si="155"/>
        <v>again 11.5 at core but on country level</v>
      </c>
      <c r="O78" s="49" t="str">
        <f>IFERROR(__xludf.DUMMYFUNCTION("IF(COUNTA(J78:N78)=0, """", ARRAYFORMULA(""- ""&amp;TEXTJOIN(char(10)&amp;""- "", TRUE, FILTER(J$1:N$1&amp;"": ""&amp;J78:N78, NOT(ISBLANK(J78:N78))))))"),"- Finn: more SDG 2
- Steve: again 11.5 at core but on country level")</f>
        <v>- Finn: more SDG 2
- Steve: again 11.5 at core but on country level</v>
      </c>
      <c r="P78" s="49" t="s">
        <v>458</v>
      </c>
      <c r="Q78" s="51" t="s">
        <v>422</v>
      </c>
    </row>
    <row r="79">
      <c r="A79" s="12" t="str">
        <f>IFERROR(__xludf.DUMMYFUNCTION("""COMPUTED_VALUE"""),"a006715155165a76910935a541df0c31")</f>
        <v>a006715155165a76910935a541df0c31</v>
      </c>
      <c r="B79" s="12" t="str">
        <f>IFERROR(__xludf.DUMMYFUNCTION("""COMPUTED_VALUE"""),"They also had similar challenges, particularly around logistics and transportation, as well as coordination of efforts on the ground. However, in terms of learning from their experiences, while both countries conducted workshops to review the lessons lear"&amp;"nt, only Vanuatu produced a detailed report with practical recommendations forthe government to pursue. This is further evidence of Vanuatu's strong commitment to disaster risk reduction and management compared with Dominica.")</f>
        <v>They also had similar challenges, particularly around logistics and transportation, as well as coordination of efforts on the ground. However, in terms of learning from their experiences, while both countries conducted workshops to review the lessons learnt, only Vanuatu produced a detailed report with practical recommendations forthe government to pursue. This is further evidence of Vanuatu's strong commitment to disaster risk reduction and management compared with Dominica.</v>
      </c>
      <c r="C79" s="53"/>
      <c r="D79" s="48" t="b">
        <f t="shared" ref="D79:H79" si="156">VLOOKUP($A79, INDIRECT(D$1&amp;"!A:C"), 3, FALSE)</f>
        <v>0</v>
      </c>
      <c r="E79" s="48" t="str">
        <f t="shared" si="156"/>
        <v>TO DO</v>
      </c>
      <c r="F79" s="48" t="str">
        <f t="shared" si="156"/>
        <v>TO DO</v>
      </c>
      <c r="G79" s="48" t="b">
        <f t="shared" si="156"/>
        <v>0</v>
      </c>
      <c r="H79" s="48" t="b">
        <f t="shared" si="156"/>
        <v>0</v>
      </c>
      <c r="I79" s="49">
        <f t="shared" si="4"/>
        <v>1</v>
      </c>
      <c r="J79" s="50" t="str">
        <f t="shared" ref="J79:N79" si="157">VLOOKUP($A79, INDIRECT(J$1&amp;"!A:D"), 4, FALSE)</f>
        <v/>
      </c>
      <c r="K79" s="50" t="str">
        <f t="shared" si="157"/>
        <v/>
      </c>
      <c r="L79" s="50" t="str">
        <f t="shared" si="157"/>
        <v/>
      </c>
      <c r="M79" s="50" t="str">
        <f t="shared" si="157"/>
        <v/>
      </c>
      <c r="N79" s="50" t="str">
        <f t="shared" si="157"/>
        <v>on country level, again 11.5 is broadly defined</v>
      </c>
      <c r="O79" s="49" t="str">
        <f>IFERROR(__xludf.DUMMYFUNCTION("IF(COUNTA(J79:N79)=0, """", ARRAYFORMULA(""- ""&amp;TEXTJOIN(char(10)&amp;""- "", TRUE, FILTER(J$1:N$1&amp;"": ""&amp;J79:N79, NOT(ISBLANK(J79:N79))))))"),"- Steve: on country level, again 11.5 is broadly defined")</f>
        <v>- Steve: on country level, again 11.5 is broadly defined</v>
      </c>
      <c r="P79" s="49" t="s">
        <v>459</v>
      </c>
      <c r="Q79" s="51" t="b">
        <v>0</v>
      </c>
    </row>
    <row r="80" hidden="1">
      <c r="A80" s="12" t="str">
        <f>IFERROR(__xludf.DUMMYFUNCTION("""COMPUTED_VALUE"""),"0590a65954fb64fd03f2a89ae4824da2")</f>
        <v>0590a65954fb64fd03f2a89ae4824da2</v>
      </c>
      <c r="B80" s="12" t="str">
        <f>IFERROR(__xludf.DUMMYFUNCTION("""COMPUTED_VALUE"""),"If large-scale hazardous events and outliers are excluded disaster mortality triggered by hydrometeorological hazards can be observed in an upward trend, as shown in figure 15. These variations call for deeper analysis of each sector and kinds of disaster"&amp;"s, for informed policymaking. Earthquakes account for the highest number of people potentially exposed, while flooding is the most frequent natural hazard, for which about 1 billion people in 155 countries were potentially exposed in 2015.")</f>
        <v>If large-scale hazardous events and outliers are excluded disaster mortality triggered by hydrometeorological hazards can be observed in an upward trend, as shown in figure 15. These variations call for deeper analysis of each sector and kinds of disasters, for informed policymaking. Earthquakes account for the highest number of people potentially exposed, while flooding is the most frequent natural hazard, for which about 1 billion people in 155 countries were potentially exposed in 2015.</v>
      </c>
      <c r="C80" s="53"/>
      <c r="D80" s="48" t="b">
        <f t="shared" ref="D80:H80" si="158">VLOOKUP($A80, INDIRECT(D$1&amp;"!A:C"), 3, FALSE)</f>
        <v>0</v>
      </c>
      <c r="E80" s="48" t="str">
        <f t="shared" si="158"/>
        <v>TO DO</v>
      </c>
      <c r="F80" s="48" t="str">
        <f t="shared" si="158"/>
        <v>TO DO</v>
      </c>
      <c r="G80" s="48" t="b">
        <f t="shared" si="158"/>
        <v>0</v>
      </c>
      <c r="H80" s="48" t="b">
        <f t="shared" si="158"/>
        <v>1</v>
      </c>
      <c r="I80" s="49">
        <f t="shared" si="4"/>
        <v>0.3333333333</v>
      </c>
      <c r="J80" s="50" t="str">
        <f t="shared" ref="J80:N80" si="159">VLOOKUP($A80, INDIRECT(J$1&amp;"!A:D"), 4, FALSE)</f>
        <v/>
      </c>
      <c r="K80" s="50" t="str">
        <f t="shared" si="159"/>
        <v/>
      </c>
      <c r="L80" s="50" t="str">
        <f t="shared" si="159"/>
        <v/>
      </c>
      <c r="M80" s="50" t="str">
        <f t="shared" si="159"/>
        <v/>
      </c>
      <c r="N80" s="50" t="str">
        <f t="shared" si="159"/>
        <v/>
      </c>
      <c r="O80" s="49" t="str">
        <f>IFERROR(__xludf.DUMMYFUNCTION("IF(COUNTA(J80:N80)=0, """", ARRAYFORMULA(""- ""&amp;TEXTJOIN(char(10)&amp;""- "", TRUE, FILTER(J$1:N$1&amp;"": ""&amp;J80:N80, NOT(ISBLANK(J80:N80))))))"),"")</f>
        <v/>
      </c>
      <c r="P80" s="49" t="s">
        <v>419</v>
      </c>
      <c r="Q80" s="51" t="s">
        <v>422</v>
      </c>
    </row>
    <row r="81">
      <c r="A81" s="12" t="str">
        <f>IFERROR(__xludf.DUMMYFUNCTION("""COMPUTED_VALUE"""),"d0d3c38907f445ec4a87e24564539df6")</f>
        <v>d0d3c38907f445ec4a87e24564539df6</v>
      </c>
      <c r="B81" s="12" t="str">
        <f>IFERROR(__xludf.DUMMYFUNCTION("""COMPUTED_VALUE"""),"There is too little water for current and future demand for potable water to be met from local sources. At the same time, torrential rainfall during the rainy season results in frequent flooding that affects residents, houses and infrastructure. Moreover,"&amp;" growing water demand, overexploited local and neighbouring aquifers and basins, ageing infrastructure, lack of investment, artificial low tariffs and high operation costs, and the deterioration of water quality have taken the water system to the limits o"&amp;"f its physical and financial operability. The largest body of water is the artificially created lake “Nabor Carrillo”, with a surface area of about 10 km2, the sixth-largest lake in Mexico (CONAGUA, 2014a).")</f>
        <v>There is too little water for current and future demand for potable water to be met from local sources. At the same time, torrential rainfall during the rainy season results in frequent flooding that affects residents, houses and infrastructure. Moreover, growing water demand, overexploited local and neighbouring aquifers and basins, ageing infrastructure, lack of investment, artificial low tariffs and high operation costs, and the deterioration of water quality have taken the water system to the limits of its physical and financial operability. The largest body of water is the artificially created lake “Nabor Carrillo”, with a surface area of about 10 km2, the sixth-largest lake in Mexico (CONAGUA, 2014a).</v>
      </c>
      <c r="C81" s="7"/>
      <c r="D81" s="48" t="b">
        <f t="shared" ref="D81:H81" si="160">VLOOKUP($A81, INDIRECT(D$1&amp;"!A:C"), 3, FALSE)</f>
        <v>1</v>
      </c>
      <c r="E81" s="48" t="str">
        <f t="shared" si="160"/>
        <v>TO DO</v>
      </c>
      <c r="F81" s="48" t="str">
        <f t="shared" si="160"/>
        <v>TO DO</v>
      </c>
      <c r="G81" s="48" t="b">
        <f t="shared" si="160"/>
        <v>1</v>
      </c>
      <c r="H81" s="48" t="b">
        <f t="shared" si="160"/>
        <v>1</v>
      </c>
      <c r="I81" s="49">
        <f t="shared" si="4"/>
        <v>1</v>
      </c>
      <c r="J81" s="50" t="str">
        <f t="shared" ref="J81:N81" si="161">VLOOKUP($A81, INDIRECT(J$1&amp;"!A:D"), 4, FALSE)</f>
        <v/>
      </c>
      <c r="K81" s="50" t="str">
        <f t="shared" si="161"/>
        <v/>
      </c>
      <c r="L81" s="50" t="str">
        <f t="shared" si="161"/>
        <v/>
      </c>
      <c r="M81" s="50" t="str">
        <f t="shared" si="161"/>
        <v/>
      </c>
      <c r="N81" s="50" t="str">
        <f t="shared" si="161"/>
        <v/>
      </c>
      <c r="O81" s="49" t="str">
        <f>IFERROR(__xludf.DUMMYFUNCTION("IF(COUNTA(J81:N81)=0, """", ARRAYFORMULA(""- ""&amp;TEXTJOIN(char(10)&amp;""- "", TRUE, FILTER(J$1:N$1&amp;"": ""&amp;J81:N81, NOT(ISBLANK(J81:N81))))))"),"")</f>
        <v/>
      </c>
      <c r="P81" s="49" t="s">
        <v>419</v>
      </c>
      <c r="Q81" s="51" t="b">
        <v>1</v>
      </c>
    </row>
    <row r="82">
      <c r="A82" s="12" t="str">
        <f>IFERROR(__xludf.DUMMYFUNCTION("""COMPUTED_VALUE"""),"ef2eefd96209298590ea57de6f87e7e9")</f>
        <v>ef2eefd96209298590ea57de6f87e7e9</v>
      </c>
      <c r="B82" s="12" t="str">
        <f>IFERROR(__xludf.DUMMYFUNCTION("""COMPUTED_VALUE"""),"Current production of desalinated water is expected to quadruple by 2019 (Edwards et al., While large-scale desalination significantly increases water availability, it has potentially adverse environmental impacts in the form of greater energy consumption"&amp;" and subsequent increases in greenhouse gas emissions (OECD, 2011 a). Brine discharges to the sea can lead to substantial increases in salinity and temperature, and to the accumulation of metals (e.g. iron), hydrocarbons and toxic anti-fouling compounds i"&amp;"n receiving waters (Roberts et al.,")</f>
        <v>Current production of desalinated water is expected to quadruple by 2019 (Edwards et al., While large-scale desalination significantly increases water availability, it has potentially adverse environmental impacts in the form of greater energy consumption and subsequent increases in greenhouse gas emissions (OECD, 2011 a). Brine discharges to the sea can lead to substantial increases in salinity and temperature, and to the accumulation of metals (e.g. iron), hydrocarbons and toxic anti-fouling compounds in receiving waters (Roberts et al.,</v>
      </c>
      <c r="C82" s="53"/>
      <c r="D82" s="48" t="b">
        <f t="shared" ref="D82:H82" si="162">VLOOKUP($A82, INDIRECT(D$1&amp;"!A:C"), 3, FALSE)</f>
        <v>0</v>
      </c>
      <c r="E82" s="48" t="str">
        <f t="shared" si="162"/>
        <v>TO DO</v>
      </c>
      <c r="F82" s="48" t="str">
        <f t="shared" si="162"/>
        <v>TO DO</v>
      </c>
      <c r="G82" s="48" t="b">
        <f t="shared" si="162"/>
        <v>0</v>
      </c>
      <c r="H82" s="48" t="b">
        <f t="shared" si="162"/>
        <v>0</v>
      </c>
      <c r="I82" s="49">
        <f t="shared" si="4"/>
        <v>1</v>
      </c>
      <c r="J82" s="50" t="str">
        <f t="shared" ref="J82:N82" si="163">VLOOKUP($A82, INDIRECT(J$1&amp;"!A:D"), 4, FALSE)</f>
        <v/>
      </c>
      <c r="K82" s="50" t="str">
        <f t="shared" si="163"/>
        <v/>
      </c>
      <c r="L82" s="50" t="str">
        <f t="shared" si="163"/>
        <v/>
      </c>
      <c r="M82" s="50" t="str">
        <f t="shared" si="163"/>
        <v/>
      </c>
      <c r="N82" s="50" t="str">
        <f t="shared" si="163"/>
        <v/>
      </c>
      <c r="O82" s="49" t="str">
        <f>IFERROR(__xludf.DUMMYFUNCTION("IF(COUNTA(J82:N82)=0, """", ARRAYFORMULA(""- ""&amp;TEXTJOIN(char(10)&amp;""- "", TRUE, FILTER(J$1:N$1&amp;"": ""&amp;J82:N82, NOT(ISBLANK(J82:N82))))))"),"")</f>
        <v/>
      </c>
      <c r="P82" s="49" t="s">
        <v>419</v>
      </c>
      <c r="Q82" s="51" t="b">
        <v>0</v>
      </c>
    </row>
    <row r="83">
      <c r="A83" s="12" t="str">
        <f>IFERROR(__xludf.DUMMYFUNCTION("""COMPUTED_VALUE"""),"73157abeb01e78a44910f85cf380611f")</f>
        <v>73157abeb01e78a44910f85cf380611f</v>
      </c>
      <c r="B83" s="12" t="str">
        <f>IFERROR(__xludf.DUMMYFUNCTION("""COMPUTED_VALUE"""),"One of the main problems is that even the existence of landfills does not guarantee an adequate treatment of waste. Only between 3.9% and 6.7% of the waste that enters into the selection plants is recuperated, and the rest is deposited in landfills. Manag"&amp;"ing solid waste costs MXN 3 billion yearly (USD 185 million approximately). Mexico City has 13 transfer stations to select, store and concentrate solid waste. It also has two selection plants to separate waste that can be recycled.")</f>
        <v>One of the main problems is that even the existence of landfills does not guarantee an adequate treatment of waste. Only between 3.9% and 6.7% of the waste that enters into the selection plants is recuperated, and the rest is deposited in landfills. Managing solid waste costs MXN 3 billion yearly (USD 185 million approximately). Mexico City has 13 transfer stations to select, store and concentrate solid waste. It also has two selection plants to separate waste that can be recycled.</v>
      </c>
      <c r="C83" s="53"/>
      <c r="D83" s="48" t="b">
        <f t="shared" ref="D83:H83" si="164">VLOOKUP($A83, INDIRECT(D$1&amp;"!A:C"), 3, FALSE)</f>
        <v>1</v>
      </c>
      <c r="E83" s="48" t="str">
        <f t="shared" si="164"/>
        <v>TO DO</v>
      </c>
      <c r="F83" s="48" t="str">
        <f t="shared" si="164"/>
        <v>TO DO</v>
      </c>
      <c r="G83" s="48" t="b">
        <f t="shared" si="164"/>
        <v>1</v>
      </c>
      <c r="H83" s="48" t="b">
        <f t="shared" si="164"/>
        <v>1</v>
      </c>
      <c r="I83" s="49">
        <f t="shared" si="4"/>
        <v>1</v>
      </c>
      <c r="J83" s="50" t="str">
        <f t="shared" ref="J83:N83" si="165">VLOOKUP($A83, INDIRECT(J$1&amp;"!A:D"), 4, FALSE)</f>
        <v/>
      </c>
      <c r="K83" s="50" t="str">
        <f t="shared" si="165"/>
        <v/>
      </c>
      <c r="L83" s="50" t="str">
        <f t="shared" si="165"/>
        <v/>
      </c>
      <c r="M83" s="50" t="str">
        <f t="shared" si="165"/>
        <v/>
      </c>
      <c r="N83" s="50" t="str">
        <f t="shared" si="165"/>
        <v/>
      </c>
      <c r="O83" s="49" t="str">
        <f>IFERROR(__xludf.DUMMYFUNCTION("IF(COUNTA(J83:N83)=0, """", ARRAYFORMULA(""- ""&amp;TEXTJOIN(char(10)&amp;""- "", TRUE, FILTER(J$1:N$1&amp;"": ""&amp;J83:N83, NOT(ISBLANK(J83:N83))))))"),"")</f>
        <v/>
      </c>
      <c r="P83" s="49" t="s">
        <v>419</v>
      </c>
      <c r="Q83" s="51" t="b">
        <v>1</v>
      </c>
    </row>
    <row r="84" hidden="1">
      <c r="A84" s="12" t="str">
        <f>IFERROR(__xludf.DUMMYFUNCTION("""COMPUTED_VALUE"""),"39afe4be4f05bb5c018ff0a114770838")</f>
        <v>39afe4be4f05bb5c018ff0a114770838</v>
      </c>
      <c r="B84" s="12" t="str">
        <f>IFERROR(__xludf.DUMMYFUNCTION("""COMPUTED_VALUE"""),"In 2014, the educational attainment rate of the region was 73%, approximately 10 percentage points smaller than the national average. However, the educational attainment rate of the region is about 7 percentage points higher than the average rural TL2 reg"&amp;"ion’s rate. Another area of comparative weakness is environmental quality: The level of air pollution was in 2014 about 21.7 in pg/m3, positioning Gangwong in the bottom in terms of environmental quality performance across OECD TL2 regions.")</f>
        <v>In 2014, the educational attainment rate of the region was 73%, approximately 10 percentage points smaller than the national average. However, the educational attainment rate of the region is about 7 percentage points higher than the average rural TL2 region’s rate. Another area of comparative weakness is environmental quality: The level of air pollution was in 2014 about 21.7 in pg/m3, positioning Gangwong in the bottom in terms of environmental quality performance across OECD TL2 regions.</v>
      </c>
      <c r="C84" s="54"/>
      <c r="D84" s="48" t="b">
        <f t="shared" ref="D84:H84" si="166">VLOOKUP($A84, INDIRECT(D$1&amp;"!A:C"), 3, FALSE)</f>
        <v>1</v>
      </c>
      <c r="E84" s="48" t="str">
        <f t="shared" si="166"/>
        <v>TO DO</v>
      </c>
      <c r="F84" s="48" t="str">
        <f t="shared" si="166"/>
        <v>TO DO</v>
      </c>
      <c r="G84" s="48" t="b">
        <f t="shared" si="166"/>
        <v>0</v>
      </c>
      <c r="H84" s="48" t="b">
        <f t="shared" si="166"/>
        <v>0</v>
      </c>
      <c r="I84" s="49">
        <f t="shared" si="4"/>
        <v>0.3333333333</v>
      </c>
      <c r="J84" s="50" t="str">
        <f t="shared" ref="J84:N84" si="167">VLOOKUP($A84, INDIRECT(J$1&amp;"!A:D"), 4, FALSE)</f>
        <v/>
      </c>
      <c r="K84" s="50" t="str">
        <f t="shared" si="167"/>
        <v/>
      </c>
      <c r="L84" s="50" t="str">
        <f t="shared" si="167"/>
        <v/>
      </c>
      <c r="M84" s="50" t="str">
        <f t="shared" si="167"/>
        <v/>
      </c>
      <c r="N84" s="50" t="str">
        <f t="shared" si="167"/>
        <v/>
      </c>
      <c r="O84" s="49" t="str">
        <f>IFERROR(__xludf.DUMMYFUNCTION("IF(COUNTA(J84:N84)=0, """", ARRAYFORMULA(""- ""&amp;TEXTJOIN(char(10)&amp;""- "", TRUE, FILTER(J$1:N$1&amp;"": ""&amp;J84:N84, NOT(ISBLANK(J84:N84))))))"),"")</f>
        <v/>
      </c>
      <c r="P84" s="49" t="s">
        <v>419</v>
      </c>
      <c r="Q84" s="51" t="s">
        <v>422</v>
      </c>
    </row>
    <row r="85" hidden="1">
      <c r="A85" s="12" t="str">
        <f>IFERROR(__xludf.DUMMYFUNCTION("""COMPUTED_VALUE"""),"c2960a2966661cc6168ace0e738ff27a")</f>
        <v>c2960a2966661cc6168ace0e738ff27a</v>
      </c>
      <c r="B85" s="12" t="str">
        <f>IFERROR(__xludf.DUMMYFUNCTION("""COMPUTED_VALUE"""),"If the industrial zone is within the city, DOC and PPC are involved as well. The overlapping of mandates, coupled with the lack of co-ordination has crippled effective implementation. The Decision has assigned each ministry to be responsible for the air q"&amp;"uality resulting from the economic activities that they manage, and all ministries to be equally responsible for the implementation of this decision. However, no co-ordination mechanism across ministries such as an appointed focal point has been proposed,"&amp;" which tends to make the implementation more difficult.")</f>
        <v>If the industrial zone is within the city, DOC and PPC are involved as well. The overlapping of mandates, coupled with the lack of co-ordination has crippled effective implementation. The Decision has assigned each ministry to be responsible for the air quality resulting from the economic activities that they manage, and all ministries to be equally responsible for the implementation of this decision. However, no co-ordination mechanism across ministries such as an appointed focal point has been proposed, which tends to make the implementation more difficult.</v>
      </c>
      <c r="C85" s="54"/>
      <c r="D85" s="48" t="b">
        <f t="shared" ref="D85:H85" si="168">VLOOKUP($A85, INDIRECT(D$1&amp;"!A:C"), 3, FALSE)</f>
        <v>1</v>
      </c>
      <c r="E85" s="48" t="str">
        <f t="shared" si="168"/>
        <v>TO DO</v>
      </c>
      <c r="F85" s="48" t="str">
        <f t="shared" si="168"/>
        <v>TO DO</v>
      </c>
      <c r="G85" s="48" t="b">
        <f t="shared" si="168"/>
        <v>1</v>
      </c>
      <c r="H85" s="48" t="b">
        <f t="shared" si="168"/>
        <v>0</v>
      </c>
      <c r="I85" s="49">
        <f t="shared" si="4"/>
        <v>0.3333333333</v>
      </c>
      <c r="J85" s="50" t="str">
        <f t="shared" ref="J85:N85" si="169">VLOOKUP($A85, INDIRECT(J$1&amp;"!A:D"), 4, FALSE)</f>
        <v>air quality</v>
      </c>
      <c r="K85" s="50" t="str">
        <f t="shared" si="169"/>
        <v/>
      </c>
      <c r="L85" s="50" t="str">
        <f t="shared" si="169"/>
        <v/>
      </c>
      <c r="M85" s="50" t="str">
        <f t="shared" si="169"/>
        <v/>
      </c>
      <c r="N85" s="50" t="str">
        <f t="shared" si="169"/>
        <v/>
      </c>
      <c r="O85" s="49" t="str">
        <f>IFERROR(__xludf.DUMMYFUNCTION("IF(COUNTA(J85:N85)=0, """", ARRAYFORMULA(""- ""&amp;TEXTJOIN(char(10)&amp;""- "", TRUE, FILTER(J$1:N$1&amp;"": ""&amp;J85:N85, NOT(ISBLANK(J85:N85))))))"),"- Finn: air quality")</f>
        <v>- Finn: air quality</v>
      </c>
      <c r="P85" s="49" t="s">
        <v>460</v>
      </c>
      <c r="Q85" s="51" t="s">
        <v>422</v>
      </c>
    </row>
    <row r="86">
      <c r="A86" s="12" t="str">
        <f>IFERROR(__xludf.DUMMYFUNCTION("""COMPUTED_VALUE"""),"56c07b1c6bd7e390e29a05b94305693c")</f>
        <v>56c07b1c6bd7e390e29a05b94305693c</v>
      </c>
      <c r="B86" s="12" t="str">
        <f>IFERROR(__xludf.DUMMYFUNCTION("""COMPUTED_VALUE"""),"These tools are contributing to the growing science of cities. This initiative envisions the use of circular economy techniques to link an urban extension to existing settlements. The initiative aims to incen-tivize ideas for decentralized, closed-loop mo"&amp;"dels of spatial planning and peri-urban service provision that replace fossil energy with renewables, derive new water, biogas, and fertilizer from wastewater, and produce food and biofuel with recycled inputs, all co-generated at near net-zero waste. Eac"&amp;"h RENEWW Zone would offer, within walking or cycling distance, a green space for community recreation, recycling and sanitation services, as well as a place to purchase fresh food, recycled goods, biofuels and safe drinking water.")</f>
        <v>These tools are contributing to the growing science of cities. This initiative envisions the use of circular economy techniques to link an urban extension to existing settlements. The initiative aims to incen-tivize ideas for decentralized, closed-loop models of spatial planning and peri-urban service provision that replace fossil energy with renewables, derive new water, biogas, and fertilizer from wastewater, and produce food and biofuel with recycled inputs, all co-generated at near net-zero waste. Each RENEWW Zone would offer, within walking or cycling distance, a green space for community recreation, recycling and sanitation services, as well as a place to purchase fresh food, recycled goods, biofuels and safe drinking water.</v>
      </c>
      <c r="C86" s="7"/>
      <c r="D86" s="48" t="b">
        <f t="shared" ref="D86:H86" si="170">VLOOKUP($A86, INDIRECT(D$1&amp;"!A:C"), 3, FALSE)</f>
        <v>1</v>
      </c>
      <c r="E86" s="48" t="str">
        <f t="shared" si="170"/>
        <v>TO DO</v>
      </c>
      <c r="F86" s="48" t="str">
        <f t="shared" si="170"/>
        <v>TO DO</v>
      </c>
      <c r="G86" s="48" t="b">
        <f t="shared" si="170"/>
        <v>1</v>
      </c>
      <c r="H86" s="48" t="b">
        <f t="shared" si="170"/>
        <v>1</v>
      </c>
      <c r="I86" s="49">
        <f t="shared" si="4"/>
        <v>1</v>
      </c>
      <c r="J86" s="50" t="str">
        <f t="shared" ref="J86:N86" si="171">VLOOKUP($A86, INDIRECT(J$1&amp;"!A:D"), 4, FALSE)</f>
        <v/>
      </c>
      <c r="K86" s="50" t="str">
        <f t="shared" si="171"/>
        <v/>
      </c>
      <c r="L86" s="50" t="str">
        <f t="shared" si="171"/>
        <v/>
      </c>
      <c r="M86" s="50" t="str">
        <f t="shared" si="171"/>
        <v/>
      </c>
      <c r="N86" s="50" t="str">
        <f t="shared" si="171"/>
        <v/>
      </c>
      <c r="O86" s="49" t="str">
        <f>IFERROR(__xludf.DUMMYFUNCTION("IF(COUNTA(J86:N86)=0, """", ARRAYFORMULA(""- ""&amp;TEXTJOIN(char(10)&amp;""- "", TRUE, FILTER(J$1:N$1&amp;"": ""&amp;J86:N86, NOT(ISBLANK(J86:N86))))))"),"")</f>
        <v/>
      </c>
      <c r="P86" s="49" t="s">
        <v>419</v>
      </c>
      <c r="Q86" s="51" t="b">
        <v>1</v>
      </c>
    </row>
    <row r="87">
      <c r="A87" s="12" t="str">
        <f>IFERROR(__xludf.DUMMYFUNCTION("""COMPUTED_VALUE"""),"4d6b26f71367410945101fdd9168901e")</f>
        <v>4d6b26f71367410945101fdd9168901e</v>
      </c>
      <c r="B87" s="12" t="str">
        <f>IFERROR(__xludf.DUMMYFUNCTION("""COMPUTED_VALUE"""),"The main focus of the plan in public spaces has been pavements, crossings, bus stops and reserved parking for people with disabilities. The city thus aimed at reducing barriers to walking, adapting existing environmental design and raising awareness among"&amp;" pedestrians and road users, all of which are measures to improve autonomous access to services and comprise a starting point for reducing social isolation. The matter generated intense public debate, as cobblestones are associated with Lisbon's visual id"&amp;"entity. However, cobblestones make pavements irregular, uncomfortable and slippery, reducing safety and accessibility.")</f>
        <v>The main focus of the plan in public spaces has been pavements, crossings, bus stops and reserved parking for people with disabilities. The city thus aimed at reducing barriers to walking, adapting existing environmental design and raising awareness among pedestrians and road users, all of which are measures to improve autonomous access to services and comprise a starting point for reducing social isolation. The matter generated intense public debate, as cobblestones are associated with Lisbon's visual identity. However, cobblestones make pavements irregular, uncomfortable and slippery, reducing safety and accessibility.</v>
      </c>
      <c r="C87" s="7"/>
      <c r="D87" s="48" t="b">
        <f t="shared" ref="D87:H87" si="172">VLOOKUP($A87, INDIRECT(D$1&amp;"!A:C"), 3, FALSE)</f>
        <v>1</v>
      </c>
      <c r="E87" s="48" t="str">
        <f t="shared" si="172"/>
        <v>TO DO</v>
      </c>
      <c r="F87" s="48" t="str">
        <f t="shared" si="172"/>
        <v>TO DO</v>
      </c>
      <c r="G87" s="48" t="b">
        <f t="shared" si="172"/>
        <v>1</v>
      </c>
      <c r="H87" s="48" t="b">
        <f t="shared" si="172"/>
        <v>1</v>
      </c>
      <c r="I87" s="49">
        <f t="shared" si="4"/>
        <v>1</v>
      </c>
      <c r="J87" s="50" t="str">
        <f t="shared" ref="J87:N87" si="173">VLOOKUP($A87, INDIRECT(J$1&amp;"!A:D"), 4, FALSE)</f>
        <v/>
      </c>
      <c r="K87" s="50" t="str">
        <f t="shared" si="173"/>
        <v/>
      </c>
      <c r="L87" s="50" t="str">
        <f t="shared" si="173"/>
        <v/>
      </c>
      <c r="M87" s="50" t="str">
        <f t="shared" si="173"/>
        <v/>
      </c>
      <c r="N87" s="50" t="str">
        <f t="shared" si="173"/>
        <v/>
      </c>
      <c r="O87" s="49" t="str">
        <f>IFERROR(__xludf.DUMMYFUNCTION("IF(COUNTA(J87:N87)=0, """", ARRAYFORMULA(""- ""&amp;TEXTJOIN(char(10)&amp;""- "", TRUE, FILTER(J$1:N$1&amp;"": ""&amp;J87:N87, NOT(ISBLANK(J87:N87))))))"),"")</f>
        <v/>
      </c>
      <c r="P87" s="49" t="s">
        <v>419</v>
      </c>
      <c r="Q87" s="51" t="b">
        <v>1</v>
      </c>
    </row>
    <row r="88">
      <c r="A88" s="12" t="str">
        <f>IFERROR(__xludf.DUMMYFUNCTION("""COMPUTED_VALUE"""),"db5b4d07ae8da899ecafb97db700c4ef")</f>
        <v>db5b4d07ae8da899ecafb97db700c4ef</v>
      </c>
      <c r="B88" s="12" t="str">
        <f>IFERROR(__xludf.DUMMYFUNCTION("""COMPUTED_VALUE"""),"Hence, to avoid duplication, this Review will not go into detail on these issues. Directly elected mayors in England”, Cahiers du MIMMOC, http://mimmoc.revues.org/2288 (accessed 22 November 2016). Problems of Economic Transition, Routledge, Vol. Kazakhsta"&amp;"n 2050: Toward a Modern Society for All, Nazarbayev University, National Analytical Centre, Oxford University Press, Group Centennial International, Astana, pp.")</f>
        <v>Hence, to avoid duplication, this Review will not go into detail on these issues. Directly elected mayors in England”, Cahiers du MIMMOC, http://mimmoc.revues.org/2288 (accessed 22 November 2016). Problems of Economic Transition, Routledge, Vol. Kazakhstan 2050: Toward a Modern Society for All, Nazarbayev University, National Analytical Centre, Oxford University Press, Group Centennial International, Astana, pp.</v>
      </c>
      <c r="C88" s="53"/>
      <c r="D88" s="48" t="b">
        <f t="shared" ref="D88:H88" si="174">VLOOKUP($A88, INDIRECT(D$1&amp;"!A:C"), 3, FALSE)</f>
        <v>0</v>
      </c>
      <c r="E88" s="48" t="str">
        <f t="shared" si="174"/>
        <v>TO DO</v>
      </c>
      <c r="F88" s="48" t="str">
        <f t="shared" si="174"/>
        <v>TO DO</v>
      </c>
      <c r="G88" s="48" t="b">
        <f t="shared" si="174"/>
        <v>0</v>
      </c>
      <c r="H88" s="48" t="b">
        <f t="shared" si="174"/>
        <v>0</v>
      </c>
      <c r="I88" s="49">
        <f t="shared" si="4"/>
        <v>1</v>
      </c>
      <c r="J88" s="50" t="str">
        <f t="shared" ref="J88:N88" si="175">VLOOKUP($A88, INDIRECT(J$1&amp;"!A:D"), 4, FALSE)</f>
        <v/>
      </c>
      <c r="K88" s="50" t="str">
        <f t="shared" si="175"/>
        <v/>
      </c>
      <c r="L88" s="50" t="str">
        <f t="shared" si="175"/>
        <v/>
      </c>
      <c r="M88" s="50" t="str">
        <f t="shared" si="175"/>
        <v/>
      </c>
      <c r="N88" s="50" t="str">
        <f t="shared" si="175"/>
        <v/>
      </c>
      <c r="O88" s="49" t="str">
        <f>IFERROR(__xludf.DUMMYFUNCTION("IF(COUNTA(J88:N88)=0, """", ARRAYFORMULA(""- ""&amp;TEXTJOIN(char(10)&amp;""- "", TRUE, FILTER(J$1:N$1&amp;"": ""&amp;J88:N88, NOT(ISBLANK(J88:N88))))))"),"")</f>
        <v/>
      </c>
      <c r="P88" s="49" t="s">
        <v>419</v>
      </c>
      <c r="Q88" s="51" t="b">
        <v>0</v>
      </c>
    </row>
    <row r="89" hidden="1">
      <c r="A89" s="12" t="str">
        <f>IFERROR(__xludf.DUMMYFUNCTION("""COMPUTED_VALUE"""),"f333389933e7a4c88cc6938f62c84b49")</f>
        <v>f333389933e7a4c88cc6938f62c84b49</v>
      </c>
      <c r="B89" s="12" t="str">
        <f>IFERROR(__xludf.DUMMYFUNCTION("""COMPUTED_VALUE"""),"The pilot is limited to 100 participants who are either parking pass subscribers or non-parking pass subscribers. Parking pass subscribers receive free trips to and from the station and non-parking pass subscribers will be charged a flat USD 2 rate per ri"&amp;"de. Because the focus is on work commute trips, rides are limited to two per workday per person and from only 5:00 to 21:00.")</f>
        <v>The pilot is limited to 100 participants who are either parking pass subscribers or non-parking pass subscribers. Parking pass subscribers receive free trips to and from the station and non-parking pass subscribers will be charged a flat USD 2 rate per ride. Because the focus is on work commute trips, rides are limited to two per workday per person and from only 5:00 to 21:00.</v>
      </c>
      <c r="C89" s="53"/>
      <c r="D89" s="48" t="b">
        <f t="shared" ref="D89:H89" si="176">VLOOKUP($A89, INDIRECT(D$1&amp;"!A:C"), 3, FALSE)</f>
        <v>1</v>
      </c>
      <c r="E89" s="48" t="str">
        <f t="shared" si="176"/>
        <v>TO DO</v>
      </c>
      <c r="F89" s="48" t="str">
        <f t="shared" si="176"/>
        <v>TO DO</v>
      </c>
      <c r="G89" s="48" t="b">
        <f t="shared" si="176"/>
        <v>0</v>
      </c>
      <c r="H89" s="48" t="b">
        <f t="shared" si="176"/>
        <v>0</v>
      </c>
      <c r="I89" s="49">
        <f t="shared" si="4"/>
        <v>0.3333333333</v>
      </c>
      <c r="J89" s="50" t="str">
        <f t="shared" ref="J89:N89" si="177">VLOOKUP($A89, INDIRECT(J$1&amp;"!A:D"), 4, FALSE)</f>
        <v>transport?</v>
      </c>
      <c r="K89" s="50" t="str">
        <f t="shared" si="177"/>
        <v/>
      </c>
      <c r="L89" s="50" t="str">
        <f t="shared" si="177"/>
        <v/>
      </c>
      <c r="M89" s="50" t="str">
        <f t="shared" si="177"/>
        <v/>
      </c>
      <c r="N89" s="50" t="str">
        <f t="shared" si="177"/>
        <v/>
      </c>
      <c r="O89" s="49" t="str">
        <f>IFERROR(__xludf.DUMMYFUNCTION("IF(COUNTA(J89:N89)=0, """", ARRAYFORMULA(""- ""&amp;TEXTJOIN(char(10)&amp;""- "", TRUE, FILTER(J$1:N$1&amp;"": ""&amp;J89:N89, NOT(ISBLANK(J89:N89))))))"),"- Finn: transport?")</f>
        <v>- Finn: transport?</v>
      </c>
      <c r="P89" s="49" t="s">
        <v>461</v>
      </c>
      <c r="Q89" s="51" t="s">
        <v>422</v>
      </c>
    </row>
    <row r="90">
      <c r="A90" s="12" t="str">
        <f>IFERROR(__xludf.DUMMYFUNCTION("""COMPUTED_VALUE"""),"1305d3f1bba0b87e620cee82f935559f")</f>
        <v>1305d3f1bba0b87e620cee82f935559f</v>
      </c>
      <c r="B90" s="12" t="str">
        <f>IFERROR(__xludf.DUMMYFUNCTION("""COMPUTED_VALUE"""),"The IUDF is expected to contribute to strengthening rural-urban linkages, and promote urban resilience and urban safety. These goals inform the priority objectives of nice policy levers: i) integrated uiban planning and management, ii) integrated transpor"&amp;"t and mobility, iii) integrated sustainable human settlements, iv) integrated uiban infrastructure, v) efficient land governance and management, vi) inclusive economic development, vii) empowered active communities, viii) effective uiban governance, and i"&amp;"x) sustainable finances. The current urban legislative framework in Viet Nam, despite its considerable extent (e.g., laws, plans, strategies and programmes) (Table 2.2), has a very similar caveat as the current urban policy frameworks.")</f>
        <v>The IUDF is expected to contribute to strengthening rural-urban linkages, and promote urban resilience and urban safety. These goals inform the priority objectives of nice policy levers: i) integrated uiban planning and management, ii) integrated transport and mobility, iii) integrated sustainable human settlements, iv) integrated uiban infrastructure, v) efficient land governance and management, vi) inclusive economic development, vii) empowered active communities, viii) effective uiban governance, and ix) sustainable finances. The current urban legislative framework in Viet Nam, despite its considerable extent (e.g., laws, plans, strategies and programmes) (Table 2.2), has a very similar caveat as the current urban policy frameworks.</v>
      </c>
      <c r="C90" s="54"/>
      <c r="D90" s="48" t="b">
        <f t="shared" ref="D90:H90" si="178">VLOOKUP($A90, INDIRECT(D$1&amp;"!A:C"), 3, FALSE)</f>
        <v>1</v>
      </c>
      <c r="E90" s="48" t="str">
        <f t="shared" si="178"/>
        <v>TO DO</v>
      </c>
      <c r="F90" s="48" t="str">
        <f t="shared" si="178"/>
        <v>TO DO</v>
      </c>
      <c r="G90" s="48" t="b">
        <f t="shared" si="178"/>
        <v>1</v>
      </c>
      <c r="H90" s="48" t="b">
        <f t="shared" si="178"/>
        <v>1</v>
      </c>
      <c r="I90" s="49">
        <f t="shared" si="4"/>
        <v>1</v>
      </c>
      <c r="J90" s="50" t="str">
        <f t="shared" ref="J90:N90" si="179">VLOOKUP($A90, INDIRECT(J$1&amp;"!A:D"), 4, FALSE)</f>
        <v/>
      </c>
      <c r="K90" s="50" t="str">
        <f t="shared" si="179"/>
        <v/>
      </c>
      <c r="L90" s="50" t="str">
        <f t="shared" si="179"/>
        <v/>
      </c>
      <c r="M90" s="50" t="str">
        <f t="shared" si="179"/>
        <v/>
      </c>
      <c r="N90" s="50" t="str">
        <f t="shared" si="179"/>
        <v/>
      </c>
      <c r="O90" s="49" t="str">
        <f>IFERROR(__xludf.DUMMYFUNCTION("IF(COUNTA(J90:N90)=0, """", ARRAYFORMULA(""- ""&amp;TEXTJOIN(char(10)&amp;""- "", TRUE, FILTER(J$1:N$1&amp;"": ""&amp;J90:N90, NOT(ISBLANK(J90:N90))))))"),"")</f>
        <v/>
      </c>
      <c r="P90" s="49" t="s">
        <v>419</v>
      </c>
      <c r="Q90" s="51" t="b">
        <v>1</v>
      </c>
    </row>
    <row r="91">
      <c r="A91" s="12" t="str">
        <f>IFERROR(__xludf.DUMMYFUNCTION("""COMPUTED_VALUE"""),"9342ee3d92f04c8383a4b0a1c9687f31")</f>
        <v>9342ee3d92f04c8383a4b0a1c9687f31</v>
      </c>
      <c r="B91" s="12" t="str">
        <f>IFERROR(__xludf.DUMMYFUNCTION("""COMPUTED_VALUE"""),"These linkages have multifaceted positive impacts on individuals, families and communities. The potential for the co-development of urban and rural communities exists but requires partnerships between the migrants and the local authorities of both communi"&amp;"ties as well as support from national governments. It assists to shift the focus away from why people move to how they work, live and shape their habitats. Cities across the development spectrum have growing mobile and diverse populations to manage. In de"&amp;"veloped countries, one of the main sources of population diversity is international migration while, in less-developed countries, it is most likely internal migration1 and, to a lesser extent, growing international South-South migration.")</f>
        <v>These linkages have multifaceted positive impacts on individuals, families and communities. The potential for the co-development of urban and rural communities exists but requires partnerships between the migrants and the local authorities of both communities as well as support from national governments. It assists to shift the focus away from why people move to how they work, live and shape their habitats. Cities across the development spectrum have growing mobile and diverse populations to manage. In developed countries, one of the main sources of population diversity is international migration while, in less-developed countries, it is most likely internal migration1 and, to a lesser extent, growing international South-South migration.</v>
      </c>
      <c r="C91" s="54"/>
      <c r="D91" s="48" t="b">
        <f t="shared" ref="D91:H91" si="180">VLOOKUP($A91, INDIRECT(D$1&amp;"!A:C"), 3, FALSE)</f>
        <v>1</v>
      </c>
      <c r="E91" s="48" t="str">
        <f t="shared" si="180"/>
        <v>TO DO</v>
      </c>
      <c r="F91" s="48" t="str">
        <f t="shared" si="180"/>
        <v>TO DO</v>
      </c>
      <c r="G91" s="48" t="b">
        <f t="shared" si="180"/>
        <v>1</v>
      </c>
      <c r="H91" s="48" t="b">
        <f t="shared" si="180"/>
        <v>1</v>
      </c>
      <c r="I91" s="49">
        <f t="shared" si="4"/>
        <v>1</v>
      </c>
      <c r="J91" s="50" t="str">
        <f t="shared" ref="J91:N91" si="181">VLOOKUP($A91, INDIRECT(J$1&amp;"!A:D"), 4, FALSE)</f>
        <v/>
      </c>
      <c r="K91" s="50" t="str">
        <f t="shared" si="181"/>
        <v/>
      </c>
      <c r="L91" s="50" t="str">
        <f t="shared" si="181"/>
        <v/>
      </c>
      <c r="M91" s="50" t="str">
        <f t="shared" si="181"/>
        <v/>
      </c>
      <c r="N91" s="50" t="str">
        <f t="shared" si="181"/>
        <v/>
      </c>
      <c r="O91" s="49" t="str">
        <f>IFERROR(__xludf.DUMMYFUNCTION("IF(COUNTA(J91:N91)=0, """", ARRAYFORMULA(""- ""&amp;TEXTJOIN(char(10)&amp;""- "", TRUE, FILTER(J$1:N$1&amp;"": ""&amp;J91:N91, NOT(ISBLANK(J91:N91))))))"),"")</f>
        <v/>
      </c>
      <c r="P91" s="49" t="s">
        <v>419</v>
      </c>
      <c r="Q91" s="51" t="b">
        <v>1</v>
      </c>
    </row>
    <row r="92">
      <c r="A92" s="12" t="str">
        <f>IFERROR(__xludf.DUMMYFUNCTION("""COMPUTED_VALUE"""),"0f762fad9a17c9f99c82627ff4432c8c")</f>
        <v>0f762fad9a17c9f99c82627ff4432c8c</v>
      </c>
      <c r="B92" s="12" t="str">
        <f>IFERROR(__xludf.DUMMYFUNCTION("""COMPUTED_VALUE"""),"Substantial increases in land productivity were achieved through strict enforcement of the adoption of high-yield crop varieties, subsidised fertiliser and pesticide programmes, and collection and distribution systems run by the government. In order to re"&amp;"build agriculture, the Saemaul Undong was first initiated from 1971 to 1973, under the strong leadership of the central government. At the beginning, 6 000 rural villages participated, increasing to 34 665 villages in 1973.")</f>
        <v>Substantial increases in land productivity were achieved through strict enforcement of the adoption of high-yield crop varieties, subsidised fertiliser and pesticide programmes, and collection and distribution systems run by the government. In order to rebuild agriculture, the Saemaul Undong was first initiated from 1971 to 1973, under the strong leadership of the central government. At the beginning, 6 000 rural villages participated, increasing to 34 665 villages in 1973.</v>
      </c>
      <c r="C92" s="48"/>
      <c r="D92" s="48" t="b">
        <f t="shared" ref="D92:H92" si="182">VLOOKUP($A92, INDIRECT(D$1&amp;"!A:C"), 3, FALSE)</f>
        <v>0</v>
      </c>
      <c r="E92" s="48" t="str">
        <f t="shared" si="182"/>
        <v>TO DO</v>
      </c>
      <c r="F92" s="48" t="str">
        <f t="shared" si="182"/>
        <v>TO DO</v>
      </c>
      <c r="G92" s="48" t="b">
        <f t="shared" si="182"/>
        <v>0</v>
      </c>
      <c r="H92" s="48" t="b">
        <f t="shared" si="182"/>
        <v>0</v>
      </c>
      <c r="I92" s="49">
        <f t="shared" si="4"/>
        <v>1</v>
      </c>
      <c r="J92" s="50" t="str">
        <f t="shared" ref="J92:N92" si="183">VLOOKUP($A92, INDIRECT(J$1&amp;"!A:D"), 4, FALSE)</f>
        <v/>
      </c>
      <c r="K92" s="50" t="str">
        <f t="shared" si="183"/>
        <v/>
      </c>
      <c r="L92" s="50" t="str">
        <f t="shared" si="183"/>
        <v/>
      </c>
      <c r="M92" s="50" t="str">
        <f t="shared" si="183"/>
        <v/>
      </c>
      <c r="N92" s="50" t="str">
        <f t="shared" si="183"/>
        <v/>
      </c>
      <c r="O92" s="49" t="str">
        <f>IFERROR(__xludf.DUMMYFUNCTION("IF(COUNTA(J92:N92)=0, """", ARRAYFORMULA(""- ""&amp;TEXTJOIN(char(10)&amp;""- "", TRUE, FILTER(J$1:N$1&amp;"": ""&amp;J92:N92, NOT(ISBLANK(J92:N92))))))"),"")</f>
        <v/>
      </c>
      <c r="P92" s="49" t="s">
        <v>419</v>
      </c>
      <c r="Q92" s="51" t="b">
        <v>0</v>
      </c>
    </row>
    <row r="93" hidden="1">
      <c r="A93" s="12" t="str">
        <f>IFERROR(__xludf.DUMMYFUNCTION("""COMPUTED_VALUE"""),"374476374face68cd69c384037410d5d")</f>
        <v>374476374face68cd69c384037410d5d</v>
      </c>
      <c r="B93" s="12" t="str">
        <f>IFERROR(__xludf.DUMMYFUNCTION("""COMPUTED_VALUE"""),"Technology can help rural residents provide and access information about service quality' and about alternative providers. Geolocation facilitates matching between the supply of and demand for services. Renewable energy can reduce “fuel poverty” that can "&amp;"be a common feature of remote regions, by allowing isolated communities to produce their own energy instead of importing expensive conventional fuels.")</f>
        <v>Technology can help rural residents provide and access information about service quality' and about alternative providers. Geolocation facilitates matching between the supply of and demand for services. Renewable energy can reduce “fuel poverty” that can be a common feature of remote regions, by allowing isolated communities to produce their own energy instead of importing expensive conventional fuels.</v>
      </c>
      <c r="C93" s="7"/>
      <c r="D93" s="48" t="b">
        <f t="shared" ref="D93:H93" si="184">VLOOKUP($A93, INDIRECT(D$1&amp;"!A:C"), 3, FALSE)</f>
        <v>0</v>
      </c>
      <c r="E93" s="48" t="str">
        <f t="shared" si="184"/>
        <v>TO DO</v>
      </c>
      <c r="F93" s="48" t="str">
        <f t="shared" si="184"/>
        <v>TO DO</v>
      </c>
      <c r="G93" s="48" t="b">
        <f t="shared" si="184"/>
        <v>1</v>
      </c>
      <c r="H93" s="48" t="b">
        <f t="shared" si="184"/>
        <v>1</v>
      </c>
      <c r="I93" s="49">
        <f t="shared" si="4"/>
        <v>0.3333333333</v>
      </c>
      <c r="J93" s="50" t="str">
        <f t="shared" ref="J93:N93" si="185">VLOOKUP($A93, INDIRECT(J$1&amp;"!A:D"), 4, FALSE)</f>
        <v/>
      </c>
      <c r="K93" s="50" t="str">
        <f t="shared" si="185"/>
        <v/>
      </c>
      <c r="L93" s="50" t="str">
        <f t="shared" si="185"/>
        <v/>
      </c>
      <c r="M93" s="50" t="str">
        <f t="shared" si="185"/>
        <v/>
      </c>
      <c r="N93" s="50" t="str">
        <f t="shared" si="185"/>
        <v>11.a, again rather weak link</v>
      </c>
      <c r="O93" s="49" t="str">
        <f>IFERROR(__xludf.DUMMYFUNCTION("IF(COUNTA(J93:N93)=0, """", ARRAYFORMULA(""- ""&amp;TEXTJOIN(char(10)&amp;""- "", TRUE, FILTER(J$1:N$1&amp;"": ""&amp;J93:N93, NOT(ISBLANK(J93:N93))))))"),"- Steve: 11.a, again rather weak link")</f>
        <v>- Steve: 11.a, again rather weak link</v>
      </c>
      <c r="P93" s="49" t="s">
        <v>462</v>
      </c>
      <c r="Q93" s="51" t="s">
        <v>422</v>
      </c>
    </row>
    <row r="94">
      <c r="A94" s="12" t="str">
        <f>IFERROR(__xludf.DUMMYFUNCTION("""COMPUTED_VALUE"""),"af000be593760edb6870c0aa73308648")</f>
        <v>af000be593760edb6870c0aa73308648</v>
      </c>
      <c r="B94" s="12" t="str">
        <f>IFERROR(__xludf.DUMMYFUNCTION("""COMPUTED_VALUE"""),"There are also significant opportunities for disaster risk reduction, response and reconstruction in cities including through land use planning, building codes and regulations, risk assessments, monitoring and early warning, and building-back-better respo"&amp;"nse and reconstruction approaches. The response of cities to the challenges of climate change has been fragmented, and significant gaps exist between the rhetoric of addressing climate change and the realities of action on the ground. The critical factor "&amp;"shaping urban responses to climate change is government capacity, which is hindered by factors that are institutional, technical, economic, or political in character. In developing countries, where resources are particularly limited, municipal authorities"&amp;" might be hesitant to invest in climate change adaptation given the many competing issues on their urban agendas.")</f>
        <v>There are also significant opportunities for disaster risk reduction, response and reconstruction in cities including through land use planning, building codes and regulations, risk assessments, monitoring and early warning, and building-back-better response and reconstruction approaches. The response of cities to the challenges of climate change has been fragmented, and significant gaps exist between the rhetoric of addressing climate change and the realities of action on the ground. The critical factor shaping urban responses to climate change is government capacity, which is hindered by factors that are institutional, technical, economic, or political in character. In developing countries, where resources are particularly limited, municipal authorities might be hesitant to invest in climate change adaptation given the many competing issues on their urban agendas.</v>
      </c>
      <c r="C94" s="48"/>
      <c r="D94" s="48" t="b">
        <f t="shared" ref="D94:H94" si="186">VLOOKUP($A94, INDIRECT(D$1&amp;"!A:C"), 3, FALSE)</f>
        <v>1</v>
      </c>
      <c r="E94" s="48" t="str">
        <f t="shared" si="186"/>
        <v>TO DO</v>
      </c>
      <c r="F94" s="48" t="str">
        <f t="shared" si="186"/>
        <v>TO DO</v>
      </c>
      <c r="G94" s="48" t="b">
        <f t="shared" si="186"/>
        <v>1</v>
      </c>
      <c r="H94" s="48" t="b">
        <f t="shared" si="186"/>
        <v>1</v>
      </c>
      <c r="I94" s="49">
        <f t="shared" si="4"/>
        <v>1</v>
      </c>
      <c r="J94" s="50" t="str">
        <f t="shared" ref="J94:N94" si="187">VLOOKUP($A94, INDIRECT(J$1&amp;"!A:D"), 4, FALSE)</f>
        <v/>
      </c>
      <c r="K94" s="50" t="str">
        <f t="shared" si="187"/>
        <v/>
      </c>
      <c r="L94" s="50" t="str">
        <f t="shared" si="187"/>
        <v/>
      </c>
      <c r="M94" s="50" t="str">
        <f t="shared" si="187"/>
        <v/>
      </c>
      <c r="N94" s="50" t="str">
        <f t="shared" si="187"/>
        <v/>
      </c>
      <c r="O94" s="49" t="str">
        <f>IFERROR(__xludf.DUMMYFUNCTION("IF(COUNTA(J94:N94)=0, """", ARRAYFORMULA(""- ""&amp;TEXTJOIN(char(10)&amp;""- "", TRUE, FILTER(J$1:N$1&amp;"": ""&amp;J94:N94, NOT(ISBLANK(J94:N94))))))"),"")</f>
        <v/>
      </c>
      <c r="P94" s="49" t="s">
        <v>419</v>
      </c>
      <c r="Q94" s="51" t="b">
        <v>1</v>
      </c>
    </row>
    <row r="95" hidden="1">
      <c r="A95" s="12" t="str">
        <f>IFERROR(__xludf.DUMMYFUNCTION("""COMPUTED_VALUE"""),"db6e0c40b4d8c538f0cce5d3e1260563")</f>
        <v>db6e0c40b4d8c538f0cce5d3e1260563</v>
      </c>
      <c r="B95" s="12" t="str">
        <f>IFERROR(__xludf.DUMMYFUNCTION("""COMPUTED_VALUE"""),"Fiscal management requires judicious policy actions moving forward. The budget deficit has been persistently high the last few years, resulting in a marked rise in the government debt-to-GDP ratio. While the imposition of appropriate spending restrictions"&amp;" is helpful, the falling revenue-to-GDP ratio needs attention. Furthermore, sustaining growth requires the leveraging of economic gains from electricity and mining production and from infrastructure projects (e.g. the railway from Lao PDR to China) to dev"&amp;"elop other industries. For instance, agriculture could use additional investment to enhance its climate resilience, operational efficiency and productivity. Despite the movement of labour to other sectors over the years, agriculture still accounts for mor"&amp;"e than 60% of total employment.")</f>
        <v>Fiscal management requires judicious policy actions moving forward. The budget deficit has been persistently high the last few years, resulting in a marked rise in the government debt-to-GDP ratio. While the imposition of appropriate spending restrictions is helpful, the falling revenue-to-GDP ratio needs attention. Furthermore, sustaining growth requires the leveraging of economic gains from electricity and mining production and from infrastructure projects (e.g. the railway from Lao PDR to China) to develop other industries. For instance, agriculture could use additional investment to enhance its climate resilience, operational efficiency and productivity. Despite the movement of labour to other sectors over the years, agriculture still accounts for more than 60% of total employment.</v>
      </c>
      <c r="C95" s="7"/>
      <c r="D95" s="48" t="b">
        <f t="shared" ref="D95:H95" si="188">VLOOKUP($A95, INDIRECT(D$1&amp;"!A:C"), 3, FALSE)</f>
        <v>0</v>
      </c>
      <c r="E95" s="48" t="str">
        <f t="shared" si="188"/>
        <v>TO DO</v>
      </c>
      <c r="F95" s="48" t="str">
        <f t="shared" si="188"/>
        <v>TO DO</v>
      </c>
      <c r="G95" s="48" t="b">
        <f t="shared" si="188"/>
        <v>1</v>
      </c>
      <c r="H95" s="48" t="b">
        <f t="shared" si="188"/>
        <v>0</v>
      </c>
      <c r="I95" s="49">
        <f t="shared" si="4"/>
        <v>0.3333333333</v>
      </c>
      <c r="J95" s="50" t="str">
        <f t="shared" ref="J95:N95" si="189">VLOOKUP($A95, INDIRECT(J$1&amp;"!A:D"), 4, FALSE)</f>
        <v/>
      </c>
      <c r="K95" s="50" t="str">
        <f t="shared" si="189"/>
        <v/>
      </c>
      <c r="L95" s="50" t="str">
        <f t="shared" si="189"/>
        <v/>
      </c>
      <c r="M95" s="50" t="str">
        <f t="shared" si="189"/>
        <v/>
      </c>
      <c r="N95" s="50" t="str">
        <f t="shared" si="189"/>
        <v/>
      </c>
      <c r="O95" s="49" t="str">
        <f>IFERROR(__xludf.DUMMYFUNCTION("IF(COUNTA(J95:N95)=0, """", ARRAYFORMULA(""- ""&amp;TEXTJOIN(char(10)&amp;""- "", TRUE, FILTER(J$1:N$1&amp;"": ""&amp;J95:N95, NOT(ISBLANK(J95:N95))))))"),"")</f>
        <v/>
      </c>
      <c r="P95" s="49" t="s">
        <v>419</v>
      </c>
      <c r="Q95" s="51" t="s">
        <v>422</v>
      </c>
    </row>
    <row r="96">
      <c r="A96" s="12" t="str">
        <f>IFERROR(__xludf.DUMMYFUNCTION("""COMPUTED_VALUE"""),"1048a91f65ea37e7f67fa4f0b1fcbc86")</f>
        <v>1048a91f65ea37e7f67fa4f0b1fcbc86</v>
      </c>
      <c r="B96" s="12" t="str">
        <f>IFERROR(__xludf.DUMMYFUNCTION("""COMPUTED_VALUE"""),"Due to highly arid conditions, the region is one of the most vulnerable to climate change, putting cities at risk of water scarcity and extreme heat conditions. However, it was found that the ""underlying risks of humanitarian crisis and disasters challen"&amp;"ge the process of building resilience in the Arab region, combined with the lack of coping capacities when faced with climate change, conflict, and displacement. City-wide hazard maps are often limited or do not exist, while updates on risk assessment are"&amp;" scarce and lack clear multi-hazard components, according to a recent assessment.410 This challenge is often linked to disaster risk governance, when the legal framework fails to require the maintenance and updating of disaster data.")</f>
        <v>Due to highly arid conditions, the region is one of the most vulnerable to climate change, putting cities at risk of water scarcity and extreme heat conditions. However, it was found that the "underlying risks of humanitarian crisis and disasters challenge the process of building resilience in the Arab region, combined with the lack of coping capacities when faced with climate change, conflict, and displacement. City-wide hazard maps are often limited or do not exist, while updates on risk assessment are scarce and lack clear multi-hazard components, according to a recent assessment.410 This challenge is often linked to disaster risk governance, when the legal framework fails to require the maintenance and updating of disaster data.</v>
      </c>
      <c r="C96" s="54"/>
      <c r="D96" s="48" t="b">
        <f t="shared" ref="D96:H96" si="190">VLOOKUP($A96, INDIRECT(D$1&amp;"!A:C"), 3, FALSE)</f>
        <v>1</v>
      </c>
      <c r="E96" s="48" t="str">
        <f t="shared" si="190"/>
        <v>TO DO</v>
      </c>
      <c r="F96" s="48" t="str">
        <f t="shared" si="190"/>
        <v>TO DO</v>
      </c>
      <c r="G96" s="48" t="b">
        <f t="shared" si="190"/>
        <v>1</v>
      </c>
      <c r="H96" s="48" t="b">
        <f t="shared" si="190"/>
        <v>1</v>
      </c>
      <c r="I96" s="49">
        <f t="shared" si="4"/>
        <v>1</v>
      </c>
      <c r="J96" s="50" t="str">
        <f t="shared" ref="J96:N96" si="191">VLOOKUP($A96, INDIRECT(J$1&amp;"!A:D"), 4, FALSE)</f>
        <v>disaster risk</v>
      </c>
      <c r="K96" s="50" t="str">
        <f t="shared" si="191"/>
        <v/>
      </c>
      <c r="L96" s="50" t="str">
        <f t="shared" si="191"/>
        <v/>
      </c>
      <c r="M96" s="50" t="str">
        <f t="shared" si="191"/>
        <v/>
      </c>
      <c r="N96" s="50" t="str">
        <f t="shared" si="191"/>
        <v/>
      </c>
      <c r="O96" s="49" t="str">
        <f>IFERROR(__xludf.DUMMYFUNCTION("IF(COUNTA(J96:N96)=0, """", ARRAYFORMULA(""- ""&amp;TEXTJOIN(char(10)&amp;""- "", TRUE, FILTER(J$1:N$1&amp;"": ""&amp;J96:N96, NOT(ISBLANK(J96:N96))))))"),"- Finn: disaster risk")</f>
        <v>- Finn: disaster risk</v>
      </c>
      <c r="P96" s="49" t="s">
        <v>463</v>
      </c>
      <c r="Q96" s="51" t="b">
        <v>1</v>
      </c>
    </row>
    <row r="97">
      <c r="A97" s="12" t="str">
        <f>IFERROR(__xludf.DUMMYFUNCTION("""COMPUTED_VALUE"""),"e5b248174d4c7bc30f6eb0c69224aecf")</f>
        <v>e5b248174d4c7bc30f6eb0c69224aecf</v>
      </c>
      <c r="B97" s="12" t="str">
        <f>IFERROR(__xludf.DUMMYFUNCTION("""COMPUTED_VALUE"""),"So should the risk-informed development approach called for in the Sendai Framework, through the systematic integration of risk information across all sectoral planning processes. Delivering DRR is possible in any context, but the scope of what is viable "&amp;"and appropriate will change depending on the context. And for some, such as those affected by armed conflict and fragility, what this looks like is still to be learned.469 There remains a dearth of practical and policy advice on how to devise and implemen"&amp;"t DRR strategies for complex risk contexts, including where violent conflict forms part of the broader environment in which DRR takes place.")</f>
        <v>So should the risk-informed development approach called for in the Sendai Framework, through the systematic integration of risk information across all sectoral planning processes. Delivering DRR is possible in any context, but the scope of what is viable and appropriate will change depending on the context. And for some, such as those affected by armed conflict and fragility, what this looks like is still to be learned.469 There remains a dearth of practical and policy advice on how to devise and implement DRR strategies for complex risk contexts, including where violent conflict forms part of the broader environment in which DRR takes place.</v>
      </c>
      <c r="C97" s="53"/>
      <c r="D97" s="48" t="b">
        <f t="shared" ref="D97:H97" si="192">VLOOKUP($A97, INDIRECT(D$1&amp;"!A:C"), 3, FALSE)</f>
        <v>1</v>
      </c>
      <c r="E97" s="48" t="str">
        <f t="shared" si="192"/>
        <v>TO DO</v>
      </c>
      <c r="F97" s="48" t="str">
        <f t="shared" si="192"/>
        <v>TO DO</v>
      </c>
      <c r="G97" s="48" t="b">
        <f t="shared" si="192"/>
        <v>1</v>
      </c>
      <c r="H97" s="48" t="b">
        <f t="shared" si="192"/>
        <v>1</v>
      </c>
      <c r="I97" s="49">
        <f t="shared" si="4"/>
        <v>1</v>
      </c>
      <c r="J97" s="50" t="str">
        <f t="shared" ref="J97:N97" si="193">VLOOKUP($A97, INDIRECT(J$1&amp;"!A:D"), 4, FALSE)</f>
        <v/>
      </c>
      <c r="K97" s="50" t="str">
        <f t="shared" si="193"/>
        <v/>
      </c>
      <c r="L97" s="50" t="str">
        <f t="shared" si="193"/>
        <v/>
      </c>
      <c r="M97" s="50" t="str">
        <f t="shared" si="193"/>
        <v/>
      </c>
      <c r="N97" s="50" t="str">
        <f t="shared" si="193"/>
        <v/>
      </c>
      <c r="O97" s="49" t="str">
        <f>IFERROR(__xludf.DUMMYFUNCTION("IF(COUNTA(J97:N97)=0, """", ARRAYFORMULA(""- ""&amp;TEXTJOIN(char(10)&amp;""- "", TRUE, FILTER(J$1:N$1&amp;"": ""&amp;J97:N97, NOT(ISBLANK(J97:N97))))))"),"")</f>
        <v/>
      </c>
      <c r="P97" s="49" t="s">
        <v>419</v>
      </c>
      <c r="Q97" s="51" t="b">
        <v>1</v>
      </c>
    </row>
    <row r="98">
      <c r="A98" s="12" t="str">
        <f>IFERROR(__xludf.DUMMYFUNCTION("""COMPUTED_VALUE"""),"375195ec09ab9c6ef49ffd6462bd0696")</f>
        <v>375195ec09ab9c6ef49ffd6462bd0696</v>
      </c>
      <c r="B98" s="12" t="str">
        <f>IFERROR(__xludf.DUMMYFUNCTION("""COMPUTED_VALUE"""),"The National Urban Policy Programme (NUPP) is meant to address these issues of governance, capacity and knowledge sharing to facilitate the development of NUPs and to contribute to the implementation of the New Urban Agenda and other global agreements. Ot"&amp;"her objectives include direct assistance, such as providing training to policymakers and other relevant stakeholders to help them develop specialised skills to directly bridge the capacity gap or offering technical assistance and advisory services for eve"&amp;"ry stage of the NUP cycle within a country. Finally, it also aims to build a platform for all levels of government, the private sector and civil society actors and any other relevant stakeholder to be engaged, network and exchange, to encourage transfer o"&amp;"f best practices and policies, and raise awareness of NUPs.")</f>
        <v>The National Urban Policy Programme (NUPP) is meant to address these issues of governance, capacity and knowledge sharing to facilitate the development of NUPs and to contribute to the implementation of the New Urban Agenda and other global agreements. Other objectives include direct assistance, such as providing training to policymakers and other relevant stakeholders to help them develop specialised skills to directly bridge the capacity gap or offering technical assistance and advisory services for every stage of the NUP cycle within a country. Finally, it also aims to build a platform for all levels of government, the private sector and civil society actors and any other relevant stakeholder to be engaged, network and exchange, to encourage transfer of best practices and policies, and raise awareness of NUPs.</v>
      </c>
      <c r="C98" s="54"/>
      <c r="D98" s="48" t="b">
        <f t="shared" ref="D98:H98" si="194">VLOOKUP($A98, INDIRECT(D$1&amp;"!A:C"), 3, FALSE)</f>
        <v>1</v>
      </c>
      <c r="E98" s="48" t="str">
        <f t="shared" si="194"/>
        <v>TO DO</v>
      </c>
      <c r="F98" s="48" t="str">
        <f t="shared" si="194"/>
        <v>TO DO</v>
      </c>
      <c r="G98" s="48" t="b">
        <f t="shared" si="194"/>
        <v>1</v>
      </c>
      <c r="H98" s="48" t="b">
        <f t="shared" si="194"/>
        <v>1</v>
      </c>
      <c r="I98" s="49">
        <f t="shared" si="4"/>
        <v>1</v>
      </c>
      <c r="J98" s="50" t="str">
        <f t="shared" ref="J98:N98" si="195">VLOOKUP($A98, INDIRECT(J$1&amp;"!A:D"), 4, FALSE)</f>
        <v/>
      </c>
      <c r="K98" s="50" t="str">
        <f t="shared" si="195"/>
        <v/>
      </c>
      <c r="L98" s="50" t="str">
        <f t="shared" si="195"/>
        <v/>
      </c>
      <c r="M98" s="50" t="str">
        <f t="shared" si="195"/>
        <v/>
      </c>
      <c r="N98" s="50" t="str">
        <f t="shared" si="195"/>
        <v/>
      </c>
      <c r="O98" s="49" t="str">
        <f>IFERROR(__xludf.DUMMYFUNCTION("IF(COUNTA(J98:N98)=0, """", ARRAYFORMULA(""- ""&amp;TEXTJOIN(char(10)&amp;""- "", TRUE, FILTER(J$1:N$1&amp;"": ""&amp;J98:N98, NOT(ISBLANK(J98:N98))))))"),"")</f>
        <v/>
      </c>
      <c r="P98" s="49" t="s">
        <v>419</v>
      </c>
      <c r="Q98" s="51" t="b">
        <v>1</v>
      </c>
    </row>
    <row r="99">
      <c r="A99" s="12" t="str">
        <f>IFERROR(__xludf.DUMMYFUNCTION("""COMPUTED_VALUE"""),"8d0e14eb6adeecb6f86e0d0f215c85fa")</f>
        <v>8d0e14eb6adeecb6f86e0d0f215c85fa</v>
      </c>
      <c r="B99" s="12" t="str">
        <f>IFERROR(__xludf.DUMMYFUNCTION("""COMPUTED_VALUE"""),"Thus, it provides assistance in the preparation of public decisions of elected officials, its implementation, its monitoring and Evaluation. It may give themselves records or any matter it deems necessary. It occupies a prominent place for the disseminati"&amp;"on of information within the professional circles and associations, or even to the entire population and receives experts as needs.")</f>
        <v>Thus, it provides assistance in the preparation of public decisions of elected officials, its implementation, its monitoring and Evaluation. It may give themselves records or any matter it deems necessary. It occupies a prominent place for the dissemination of information within the professional circles and associations, or even to the entire population and receives experts as needs.</v>
      </c>
      <c r="C99" s="53"/>
      <c r="D99" s="48" t="b">
        <f t="shared" ref="D99:H99" si="196">VLOOKUP($A99, INDIRECT(D$1&amp;"!A:C"), 3, FALSE)</f>
        <v>0</v>
      </c>
      <c r="E99" s="48" t="str">
        <f t="shared" si="196"/>
        <v>TO DO</v>
      </c>
      <c r="F99" s="48" t="str">
        <f t="shared" si="196"/>
        <v>TO DO</v>
      </c>
      <c r="G99" s="48" t="b">
        <f t="shared" si="196"/>
        <v>0</v>
      </c>
      <c r="H99" s="48" t="b">
        <f t="shared" si="196"/>
        <v>0</v>
      </c>
      <c r="I99" s="49">
        <f t="shared" si="4"/>
        <v>1</v>
      </c>
      <c r="J99" s="50" t="str">
        <f t="shared" ref="J99:N99" si="197">VLOOKUP($A99, INDIRECT(J$1&amp;"!A:D"), 4, FALSE)</f>
        <v/>
      </c>
      <c r="K99" s="50" t="str">
        <f t="shared" si="197"/>
        <v/>
      </c>
      <c r="L99" s="50" t="str">
        <f t="shared" si="197"/>
        <v/>
      </c>
      <c r="M99" s="50" t="str">
        <f t="shared" si="197"/>
        <v/>
      </c>
      <c r="N99" s="50" t="str">
        <f t="shared" si="197"/>
        <v/>
      </c>
      <c r="O99" s="49" t="str">
        <f>IFERROR(__xludf.DUMMYFUNCTION("IF(COUNTA(J99:N99)=0, """", ARRAYFORMULA(""- ""&amp;TEXTJOIN(char(10)&amp;""- "", TRUE, FILTER(J$1:N$1&amp;"": ""&amp;J99:N99, NOT(ISBLANK(J99:N99))))))"),"")</f>
        <v/>
      </c>
      <c r="P99" s="49" t="s">
        <v>419</v>
      </c>
      <c r="Q99" s="51" t="b">
        <v>0</v>
      </c>
    </row>
    <row r="100">
      <c r="A100" s="12" t="str">
        <f>IFERROR(__xludf.DUMMYFUNCTION("""COMPUTED_VALUE"""),"6622b5f1b7750ebb40cedc96eb11749a")</f>
        <v>6622b5f1b7750ebb40cedc96eb11749a</v>
      </c>
      <c r="B100" s="12" t="str">
        <f>IFERROR(__xludf.DUMMYFUNCTION("""COMPUTED_VALUE"""),"Historically, economic development has usually been accompanied by higher emigration rates.32 As countries develop, rates of emigration tend to rise before they fall. Emigration rates in middle-income countries have been found to triple those of low-incom"&amp;"e countries. Furthermore, in developing countries at the early or intermediate stages of the demographic transition, emigration is spurred by the large cohorts of relatively well-educated young people entering the labour market. Migration can also propel "&amp;"economic development through increased labour productivity.")</f>
        <v>Historically, economic development has usually been accompanied by higher emigration rates.32 As countries develop, rates of emigration tend to rise before they fall. Emigration rates in middle-income countries have been found to triple those of low-income countries. Furthermore, in developing countries at the early or intermediate stages of the demographic transition, emigration is spurred by the large cohorts of relatively well-educated young people entering the labour market. Migration can also propel economic development through increased labour productivity.</v>
      </c>
      <c r="C100" s="7"/>
      <c r="D100" s="48" t="b">
        <f t="shared" ref="D100:H100" si="198">VLOOKUP($A100, INDIRECT(D$1&amp;"!A:C"), 3, FALSE)</f>
        <v>0</v>
      </c>
      <c r="E100" s="48" t="str">
        <f t="shared" si="198"/>
        <v>TO DO</v>
      </c>
      <c r="F100" s="48" t="str">
        <f t="shared" si="198"/>
        <v>TO DO</v>
      </c>
      <c r="G100" s="48" t="b">
        <f t="shared" si="198"/>
        <v>0</v>
      </c>
      <c r="H100" s="48" t="b">
        <f t="shared" si="198"/>
        <v>0</v>
      </c>
      <c r="I100" s="49">
        <f t="shared" si="4"/>
        <v>1</v>
      </c>
      <c r="J100" s="50" t="str">
        <f t="shared" ref="J100:N100" si="199">VLOOKUP($A100, INDIRECT(J$1&amp;"!A:D"), 4, FALSE)</f>
        <v/>
      </c>
      <c r="K100" s="50" t="str">
        <f t="shared" si="199"/>
        <v/>
      </c>
      <c r="L100" s="50" t="str">
        <f t="shared" si="199"/>
        <v/>
      </c>
      <c r="M100" s="50" t="str">
        <f t="shared" si="199"/>
        <v/>
      </c>
      <c r="N100" s="50" t="str">
        <f t="shared" si="199"/>
        <v/>
      </c>
      <c r="O100" s="49" t="str">
        <f>IFERROR(__xludf.DUMMYFUNCTION("IF(COUNTA(J100:N100)=0, """", ARRAYFORMULA(""- ""&amp;TEXTJOIN(char(10)&amp;""- "", TRUE, FILTER(J$1:N$1&amp;"": ""&amp;J100:N100, NOT(ISBLANK(J100:N100))))))"),"")</f>
        <v/>
      </c>
      <c r="P100" s="49" t="s">
        <v>419</v>
      </c>
      <c r="Q100" s="51" t="b">
        <v>0</v>
      </c>
    </row>
    <row r="101">
      <c r="A101" s="12" t="str">
        <f>IFERROR(__xludf.DUMMYFUNCTION("""COMPUTED_VALUE"""),"e239978801cc887b5d53998790830e08")</f>
        <v>e239978801cc887b5d53998790830e08</v>
      </c>
      <c r="B101" s="12" t="str">
        <f>IFERROR(__xludf.DUMMYFUNCTION("""COMPUTED_VALUE"""),"Although data is available for a few countries, it needs to be re-packaged to allow for disaggregation by relevant variables. Local materials provide efficient ways for energy conservation and protection from disasters. In developing economies between 7 a"&amp;"nd 10% of the labour force are involved in residential construction.")</f>
        <v>Although data is available for a few countries, it needs to be re-packaged to allow for disaggregation by relevant variables. Local materials provide efficient ways for energy conservation and protection from disasters. In developing economies between 7 and 10% of the labour force are involved in residential construction.</v>
      </c>
      <c r="C101" s="54"/>
      <c r="D101" s="48" t="b">
        <f t="shared" ref="D101:H101" si="200">VLOOKUP($A101, INDIRECT(D$1&amp;"!A:C"), 3, FALSE)</f>
        <v>1</v>
      </c>
      <c r="E101" s="48" t="str">
        <f t="shared" si="200"/>
        <v>TO DO</v>
      </c>
      <c r="F101" s="48" t="str">
        <f t="shared" si="200"/>
        <v>TO DO</v>
      </c>
      <c r="G101" s="48" t="b">
        <f t="shared" si="200"/>
        <v>1</v>
      </c>
      <c r="H101" s="48" t="b">
        <f t="shared" si="200"/>
        <v>1</v>
      </c>
      <c r="I101" s="49">
        <f t="shared" si="4"/>
        <v>1</v>
      </c>
      <c r="J101" s="50" t="str">
        <f t="shared" ref="J101:N101" si="201">VLOOKUP($A101, INDIRECT(J$1&amp;"!A:D"), 4, FALSE)</f>
        <v>weak</v>
      </c>
      <c r="K101" s="50" t="str">
        <f t="shared" si="201"/>
        <v/>
      </c>
      <c r="L101" s="50" t="str">
        <f t="shared" si="201"/>
        <v/>
      </c>
      <c r="M101" s="50" t="str">
        <f t="shared" si="201"/>
        <v/>
      </c>
      <c r="N101" s="50" t="str">
        <f t="shared" si="201"/>
        <v>Disaster risk protection, residential construction+</v>
      </c>
      <c r="O101" s="49" t="str">
        <f>IFERROR(__xludf.DUMMYFUNCTION("IF(COUNTA(J101:N101)=0, """", ARRAYFORMULA(""- ""&amp;TEXTJOIN(char(10)&amp;""- "", TRUE, FILTER(J$1:N$1&amp;"": ""&amp;J101:N101, NOT(ISBLANK(J101:N101))))))"),"- Finn: weak
- Steve: Disaster risk protection, residential construction+")</f>
        <v>- Finn: weak
- Steve: Disaster risk protection, residential construction+</v>
      </c>
      <c r="P101" s="49" t="s">
        <v>464</v>
      </c>
      <c r="Q101" s="51" t="b">
        <v>1</v>
      </c>
    </row>
  </sheetData>
  <autoFilter ref="$A$1:$S$101">
    <filterColumn colId="16">
      <filters>
        <filter val="TRUE"/>
        <filter val="FALSE"/>
      </filters>
    </filterColumn>
  </autoFilter>
  <conditionalFormatting sqref="C2:P101">
    <cfRule type="cellIs" dxfId="0" priority="1" operator="equal">
      <formula>"TRUE"</formula>
    </cfRule>
  </conditionalFormatting>
  <conditionalFormatting sqref="C2:P101">
    <cfRule type="beginsWith" dxfId="1" priority="2" operator="beginsWith" text="FALSE">
      <formula>LEFT((C2),LEN("FALSE"))=("FALSE")</formula>
    </cfRule>
  </conditionalFormatting>
  <conditionalFormatting sqref="C2:P101">
    <cfRule type="cellIs" dxfId="2" priority="3" operator="equal">
      <formula>"TO DO"</formula>
    </cfRule>
  </conditionalFormatting>
  <conditionalFormatting sqref="C2:P101">
    <cfRule type="cellIs" dxfId="3" priority="4" operator="equal">
      <formula>"SKIP"</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5" max="5" width="15.0"/>
    <col customWidth="1" min="6" max="6" width="26.38"/>
  </cols>
  <sheetData>
    <row r="1">
      <c r="A1" s="23" t="s">
        <v>465</v>
      </c>
      <c r="B1" s="23" t="s">
        <v>341</v>
      </c>
      <c r="C1" s="23" t="s">
        <v>342</v>
      </c>
      <c r="D1" s="23" t="s">
        <v>347</v>
      </c>
      <c r="E1" s="23" t="s">
        <v>466</v>
      </c>
      <c r="F1" s="23" t="s">
        <v>339</v>
      </c>
      <c r="G1" s="23" t="s">
        <v>467</v>
      </c>
    </row>
    <row r="2">
      <c r="A2" s="24" t="str">
        <f t="shared" ref="A2:A70" si="1">LEFT(MD5(B2), 7)</f>
        <v>#NAME?</v>
      </c>
      <c r="B2" s="12" t="s">
        <v>210</v>
      </c>
      <c r="C2" s="5">
        <v>11.0</v>
      </c>
      <c r="D2" s="55" t="b">
        <v>0</v>
      </c>
      <c r="E2" s="12" t="s">
        <v>209</v>
      </c>
      <c r="F2" s="24" t="str">
        <f t="array" ref="F2">VLOOKUP(E2,{Source!B:B,Source!A:A},2,FALSE)</f>
        <v>10.1787/aeo-2016-14-en</v>
      </c>
    </row>
    <row r="3">
      <c r="A3" s="24" t="str">
        <f t="shared" si="1"/>
        <v>#NAME?</v>
      </c>
      <c r="B3" s="12" t="s">
        <v>261</v>
      </c>
      <c r="C3" s="5">
        <v>11.0</v>
      </c>
      <c r="D3" s="55" t="b">
        <v>0</v>
      </c>
      <c r="E3" s="12" t="s">
        <v>260</v>
      </c>
      <c r="F3" s="24" t="str">
        <f t="array" ref="F3">VLOOKUP(E3,{Source!B:B,Source!A:A},2,FALSE)</f>
        <v>10.1787/859159ab-en</v>
      </c>
    </row>
    <row r="4">
      <c r="A4" s="24" t="str">
        <f t="shared" si="1"/>
        <v>#NAME?</v>
      </c>
      <c r="B4" s="56" t="s">
        <v>468</v>
      </c>
      <c r="C4" s="5">
        <v>11.0</v>
      </c>
      <c r="D4" s="5" t="b">
        <v>0</v>
      </c>
      <c r="E4" s="12" t="s">
        <v>199</v>
      </c>
      <c r="F4" s="24" t="str">
        <f t="array" ref="F4">VLOOKUP(E4,{Source!B:B,Source!A:A},2,FALSE)</f>
        <v>10.6027/9789289349437-6-en</v>
      </c>
      <c r="G4" s="5" t="s">
        <v>469</v>
      </c>
    </row>
    <row r="5">
      <c r="A5" s="24" t="str">
        <f t="shared" si="1"/>
        <v>#NAME?</v>
      </c>
      <c r="B5" s="12" t="s">
        <v>295</v>
      </c>
      <c r="C5" s="5">
        <v>11.0</v>
      </c>
      <c r="D5" s="55" t="b">
        <v>0</v>
      </c>
      <c r="E5" s="12" t="s">
        <v>294</v>
      </c>
      <c r="F5" s="24" t="str">
        <f t="array" ref="F5">VLOOKUP(E5,{Source!B:B,Source!A:A},2,FALSE)</f>
        <v>10.18356/97f03e0a-en</v>
      </c>
    </row>
    <row r="6">
      <c r="A6" s="24" t="str">
        <f t="shared" si="1"/>
        <v>#NAME?</v>
      </c>
      <c r="B6" s="12" t="s">
        <v>306</v>
      </c>
      <c r="C6" s="5">
        <v>11.0</v>
      </c>
      <c r="D6" s="55" t="b">
        <v>0</v>
      </c>
      <c r="E6" s="12" t="s">
        <v>305</v>
      </c>
      <c r="F6" s="24" t="str">
        <f t="array" ref="F6">VLOOKUP(E6,{Source!B:B,Source!A:A},2,FALSE)</f>
        <v>10.1787/aeo-2016-14-en</v>
      </c>
    </row>
    <row r="7">
      <c r="A7" s="24" t="str">
        <f t="shared" si="1"/>
        <v>#NAME?</v>
      </c>
      <c r="B7" s="56" t="s">
        <v>470</v>
      </c>
      <c r="C7" s="5">
        <v>11.0</v>
      </c>
      <c r="D7" s="55" t="b">
        <v>1</v>
      </c>
      <c r="E7" s="12" t="s">
        <v>112</v>
      </c>
      <c r="F7" s="24" t="str">
        <f t="array" ref="F7">VLOOKUP(E7,{Source!B:B,Source!A:A},2,FALSE)</f>
        <v>10.1787/9789264260207-5-en</v>
      </c>
      <c r="G7" s="5" t="s">
        <v>471</v>
      </c>
    </row>
    <row r="8">
      <c r="A8" s="24" t="str">
        <f t="shared" si="1"/>
        <v>#NAME?</v>
      </c>
      <c r="B8" s="12" t="s">
        <v>119</v>
      </c>
      <c r="C8" s="5">
        <v>11.0</v>
      </c>
      <c r="D8" s="55" t="b">
        <v>1</v>
      </c>
      <c r="E8" s="12" t="s">
        <v>118</v>
      </c>
      <c r="F8" s="24" t="str">
        <f t="array" ref="F8">VLOOKUP(E8,{Source!B:B,Source!A:A},2,FALSE)</f>
        <v>10.1787/9789264274648-6-en</v>
      </c>
    </row>
    <row r="9">
      <c r="A9" s="24" t="str">
        <f t="shared" si="1"/>
        <v>#NAME?</v>
      </c>
      <c r="B9" s="12" t="s">
        <v>170</v>
      </c>
      <c r="C9" s="5">
        <v>11.0</v>
      </c>
      <c r="D9" s="5" t="b">
        <v>1</v>
      </c>
      <c r="E9" s="12" t="s">
        <v>169</v>
      </c>
      <c r="F9" s="24" t="str">
        <f t="array" ref="F9">VLOOKUP(E9,{Source!B:B,Source!A:A},2,FALSE)</f>
        <v>10.1787/5jlwvz85537c-en</v>
      </c>
      <c r="G9" s="5" t="s">
        <v>435</v>
      </c>
    </row>
    <row r="10">
      <c r="A10" s="24" t="str">
        <f t="shared" si="1"/>
        <v>#NAME?</v>
      </c>
      <c r="B10" s="12" t="s">
        <v>257</v>
      </c>
      <c r="C10" s="5">
        <v>11.0</v>
      </c>
      <c r="D10" s="55" t="b">
        <v>0</v>
      </c>
      <c r="E10" s="12" t="s">
        <v>256</v>
      </c>
      <c r="F10" s="24" t="str">
        <f t="array" ref="F10">VLOOKUP(E10,{Source!B:B,Source!A:A},2,FALSE)</f>
        <v>10.18356/a11581d8-en</v>
      </c>
    </row>
    <row r="11">
      <c r="A11" s="24" t="str">
        <f t="shared" si="1"/>
        <v>#NAME?</v>
      </c>
      <c r="B11" s="12" t="s">
        <v>93</v>
      </c>
      <c r="C11" s="5">
        <v>11.0</v>
      </c>
      <c r="D11" s="55" t="b">
        <v>0</v>
      </c>
      <c r="E11" s="12" t="s">
        <v>92</v>
      </c>
      <c r="F11" s="24" t="str">
        <f t="array" ref="F11">VLOOKUP(E11,{Source!B:B,Source!A:A},2,FALSE)</f>
        <v>10.1787/859159ab-en</v>
      </c>
    </row>
    <row r="12">
      <c r="A12" s="24" t="str">
        <f t="shared" si="1"/>
        <v>#NAME?</v>
      </c>
      <c r="B12" s="12" t="s">
        <v>238</v>
      </c>
      <c r="C12" s="5">
        <v>11.0</v>
      </c>
      <c r="D12" s="55" t="b">
        <v>1</v>
      </c>
      <c r="E12" s="12" t="s">
        <v>237</v>
      </c>
      <c r="F12" s="24" t="str">
        <f t="array" ref="F12">VLOOKUP(E12,{Source!B:B,Source!A:A},2,FALSE)</f>
        <v>10.18356/bf400991-en</v>
      </c>
    </row>
    <row r="13">
      <c r="A13" s="24" t="str">
        <f t="shared" si="1"/>
        <v>#NAME?</v>
      </c>
      <c r="B13" s="12" t="s">
        <v>286</v>
      </c>
      <c r="C13" s="5">
        <v>11.0</v>
      </c>
      <c r="D13" s="55" t="b">
        <v>0</v>
      </c>
      <c r="E13" s="12" t="s">
        <v>285</v>
      </c>
      <c r="F13" s="24" t="str">
        <f t="array" ref="F13">VLOOKUP(E13,{Source!B:B,Source!A:A},2,FALSE)</f>
        <v>10.1787/5jlwvz85537c-en</v>
      </c>
    </row>
    <row r="14">
      <c r="A14" s="24" t="str">
        <f t="shared" si="1"/>
        <v>#NAME?</v>
      </c>
      <c r="B14" s="12" t="s">
        <v>299</v>
      </c>
      <c r="C14" s="5">
        <v>11.0</v>
      </c>
      <c r="D14" s="55" t="b">
        <v>0</v>
      </c>
      <c r="E14" s="12" t="s">
        <v>298</v>
      </c>
      <c r="F14" s="24" t="str">
        <f t="array" ref="F14">VLOOKUP(E14,{Source!B:B,Source!A:A},2,FALSE)</f>
        <v>10.1787/859159ab-en</v>
      </c>
    </row>
    <row r="15">
      <c r="A15" s="24" t="str">
        <f t="shared" si="1"/>
        <v>#NAME?</v>
      </c>
      <c r="B15" s="12" t="s">
        <v>265</v>
      </c>
      <c r="C15" s="5">
        <v>11.0</v>
      </c>
      <c r="D15" s="55" t="b">
        <v>0</v>
      </c>
      <c r="E15" s="12" t="s">
        <v>264</v>
      </c>
      <c r="F15" s="24" t="str">
        <f t="array" ref="F15">VLOOKUP(E15,{Source!B:B,Source!A:A},2,FALSE)</f>
        <v>10.1787/9789264267817-6-en</v>
      </c>
    </row>
    <row r="16">
      <c r="A16" s="24" t="str">
        <f t="shared" si="1"/>
        <v>#NAME?</v>
      </c>
      <c r="B16" s="12" t="s">
        <v>162</v>
      </c>
      <c r="C16" s="5">
        <v>11.0</v>
      </c>
      <c r="D16" s="55" t="b">
        <v>0</v>
      </c>
      <c r="E16" s="12" t="s">
        <v>161</v>
      </c>
      <c r="F16" s="24" t="str">
        <f t="array" ref="F16">VLOOKUP(E16,{Source!B:B,Source!A:A},2,FALSE)</f>
        <v>10.1787/aeo-2016-14-en</v>
      </c>
    </row>
    <row r="17">
      <c r="A17" s="24" t="str">
        <f t="shared" si="1"/>
        <v>#NAME?</v>
      </c>
      <c r="B17" s="12" t="s">
        <v>310</v>
      </c>
      <c r="C17" s="5">
        <v>11.0</v>
      </c>
      <c r="D17" s="55" t="b">
        <v>0</v>
      </c>
      <c r="E17" s="12" t="s">
        <v>309</v>
      </c>
      <c r="F17" s="24" t="str">
        <f t="array" ref="F17">VLOOKUP(E17,{Source!B:B,Source!A:A},2,FALSE)</f>
        <v>10.1787/859159ab-en</v>
      </c>
    </row>
    <row r="18">
      <c r="A18" s="24" t="str">
        <f t="shared" si="1"/>
        <v>#NAME?</v>
      </c>
      <c r="B18" s="12" t="s">
        <v>111</v>
      </c>
      <c r="C18" s="5">
        <v>11.0</v>
      </c>
      <c r="D18" s="55" t="b">
        <v>0</v>
      </c>
      <c r="E18" s="12" t="s">
        <v>110</v>
      </c>
      <c r="F18" s="24" t="str">
        <f t="array" ref="F18">VLOOKUP(E18,{Source!B:B,Source!A:A},2,FALSE)</f>
        <v>10.1787/aeo-2016-14-en</v>
      </c>
    </row>
    <row r="19">
      <c r="A19" s="24" t="str">
        <f t="shared" si="1"/>
        <v>#NAME?</v>
      </c>
      <c r="B19" s="56" t="s">
        <v>472</v>
      </c>
      <c r="C19" s="5">
        <v>11.0</v>
      </c>
      <c r="D19" s="55" t="b">
        <v>0</v>
      </c>
      <c r="E19" s="12" t="s">
        <v>178</v>
      </c>
      <c r="F19" s="24" t="str">
        <f t="array" ref="F19">VLOOKUP(E19,{Source!B:B,Source!A:A},2,FALSE)</f>
        <v>10.1787/9789264268852-7-en</v>
      </c>
      <c r="G19" s="5" t="s">
        <v>473</v>
      </c>
    </row>
    <row r="20">
      <c r="A20" s="24" t="str">
        <f t="shared" si="1"/>
        <v>#NAME?</v>
      </c>
      <c r="B20" s="12" t="s">
        <v>293</v>
      </c>
      <c r="C20" s="5">
        <v>11.0</v>
      </c>
      <c r="D20" s="55" t="b">
        <v>0</v>
      </c>
      <c r="E20" s="12" t="s">
        <v>292</v>
      </c>
      <c r="F20" s="24" t="str">
        <f t="array" ref="F20">VLOOKUP(E20,{Source!B:B,Source!A:A},2,FALSE)</f>
        <v>10.18356/6fe73f8b-en</v>
      </c>
    </row>
    <row r="21">
      <c r="A21" s="24" t="str">
        <f t="shared" si="1"/>
        <v>#NAME?</v>
      </c>
      <c r="B21" s="12" t="s">
        <v>133</v>
      </c>
      <c r="C21" s="5">
        <v>11.0</v>
      </c>
      <c r="D21" s="55" t="b">
        <v>0</v>
      </c>
      <c r="E21" s="12" t="s">
        <v>132</v>
      </c>
      <c r="F21" s="24" t="str">
        <f t="array" ref="F21">VLOOKUP(E21,{Source!B:B,Source!A:A},2,FALSE)</f>
        <v>10.18356/d256607a-en</v>
      </c>
    </row>
    <row r="22">
      <c r="A22" s="24" t="str">
        <f t="shared" si="1"/>
        <v>#NAME?</v>
      </c>
      <c r="B22" s="12" t="s">
        <v>288</v>
      </c>
      <c r="C22" s="5">
        <v>11.0</v>
      </c>
      <c r="D22" s="5" t="b">
        <v>1</v>
      </c>
      <c r="E22" s="12" t="s">
        <v>287</v>
      </c>
      <c r="F22" s="24" t="str">
        <f t="array" ref="F22">VLOOKUP(E22,{Source!B:B,Source!A:A},2,FALSE)</f>
        <v>10.1787/ad4de8a1-en</v>
      </c>
      <c r="G22" s="5" t="s">
        <v>439</v>
      </c>
    </row>
    <row r="23">
      <c r="A23" s="24" t="str">
        <f t="shared" si="1"/>
        <v>#NAME?</v>
      </c>
      <c r="B23" s="56" t="s">
        <v>474</v>
      </c>
      <c r="C23" s="5">
        <v>11.0</v>
      </c>
      <c r="D23" s="55" t="b">
        <v>0</v>
      </c>
      <c r="E23" s="12" t="s">
        <v>99</v>
      </c>
      <c r="F23" s="24" t="str">
        <f t="array" ref="F23">VLOOKUP(E23,{Source!B:B,Source!A:A},2,FALSE)</f>
        <v>10.1787/9789264268852-5-en</v>
      </c>
      <c r="G23" s="5" t="s">
        <v>475</v>
      </c>
    </row>
    <row r="24">
      <c r="A24" s="24" t="str">
        <f t="shared" si="1"/>
        <v>#NAME?</v>
      </c>
      <c r="B24" s="12" t="s">
        <v>272</v>
      </c>
      <c r="C24" s="5">
        <v>11.0</v>
      </c>
      <c r="D24" s="55" t="b">
        <v>0</v>
      </c>
      <c r="E24" s="12" t="s">
        <v>271</v>
      </c>
      <c r="F24" s="24" t="str">
        <f t="array" ref="F24">VLOOKUP(E24,{Source!B:B,Source!A:A},2,FALSE)</f>
        <v>10.1787/9789264268852-7-en</v>
      </c>
    </row>
    <row r="25">
      <c r="A25" s="24" t="str">
        <f t="shared" si="1"/>
        <v>#NAME?</v>
      </c>
      <c r="B25" s="12" t="s">
        <v>252</v>
      </c>
      <c r="C25" s="5">
        <v>11.0</v>
      </c>
      <c r="D25" s="55" t="b">
        <v>0</v>
      </c>
      <c r="E25" s="12" t="s">
        <v>251</v>
      </c>
      <c r="F25" s="24" t="str">
        <f t="array" ref="F25">VLOOKUP(E25,{Source!B:B,Source!A:A},2,FALSE)</f>
        <v>10.1787/9789264268852-7-en</v>
      </c>
    </row>
    <row r="26">
      <c r="A26" s="24" t="str">
        <f t="shared" si="1"/>
        <v>#NAME?</v>
      </c>
      <c r="B26" s="12" t="s">
        <v>95</v>
      </c>
      <c r="C26" s="5">
        <v>11.0</v>
      </c>
      <c r="D26" s="55" t="b">
        <v>0</v>
      </c>
      <c r="E26" s="12" t="s">
        <v>94</v>
      </c>
      <c r="F26" s="24" t="str">
        <f t="array" ref="F26">VLOOKUP(E26,{Source!B:B,Source!A:A},2,FALSE)</f>
        <v>10.14217/6f77cc82-en</v>
      </c>
    </row>
    <row r="27">
      <c r="A27" s="24" t="str">
        <f t="shared" si="1"/>
        <v>#NAME?</v>
      </c>
      <c r="B27" s="12" t="s">
        <v>148</v>
      </c>
      <c r="C27" s="5">
        <v>11.0</v>
      </c>
      <c r="D27" s="55" t="b">
        <v>0</v>
      </c>
      <c r="E27" s="12" t="s">
        <v>147</v>
      </c>
      <c r="F27" s="24" t="str">
        <f t="array" ref="F27">VLOOKUP(E27,{Source!B:B,Source!A:A},2,FALSE)</f>
        <v>10.1787/859159ab-en</v>
      </c>
    </row>
    <row r="28">
      <c r="A28" s="24" t="str">
        <f t="shared" si="1"/>
        <v>#NAME?</v>
      </c>
      <c r="B28" s="12" t="s">
        <v>152</v>
      </c>
      <c r="C28" s="5">
        <v>11.0</v>
      </c>
      <c r="D28" s="55" t="b">
        <v>0</v>
      </c>
      <c r="E28" s="12" t="s">
        <v>151</v>
      </c>
      <c r="F28" s="24" t="str">
        <f t="array" ref="F28">VLOOKUP(E28,{Source!B:B,Source!A:A},2,FALSE)</f>
        <v>10.1787/50e33932-en</v>
      </c>
    </row>
    <row r="29">
      <c r="A29" s="24" t="str">
        <f t="shared" si="1"/>
        <v>#NAME?</v>
      </c>
      <c r="B29" s="12" t="s">
        <v>250</v>
      </c>
      <c r="C29" s="5">
        <v>11.0</v>
      </c>
      <c r="D29" s="55" t="b">
        <v>0</v>
      </c>
      <c r="E29" s="12" t="s">
        <v>249</v>
      </c>
      <c r="F29" s="24" t="str">
        <f t="array" ref="F29">VLOOKUP(E29,{Source!B:B,Source!A:A},2,FALSE)</f>
        <v>10.1787/859159ab-en</v>
      </c>
    </row>
    <row r="30">
      <c r="A30" s="24" t="str">
        <f t="shared" si="1"/>
        <v>#NAME?</v>
      </c>
      <c r="B30" s="12" t="s">
        <v>308</v>
      </c>
      <c r="C30" s="5">
        <v>11.0</v>
      </c>
      <c r="D30" s="55" t="b">
        <v>0</v>
      </c>
      <c r="E30" s="12" t="s">
        <v>307</v>
      </c>
      <c r="F30" s="24" t="str">
        <f t="array" ref="F30">VLOOKUP(E30,{Source!B:B,Source!A:A},2,FALSE)</f>
        <v>10.18356/3dd278d2-en</v>
      </c>
    </row>
    <row r="31">
      <c r="A31" s="24" t="str">
        <f t="shared" si="1"/>
        <v>#NAME?</v>
      </c>
      <c r="B31" s="12" t="s">
        <v>230</v>
      </c>
      <c r="C31" s="5">
        <v>11.0</v>
      </c>
      <c r="D31" s="55" t="b">
        <v>0</v>
      </c>
      <c r="E31" s="12" t="s">
        <v>229</v>
      </c>
      <c r="F31" s="24" t="str">
        <f t="array" ref="F31">VLOOKUP(E31,{Source!B:B,Source!A:A},2,FALSE)</f>
        <v>10.18356/2715ea3d-en</v>
      </c>
    </row>
    <row r="32">
      <c r="A32" s="24" t="str">
        <f t="shared" si="1"/>
        <v>#NAME?</v>
      </c>
      <c r="B32" s="12" t="s">
        <v>259</v>
      </c>
      <c r="C32" s="5">
        <v>11.0</v>
      </c>
      <c r="D32" s="55" t="b">
        <v>0</v>
      </c>
      <c r="E32" s="12" t="s">
        <v>258</v>
      </c>
      <c r="F32" s="24" t="str">
        <f t="array" ref="F32">VLOOKUP(E32,{Source!B:B,Source!A:A},2,FALSE)</f>
        <v>10.18356/ea26e442-en</v>
      </c>
    </row>
    <row r="33">
      <c r="A33" s="24" t="str">
        <f t="shared" si="1"/>
        <v>#NAME?</v>
      </c>
      <c r="B33" s="12" t="s">
        <v>203</v>
      </c>
      <c r="C33" s="5">
        <v>11.0</v>
      </c>
      <c r="D33" s="55" t="b">
        <v>0</v>
      </c>
      <c r="E33" s="12" t="s">
        <v>202</v>
      </c>
      <c r="F33" s="24" t="str">
        <f t="array" ref="F33">VLOOKUP(E33,{Source!B:B,Source!A:A},2,FALSE)</f>
        <v>10.18356/97f03e0a-en</v>
      </c>
    </row>
    <row r="34">
      <c r="A34" s="24" t="str">
        <f t="shared" si="1"/>
        <v>#NAME?</v>
      </c>
      <c r="B34" s="12" t="s">
        <v>234</v>
      </c>
      <c r="C34" s="5">
        <v>11.0</v>
      </c>
      <c r="D34" s="55" t="b">
        <v>0</v>
      </c>
      <c r="E34" s="12" t="s">
        <v>233</v>
      </c>
      <c r="F34" s="24" t="str">
        <f t="array" ref="F34">VLOOKUP(E34,{Source!B:B,Source!A:A},2,FALSE)</f>
        <v>10.1787/859159ab-en</v>
      </c>
    </row>
    <row r="35">
      <c r="A35" s="24" t="str">
        <f t="shared" si="1"/>
        <v>#NAME?</v>
      </c>
      <c r="B35" s="12" t="s">
        <v>198</v>
      </c>
      <c r="C35" s="5">
        <v>11.0</v>
      </c>
      <c r="D35" s="55" t="b">
        <v>0</v>
      </c>
      <c r="E35" s="12" t="s">
        <v>197</v>
      </c>
      <c r="F35" s="24" t="str">
        <f t="array" ref="F35">VLOOKUP(E35,{Source!B:B,Source!A:A},2,FALSE)</f>
        <v>10.1787/50e33932-en</v>
      </c>
    </row>
    <row r="36">
      <c r="A36" s="24" t="str">
        <f t="shared" si="1"/>
        <v>#NAME?</v>
      </c>
      <c r="B36" s="12" t="s">
        <v>142</v>
      </c>
      <c r="C36" s="5">
        <v>11.0</v>
      </c>
      <c r="D36" s="55" t="b">
        <v>0</v>
      </c>
      <c r="E36" s="12" t="s">
        <v>141</v>
      </c>
      <c r="F36" s="24" t="str">
        <f t="array" ref="F36">VLOOKUP(E36,{Source!B:B,Source!A:A},2,FALSE)</f>
        <v>10.1787/aeo-2016-14-en</v>
      </c>
    </row>
    <row r="37">
      <c r="A37" s="24" t="str">
        <f t="shared" si="1"/>
        <v>#NAME?</v>
      </c>
      <c r="B37" s="56" t="s">
        <v>476</v>
      </c>
      <c r="C37" s="5">
        <v>11.0</v>
      </c>
      <c r="D37" s="55" t="b">
        <v>0</v>
      </c>
      <c r="E37" s="12" t="s">
        <v>290</v>
      </c>
      <c r="F37" s="24" t="str">
        <f t="array" ref="F37">VLOOKUP(E37,{Source!B:B,Source!A:A},2,FALSE)</f>
        <v>10.1787/9789264277991-7-en</v>
      </c>
      <c r="G37" s="5" t="s">
        <v>473</v>
      </c>
    </row>
    <row r="38">
      <c r="A38" s="24" t="str">
        <f t="shared" si="1"/>
        <v>#NAME?</v>
      </c>
      <c r="B38" s="12" t="s">
        <v>212</v>
      </c>
      <c r="C38" s="5">
        <v>11.0</v>
      </c>
      <c r="D38" s="55" t="b">
        <v>1</v>
      </c>
      <c r="E38" s="12" t="s">
        <v>211</v>
      </c>
      <c r="F38" s="24" t="str">
        <f t="array" ref="F38">VLOOKUP(E38,{Source!B:B,Source!A:A},2,FALSE)</f>
        <v>10.1787/9789264201415-9-en</v>
      </c>
    </row>
    <row r="39">
      <c r="A39" s="24" t="str">
        <f t="shared" si="1"/>
        <v>#NAME?</v>
      </c>
      <c r="B39" s="56" t="s">
        <v>477</v>
      </c>
      <c r="C39" s="5">
        <v>11.0</v>
      </c>
      <c r="D39" s="55" t="b">
        <v>1</v>
      </c>
      <c r="E39" s="12" t="s">
        <v>124</v>
      </c>
      <c r="F39" s="24" t="str">
        <f t="array" ref="F39">VLOOKUP(E39,{Source!B:B,Source!A:A},2,FALSE)</f>
        <v>10.18356/bf400991-en</v>
      </c>
      <c r="G39" s="5" t="s">
        <v>473</v>
      </c>
    </row>
    <row r="40">
      <c r="A40" s="24" t="str">
        <f t="shared" si="1"/>
        <v>#NAME?</v>
      </c>
      <c r="B40" s="12" t="s">
        <v>297</v>
      </c>
      <c r="C40" s="5">
        <v>11.0</v>
      </c>
      <c r="D40" s="55" t="b">
        <v>1</v>
      </c>
      <c r="E40" s="12" t="s">
        <v>296</v>
      </c>
      <c r="F40" s="24" t="str">
        <f t="array" ref="F40">VLOOKUP(E40,{Source!B:B,Source!A:A},2,FALSE)</f>
        <v>10.18356/dd2e120a-en</v>
      </c>
    </row>
    <row r="41">
      <c r="A41" s="24" t="str">
        <f t="shared" si="1"/>
        <v>#NAME?</v>
      </c>
      <c r="B41" s="12" t="s">
        <v>173</v>
      </c>
      <c r="C41" s="5">
        <v>11.0</v>
      </c>
      <c r="D41" s="55" t="b">
        <v>0</v>
      </c>
      <c r="E41" s="12" t="s">
        <v>172</v>
      </c>
      <c r="F41" s="24" t="str">
        <f t="array" ref="F41">VLOOKUP(E41,{Source!B:B,Source!A:A},2,FALSE)</f>
        <v>10.1787/9789264267817-6-en</v>
      </c>
    </row>
    <row r="42">
      <c r="A42" s="24" t="str">
        <f t="shared" si="1"/>
        <v>#NAME?</v>
      </c>
      <c r="B42" s="12" t="s">
        <v>246</v>
      </c>
      <c r="C42" s="5">
        <v>11.0</v>
      </c>
      <c r="D42" s="55" t="b">
        <v>1</v>
      </c>
      <c r="E42" s="12" t="s">
        <v>245</v>
      </c>
      <c r="F42" s="24" t="str">
        <f t="array" ref="F42">VLOOKUP(E42,{Source!B:B,Source!A:A},2,FALSE)</f>
        <v>10.18356/c1d6ed54-en</v>
      </c>
    </row>
    <row r="43">
      <c r="A43" s="24" t="str">
        <f t="shared" si="1"/>
        <v>#NAME?</v>
      </c>
      <c r="B43" s="12" t="s">
        <v>144</v>
      </c>
      <c r="C43" s="5">
        <v>11.0</v>
      </c>
      <c r="D43" s="55" t="b">
        <v>1</v>
      </c>
      <c r="E43" s="12" t="s">
        <v>143</v>
      </c>
      <c r="F43" s="24" t="str">
        <f t="array" ref="F43">VLOOKUP(E43,{Source!B:B,Source!A:A},2,FALSE)</f>
        <v>10.18356/288df776-en</v>
      </c>
    </row>
    <row r="44">
      <c r="A44" s="24" t="str">
        <f t="shared" si="1"/>
        <v>#NAME?</v>
      </c>
      <c r="B44" s="56" t="s">
        <v>478</v>
      </c>
      <c r="C44" s="5">
        <v>11.0</v>
      </c>
      <c r="D44" s="55" t="b">
        <v>1</v>
      </c>
      <c r="E44" s="12" t="s">
        <v>223</v>
      </c>
      <c r="F44" s="24" t="str">
        <f t="array" ref="F44">VLOOKUP(E44,{Source!B:B,Source!A:A},2,FALSE)</f>
        <v>10.1787/5jm3p5gl4djd-en</v>
      </c>
      <c r="G44" s="5" t="s">
        <v>473</v>
      </c>
    </row>
    <row r="45">
      <c r="A45" s="24" t="str">
        <f t="shared" si="1"/>
        <v>#NAME?</v>
      </c>
      <c r="B45" s="12" t="s">
        <v>301</v>
      </c>
      <c r="C45" s="5">
        <v>11.0</v>
      </c>
      <c r="D45" s="55" t="b">
        <v>1</v>
      </c>
      <c r="E45" s="12" t="s">
        <v>300</v>
      </c>
      <c r="F45" s="24" t="str">
        <f t="array" ref="F45">VLOOKUP(E45,{Source!B:B,Source!A:A},2,FALSE)</f>
        <v>10.18356/ea26e442-en</v>
      </c>
    </row>
    <row r="46">
      <c r="A46" s="24" t="str">
        <f t="shared" si="1"/>
        <v>#NAME?</v>
      </c>
      <c r="B46" s="12" t="s">
        <v>228</v>
      </c>
      <c r="C46" s="5">
        <v>11.0</v>
      </c>
      <c r="D46" s="55" t="b">
        <v>0</v>
      </c>
      <c r="E46" s="12" t="s">
        <v>227</v>
      </c>
      <c r="F46" s="24" t="str">
        <f t="array" ref="F46">VLOOKUP(E46,{Source!B:B,Source!A:A},2,FALSE)</f>
        <v>10.1787/5jm3p5gl4djd-en</v>
      </c>
    </row>
    <row r="47">
      <c r="A47" s="24" t="str">
        <f t="shared" si="1"/>
        <v>#NAME?</v>
      </c>
      <c r="B47" s="12" t="s">
        <v>177</v>
      </c>
      <c r="C47" s="5">
        <v>11.0</v>
      </c>
      <c r="D47" s="55" t="b">
        <v>0</v>
      </c>
      <c r="E47" s="12" t="s">
        <v>176</v>
      </c>
      <c r="F47" s="24" t="str">
        <f t="array" ref="F47">VLOOKUP(E47,{Source!B:B,Source!A:A},2,FALSE)</f>
        <v>10.1787/9789264237087-7-en</v>
      </c>
    </row>
    <row r="48">
      <c r="A48" s="24" t="str">
        <f t="shared" si="1"/>
        <v>#NAME?</v>
      </c>
      <c r="B48" s="12" t="s">
        <v>121</v>
      </c>
      <c r="C48" s="5">
        <v>11.0</v>
      </c>
      <c r="D48" s="55" t="b">
        <v>1</v>
      </c>
      <c r="E48" s="12" t="s">
        <v>120</v>
      </c>
      <c r="F48" s="24" t="str">
        <f t="array" ref="F48">VLOOKUP(E48,{Source!B:B,Source!A:A},2,FALSE)</f>
        <v>10.18356/eb366761-en</v>
      </c>
    </row>
    <row r="49">
      <c r="A49" s="24" t="str">
        <f t="shared" si="1"/>
        <v>#NAME?</v>
      </c>
      <c r="B49" s="12" t="s">
        <v>270</v>
      </c>
      <c r="C49" s="5">
        <v>11.0</v>
      </c>
      <c r="D49" s="5" t="b">
        <v>1</v>
      </c>
      <c r="E49" s="12" t="s">
        <v>269</v>
      </c>
      <c r="F49" s="24" t="str">
        <f t="array" ref="F49">VLOOKUP(E49,{Source!B:B,Source!A:A},2,FALSE)</f>
        <v>10.18356/bf400991-en</v>
      </c>
      <c r="G49" s="5" t="s">
        <v>452</v>
      </c>
    </row>
    <row r="50">
      <c r="A50" s="24" t="str">
        <f t="shared" si="1"/>
        <v>#NAME?</v>
      </c>
      <c r="B50" s="12" t="s">
        <v>192</v>
      </c>
      <c r="C50" s="5">
        <v>11.0</v>
      </c>
      <c r="D50" s="55" t="b">
        <v>1</v>
      </c>
      <c r="E50" s="12" t="s">
        <v>191</v>
      </c>
      <c r="F50" s="24" t="str">
        <f t="array" ref="F50">VLOOKUP(E50,{Source!B:B,Source!A:A},2,FALSE)</f>
        <v>10.18356/48644704-en</v>
      </c>
    </row>
    <row r="51">
      <c r="A51" s="24" t="str">
        <f t="shared" si="1"/>
        <v>#NAME?</v>
      </c>
      <c r="B51" s="56" t="s">
        <v>479</v>
      </c>
      <c r="C51" s="5">
        <v>11.0</v>
      </c>
      <c r="D51" s="5" t="b">
        <v>0</v>
      </c>
      <c r="E51" s="12" t="s">
        <v>275</v>
      </c>
      <c r="F51" s="24" t="str">
        <f t="array" ref="F51">VLOOKUP(E51,{Source!B:B,Source!A:A},2,FALSE)</f>
        <v>10.6027/9789289349437-6-en</v>
      </c>
      <c r="G51" s="5" t="s">
        <v>480</v>
      </c>
    </row>
    <row r="52">
      <c r="A52" s="24" t="str">
        <f t="shared" si="1"/>
        <v>#NAME?</v>
      </c>
      <c r="B52" s="12" t="s">
        <v>219</v>
      </c>
      <c r="C52" s="5">
        <v>11.0</v>
      </c>
      <c r="D52" s="55" t="b">
        <v>0</v>
      </c>
      <c r="E52" s="12" t="s">
        <v>218</v>
      </c>
      <c r="F52" s="24" t="str">
        <f t="array" ref="F52">VLOOKUP(E52,{Source!B:B,Source!A:A},2,FALSE)</f>
        <v>10.1787/5jlwvz85537c-en</v>
      </c>
    </row>
    <row r="53">
      <c r="A53" s="24" t="str">
        <f t="shared" si="1"/>
        <v>#NAME?</v>
      </c>
      <c r="B53" s="12" t="s">
        <v>284</v>
      </c>
      <c r="C53" s="5">
        <v>11.0</v>
      </c>
      <c r="D53" s="55" t="b">
        <v>1</v>
      </c>
      <c r="E53" s="12" t="s">
        <v>283</v>
      </c>
      <c r="F53" s="24" t="str">
        <f t="array" ref="F53">VLOOKUP(E53,{Source!B:B,Source!A:A},2,FALSE)</f>
        <v>10.6027/9789289349437-6-en</v>
      </c>
    </row>
    <row r="54">
      <c r="A54" s="24" t="str">
        <f t="shared" si="1"/>
        <v>#NAME?</v>
      </c>
      <c r="B54" s="56" t="s">
        <v>481</v>
      </c>
      <c r="C54" s="5">
        <v>11.0</v>
      </c>
      <c r="D54" s="55" t="b">
        <v>0</v>
      </c>
      <c r="E54" s="12" t="s">
        <v>195</v>
      </c>
      <c r="F54" s="24" t="str">
        <f t="array" ref="F54">VLOOKUP(E54,{Source!B:B,Source!A:A},2,FALSE)</f>
        <v>10.14217/6f77cc82-en</v>
      </c>
      <c r="G54" s="5" t="s">
        <v>473</v>
      </c>
    </row>
    <row r="55">
      <c r="A55" s="24" t="str">
        <f t="shared" si="1"/>
        <v>#NAME?</v>
      </c>
      <c r="B55" s="12" t="s">
        <v>226</v>
      </c>
      <c r="C55" s="5">
        <v>11.0</v>
      </c>
      <c r="D55" s="55" t="b">
        <v>1</v>
      </c>
      <c r="E55" s="12" t="s">
        <v>225</v>
      </c>
      <c r="F55" s="24" t="str">
        <f t="array" ref="F55">VLOOKUP(E55,{Source!B:B,Source!A:A},2,FALSE)</f>
        <v>10.1787/9789264245174-8-en</v>
      </c>
    </row>
    <row r="56">
      <c r="A56" s="24" t="str">
        <f t="shared" si="1"/>
        <v>#NAME?</v>
      </c>
      <c r="B56" s="12" t="s">
        <v>263</v>
      </c>
      <c r="C56" s="5">
        <v>11.0</v>
      </c>
      <c r="D56" s="55" t="b">
        <v>0</v>
      </c>
      <c r="E56" s="12" t="s">
        <v>262</v>
      </c>
      <c r="F56" s="24" t="str">
        <f t="array" ref="F56">VLOOKUP(E56,{Source!B:B,Source!A:A},2,FALSE)</f>
        <v>10.1787/9789264203914-7-en</v>
      </c>
    </row>
    <row r="57">
      <c r="A57" s="24" t="str">
        <f t="shared" si="1"/>
        <v>#NAME?</v>
      </c>
      <c r="B57" s="12" t="s">
        <v>140</v>
      </c>
      <c r="C57" s="5">
        <v>11.0</v>
      </c>
      <c r="D57" s="55" t="b">
        <v>1</v>
      </c>
      <c r="E57" s="12" t="s">
        <v>139</v>
      </c>
      <c r="F57" s="24" t="str">
        <f t="array" ref="F57">VLOOKUP(E57,{Source!B:B,Source!A:A},2,FALSE)</f>
        <v>10.1787/9789264245174-8-en</v>
      </c>
    </row>
    <row r="58">
      <c r="A58" s="24" t="str">
        <f t="shared" si="1"/>
        <v>#NAME?</v>
      </c>
      <c r="B58" s="12" t="s">
        <v>109</v>
      </c>
      <c r="C58" s="5">
        <v>11.0</v>
      </c>
      <c r="D58" s="55" t="b">
        <v>1</v>
      </c>
      <c r="E58" s="12" t="s">
        <v>108</v>
      </c>
      <c r="F58" s="24" t="str">
        <f t="array" ref="F58">VLOOKUP(E58,{Source!B:B,Source!A:A},2,FALSE)</f>
        <v>10.18356/48644704-en</v>
      </c>
    </row>
    <row r="59">
      <c r="A59" s="24" t="str">
        <f t="shared" si="1"/>
        <v>#NAME?</v>
      </c>
      <c r="B59" s="12" t="s">
        <v>190</v>
      </c>
      <c r="C59" s="5">
        <v>11.0</v>
      </c>
      <c r="D59" s="55" t="b">
        <v>1</v>
      </c>
      <c r="E59" s="12" t="s">
        <v>189</v>
      </c>
      <c r="F59" s="24" t="str">
        <f t="array" ref="F59">VLOOKUP(E59,{Source!B:B,Source!A:A},2,FALSE)</f>
        <v>10.1787/ad4de8a1-en</v>
      </c>
    </row>
    <row r="60">
      <c r="A60" s="24" t="str">
        <f t="shared" si="1"/>
        <v>#NAME?</v>
      </c>
      <c r="B60" s="12" t="s">
        <v>248</v>
      </c>
      <c r="C60" s="5">
        <v>11.0</v>
      </c>
      <c r="D60" s="55" t="b">
        <v>0</v>
      </c>
      <c r="E60" s="12" t="s">
        <v>247</v>
      </c>
      <c r="F60" s="24" t="str">
        <f t="array" ref="F60">VLOOKUP(E60,{Source!B:B,Source!A:A},2,FALSE)</f>
        <v>10.1787/9789264268852-7-en</v>
      </c>
    </row>
    <row r="61">
      <c r="A61" s="24" t="str">
        <f t="shared" si="1"/>
        <v>#NAME?</v>
      </c>
      <c r="B61" s="56" t="s">
        <v>482</v>
      </c>
      <c r="C61" s="5">
        <v>11.0</v>
      </c>
      <c r="D61" s="55" t="b">
        <v>1</v>
      </c>
      <c r="E61" s="12" t="s">
        <v>243</v>
      </c>
      <c r="F61" s="24" t="str">
        <f t="array" ref="F61">VLOOKUP(E61,{Source!B:B,Source!A:A},2,FALSE)</f>
        <v>10.1787/9789264286191-7-en</v>
      </c>
      <c r="G61" s="5" t="s">
        <v>471</v>
      </c>
    </row>
    <row r="62">
      <c r="A62" s="24" t="str">
        <f t="shared" si="1"/>
        <v>#NAME?</v>
      </c>
      <c r="B62" s="12" t="s">
        <v>146</v>
      </c>
      <c r="C62" s="5">
        <v>11.0</v>
      </c>
      <c r="D62" s="55" t="b">
        <v>1</v>
      </c>
      <c r="E62" s="12" t="s">
        <v>145</v>
      </c>
      <c r="F62" s="24" t="str">
        <f t="array" ref="F62">VLOOKUP(E62,{Source!B:B,Source!A:A},2,FALSE)</f>
        <v>10.18356/fa0355fa-en</v>
      </c>
    </row>
    <row r="63">
      <c r="A63" s="24" t="str">
        <f t="shared" si="1"/>
        <v>#NAME?</v>
      </c>
      <c r="B63" s="12" t="s">
        <v>175</v>
      </c>
      <c r="C63" s="5">
        <v>11.0</v>
      </c>
      <c r="D63" s="55" t="b">
        <v>0</v>
      </c>
      <c r="E63" s="12" t="s">
        <v>174</v>
      </c>
      <c r="F63" s="24" t="str">
        <f t="array" ref="F63">VLOOKUP(E63,{Source!B:B,Source!A:A},2,FALSE)</f>
        <v>10.1787/50e33932-en</v>
      </c>
    </row>
    <row r="64">
      <c r="A64" s="24" t="str">
        <f t="shared" si="1"/>
        <v>#NAME?</v>
      </c>
      <c r="B64" s="12" t="s">
        <v>183</v>
      </c>
      <c r="C64" s="5">
        <v>11.0</v>
      </c>
      <c r="D64" s="55" t="b">
        <v>1</v>
      </c>
      <c r="E64" s="12" t="s">
        <v>182</v>
      </c>
      <c r="F64" s="24" t="str">
        <f t="array" ref="F64">VLOOKUP(E64,{Source!B:B,Source!A:A},2,FALSE)</f>
        <v>10.18356/bc5ec3da-en</v>
      </c>
    </row>
    <row r="65">
      <c r="A65" s="24" t="str">
        <f t="shared" si="1"/>
        <v>#NAME?</v>
      </c>
      <c r="B65" s="12" t="s">
        <v>254</v>
      </c>
      <c r="C65" s="5">
        <v>11.0</v>
      </c>
      <c r="D65" s="55" t="b">
        <v>1</v>
      </c>
      <c r="E65" s="12" t="s">
        <v>253</v>
      </c>
      <c r="F65" s="24" t="str">
        <f t="array" ref="F65">VLOOKUP(E65,{Source!B:B,Source!A:A},2,FALSE)</f>
        <v>10.18356/ee1a3170-en</v>
      </c>
    </row>
    <row r="66">
      <c r="A66" s="24" t="str">
        <f t="shared" si="1"/>
        <v>#NAME?</v>
      </c>
      <c r="B66" s="12" t="s">
        <v>107</v>
      </c>
      <c r="C66" s="5">
        <v>11.0</v>
      </c>
      <c r="D66" s="55" t="b">
        <v>1</v>
      </c>
      <c r="E66" s="12" t="s">
        <v>106</v>
      </c>
      <c r="F66" s="24" t="str">
        <f t="array" ref="F66">VLOOKUP(E66,{Source!B:B,Source!A:A},2,FALSE)</f>
        <v>10.18356/97f03e0a-en</v>
      </c>
    </row>
    <row r="67">
      <c r="A67" s="24" t="str">
        <f t="shared" si="1"/>
        <v>#NAME?</v>
      </c>
      <c r="B67" s="12" t="s">
        <v>278</v>
      </c>
      <c r="C67" s="5">
        <v>11.0</v>
      </c>
      <c r="D67" s="55" t="b">
        <v>1</v>
      </c>
      <c r="E67" s="12" t="s">
        <v>277</v>
      </c>
      <c r="F67" s="24" t="str">
        <f t="array" ref="F67">VLOOKUP(E67,{Source!B:B,Source!A:A},2,FALSE)</f>
        <v>10.1787/9789264290747-en</v>
      </c>
    </row>
    <row r="68">
      <c r="A68" s="24" t="str">
        <f t="shared" si="1"/>
        <v>#NAME?</v>
      </c>
      <c r="B68" s="12" t="s">
        <v>105</v>
      </c>
      <c r="C68" s="5">
        <v>11.0</v>
      </c>
      <c r="D68" s="55" t="b">
        <v>0</v>
      </c>
      <c r="E68" s="12" t="s">
        <v>104</v>
      </c>
      <c r="F68" s="24" t="str">
        <f t="array" ref="F68">VLOOKUP(E68,{Source!B:B,Source!A:A},2,FALSE)</f>
        <v>10.1787/9789264268791-6-en</v>
      </c>
    </row>
    <row r="69">
      <c r="A69" s="24" t="str">
        <f t="shared" si="1"/>
        <v>#NAME?</v>
      </c>
      <c r="B69" s="12" t="s">
        <v>240</v>
      </c>
      <c r="C69" s="5">
        <v>11.0</v>
      </c>
      <c r="D69" s="55" t="b">
        <v>0</v>
      </c>
      <c r="E69" s="12" t="s">
        <v>239</v>
      </c>
      <c r="F69" s="24" t="str">
        <f t="array" ref="F69">VLOOKUP(E69,{Source!B:B,Source!A:A},2,FALSE)</f>
        <v>10.18356/a11581d8-en</v>
      </c>
    </row>
    <row r="70">
      <c r="A70" s="24" t="str">
        <f t="shared" si="1"/>
        <v>#NAME?</v>
      </c>
      <c r="B70" s="12" t="s">
        <v>207</v>
      </c>
      <c r="C70" s="5">
        <v>11.0</v>
      </c>
      <c r="D70" s="55" t="b">
        <v>1</v>
      </c>
      <c r="E70" s="12" t="s">
        <v>206</v>
      </c>
      <c r="F70" s="24" t="str">
        <f t="array" ref="F70">VLOOKUP(E70,{Source!B:B,Source!A:A},2,FALSE)</f>
        <v>10.18356/bf400991-en</v>
      </c>
    </row>
    <row r="71">
      <c r="B71" s="56"/>
      <c r="E71" s="12"/>
    </row>
    <row r="72">
      <c r="B72" s="12"/>
      <c r="E72" s="12"/>
    </row>
    <row r="73">
      <c r="B73" s="12"/>
      <c r="E73" s="12"/>
    </row>
    <row r="74">
      <c r="B74" s="12"/>
      <c r="E74" s="12"/>
    </row>
    <row r="75">
      <c r="B75" s="56"/>
      <c r="E75" s="12"/>
    </row>
    <row r="76">
      <c r="B76" s="12"/>
      <c r="E76" s="12"/>
    </row>
    <row r="77">
      <c r="B77" s="12"/>
      <c r="E77" s="12"/>
    </row>
    <row r="78">
      <c r="B78" s="56"/>
      <c r="E78" s="12"/>
    </row>
    <row r="79">
      <c r="B79" s="12"/>
      <c r="E79" s="12"/>
    </row>
    <row r="80">
      <c r="B80" s="12"/>
      <c r="E80" s="12"/>
    </row>
    <row r="81">
      <c r="B81" s="12"/>
      <c r="E81" s="12"/>
    </row>
    <row r="82">
      <c r="B82" s="12"/>
      <c r="E82" s="12"/>
    </row>
    <row r="83">
      <c r="B83" s="56"/>
      <c r="E83" s="12"/>
    </row>
    <row r="84">
      <c r="B84" s="12"/>
      <c r="E84" s="12"/>
    </row>
    <row r="85">
      <c r="B85" s="12"/>
      <c r="E85" s="12"/>
    </row>
    <row r="86">
      <c r="B86" s="56"/>
      <c r="E86" s="12"/>
    </row>
  </sheetData>
  <autoFilter ref="$A$1:$G$961"/>
  <drawing r:id="rId1"/>
</worksheet>
</file>