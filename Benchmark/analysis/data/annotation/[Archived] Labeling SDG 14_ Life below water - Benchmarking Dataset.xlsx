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7" name="_xlnm._FilterDatabase">'Final Review'!$A$1:$S$101</definedName>
    <definedName hidden="1" localSheetId="8" name="_xlnm._FilterDatabase">Output!$A$1:$G$85</definedName>
  </definedNames>
  <calcPr/>
</workbook>
</file>

<file path=xl/sharedStrings.xml><?xml version="1.0" encoding="utf-8"?>
<sst xmlns="http://schemas.openxmlformats.org/spreadsheetml/2006/main" count="2308" uniqueCount="496">
  <si>
    <t>Hello 👋</t>
  </si>
  <si>
    <t>Welcome to the labeling exercise for SDG 14.</t>
  </si>
  <si>
    <t>The objective of this exercise is to label 100 texts in terms of their relevance to SDG 14.</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</si>
  <si>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</si>
  <si>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</si>
  <si>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</si>
  <si>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</si>
  <si>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</si>
  <si>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</si>
  <si>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</si>
  <si>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</si>
  <si>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</si>
  <si>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14</t>
  </si>
  <si>
    <t>This text is not relevant to SDG 14</t>
  </si>
  <si>
    <t>SKIP</t>
  </si>
  <si>
    <t>You can use this if you are not sure about the label</t>
  </si>
  <si>
    <t>If you want, you can put any comments in column D.</t>
  </si>
  <si>
    <t>Instructions for Labeling</t>
  </si>
  <si>
    <t>The text should be annotated as SDG 14 only if:</t>
  </si>
  <si>
    <r>
      <rPr>
        <rFont val="Arial"/>
        <color theme="1"/>
        <u/>
      </rPr>
      <t xml:space="preserve">1. The text addresses </t>
    </r>
    <r>
      <rPr>
        <rFont val="Arial"/>
        <b/>
        <color theme="1"/>
        <u/>
      </rPr>
      <t>SDG 14 or one of its targets</t>
    </r>
  </si>
  <si>
    <t>See the official definitions of SDG 14 and its targets below ("SDG 14 Description &amp; Targets").</t>
  </si>
  <si>
    <t>AND</t>
  </si>
  <si>
    <r>
      <rPr>
        <rFont val="Arial"/>
        <color theme="1"/>
        <u/>
      </rPr>
      <t xml:space="preserve">2. The text addresses SDG 14 or its targets </t>
    </r>
    <r>
      <rPr>
        <rFont val="Arial"/>
        <b/>
        <color theme="1"/>
        <u/>
      </rPr>
      <t>directly</t>
    </r>
    <r>
      <rPr>
        <rFont val="Arial"/>
        <color theme="1"/>
        <u/>
      </rPr>
      <t>:</t>
    </r>
  </si>
  <si>
    <t>- the text should be directly relevant to SDG 14 or to achieving SDG 14</t>
  </si>
  <si>
    <t>- if a text only has an indirect or implicit relevance, it should not be labeled SDG 14</t>
  </si>
  <si>
    <r>
      <rPr>
        <rFont val="Arial"/>
        <color theme="1"/>
        <u/>
      </rPr>
      <t xml:space="preserve">3. The text addresses SDG 14 or its targets </t>
    </r>
    <r>
      <rPr>
        <rFont val="Arial"/>
        <b/>
        <color theme="1"/>
        <u/>
      </rPr>
      <t>specifically</t>
    </r>
    <r>
      <rPr>
        <rFont val="Arial"/>
        <color theme="1"/>
        <u/>
      </rPr>
      <t>:</t>
    </r>
  </si>
  <si>
    <t>- the text should be specific to SDG 14 and its targets</t>
  </si>
  <si>
    <t>- if fact stating, the text should contain value-laden words (e.g. renewable energy instead of energy, drug abuse instead of drugs, infant mortality instead of premature deaths)</t>
  </si>
  <si>
    <r>
      <rPr>
        <rFont val="Arial"/>
        <color theme="1"/>
        <u/>
      </rPr>
      <t xml:space="preserve">4. Annotate as SDG 14 regardless of </t>
    </r>
    <r>
      <rPr>
        <rFont val="Arial"/>
        <b/>
        <color theme="1"/>
        <u/>
      </rPr>
      <t>valence</t>
    </r>
    <r>
      <rPr>
        <rFont val="Arial"/>
        <color theme="1"/>
        <u/>
      </rPr>
      <t xml:space="preserve"> and </t>
    </r>
    <r>
      <rPr>
        <rFont val="Arial"/>
        <b/>
        <color theme="1"/>
        <u/>
      </rPr>
      <t>other SDGs</t>
    </r>
    <r>
      <rPr>
        <rFont val="Arial"/>
        <color theme="1"/>
        <u/>
      </rPr>
      <t>:</t>
    </r>
  </si>
  <si>
    <t>- annotate as SDG 14 regardless of whether the content is discussed in a positive or negative light. We ignore valence (sentiment) for now.</t>
  </si>
  <si>
    <t>- annotate as SDG 14 even if other SDGs are mentioned and annotate as SDG 14 even if SDG 14 is not the "most important" SDG in the text</t>
  </si>
  <si>
    <t>With all that said, please do trust your judgment! I am sure we will have important discussions about these issues next time — which is exactly what we want 😊</t>
  </si>
  <si>
    <t>SDG 14 Description &amp; Targets</t>
  </si>
  <si>
    <t>SDG 14</t>
  </si>
  <si>
    <t>Conserve and sustainably use the oceans, seas and marine resources for sustainable development</t>
  </si>
  <si>
    <t>Target 14.1</t>
  </si>
  <si>
    <t>By 2025, prevent and significantly reduce marine pollution of all kinds, in particular from land-based activities, including marine debris and nutrient pollution</t>
  </si>
  <si>
    <t>Target 14.2</t>
  </si>
  <si>
    <t>By 2020, sustainably manage and protect marine and coastal ecosystems to avoid significant adverse impacts, including by strengthening their resilience, and take action for their restoration in order to achieve healthy and productive oceans</t>
  </si>
  <si>
    <t>Target 14.3</t>
  </si>
  <si>
    <t>Minimize and address the impacts of ocean acidification, including through enhanced scientific cooperation at all levels</t>
  </si>
  <si>
    <t>Target 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</si>
  <si>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</si>
  <si>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Target 14.5</t>
  </si>
  <si>
    <t>By 2020, conserve at least 10 per cent of coastal and marine areas, consistent with national and international law and based on the best available scientific information</t>
  </si>
  <si>
    <t>Target 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</si>
  <si>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</si>
  <si>
    <t>Target 14.7</t>
  </si>
  <si>
    <t>By 2030, increase the economic benefits to Small Island developing States and least developed countries from the sustainable use of marine resources, including through sustainable management of fisheries, aquaculture and tourism</t>
  </si>
  <si>
    <t>Target 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</si>
  <si>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</si>
  <si>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Target 14.b</t>
  </si>
  <si>
    <t>Provide access for small-scale artisanal fishers to marine resources and markets</t>
  </si>
  <si>
    <t>Target 14.c</t>
  </si>
  <si>
    <t>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</si>
  <si>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</si>
  <si>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</si>
  <si>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</si>
  <si>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</si>
  <si>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</si>
  <si>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</si>
  <si>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</si>
  <si>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</si>
  <si>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</si>
  <si>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</si>
  <si>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</si>
  <si>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</si>
  <si>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</si>
  <si>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14. The reason for selecting each text is documented in the "Source" sheet.</t>
  </si>
  <si>
    <t>Automatic Selection (50 texts)</t>
  </si>
  <si>
    <t>50 texts were selected automatically</t>
  </si>
  <si>
    <t>- 25 texts that OSDG community labeled as "SDG 14"</t>
  </si>
  <si>
    <t>- 25 texts that OSDG community labeled as "not SDG 14"</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</si>
  <si>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</si>
  <si>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</si>
  <si>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</si>
  <si>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</si>
  <si>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</si>
  <si>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</si>
  <si>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</si>
  <si>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</si>
  <si>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</si>
  <si>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14"</t>
  </si>
  <si>
    <t>- 5 texts that relate to the goal as a whole</t>
  </si>
  <si>
    <t>- 20 texts (2 per target) that relate to the SDG targets</t>
  </si>
  <si>
    <t>25 texts that OSDG community labeled as "not SDG 14"</t>
  </si>
  <si>
    <t>- 5 texts that contain words relating to the goal as a whole</t>
  </si>
  <si>
    <t>- 20 texts (2 per target) that contain words relating to the SDG targets</t>
  </si>
  <si>
    <t>Text ID</t>
  </si>
  <si>
    <t>Text</t>
  </si>
  <si>
    <t>SDG 14 Label</t>
  </si>
  <si>
    <t>Comments (optional)</t>
  </si>
  <si>
    <t>7f1203820ada8132cb45592df35539aa</t>
  </si>
  <si>
    <t>Well-advised policies and strategies backed by strong research programmes will be of paramount importance in overcoming production constraints. Especially in more-affluent markets, consumers are increasingly requiring high standards of quality assurance and demanding guarantees that the fish they purchase are produced sustainably. Stringent quality- and safety-related import standards, together with requirements for products meeting international animal health and environmental standards and social responsibility requirements, might act as barriers to small-scale fish producers and operators attempting to penetrate international markets and distribution channels.</t>
  </si>
  <si>
    <t>c2e27bfaaec51d377360b4298da7cce1</t>
  </si>
  <si>
    <t>To be effective, institutions should be able to incorporate information from different sources, evaluate the relative quality of that information, set goals that are based on evidence, and be adaptable when facts change. There is a difficult trade-off between strictly detailed procedures which are easy to communicate and control but introduce a lot of rigidities that may significantly increase costs (including long delays, interminable negotiations, repeated votes) and flexible rules that facilitate adaptation but could allow the decision process to become arbitrary. Public access to procedures, including for parties not directly involved, is one way to reduce the shaipness of this trade-off by making rigid systems run more smoothly and flexible ones less arbitrary.</t>
  </si>
  <si>
    <t>6049f93b0d80bccb8a5bd945757c0908</t>
  </si>
  <si>
    <t>The pres: sures. The Green Economy model provides such an approach, and the time is right to take strong actions. We have to find practical ways to feed the more than 7 billion people on the planet, confront the challenges in the global economy, and grow sustainably and resiliently. Many, particularly Small Island Developing States (SIDS), are dependent on ocean resources. It is now recognised that the ocean of today is greatly changed even from what it was just 40 years ago.</t>
  </si>
  <si>
    <t>924b78e677fc97da7412d26a4f84a553</t>
  </si>
  <si>
    <t>More broadly, global and more localised competition for factors of production, particularly site area, water and feeds can be critical, as is competition in food markets and price-supply conditions. Here, the role of aquaculture in providing raw material for value-added products is different from that for whole fresh or live product as is the potential size and value of markets involved.</t>
  </si>
  <si>
    <t>not specific to sustainable ocean use</t>
  </si>
  <si>
    <t>dfabad6d52b75beb83cb5d3acee7d522</t>
  </si>
  <si>
    <t>The 1982 United Nations Convention on the Law of the Sea (“the Convention" / UNCLOS) sets out the overarching international legal framework for all activities on the oceans and seas, including the conservation and sustainable use of living marine resources. It is complemented by the 1995 Agreement for the Implementation of the Provisions of the United Nations Convention on the Law of the Sea of 10 December 1982 relating to the Conservation and Management of Straddling Fish Stocks and Highly Migratory Fish Stocks (“the Agreement”). The latter sets out a comprehensive legal framework for the implementation of the provisions of the Convention relating to the longterm conservation and sustainable use of straddling fish stocks and highly migratory fish stocks.</t>
  </si>
  <si>
    <t>c37d02c83ce0f764f615367128454693</t>
  </si>
  <si>
    <t>Le present document est consacre a ces questions. D en ressort qu’il serait possible de prendre acte plus clairement de certains antagonismes potentiels entre objectifs de developpement durable, et que la Norvege peut et devrait poursuivre plus resolument dans la voie des incitations economiques, qu’elle a contribue a ouvrir, de maniere a favoriser la realisation des objectifs de durabilite. Norwegian Coastal Cod (20 000 metric tons in 2004 and 21 000 metric tons in 2005) included.</t>
  </si>
  <si>
    <t>not English</t>
  </si>
  <si>
    <t>7c50c4ff303c99dc6dda1de8fa88f3f5</t>
  </si>
  <si>
    <t>Since it came into force in 1986, the law has undergone four amendments, in 2000, 2004, 2009 and 2013. Further amendments were still under development in 2015. Suggestions for changes were collected by conducting investigations, surveys and symposia where policymakers, industries and scientists had a chance to provide input.</t>
  </si>
  <si>
    <t>b1855618d712a578ed0101f0cd4d1c54</t>
  </si>
  <si>
    <t>In England, the “Enclosures” deprived many poor peasants of access to land their families had used for centuries. The conflicts and misery generated were even worse than those that will inevitably accompany any solution for fisheries. For example, in one incident in 1607, known as the Newton Rebellion, a battle between the gentry and peasantry left around 50 people dead, and the peasant ringleaders were hanged and quartered. Access to some resources is controlled, notably in EEZ, and there are attempts to extend control to the whole “territory”.</t>
  </si>
  <si>
    <t>979561762e83fc24be9ffb1a26139ae1</t>
  </si>
  <si>
    <t>To the extent permitted by its national laws and regulations, each member of the Commission shall establish arrangements for making available to prosecuting authorities of other members of the Commission evidence related to alleged violations of the provisions of the Convention and any conservation and management measures adopted by the Commission, including information available on the beneficial ownership of vessels flying its flag.</t>
  </si>
  <si>
    <t>4f7eea5e72bae1acfb399c9eb5931889</t>
  </si>
  <si>
    <t>However, the ability of many SIDS to attract viable large-scale processing sector businesses is often limited by location and by operating and transport costs. The potential for renewable energy use in these approaches should be linked to Strategy 2. Opportunities may lie in both domestic and export markets, as well as in accessing entirely new markets or working to improve marketing and value addition in existing markets.</t>
  </si>
  <si>
    <t>4d382634bc2bf37936119beedb9eaad8</t>
  </si>
  <si>
    <t>Today, the Nordic Region is one of the most digitized in the world with the most advanced digital public service. Despite this commitment however remote areas experience challenges when it comes to health care and service maintenance for remote and sparsely populated areas. Digital health solutions may provide one solution to growing social inequality in the area of health, as described in the chapter of health and welfare.</t>
  </si>
  <si>
    <t>dbf34c9045410ec67e5f1b9805a8f9d6</t>
  </si>
  <si>
    <t>Security measures (against lightning, flooding, theft, vandalism, and so forth) are to be taken into account and the stations must, of course, be able to withstand severe meteorological conditions. The cost of providing systems capable of operating under all foreseen circumstances at an automatic station is prohibitive, it is essential that, before specifying or designing an observation station, a thorough understanding of the working environment anticipated for the observation station be obtained. At an early stage of planning, there should be a detailed analysis of the relative importance of the meteorological and technical requirements so that sites can be chosen and approved as suitable before significant installation investment is made.</t>
  </si>
  <si>
    <t>faed89654d5e11fa78f94916608504f4</t>
  </si>
  <si>
    <t>Fernandez and Rodrik (1991) demonstrate that there is a bias towards the status quo (and hence against efficiency-enhancing reforms) whenever some (or all) of the individual gainers or losers from reform cannot be identified beforehand. Glazer (2003) points out that once the reform has been implemented, the pattern of beneficiaries becomes clear and there may be support for the new status quo, despite initial opposition due to the uncertainty surrounding the distribution of benefits (next section). Loss aversion can therefore help to create a status quo bias, making it difficult both to introduce a policy (and also to reverse a policy once it is adopted). However, the long term durability of reforms cannot be taken for granted.</t>
  </si>
  <si>
    <t>8c6d907bb5260146d9aefb86a130911e</t>
  </si>
  <si>
    <t>Section 2.3 studies the opportunities for enlarging the economic base, as well as the important role of innovation in the NORA region. New developments, research and the implementation of new techniques can support the future competitiveness and sustainability of traditional natural-resource-based industries. At the same time, in the context of increasing efforts to sustain and diversify regional economies, innovation could help to support the development of emerging or new niches and sectors. However, this will require improving education and training and encouraging entrepreneurship and competition.</t>
  </si>
  <si>
    <t>5e1800076afc25857fe954facd918c19</t>
  </si>
  <si>
    <t>This report responds to this request by identifying and measuring fuel tax concessions in the fisheries sector. It provides data on fuel use, tax concessions, and related information for OECD countries and partners, as well as describing some of the key challenges in measuring data of this type. The primary source of data is the country submissions, with other data sources used where the submissions are incomplete.</t>
  </si>
  <si>
    <t>subsidies</t>
  </si>
  <si>
    <t>62e3d6a8869cc8065a6481469573baa1</t>
  </si>
  <si>
    <t>Fuel saving is one of the most important goals of the Dutch fleet and the sector has invested in fuel saving gear. The result is a 24% decrease in 2014 of fuel consumption (in litres) per fishing day compared with the 2008-2013 average. In addition, decreasing fuel prices contributed to an overall reduction of energy costs by 21% with respect to the 2008-2013 average, along with a 4% increase in volume of landings.</t>
  </si>
  <si>
    <t>f11a0466582f778adb84667bc55f7601</t>
  </si>
  <si>
    <t>This is discussed later in the report (Chapters 5.6 and 7.3). The Convention also requires Parties to: 'ensure that the generation of hazardous wastes and other wastes are minimised.’ The Rotterdam Convention covers the Prior Informed Consent Procedure for Certain Hazardous Chemicals and Pesticides in International Trade13, and forms another important restraint on the unregulated trade in waste.</t>
  </si>
  <si>
    <t>9865befb53abf5771ab84c142443b956</t>
  </si>
  <si>
    <t>Second, the entity in charge of examining appeals must be independent of the micro-institution that is responsible for making or implementing decisions. Three possible mechanisms of appeal are commonly used: mediation, based on the common agreement to look for an acceptable settlement (e.g. through a conciliation commission), arbitration, which transfers decisions to independent parties, and courts. Costs tend to be higher for courts than for arbitration, and higher for arbitration than mediation. Other characteristics of institutions that are generally desirable are the capacity to coordinate and delegate, clear assignment of rights and responsibilities, involvement of stakeholders, methods of appeal, and capacity to promote good norms of behaviour (Table 2.2).</t>
  </si>
  <si>
    <t>c634027df3a27a87dc68b3d90e49445a</t>
  </si>
  <si>
    <t>This means sustainable utilisation, conservation and management of the resource based on scientific information and applied expertise guided by respect for the marine ecosystem as a whole. Iceland’s National Strategy for Sustainable Development contains objectives specific to living marine resources and state that management should both aim to minimise any negative ecosystem impacts associated with fishing and use the best scientific information available to ensure fish stocks remain at sustainable levels. The management system has proven successful at achieving most of this, securing an economically sustainable fishing industry while also contributing to biological sustainability'. The Icelandic fleet has been reducing in size and becoming more profitable, the carbon footprint of the industry is reducing, fishing pressure has been declining and safety at sea has radically improved recent decades.</t>
  </si>
  <si>
    <t>dae82f1844226ef176127d6947511c60</t>
  </si>
  <si>
    <t>These will state what is needed to be achieved for a fishery (objectives) and the implementation strategies to achieve those objectives-including research, regulations, and compliance. New Zealand participates in the FAO co-ordinated development of International Guidelines on the Management of Deep-Sea Fisheries in the High Seas, the negotiation of a binding port State measures agreement and the WTO negotiations to end fishing subsidies. The government also released the Marine Protected Areas Policy and Implementation Plan (MPA Policy). This has been somewhat counterbalanced by increases in farmed greenshell mussel production which also became the key export species.</t>
  </si>
  <si>
    <t>9efc0b4347f62f995b265c0e4f334ad6</t>
  </si>
  <si>
    <t>From the forest sector, data from Honduras show that it was 75% cheaper to produce and transport illegal wood than legal wood (Wells et al, 2007). One study estimated that illegal timber depresses global prices of timber by between 7% and 16%, costing US exporters at least USD 460 million a year (Seneca Creek Associates and Wood Resources International, 2004). Illegal harvesters are also able to free-ride on the efforts of those who are striving to manage a resource sustainably, for example, those fishing illegally from managed fisheries or in conservation areas, so increasing the costs for legitimate operators. Examples would be damage to equipment because of the use of poor-quality ODS counterfeit products, or the costs of remediation after the illegal dumping of waste.</t>
  </si>
  <si>
    <t>130654f68d61790d07280a0b5255af7d</t>
  </si>
  <si>
    <t>Citizens (or stakeholders groups) signal their policy demand or preferences through various channels such as lobbying or voting choices. The higher the costs involved in signalling this demand the lower the level of effective demand. Likewise the government’s willingness to supply the policy favour will increase with increasing political benefits that would accrue to the government. Equilibrium is found at the point where the demand for a concession matches the willingness to supply it given the respective perceptions of costs and benefits.</t>
  </si>
  <si>
    <t>72bdc37187b1b1bc2f94d27ef289044e</t>
  </si>
  <si>
    <t>Courses of this kind aim to address the need to rapidly develop a general understanding of emerging issues where there is limited capacity. Introduction level and general courses are then superseded by more specialised technical courses and /or integration into vocational and masters training courses. Multi-stage courses combine on-the-job-learning and assignments with one or more intensive training sessions, often involving exposure to projects or other real-life management situations that provide the experience participants need to build their own capabilities. Participants then complete assignments and projects based on their workplace (or volunteer) experience (Coley and others, 2002).</t>
  </si>
  <si>
    <t>c0a28839158cea086cd49e77ab392098</t>
  </si>
  <si>
    <t>As Cullinane and Bergqvist (2014) suggest: “The future imposition of more stringent limits on both SOx and NOx emissions, together with greater geographical applicability, will put energy use and other efficiency measures high on the agenda for shipping companies. This may result in the wider use of measures such as speed differentiation that, in turn, may enable shipping companies to better absorb the price changes arising from the EC A regulations. The large socio-economic benefits of the EC A regulations, combined with the global challenges related to pollution in densely populated areas such as the Mediterranean and Asia, emphasize the importance of designating more regions as ECAs.”</t>
  </si>
  <si>
    <t>ECA = Emissions Control Area for ships</t>
  </si>
  <si>
    <t>8aa1fb08aba1395bf2c68bf38cd4c8d6</t>
  </si>
  <si>
    <t>Because of the complex dimensionality of the interactions among the targets when viewed socially, economically and environmentally, the arrows in Figure 1 should be taken as illustrative but not definitive. However, in many cases the “real life” impacts of what is done in a target area on other target areas is variable, and can be positive or negative. Some targets are mostly at the “receiving end” of the interlinkages and are affected by many of the other targets. They include targets 14.2 (sustainable management of marine ecosystems), 14.4 (restoration of fish stocks), and 14.7 increased benefits for SIDS and LDCs. On the other hand, targets 14.a (science and technology) and I4.c (implementation of international law) have the potential to affect most of the other targets.</t>
  </si>
  <si>
    <t>1bccedf6b7f73c47e16380ec7f4f9b90</t>
  </si>
  <si>
    <t>Suppose, for example, that a stock has been confined to Country A’s EEZ. Climate change increasingly diverts the stock into Country B’s EEZ, while the growth and reproduction of the stock still depend on how much of the stock is left after fishing in the EEZs of both countries. Country A’s command over the stock will be steadily eroded and so will its previously strong incentives to protect it, while Country B will acquire an interest in the stock, at first fleeting but then a more substantial one. If things continue in this direction, B will ultimately acquire a stronger incentive than A to preserve the stock for reproduction and future growth, while A will become a player which only has a minor fraction of the stock and which in fact will be able to demand a disproportionate share of the stock, since it will in any case benefit from B’s conservation efforts without making much of a contribution itself. But how quickly will the players realize this reversal of roles and how timely will they adjust to it?</t>
  </si>
  <si>
    <t>weak</t>
  </si>
  <si>
    <t>47ec0945e03f9497ef0012d7dc9179f9</t>
  </si>
  <si>
    <t>Problems also arise from imperfectly controlled incineration, which can produce harmful substances, especially where plastics are involved. There is evidence that, in addition to the long-known hazardous substances, some substances (often called endocrine disruptors) that do not reach the levels of toxicity, persistence and bioaccumulation in the accepted definitions of hazardous substances, can disrupt the endocrine systems of humans and animals, with adverse effects on their reproductive success, metabolism and behaviour. The use of the best practicable means to limit the creation of waste, discharges and emissions can help control these problems.</t>
  </si>
  <si>
    <t>e0001c35ece84292c4d3bd87d90239ca</t>
  </si>
  <si>
    <t>Further, an active rental market can help reveal the value of both the rights and the resource to users. Policy makers can minimise the risk of criticism by ensuring that the initial rights allocation is perceived as fair and that the rental market is transparent and accessible to all. However, proper impact assessments (which themselves contain uncertainties) may be too expensive compared with the reform’s overall budget. As an alternative, managers can draw lessons from successful implementation of market mechanisms in other jurisdictions.</t>
  </si>
  <si>
    <t>ba6dcc1d21c161f82ec261307bd071be</t>
  </si>
  <si>
    <t>The threats facing the oceans are many and include unsustainable and destructive fishing practices, illegal and unreported fishing, pollution from both land-based and ship-based sources, habitat destruction, the introduction of invasive species, ocean noise, ship strikes (collisions between cetaceans and vessels), the mining of minerals, and the extraction of oil and gas. The adverse impacts resulting from these activities act cumulatively with the effects of ocean acidification, ocean warming, shifting currents, reduced mixing and decreasing oxygen levels. While marine ecosystems and species might be able to withstand one type or intensity of impact, they are much more severely affected by a combination of effects.</t>
  </si>
  <si>
    <t>681db518df70ee169c2b5fa85c21ebd3</t>
  </si>
  <si>
    <t>For example, the United Nations Declaration on the Rights of Indigenous Peoples enshrines the collective as well as individual rights of indigenous peoples, stating that “[ijndigenous peoples have the right to the lands, territories and resources which they have traditionally owned, occupied or otherwise used or acquired," and directing States to give legal recognition to these territories (UNDRIP, 2008). If fisheries resources are to be sustained, fisheries activities must be conducted in a responsible manner. Traditional fishing practices may be more harmoniously aligned with environmental sustainability, but the current reality is that the small-scale fisheries subsector itself in many parts of the world is being forced to move towards unsustainable practices. Sustainable resource management is therefore an issue of critical concern for the small-scale fisheries sector.</t>
  </si>
  <si>
    <t>4e454b66741dc2aed78e55095d05b02f</t>
  </si>
  <si>
    <t>Decommissioning and withdrawal from the fleet consists in the scrapping of the vessel, to the exclusion of any other procedure. The premium is paid as compensation for scrapping the vessel and for abandoning the related permits and, as the case may be, quota allowances. In 2012 and 2013, EUR 0.7 million and EUR 0.3 million were disbursed respectively for these two categories (fish trade and fishing). The tonnage and propulsion power of the vessels are deducted from the capacity allocation limits for France at European level.</t>
  </si>
  <si>
    <t>unclear</t>
  </si>
  <si>
    <t>5378b79a7f236ec54f5411d55c07c138</t>
  </si>
  <si>
    <t>Notwithstanding the fact that the outcomes from MC10 include a commitment to abolish export subsidies for farm exports, some members have called for a more result. In particular, for reinvigorated action by WTO members on ambitious and effective disciplines on fisheries subsidies. This is reflected in an initiative led by a subset of WTO members which gained some momentum at MC10 which calls for international action to eliminate harmful fishing subsidies (McClay, 2015).</t>
  </si>
  <si>
    <t>ca3ea1264000a4f304fc78c27208451b</t>
  </si>
  <si>
    <t>Secondly, they suggest that developing countries depend on international scientific assistance, which has its own frequently changing investment agenda. There are also large disparities in key socio-economic indicators that can influence R&amp;D potential such as Gross Domestic Product (GDP), which varies from US$ 592 000 million for South Africa to less than US$ 1 000 million for Comoros. According to the World Bank (The World Bank, undated) R&amp;D expenditure (per cent of GDP) is defined as the current and capital expenditures (both public and private) on creative work undertaken systematically to increase knowledge, including knowledge of humanity, culture, and society, and the use of knowledge for new applications. R&amp;D covers basic research, applied research, and experimental development.</t>
  </si>
  <si>
    <t>907d1e958548215ce8985ef0060f2c74</t>
  </si>
  <si>
    <t>Additionally, owners with TQL allocation are required to pay annually a specific tax calculated according to the amount of quota allocated to the owner. . Satellite Positioning System is required for small-scale vessels (more than 15m length), purse-seine (more than 12m length) and transport vessels. This will help enforce the first mile fishing zone restrictions.</t>
  </si>
  <si>
    <t>7d0203f701c1b31b078ba8faad369706</t>
  </si>
  <si>
    <t>Ironically, this provided a favourable opportunity for Cambodian women fish traders in the Tonle Sap region to engage in cross-border fish trade. They had an advantage over male traders, enjoying greater mobility as they did not risk being considered war combatants. In the late 1990s, as the war subsided, control over fish trade moved into the hands of government agencies and the police.</t>
  </si>
  <si>
    <t>fish trade vs fishing</t>
  </si>
  <si>
    <t>11e18aeda202ab60b081f8930a9d94b4</t>
  </si>
  <si>
    <t>It is clear, as pointed by one of the referees, that investing more resources in a search of the literature would likely yield an even greater number of linkages than are documented here. This has to be kept in mind when reading the paper. The dimensions that SDG 17 encompasses (finance, capacity building, trade, information and communications technology and data, monitoring and accountability) are relevant to most of the targets under SDG 14. In particular, financing and capacity building have been identified as important across the set of SDG 14 targets (UN, 2017).</t>
  </si>
  <si>
    <t>2700d850c1a1604de3f32e3a8ef93803</t>
  </si>
  <si>
    <t>The Habitats Directive calls for the establishment of special areas of conservation for habitats or species. The protected areas defined by these directives are legally binding and restrict or forbid certain human activities. Member states must put measures into place to achieve the conservation goals for each site.</t>
  </si>
  <si>
    <t>Habitat Directive covers land+sea areas</t>
  </si>
  <si>
    <t>054d6d6c79b21f8ec9eee66cabe7f819</t>
  </si>
  <si>
    <t>It is the first year since 2006 that no stocks managed solely by the Australian Government have been classified as subject to overfishing. The statement is the first step in fulfilling the Australian Government’s commitment to work with industry to develop a national aquaculture strategy. Parties to the agreement focused on developing foundation documents, including rules of procedure and financial regulations to help ensure the long-term conservation and sustainable use of non-highly migratory fish stocks in the high seas of the southern Indian Ocean.</t>
  </si>
  <si>
    <t>d968fe7e63564b12511726bc94b3ded6</t>
  </si>
  <si>
    <t>Total ecosystem service benefits of achieving 10% coverage of MPAs have been estimated at USD 622-923 billion over the period 2015-50. This includes substantial efforts in enhancing the design and implementation of MPAs, as evidence suggests that in many cases they are not meeting their intended objectives. This report therefore considers the benefits and costs of MPAs, key issues in effective design and implementation, scaling up finance for MPAs, and the need for effective policy mixes. Clearly define the goals and objectives of the MPA, and the required level of protection to achieve these.</t>
  </si>
  <si>
    <t>MPA = Marine Protected Area</t>
  </si>
  <si>
    <t>942c0f2068c6be7f895c86a44d972d4c</t>
  </si>
  <si>
    <t>As has been mentioned already, the small scale fishers were exempt from the ITQ system when it was first implemented, mostly due to fears that they would be bought out of the industry. Various measures were taken to safeguard their livelihoods while at the same time there was an increased pressure on this fleet to adopt some form of quotas to limit their catches. To increase employment in coastal communities, fishers using a long-line that is baited onshore have been allowed to double their catches in demersal (living near the bottom) species.</t>
  </si>
  <si>
    <t>1dcff90b835dd5008c4026a19409973f</t>
  </si>
  <si>
    <t>For example, in recent years the European Union has adopted two instruments, the 2002 EU Recommendation on Integrated Coastal Zone Management and the 2008 Marine Strategy Framew'ork Directive, which offer a comprehensive and integrated approach to the management of all European coasts and marine waters, and set medium- and long-term objectives (to 2020 and beyond) for member states for managing their ocean activities. East Asia has its Partnerships in Environmental Management for the Seas of East Asia (PEMSEA), an international organisation focused on coastal and ocean governance in east Asia, scaling up integrated coastal management initiatives and aiming to improve technical co-operation in ecosystem-based management of watersheds, estuaries and adjacent coastal seas. In addition to the lack of protection that such gaps afford the ocean environment and its biodiversity, they create a decision-making vacuum for many ocean industries, notably in respect of future investment. By way of illustration, the negotiations around the implementation of the UN agreement to protect marine biodiversity promise to usher in a period of considerable uncertainty for those ocean industries operating in the high seas.</t>
  </si>
  <si>
    <t>03777289b3200792090f07fe7d0515ed</t>
  </si>
  <si>
    <t>Table 5.1 provides a summary of the main sectors involved, the types of plastic products or waste and the typical entry points to the ocean. Losses from this sector are unquantified but can be expected to be relatively low, provided good waste management practices are followed. However, losses may be much greater from poorly-managed municipal facilities and the informal waste recycling sectors.</t>
  </si>
  <si>
    <t>02719688ce9599e12631a4b40bcbbaa4</t>
  </si>
  <si>
    <t>However, in smaller traditional or artisanal fisheries, consolidation can reduce in some cases the important social role that these fisheries can play. In this case, applying the same set of management rules to these different groups is not always desirable. Defining the appropriate scope of market based schemes to obtain social and economic goals is a challenge and the impacts of reform should be monitored using the principles of adaptive management.</t>
  </si>
  <si>
    <t>not about access to marine resources or markets</t>
  </si>
  <si>
    <t>71c62a15a9d8c90f8682fd2b227fd941</t>
  </si>
  <si>
    <t>Furthermore, science committee and fishery resource management committee were newly organized to coordinate joint participation and role assignments to relevant stakeholders. So far, 10 FSRPs have been established and operated, and it is planned to be expanded to 20 species by 2012. The result of pilot projects show that stocks are increasing after the introduction of FSRPs. For instance, the catch per unit effort (CPUE) of sandfish in the East Sea has increased from 0.44 in 2005 to 0.78 in 2007.</t>
  </si>
  <si>
    <t>FSRP: Fish Stock Rebuilding Plan</t>
  </si>
  <si>
    <t>3e3612938ae0664497910370e72e2256</t>
  </si>
  <si>
    <t>If the nitrogen removal was fixed at USD 10 per kg, this would represent a NTC of USD 357 504, if it was fixed at USD 30 per kg, this would represent a NTC of USD 1 072 512. The same could be applied to another key nutrient, phosphorus. With an average of 0.04% phosphorus content in FW kelp tissues, 4.09 tonnes of phopshorus would be removed per year. With a value of USD 4 per kg removed (Chopin etal.,</t>
  </si>
  <si>
    <t>c7da651fadf739d1760d781ed487b5fd</t>
  </si>
  <si>
    <t>What role, if any, should RFMOs and/or fisheries management systems have in fisheries subsidies issues? How to define subsistence, small-scale and artisanal fishing and what subsidies disciplines should apply to these sectors? How could an agreement on fisheries subsidies address the future development needs of developing and LDC members without undermining sustainability?</t>
  </si>
  <si>
    <t>dee71bb7bb809821f6cfd5bfb33a2683</t>
  </si>
  <si>
    <t>Contribution funding under AIMAP was intended to enable recipients to plan, manage and complete projects that would achieve these strategic outcomes. The AIMAP was a nationally competitive process with calls for proposals issued on an annual basis, and based on priorities established in consultation with provinces, territories and sector stakeholders. The program focused on one year duration projects with demonstrable industry-wide benefits implemented by the end of the project.</t>
  </si>
  <si>
    <t>AIMAP = Aquaculture Innovation and Market Access Program - not about sustainability</t>
  </si>
  <si>
    <t>1a5cf4c0e9e938971f6610b365d01457</t>
  </si>
  <si>
    <t>Further, EU employment law requires that EU DWF crew receive two months of paid holiday—including transfers— for each four months of work onboard .8 EU DWF crew also receive several days of holiday when the fish is offloaded, whereas crew on Filipino and Taiwanese boats often do the stevedoring themselves (ibid.). This heterogeneity in part contributes to the complexity of analysing the potential implications of proposed fisheries subsidies disciplines at the WTO. First, it is difficult to identify and prove a 'trade distortion' for fish products since the same species normally fetch widely different prices because of complex quality and market differentials. Second, the WTO's analytical emphasis on exchange/ trade means subsidies are defined mainly in terms of export distortions, which the Agreement on Subsidies and Countervailing Measures (ASCM) suggests should be assessed by examining negative trade effects such as market share or prices in an export market.</t>
  </si>
  <si>
    <t>22118a41269d5413c93e075786857402</t>
  </si>
  <si>
    <t>Most of the expansion is projected in the RoW group, in particular Sub-Saharan Africa. After peaking (before 2030), global food crop area is projected to decline, particularly in North America, Brazil, Russia, South Asia and China. This is based on the assumptions of slowly growing populations in the OECD and a shrinking population in Russia and China, stabilising diets (i.e. maximum caloric intake being reached) in most OECD and BRIICS countries, and increasing crop yields due to technological improvements (for a further discussion of the agricultural land projections under the Baseline scenario, see Chapter 2).</t>
  </si>
  <si>
    <t>43fadba2cedf94ac8d1bad8e85778e9f</t>
  </si>
  <si>
    <t>Additionally, diarrhoea is a major cause of malnutrition in infants and young children. In the United States of America (USA), for example, around 76 million cases of foodbome diseases, resulting in 325 000 hospitalisations and 5 000 deaths, are estimated to occur each year. In the USA, diseases caused by the major pathogens alone are estimated to cost up to USD 35 billion annually (1997) in medical costs and lost productivity.</t>
  </si>
  <si>
    <t>29fc9c3dbf7863118ae69d751a0d31c0</t>
  </si>
  <si>
    <t>This is seen to be necessary in order to devise integrated strategies and policies that foster synergies across different goals and explicitly address tensions and potential tradeoffs among them. The editions of the UN Global Sustainable Development Report published in 2015 and 2016 adopted the SDGs as an integrated network of goals as their basic framework (United Nations, 2015 and 2016a). Generic network maps of the SDGs were proposed in Le Blanc (2015). Systematic lists of relationships among the targets under one SDG and other SDGs have been published for SDG6 (UN-Water, 2016), SDG4 (Vladimirova and Le Blanc, 2016), and similar work is ongoing in other SDG areas (ICSU, forthcoming).</t>
  </si>
  <si>
    <t>a34ceef0d1e939709ad385726dbb0814</t>
  </si>
  <si>
    <t>Decision rules may combine current states and trends of indicators with seemingly ad hoc rules, such as not allowing changes in the TAC in consecutive years. Managers and stakeholders agree a priori about the indicator data, the decision rules, and the period over which the rule will be used. An operating model is typically used to generate ‘true’ ecosystem dynamics including the natural variations in the system (Figure 4.4).</t>
  </si>
  <si>
    <t>TAC = total allowable catch</t>
  </si>
  <si>
    <t>9afe039a04a815c51e3c117dae833fcc</t>
  </si>
  <si>
    <t>They describe the current situation, and indicate what the situation in 2030/50 might be, what physical and biological impacts may emerge and how these changes might affect the economic potential of ocean-based activities. It is important to note the interconnections between the drivers and changes addressed in each subsection. By way of illustration, rising C02 emissions contribute to rising ocean acidification, which in turn affects certain marine creatures and, further compounded by e.g. ocean warming, pollution and ultimately the ocean’s biomass. The strongest warming trends have been found at high latitudes (Rhein et al.,</t>
  </si>
  <si>
    <t>35b29aee4781e08e0a7ae9afda0e8355</t>
  </si>
  <si>
    <t>In Iceland women account for about 7% of commercial boat-based fishers (Figure 2.5.1), unusually assuming all roles from skipper to deckhand (Willson 2014). Those in the commercial fishing sector serve on vessels of all sizes. It threatens the health of fish populations and marine and coastal ecosystems worldwide, as well as the livelihoods and food security of millions of inhabitants of coastal areas (Hall 2016, Pew Charitable Trusts 2016).</t>
  </si>
  <si>
    <t>3665dcbec78b36f06b12bcc0015a4e7f</t>
  </si>
  <si>
    <t>Despite some local successes, biodiversity is on the decline globally and this loss is projected to continue. Continuing uiith business as usual may have far-reaching adverse implications for human well-being, security and economic growth. This chapter summarises the considerable benefits and often hidden values of biodiversity and the ecosystems of which it is a part.</t>
  </si>
  <si>
    <t>SDG 15</t>
  </si>
  <si>
    <t>a3dbac0ebfdd353c8ccc4f76ed817abf</t>
  </si>
  <si>
    <t>The report gives a broad definition of IDRIS, listing requirements for qualification as IDRIS and possible additional features. Different organisational forms exist with or without legal identity, but a key point is that IDRIS should have clear added value. The OECD reports provide relevant information for IDRIS, summarising issues on road mapping and single-sited large international research infrastructures that may also be applicable to IDRIS. Often, only parts of these entities (as opposed to entire entities) collectively constitute the infrastructure. The agreement need not necessarily define a new legal entity, or be legally binding.</t>
  </si>
  <si>
    <t>d3e7cc6fd7c8bfab1953064c22e4caf1</t>
  </si>
  <si>
    <t>This project will also assemble its outputs on the state of the marine ecosystems and shared living marine resource in the region as a comprehensive web-based dashboard. By enabling the pooling of data repositories, software, methodologies and expertise, iMarine aims to deliver cost-efficient data services. It will also expand its scope to other areas of blue growth, such as traceability of fishery products, spatial planning, and socio-economic and environmental performance of aquaculture.</t>
  </si>
  <si>
    <t>7de62293b199fc692495f5c95d3a7e56</t>
  </si>
  <si>
    <t>Bioresources are mostly located in rural and coastal areas (forests, fish, algae, farm by-products) but appear also as e.g. orga nic waste. Their productivity a nd accessibil -ity differ between localities, given variation in natural conditions and the management of ownership and use. However advanced are the technologies involved, the biological raw materials used stem from - and impact on - land, water and sea-based bioresources. Alternative and competing uses touch on human rights and common property.</t>
  </si>
  <si>
    <t>11e4fc23fbb4c61d67de60cf72a610fb</t>
  </si>
  <si>
    <t>Similar issues have been raised in the food safety area as have been raised in relation to eco-labels and certification. What are the various roles of the public and private sector in food safety governance? How are costs divided amongst the various stakeholders? And what are the impacts on small-scale operators and developing countries if they fail to meet public let alone private sector requirements?</t>
  </si>
  <si>
    <t>c392d9308d8363e0323309959839e9d0</t>
  </si>
  <si>
    <t>First, the apparent stalemate in earlier, more ambitious, negotiations has meant proposals for text require a lowest common denominator approach to achieve consensus. Second, in the broader context of a largely stalled Doha Round, fisheries subsidies were always contingent on a measure of horse-trading among dominant members over other agreements. Third, the rest of the world has not remained still: disciplines have and are being developed in other fora, such as the Sustainable Development Goals (SDGs).</t>
  </si>
  <si>
    <t>0f8d8fc5db4919e3f14595f73353573c</t>
  </si>
  <si>
    <t>Its work plan is flexible to enable quick response to emerging issues in the international trading environment that impact particularly on highly vulnerable Commonwealth constituencies - least developed countries (LDCs), small states and sub-Saharan Africa. Regional and Emerging Trade Issues, held in Port Louis, Mauritius. Investment and Innovation, UNCTAD 14, held in Nairobi, Kenya.</t>
  </si>
  <si>
    <t>f449f88a99d459d34cd8b75259951128</t>
  </si>
  <si>
    <t>There are also new requirements to provide information on the nutrient content of foods. The new rules will help consumers make better-informed decisions when they buy food, boost consumer empowerment and contribute to the fight against the rising levels of obesity and chronic diseases in the European Union. In 2011, three health claims were authorised for decosahexanaeoic acid (DHA) for children (relating to normal brain development, normal visual development and eye development).</t>
  </si>
  <si>
    <t>4c3a1f2a7f4fd26b8ce799942359e2c7</t>
  </si>
  <si>
    <t>An annual meeting takes place to ensure cooperation and coordination between regional centres under the Basel and Stockholm Conventions". One of the main drivers for doing so was the realisation in the 1970s and 1980s of the extent of the traffic in toxic wastes to Africa and other developing regions12. The Basel Convention is of relevance, as much of the waste trade involves plastics, and some of these contain relatively high levels of additive chemicals which are in Annex I or II of the Convention. These have known toxicological effects, with serious human health implications.</t>
  </si>
  <si>
    <t>7e7c7a7cb85b06c8a8101fc5e62e12c2</t>
  </si>
  <si>
    <t>Challenges of peripherality are common in predominantly rural OECD regions (Box 2.1), but the example of NORA is certainly one of the most extreme cases of geographic peripherality. The magnitude of this problem, of course, differs from country to country. For example, it is a greater issue in Finland than in the Netherlands, and a bigger challenge for Scotland than England, even though they are both part of the United Kingdom.</t>
  </si>
  <si>
    <t>1becaec2af7ebc574e64116ccb7703f0</t>
  </si>
  <si>
    <t>The total first-hand value was slightly higher in 2007 compared to 2006. At the same time, fuel and lubrication oil costs increased. At this point of time it is, therefore, difficult to estimate the results for 2007. More details are available on the Norwegian Directorate of Fisheries website (luiow./isfeeridir.no).</t>
  </si>
  <si>
    <t>45fc65b837b705e0e7e55e366d07d7df</t>
  </si>
  <si>
    <t>The average FTEs per unit remained unchanged from 2010 at 37. While the main reason for the contraction seen in the number of sea fish processing units and FTE jobs was ceased operations, other common reasons include reorientation towards processing salmon (as salmon processing is not included in seafood processing data) and processing no longer being the main income generating activity of the business. Smaller units (1-10 FTE band) account for only 6% of industry employment, whilst representing 45% of total processing units. In contrast, the largest units (101+ FTEs) provide nearly 50% of employment from only 7% of all business units.</t>
  </si>
  <si>
    <t>fff1f2f84b7fdd3656431572ed087067</t>
  </si>
  <si>
    <t>As a fact-based management approach, its successful implementation will require timely and reliable cross-disciplinary information in order to establish baselines, monitor changes, and support decision-making towards social, economic and environmental sustainability. Data availability and quality issues often constrain the accuracy of assessment results. Moreover, management action lags behind assessment conclusions.</t>
  </si>
  <si>
    <t>2604088802978a8bc01aba4ea3af102e</t>
  </si>
  <si>
    <t>At a general level, uncertainties with all of these technologies arise with respect to the speed of technological development, the impact of advances in individual technologies, and - perhaps most importantly - the convergence of ICT, sensors, robotics, nano- and biotechnology. Advances in one technology may amplify developments and outcomes of other technologies, leading to disruptive changes. This is already becoming visible in green technologies, which typically operate at the intersection of these emerging technologies, in the creation of ‘'programmable matter”, and in advances in the medical and pharmaceutical fields.</t>
  </si>
  <si>
    <t>7fa995e248654e5ab0e4864e990c0b24</t>
  </si>
  <si>
    <t>The Fishery moved to total allowable catches allocated as individual transferable quotas on 1 July 2010. Responsibility for managing these waters now lies with the commonwealth department of infrastructure, transport, regional development and local government. The department of infrastructure has entered into a service delivery arrangement with the western Australian department of fisheries for the management of these inshore fisheries.</t>
  </si>
  <si>
    <t>772a6067c43971ff7f1de79ec0cf3b86</t>
  </si>
  <si>
    <t>Most nets are lost in deeper fishing areas between 200 to 800 metres, but also in cod fisheries in relatively shallow waters. However, the TAC system for cod (Northeast Arctic and Coastal) does not restrict the overall catches of coastal cod. The Norwegian coastal cod north is recognised as a stock complex. Genetic studies indicate that some of the spawning components along the coast could be local stocks, more or less isolated from coastal cod in neighbouring areas. The challenge for the management is, therefore, both to keep the total stock complex at a productive level and, in addition, to give protection to potentially vulnerable local stocks.</t>
  </si>
  <si>
    <t>5097415c625cebf22fd2fbb26c012fd6</t>
  </si>
  <si>
    <t>This is the largest individual category accounting for 14% of all fish purchases. Sales of salmon remained fairly constant (+6.2%) since 2007 and consistently make up around 8% of total fish purchases. Purchases of herring and other blue fish fell -30% on 2007. Whilst purchases have fallen, expenditure on fish has remained almost unchanged. Expenditure has increased by 1%, from GBP 1.16 per person per week in 2007 to GBP 1.17 in 2010 (GDP 1.20 in 2011 ). In comparison, the expenditure on takeaway fish fell 7.5% over the same period to GBP 0.17 per person per week .</t>
  </si>
  <si>
    <t>605601ba5a6646550fd3d00658a3816f</t>
  </si>
  <si>
    <t>Section 2.4 considers the challenges of climate change. Its effects will be larger and more rapid in the North Atlantic, and NORA’s natural-resource-based economies will be particularly vulnerable. In addition, the region is characterised by a dispersed settlement pattern, migration from smaller to bigger locations and population ageing.</t>
  </si>
  <si>
    <t>20384cd06a06446a9e92238fbd5e08a5</t>
  </si>
  <si>
    <t>Those who absorb the cost of anticipatory actions are not necessarily those who will benefit. There are competing interests for ecosystem goods and services that make it difficult to build consensus around trade-offs and create winners and losers when trade-offs are made. There is the path dependence created by the history of management.</t>
  </si>
  <si>
    <t>706dd7e1b680ac4abe76499bf1c9c964</t>
  </si>
  <si>
    <t>Further disciplines could also be considered for capacity-enhancing subsidies. Besides subsidies for IUU fishing and overfishing and overcapacity, developing countries, including LDCs and small vulnerable economies (SVEs), should be permitted to provide fisheries subsidies for coastal and commercial fishing activities. These proposals reflect the position held by SVEs since the late 2000s—that disciplines should fall hardest on developed WTO members with large-scale distant water fishing (DWF) fleets, allowing developing countries and LDCs the policy space to provide subsidies to support the sustainable development of their domestic fisheries. The main new addition of the ACP and LDC proposals was to draw attention to subsidies that support fishing in the high seas. General disciplines for the elimination of subsidies contributing to IUU fishing and prohibition of certain forms of fisheries subsidies contributing to overfishing and overcapacity would enter into force no later than 2020.</t>
  </si>
  <si>
    <t>1cc311b2ecd4399b906d5b239a42553c</t>
  </si>
  <si>
    <t>A. aegypti appears to thrive in artificial habits created by discarded tyres, cans, plastic containers and other temporary reservoirs, and advice has been issued to minimise these potential breeding sites*. The rapid spread of Zika in South America and the Caribbean in 2015 and 2016 may have been exacerbated by a lack of effective waste collection and management. The American Administration asked Congress, on 6 Feb 2016, for more than US$ 1.8 billion in emergency funding for use both domestically and internationally.</t>
  </si>
  <si>
    <t>61b0909cdbc98bfd1377240753474a6f</t>
  </si>
  <si>
    <t>The ocean has been a catalyst for regionalism. These have profound, damaging effects on our ocean and its ecosystems. But we also see that the ocean has an incredible ability to adapt and regenerate if it is given the chance. This requires rethinking the way we sustainably manage our oceanic resources. We recognize that there must be transformational change in attitude and behaviour. We must come together if we are to succeed as citizens, communities, governments and countries.</t>
  </si>
  <si>
    <t>21cffd2895d836599b0bf431a036c37b</t>
  </si>
  <si>
    <t>This number is thus an underestimate as it does not include congressional earmarks for aquaculture, aquaculture spending by other NMFS programs, or aquaculture spending by other US agencies (such as the USDA). With the exception of the BSAI crab fishery, all vessel/permit buybacks to date have involved some public funding. Aggregate public costs have amounted to almost USD 70 million, or approximately 25% of total buyback costs.</t>
  </si>
  <si>
    <t>5143e817991c8363d06eda61cb0e468b</t>
  </si>
  <si>
    <t>The use of such data by the OECD is without prejudice to the status of the Golan Heights, East Jerusalem and Israeli settlements in the West Bank under the terms of international law. All requests for public or commercial use and translation rights should be submitted to rights@oecd.org. Requests for permission to photocopy portions of this material for public or commercial use shall be addressed directly to the Copyright Clearance Center (CCC) at info@copyright.com or the Centre francais d’exploitation du droit de copie (CFC) at contact@cfcopies.com. R. (2005), "Property rights in fisheries: Iceland's experience with ITQs", Reviews in Fish Biology and Fisheries, 15(3): 243-264.</t>
  </si>
  <si>
    <t>cb9f2ffc9b36b18e43d181f58d53c709</t>
  </si>
  <si>
    <t>Overall, the relative impact of land-use change and management on MSA loss is projected to decrease. While expansion of food crop production and live-stock farming is projected to cause about half of the further MSA loss in the RoW between 2010 and 2030, it is not projected to be a major driver of further loss in the OECD countries or the BRIICS. Instead of agricultural land expansion, land abandonment is projected to occur in several regions, allowing considerable area for ecosystem recovery and regeneration to take place. These areas will however bear the effects of “former land use” for several decades after land abandonment. Together these are referred to as forestry (but not deforestation, as that is included under land-use change).</t>
  </si>
  <si>
    <t>9dc06344321763dd4db3943093b9d20b</t>
  </si>
  <si>
    <t>The dumping of waste at sea is controlled under the Convention on the Prevention of Marine Pollution by Dumping of Wastes and Other Matter of 1972 and its 1996 Protocol. If these are effectively and consistently implemented, that particular source of inputs of harmful substances will be satisfactorily controlled. However, there are serious gaps in knowledge about their implementation: over 50 per cent of the contracting parties to those instruments are not reporting, and it is consequently not known how effective the instruments are (chap.</t>
  </si>
  <si>
    <t>3b0e70372f5c506500f52ac2190e097e</t>
  </si>
  <si>
    <t>It also discusses the development of indicators, reference points and risk indices for assessing fisheries affected by climate changes. In addition, it demonstrates an approach to evaluating fisheries management from an EAF perspective. Finally, it reviews current fisheries management systems and discusses implications for management under changing climate conditions.</t>
  </si>
  <si>
    <t>EAF = Ecosystem Approach to Fisheries (focused on sust dev)</t>
  </si>
  <si>
    <t>41e05740665f4d6e702598aa8b66f31c</t>
  </si>
  <si>
    <t>The threat of serious marine pollution hangs over many situations of armed conflict. Typical of this are perhaps the concerns surrounding the fact that some of the w'orld’s most important oil tanker routes pass through areas rife with unrest and civil war. Piracy and the threat of hijack by terrorist groups (taking control of vessels physically or by breaching cyber-security defences) add to the list of concerns.</t>
  </si>
  <si>
    <t>64768096187d887240e33f35c11c28da</t>
  </si>
  <si>
    <t>It will provide an immediate and automated screening of products for compliance with legal and regulatory submission requirements and be used to identify problems or deficiencies prior to import authorisation. It will also collect extensive and detailed data pertaining to imports establishing an extensive searchable data base for use in creating timely reports and research. The system will eventually include US export data as well.</t>
  </si>
  <si>
    <t>93c54355787bef57ec9988fa7b212e41</t>
  </si>
  <si>
    <t>The total budgetary' FSE includes other expenditures such as management of resources (management expenditures, enforcement expenditures) included as transfers to sector, and cost recovery charges. In 2015, total budgetary FSE amounted to EUR 13.2 million (USD 15 million). This includes transfers to fishers of EUR 322 000 (USD 357 000) and transfers to sector of EUR 12.9 million (USD 14.3 million).</t>
  </si>
  <si>
    <t>a3bef40faa38a41ba3b6a6b8d2257e7c</t>
  </si>
  <si>
    <t>Accordingly, the creation of the GFCM Forum on Fisheries Science, the conducting of regional surveys-at-sea and the compilation of catalogues of fishing activities aim at enhancing the quantity and quality of data used for advice. The revision of existing management plans or the development of new ones is also considered necessary for main commercial fisheries as well as the fisheries that rely on or show a strong interaction with resources in need of urgent action. It also recognizes that collecting socio-economic data that are as complete, timely and accurate as possible helps develop coherent policies to ensure resource and market access for small-scale fishers.</t>
  </si>
  <si>
    <t>994e37d355b315d7d66d5e1ed08133dd</t>
  </si>
  <si>
    <t>Foreign ownership of quota or ACE is not allowed unless a specific exemption is granted by the Minister of Fisheries and the Overseas Investment Commission. To receive the exemption, a foreign company must demonstrate that New Zealand will benefit from the ownership. If New Zealand ceases to benefit, the ownership or interest in quota or ACE can be taken away from foreign companies without any compensation being offered.</t>
  </si>
  <si>
    <t>3677003da2eec9a96346ec956f05a731</t>
  </si>
  <si>
    <t>It also remains poorly understood. This is particularly true in the wildlife sector, where studies have tended to focus on conservation impacts rather than on socio-economic effects. For example, small-scale logging by local communities (which is deemed illegal in many countries) can provide better returns than would employment in large-scale timber operations (which are often deemed legal).</t>
  </si>
  <si>
    <t>f8cf275c1fbd6d58bf5d878c371e7085</t>
  </si>
  <si>
    <t>Third, the approach allow's the interdependencies between the different sectors to be explicitly modelled, to the extent that data permit. It compares rates of change of value added and employment in ocean-based industries betw'een 2010 and 2030. The compound annual growth rate for value added of the ocean-based industries combined between 2010 and 2030 is estimated at 3.45%, broadly in line with the anticipated compound annual growth rate for value added of the global economy. However, the total growth of employment (approximately 30%) in the ocean-based industries over the 20-year period is expected to outpace markedly the overall growth rate of the global workforce (approximately 20%).</t>
  </si>
  <si>
    <t>96bcdfce6179f4617e3cf317758460fb</t>
  </si>
  <si>
    <t>It then looks at trends in several indicators of biodiversity - species abundance (e.g. mean species abundance or MSA), threatened species, forest area (deforestation) and marine fish stocks - and the implications of business-as-usual trends continuing to the year 2050 under the OECD Environmental Outlook Baseline scenario. The chapter provides an overview of the different policy instruments available for biodiversity conservation and sustainable use, ranging from regulations to market-driven approaches, such as payments for ecosystem services (PES). Some more ambitious policy scenarios are examined - such as the implications of meeting the Aichi Biodiversity Target under the Convention on Biological Diversity (CBD) to expand the global protected area network to at least 17% of terrestrial land by 2020.</t>
  </si>
  <si>
    <t>dc4cf2674af4824166a8e2241c8c10ea</t>
  </si>
  <si>
    <t>It is a business model aimed at the greatest societal benefits from economic, social and ecological perspectives. It outlines the ideas behind CSF as a business model, and how it was first put into place in the United States. Secondly, we describe how this idea is currently being put into practice in Skane with the innovation project Oresundsfisk, which was originally set up by SEA-U Marine Science Centre in Malmo, an economic association partly funded by the City of Malmo. The case study describes some of the challenges with CSF such as logistics and mobilizing funding.</t>
  </si>
  <si>
    <t>CSF = Community Supported Fisheries</t>
  </si>
  <si>
    <t>f1454ca62c1d2d86ca4c823712c45ceb</t>
  </si>
  <si>
    <t>Women and girls are subject to human trafficking and forced labour on board these vessels, primarily for sexual exploitation rather than as fishing labourers. Women are also reported to be victims of trafficking in the land-based fish processing sector (ILO 2013). When fishing rights are transferred or eliminated in these ways, the indigenous and traditional fishing rights of both women and men can be easily overlooked or misunderstood (Coope SoliDar R.L/ICSF 2015, Madrigal-Cordero and Solis-Rivera 2012). " Ocean grabbing" has gender-differentiated effects (Bennet ef al. Groups who are already marginalized, including women, are especially vulnerable to "grabbing", moreover, women fishers and gleaners whose work is concentrated in foreshore and reef areas are often within sight of communities and open to surveillance and regulation for IUU "violations" in ways that other types of fishing is not (Bennet et al. They have primary responsibilities in many countries for performing jobs such as smoking, salting and drying, as well as selling fish and seafood products in local markets.</t>
  </si>
  <si>
    <t>2d659f4fa9ae693ba40d71249db2b5c1</t>
  </si>
  <si>
    <t>Progress is slow, however, as illustrated by the difficulties in reaching consensus even in areas such as transparency and notifications. Financial and technical assistance, as well as technology transfer (Target 14.a), will be important to many SIDS and LDCs as they look to create and implement national and regional strategies for sustainability, preservation and protection of their fisheries industries. These interlinked goals provide a new framework for advancing sustainable development over the next 15 years. Today, the global population is about 7.3 billion, a figure projected to reach about 8.5 billion by 2035 (UNDESA, 2011). Some 2 billion more people will populate the earth in 20 years from now.</t>
  </si>
  <si>
    <t>c8c364743e08530825e7a29b4c9e8f88</t>
  </si>
  <si>
    <t>Estimates of the size of the benefits of marine ecosystem services suggest that these are considerable (for a review of a selection of such studies see Annex 1 .A2), but much work remains to be done. Hence, as noted above, while many aspects of ecosystem services are taken into account here, the quantitative focus of this report is on ocean-based industries. To compare an industry’s contribution to the economy across countries, the share of total GVA is preferred to the share of GDP.</t>
  </si>
  <si>
    <t>80cbc4c1da60b3e318f3981f124a92da</t>
  </si>
  <si>
    <t>The killing of just a few would not only represent a great loss in itself, but could upset the chances of survival of whole packs, such is the dependence of wolves on the stability of their social structure. For all four large carnivores, areas have been designated where the species are allowed to reproduce.21 In other parts of the species’ range, no reproduction is allowed. Since 1994, livestock holders have been compensated for losses of livestock to predators.</t>
  </si>
  <si>
    <t>e8afb34b2378870b9d14b87df76fb5d6</t>
  </si>
  <si>
    <t>Moreover, management of the marine EEZ is fraught with difficulties that are hampering its effective implementation. The chapter suggests three pathways to the urgent improvements required: better integration of economic analysis and economic tools, innovation in governance structures and processes, and greater use of science and technology, in particular in gathering better data. These include a plethora of different agencies looking after different activities, gaps in the governance framework, weak compliance and enforcement, new and emerging uses, and lack of an equity framework for exploitation of genetic resources.</t>
  </si>
  <si>
    <t>2d0e40c0e6dc764c8765dec4639ed177</t>
  </si>
  <si>
    <t>Information often exists but is very fragmented, inaccessible (and often lost) or collected according to different standards. In many cases, the information is collected in isolation and without keys for connecting pieces with one another. This constitutes a major challenge to the implementation of cross-sectoral management as called for by the BGI. Such integration also entails the exchange of expertise and related methods and tools, while catering for particular requirements of aquatic resources.</t>
  </si>
  <si>
    <t>BGI = Blue Growth Initiative</t>
  </si>
  <si>
    <t>fb61233856a36d2d65ebbfca844aaa6e</t>
  </si>
  <si>
    <t>Software tools such as Marxan and MarZone which aid systematic reserve design have been used in several cases but could be adopted more widely. Monitoring both ecological and socio-economic data is important, initially to define the baseline, as well as regularly thereafter to assess trends in performance over time. This has often not been undertaken as rigorously as needed, and challenges encountered include lack of sufficient human and financial resources, equipment and infrastructure.</t>
  </si>
  <si>
    <t>3f6968c847df85b761d332cd85ee8d65</t>
  </si>
  <si>
    <t>Among other things, it promotes concerted actions to undertake integrated ecosystem-based management and urges the scientific community to enhance understanding of the ocean. The Declaration looks towards the ocean as a new engine of sustainable economic growth with a new vision of “green growth from the sea”. In this regard they further committed to urgently take the measures necessary to maintain or restore all stocks at least to levels that can produce the maximum sustainable yield, with the aim of achieving these goals in the shortest time feasible, as determined by their biological characteristics. Special attention was given to ocean acidification, which may lead to drastic changes in the oceans’ ecosystem, especially coral bleaching.</t>
  </si>
  <si>
    <t>844a96aae26c204befb12be2762d83fc</t>
  </si>
  <si>
    <t>This has implications for policy discussions on how to achieve progress on SDG 14. The interrelationships that we highlight can be used as a tool for dialogue between policy and scientific communities working on oceans, in particular for assessing the status of knowledge on the various linkages, as well as identifying linkages that are likely to matter most for progress on SDG 14. We are grateful for the research assistance provided by Esther Lho and Nelya Rakhimova.</t>
  </si>
  <si>
    <t>d55922071740128632844dd65ce30f9e</t>
  </si>
  <si>
    <t>For example, in Equatorial Guinea a dramatic increase in trafficking of women and children for domestic and sexual exploitation was associated with these industries (US Department of State 2011). In addition to fishery and livelihood issues, oil spills have highly gendered health implications. Following the Exxon Valdez oil spill in Alaska in 1989, women were particularly subject to high levels of depression and post-traumatic stress disorder, as were Native Americans of both sexes (Palinkas ef al.</t>
  </si>
  <si>
    <t>TO DO</t>
  </si>
  <si>
    <t>not clear if this refers to marine natural resource use or management</t>
  </si>
  <si>
    <t>not really on environmental protection, or sustainable fishing</t>
  </si>
  <si>
    <t>marine ecosystem services but no value/call to action - fact stating?</t>
  </si>
  <si>
    <t>core topic is not clear</t>
  </si>
  <si>
    <t>not clear if it talk about marine PAs</t>
  </si>
  <si>
    <t>fact stating only</t>
  </si>
  <si>
    <t>NORa region is marine but it doesnt link to SDG 14 or its targets</t>
  </si>
  <si>
    <t>core topic not clear</t>
  </si>
  <si>
    <t>french</t>
  </si>
  <si>
    <t>more on kelp as a climate solution, but nothing on protection conservaqtion etc</t>
  </si>
  <si>
    <t>ACE= Annual Catch Entitlements</t>
  </si>
  <si>
    <t>not explicitly linked to marine biodiversity</t>
  </si>
  <si>
    <t>more on land based pollution and waste</t>
  </si>
  <si>
    <t>NMFS = National Marine Fisheries Service, but no notion of sustainable management of marine resources</t>
  </si>
  <si>
    <t>ECA = Emission Control Areas, mentions marine pollution marginally</t>
  </si>
  <si>
    <t>again no notion of sustainable use of marine resources</t>
  </si>
  <si>
    <t>FSRPs = Fisheries Stock Rebuilding Plans</t>
  </si>
  <si>
    <t>no link to SDG 14 objectives</t>
  </si>
  <si>
    <t>traditional resource based industries might not relate to marine industries exclusively</t>
  </si>
  <si>
    <t>mere fact stating?</t>
  </si>
  <si>
    <t>weak link though</t>
  </si>
  <si>
    <t>though no notion of sustainable fishing practices or preventing overfishing etc</t>
  </si>
  <si>
    <t>BGI = FAO's blue growth initiative</t>
  </si>
  <si>
    <t>CSF = Community supported fishing</t>
  </si>
  <si>
    <t>doi</t>
  </si>
  <si>
    <t>text_id</t>
  </si>
  <si>
    <t>text</t>
  </si>
  <si>
    <t>sdg</t>
  </si>
  <si>
    <t>labels_negative</t>
  </si>
  <si>
    <t>labels_positive</t>
  </si>
  <si>
    <t>labels_total</t>
  </si>
  <si>
    <t>agreement</t>
  </si>
  <si>
    <t>label</t>
  </si>
  <si>
    <t>difficulty</t>
  </si>
  <si>
    <t>selection reason</t>
  </si>
  <si>
    <t>11.1002/pub/80ec6eec-29c6f0c2-en</t>
  </si>
  <si>
    <t>very easy</t>
  </si>
  <si>
    <t>automated selection</t>
  </si>
  <si>
    <t>10.6027/e8424b2c-en</t>
  </si>
  <si>
    <t>easy</t>
  </si>
  <si>
    <t>10.18356/fa3883b2-en</t>
  </si>
  <si>
    <t>very hard</t>
  </si>
  <si>
    <t>10.18356/d72eb315-en</t>
  </si>
  <si>
    <t>10.18356/9b20b341-en</t>
  </si>
  <si>
    <t>hard</t>
  </si>
  <si>
    <t>10.18356/98d85d93-en</t>
  </si>
  <si>
    <t>medium</t>
  </si>
  <si>
    <t>10.18356/7d902f55-en</t>
  </si>
  <si>
    <t>10.18356/3adc8369-en</t>
  </si>
  <si>
    <t>10.18356/3a98e5b4-en</t>
  </si>
  <si>
    <t>10.18356/152bf84c-en</t>
  </si>
  <si>
    <t>10.1787/rev/fish/pol-2009-30-en</t>
  </si>
  <si>
    <t>10.1787/rev/fish/pol-2009-3-en</t>
  </si>
  <si>
    <t>10.1787/rev/fish-2015-9-en</t>
  </si>
  <si>
    <t>10.1787/rev/fish-2015-36-en</t>
  </si>
  <si>
    <t>10.1787/rev/fish-2015-18-en</t>
  </si>
  <si>
    <t>10.1787/rev/fish-2015-12-en</t>
  </si>
  <si>
    <t>10.1787/rev/fish-2011-33-en</t>
  </si>
  <si>
    <t>10.1787/env/outlook-2012-7-en</t>
  </si>
  <si>
    <t>10.1787/9789264276208-3-en</t>
  </si>
  <si>
    <t>10.1787/9789264251724-8-en</t>
  </si>
  <si>
    <t>10.1787/9789264251724-12-en</t>
  </si>
  <si>
    <t>10.1787/9789264251724-11-en</t>
  </si>
  <si>
    <t>10.1787/9789264232143-5-en</t>
  </si>
  <si>
    <t>10.1787/9789264232143-4-en</t>
  </si>
  <si>
    <t>10.1787/9789264191150-7-en</t>
  </si>
  <si>
    <t>10.1787/9789264174238-4-en</t>
  </si>
  <si>
    <t>10.1787/9789264098473-10-en</t>
  </si>
  <si>
    <t>10.1787/9789264097629-4-en</t>
  </si>
  <si>
    <t>10.1787/9789264096813-4-en</t>
  </si>
  <si>
    <t>10.1787/9789264090415-6-en</t>
  </si>
  <si>
    <t>10.1787/9789264088726-7-en</t>
  </si>
  <si>
    <t>10.1787/9789264088726-15-en</t>
  </si>
  <si>
    <t>10.1787/9789264075429-11-en</t>
  </si>
  <si>
    <t>10.1787/9789264074927-8-en</t>
  </si>
  <si>
    <t>10.1787/5km68fzsk9xs-en</t>
  </si>
  <si>
    <t>10.1787/5k9bdccqft30-en</t>
  </si>
  <si>
    <t>10.14217/c295c5f3-en</t>
  </si>
  <si>
    <t>10.6027/0c6a2cb2-en</t>
  </si>
  <si>
    <t>10.18356/f4eb59e6-en</t>
  </si>
  <si>
    <t>10.18356/ec606c8a-en</t>
  </si>
  <si>
    <t>10.18356/c8b6ab23-en</t>
  </si>
  <si>
    <t>10.1787/rev/fish/pol-2009-27-en</t>
  </si>
  <si>
    <t>10.1787/rev/fish-2015-37-en</t>
  </si>
  <si>
    <t>10.1787/9d0e6611-en</t>
  </si>
  <si>
    <t>10.1787/9789264282261-10-en</t>
  </si>
  <si>
    <t>target 14.1</t>
  </si>
  <si>
    <t>10.18356/4e17cc4e-en</t>
  </si>
  <si>
    <t>10.1787/9789264251724-5-en</t>
  </si>
  <si>
    <t>target 14.2</t>
  </si>
  <si>
    <t>10.1787/9789264251724-4-en</t>
  </si>
  <si>
    <t>10.1787/9789264090415-5-en</t>
  </si>
  <si>
    <t>10.1787/9789264075429-6-en</t>
  </si>
  <si>
    <t>target 14.3</t>
  </si>
  <si>
    <t>10.1787/rev/fish-2013-9-en</t>
  </si>
  <si>
    <t>10.1787/rev/fish-2013-4-en</t>
  </si>
  <si>
    <t>10.1787/9789264251724-6-en</t>
  </si>
  <si>
    <t>10.1787/rev/fish/pol-2009-26-en</t>
  </si>
  <si>
    <t>target 14.4</t>
  </si>
  <si>
    <t>10.1787/9789264282261-31-en</t>
  </si>
  <si>
    <t>10.1787/9789264282261-22-en</t>
  </si>
  <si>
    <t>target 14.5</t>
  </si>
  <si>
    <t>10.18356/b6c67c6f-en</t>
  </si>
  <si>
    <t>target 14.6</t>
  </si>
  <si>
    <t>10.1787/9789264079915-9-en</t>
  </si>
  <si>
    <t>target 14.7</t>
  </si>
  <si>
    <t>10.14217/69b39d5f-en</t>
  </si>
  <si>
    <t>10.14217/5k3w8fb9p9hh-en</t>
  </si>
  <si>
    <t>10.18356/6a19440a-en</t>
  </si>
  <si>
    <t>target 14.a</t>
  </si>
  <si>
    <t>10.18356/e8f21017-en</t>
  </si>
  <si>
    <t>target 14.b</t>
  </si>
  <si>
    <t>10.18356/0e7e4f09-en</t>
  </si>
  <si>
    <t>10.1787/rev/fish-2011-6-en</t>
  </si>
  <si>
    <t>10.1787/5kg566jfrpzr-en</t>
  </si>
  <si>
    <t>target 14.c</t>
  </si>
  <si>
    <t>10.18356/6d59148f-en</t>
  </si>
  <si>
    <t>10.1787/9789264282261-13-en</t>
  </si>
  <si>
    <t>10.1787/46f8d776-en</t>
  </si>
  <si>
    <t>Group</t>
  </si>
  <si>
    <t>Alignment</t>
  </si>
  <si>
    <t>Comments</t>
  </si>
  <si>
    <t>Consensus</t>
  </si>
  <si>
    <t>Rationale</t>
  </si>
  <si>
    <t>Notes</t>
  </si>
  <si>
    <t/>
  </si>
  <si>
    <t>habitat</t>
  </si>
  <si>
    <t>- Steve: weak link though</t>
  </si>
  <si>
    <t>UNDECIDED</t>
  </si>
  <si>
    <t>- Finn: BGI = Blue Growth Initiative
- Steve: BGI = FAO's blue growth initiative</t>
  </si>
  <si>
    <t>fishing</t>
  </si>
  <si>
    <t>discusses ocean access of small-scale fishers</t>
  </si>
  <si>
    <t>- Finn: fish trade vs fishing</t>
  </si>
  <si>
    <t>not specific to ocean or market access</t>
  </si>
  <si>
    <t>- Steve: NMFS = National Marine Fisheries Service, but no notion of sustainable management of marine resources</t>
  </si>
  <si>
    <t>- Finn: weak</t>
  </si>
  <si>
    <t>- Steve: again no notion of sustainable use of marine resources</t>
  </si>
  <si>
    <t>no explicit link to sustainability</t>
  </si>
  <si>
    <t>- Steve: fact stating only</t>
  </si>
  <si>
    <t>- Finn: unclear
- Steve: not really on environmental protection, or sustainable fishing</t>
  </si>
  <si>
    <t>- Steve: core topic not clear</t>
  </si>
  <si>
    <t>- Finn: Habitat Directive covers land+sea areas
- Steve: not clear if it talk about marine PAs</t>
  </si>
  <si>
    <t>- Steve: no link to SDG 14 objectives</t>
  </si>
  <si>
    <t>- Steve: core topic is not clear</t>
  </si>
  <si>
    <t>- Finn: AIMAP = Aquaculture Innovation and Market Access Program - not about sustainability</t>
  </si>
  <si>
    <t>- Steve: NORa region is marine but it doesnt link to SDG 14 or its targets</t>
  </si>
  <si>
    <t>- Finn: EAF = Ecosystem Approach to Fisheries (focused on sust dev)
- Steve: though no notion of sustainable fishing practices or preventing overfishing etc</t>
  </si>
  <si>
    <t>Ecosystem Approach to Fisheries (EAF) focuses on sustainability</t>
  </si>
  <si>
    <t>- Finn: not specific to sustainable ocean use
- Steve: no link to SDG 14 objectives</t>
  </si>
  <si>
    <t>- Steve: more on kelp as a climate solution, but nothing on protection conservaqtion etc</t>
  </si>
  <si>
    <t>- Finn: FSRP: Fish Stock Rebuilding Plan
- Steve: FSRPs = Fisheries Stock Rebuilding Plans</t>
  </si>
  <si>
    <t>- Finn: not English
- Steve: french</t>
  </si>
  <si>
    <t>- Finn: subsidies</t>
  </si>
  <si>
    <t>- Finn: CSF = Community Supported Fisheries
- Steve: CSF = Community supported fishing</t>
  </si>
  <si>
    <t>Community Supported Fisheries as a concept have many links to sustainability</t>
  </si>
  <si>
    <t>focus on subsidies but no link to overfishing</t>
  </si>
  <si>
    <t>- Finn: not about access to marine resources or markets</t>
  </si>
  <si>
    <t>- Steve: more on land based pollution and waste</t>
  </si>
  <si>
    <t>- Finn: ECA = Emissions Control Area for ships
- Steve: ECA = Emission Control Areas, mentions marine pollution marginally</t>
  </si>
  <si>
    <t>- Steve: marine ecosystem services but no value/call to action - fact stating?</t>
  </si>
  <si>
    <t>- Finn: TAC = total allowable catch</t>
  </si>
  <si>
    <t>- Steve: ACE= Annual Catch Entitlements</t>
  </si>
  <si>
    <t>- Finn: SDG 15
- Steve: not explicitly linked to marine biodiversity</t>
  </si>
  <si>
    <t>- Finn: MPA = Marine Protected Area</t>
  </si>
  <si>
    <t>no explicit link to sustainable oceans</t>
  </si>
  <si>
    <t>- Steve: not clear if this refers to marine natural resource use or management</t>
  </si>
  <si>
    <t>- Steve: mere fact stating?</t>
  </si>
  <si>
    <t>- Steve: traditional resource based industries might not relate to marine industries exclusively</t>
  </si>
  <si>
    <t>id</t>
  </si>
  <si>
    <t>osdg_text_id</t>
  </si>
  <si>
    <t>comment</t>
  </si>
  <si>
    <t>Third, the approach allows the interdependencies between the different sectors to be explicitly modelled, to the extent that data permit. It compares rates of change of value added and employment in ocean-based industries between 2010 and 2030. The compound annual growth rate for value added of the ocean-based industries combined between 2010 and 2030 is estimated at 3.45%, broadly in line with the anticipated compound annual growth rate for value added of the global economy. However, the total growth of employment (approximately 30%) in the ocean-based industries over the 20-year period is expected to outpace markedly the overall growth rate of the global workforce (approximately 20%).</t>
  </si>
  <si>
    <t>fix typos</t>
  </si>
  <si>
    <t>To be effective, institutions should be able to incorporate information from different sources, evaluate the relative quality of that information, set goals that are based on evidence, and be adaptable when facts change. There is a difficult trade-off between strictly detailed procedures which are easy to communicate and control but introduce a lot of rigidities that may significantly increase costs (including long delays, interminable negotiations, repeated votes) and flexible rules that facilitate adaptation but could allow the decision process to become arbitrary. Public access to procedures, including for parties not directly involved, is one way to reduce the sharpness of this trade-off by making rigid systems run more smoothly and flexible ones less arbitrary.</t>
  </si>
  <si>
    <t>fix typo</t>
  </si>
  <si>
    <t>If the nitrogen removal was fixed at USD 10 per kg, this would represent a NTC of USD 357 504, if it was fixed at USD 30 per kg, this would represent a NTC of USD 1 072 512. The same could be applied to another key nutrient, phosphorus. With an average of 0.04% phosphorus content in FW kelp tissues, 4.09 tonnes of phopshorus would be removed per year. With a value of USD 4 per kg removed (Chopin et al.,</t>
  </si>
  <si>
    <t>fix whitespace</t>
  </si>
  <si>
    <t>Furthermore, science committee and fishery resource management committee were newly organized to coordinate joint participation and role assignments to relevant stakeholders. So far, 10 FSRPs have been established and operated, and it is planned to be expanded to 20 species by 2012. The results of pilot projects show that stocks are increasing after the introduction of FSRPs. For instance, the catch per unit effort (CPUE) of sandfish in the East Sea has increased from 0.44 in 2005 to 0.78 in 2007.</t>
  </si>
  <si>
    <t>fix grammar</t>
  </si>
  <si>
    <t>Additionally, diarrhoea is a major cause of malnutrition in infants and young children. In the United States of America (USA), for example, around 76 million cases of foodborne diseases, resulting in 325 000 hospitalisations and 5 000 deaths, are estimated to occur each year. In the USA, diseases caused by the major pathogens alone are estimated to cost up to USD 35 billion annually (1997) in medical costs and lost productivity.</t>
  </si>
  <si>
    <t>For example, the United Nations Declaration on the Rights of Indigenous Peoples enshrines the collective as well as individual rights of indigenous peoples, stating that “[i]ndigenous peoples have the right to the lands, territories and resources which they have traditionally owned, occupied or otherwise used or acquired," and directing States to give legal recognition to these territories (UNDRIP, 2008). If fisheries resources are to be sustained, fisheries activities must be conducted in a responsible manner. Traditional fishing practices may be more harmoniously aligned with environmental sustainability, but the current reality is that the small-scale fisheries subsector itself in many parts of the world is being forced to move towards unsustainable practices. Sustainable resource management is therefore an issue of critical concern for the small-scale fisheries sector.</t>
  </si>
  <si>
    <t>The threat of serious marine pollution hangs over many situations of armed conflict. Typical of this are perhaps the concerns surrounding the fact that some of the world’s most important oil tanker routes pass through areas rife with unrest and civil war. Piracy and the threat of hijack by terrorist groups (taking control of vessels physically or by breaching cyber-security defences) add to the list of concerns.</t>
  </si>
  <si>
    <t>For example, in recent years the European Union has adopted two instruments, the 2002 EU Recommendation on Integrated Coastal Zone Management and the 2008 Marine Strategy Framework Directive, which offer a comprehensive and integrated approach to the management of all European coasts and marine waters, and set medium- and long-term objectives (to 2020 and beyond) for member states for managing their ocean activities. East Asia has its Partnerships in Environmental Management for the Seas of East Asia (PEMSEA), an international organisation focused on coastal and ocean governance in east Asia, scaling up integrated coastal management initiatives and aiming to improve technical co-operation in ecosystem-based management of watersheds, estuaries and adjacent coastal seas. In addition to the lack of protection that such gaps afford the ocean environment and its biodiversity, they create a decision-making vacuum for many ocean industries, notably in respect of future investment. By way of illustration, the negotiations around the implementation of the UN agreement to protect marine biodiversity promise to usher in a period of considerable uncertainty for those ocean industries operating in the high seas.</t>
  </si>
  <si>
    <t>There are also new requirements to provide information on the nutrient content of foods. The new rules will help consumers make better-informed decisions when they buy food, boost consumer empowerment and contribute to the fight against the rising levels of obesity and chronic diseases in the European Union. In 2011, three health claims were authorised for docosahexaenoic acid (DHA) for children (relating to normal brain development, normal visual development and eye development).</t>
  </si>
  <si>
    <t>This means sustainable utilisation, conservation and management of the resource based on scientific information and applied expertise guided by respect for the marine ecosystem as a whole. Iceland’s National Strategy for Sustainable Development contains objectives specific to living marine resources and state that management should both aim to minimise any negative ecosystem impacts associated with fishing and use the best scientific information available to ensure fish stocks remain at sustainable levels. The management system has proven successful at achieving most of this, securing an economically sustainable fishing industry while also contributing to biological sustainability'. The Icelandic fleet has been reducing in size and becoming more profitable, the carbon footprint of the industry is reducing, fishing pressure has been declining and safety at sea has radically improved in recent decades.</t>
  </si>
  <si>
    <t>Despite some local successes, biodiversity is on the decline globally and this loss is projected to continue. Continuing with business as usual may have far-reaching adverse implications for human well-being, security and economic growth. This chapter summarises the considerable benefits and often hidden values of biodiversity and the ecosystems of which it is a part.</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</si>
</sst>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
      <b/>
      <sz val="9.0"/>
      <color theme="1"/>
      <name val="Arial"/>
      <scheme val="minor"/>
    </font>
  </fonts>
  <fills count="5">
    <fill>
      <patternFill patternType="none"/>
    </fill>
    <fill>
      <patternFill patternType="lightGray"/>
    </fill>
    <fill>
      <patternFill patternType="solid">
        <fgColor rgb="FF0A97D9"/>
        <bgColor rgb="FF0A97D9"/>
      </patternFill>
    </fill>
    <fill>
      <patternFill patternType="solid">
        <fgColor rgb="FFF4CCCC"/>
        <bgColor rgb="FFF4CCCC"/>
      </patternFill>
    </fill>
    <fill>
      <patternFill patternType="solid">
        <fgColor rgb="FFD9EAD3"/>
        <bgColor rgb="FFD9EAD3"/>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bottom"/>
    </xf>
    <xf borderId="2" fillId="0" fontId="12" numFmtId="0" xfId="0" applyAlignment="1" applyBorder="1" applyFont="1">
      <alignment readingOrder="0" vertical="bottom"/>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readingOrder="0" shrinkToFit="0" vertical="bottom" wrapText="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3" fontId="19" numFmtId="0" xfId="0" applyAlignment="1" applyFill="1" applyFont="1">
      <alignment shrinkToFit="0" vertical="bottom" wrapText="1"/>
    </xf>
    <xf borderId="0" fillId="4" fontId="19" numFmtId="0" xfId="0" applyAlignment="1" applyFill="1" applyFont="1">
      <alignment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xf>
    <xf borderId="4"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24" numFmtId="0" xfId="0" applyAlignment="1" applyFont="1">
      <alignment readingOrder="0"/>
    </xf>
    <xf borderId="0" fillId="0" fontId="23" numFmtId="0" xfId="0" applyFont="1"/>
    <xf borderId="0" fillId="0" fontId="5" numFmtId="0" xfId="0" applyFont="1"/>
    <xf borderId="0" fillId="0" fontId="23" numFmtId="0" xfId="0" applyFont="1"/>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87.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A55" s="17"/>
      <c r="B55" s="20" t="s">
        <v>45</v>
      </c>
      <c r="C55" s="21" t="s">
        <v>46</v>
      </c>
      <c r="D55" s="12"/>
      <c r="E55" s="12"/>
      <c r="F55" s="12"/>
      <c r="G55" s="12"/>
      <c r="H55" s="12"/>
      <c r="I55" s="12"/>
      <c r="J55" s="12"/>
      <c r="K55" s="12"/>
      <c r="L55" s="12"/>
      <c r="M55" s="12"/>
      <c r="N55" s="12"/>
      <c r="O55" s="12"/>
      <c r="P55" s="12"/>
      <c r="Q55" s="12"/>
      <c r="R55" s="12"/>
      <c r="S55" s="12"/>
      <c r="T55" s="12"/>
      <c r="U55" s="12"/>
      <c r="V55" s="12"/>
      <c r="W55" s="12"/>
      <c r="X55" s="12"/>
      <c r="Y55" s="12"/>
      <c r="Z55" s="12"/>
    </row>
    <row r="56">
      <c r="A56" s="17"/>
      <c r="B56" s="20" t="s">
        <v>47</v>
      </c>
      <c r="C56" s="21" t="s">
        <v>48</v>
      </c>
      <c r="D56" s="12"/>
      <c r="E56" s="12"/>
      <c r="F56" s="12"/>
      <c r="G56" s="12"/>
      <c r="H56" s="12"/>
      <c r="I56" s="12"/>
      <c r="J56" s="12"/>
      <c r="K56" s="12"/>
      <c r="L56" s="12"/>
      <c r="M56" s="12"/>
      <c r="N56" s="12"/>
      <c r="O56" s="12"/>
      <c r="P56" s="12"/>
      <c r="Q56" s="12"/>
      <c r="R56" s="12"/>
      <c r="S56" s="12"/>
      <c r="T56" s="12"/>
      <c r="U56" s="12"/>
      <c r="V56" s="12"/>
      <c r="W56" s="12"/>
      <c r="X56" s="12"/>
      <c r="Y56" s="12"/>
      <c r="Z56" s="12"/>
    </row>
    <row r="57">
      <c r="A57" s="17"/>
      <c r="B57" s="20" t="s">
        <v>49</v>
      </c>
      <c r="C57" s="21" t="s">
        <v>50</v>
      </c>
      <c r="D57" s="12"/>
      <c r="E57" s="12"/>
      <c r="F57" s="12"/>
      <c r="G57" s="12"/>
      <c r="H57" s="12"/>
      <c r="I57" s="12"/>
      <c r="J57" s="12"/>
      <c r="K57" s="12"/>
      <c r="L57" s="12"/>
      <c r="M57" s="12"/>
      <c r="N57" s="12"/>
      <c r="O57" s="12"/>
      <c r="P57" s="12"/>
      <c r="Q57" s="12"/>
      <c r="R57" s="12"/>
      <c r="S57" s="12"/>
      <c r="T57" s="12"/>
      <c r="U57" s="12"/>
      <c r="V57" s="12"/>
      <c r="W57" s="12"/>
      <c r="X57" s="12"/>
      <c r="Y57" s="12"/>
      <c r="Z57" s="12"/>
    </row>
    <row r="58">
      <c r="A58" s="17"/>
      <c r="B58" s="20" t="s">
        <v>51</v>
      </c>
      <c r="C58" s="21" t="s">
        <v>52</v>
      </c>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20" t="s">
        <v>53</v>
      </c>
      <c r="C59" s="21" t="s">
        <v>54</v>
      </c>
      <c r="D59" s="12"/>
      <c r="E59" s="12"/>
      <c r="F59" s="12"/>
      <c r="G59" s="12"/>
      <c r="H59" s="12"/>
      <c r="I59" s="12"/>
      <c r="J59" s="12"/>
      <c r="K59" s="12"/>
      <c r="L59" s="12"/>
      <c r="M59" s="12"/>
      <c r="N59" s="12"/>
      <c r="O59" s="12"/>
      <c r="P59" s="12"/>
      <c r="Q59" s="12"/>
      <c r="R59" s="12"/>
      <c r="S59" s="12"/>
      <c r="T59" s="12"/>
      <c r="U59" s="12"/>
      <c r="V59" s="12"/>
      <c r="W59" s="12"/>
      <c r="X59" s="12"/>
      <c r="Y59" s="12"/>
      <c r="Z59" s="12"/>
    </row>
    <row r="60">
      <c r="B60" s="22" t="s">
        <v>55</v>
      </c>
    </row>
    <row r="62">
      <c r="B62" s="6" t="s">
        <v>56</v>
      </c>
    </row>
    <row r="63">
      <c r="B63" s="5" t="s">
        <v>57</v>
      </c>
    </row>
    <row r="64">
      <c r="B64" s="5"/>
    </row>
    <row r="65">
      <c r="B65" s="23" t="s">
        <v>58</v>
      </c>
      <c r="C65" s="23" t="s">
        <v>59</v>
      </c>
    </row>
    <row r="66">
      <c r="B66" s="22" t="s">
        <v>60</v>
      </c>
      <c r="C66" s="24" t="str">
        <f>IFERROR(__xludf.DUMMYFUNCTION("SPARKLINE((100-COUNTIF(INDIRECT(B66&amp;""!C:C""), ""TO DO""))/100+0.01,{""charttype"",""bar"";""max"",1.01;""min"",0; ""color1"", ""#4285f4""})"),"")</f>
        <v/>
      </c>
      <c r="D66" s="25" t="str">
        <f t="shared" ref="D66:D70" si="1">(100-COUNTIF(INDIRECT(B66&amp;"!C:C"), "TO DO")) &amp; " / 100"</f>
        <v>100 / 100</v>
      </c>
    </row>
    <row r="67">
      <c r="B67" s="22" t="s">
        <v>61</v>
      </c>
      <c r="C67" s="24" t="str">
        <f>IFERROR(__xludf.DUMMYFUNCTION("SPARKLINE((100-COUNTIF(INDIRECT(B67&amp;""!C:C""), ""TO DO""))/100+0.01,{""charttype"",""bar"";""max"",1.01;""min"",0; ""color1"", ""#4285f4""})"),"")</f>
        <v/>
      </c>
      <c r="D67" s="25" t="str">
        <f t="shared" si="1"/>
        <v>0 / 100</v>
      </c>
    </row>
    <row r="68">
      <c r="B68" s="22" t="s">
        <v>62</v>
      </c>
      <c r="C68" s="24" t="str">
        <f>IFERROR(__xludf.DUMMYFUNCTION("SPARKLINE((100-COUNTIF(INDIRECT(B68&amp;""!C:C""), ""TO DO""))/100+0.01,{""charttype"",""bar"";""max"",1.01;""min"",0; ""color1"", ""#4285f4""})"),"")</f>
        <v/>
      </c>
      <c r="D68" s="25" t="str">
        <f t="shared" si="1"/>
        <v>0 / 100</v>
      </c>
    </row>
    <row r="69">
      <c r="B69" s="22" t="s">
        <v>63</v>
      </c>
      <c r="C69" s="24" t="str">
        <f>IFERROR(__xludf.DUMMYFUNCTION("SPARKLINE((100-COUNTIF(INDIRECT(B69&amp;""!C:C""), ""TO DO""))/100+0.01,{""charttype"",""bar"";""max"",1.01;""min"",0; ""color1"", ""#4285f4""})"),"")</f>
        <v/>
      </c>
      <c r="D69" s="25" t="str">
        <f t="shared" si="1"/>
        <v>100 / 100</v>
      </c>
    </row>
    <row r="70">
      <c r="B70" s="22" t="s">
        <v>64</v>
      </c>
      <c r="C70" s="24" t="str">
        <f>IFERROR(__xludf.DUMMYFUNCTION("SPARKLINE((100-COUNTIF(INDIRECT(B70&amp;""!C:C""), ""TO DO""))/100+0.01,{""charttype"",""bar"";""max"",1.01;""min"",0; ""color1"", ""#4285f4""})"),"")</f>
        <v/>
      </c>
      <c r="D70" s="25" t="str">
        <f t="shared" si="1"/>
        <v>100 / 100</v>
      </c>
    </row>
    <row r="72">
      <c r="B72" s="26" t="s">
        <v>65</v>
      </c>
    </row>
    <row r="74">
      <c r="B74" s="6" t="s">
        <v>66</v>
      </c>
    </row>
    <row r="75">
      <c r="B75" s="5" t="s">
        <v>67</v>
      </c>
    </row>
    <row r="76">
      <c r="B76" s="5"/>
    </row>
    <row r="77">
      <c r="B77" s="5" t="s">
        <v>68</v>
      </c>
    </row>
    <row r="78">
      <c r="B78" s="5"/>
    </row>
    <row r="79">
      <c r="B79" s="27" t="s">
        <v>69</v>
      </c>
    </row>
    <row r="80">
      <c r="B80" s="5" t="s">
        <v>70</v>
      </c>
    </row>
    <row r="81">
      <c r="B81" s="5" t="s">
        <v>71</v>
      </c>
    </row>
    <row r="82">
      <c r="B82" s="5" t="s">
        <v>72</v>
      </c>
    </row>
    <row r="83">
      <c r="B83" s="5" t="s">
        <v>73</v>
      </c>
    </row>
    <row r="84">
      <c r="B84" s="5" t="s">
        <v>74</v>
      </c>
    </row>
    <row r="85">
      <c r="B85" s="5" t="s">
        <v>75</v>
      </c>
    </row>
    <row r="86">
      <c r="B86" s="5" t="s">
        <v>76</v>
      </c>
    </row>
    <row r="87">
      <c r="B87" s="5" t="s">
        <v>77</v>
      </c>
    </row>
    <row r="88">
      <c r="B88" s="5" t="s">
        <v>78</v>
      </c>
    </row>
    <row r="89">
      <c r="B89" s="5" t="s">
        <v>79</v>
      </c>
    </row>
    <row r="90">
      <c r="B90" s="5" t="s">
        <v>80</v>
      </c>
    </row>
    <row r="92">
      <c r="B92" s="27" t="s">
        <v>81</v>
      </c>
    </row>
    <row r="93">
      <c r="B93" s="28" t="s">
        <v>82</v>
      </c>
    </row>
    <row r="94">
      <c r="B94" s="28" t="s">
        <v>83</v>
      </c>
    </row>
    <row r="95">
      <c r="B95" s="28" t="s">
        <v>84</v>
      </c>
    </row>
    <row r="96">
      <c r="B96" s="28" t="s">
        <v>85</v>
      </c>
    </row>
    <row r="97">
      <c r="B97" s="28" t="s">
        <v>86</v>
      </c>
    </row>
    <row r="98">
      <c r="B98" s="28" t="s">
        <v>87</v>
      </c>
    </row>
    <row r="100">
      <c r="B100" s="13"/>
    </row>
    <row r="101">
      <c r="B101" s="13"/>
    </row>
    <row r="102">
      <c r="B102" s="13"/>
    </row>
    <row r="103">
      <c r="B103" s="13"/>
    </row>
    <row r="104">
      <c r="B104" s="13"/>
    </row>
  </sheetData>
  <dataValidations>
    <dataValidation type="list" allowBlank="1" showErrorMessage="1" sqref="B18:B20">
      <formula1>"TRUE,FALSE,SKIP"</formula1>
    </dataValidation>
  </dataValidations>
  <hyperlinks>
    <hyperlink r:id="rId1" ref="B60"/>
    <hyperlink display="Finn" location="Finn!A1" ref="B66"/>
    <hyperlink display="Gib" location="Gib!A1" ref="B67"/>
    <hyperlink display="Jean-Baptiste" location="'Jean-Baptiste'!A1" ref="B68"/>
    <hyperlink display="Meike" location="Meike!A1" ref="B69"/>
    <hyperlink display="Steve" location="Steve!A1" ref="B7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9" t="s">
        <v>88</v>
      </c>
      <c r="B1" s="30" t="s">
        <v>89</v>
      </c>
      <c r="C1" s="31" t="s">
        <v>90</v>
      </c>
      <c r="D1" s="23" t="s">
        <v>91</v>
      </c>
    </row>
    <row r="2">
      <c r="A2" s="32" t="s">
        <v>92</v>
      </c>
      <c r="B2" s="33" t="s">
        <v>93</v>
      </c>
      <c r="C2" s="34" t="b">
        <v>1</v>
      </c>
    </row>
    <row r="3">
      <c r="A3" s="32" t="s">
        <v>94</v>
      </c>
      <c r="B3" s="33" t="s">
        <v>95</v>
      </c>
      <c r="C3" s="34" t="b">
        <v>0</v>
      </c>
    </row>
    <row r="4">
      <c r="A4" s="32" t="s">
        <v>96</v>
      </c>
      <c r="B4" s="33" t="s">
        <v>97</v>
      </c>
      <c r="C4" s="34" t="b">
        <v>0</v>
      </c>
    </row>
    <row r="5">
      <c r="A5" s="32" t="s">
        <v>98</v>
      </c>
      <c r="B5" s="33" t="s">
        <v>99</v>
      </c>
      <c r="C5" s="34" t="b">
        <v>0</v>
      </c>
      <c r="D5" s="5" t="s">
        <v>100</v>
      </c>
    </row>
    <row r="6">
      <c r="A6" s="32" t="s">
        <v>101</v>
      </c>
      <c r="B6" s="33" t="s">
        <v>102</v>
      </c>
      <c r="C6" s="34" t="b">
        <v>1</v>
      </c>
    </row>
    <row r="7">
      <c r="A7" s="32" t="s">
        <v>103</v>
      </c>
      <c r="B7" s="33" t="s">
        <v>104</v>
      </c>
      <c r="C7" s="34" t="s">
        <v>14</v>
      </c>
      <c r="D7" s="5" t="s">
        <v>105</v>
      </c>
    </row>
    <row r="8">
      <c r="A8" s="32" t="s">
        <v>106</v>
      </c>
      <c r="B8" s="33" t="s">
        <v>107</v>
      </c>
      <c r="C8" s="34" t="b">
        <v>0</v>
      </c>
    </row>
    <row r="9">
      <c r="A9" s="32" t="s">
        <v>108</v>
      </c>
      <c r="B9" s="33" t="s">
        <v>109</v>
      </c>
      <c r="C9" s="34" t="b">
        <v>0</v>
      </c>
    </row>
    <row r="10">
      <c r="A10" s="32" t="s">
        <v>110</v>
      </c>
      <c r="B10" s="33" t="s">
        <v>111</v>
      </c>
      <c r="C10" s="34" t="b">
        <v>0</v>
      </c>
    </row>
    <row r="11">
      <c r="A11" s="32" t="s">
        <v>112</v>
      </c>
      <c r="B11" s="33" t="s">
        <v>113</v>
      </c>
      <c r="C11" s="34" t="b">
        <v>0</v>
      </c>
    </row>
    <row r="12">
      <c r="A12" s="32" t="s">
        <v>114</v>
      </c>
      <c r="B12" s="33" t="s">
        <v>115</v>
      </c>
      <c r="C12" s="34" t="b">
        <v>0</v>
      </c>
    </row>
    <row r="13">
      <c r="A13" s="32" t="s">
        <v>116</v>
      </c>
      <c r="B13" s="33" t="s">
        <v>117</v>
      </c>
      <c r="C13" s="34" t="b">
        <v>0</v>
      </c>
    </row>
    <row r="14">
      <c r="A14" s="32" t="s">
        <v>118</v>
      </c>
      <c r="B14" s="33" t="s">
        <v>119</v>
      </c>
      <c r="C14" s="34" t="b">
        <v>0</v>
      </c>
    </row>
    <row r="15">
      <c r="A15" s="32" t="s">
        <v>120</v>
      </c>
      <c r="B15" s="33" t="s">
        <v>121</v>
      </c>
      <c r="C15" s="34" t="b">
        <v>0</v>
      </c>
    </row>
    <row r="16">
      <c r="A16" s="32" t="s">
        <v>122</v>
      </c>
      <c r="B16" s="33" t="s">
        <v>123</v>
      </c>
      <c r="C16" s="34" t="b">
        <v>1</v>
      </c>
      <c r="D16" s="5" t="s">
        <v>124</v>
      </c>
    </row>
    <row r="17">
      <c r="A17" s="32" t="s">
        <v>125</v>
      </c>
      <c r="B17" s="33" t="s">
        <v>126</v>
      </c>
      <c r="C17" s="34" t="b">
        <v>0</v>
      </c>
    </row>
    <row r="18">
      <c r="A18" s="32" t="s">
        <v>127</v>
      </c>
      <c r="B18" s="33" t="s">
        <v>128</v>
      </c>
      <c r="C18" s="34" t="b">
        <v>0</v>
      </c>
    </row>
    <row r="19">
      <c r="A19" s="32" t="s">
        <v>129</v>
      </c>
      <c r="B19" s="33" t="s">
        <v>130</v>
      </c>
      <c r="C19" s="34" t="b">
        <v>0</v>
      </c>
    </row>
    <row r="20">
      <c r="A20" s="32" t="s">
        <v>131</v>
      </c>
      <c r="B20" s="33" t="s">
        <v>132</v>
      </c>
      <c r="C20" s="34" t="b">
        <v>1</v>
      </c>
    </row>
    <row r="21">
      <c r="A21" s="32" t="s">
        <v>133</v>
      </c>
      <c r="B21" s="33" t="s">
        <v>134</v>
      </c>
      <c r="C21" s="34" t="b">
        <v>1</v>
      </c>
    </row>
    <row r="22">
      <c r="A22" s="32" t="s">
        <v>135</v>
      </c>
      <c r="B22" s="33" t="s">
        <v>136</v>
      </c>
      <c r="C22" s="34" t="b">
        <v>1</v>
      </c>
    </row>
    <row r="23">
      <c r="A23" s="32" t="s">
        <v>137</v>
      </c>
      <c r="B23" s="33" t="s">
        <v>138</v>
      </c>
      <c r="C23" s="34" t="b">
        <v>0</v>
      </c>
    </row>
    <row r="24">
      <c r="A24" s="32" t="s">
        <v>139</v>
      </c>
      <c r="B24" s="33" t="s">
        <v>140</v>
      </c>
      <c r="C24" s="34" t="b">
        <v>0</v>
      </c>
    </row>
    <row r="25">
      <c r="A25" s="32" t="s">
        <v>141</v>
      </c>
      <c r="B25" s="33" t="s">
        <v>142</v>
      </c>
      <c r="C25" s="34" t="b">
        <v>1</v>
      </c>
      <c r="D25" s="5" t="s">
        <v>143</v>
      </c>
    </row>
    <row r="26">
      <c r="A26" s="32" t="s">
        <v>144</v>
      </c>
      <c r="B26" s="33" t="s">
        <v>145</v>
      </c>
      <c r="C26" s="34" t="b">
        <v>1</v>
      </c>
    </row>
    <row r="27">
      <c r="A27" s="32" t="s">
        <v>146</v>
      </c>
      <c r="B27" s="33" t="s">
        <v>147</v>
      </c>
      <c r="C27" s="34" t="b">
        <v>1</v>
      </c>
      <c r="D27" s="5" t="s">
        <v>148</v>
      </c>
    </row>
    <row r="28">
      <c r="A28" s="32" t="s">
        <v>149</v>
      </c>
      <c r="B28" s="33" t="s">
        <v>150</v>
      </c>
      <c r="C28" s="34" t="b">
        <v>0</v>
      </c>
    </row>
    <row r="29">
      <c r="A29" s="32" t="s">
        <v>151</v>
      </c>
      <c r="B29" s="33" t="s">
        <v>152</v>
      </c>
      <c r="C29" s="34" t="b">
        <v>0</v>
      </c>
    </row>
    <row r="30">
      <c r="A30" s="32" t="s">
        <v>153</v>
      </c>
      <c r="B30" s="33" t="s">
        <v>154</v>
      </c>
      <c r="C30" s="34" t="b">
        <v>1</v>
      </c>
    </row>
    <row r="31">
      <c r="A31" s="32" t="s">
        <v>155</v>
      </c>
      <c r="B31" s="33" t="s">
        <v>156</v>
      </c>
      <c r="C31" s="34" t="b">
        <v>1</v>
      </c>
    </row>
    <row r="32">
      <c r="A32" s="32" t="s">
        <v>157</v>
      </c>
      <c r="B32" s="33" t="s">
        <v>158</v>
      </c>
      <c r="C32" s="34" t="b">
        <v>0</v>
      </c>
      <c r="D32" s="5" t="s">
        <v>159</v>
      </c>
    </row>
    <row r="33">
      <c r="A33" s="32" t="s">
        <v>160</v>
      </c>
      <c r="B33" s="33" t="s">
        <v>161</v>
      </c>
      <c r="C33" s="34" t="b">
        <v>1</v>
      </c>
    </row>
    <row r="34">
      <c r="A34" s="32" t="s">
        <v>162</v>
      </c>
      <c r="B34" s="33" t="s">
        <v>163</v>
      </c>
      <c r="C34" s="34" t="b">
        <v>0</v>
      </c>
    </row>
    <row r="35">
      <c r="A35" s="32" t="s">
        <v>164</v>
      </c>
      <c r="B35" s="33" t="s">
        <v>165</v>
      </c>
      <c r="C35" s="34" t="b">
        <v>1</v>
      </c>
    </row>
    <row r="36">
      <c r="A36" s="32" t="s">
        <v>166</v>
      </c>
      <c r="B36" s="33" t="s">
        <v>167</v>
      </c>
      <c r="C36" s="34" t="b">
        <v>0</v>
      </c>
      <c r="D36" s="5" t="s">
        <v>168</v>
      </c>
    </row>
    <row r="37">
      <c r="A37" s="32" t="s">
        <v>169</v>
      </c>
      <c r="B37" s="33" t="s">
        <v>170</v>
      </c>
      <c r="C37" s="34" t="b">
        <v>1</v>
      </c>
    </row>
    <row r="38">
      <c r="A38" s="32" t="s">
        <v>171</v>
      </c>
      <c r="B38" s="33" t="s">
        <v>172</v>
      </c>
      <c r="C38" s="34" t="b">
        <v>1</v>
      </c>
      <c r="D38" s="5" t="s">
        <v>173</v>
      </c>
    </row>
    <row r="39">
      <c r="A39" s="32" t="s">
        <v>174</v>
      </c>
      <c r="B39" s="33" t="s">
        <v>175</v>
      </c>
      <c r="C39" s="34" t="b">
        <v>1</v>
      </c>
    </row>
    <row r="40">
      <c r="A40" s="32" t="s">
        <v>176</v>
      </c>
      <c r="B40" s="33" t="s">
        <v>177</v>
      </c>
      <c r="C40" s="34" t="b">
        <v>1</v>
      </c>
      <c r="D40" s="5" t="s">
        <v>178</v>
      </c>
    </row>
    <row r="41">
      <c r="A41" s="32" t="s">
        <v>179</v>
      </c>
      <c r="B41" s="33" t="s">
        <v>180</v>
      </c>
      <c r="C41" s="34" t="b">
        <v>1</v>
      </c>
    </row>
    <row r="42">
      <c r="A42" s="32" t="s">
        <v>181</v>
      </c>
      <c r="B42" s="33" t="s">
        <v>182</v>
      </c>
      <c r="C42" s="34" t="b">
        <v>1</v>
      </c>
    </row>
    <row r="43">
      <c r="A43" s="32" t="s">
        <v>183</v>
      </c>
      <c r="B43" s="33" t="s">
        <v>184</v>
      </c>
      <c r="C43" s="34" t="b">
        <v>1</v>
      </c>
    </row>
    <row r="44">
      <c r="A44" s="32" t="s">
        <v>185</v>
      </c>
      <c r="B44" s="33" t="s">
        <v>186</v>
      </c>
      <c r="C44" s="34" t="b">
        <v>0</v>
      </c>
      <c r="D44" s="5" t="s">
        <v>187</v>
      </c>
    </row>
    <row r="45">
      <c r="A45" s="32" t="s">
        <v>188</v>
      </c>
      <c r="B45" s="33" t="s">
        <v>189</v>
      </c>
      <c r="C45" s="34" t="b">
        <v>1</v>
      </c>
      <c r="D45" s="5" t="s">
        <v>190</v>
      </c>
    </row>
    <row r="46">
      <c r="A46" s="32" t="s">
        <v>191</v>
      </c>
      <c r="B46" s="33" t="s">
        <v>192</v>
      </c>
      <c r="C46" s="34" t="b">
        <v>0</v>
      </c>
    </row>
    <row r="47">
      <c r="A47" s="32" t="s">
        <v>193</v>
      </c>
      <c r="B47" s="33" t="s">
        <v>194</v>
      </c>
      <c r="C47" s="34" t="b">
        <v>1</v>
      </c>
    </row>
    <row r="48">
      <c r="A48" s="32" t="s">
        <v>195</v>
      </c>
      <c r="B48" s="33" t="s">
        <v>196</v>
      </c>
      <c r="C48" s="34" t="b">
        <v>0</v>
      </c>
      <c r="D48" s="5" t="s">
        <v>197</v>
      </c>
    </row>
    <row r="49">
      <c r="A49" s="32" t="s">
        <v>198</v>
      </c>
      <c r="B49" s="33" t="s">
        <v>199</v>
      </c>
      <c r="C49" s="34" t="b">
        <v>1</v>
      </c>
    </row>
    <row r="50">
      <c r="A50" s="32" t="s">
        <v>200</v>
      </c>
      <c r="B50" s="33" t="s">
        <v>201</v>
      </c>
      <c r="C50" s="34" t="b">
        <v>0</v>
      </c>
    </row>
    <row r="51">
      <c r="A51" s="32" t="s">
        <v>202</v>
      </c>
      <c r="B51" s="33" t="s">
        <v>203</v>
      </c>
      <c r="C51" s="34" t="b">
        <v>0</v>
      </c>
    </row>
    <row r="52">
      <c r="A52" s="32" t="s">
        <v>204</v>
      </c>
      <c r="B52" s="33" t="s">
        <v>205</v>
      </c>
      <c r="C52" s="34" t="b">
        <v>0</v>
      </c>
    </row>
    <row r="53">
      <c r="A53" s="32" t="s">
        <v>206</v>
      </c>
      <c r="B53" s="33" t="s">
        <v>207</v>
      </c>
      <c r="C53" s="34" t="b">
        <v>1</v>
      </c>
      <c r="D53" s="5" t="s">
        <v>208</v>
      </c>
    </row>
    <row r="54">
      <c r="A54" s="32" t="s">
        <v>209</v>
      </c>
      <c r="B54" s="33" t="s">
        <v>210</v>
      </c>
      <c r="C54" s="34" t="b">
        <v>1</v>
      </c>
    </row>
    <row r="55">
      <c r="A55" s="32" t="s">
        <v>211</v>
      </c>
      <c r="B55" s="33" t="s">
        <v>212</v>
      </c>
      <c r="C55" s="34" t="b">
        <v>1</v>
      </c>
    </row>
    <row r="56">
      <c r="A56" s="32" t="s">
        <v>213</v>
      </c>
      <c r="B56" s="33" t="s">
        <v>214</v>
      </c>
      <c r="C56" s="34" t="b">
        <v>0</v>
      </c>
      <c r="D56" s="5" t="s">
        <v>215</v>
      </c>
    </row>
    <row r="57">
      <c r="A57" s="32" t="s">
        <v>216</v>
      </c>
      <c r="B57" s="33" t="s">
        <v>217</v>
      </c>
      <c r="C57" s="34" t="b">
        <v>0</v>
      </c>
    </row>
    <row r="58">
      <c r="A58" s="32" t="s">
        <v>218</v>
      </c>
      <c r="B58" s="33" t="s">
        <v>219</v>
      </c>
      <c r="C58" s="34" t="b">
        <v>1</v>
      </c>
    </row>
    <row r="59">
      <c r="A59" s="32" t="s">
        <v>220</v>
      </c>
      <c r="B59" s="33" t="s">
        <v>221</v>
      </c>
      <c r="C59" s="34" t="b">
        <v>0</v>
      </c>
    </row>
    <row r="60">
      <c r="A60" s="32" t="s">
        <v>222</v>
      </c>
      <c r="B60" s="33" t="s">
        <v>223</v>
      </c>
      <c r="C60" s="34" t="b">
        <v>0</v>
      </c>
    </row>
    <row r="61">
      <c r="A61" s="32" t="s">
        <v>224</v>
      </c>
      <c r="B61" s="33" t="s">
        <v>225</v>
      </c>
      <c r="C61" s="34" t="b">
        <v>1</v>
      </c>
    </row>
    <row r="62">
      <c r="A62" s="32" t="s">
        <v>226</v>
      </c>
      <c r="B62" s="33" t="s">
        <v>227</v>
      </c>
      <c r="C62" s="34" t="b">
        <v>0</v>
      </c>
    </row>
    <row r="63">
      <c r="A63" s="32" t="s">
        <v>228</v>
      </c>
      <c r="B63" s="33" t="s">
        <v>229</v>
      </c>
      <c r="C63" s="34" t="b">
        <v>0</v>
      </c>
    </row>
    <row r="64">
      <c r="A64" s="32" t="s">
        <v>230</v>
      </c>
      <c r="B64" s="33" t="s">
        <v>231</v>
      </c>
      <c r="C64" s="34" t="b">
        <v>0</v>
      </c>
    </row>
    <row r="65">
      <c r="A65" s="32" t="s">
        <v>232</v>
      </c>
      <c r="B65" s="33" t="s">
        <v>233</v>
      </c>
      <c r="C65" s="34" t="b">
        <v>0</v>
      </c>
    </row>
    <row r="66">
      <c r="A66" s="32" t="s">
        <v>234</v>
      </c>
      <c r="B66" s="33" t="s">
        <v>235</v>
      </c>
      <c r="C66" s="34" t="b">
        <v>0</v>
      </c>
    </row>
    <row r="67">
      <c r="A67" s="32" t="s">
        <v>236</v>
      </c>
      <c r="B67" s="33" t="s">
        <v>237</v>
      </c>
      <c r="C67" s="34" t="b">
        <v>0</v>
      </c>
    </row>
    <row r="68">
      <c r="A68" s="32" t="s">
        <v>238</v>
      </c>
      <c r="B68" s="33" t="s">
        <v>239</v>
      </c>
      <c r="C68" s="34" t="b">
        <v>0</v>
      </c>
    </row>
    <row r="69">
      <c r="A69" s="32" t="s">
        <v>240</v>
      </c>
      <c r="B69" s="33" t="s">
        <v>241</v>
      </c>
      <c r="C69" s="34" t="b">
        <v>0</v>
      </c>
    </row>
    <row r="70">
      <c r="A70" s="32" t="s">
        <v>242</v>
      </c>
      <c r="B70" s="33" t="s">
        <v>243</v>
      </c>
      <c r="C70" s="34" t="b">
        <v>1</v>
      </c>
    </row>
    <row r="71">
      <c r="A71" s="32" t="s">
        <v>244</v>
      </c>
      <c r="B71" s="33" t="s">
        <v>245</v>
      </c>
      <c r="C71" s="34" t="b">
        <v>1</v>
      </c>
    </row>
    <row r="72">
      <c r="A72" s="32" t="s">
        <v>246</v>
      </c>
      <c r="B72" s="33" t="s">
        <v>247</v>
      </c>
      <c r="C72" s="34" t="b">
        <v>0</v>
      </c>
    </row>
    <row r="73">
      <c r="A73" s="32" t="s">
        <v>248</v>
      </c>
      <c r="B73" s="33" t="s">
        <v>249</v>
      </c>
      <c r="C73" s="34" t="b">
        <v>0</v>
      </c>
    </row>
    <row r="74">
      <c r="A74" s="32" t="s">
        <v>250</v>
      </c>
      <c r="B74" s="33" t="s">
        <v>251</v>
      </c>
      <c r="C74" s="34" t="b">
        <v>0</v>
      </c>
    </row>
    <row r="75">
      <c r="A75" s="32" t="s">
        <v>252</v>
      </c>
      <c r="B75" s="33" t="s">
        <v>253</v>
      </c>
      <c r="C75" s="34" t="b">
        <v>1</v>
      </c>
    </row>
    <row r="76">
      <c r="A76" s="32" t="s">
        <v>254</v>
      </c>
      <c r="B76" s="33" t="s">
        <v>255</v>
      </c>
      <c r="C76" s="34" t="b">
        <v>0</v>
      </c>
    </row>
    <row r="77">
      <c r="A77" s="32" t="s">
        <v>256</v>
      </c>
      <c r="B77" s="33" t="s">
        <v>257</v>
      </c>
      <c r="C77" s="34" t="b">
        <v>1</v>
      </c>
    </row>
    <row r="78">
      <c r="A78" s="32" t="s">
        <v>258</v>
      </c>
      <c r="B78" s="33" t="s">
        <v>259</v>
      </c>
      <c r="C78" s="34" t="b">
        <v>0</v>
      </c>
    </row>
    <row r="79">
      <c r="A79" s="32" t="s">
        <v>260</v>
      </c>
      <c r="B79" s="33" t="s">
        <v>261</v>
      </c>
      <c r="C79" s="34" t="b">
        <v>0</v>
      </c>
    </row>
    <row r="80">
      <c r="A80" s="32" t="s">
        <v>262</v>
      </c>
      <c r="B80" s="33" t="s">
        <v>263</v>
      </c>
      <c r="C80" s="34" t="b">
        <v>0</v>
      </c>
    </row>
    <row r="81">
      <c r="A81" s="32" t="s">
        <v>264</v>
      </c>
      <c r="B81" s="33" t="s">
        <v>265</v>
      </c>
      <c r="C81" s="34" t="b">
        <v>1</v>
      </c>
    </row>
    <row r="82">
      <c r="A82" s="32" t="s">
        <v>266</v>
      </c>
      <c r="B82" s="33" t="s">
        <v>267</v>
      </c>
      <c r="C82" s="34" t="b">
        <v>1</v>
      </c>
      <c r="D82" s="5" t="s">
        <v>268</v>
      </c>
    </row>
    <row r="83">
      <c r="A83" s="32" t="s">
        <v>269</v>
      </c>
      <c r="B83" s="33" t="s">
        <v>270</v>
      </c>
      <c r="C83" s="34" t="b">
        <v>1</v>
      </c>
    </row>
    <row r="84">
      <c r="A84" s="32" t="s">
        <v>271</v>
      </c>
      <c r="B84" s="33" t="s">
        <v>272</v>
      </c>
      <c r="C84" s="34" t="b">
        <v>0</v>
      </c>
    </row>
    <row r="85">
      <c r="A85" s="32" t="s">
        <v>273</v>
      </c>
      <c r="B85" s="33" t="s">
        <v>274</v>
      </c>
      <c r="C85" s="34" t="b">
        <v>0</v>
      </c>
    </row>
    <row r="86">
      <c r="A86" s="32" t="s">
        <v>275</v>
      </c>
      <c r="B86" s="33" t="s">
        <v>276</v>
      </c>
      <c r="C86" s="34" t="b">
        <v>1</v>
      </c>
    </row>
    <row r="87">
      <c r="A87" s="32" t="s">
        <v>277</v>
      </c>
      <c r="B87" s="33" t="s">
        <v>278</v>
      </c>
      <c r="C87" s="34" t="b">
        <v>0</v>
      </c>
    </row>
    <row r="88">
      <c r="A88" s="32" t="s">
        <v>279</v>
      </c>
      <c r="B88" s="33" t="s">
        <v>280</v>
      </c>
      <c r="C88" s="34" t="b">
        <v>0</v>
      </c>
    </row>
    <row r="89">
      <c r="A89" s="32" t="s">
        <v>281</v>
      </c>
      <c r="B89" s="33" t="s">
        <v>282</v>
      </c>
      <c r="C89" s="34" t="b">
        <v>0</v>
      </c>
    </row>
    <row r="90">
      <c r="A90" s="32" t="s">
        <v>283</v>
      </c>
      <c r="B90" s="33" t="s">
        <v>284</v>
      </c>
      <c r="C90" s="34" t="b">
        <v>1</v>
      </c>
    </row>
    <row r="91">
      <c r="A91" s="32" t="s">
        <v>285</v>
      </c>
      <c r="B91" s="33" t="s">
        <v>286</v>
      </c>
      <c r="C91" s="34" t="b">
        <v>0</v>
      </c>
      <c r="D91" s="5" t="s">
        <v>287</v>
      </c>
    </row>
    <row r="92">
      <c r="A92" s="32" t="s">
        <v>288</v>
      </c>
      <c r="B92" s="33" t="s">
        <v>289</v>
      </c>
      <c r="C92" s="34" t="b">
        <v>0</v>
      </c>
    </row>
    <row r="93">
      <c r="A93" s="32" t="s">
        <v>290</v>
      </c>
      <c r="B93" s="33" t="s">
        <v>291</v>
      </c>
      <c r="C93" s="34" t="b">
        <v>1</v>
      </c>
    </row>
    <row r="94">
      <c r="A94" s="32" t="s">
        <v>292</v>
      </c>
      <c r="B94" s="33" t="s">
        <v>293</v>
      </c>
      <c r="C94" s="34" t="b">
        <v>0</v>
      </c>
    </row>
    <row r="95">
      <c r="A95" s="32" t="s">
        <v>294</v>
      </c>
      <c r="B95" s="33" t="s">
        <v>295</v>
      </c>
      <c r="C95" s="34" t="b">
        <v>0</v>
      </c>
    </row>
    <row r="96">
      <c r="A96" s="32" t="s">
        <v>296</v>
      </c>
      <c r="B96" s="33" t="s">
        <v>297</v>
      </c>
      <c r="C96" s="34" t="b">
        <v>0</v>
      </c>
    </row>
    <row r="97">
      <c r="A97" s="32" t="s">
        <v>298</v>
      </c>
      <c r="B97" s="33" t="s">
        <v>299</v>
      </c>
      <c r="C97" s="34" t="b">
        <v>1</v>
      </c>
      <c r="D97" s="5" t="s">
        <v>300</v>
      </c>
    </row>
    <row r="98">
      <c r="A98" s="32" t="s">
        <v>301</v>
      </c>
      <c r="B98" s="33" t="s">
        <v>302</v>
      </c>
      <c r="C98" s="34" t="b">
        <v>0</v>
      </c>
    </row>
    <row r="99">
      <c r="A99" s="32" t="s">
        <v>303</v>
      </c>
      <c r="B99" s="33" t="s">
        <v>304</v>
      </c>
      <c r="C99" s="34" t="b">
        <v>1</v>
      </c>
    </row>
    <row r="100">
      <c r="A100" s="32" t="s">
        <v>305</v>
      </c>
      <c r="B100" s="33" t="s">
        <v>306</v>
      </c>
      <c r="C100" s="34" t="b">
        <v>1</v>
      </c>
    </row>
    <row r="101">
      <c r="A101" s="32" t="s">
        <v>307</v>
      </c>
      <c r="B101" s="33" t="s">
        <v>308</v>
      </c>
      <c r="C101" s="34"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88</v>
      </c>
      <c r="B1" s="30" t="s">
        <v>89</v>
      </c>
      <c r="C1" s="31" t="s">
        <v>90</v>
      </c>
      <c r="D1" s="23" t="s">
        <v>91</v>
      </c>
    </row>
    <row r="2">
      <c r="A2" s="32" t="s">
        <v>127</v>
      </c>
      <c r="B2" s="33" t="s">
        <v>128</v>
      </c>
      <c r="C2" s="34" t="s">
        <v>309</v>
      </c>
    </row>
    <row r="3">
      <c r="A3" s="32" t="s">
        <v>202</v>
      </c>
      <c r="B3" s="33" t="s">
        <v>203</v>
      </c>
      <c r="C3" s="34" t="s">
        <v>309</v>
      </c>
    </row>
    <row r="4">
      <c r="A4" s="32" t="s">
        <v>279</v>
      </c>
      <c r="B4" s="33" t="s">
        <v>280</v>
      </c>
      <c r="C4" s="34" t="s">
        <v>309</v>
      </c>
    </row>
    <row r="5">
      <c r="A5" s="32" t="s">
        <v>103</v>
      </c>
      <c r="B5" s="33" t="s">
        <v>104</v>
      </c>
      <c r="C5" s="34" t="s">
        <v>309</v>
      </c>
    </row>
    <row r="6">
      <c r="A6" s="32" t="s">
        <v>185</v>
      </c>
      <c r="B6" s="33" t="s">
        <v>186</v>
      </c>
      <c r="C6" s="34" t="s">
        <v>309</v>
      </c>
    </row>
    <row r="7">
      <c r="A7" s="32" t="s">
        <v>198</v>
      </c>
      <c r="B7" s="33" t="s">
        <v>199</v>
      </c>
      <c r="C7" s="34" t="s">
        <v>309</v>
      </c>
    </row>
    <row r="8">
      <c r="A8" s="32" t="s">
        <v>169</v>
      </c>
      <c r="B8" s="33" t="s">
        <v>170</v>
      </c>
      <c r="C8" s="34" t="s">
        <v>309</v>
      </c>
    </row>
    <row r="9">
      <c r="A9" s="32" t="s">
        <v>133</v>
      </c>
      <c r="B9" s="33" t="s">
        <v>134</v>
      </c>
      <c r="C9" s="34" t="s">
        <v>309</v>
      </c>
    </row>
    <row r="10">
      <c r="A10" s="32" t="s">
        <v>139</v>
      </c>
      <c r="B10" s="33" t="s">
        <v>140</v>
      </c>
      <c r="C10" s="34" t="s">
        <v>309</v>
      </c>
    </row>
    <row r="11">
      <c r="A11" s="32" t="s">
        <v>252</v>
      </c>
      <c r="B11" s="33" t="s">
        <v>253</v>
      </c>
      <c r="C11" s="34" t="s">
        <v>309</v>
      </c>
    </row>
    <row r="12">
      <c r="A12" s="32" t="s">
        <v>96</v>
      </c>
      <c r="B12" s="33" t="s">
        <v>97</v>
      </c>
      <c r="C12" s="34" t="s">
        <v>309</v>
      </c>
    </row>
    <row r="13">
      <c r="A13" s="32" t="s">
        <v>254</v>
      </c>
      <c r="B13" s="33" t="s">
        <v>255</v>
      </c>
      <c r="C13" s="34" t="s">
        <v>309</v>
      </c>
    </row>
    <row r="14">
      <c r="A14" s="32" t="s">
        <v>266</v>
      </c>
      <c r="B14" s="33" t="s">
        <v>267</v>
      </c>
      <c r="C14" s="34" t="s">
        <v>309</v>
      </c>
    </row>
    <row r="15">
      <c r="A15" s="32" t="s">
        <v>246</v>
      </c>
      <c r="B15" s="33" t="s">
        <v>247</v>
      </c>
      <c r="C15" s="34" t="s">
        <v>309</v>
      </c>
    </row>
    <row r="16">
      <c r="A16" s="32" t="s">
        <v>220</v>
      </c>
      <c r="B16" s="33" t="s">
        <v>221</v>
      </c>
      <c r="C16" s="34" t="s">
        <v>309</v>
      </c>
    </row>
    <row r="17">
      <c r="A17" s="32" t="s">
        <v>277</v>
      </c>
      <c r="B17" s="33" t="s">
        <v>278</v>
      </c>
      <c r="C17" s="34" t="s">
        <v>309</v>
      </c>
    </row>
    <row r="18">
      <c r="A18" s="32" t="s">
        <v>230</v>
      </c>
      <c r="B18" s="33" t="s">
        <v>231</v>
      </c>
      <c r="C18" s="34" t="s">
        <v>309</v>
      </c>
    </row>
    <row r="19">
      <c r="A19" s="32" t="s">
        <v>213</v>
      </c>
      <c r="B19" s="33" t="s">
        <v>214</v>
      </c>
      <c r="C19" s="34" t="s">
        <v>309</v>
      </c>
    </row>
    <row r="20">
      <c r="A20" s="32" t="s">
        <v>271</v>
      </c>
      <c r="B20" s="33" t="s">
        <v>272</v>
      </c>
      <c r="C20" s="34" t="s">
        <v>309</v>
      </c>
    </row>
    <row r="21">
      <c r="A21" s="32" t="s">
        <v>258</v>
      </c>
      <c r="B21" s="33" t="s">
        <v>259</v>
      </c>
      <c r="C21" s="34" t="s">
        <v>309</v>
      </c>
    </row>
    <row r="22">
      <c r="A22" s="32" t="s">
        <v>240</v>
      </c>
      <c r="B22" s="33" t="s">
        <v>241</v>
      </c>
      <c r="C22" s="34" t="s">
        <v>309</v>
      </c>
    </row>
    <row r="23">
      <c r="A23" s="32" t="s">
        <v>303</v>
      </c>
      <c r="B23" s="33" t="s">
        <v>304</v>
      </c>
      <c r="C23" s="34" t="s">
        <v>309</v>
      </c>
    </row>
    <row r="24">
      <c r="A24" s="32" t="s">
        <v>155</v>
      </c>
      <c r="B24" s="33" t="s">
        <v>156</v>
      </c>
      <c r="C24" s="34" t="s">
        <v>309</v>
      </c>
    </row>
    <row r="25">
      <c r="A25" s="32" t="s">
        <v>211</v>
      </c>
      <c r="B25" s="33" t="s">
        <v>212</v>
      </c>
      <c r="C25" s="34" t="s">
        <v>309</v>
      </c>
    </row>
    <row r="26">
      <c r="A26" s="32" t="s">
        <v>195</v>
      </c>
      <c r="B26" s="33" t="s">
        <v>196</v>
      </c>
      <c r="C26" s="34" t="s">
        <v>309</v>
      </c>
    </row>
    <row r="27">
      <c r="A27" s="32" t="s">
        <v>160</v>
      </c>
      <c r="B27" s="33" t="s">
        <v>161</v>
      </c>
      <c r="C27" s="34" t="s">
        <v>309</v>
      </c>
    </row>
    <row r="28">
      <c r="A28" s="32" t="s">
        <v>256</v>
      </c>
      <c r="B28" s="33" t="s">
        <v>257</v>
      </c>
      <c r="C28" s="34" t="s">
        <v>309</v>
      </c>
    </row>
    <row r="29">
      <c r="A29" s="32" t="s">
        <v>151</v>
      </c>
      <c r="B29" s="33" t="s">
        <v>152</v>
      </c>
      <c r="C29" s="34" t="s">
        <v>309</v>
      </c>
    </row>
    <row r="30">
      <c r="A30" s="32" t="s">
        <v>238</v>
      </c>
      <c r="B30" s="33" t="s">
        <v>239</v>
      </c>
      <c r="C30" s="34" t="s">
        <v>309</v>
      </c>
    </row>
    <row r="31">
      <c r="A31" s="32" t="s">
        <v>164</v>
      </c>
      <c r="B31" s="33" t="s">
        <v>165</v>
      </c>
      <c r="C31" s="34" t="s">
        <v>309</v>
      </c>
    </row>
    <row r="32">
      <c r="A32" s="32" t="s">
        <v>222</v>
      </c>
      <c r="B32" s="33" t="s">
        <v>223</v>
      </c>
      <c r="C32" s="34" t="s">
        <v>309</v>
      </c>
    </row>
    <row r="33">
      <c r="A33" s="32" t="s">
        <v>262</v>
      </c>
      <c r="B33" s="33" t="s">
        <v>263</v>
      </c>
      <c r="C33" s="34" t="s">
        <v>309</v>
      </c>
    </row>
    <row r="34">
      <c r="A34" s="32" t="s">
        <v>294</v>
      </c>
      <c r="B34" s="33" t="s">
        <v>295</v>
      </c>
      <c r="C34" s="34" t="s">
        <v>309</v>
      </c>
    </row>
    <row r="35">
      <c r="A35" s="32" t="s">
        <v>141</v>
      </c>
      <c r="B35" s="33" t="s">
        <v>142</v>
      </c>
      <c r="C35" s="34" t="s">
        <v>309</v>
      </c>
    </row>
    <row r="36">
      <c r="A36" s="32" t="s">
        <v>171</v>
      </c>
      <c r="B36" s="33" t="s">
        <v>172</v>
      </c>
      <c r="C36" s="34" t="s">
        <v>309</v>
      </c>
    </row>
    <row r="37">
      <c r="A37" s="32" t="s">
        <v>236</v>
      </c>
      <c r="B37" s="33" t="s">
        <v>237</v>
      </c>
      <c r="C37" s="34" t="s">
        <v>309</v>
      </c>
    </row>
    <row r="38">
      <c r="A38" s="32" t="s">
        <v>281</v>
      </c>
      <c r="B38" s="33" t="s">
        <v>282</v>
      </c>
      <c r="C38" s="34" t="s">
        <v>309</v>
      </c>
    </row>
    <row r="39">
      <c r="A39" s="32" t="s">
        <v>193</v>
      </c>
      <c r="B39" s="33" t="s">
        <v>194</v>
      </c>
      <c r="C39" s="34" t="s">
        <v>309</v>
      </c>
    </row>
    <row r="40">
      <c r="A40" s="32" t="s">
        <v>292</v>
      </c>
      <c r="B40" s="33" t="s">
        <v>293</v>
      </c>
      <c r="C40" s="34" t="s">
        <v>309</v>
      </c>
    </row>
    <row r="41">
      <c r="A41" s="32" t="s">
        <v>114</v>
      </c>
      <c r="B41" s="33" t="s">
        <v>115</v>
      </c>
      <c r="C41" s="34" t="s">
        <v>309</v>
      </c>
    </row>
    <row r="42">
      <c r="A42" s="32" t="s">
        <v>250</v>
      </c>
      <c r="B42" s="33" t="s">
        <v>251</v>
      </c>
      <c r="C42" s="34" t="s">
        <v>309</v>
      </c>
    </row>
    <row r="43">
      <c r="A43" s="32" t="s">
        <v>137</v>
      </c>
      <c r="B43" s="33" t="s">
        <v>138</v>
      </c>
      <c r="C43" s="34" t="s">
        <v>309</v>
      </c>
    </row>
    <row r="44">
      <c r="A44" s="32" t="s">
        <v>188</v>
      </c>
      <c r="B44" s="33" t="s">
        <v>189</v>
      </c>
      <c r="C44" s="34" t="s">
        <v>309</v>
      </c>
    </row>
    <row r="45">
      <c r="A45" s="32" t="s">
        <v>101</v>
      </c>
      <c r="B45" s="33" t="s">
        <v>102</v>
      </c>
      <c r="C45" s="34" t="s">
        <v>309</v>
      </c>
    </row>
    <row r="46">
      <c r="A46" s="32" t="s">
        <v>125</v>
      </c>
      <c r="B46" s="33" t="s">
        <v>126</v>
      </c>
      <c r="C46" s="34" t="s">
        <v>309</v>
      </c>
    </row>
    <row r="47">
      <c r="A47" s="32" t="s">
        <v>162</v>
      </c>
      <c r="B47" s="33" t="s">
        <v>163</v>
      </c>
      <c r="C47" s="34" t="s">
        <v>309</v>
      </c>
    </row>
    <row r="48">
      <c r="A48" s="32" t="s">
        <v>129</v>
      </c>
      <c r="B48" s="33" t="s">
        <v>130</v>
      </c>
      <c r="C48" s="34" t="s">
        <v>309</v>
      </c>
    </row>
    <row r="49">
      <c r="A49" s="32" t="s">
        <v>216</v>
      </c>
      <c r="B49" s="33" t="s">
        <v>217</v>
      </c>
      <c r="C49" s="34" t="s">
        <v>309</v>
      </c>
    </row>
    <row r="50">
      <c r="A50" s="32" t="s">
        <v>273</v>
      </c>
      <c r="B50" s="33" t="s">
        <v>274</v>
      </c>
      <c r="C50" s="34" t="s">
        <v>309</v>
      </c>
    </row>
    <row r="51">
      <c r="A51" s="32" t="s">
        <v>206</v>
      </c>
      <c r="B51" s="33" t="s">
        <v>207</v>
      </c>
      <c r="C51" s="34" t="s">
        <v>309</v>
      </c>
    </row>
    <row r="52">
      <c r="A52" s="32" t="s">
        <v>260</v>
      </c>
      <c r="B52" s="33" t="s">
        <v>261</v>
      </c>
      <c r="C52" s="34" t="s">
        <v>309</v>
      </c>
    </row>
    <row r="53">
      <c r="A53" s="32" t="s">
        <v>290</v>
      </c>
      <c r="B53" s="33" t="s">
        <v>291</v>
      </c>
      <c r="C53" s="34" t="s">
        <v>309</v>
      </c>
    </row>
    <row r="54">
      <c r="A54" s="32" t="s">
        <v>106</v>
      </c>
      <c r="B54" s="33" t="s">
        <v>107</v>
      </c>
      <c r="C54" s="34" t="s">
        <v>309</v>
      </c>
    </row>
    <row r="55">
      <c r="A55" s="32" t="s">
        <v>157</v>
      </c>
      <c r="B55" s="33" t="s">
        <v>158</v>
      </c>
      <c r="C55" s="34" t="s">
        <v>309</v>
      </c>
    </row>
    <row r="56">
      <c r="A56" s="32" t="s">
        <v>298</v>
      </c>
      <c r="B56" s="33" t="s">
        <v>299</v>
      </c>
      <c r="C56" s="34" t="s">
        <v>309</v>
      </c>
    </row>
    <row r="57">
      <c r="A57" s="32" t="s">
        <v>131</v>
      </c>
      <c r="B57" s="33" t="s">
        <v>132</v>
      </c>
      <c r="C57" s="34" t="s">
        <v>309</v>
      </c>
    </row>
    <row r="58">
      <c r="A58" s="32" t="s">
        <v>118</v>
      </c>
      <c r="B58" s="33" t="s">
        <v>119</v>
      </c>
      <c r="C58" s="34" t="s">
        <v>309</v>
      </c>
    </row>
    <row r="59">
      <c r="A59" s="32" t="s">
        <v>146</v>
      </c>
      <c r="B59" s="33" t="s">
        <v>147</v>
      </c>
      <c r="C59" s="34" t="s">
        <v>309</v>
      </c>
    </row>
    <row r="60">
      <c r="A60" s="32" t="s">
        <v>232</v>
      </c>
      <c r="B60" s="33" t="s">
        <v>233</v>
      </c>
      <c r="C60" s="34" t="s">
        <v>309</v>
      </c>
    </row>
    <row r="61">
      <c r="A61" s="32" t="s">
        <v>135</v>
      </c>
      <c r="B61" s="33" t="s">
        <v>136</v>
      </c>
      <c r="C61" s="34" t="s">
        <v>309</v>
      </c>
    </row>
    <row r="62">
      <c r="A62" s="32" t="s">
        <v>144</v>
      </c>
      <c r="B62" s="33" t="s">
        <v>145</v>
      </c>
      <c r="C62" s="34" t="s">
        <v>309</v>
      </c>
    </row>
    <row r="63">
      <c r="A63" s="32" t="s">
        <v>166</v>
      </c>
      <c r="B63" s="33" t="s">
        <v>167</v>
      </c>
      <c r="C63" s="34" t="s">
        <v>309</v>
      </c>
    </row>
    <row r="64">
      <c r="A64" s="32" t="s">
        <v>224</v>
      </c>
      <c r="B64" s="33" t="s">
        <v>225</v>
      </c>
      <c r="C64" s="34" t="s">
        <v>309</v>
      </c>
    </row>
    <row r="65">
      <c r="A65" s="32" t="s">
        <v>191</v>
      </c>
      <c r="B65" s="33" t="s">
        <v>192</v>
      </c>
      <c r="C65" s="34" t="s">
        <v>309</v>
      </c>
    </row>
    <row r="66">
      <c r="A66" s="32" t="s">
        <v>181</v>
      </c>
      <c r="B66" s="33" t="s">
        <v>182</v>
      </c>
      <c r="C66" s="34" t="s">
        <v>309</v>
      </c>
    </row>
    <row r="67">
      <c r="A67" s="32" t="s">
        <v>98</v>
      </c>
      <c r="B67" s="33" t="s">
        <v>99</v>
      </c>
      <c r="C67" s="34" t="s">
        <v>309</v>
      </c>
    </row>
    <row r="68">
      <c r="A68" s="32" t="s">
        <v>285</v>
      </c>
      <c r="B68" s="33" t="s">
        <v>286</v>
      </c>
      <c r="C68" s="34" t="s">
        <v>309</v>
      </c>
    </row>
    <row r="69">
      <c r="A69" s="32" t="s">
        <v>149</v>
      </c>
      <c r="B69" s="33" t="s">
        <v>150</v>
      </c>
      <c r="C69" s="34" t="s">
        <v>309</v>
      </c>
    </row>
    <row r="70">
      <c r="A70" s="32" t="s">
        <v>116</v>
      </c>
      <c r="B70" s="33" t="s">
        <v>117</v>
      </c>
      <c r="C70" s="34" t="s">
        <v>309</v>
      </c>
    </row>
    <row r="71">
      <c r="A71" s="32" t="s">
        <v>244</v>
      </c>
      <c r="B71" s="33" t="s">
        <v>245</v>
      </c>
      <c r="C71" s="34" t="s">
        <v>309</v>
      </c>
    </row>
    <row r="72">
      <c r="A72" s="32" t="s">
        <v>275</v>
      </c>
      <c r="B72" s="33" t="s">
        <v>276</v>
      </c>
      <c r="C72" s="34" t="s">
        <v>309</v>
      </c>
    </row>
    <row r="73">
      <c r="A73" s="32" t="s">
        <v>120</v>
      </c>
      <c r="B73" s="33" t="s">
        <v>121</v>
      </c>
      <c r="C73" s="34" t="s">
        <v>309</v>
      </c>
    </row>
    <row r="74">
      <c r="A74" s="32" t="s">
        <v>110</v>
      </c>
      <c r="B74" s="33" t="s">
        <v>111</v>
      </c>
      <c r="C74" s="34" t="s">
        <v>309</v>
      </c>
    </row>
    <row r="75">
      <c r="A75" s="32" t="s">
        <v>209</v>
      </c>
      <c r="B75" s="33" t="s">
        <v>210</v>
      </c>
      <c r="C75" s="34" t="s">
        <v>309</v>
      </c>
    </row>
    <row r="76">
      <c r="A76" s="32" t="s">
        <v>226</v>
      </c>
      <c r="B76" s="33" t="s">
        <v>227</v>
      </c>
      <c r="C76" s="34" t="s">
        <v>309</v>
      </c>
    </row>
    <row r="77">
      <c r="A77" s="32" t="s">
        <v>174</v>
      </c>
      <c r="B77" s="33" t="s">
        <v>175</v>
      </c>
      <c r="C77" s="34" t="s">
        <v>309</v>
      </c>
    </row>
    <row r="78">
      <c r="A78" s="32" t="s">
        <v>200</v>
      </c>
      <c r="B78" s="33" t="s">
        <v>201</v>
      </c>
      <c r="C78" s="34" t="s">
        <v>309</v>
      </c>
    </row>
    <row r="79">
      <c r="A79" s="32" t="s">
        <v>264</v>
      </c>
      <c r="B79" s="33" t="s">
        <v>265</v>
      </c>
      <c r="C79" s="34" t="s">
        <v>309</v>
      </c>
    </row>
    <row r="80">
      <c r="A80" s="32" t="s">
        <v>269</v>
      </c>
      <c r="B80" s="33" t="s">
        <v>270</v>
      </c>
      <c r="C80" s="34" t="s">
        <v>309</v>
      </c>
    </row>
    <row r="81">
      <c r="A81" s="32" t="s">
        <v>183</v>
      </c>
      <c r="B81" s="33" t="s">
        <v>184</v>
      </c>
      <c r="C81" s="34" t="s">
        <v>309</v>
      </c>
    </row>
    <row r="82">
      <c r="A82" s="32" t="s">
        <v>288</v>
      </c>
      <c r="B82" s="33" t="s">
        <v>289</v>
      </c>
      <c r="C82" s="34" t="s">
        <v>309</v>
      </c>
    </row>
    <row r="83">
      <c r="A83" s="32" t="s">
        <v>94</v>
      </c>
      <c r="B83" s="33" t="s">
        <v>95</v>
      </c>
      <c r="C83" s="34" t="s">
        <v>309</v>
      </c>
    </row>
    <row r="84">
      <c r="A84" s="32" t="s">
        <v>108</v>
      </c>
      <c r="B84" s="33" t="s">
        <v>109</v>
      </c>
      <c r="C84" s="34" t="s">
        <v>309</v>
      </c>
    </row>
    <row r="85">
      <c r="A85" s="32" t="s">
        <v>248</v>
      </c>
      <c r="B85" s="33" t="s">
        <v>249</v>
      </c>
      <c r="C85" s="34" t="s">
        <v>309</v>
      </c>
    </row>
    <row r="86">
      <c r="A86" s="32" t="s">
        <v>153</v>
      </c>
      <c r="B86" s="33" t="s">
        <v>154</v>
      </c>
      <c r="C86" s="34" t="s">
        <v>309</v>
      </c>
    </row>
    <row r="87">
      <c r="A87" s="32" t="s">
        <v>242</v>
      </c>
      <c r="B87" s="33" t="s">
        <v>243</v>
      </c>
      <c r="C87" s="34" t="s">
        <v>309</v>
      </c>
    </row>
    <row r="88">
      <c r="A88" s="32" t="s">
        <v>176</v>
      </c>
      <c r="B88" s="33" t="s">
        <v>177</v>
      </c>
      <c r="C88" s="34" t="s">
        <v>309</v>
      </c>
    </row>
    <row r="89">
      <c r="A89" s="32" t="s">
        <v>296</v>
      </c>
      <c r="B89" s="33" t="s">
        <v>297</v>
      </c>
      <c r="C89" s="34" t="s">
        <v>309</v>
      </c>
    </row>
    <row r="90">
      <c r="A90" s="32" t="s">
        <v>234</v>
      </c>
      <c r="B90" s="33" t="s">
        <v>235</v>
      </c>
      <c r="C90" s="34" t="s">
        <v>309</v>
      </c>
    </row>
    <row r="91">
      <c r="A91" s="32" t="s">
        <v>305</v>
      </c>
      <c r="B91" s="33" t="s">
        <v>306</v>
      </c>
      <c r="C91" s="34" t="s">
        <v>309</v>
      </c>
    </row>
    <row r="92">
      <c r="A92" s="32" t="s">
        <v>92</v>
      </c>
      <c r="B92" s="33" t="s">
        <v>93</v>
      </c>
      <c r="C92" s="34" t="s">
        <v>309</v>
      </c>
    </row>
    <row r="93">
      <c r="A93" s="32" t="s">
        <v>204</v>
      </c>
      <c r="B93" s="33" t="s">
        <v>205</v>
      </c>
      <c r="C93" s="34" t="s">
        <v>309</v>
      </c>
    </row>
    <row r="94">
      <c r="A94" s="32" t="s">
        <v>228</v>
      </c>
      <c r="B94" s="33" t="s">
        <v>229</v>
      </c>
      <c r="C94" s="34" t="s">
        <v>309</v>
      </c>
    </row>
    <row r="95">
      <c r="A95" s="32" t="s">
        <v>179</v>
      </c>
      <c r="B95" s="33" t="s">
        <v>180</v>
      </c>
      <c r="C95" s="34" t="s">
        <v>309</v>
      </c>
    </row>
    <row r="96">
      <c r="A96" s="32" t="s">
        <v>307</v>
      </c>
      <c r="B96" s="33" t="s">
        <v>308</v>
      </c>
      <c r="C96" s="34" t="s">
        <v>309</v>
      </c>
    </row>
    <row r="97">
      <c r="A97" s="32" t="s">
        <v>283</v>
      </c>
      <c r="B97" s="33" t="s">
        <v>284</v>
      </c>
      <c r="C97" s="34" t="s">
        <v>309</v>
      </c>
    </row>
    <row r="98">
      <c r="A98" s="32" t="s">
        <v>112</v>
      </c>
      <c r="B98" s="33" t="s">
        <v>113</v>
      </c>
      <c r="C98" s="34" t="s">
        <v>309</v>
      </c>
    </row>
    <row r="99">
      <c r="A99" s="32" t="s">
        <v>218</v>
      </c>
      <c r="B99" s="33" t="s">
        <v>219</v>
      </c>
      <c r="C99" s="34" t="s">
        <v>309</v>
      </c>
    </row>
    <row r="100">
      <c r="A100" s="32" t="s">
        <v>122</v>
      </c>
      <c r="B100" s="33" t="s">
        <v>123</v>
      </c>
      <c r="C100" s="34" t="s">
        <v>309</v>
      </c>
    </row>
    <row r="101">
      <c r="A101" s="32" t="s">
        <v>301</v>
      </c>
      <c r="B101" s="33" t="s">
        <v>302</v>
      </c>
      <c r="C101" s="34" t="s">
        <v>309</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88</v>
      </c>
      <c r="B1" s="30" t="s">
        <v>89</v>
      </c>
      <c r="C1" s="31" t="s">
        <v>90</v>
      </c>
      <c r="D1" s="23" t="s">
        <v>91</v>
      </c>
    </row>
    <row r="2">
      <c r="A2" s="32" t="s">
        <v>273</v>
      </c>
      <c r="B2" s="33" t="s">
        <v>274</v>
      </c>
      <c r="C2" s="34" t="s">
        <v>309</v>
      </c>
    </row>
    <row r="3">
      <c r="A3" s="32" t="s">
        <v>234</v>
      </c>
      <c r="B3" s="33" t="s">
        <v>235</v>
      </c>
      <c r="C3" s="34" t="s">
        <v>309</v>
      </c>
    </row>
    <row r="4">
      <c r="A4" s="32" t="s">
        <v>166</v>
      </c>
      <c r="B4" s="33" t="s">
        <v>167</v>
      </c>
      <c r="C4" s="34" t="s">
        <v>309</v>
      </c>
    </row>
    <row r="5">
      <c r="A5" s="32" t="s">
        <v>179</v>
      </c>
      <c r="B5" s="33" t="s">
        <v>180</v>
      </c>
      <c r="C5" s="34" t="s">
        <v>309</v>
      </c>
    </row>
    <row r="6">
      <c r="A6" s="32" t="s">
        <v>135</v>
      </c>
      <c r="B6" s="33" t="s">
        <v>136</v>
      </c>
      <c r="C6" s="34" t="s">
        <v>309</v>
      </c>
    </row>
    <row r="7">
      <c r="A7" s="32" t="s">
        <v>149</v>
      </c>
      <c r="B7" s="33" t="s">
        <v>150</v>
      </c>
      <c r="C7" s="34" t="s">
        <v>309</v>
      </c>
    </row>
    <row r="8">
      <c r="A8" s="32" t="s">
        <v>269</v>
      </c>
      <c r="B8" s="33" t="s">
        <v>270</v>
      </c>
      <c r="C8" s="34" t="s">
        <v>309</v>
      </c>
    </row>
    <row r="9">
      <c r="A9" s="32" t="s">
        <v>110</v>
      </c>
      <c r="B9" s="33" t="s">
        <v>111</v>
      </c>
      <c r="C9" s="34" t="s">
        <v>309</v>
      </c>
    </row>
    <row r="10">
      <c r="A10" s="32" t="s">
        <v>157</v>
      </c>
      <c r="B10" s="33" t="s">
        <v>158</v>
      </c>
      <c r="C10" s="34" t="s">
        <v>309</v>
      </c>
    </row>
    <row r="11">
      <c r="A11" s="32" t="s">
        <v>281</v>
      </c>
      <c r="B11" s="33" t="s">
        <v>282</v>
      </c>
      <c r="C11" s="34" t="s">
        <v>309</v>
      </c>
    </row>
    <row r="12">
      <c r="A12" s="32" t="s">
        <v>106</v>
      </c>
      <c r="B12" s="33" t="s">
        <v>107</v>
      </c>
      <c r="C12" s="34" t="s">
        <v>309</v>
      </c>
    </row>
    <row r="13">
      <c r="A13" s="32" t="s">
        <v>279</v>
      </c>
      <c r="B13" s="33" t="s">
        <v>280</v>
      </c>
      <c r="C13" s="34" t="s">
        <v>309</v>
      </c>
    </row>
    <row r="14">
      <c r="A14" s="32" t="s">
        <v>133</v>
      </c>
      <c r="B14" s="33" t="s">
        <v>134</v>
      </c>
      <c r="C14" s="34" t="s">
        <v>309</v>
      </c>
    </row>
    <row r="15">
      <c r="A15" s="32" t="s">
        <v>238</v>
      </c>
      <c r="B15" s="33" t="s">
        <v>239</v>
      </c>
      <c r="C15" s="34" t="s">
        <v>309</v>
      </c>
    </row>
    <row r="16">
      <c r="A16" s="32" t="s">
        <v>216</v>
      </c>
      <c r="B16" s="33" t="s">
        <v>217</v>
      </c>
      <c r="C16" s="34" t="s">
        <v>309</v>
      </c>
    </row>
    <row r="17">
      <c r="A17" s="32" t="s">
        <v>120</v>
      </c>
      <c r="B17" s="33" t="s">
        <v>121</v>
      </c>
      <c r="C17" s="34" t="s">
        <v>309</v>
      </c>
    </row>
    <row r="18">
      <c r="A18" s="32" t="s">
        <v>250</v>
      </c>
      <c r="B18" s="33" t="s">
        <v>251</v>
      </c>
      <c r="C18" s="34" t="s">
        <v>309</v>
      </c>
    </row>
    <row r="19">
      <c r="A19" s="32" t="s">
        <v>213</v>
      </c>
      <c r="B19" s="33" t="s">
        <v>214</v>
      </c>
      <c r="C19" s="34" t="s">
        <v>309</v>
      </c>
    </row>
    <row r="20">
      <c r="A20" s="32" t="s">
        <v>200</v>
      </c>
      <c r="B20" s="33" t="s">
        <v>201</v>
      </c>
      <c r="C20" s="34" t="s">
        <v>309</v>
      </c>
    </row>
    <row r="21">
      <c r="A21" s="32" t="s">
        <v>303</v>
      </c>
      <c r="B21" s="33" t="s">
        <v>304</v>
      </c>
      <c r="C21" s="34" t="s">
        <v>309</v>
      </c>
    </row>
    <row r="22">
      <c r="A22" s="32" t="s">
        <v>220</v>
      </c>
      <c r="B22" s="33" t="s">
        <v>221</v>
      </c>
      <c r="C22" s="34" t="s">
        <v>309</v>
      </c>
    </row>
    <row r="23">
      <c r="A23" s="32" t="s">
        <v>285</v>
      </c>
      <c r="B23" s="33" t="s">
        <v>286</v>
      </c>
      <c r="C23" s="34" t="s">
        <v>309</v>
      </c>
    </row>
    <row r="24">
      <c r="A24" s="32" t="s">
        <v>242</v>
      </c>
      <c r="B24" s="33" t="s">
        <v>243</v>
      </c>
      <c r="C24" s="34" t="s">
        <v>309</v>
      </c>
    </row>
    <row r="25">
      <c r="A25" s="32" t="s">
        <v>171</v>
      </c>
      <c r="B25" s="33" t="s">
        <v>172</v>
      </c>
      <c r="C25" s="34" t="s">
        <v>309</v>
      </c>
    </row>
    <row r="26">
      <c r="A26" s="32" t="s">
        <v>188</v>
      </c>
      <c r="B26" s="33" t="s">
        <v>189</v>
      </c>
      <c r="C26" s="34" t="s">
        <v>309</v>
      </c>
    </row>
    <row r="27">
      <c r="A27" s="32" t="s">
        <v>139</v>
      </c>
      <c r="B27" s="33" t="s">
        <v>140</v>
      </c>
      <c r="C27" s="34" t="s">
        <v>309</v>
      </c>
    </row>
    <row r="28">
      <c r="A28" s="32" t="s">
        <v>108</v>
      </c>
      <c r="B28" s="33" t="s">
        <v>109</v>
      </c>
      <c r="C28" s="34" t="s">
        <v>309</v>
      </c>
    </row>
    <row r="29">
      <c r="A29" s="32" t="s">
        <v>248</v>
      </c>
      <c r="B29" s="33" t="s">
        <v>249</v>
      </c>
      <c r="C29" s="34" t="s">
        <v>309</v>
      </c>
    </row>
    <row r="30">
      <c r="A30" s="32" t="s">
        <v>127</v>
      </c>
      <c r="B30" s="33" t="s">
        <v>128</v>
      </c>
      <c r="C30" s="34" t="s">
        <v>309</v>
      </c>
    </row>
    <row r="31">
      <c r="A31" s="32" t="s">
        <v>204</v>
      </c>
      <c r="B31" s="33" t="s">
        <v>205</v>
      </c>
      <c r="C31" s="34" t="s">
        <v>309</v>
      </c>
    </row>
    <row r="32">
      <c r="A32" s="32" t="s">
        <v>112</v>
      </c>
      <c r="B32" s="33" t="s">
        <v>113</v>
      </c>
      <c r="C32" s="34" t="s">
        <v>309</v>
      </c>
    </row>
    <row r="33">
      <c r="A33" s="32" t="s">
        <v>252</v>
      </c>
      <c r="B33" s="33" t="s">
        <v>253</v>
      </c>
      <c r="C33" s="34" t="s">
        <v>309</v>
      </c>
    </row>
    <row r="34">
      <c r="A34" s="32" t="s">
        <v>305</v>
      </c>
      <c r="B34" s="33" t="s">
        <v>306</v>
      </c>
      <c r="C34" s="34" t="s">
        <v>309</v>
      </c>
    </row>
    <row r="35">
      <c r="A35" s="32" t="s">
        <v>296</v>
      </c>
      <c r="B35" s="33" t="s">
        <v>297</v>
      </c>
      <c r="C35" s="34" t="s">
        <v>309</v>
      </c>
    </row>
    <row r="36">
      <c r="A36" s="32" t="s">
        <v>262</v>
      </c>
      <c r="B36" s="33" t="s">
        <v>263</v>
      </c>
      <c r="C36" s="34" t="s">
        <v>309</v>
      </c>
    </row>
    <row r="37">
      <c r="A37" s="32" t="s">
        <v>271</v>
      </c>
      <c r="B37" s="33" t="s">
        <v>272</v>
      </c>
      <c r="C37" s="34" t="s">
        <v>309</v>
      </c>
    </row>
    <row r="38">
      <c r="A38" s="32" t="s">
        <v>301</v>
      </c>
      <c r="B38" s="33" t="s">
        <v>302</v>
      </c>
      <c r="C38" s="34" t="s">
        <v>309</v>
      </c>
    </row>
    <row r="39">
      <c r="A39" s="32" t="s">
        <v>283</v>
      </c>
      <c r="B39" s="33" t="s">
        <v>284</v>
      </c>
      <c r="C39" s="34" t="s">
        <v>309</v>
      </c>
    </row>
    <row r="40">
      <c r="A40" s="32" t="s">
        <v>218</v>
      </c>
      <c r="B40" s="33" t="s">
        <v>219</v>
      </c>
      <c r="C40" s="34" t="s">
        <v>309</v>
      </c>
    </row>
    <row r="41">
      <c r="A41" s="32" t="s">
        <v>191</v>
      </c>
      <c r="B41" s="33" t="s">
        <v>192</v>
      </c>
      <c r="C41" s="34" t="s">
        <v>309</v>
      </c>
    </row>
    <row r="42">
      <c r="A42" s="32" t="s">
        <v>298</v>
      </c>
      <c r="B42" s="33" t="s">
        <v>299</v>
      </c>
      <c r="C42" s="34" t="s">
        <v>309</v>
      </c>
    </row>
    <row r="43">
      <c r="A43" s="32" t="s">
        <v>169</v>
      </c>
      <c r="B43" s="33" t="s">
        <v>170</v>
      </c>
      <c r="C43" s="34" t="s">
        <v>309</v>
      </c>
    </row>
    <row r="44">
      <c r="A44" s="32" t="s">
        <v>230</v>
      </c>
      <c r="B44" s="33" t="s">
        <v>231</v>
      </c>
      <c r="C44" s="34" t="s">
        <v>309</v>
      </c>
    </row>
    <row r="45">
      <c r="A45" s="32" t="s">
        <v>288</v>
      </c>
      <c r="B45" s="33" t="s">
        <v>289</v>
      </c>
      <c r="C45" s="34" t="s">
        <v>309</v>
      </c>
    </row>
    <row r="46">
      <c r="A46" s="32" t="s">
        <v>193</v>
      </c>
      <c r="B46" s="33" t="s">
        <v>194</v>
      </c>
      <c r="C46" s="34" t="s">
        <v>309</v>
      </c>
    </row>
    <row r="47">
      <c r="A47" s="32" t="s">
        <v>292</v>
      </c>
      <c r="B47" s="33" t="s">
        <v>293</v>
      </c>
      <c r="C47" s="34" t="s">
        <v>309</v>
      </c>
    </row>
    <row r="48">
      <c r="A48" s="32" t="s">
        <v>202</v>
      </c>
      <c r="B48" s="33" t="s">
        <v>203</v>
      </c>
      <c r="C48" s="34" t="s">
        <v>309</v>
      </c>
    </row>
    <row r="49">
      <c r="A49" s="32" t="s">
        <v>211</v>
      </c>
      <c r="B49" s="33" t="s">
        <v>212</v>
      </c>
      <c r="C49" s="34" t="s">
        <v>309</v>
      </c>
    </row>
    <row r="50">
      <c r="A50" s="32" t="s">
        <v>96</v>
      </c>
      <c r="B50" s="33" t="s">
        <v>97</v>
      </c>
      <c r="C50" s="34" t="s">
        <v>309</v>
      </c>
    </row>
    <row r="51">
      <c r="A51" s="32" t="s">
        <v>244</v>
      </c>
      <c r="B51" s="33" t="s">
        <v>245</v>
      </c>
      <c r="C51" s="34" t="s">
        <v>309</v>
      </c>
    </row>
    <row r="52">
      <c r="A52" s="32" t="s">
        <v>141</v>
      </c>
      <c r="B52" s="33" t="s">
        <v>142</v>
      </c>
      <c r="C52" s="34" t="s">
        <v>309</v>
      </c>
    </row>
    <row r="53">
      <c r="A53" s="32" t="s">
        <v>92</v>
      </c>
      <c r="B53" s="33" t="s">
        <v>93</v>
      </c>
      <c r="C53" s="34" t="s">
        <v>309</v>
      </c>
    </row>
    <row r="54">
      <c r="A54" s="32" t="s">
        <v>122</v>
      </c>
      <c r="B54" s="33" t="s">
        <v>123</v>
      </c>
      <c r="C54" s="34" t="s">
        <v>309</v>
      </c>
    </row>
    <row r="55">
      <c r="A55" s="32" t="s">
        <v>131</v>
      </c>
      <c r="B55" s="33" t="s">
        <v>132</v>
      </c>
      <c r="C55" s="34" t="s">
        <v>309</v>
      </c>
    </row>
    <row r="56">
      <c r="A56" s="32" t="s">
        <v>162</v>
      </c>
      <c r="B56" s="33" t="s">
        <v>163</v>
      </c>
      <c r="C56" s="34" t="s">
        <v>309</v>
      </c>
    </row>
    <row r="57">
      <c r="A57" s="32" t="s">
        <v>260</v>
      </c>
      <c r="B57" s="33" t="s">
        <v>261</v>
      </c>
      <c r="C57" s="34" t="s">
        <v>309</v>
      </c>
    </row>
    <row r="58">
      <c r="A58" s="32" t="s">
        <v>209</v>
      </c>
      <c r="B58" s="33" t="s">
        <v>210</v>
      </c>
      <c r="C58" s="34" t="s">
        <v>309</v>
      </c>
    </row>
    <row r="59">
      <c r="A59" s="32" t="s">
        <v>277</v>
      </c>
      <c r="B59" s="33" t="s">
        <v>278</v>
      </c>
      <c r="C59" s="34" t="s">
        <v>309</v>
      </c>
    </row>
    <row r="60">
      <c r="A60" s="32" t="s">
        <v>129</v>
      </c>
      <c r="B60" s="33" t="s">
        <v>130</v>
      </c>
      <c r="C60" s="34" t="s">
        <v>309</v>
      </c>
    </row>
    <row r="61">
      <c r="A61" s="32" t="s">
        <v>224</v>
      </c>
      <c r="B61" s="33" t="s">
        <v>225</v>
      </c>
      <c r="C61" s="34" t="s">
        <v>309</v>
      </c>
    </row>
    <row r="62">
      <c r="A62" s="32" t="s">
        <v>275</v>
      </c>
      <c r="B62" s="33" t="s">
        <v>276</v>
      </c>
      <c r="C62" s="34" t="s">
        <v>309</v>
      </c>
    </row>
    <row r="63">
      <c r="A63" s="32" t="s">
        <v>185</v>
      </c>
      <c r="B63" s="33" t="s">
        <v>186</v>
      </c>
      <c r="C63" s="34" t="s">
        <v>309</v>
      </c>
    </row>
    <row r="64">
      <c r="A64" s="32" t="s">
        <v>174</v>
      </c>
      <c r="B64" s="33" t="s">
        <v>175</v>
      </c>
      <c r="C64" s="34" t="s">
        <v>309</v>
      </c>
    </row>
    <row r="65">
      <c r="A65" s="32" t="s">
        <v>153</v>
      </c>
      <c r="B65" s="33" t="s">
        <v>154</v>
      </c>
      <c r="C65" s="34" t="s">
        <v>309</v>
      </c>
    </row>
    <row r="66">
      <c r="A66" s="32" t="s">
        <v>94</v>
      </c>
      <c r="B66" s="33" t="s">
        <v>95</v>
      </c>
      <c r="C66" s="34" t="s">
        <v>309</v>
      </c>
    </row>
    <row r="67">
      <c r="A67" s="32" t="s">
        <v>290</v>
      </c>
      <c r="B67" s="33" t="s">
        <v>291</v>
      </c>
      <c r="C67" s="34" t="s">
        <v>309</v>
      </c>
    </row>
    <row r="68">
      <c r="A68" s="32" t="s">
        <v>264</v>
      </c>
      <c r="B68" s="33" t="s">
        <v>265</v>
      </c>
      <c r="C68" s="34" t="s">
        <v>309</v>
      </c>
    </row>
    <row r="69">
      <c r="A69" s="32" t="s">
        <v>116</v>
      </c>
      <c r="B69" s="33" t="s">
        <v>117</v>
      </c>
      <c r="C69" s="34" t="s">
        <v>309</v>
      </c>
    </row>
    <row r="70">
      <c r="A70" s="32" t="s">
        <v>160</v>
      </c>
      <c r="B70" s="33" t="s">
        <v>161</v>
      </c>
      <c r="C70" s="34" t="s">
        <v>309</v>
      </c>
    </row>
    <row r="71">
      <c r="A71" s="32" t="s">
        <v>222</v>
      </c>
      <c r="B71" s="33" t="s">
        <v>223</v>
      </c>
      <c r="C71" s="34" t="s">
        <v>309</v>
      </c>
    </row>
    <row r="72">
      <c r="A72" s="32" t="s">
        <v>101</v>
      </c>
      <c r="B72" s="33" t="s">
        <v>102</v>
      </c>
      <c r="C72" s="34" t="s">
        <v>309</v>
      </c>
    </row>
    <row r="73">
      <c r="A73" s="32" t="s">
        <v>151</v>
      </c>
      <c r="B73" s="33" t="s">
        <v>152</v>
      </c>
      <c r="C73" s="34" t="s">
        <v>309</v>
      </c>
    </row>
    <row r="74">
      <c r="A74" s="32" t="s">
        <v>98</v>
      </c>
      <c r="B74" s="33" t="s">
        <v>99</v>
      </c>
      <c r="C74" s="34" t="s">
        <v>309</v>
      </c>
    </row>
    <row r="75">
      <c r="A75" s="32" t="s">
        <v>232</v>
      </c>
      <c r="B75" s="33" t="s">
        <v>233</v>
      </c>
      <c r="C75" s="34" t="s">
        <v>309</v>
      </c>
    </row>
    <row r="76">
      <c r="A76" s="32" t="s">
        <v>176</v>
      </c>
      <c r="B76" s="33" t="s">
        <v>177</v>
      </c>
      <c r="C76" s="34" t="s">
        <v>309</v>
      </c>
    </row>
    <row r="77">
      <c r="A77" s="32" t="s">
        <v>144</v>
      </c>
      <c r="B77" s="33" t="s">
        <v>145</v>
      </c>
      <c r="C77" s="34" t="s">
        <v>309</v>
      </c>
    </row>
    <row r="78">
      <c r="A78" s="32" t="s">
        <v>164</v>
      </c>
      <c r="B78" s="33" t="s">
        <v>165</v>
      </c>
      <c r="C78" s="34" t="s">
        <v>309</v>
      </c>
    </row>
    <row r="79">
      <c r="A79" s="32" t="s">
        <v>258</v>
      </c>
      <c r="B79" s="33" t="s">
        <v>259</v>
      </c>
      <c r="C79" s="34" t="s">
        <v>309</v>
      </c>
    </row>
    <row r="80">
      <c r="A80" s="32" t="s">
        <v>266</v>
      </c>
      <c r="B80" s="33" t="s">
        <v>267</v>
      </c>
      <c r="C80" s="34" t="s">
        <v>309</v>
      </c>
    </row>
    <row r="81">
      <c r="A81" s="32" t="s">
        <v>226</v>
      </c>
      <c r="B81" s="33" t="s">
        <v>227</v>
      </c>
      <c r="C81" s="34" t="s">
        <v>309</v>
      </c>
    </row>
    <row r="82">
      <c r="A82" s="32" t="s">
        <v>294</v>
      </c>
      <c r="B82" s="33" t="s">
        <v>295</v>
      </c>
      <c r="C82" s="34" t="s">
        <v>309</v>
      </c>
    </row>
    <row r="83">
      <c r="A83" s="32" t="s">
        <v>228</v>
      </c>
      <c r="B83" s="33" t="s">
        <v>229</v>
      </c>
      <c r="C83" s="34" t="s">
        <v>309</v>
      </c>
    </row>
    <row r="84">
      <c r="A84" s="32" t="s">
        <v>125</v>
      </c>
      <c r="B84" s="33" t="s">
        <v>126</v>
      </c>
      <c r="C84" s="34" t="s">
        <v>309</v>
      </c>
    </row>
    <row r="85">
      <c r="A85" s="32" t="s">
        <v>240</v>
      </c>
      <c r="B85" s="33" t="s">
        <v>241</v>
      </c>
      <c r="C85" s="34" t="s">
        <v>309</v>
      </c>
    </row>
    <row r="86">
      <c r="A86" s="32" t="s">
        <v>206</v>
      </c>
      <c r="B86" s="33" t="s">
        <v>207</v>
      </c>
      <c r="C86" s="34" t="s">
        <v>309</v>
      </c>
    </row>
    <row r="87">
      <c r="A87" s="32" t="s">
        <v>236</v>
      </c>
      <c r="B87" s="33" t="s">
        <v>237</v>
      </c>
      <c r="C87" s="34" t="s">
        <v>309</v>
      </c>
    </row>
    <row r="88">
      <c r="A88" s="32" t="s">
        <v>181</v>
      </c>
      <c r="B88" s="33" t="s">
        <v>182</v>
      </c>
      <c r="C88" s="34" t="s">
        <v>309</v>
      </c>
    </row>
    <row r="89">
      <c r="A89" s="32" t="s">
        <v>183</v>
      </c>
      <c r="B89" s="33" t="s">
        <v>184</v>
      </c>
      <c r="C89" s="34" t="s">
        <v>309</v>
      </c>
    </row>
    <row r="90">
      <c r="A90" s="32" t="s">
        <v>146</v>
      </c>
      <c r="B90" s="33" t="s">
        <v>147</v>
      </c>
      <c r="C90" s="34" t="s">
        <v>309</v>
      </c>
    </row>
    <row r="91">
      <c r="A91" s="32" t="s">
        <v>246</v>
      </c>
      <c r="B91" s="33" t="s">
        <v>247</v>
      </c>
      <c r="C91" s="34" t="s">
        <v>309</v>
      </c>
    </row>
    <row r="92">
      <c r="A92" s="32" t="s">
        <v>155</v>
      </c>
      <c r="B92" s="33" t="s">
        <v>156</v>
      </c>
      <c r="C92" s="34" t="s">
        <v>309</v>
      </c>
    </row>
    <row r="93">
      <c r="A93" s="32" t="s">
        <v>118</v>
      </c>
      <c r="B93" s="33" t="s">
        <v>119</v>
      </c>
      <c r="C93" s="34" t="s">
        <v>309</v>
      </c>
    </row>
    <row r="94">
      <c r="A94" s="32" t="s">
        <v>307</v>
      </c>
      <c r="B94" s="33" t="s">
        <v>308</v>
      </c>
      <c r="C94" s="34" t="s">
        <v>309</v>
      </c>
    </row>
    <row r="95">
      <c r="A95" s="32" t="s">
        <v>137</v>
      </c>
      <c r="B95" s="33" t="s">
        <v>138</v>
      </c>
      <c r="C95" s="34" t="s">
        <v>309</v>
      </c>
    </row>
    <row r="96">
      <c r="A96" s="32" t="s">
        <v>198</v>
      </c>
      <c r="B96" s="33" t="s">
        <v>199</v>
      </c>
      <c r="C96" s="34" t="s">
        <v>309</v>
      </c>
    </row>
    <row r="97">
      <c r="A97" s="32" t="s">
        <v>103</v>
      </c>
      <c r="B97" s="33" t="s">
        <v>104</v>
      </c>
      <c r="C97" s="34" t="s">
        <v>309</v>
      </c>
    </row>
    <row r="98">
      <c r="A98" s="32" t="s">
        <v>256</v>
      </c>
      <c r="B98" s="33" t="s">
        <v>257</v>
      </c>
      <c r="C98" s="34" t="s">
        <v>309</v>
      </c>
    </row>
    <row r="99">
      <c r="A99" s="32" t="s">
        <v>254</v>
      </c>
      <c r="B99" s="33" t="s">
        <v>255</v>
      </c>
      <c r="C99" s="34" t="s">
        <v>309</v>
      </c>
    </row>
    <row r="100">
      <c r="A100" s="32" t="s">
        <v>195</v>
      </c>
      <c r="B100" s="33" t="s">
        <v>196</v>
      </c>
      <c r="C100" s="34" t="s">
        <v>309</v>
      </c>
    </row>
    <row r="101">
      <c r="A101" s="32" t="s">
        <v>114</v>
      </c>
      <c r="B101" s="33" t="s">
        <v>115</v>
      </c>
      <c r="C101" s="34" t="s">
        <v>309</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0.38"/>
    <col customWidth="1" min="2" max="2" width="92.0"/>
    <col customWidth="1" min="3" max="4" width="19.75"/>
  </cols>
  <sheetData>
    <row r="1">
      <c r="A1" s="29" t="s">
        <v>88</v>
      </c>
      <c r="B1" s="30" t="s">
        <v>89</v>
      </c>
      <c r="C1" s="31" t="s">
        <v>90</v>
      </c>
      <c r="D1" s="23" t="s">
        <v>91</v>
      </c>
    </row>
    <row r="2">
      <c r="A2" s="32" t="s">
        <v>220</v>
      </c>
      <c r="B2" s="33" t="s">
        <v>221</v>
      </c>
      <c r="C2" s="34" t="b">
        <v>1</v>
      </c>
    </row>
    <row r="3">
      <c r="A3" s="32" t="s">
        <v>294</v>
      </c>
      <c r="B3" s="33" t="s">
        <v>295</v>
      </c>
      <c r="C3" s="34" t="b">
        <v>0</v>
      </c>
    </row>
    <row r="4">
      <c r="A4" s="32" t="s">
        <v>307</v>
      </c>
      <c r="B4" s="33" t="s">
        <v>308</v>
      </c>
      <c r="C4" s="34" t="b">
        <v>0</v>
      </c>
    </row>
    <row r="5">
      <c r="A5" s="32" t="s">
        <v>118</v>
      </c>
      <c r="B5" s="33" t="s">
        <v>119</v>
      </c>
      <c r="C5" s="34" t="b">
        <v>0</v>
      </c>
    </row>
    <row r="6">
      <c r="A6" s="32" t="s">
        <v>230</v>
      </c>
      <c r="B6" s="33" t="s">
        <v>231</v>
      </c>
      <c r="C6" s="34" t="b">
        <v>0</v>
      </c>
    </row>
    <row r="7">
      <c r="A7" s="32" t="s">
        <v>122</v>
      </c>
      <c r="B7" s="35" t="s">
        <v>123</v>
      </c>
      <c r="C7" s="34" t="b">
        <v>0</v>
      </c>
    </row>
    <row r="8">
      <c r="A8" s="32" t="s">
        <v>157</v>
      </c>
      <c r="B8" s="33" t="s">
        <v>158</v>
      </c>
      <c r="C8" s="34" t="b">
        <v>1</v>
      </c>
    </row>
    <row r="9">
      <c r="A9" s="32" t="s">
        <v>248</v>
      </c>
      <c r="B9" s="33" t="s">
        <v>249</v>
      </c>
      <c r="C9" s="34" t="b">
        <v>0</v>
      </c>
    </row>
    <row r="10">
      <c r="A10" s="32" t="s">
        <v>226</v>
      </c>
      <c r="B10" s="33" t="s">
        <v>227</v>
      </c>
      <c r="C10" s="34" t="b">
        <v>0</v>
      </c>
    </row>
    <row r="11">
      <c r="A11" s="32" t="s">
        <v>171</v>
      </c>
      <c r="B11" s="33" t="s">
        <v>172</v>
      </c>
      <c r="C11" s="34" t="b">
        <v>0</v>
      </c>
    </row>
    <row r="12">
      <c r="A12" s="32" t="s">
        <v>174</v>
      </c>
      <c r="B12" s="33" t="s">
        <v>175</v>
      </c>
      <c r="C12" s="34" t="b">
        <v>1</v>
      </c>
    </row>
    <row r="13">
      <c r="A13" s="32" t="s">
        <v>160</v>
      </c>
      <c r="B13" s="33" t="s">
        <v>161</v>
      </c>
      <c r="C13" s="34" t="b">
        <v>1</v>
      </c>
    </row>
    <row r="14">
      <c r="A14" s="32" t="s">
        <v>200</v>
      </c>
      <c r="B14" s="33" t="s">
        <v>201</v>
      </c>
      <c r="C14" s="34" t="b">
        <v>0</v>
      </c>
    </row>
    <row r="15">
      <c r="A15" s="32" t="s">
        <v>195</v>
      </c>
      <c r="B15" s="33" t="s">
        <v>196</v>
      </c>
      <c r="C15" s="34" t="b">
        <v>0</v>
      </c>
    </row>
    <row r="16">
      <c r="A16" s="32" t="s">
        <v>169</v>
      </c>
      <c r="B16" s="35" t="s">
        <v>170</v>
      </c>
      <c r="C16" s="34" t="b">
        <v>0</v>
      </c>
    </row>
    <row r="17">
      <c r="A17" s="32" t="s">
        <v>198</v>
      </c>
      <c r="B17" s="33" t="s">
        <v>199</v>
      </c>
      <c r="C17" s="34" t="b">
        <v>1</v>
      </c>
    </row>
    <row r="18">
      <c r="A18" s="32" t="s">
        <v>131</v>
      </c>
      <c r="B18" s="33" t="s">
        <v>132</v>
      </c>
      <c r="C18" s="34" t="b">
        <v>1</v>
      </c>
    </row>
    <row r="19">
      <c r="A19" s="32" t="s">
        <v>129</v>
      </c>
      <c r="B19" s="33" t="s">
        <v>130</v>
      </c>
      <c r="C19" s="34" t="b">
        <v>0</v>
      </c>
    </row>
    <row r="20">
      <c r="A20" s="32" t="s">
        <v>92</v>
      </c>
      <c r="B20" s="33" t="s">
        <v>93</v>
      </c>
      <c r="C20" s="34" t="b">
        <v>1</v>
      </c>
    </row>
    <row r="21">
      <c r="A21" s="32" t="s">
        <v>112</v>
      </c>
      <c r="B21" s="33" t="s">
        <v>113</v>
      </c>
      <c r="C21" s="34" t="b">
        <v>0</v>
      </c>
    </row>
    <row r="22">
      <c r="A22" s="32" t="s">
        <v>238</v>
      </c>
      <c r="B22" s="33" t="s">
        <v>239</v>
      </c>
      <c r="C22" s="34" t="b">
        <v>0</v>
      </c>
    </row>
    <row r="23">
      <c r="A23" s="32" t="s">
        <v>224</v>
      </c>
      <c r="B23" s="33" t="s">
        <v>225</v>
      </c>
      <c r="C23" s="34" t="b">
        <v>1</v>
      </c>
    </row>
    <row r="24">
      <c r="A24" s="32" t="s">
        <v>258</v>
      </c>
      <c r="B24" s="33" t="s">
        <v>259</v>
      </c>
      <c r="C24" s="34" t="b">
        <v>1</v>
      </c>
    </row>
    <row r="25">
      <c r="A25" s="32" t="s">
        <v>262</v>
      </c>
      <c r="B25" s="33" t="s">
        <v>263</v>
      </c>
      <c r="C25" s="34" t="b">
        <v>0</v>
      </c>
    </row>
    <row r="26">
      <c r="A26" s="32" t="s">
        <v>183</v>
      </c>
      <c r="B26" s="36" t="s">
        <v>184</v>
      </c>
      <c r="C26" s="34" t="b">
        <v>1</v>
      </c>
    </row>
    <row r="27">
      <c r="A27" s="32" t="s">
        <v>133</v>
      </c>
      <c r="B27" s="33" t="s">
        <v>134</v>
      </c>
      <c r="C27" s="34" t="b">
        <v>1</v>
      </c>
    </row>
    <row r="28">
      <c r="A28" s="32" t="s">
        <v>96</v>
      </c>
      <c r="B28" s="33" t="s">
        <v>97</v>
      </c>
      <c r="C28" s="34" t="b">
        <v>1</v>
      </c>
    </row>
    <row r="29">
      <c r="A29" s="32" t="s">
        <v>277</v>
      </c>
      <c r="B29" s="33" t="s">
        <v>278</v>
      </c>
      <c r="C29" s="34" t="b">
        <v>1</v>
      </c>
    </row>
    <row r="30">
      <c r="A30" s="32" t="s">
        <v>288</v>
      </c>
      <c r="B30" s="33" t="s">
        <v>289</v>
      </c>
      <c r="C30" s="34" t="b">
        <v>1</v>
      </c>
    </row>
    <row r="31">
      <c r="A31" s="32" t="s">
        <v>275</v>
      </c>
      <c r="B31" s="33" t="s">
        <v>276</v>
      </c>
      <c r="C31" s="34" t="b">
        <v>1</v>
      </c>
    </row>
    <row r="32">
      <c r="A32" s="32" t="s">
        <v>101</v>
      </c>
      <c r="B32" s="33" t="s">
        <v>102</v>
      </c>
      <c r="C32" s="34" t="b">
        <v>1</v>
      </c>
    </row>
    <row r="33">
      <c r="A33" s="32" t="s">
        <v>246</v>
      </c>
      <c r="B33" s="33" t="s">
        <v>247</v>
      </c>
      <c r="C33" s="34" t="b">
        <v>0</v>
      </c>
    </row>
    <row r="34">
      <c r="A34" s="32" t="s">
        <v>244</v>
      </c>
      <c r="B34" s="33" t="s">
        <v>245</v>
      </c>
      <c r="C34" s="34" t="b">
        <v>1</v>
      </c>
    </row>
    <row r="35">
      <c r="A35" s="32" t="s">
        <v>303</v>
      </c>
      <c r="B35" s="33" t="s">
        <v>304</v>
      </c>
      <c r="C35" s="34" t="b">
        <v>1</v>
      </c>
    </row>
    <row r="36">
      <c r="A36" s="32" t="s">
        <v>162</v>
      </c>
      <c r="B36" s="33" t="s">
        <v>163</v>
      </c>
      <c r="C36" s="34" t="b">
        <v>0</v>
      </c>
    </row>
    <row r="37">
      <c r="A37" s="32" t="s">
        <v>179</v>
      </c>
      <c r="B37" s="33" t="s">
        <v>180</v>
      </c>
      <c r="C37" s="34" t="b">
        <v>1</v>
      </c>
    </row>
    <row r="38">
      <c r="A38" s="32" t="s">
        <v>149</v>
      </c>
      <c r="B38" s="33" t="s">
        <v>150</v>
      </c>
      <c r="C38" s="34" t="b">
        <v>1</v>
      </c>
    </row>
    <row r="39">
      <c r="A39" s="32" t="s">
        <v>256</v>
      </c>
      <c r="B39" s="33" t="s">
        <v>257</v>
      </c>
      <c r="C39" s="34" t="b">
        <v>1</v>
      </c>
    </row>
    <row r="40">
      <c r="A40" s="32" t="s">
        <v>236</v>
      </c>
      <c r="B40" s="33" t="s">
        <v>237</v>
      </c>
      <c r="C40" s="34" t="b">
        <v>0</v>
      </c>
    </row>
    <row r="41">
      <c r="A41" s="32" t="s">
        <v>155</v>
      </c>
      <c r="B41" s="33" t="s">
        <v>156</v>
      </c>
      <c r="C41" s="34" t="b">
        <v>1</v>
      </c>
    </row>
    <row r="42">
      <c r="A42" s="32" t="s">
        <v>114</v>
      </c>
      <c r="B42" s="33" t="s">
        <v>115</v>
      </c>
      <c r="C42" s="34" t="b">
        <v>0</v>
      </c>
    </row>
    <row r="43">
      <c r="A43" s="32" t="s">
        <v>137</v>
      </c>
      <c r="B43" s="33" t="s">
        <v>138</v>
      </c>
      <c r="C43" s="34" t="b">
        <v>0</v>
      </c>
    </row>
    <row r="44">
      <c r="A44" s="32" t="s">
        <v>94</v>
      </c>
      <c r="B44" s="33" t="s">
        <v>95</v>
      </c>
      <c r="C44" s="34" t="b">
        <v>0</v>
      </c>
    </row>
    <row r="45">
      <c r="A45" s="32" t="s">
        <v>108</v>
      </c>
      <c r="B45" s="33" t="s">
        <v>109</v>
      </c>
      <c r="C45" s="34" t="b">
        <v>0</v>
      </c>
    </row>
    <row r="46">
      <c r="A46" s="32" t="s">
        <v>213</v>
      </c>
      <c r="B46" s="33" t="s">
        <v>214</v>
      </c>
      <c r="C46" s="34" t="b">
        <v>0</v>
      </c>
    </row>
    <row r="47">
      <c r="A47" s="32" t="s">
        <v>240</v>
      </c>
      <c r="B47" s="33" t="s">
        <v>241</v>
      </c>
      <c r="C47" s="34" t="b">
        <v>0</v>
      </c>
    </row>
    <row r="48">
      <c r="A48" s="32" t="s">
        <v>298</v>
      </c>
      <c r="B48" s="33" t="s">
        <v>299</v>
      </c>
      <c r="C48" s="34" t="b">
        <v>1</v>
      </c>
    </row>
    <row r="49">
      <c r="A49" s="32" t="s">
        <v>164</v>
      </c>
      <c r="B49" s="33" t="s">
        <v>165</v>
      </c>
      <c r="C49" s="34" t="b">
        <v>1</v>
      </c>
    </row>
    <row r="50">
      <c r="A50" s="32" t="s">
        <v>188</v>
      </c>
      <c r="B50" s="33" t="s">
        <v>189</v>
      </c>
      <c r="C50" s="34" t="b">
        <v>1</v>
      </c>
    </row>
    <row r="51">
      <c r="A51" s="32" t="s">
        <v>273</v>
      </c>
      <c r="B51" s="33" t="s">
        <v>274</v>
      </c>
      <c r="C51" s="34" t="b">
        <v>1</v>
      </c>
    </row>
    <row r="52">
      <c r="A52" s="32" t="s">
        <v>222</v>
      </c>
      <c r="B52" s="33" t="s">
        <v>223</v>
      </c>
      <c r="C52" s="34" t="b">
        <v>0</v>
      </c>
    </row>
    <row r="53">
      <c r="A53" s="32" t="s">
        <v>292</v>
      </c>
      <c r="B53" s="33" t="s">
        <v>293</v>
      </c>
      <c r="C53" s="34" t="b">
        <v>0</v>
      </c>
    </row>
    <row r="54">
      <c r="A54" s="32" t="s">
        <v>305</v>
      </c>
      <c r="B54" s="33" t="s">
        <v>306</v>
      </c>
      <c r="C54" s="34" t="b">
        <v>1</v>
      </c>
    </row>
    <row r="55">
      <c r="A55" s="32" t="s">
        <v>166</v>
      </c>
      <c r="B55" s="35" t="s">
        <v>167</v>
      </c>
      <c r="C55" s="34" t="b">
        <v>0</v>
      </c>
    </row>
    <row r="56">
      <c r="A56" s="32" t="s">
        <v>110</v>
      </c>
      <c r="B56" s="33" t="s">
        <v>111</v>
      </c>
      <c r="C56" s="34" t="b">
        <v>0</v>
      </c>
    </row>
    <row r="57">
      <c r="A57" s="32" t="s">
        <v>301</v>
      </c>
      <c r="B57" s="33" t="s">
        <v>302</v>
      </c>
      <c r="C57" s="34" t="b">
        <v>0</v>
      </c>
    </row>
    <row r="58">
      <c r="A58" s="32" t="s">
        <v>264</v>
      </c>
      <c r="B58" s="33" t="s">
        <v>265</v>
      </c>
      <c r="C58" s="34" t="b">
        <v>1</v>
      </c>
    </row>
    <row r="59">
      <c r="A59" s="32" t="s">
        <v>116</v>
      </c>
      <c r="B59" s="33" t="s">
        <v>117</v>
      </c>
      <c r="C59" s="34" t="b">
        <v>0</v>
      </c>
    </row>
    <row r="60">
      <c r="A60" s="32" t="s">
        <v>141</v>
      </c>
      <c r="B60" s="33" t="s">
        <v>142</v>
      </c>
      <c r="C60" s="34" t="b">
        <v>0</v>
      </c>
    </row>
    <row r="61">
      <c r="A61" s="32" t="s">
        <v>193</v>
      </c>
      <c r="B61" s="33" t="s">
        <v>194</v>
      </c>
      <c r="C61" s="34" t="b">
        <v>1</v>
      </c>
    </row>
    <row r="62">
      <c r="A62" s="32" t="s">
        <v>202</v>
      </c>
      <c r="B62" s="33" t="s">
        <v>203</v>
      </c>
      <c r="C62" s="34" t="b">
        <v>0</v>
      </c>
    </row>
    <row r="63">
      <c r="A63" s="32" t="s">
        <v>234</v>
      </c>
      <c r="B63" s="33" t="s">
        <v>235</v>
      </c>
      <c r="C63" s="34" t="b">
        <v>0</v>
      </c>
    </row>
    <row r="64">
      <c r="A64" s="32" t="s">
        <v>260</v>
      </c>
      <c r="B64" s="33" t="s">
        <v>261</v>
      </c>
      <c r="C64" s="34" t="b">
        <v>0</v>
      </c>
    </row>
    <row r="65">
      <c r="A65" s="32" t="s">
        <v>252</v>
      </c>
      <c r="B65" s="33" t="s">
        <v>253</v>
      </c>
      <c r="C65" s="34" t="b">
        <v>1</v>
      </c>
    </row>
    <row r="66">
      <c r="A66" s="32" t="s">
        <v>228</v>
      </c>
      <c r="B66" s="33" t="s">
        <v>229</v>
      </c>
      <c r="C66" s="34" t="b">
        <v>0</v>
      </c>
    </row>
    <row r="67">
      <c r="A67" s="32" t="s">
        <v>139</v>
      </c>
      <c r="B67" s="33" t="s">
        <v>140</v>
      </c>
      <c r="C67" s="34" t="b">
        <v>0</v>
      </c>
    </row>
    <row r="68">
      <c r="A68" s="32" t="s">
        <v>279</v>
      </c>
      <c r="B68" s="33" t="s">
        <v>280</v>
      </c>
      <c r="C68" s="34" t="b">
        <v>0</v>
      </c>
    </row>
    <row r="69">
      <c r="A69" s="32" t="s">
        <v>125</v>
      </c>
      <c r="B69" s="33" t="s">
        <v>126</v>
      </c>
      <c r="C69" s="34" t="b">
        <v>0</v>
      </c>
    </row>
    <row r="70">
      <c r="A70" s="32" t="s">
        <v>181</v>
      </c>
      <c r="B70" s="33" t="s">
        <v>182</v>
      </c>
      <c r="C70" s="34" t="b">
        <v>1</v>
      </c>
    </row>
    <row r="71">
      <c r="A71" s="32" t="s">
        <v>269</v>
      </c>
      <c r="B71" s="36" t="s">
        <v>270</v>
      </c>
      <c r="C71" s="34" t="b">
        <v>1</v>
      </c>
    </row>
    <row r="72">
      <c r="A72" s="32" t="s">
        <v>254</v>
      </c>
      <c r="B72" s="33" t="s">
        <v>255</v>
      </c>
      <c r="C72" s="34" t="b">
        <v>0</v>
      </c>
    </row>
    <row r="73">
      <c r="A73" s="32" t="s">
        <v>120</v>
      </c>
      <c r="B73" s="33" t="s">
        <v>121</v>
      </c>
      <c r="C73" s="34" t="b">
        <v>0</v>
      </c>
    </row>
    <row r="74">
      <c r="A74" s="32" t="s">
        <v>191</v>
      </c>
      <c r="B74" s="33" t="s">
        <v>192</v>
      </c>
      <c r="C74" s="34" t="b">
        <v>0</v>
      </c>
    </row>
    <row r="75">
      <c r="A75" s="32" t="s">
        <v>250</v>
      </c>
      <c r="B75" s="33" t="s">
        <v>251</v>
      </c>
      <c r="C75" s="34" t="b">
        <v>0</v>
      </c>
    </row>
    <row r="76">
      <c r="A76" s="32" t="s">
        <v>127</v>
      </c>
      <c r="B76" s="33" t="s">
        <v>128</v>
      </c>
      <c r="C76" s="34" t="b">
        <v>0</v>
      </c>
    </row>
    <row r="77">
      <c r="A77" s="32" t="s">
        <v>296</v>
      </c>
      <c r="B77" s="33" t="s">
        <v>297</v>
      </c>
      <c r="C77" s="34" t="b">
        <v>0</v>
      </c>
    </row>
    <row r="78">
      <c r="A78" s="32" t="s">
        <v>232</v>
      </c>
      <c r="B78" s="33" t="s">
        <v>233</v>
      </c>
      <c r="C78" s="34" t="b">
        <v>1</v>
      </c>
    </row>
    <row r="79">
      <c r="A79" s="32" t="s">
        <v>266</v>
      </c>
      <c r="B79" s="33" t="s">
        <v>267</v>
      </c>
      <c r="C79" s="34" t="b">
        <v>1</v>
      </c>
    </row>
    <row r="80">
      <c r="A80" s="32" t="s">
        <v>209</v>
      </c>
      <c r="B80" s="33" t="s">
        <v>210</v>
      </c>
      <c r="C80" s="34" t="b">
        <v>1</v>
      </c>
    </row>
    <row r="81">
      <c r="A81" s="32" t="s">
        <v>281</v>
      </c>
      <c r="B81" s="33" t="s">
        <v>282</v>
      </c>
      <c r="C81" s="34" t="b">
        <v>0</v>
      </c>
    </row>
    <row r="82">
      <c r="A82" s="32" t="s">
        <v>146</v>
      </c>
      <c r="B82" s="33" t="s">
        <v>147</v>
      </c>
      <c r="C82" s="34" t="b">
        <v>0</v>
      </c>
    </row>
    <row r="83">
      <c r="A83" s="32" t="s">
        <v>151</v>
      </c>
      <c r="B83" s="33" t="s">
        <v>152</v>
      </c>
      <c r="C83" s="34" t="b">
        <v>0</v>
      </c>
    </row>
    <row r="84">
      <c r="A84" s="32" t="s">
        <v>285</v>
      </c>
      <c r="B84" s="33" t="s">
        <v>286</v>
      </c>
      <c r="C84" s="34" t="b">
        <v>1</v>
      </c>
    </row>
    <row r="85">
      <c r="A85" s="32" t="s">
        <v>283</v>
      </c>
      <c r="B85" s="33" t="s">
        <v>284</v>
      </c>
      <c r="C85" s="34" t="b">
        <v>1</v>
      </c>
    </row>
    <row r="86">
      <c r="A86" s="32" t="s">
        <v>185</v>
      </c>
      <c r="B86" s="33" t="s">
        <v>186</v>
      </c>
      <c r="C86" s="34" t="b">
        <v>1</v>
      </c>
    </row>
    <row r="87">
      <c r="A87" s="32" t="s">
        <v>290</v>
      </c>
      <c r="B87" s="33" t="s">
        <v>291</v>
      </c>
      <c r="C87" s="34" t="b">
        <v>1</v>
      </c>
    </row>
    <row r="88">
      <c r="A88" s="32" t="s">
        <v>206</v>
      </c>
      <c r="B88" s="33" t="s">
        <v>207</v>
      </c>
      <c r="C88" s="34" t="b">
        <v>1</v>
      </c>
    </row>
    <row r="89">
      <c r="A89" s="32" t="s">
        <v>204</v>
      </c>
      <c r="B89" s="33" t="s">
        <v>205</v>
      </c>
      <c r="C89" s="34" t="b">
        <v>0</v>
      </c>
    </row>
    <row r="90">
      <c r="A90" s="32" t="s">
        <v>144</v>
      </c>
      <c r="B90" s="36" t="s">
        <v>145</v>
      </c>
      <c r="C90" s="34" t="b">
        <v>1</v>
      </c>
    </row>
    <row r="91">
      <c r="A91" s="32" t="s">
        <v>106</v>
      </c>
      <c r="B91" s="33" t="s">
        <v>107</v>
      </c>
      <c r="C91" s="34" t="b">
        <v>0</v>
      </c>
    </row>
    <row r="92">
      <c r="A92" s="32" t="s">
        <v>271</v>
      </c>
      <c r="B92" s="33" t="s">
        <v>272</v>
      </c>
      <c r="C92" s="34" t="b">
        <v>0</v>
      </c>
    </row>
    <row r="93">
      <c r="A93" s="32" t="s">
        <v>153</v>
      </c>
      <c r="B93" s="33" t="s">
        <v>154</v>
      </c>
      <c r="C93" s="34" t="b">
        <v>1</v>
      </c>
    </row>
    <row r="94">
      <c r="A94" s="32" t="s">
        <v>242</v>
      </c>
      <c r="B94" s="33" t="s">
        <v>243</v>
      </c>
      <c r="C94" s="34" t="b">
        <v>1</v>
      </c>
    </row>
    <row r="95">
      <c r="A95" s="32" t="s">
        <v>211</v>
      </c>
      <c r="B95" s="33" t="s">
        <v>212</v>
      </c>
      <c r="C95" s="34" t="b">
        <v>1</v>
      </c>
    </row>
    <row r="96">
      <c r="A96" s="32" t="s">
        <v>218</v>
      </c>
      <c r="B96" s="33" t="s">
        <v>219</v>
      </c>
      <c r="C96" s="34" t="b">
        <v>1</v>
      </c>
    </row>
    <row r="97">
      <c r="A97" s="32" t="s">
        <v>98</v>
      </c>
      <c r="B97" s="33" t="s">
        <v>99</v>
      </c>
      <c r="C97" s="34" t="b">
        <v>1</v>
      </c>
    </row>
    <row r="98">
      <c r="A98" s="32" t="s">
        <v>216</v>
      </c>
      <c r="B98" s="33" t="s">
        <v>217</v>
      </c>
      <c r="C98" s="34" t="b">
        <v>0</v>
      </c>
    </row>
    <row r="99">
      <c r="A99" s="32" t="s">
        <v>176</v>
      </c>
      <c r="B99" s="33" t="s">
        <v>177</v>
      </c>
      <c r="C99" s="34" t="b">
        <v>0</v>
      </c>
    </row>
    <row r="100">
      <c r="A100" s="32" t="s">
        <v>103</v>
      </c>
      <c r="B100" s="33" t="s">
        <v>104</v>
      </c>
      <c r="C100" s="34" t="b">
        <v>1</v>
      </c>
    </row>
    <row r="101">
      <c r="A101" s="32" t="s">
        <v>135</v>
      </c>
      <c r="B101" s="33" t="s">
        <v>136</v>
      </c>
      <c r="C101" s="34" t="b">
        <v>1</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9" t="s">
        <v>88</v>
      </c>
      <c r="B1" s="30" t="s">
        <v>89</v>
      </c>
      <c r="C1" s="31" t="s">
        <v>90</v>
      </c>
      <c r="D1" s="23" t="s">
        <v>91</v>
      </c>
    </row>
    <row r="2">
      <c r="A2" s="32" t="s">
        <v>202</v>
      </c>
      <c r="B2" s="33" t="s">
        <v>203</v>
      </c>
      <c r="C2" s="34" t="b">
        <v>0</v>
      </c>
    </row>
    <row r="3">
      <c r="A3" s="32" t="s">
        <v>164</v>
      </c>
      <c r="B3" s="33" t="s">
        <v>165</v>
      </c>
      <c r="C3" s="34" t="b">
        <v>1</v>
      </c>
    </row>
    <row r="4">
      <c r="A4" s="32" t="s">
        <v>185</v>
      </c>
      <c r="B4" s="33" t="s">
        <v>186</v>
      </c>
      <c r="C4" s="34" t="b">
        <v>1</v>
      </c>
    </row>
    <row r="5">
      <c r="A5" s="32" t="s">
        <v>112</v>
      </c>
      <c r="B5" s="33" t="s">
        <v>113</v>
      </c>
      <c r="C5" s="34" t="b">
        <v>0</v>
      </c>
      <c r="D5" s="5" t="s">
        <v>310</v>
      </c>
    </row>
    <row r="6">
      <c r="A6" s="32" t="s">
        <v>146</v>
      </c>
      <c r="B6" s="33" t="s">
        <v>147</v>
      </c>
      <c r="C6" s="34" t="b">
        <v>1</v>
      </c>
    </row>
    <row r="7">
      <c r="A7" s="32" t="s">
        <v>256</v>
      </c>
      <c r="B7" s="33" t="s">
        <v>257</v>
      </c>
      <c r="C7" s="34" t="b">
        <v>1</v>
      </c>
    </row>
    <row r="8">
      <c r="A8" s="32" t="s">
        <v>216</v>
      </c>
      <c r="B8" s="33" t="s">
        <v>217</v>
      </c>
      <c r="C8" s="34" t="b">
        <v>0</v>
      </c>
    </row>
    <row r="9">
      <c r="A9" s="32" t="s">
        <v>264</v>
      </c>
      <c r="B9" s="33" t="s">
        <v>265</v>
      </c>
      <c r="C9" s="34" t="b">
        <v>1</v>
      </c>
    </row>
    <row r="10">
      <c r="A10" s="32" t="s">
        <v>157</v>
      </c>
      <c r="B10" s="33" t="s">
        <v>158</v>
      </c>
      <c r="C10" s="34" t="b">
        <v>0</v>
      </c>
      <c r="D10" s="5" t="s">
        <v>311</v>
      </c>
    </row>
    <row r="11">
      <c r="A11" s="32" t="s">
        <v>248</v>
      </c>
      <c r="B11" s="33" t="s">
        <v>249</v>
      </c>
      <c r="C11" s="34" t="b">
        <v>0</v>
      </c>
    </row>
    <row r="12">
      <c r="A12" s="32" t="s">
        <v>183</v>
      </c>
      <c r="B12" s="33" t="s">
        <v>184</v>
      </c>
      <c r="C12" s="34" t="b">
        <v>1</v>
      </c>
    </row>
    <row r="13">
      <c r="A13" s="32" t="s">
        <v>92</v>
      </c>
      <c r="B13" s="33" t="s">
        <v>93</v>
      </c>
      <c r="C13" s="34" t="b">
        <v>1</v>
      </c>
    </row>
    <row r="14">
      <c r="A14" s="32" t="s">
        <v>292</v>
      </c>
      <c r="B14" s="33" t="s">
        <v>293</v>
      </c>
      <c r="C14" s="34" t="b">
        <v>0</v>
      </c>
      <c r="D14" s="5" t="s">
        <v>312</v>
      </c>
    </row>
    <row r="15">
      <c r="A15" s="32" t="s">
        <v>155</v>
      </c>
      <c r="B15" s="33" t="s">
        <v>156</v>
      </c>
      <c r="C15" s="34" t="b">
        <v>1</v>
      </c>
    </row>
    <row r="16">
      <c r="A16" s="32" t="s">
        <v>209</v>
      </c>
      <c r="B16" s="33" t="s">
        <v>210</v>
      </c>
      <c r="C16" s="34" t="b">
        <v>1</v>
      </c>
    </row>
    <row r="17">
      <c r="A17" s="32" t="s">
        <v>96</v>
      </c>
      <c r="B17" s="33" t="s">
        <v>97</v>
      </c>
      <c r="C17" s="34" t="b">
        <v>1</v>
      </c>
    </row>
    <row r="18">
      <c r="A18" s="32" t="s">
        <v>108</v>
      </c>
      <c r="B18" s="33" t="s">
        <v>109</v>
      </c>
      <c r="C18" s="34" t="b">
        <v>1</v>
      </c>
    </row>
    <row r="19">
      <c r="A19" s="32" t="s">
        <v>106</v>
      </c>
      <c r="B19" s="33" t="s">
        <v>107</v>
      </c>
      <c r="C19" s="34" t="b">
        <v>0</v>
      </c>
    </row>
    <row r="20">
      <c r="A20" s="32" t="s">
        <v>94</v>
      </c>
      <c r="B20" s="33" t="s">
        <v>95</v>
      </c>
      <c r="C20" s="34" t="b">
        <v>0</v>
      </c>
      <c r="D20" s="5" t="s">
        <v>313</v>
      </c>
    </row>
    <row r="21">
      <c r="A21" s="32" t="s">
        <v>193</v>
      </c>
      <c r="B21" s="33" t="s">
        <v>194</v>
      </c>
      <c r="C21" s="34" t="b">
        <v>1</v>
      </c>
    </row>
    <row r="22">
      <c r="A22" s="32" t="s">
        <v>171</v>
      </c>
      <c r="B22" s="33" t="s">
        <v>172</v>
      </c>
      <c r="C22" s="34" t="b">
        <v>0</v>
      </c>
      <c r="D22" s="5" t="s">
        <v>314</v>
      </c>
    </row>
    <row r="23">
      <c r="A23" s="32" t="s">
        <v>222</v>
      </c>
      <c r="B23" s="33" t="s">
        <v>223</v>
      </c>
      <c r="C23" s="34" t="b">
        <v>0</v>
      </c>
    </row>
    <row r="24">
      <c r="A24" s="32" t="s">
        <v>139</v>
      </c>
      <c r="B24" s="33" t="s">
        <v>140</v>
      </c>
      <c r="C24" s="34" t="b">
        <v>0</v>
      </c>
    </row>
    <row r="25">
      <c r="A25" s="32" t="s">
        <v>305</v>
      </c>
      <c r="B25" s="33" t="s">
        <v>306</v>
      </c>
      <c r="C25" s="34" t="b">
        <v>1</v>
      </c>
    </row>
    <row r="26">
      <c r="A26" s="32" t="s">
        <v>153</v>
      </c>
      <c r="B26" s="33" t="s">
        <v>154</v>
      </c>
      <c r="C26" s="34" t="b">
        <v>1</v>
      </c>
    </row>
    <row r="27">
      <c r="A27" s="32" t="s">
        <v>110</v>
      </c>
      <c r="B27" s="33" t="s">
        <v>111</v>
      </c>
      <c r="C27" s="34" t="b">
        <v>0</v>
      </c>
    </row>
    <row r="28">
      <c r="A28" s="32" t="s">
        <v>246</v>
      </c>
      <c r="B28" s="33" t="s">
        <v>247</v>
      </c>
      <c r="C28" s="34" t="b">
        <v>0</v>
      </c>
      <c r="D28" s="5" t="s">
        <v>315</v>
      </c>
    </row>
    <row r="29">
      <c r="A29" s="32" t="s">
        <v>236</v>
      </c>
      <c r="B29" s="33" t="s">
        <v>237</v>
      </c>
      <c r="C29" s="34" t="b">
        <v>0</v>
      </c>
      <c r="D29" s="5" t="s">
        <v>315</v>
      </c>
    </row>
    <row r="30">
      <c r="A30" s="32" t="s">
        <v>232</v>
      </c>
      <c r="B30" s="33" t="s">
        <v>233</v>
      </c>
      <c r="C30" s="34" t="b">
        <v>0</v>
      </c>
      <c r="D30" s="5" t="s">
        <v>316</v>
      </c>
    </row>
    <row r="31">
      <c r="A31" s="32" t="s">
        <v>174</v>
      </c>
      <c r="B31" s="33" t="s">
        <v>175</v>
      </c>
      <c r="C31" s="34" t="b">
        <v>1</v>
      </c>
    </row>
    <row r="32">
      <c r="A32" s="32" t="s">
        <v>301</v>
      </c>
      <c r="B32" s="33" t="s">
        <v>302</v>
      </c>
      <c r="C32" s="34" t="b">
        <v>0</v>
      </c>
      <c r="D32" s="5" t="s">
        <v>317</v>
      </c>
    </row>
    <row r="33">
      <c r="A33" s="32" t="s">
        <v>103</v>
      </c>
      <c r="B33" s="33" t="s">
        <v>104</v>
      </c>
      <c r="C33" s="34" t="s">
        <v>14</v>
      </c>
      <c r="D33" s="5" t="s">
        <v>318</v>
      </c>
    </row>
    <row r="34">
      <c r="A34" s="32" t="s">
        <v>224</v>
      </c>
      <c r="B34" s="33" t="s">
        <v>225</v>
      </c>
      <c r="C34" s="34" t="b">
        <v>1</v>
      </c>
    </row>
    <row r="35">
      <c r="A35" s="32" t="s">
        <v>151</v>
      </c>
      <c r="B35" s="33" t="s">
        <v>152</v>
      </c>
      <c r="C35" s="34" t="b">
        <v>0</v>
      </c>
    </row>
    <row r="36">
      <c r="A36" s="32" t="s">
        <v>135</v>
      </c>
      <c r="B36" s="33" t="s">
        <v>136</v>
      </c>
      <c r="C36" s="34" t="b">
        <v>1</v>
      </c>
    </row>
    <row r="37">
      <c r="A37" s="32" t="s">
        <v>244</v>
      </c>
      <c r="B37" s="33" t="s">
        <v>245</v>
      </c>
      <c r="C37" s="34" t="b">
        <v>1</v>
      </c>
    </row>
    <row r="38">
      <c r="A38" s="32" t="s">
        <v>160</v>
      </c>
      <c r="B38" s="33" t="s">
        <v>161</v>
      </c>
      <c r="C38" s="34" t="b">
        <v>1</v>
      </c>
    </row>
    <row r="39">
      <c r="A39" s="32" t="s">
        <v>294</v>
      </c>
      <c r="B39" s="33" t="s">
        <v>295</v>
      </c>
      <c r="C39" s="34" t="b">
        <v>0</v>
      </c>
    </row>
    <row r="40">
      <c r="A40" s="32" t="s">
        <v>234</v>
      </c>
      <c r="B40" s="33" t="s">
        <v>235</v>
      </c>
      <c r="C40" s="34" t="b">
        <v>0</v>
      </c>
    </row>
    <row r="41">
      <c r="A41" s="32" t="s">
        <v>191</v>
      </c>
      <c r="B41" s="33" t="s">
        <v>192</v>
      </c>
      <c r="C41" s="34" t="b">
        <v>0</v>
      </c>
      <c r="D41" s="5" t="s">
        <v>319</v>
      </c>
    </row>
    <row r="42">
      <c r="A42" s="32" t="s">
        <v>273</v>
      </c>
      <c r="B42" s="33" t="s">
        <v>274</v>
      </c>
      <c r="C42" s="34" t="b">
        <v>1</v>
      </c>
    </row>
    <row r="43">
      <c r="A43" s="32" t="s">
        <v>195</v>
      </c>
      <c r="B43" s="33" t="s">
        <v>196</v>
      </c>
      <c r="C43" s="34" t="b">
        <v>0</v>
      </c>
    </row>
    <row r="44">
      <c r="A44" s="32" t="s">
        <v>269</v>
      </c>
      <c r="B44" s="33" t="s">
        <v>270</v>
      </c>
      <c r="C44" s="34" t="b">
        <v>1</v>
      </c>
    </row>
    <row r="45">
      <c r="A45" s="32" t="s">
        <v>122</v>
      </c>
      <c r="B45" s="33" t="s">
        <v>123</v>
      </c>
      <c r="C45" s="34" t="b">
        <v>1</v>
      </c>
    </row>
    <row r="46">
      <c r="A46" s="32" t="s">
        <v>238</v>
      </c>
      <c r="B46" s="33" t="s">
        <v>239</v>
      </c>
      <c r="C46" s="34" t="b">
        <v>0</v>
      </c>
    </row>
    <row r="47">
      <c r="A47" s="32" t="s">
        <v>125</v>
      </c>
      <c r="B47" s="33" t="s">
        <v>126</v>
      </c>
      <c r="C47" s="34" t="b">
        <v>0</v>
      </c>
    </row>
    <row r="48">
      <c r="A48" s="32" t="s">
        <v>181</v>
      </c>
      <c r="B48" s="33" t="s">
        <v>182</v>
      </c>
      <c r="C48" s="34" t="b">
        <v>1</v>
      </c>
    </row>
    <row r="49">
      <c r="A49" s="32" t="s">
        <v>303</v>
      </c>
      <c r="B49" s="33" t="s">
        <v>304</v>
      </c>
      <c r="C49" s="34" t="b">
        <v>1</v>
      </c>
    </row>
    <row r="50">
      <c r="A50" s="32" t="s">
        <v>131</v>
      </c>
      <c r="B50" s="33" t="s">
        <v>132</v>
      </c>
      <c r="C50" s="34" t="b">
        <v>1</v>
      </c>
    </row>
    <row r="51">
      <c r="A51" s="32" t="s">
        <v>127</v>
      </c>
      <c r="B51" s="33" t="s">
        <v>128</v>
      </c>
      <c r="C51" s="34" t="b">
        <v>0</v>
      </c>
    </row>
    <row r="52">
      <c r="A52" s="32" t="s">
        <v>137</v>
      </c>
      <c r="B52" s="33" t="s">
        <v>138</v>
      </c>
      <c r="C52" s="34" t="b">
        <v>0</v>
      </c>
    </row>
    <row r="53">
      <c r="A53" s="32" t="s">
        <v>166</v>
      </c>
      <c r="B53" s="33" t="s">
        <v>167</v>
      </c>
      <c r="C53" s="34" t="b">
        <v>1</v>
      </c>
    </row>
    <row r="54">
      <c r="A54" s="32" t="s">
        <v>277</v>
      </c>
      <c r="B54" s="33" t="s">
        <v>278</v>
      </c>
      <c r="C54" s="34" t="b">
        <v>1</v>
      </c>
      <c r="D54" s="5" t="s">
        <v>320</v>
      </c>
    </row>
    <row r="55">
      <c r="A55" s="32" t="s">
        <v>288</v>
      </c>
      <c r="B55" s="33" t="s">
        <v>289</v>
      </c>
      <c r="C55" s="34" t="b">
        <v>1</v>
      </c>
    </row>
    <row r="56">
      <c r="A56" s="32" t="s">
        <v>213</v>
      </c>
      <c r="B56" s="33" t="s">
        <v>214</v>
      </c>
      <c r="C56" s="34" t="b">
        <v>0</v>
      </c>
      <c r="D56" s="5" t="s">
        <v>321</v>
      </c>
    </row>
    <row r="57">
      <c r="A57" s="32" t="s">
        <v>200</v>
      </c>
      <c r="B57" s="33" t="s">
        <v>201</v>
      </c>
      <c r="C57" s="34" t="b">
        <v>0</v>
      </c>
    </row>
    <row r="58">
      <c r="A58" s="32" t="s">
        <v>254</v>
      </c>
      <c r="B58" s="33" t="s">
        <v>255</v>
      </c>
      <c r="C58" s="34" t="b">
        <v>0</v>
      </c>
      <c r="D58" s="5" t="s">
        <v>322</v>
      </c>
    </row>
    <row r="59">
      <c r="A59" s="32" t="s">
        <v>118</v>
      </c>
      <c r="B59" s="33" t="s">
        <v>119</v>
      </c>
      <c r="C59" s="34" t="b">
        <v>0</v>
      </c>
    </row>
    <row r="60">
      <c r="A60" s="32" t="s">
        <v>258</v>
      </c>
      <c r="B60" s="33" t="s">
        <v>259</v>
      </c>
      <c r="C60" s="34" t="b">
        <v>0</v>
      </c>
      <c r="D60" s="5" t="s">
        <v>323</v>
      </c>
    </row>
    <row r="61">
      <c r="A61" s="32" t="s">
        <v>230</v>
      </c>
      <c r="B61" s="33" t="s">
        <v>231</v>
      </c>
      <c r="C61" s="34" t="b">
        <v>0</v>
      </c>
    </row>
    <row r="62">
      <c r="A62" s="32" t="s">
        <v>101</v>
      </c>
      <c r="B62" s="33" t="s">
        <v>102</v>
      </c>
      <c r="C62" s="34" t="b">
        <v>1</v>
      </c>
    </row>
    <row r="63">
      <c r="A63" s="32" t="s">
        <v>283</v>
      </c>
      <c r="B63" s="33" t="s">
        <v>284</v>
      </c>
      <c r="C63" s="34" t="b">
        <v>1</v>
      </c>
    </row>
    <row r="64">
      <c r="A64" s="32" t="s">
        <v>211</v>
      </c>
      <c r="B64" s="33" t="s">
        <v>212</v>
      </c>
      <c r="C64" s="34" t="b">
        <v>1</v>
      </c>
    </row>
    <row r="65">
      <c r="A65" s="32" t="s">
        <v>133</v>
      </c>
      <c r="B65" s="33" t="s">
        <v>134</v>
      </c>
      <c r="C65" s="34" t="b">
        <v>1</v>
      </c>
    </row>
    <row r="66">
      <c r="A66" s="32" t="s">
        <v>141</v>
      </c>
      <c r="B66" s="33" t="s">
        <v>142</v>
      </c>
      <c r="C66" s="34" t="b">
        <v>1</v>
      </c>
      <c r="D66" s="5" t="s">
        <v>324</v>
      </c>
    </row>
    <row r="67">
      <c r="A67" s="32" t="s">
        <v>262</v>
      </c>
      <c r="B67" s="33" t="s">
        <v>263</v>
      </c>
      <c r="C67" s="34" t="b">
        <v>0</v>
      </c>
    </row>
    <row r="68">
      <c r="A68" s="32" t="s">
        <v>218</v>
      </c>
      <c r="B68" s="33" t="s">
        <v>219</v>
      </c>
      <c r="C68" s="34" t="b">
        <v>1</v>
      </c>
    </row>
    <row r="69">
      <c r="A69" s="32" t="s">
        <v>204</v>
      </c>
      <c r="B69" s="33" t="s">
        <v>205</v>
      </c>
      <c r="C69" s="34" t="b">
        <v>0</v>
      </c>
    </row>
    <row r="70">
      <c r="A70" s="32" t="s">
        <v>242</v>
      </c>
      <c r="B70" s="33" t="s">
        <v>243</v>
      </c>
      <c r="C70" s="34" t="b">
        <v>0</v>
      </c>
      <c r="D70" s="5" t="s">
        <v>325</v>
      </c>
    </row>
    <row r="71">
      <c r="A71" s="32" t="s">
        <v>226</v>
      </c>
      <c r="B71" s="33" t="s">
        <v>227</v>
      </c>
      <c r="C71" s="34" t="b">
        <v>0</v>
      </c>
    </row>
    <row r="72">
      <c r="A72" s="32" t="s">
        <v>228</v>
      </c>
      <c r="B72" s="33" t="s">
        <v>229</v>
      </c>
      <c r="C72" s="34" t="b">
        <v>0</v>
      </c>
    </row>
    <row r="73">
      <c r="A73" s="32" t="s">
        <v>188</v>
      </c>
      <c r="B73" s="33" t="s">
        <v>189</v>
      </c>
      <c r="C73" s="34" t="b">
        <v>1</v>
      </c>
      <c r="D73" s="5" t="s">
        <v>326</v>
      </c>
    </row>
    <row r="74">
      <c r="A74" s="32" t="s">
        <v>98</v>
      </c>
      <c r="B74" s="33" t="s">
        <v>99</v>
      </c>
      <c r="C74" s="34" t="b">
        <v>0</v>
      </c>
      <c r="D74" s="5" t="s">
        <v>327</v>
      </c>
    </row>
    <row r="75">
      <c r="A75" s="32" t="s">
        <v>281</v>
      </c>
      <c r="B75" s="33" t="s">
        <v>282</v>
      </c>
      <c r="C75" s="34" t="b">
        <v>0</v>
      </c>
      <c r="D75" s="5" t="s">
        <v>327</v>
      </c>
    </row>
    <row r="76">
      <c r="A76" s="32" t="s">
        <v>206</v>
      </c>
      <c r="B76" s="33" t="s">
        <v>207</v>
      </c>
      <c r="C76" s="34" t="b">
        <v>0</v>
      </c>
    </row>
    <row r="77">
      <c r="A77" s="32" t="s">
        <v>260</v>
      </c>
      <c r="B77" s="33" t="s">
        <v>261</v>
      </c>
      <c r="C77" s="34" t="b">
        <v>0</v>
      </c>
    </row>
    <row r="78">
      <c r="A78" s="32" t="s">
        <v>120</v>
      </c>
      <c r="B78" s="33" t="s">
        <v>121</v>
      </c>
      <c r="C78" s="34" t="b">
        <v>0</v>
      </c>
      <c r="D78" s="5" t="s">
        <v>328</v>
      </c>
    </row>
    <row r="79">
      <c r="A79" s="32" t="s">
        <v>271</v>
      </c>
      <c r="B79" s="33" t="s">
        <v>272</v>
      </c>
      <c r="C79" s="34" t="b">
        <v>0</v>
      </c>
    </row>
    <row r="80">
      <c r="A80" s="32" t="s">
        <v>250</v>
      </c>
      <c r="B80" s="33" t="s">
        <v>251</v>
      </c>
      <c r="C80" s="34" t="b">
        <v>0</v>
      </c>
    </row>
    <row r="81">
      <c r="A81" s="32" t="s">
        <v>176</v>
      </c>
      <c r="B81" s="33" t="s">
        <v>177</v>
      </c>
      <c r="C81" s="34" t="b">
        <v>1</v>
      </c>
    </row>
    <row r="82">
      <c r="A82" s="32" t="s">
        <v>252</v>
      </c>
      <c r="B82" s="33" t="s">
        <v>253</v>
      </c>
      <c r="C82" s="34" t="b">
        <v>1</v>
      </c>
    </row>
    <row r="83">
      <c r="A83" s="32" t="s">
        <v>116</v>
      </c>
      <c r="B83" s="33" t="s">
        <v>117</v>
      </c>
      <c r="C83" s="34" t="b">
        <v>0</v>
      </c>
    </row>
    <row r="84">
      <c r="A84" s="32" t="s">
        <v>169</v>
      </c>
      <c r="B84" s="33" t="s">
        <v>170</v>
      </c>
      <c r="C84" s="34" t="b">
        <v>0</v>
      </c>
      <c r="D84" s="5" t="s">
        <v>329</v>
      </c>
    </row>
    <row r="85">
      <c r="A85" s="32" t="s">
        <v>290</v>
      </c>
      <c r="B85" s="33" t="s">
        <v>291</v>
      </c>
      <c r="C85" s="34" t="b">
        <v>1</v>
      </c>
    </row>
    <row r="86">
      <c r="A86" s="32" t="s">
        <v>179</v>
      </c>
      <c r="B86" s="33" t="s">
        <v>180</v>
      </c>
      <c r="C86" s="34" t="b">
        <v>1</v>
      </c>
    </row>
    <row r="87">
      <c r="A87" s="32" t="s">
        <v>149</v>
      </c>
      <c r="B87" s="33" t="s">
        <v>150</v>
      </c>
      <c r="C87" s="34" t="b">
        <v>0</v>
      </c>
    </row>
    <row r="88">
      <c r="A88" s="32" t="s">
        <v>220</v>
      </c>
      <c r="B88" s="33" t="s">
        <v>221</v>
      </c>
      <c r="C88" s="34" t="b">
        <v>1</v>
      </c>
      <c r="D88" s="5" t="s">
        <v>330</v>
      </c>
    </row>
    <row r="89">
      <c r="A89" s="32" t="s">
        <v>114</v>
      </c>
      <c r="B89" s="33" t="s">
        <v>115</v>
      </c>
      <c r="C89" s="34" t="b">
        <v>0</v>
      </c>
    </row>
    <row r="90">
      <c r="A90" s="32" t="s">
        <v>266</v>
      </c>
      <c r="B90" s="33" t="s">
        <v>267</v>
      </c>
      <c r="C90" s="34" t="b">
        <v>0</v>
      </c>
      <c r="D90" s="5" t="s">
        <v>331</v>
      </c>
    </row>
    <row r="91">
      <c r="A91" s="32" t="s">
        <v>144</v>
      </c>
      <c r="B91" s="33" t="s">
        <v>145</v>
      </c>
      <c r="C91" s="34" t="b">
        <v>1</v>
      </c>
    </row>
    <row r="92">
      <c r="A92" s="32" t="s">
        <v>296</v>
      </c>
      <c r="B92" s="33" t="s">
        <v>297</v>
      </c>
      <c r="C92" s="34" t="b">
        <v>0</v>
      </c>
    </row>
    <row r="93">
      <c r="A93" s="32" t="s">
        <v>240</v>
      </c>
      <c r="B93" s="33" t="s">
        <v>241</v>
      </c>
      <c r="C93" s="34" t="b">
        <v>0</v>
      </c>
    </row>
    <row r="94">
      <c r="A94" s="32" t="s">
        <v>298</v>
      </c>
      <c r="B94" s="33" t="s">
        <v>299</v>
      </c>
      <c r="C94" s="34" t="b">
        <v>1</v>
      </c>
      <c r="D94" s="5" t="s">
        <v>332</v>
      </c>
    </row>
    <row r="95">
      <c r="A95" s="32" t="s">
        <v>275</v>
      </c>
      <c r="B95" s="33" t="s">
        <v>276</v>
      </c>
      <c r="C95" s="34" t="b">
        <v>1</v>
      </c>
    </row>
    <row r="96">
      <c r="A96" s="32" t="s">
        <v>285</v>
      </c>
      <c r="B96" s="33" t="s">
        <v>286</v>
      </c>
      <c r="C96" s="34" t="b">
        <v>1</v>
      </c>
      <c r="D96" s="5" t="s">
        <v>333</v>
      </c>
    </row>
    <row r="97">
      <c r="A97" s="32" t="s">
        <v>162</v>
      </c>
      <c r="B97" s="33" t="s">
        <v>163</v>
      </c>
      <c r="C97" s="34" t="b">
        <v>0</v>
      </c>
    </row>
    <row r="98">
      <c r="A98" s="32" t="s">
        <v>307</v>
      </c>
      <c r="B98" s="33" t="s">
        <v>308</v>
      </c>
      <c r="C98" s="34" t="b">
        <v>0</v>
      </c>
    </row>
    <row r="99">
      <c r="A99" s="32" t="s">
        <v>279</v>
      </c>
      <c r="B99" s="33" t="s">
        <v>280</v>
      </c>
      <c r="C99" s="34" t="b">
        <v>0</v>
      </c>
    </row>
    <row r="100">
      <c r="A100" s="32" t="s">
        <v>129</v>
      </c>
      <c r="B100" s="33" t="s">
        <v>130</v>
      </c>
      <c r="C100" s="34" t="b">
        <v>0</v>
      </c>
    </row>
    <row r="101">
      <c r="A101" s="32" t="s">
        <v>198</v>
      </c>
      <c r="B101" s="33" t="s">
        <v>199</v>
      </c>
      <c r="C101" s="34" t="b">
        <v>1</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7" t="s">
        <v>334</v>
      </c>
      <c r="B1" s="37" t="s">
        <v>335</v>
      </c>
      <c r="C1" s="37" t="s">
        <v>336</v>
      </c>
      <c r="D1" s="37" t="s">
        <v>337</v>
      </c>
      <c r="E1" s="37" t="s">
        <v>338</v>
      </c>
      <c r="F1" s="37" t="s">
        <v>339</v>
      </c>
      <c r="G1" s="37" t="s">
        <v>340</v>
      </c>
      <c r="H1" s="37" t="s">
        <v>341</v>
      </c>
      <c r="I1" s="38" t="s">
        <v>342</v>
      </c>
      <c r="J1" s="37" t="s">
        <v>343</v>
      </c>
      <c r="K1" s="39" t="s">
        <v>344</v>
      </c>
    </row>
    <row r="2">
      <c r="A2" s="40" t="s">
        <v>345</v>
      </c>
      <c r="B2" s="40" t="s">
        <v>116</v>
      </c>
      <c r="C2" s="40" t="s">
        <v>117</v>
      </c>
      <c r="D2" s="41">
        <v>14.0</v>
      </c>
      <c r="E2" s="42">
        <v>9.0</v>
      </c>
      <c r="F2" s="42">
        <v>0.0</v>
      </c>
      <c r="G2" s="42">
        <v>9.0</v>
      </c>
      <c r="H2" s="42">
        <v>1.0</v>
      </c>
      <c r="I2" s="43" t="b">
        <v>0</v>
      </c>
      <c r="J2" s="12" t="s">
        <v>346</v>
      </c>
      <c r="K2" s="13" t="s">
        <v>347</v>
      </c>
    </row>
    <row r="3">
      <c r="A3" s="40" t="s">
        <v>348</v>
      </c>
      <c r="B3" s="40" t="s">
        <v>114</v>
      </c>
      <c r="C3" s="40" t="s">
        <v>115</v>
      </c>
      <c r="D3" s="41">
        <v>14.0</v>
      </c>
      <c r="E3" s="42">
        <v>8.0</v>
      </c>
      <c r="F3" s="42">
        <v>1.0</v>
      </c>
      <c r="G3" s="42">
        <v>9.0</v>
      </c>
      <c r="H3" s="42">
        <v>0.777777777777777</v>
      </c>
      <c r="I3" s="43" t="b">
        <v>0</v>
      </c>
      <c r="J3" s="12" t="s">
        <v>349</v>
      </c>
      <c r="K3" s="13" t="s">
        <v>347</v>
      </c>
    </row>
    <row r="4">
      <c r="A4" s="40" t="s">
        <v>348</v>
      </c>
      <c r="B4" s="40" t="s">
        <v>220</v>
      </c>
      <c r="C4" s="40" t="s">
        <v>221</v>
      </c>
      <c r="D4" s="41">
        <v>14.0</v>
      </c>
      <c r="E4" s="42">
        <v>1.0</v>
      </c>
      <c r="F4" s="42">
        <v>13.0</v>
      </c>
      <c r="G4" s="42">
        <v>14.0</v>
      </c>
      <c r="H4" s="42">
        <v>0.857142857142857</v>
      </c>
      <c r="I4" s="43" t="b">
        <v>1</v>
      </c>
      <c r="J4" s="12" t="s">
        <v>346</v>
      </c>
      <c r="K4" s="13" t="s">
        <v>347</v>
      </c>
    </row>
    <row r="5">
      <c r="A5" s="40" t="s">
        <v>350</v>
      </c>
      <c r="B5" s="40" t="s">
        <v>149</v>
      </c>
      <c r="C5" s="40" t="s">
        <v>150</v>
      </c>
      <c r="D5" s="41">
        <v>14.0</v>
      </c>
      <c r="E5" s="42">
        <v>5.0</v>
      </c>
      <c r="F5" s="42">
        <v>4.0</v>
      </c>
      <c r="G5" s="42">
        <v>9.0</v>
      </c>
      <c r="H5" s="42">
        <v>0.111111111111111</v>
      </c>
      <c r="I5" s="43" t="b">
        <v>0</v>
      </c>
      <c r="J5" s="12" t="s">
        <v>351</v>
      </c>
      <c r="K5" s="13" t="s">
        <v>347</v>
      </c>
    </row>
    <row r="6">
      <c r="A6" s="40" t="s">
        <v>352</v>
      </c>
      <c r="B6" s="40" t="s">
        <v>298</v>
      </c>
      <c r="C6" s="40" t="s">
        <v>299</v>
      </c>
      <c r="D6" s="41">
        <v>14.0</v>
      </c>
      <c r="E6" s="42">
        <v>4.0</v>
      </c>
      <c r="F6" s="42">
        <v>5.0</v>
      </c>
      <c r="G6" s="42">
        <v>9.0</v>
      </c>
      <c r="H6" s="42">
        <v>0.111111111111111</v>
      </c>
      <c r="I6" s="43" t="b">
        <v>1</v>
      </c>
      <c r="J6" s="12" t="s">
        <v>351</v>
      </c>
      <c r="K6" s="13" t="s">
        <v>347</v>
      </c>
    </row>
    <row r="7">
      <c r="A7" s="40" t="s">
        <v>352</v>
      </c>
      <c r="B7" s="40" t="s">
        <v>238</v>
      </c>
      <c r="C7" s="40" t="s">
        <v>239</v>
      </c>
      <c r="D7" s="41">
        <v>14.0</v>
      </c>
      <c r="E7" s="42">
        <v>8.0</v>
      </c>
      <c r="F7" s="42">
        <v>0.0</v>
      </c>
      <c r="G7" s="42">
        <v>8.0</v>
      </c>
      <c r="H7" s="42">
        <v>1.0</v>
      </c>
      <c r="I7" s="43" t="b">
        <v>0</v>
      </c>
      <c r="J7" s="12" t="s">
        <v>346</v>
      </c>
      <c r="K7" s="13" t="s">
        <v>347</v>
      </c>
    </row>
    <row r="8">
      <c r="A8" s="40" t="s">
        <v>353</v>
      </c>
      <c r="B8" s="40" t="s">
        <v>127</v>
      </c>
      <c r="C8" s="40" t="s">
        <v>128</v>
      </c>
      <c r="D8" s="41">
        <v>14.0</v>
      </c>
      <c r="E8" s="42">
        <v>6.0</v>
      </c>
      <c r="F8" s="42">
        <v>3.0</v>
      </c>
      <c r="G8" s="42">
        <v>9.0</v>
      </c>
      <c r="H8" s="42">
        <v>0.333333333333333</v>
      </c>
      <c r="I8" s="43" t="b">
        <v>0</v>
      </c>
      <c r="J8" s="12" t="s">
        <v>354</v>
      </c>
      <c r="K8" s="13" t="s">
        <v>347</v>
      </c>
    </row>
    <row r="9">
      <c r="A9" s="40" t="s">
        <v>355</v>
      </c>
      <c r="B9" s="40" t="s">
        <v>307</v>
      </c>
      <c r="C9" s="40" t="s">
        <v>308</v>
      </c>
      <c r="D9" s="41">
        <v>14.0</v>
      </c>
      <c r="E9" s="42">
        <v>710.0</v>
      </c>
      <c r="F9" s="42">
        <v>260.0</v>
      </c>
      <c r="G9" s="42">
        <v>970.0</v>
      </c>
      <c r="H9" s="42">
        <v>0.463917525773195</v>
      </c>
      <c r="I9" s="43" t="b">
        <v>0</v>
      </c>
      <c r="J9" s="12" t="s">
        <v>356</v>
      </c>
      <c r="K9" s="13" t="s">
        <v>347</v>
      </c>
    </row>
    <row r="10">
      <c r="A10" s="40" t="s">
        <v>355</v>
      </c>
      <c r="B10" s="40" t="s">
        <v>288</v>
      </c>
      <c r="C10" s="40" t="s">
        <v>289</v>
      </c>
      <c r="D10" s="41">
        <v>14.0</v>
      </c>
      <c r="E10" s="42">
        <v>4.0</v>
      </c>
      <c r="F10" s="42">
        <v>5.0</v>
      </c>
      <c r="G10" s="42">
        <v>9.0</v>
      </c>
      <c r="H10" s="42">
        <v>0.111111111111111</v>
      </c>
      <c r="I10" s="43" t="b">
        <v>1</v>
      </c>
      <c r="J10" s="12" t="s">
        <v>351</v>
      </c>
      <c r="K10" s="13" t="s">
        <v>347</v>
      </c>
    </row>
    <row r="11">
      <c r="A11" s="40" t="s">
        <v>357</v>
      </c>
      <c r="B11" s="40" t="s">
        <v>139</v>
      </c>
      <c r="C11" s="40" t="s">
        <v>140</v>
      </c>
      <c r="D11" s="41">
        <v>14.0</v>
      </c>
      <c r="E11" s="42">
        <v>7.0</v>
      </c>
      <c r="F11" s="42">
        <v>3.0</v>
      </c>
      <c r="G11" s="42">
        <v>10.0</v>
      </c>
      <c r="H11" s="42">
        <v>0.4</v>
      </c>
      <c r="I11" s="43" t="b">
        <v>0</v>
      </c>
      <c r="J11" s="12" t="s">
        <v>354</v>
      </c>
      <c r="K11" s="13" t="s">
        <v>347</v>
      </c>
    </row>
    <row r="12">
      <c r="A12" s="40" t="s">
        <v>357</v>
      </c>
      <c r="B12" s="40" t="s">
        <v>162</v>
      </c>
      <c r="C12" s="40" t="s">
        <v>163</v>
      </c>
      <c r="D12" s="41">
        <v>14.0</v>
      </c>
      <c r="E12" s="42">
        <v>9.0</v>
      </c>
      <c r="F12" s="42">
        <v>0.0</v>
      </c>
      <c r="G12" s="42">
        <v>9.0</v>
      </c>
      <c r="H12" s="42">
        <v>1.0</v>
      </c>
      <c r="I12" s="43" t="b">
        <v>0</v>
      </c>
      <c r="J12" s="12" t="s">
        <v>346</v>
      </c>
      <c r="K12" s="13" t="s">
        <v>347</v>
      </c>
    </row>
    <row r="13">
      <c r="A13" s="40" t="s">
        <v>358</v>
      </c>
      <c r="B13" s="40" t="s">
        <v>204</v>
      </c>
      <c r="C13" s="40" t="s">
        <v>205</v>
      </c>
      <c r="D13" s="41">
        <v>14.0</v>
      </c>
      <c r="E13" s="42">
        <v>2.0</v>
      </c>
      <c r="F13" s="42">
        <v>8.0</v>
      </c>
      <c r="G13" s="42">
        <v>10.0</v>
      </c>
      <c r="H13" s="42">
        <v>0.6</v>
      </c>
      <c r="I13" s="43" t="b">
        <v>1</v>
      </c>
      <c r="J13" s="12" t="s">
        <v>356</v>
      </c>
      <c r="K13" s="13" t="s">
        <v>347</v>
      </c>
    </row>
    <row r="14">
      <c r="A14" s="40" t="s">
        <v>358</v>
      </c>
      <c r="B14" s="40" t="s">
        <v>144</v>
      </c>
      <c r="C14" s="40" t="s">
        <v>145</v>
      </c>
      <c r="D14" s="41">
        <v>14.0</v>
      </c>
      <c r="E14" s="42">
        <v>1.0</v>
      </c>
      <c r="F14" s="42">
        <v>10.0</v>
      </c>
      <c r="G14" s="42">
        <v>11.0</v>
      </c>
      <c r="H14" s="42">
        <v>0.818181818181818</v>
      </c>
      <c r="I14" s="43" t="b">
        <v>1</v>
      </c>
      <c r="J14" s="12" t="s">
        <v>346</v>
      </c>
      <c r="K14" s="13" t="s">
        <v>347</v>
      </c>
    </row>
    <row r="15">
      <c r="A15" s="40" t="s">
        <v>359</v>
      </c>
      <c r="B15" s="40" t="s">
        <v>256</v>
      </c>
      <c r="C15" s="40" t="s">
        <v>257</v>
      </c>
      <c r="D15" s="41">
        <v>14.0</v>
      </c>
      <c r="E15" s="42">
        <v>3.0</v>
      </c>
      <c r="F15" s="42">
        <v>7.0</v>
      </c>
      <c r="G15" s="42">
        <v>10.0</v>
      </c>
      <c r="H15" s="42">
        <v>0.4</v>
      </c>
      <c r="I15" s="43" t="b">
        <v>1</v>
      </c>
      <c r="J15" s="12" t="s">
        <v>354</v>
      </c>
      <c r="K15" s="13" t="s">
        <v>347</v>
      </c>
    </row>
    <row r="16">
      <c r="A16" s="40" t="s">
        <v>360</v>
      </c>
      <c r="B16" s="40" t="s">
        <v>166</v>
      </c>
      <c r="C16" s="40" t="s">
        <v>167</v>
      </c>
      <c r="D16" s="41">
        <v>14.0</v>
      </c>
      <c r="E16" s="42">
        <v>3.0</v>
      </c>
      <c r="F16" s="42">
        <v>6.0</v>
      </c>
      <c r="G16" s="42">
        <v>9.0</v>
      </c>
      <c r="H16" s="42">
        <v>0.333333333333333</v>
      </c>
      <c r="I16" s="43" t="b">
        <v>1</v>
      </c>
      <c r="J16" s="12" t="s">
        <v>354</v>
      </c>
      <c r="K16" s="13" t="s">
        <v>347</v>
      </c>
    </row>
    <row r="17">
      <c r="A17" s="40" t="s">
        <v>361</v>
      </c>
      <c r="B17" s="40" t="s">
        <v>258</v>
      </c>
      <c r="C17" s="40" t="s">
        <v>259</v>
      </c>
      <c r="D17" s="41">
        <v>14.0</v>
      </c>
      <c r="E17" s="42">
        <v>3.0</v>
      </c>
      <c r="F17" s="42">
        <v>6.0</v>
      </c>
      <c r="G17" s="42">
        <v>9.0</v>
      </c>
      <c r="H17" s="42">
        <v>0.333333333333333</v>
      </c>
      <c r="I17" s="43" t="b">
        <v>1</v>
      </c>
      <c r="J17" s="12" t="s">
        <v>354</v>
      </c>
      <c r="K17" s="13" t="s">
        <v>347</v>
      </c>
    </row>
    <row r="18">
      <c r="A18" s="40" t="s">
        <v>362</v>
      </c>
      <c r="B18" s="40" t="s">
        <v>146</v>
      </c>
      <c r="C18" s="40" t="s">
        <v>147</v>
      </c>
      <c r="D18" s="41">
        <v>14.0</v>
      </c>
      <c r="E18" s="42">
        <v>3.0</v>
      </c>
      <c r="F18" s="42">
        <v>6.0</v>
      </c>
      <c r="G18" s="42">
        <v>9.0</v>
      </c>
      <c r="H18" s="42">
        <v>0.333333333333333</v>
      </c>
      <c r="I18" s="43" t="b">
        <v>1</v>
      </c>
      <c r="J18" s="12" t="s">
        <v>354</v>
      </c>
      <c r="K18" s="13" t="s">
        <v>347</v>
      </c>
    </row>
    <row r="19">
      <c r="A19" s="40" t="s">
        <v>363</v>
      </c>
      <c r="B19" s="40" t="s">
        <v>174</v>
      </c>
      <c r="C19" s="40" t="s">
        <v>175</v>
      </c>
      <c r="D19" s="41">
        <v>14.0</v>
      </c>
      <c r="E19" s="42">
        <v>0.0</v>
      </c>
      <c r="F19" s="42">
        <v>12.0</v>
      </c>
      <c r="G19" s="42">
        <v>12.0</v>
      </c>
      <c r="H19" s="42">
        <v>1.0</v>
      </c>
      <c r="I19" s="43" t="b">
        <v>1</v>
      </c>
      <c r="J19" s="12" t="s">
        <v>346</v>
      </c>
      <c r="K19" s="13" t="s">
        <v>347</v>
      </c>
    </row>
    <row r="20">
      <c r="A20" s="40" t="s">
        <v>363</v>
      </c>
      <c r="B20" s="40" t="s">
        <v>242</v>
      </c>
      <c r="C20" s="40" t="s">
        <v>243</v>
      </c>
      <c r="D20" s="41">
        <v>14.0</v>
      </c>
      <c r="E20" s="42">
        <v>1.0</v>
      </c>
      <c r="F20" s="42">
        <v>9.0</v>
      </c>
      <c r="G20" s="42">
        <v>10.0</v>
      </c>
      <c r="H20" s="42">
        <v>0.8</v>
      </c>
      <c r="I20" s="43" t="b">
        <v>1</v>
      </c>
      <c r="J20" s="12" t="s">
        <v>349</v>
      </c>
      <c r="K20" s="13" t="s">
        <v>347</v>
      </c>
    </row>
    <row r="21">
      <c r="A21" s="40" t="s">
        <v>364</v>
      </c>
      <c r="B21" s="40" t="s">
        <v>236</v>
      </c>
      <c r="C21" s="40" t="s">
        <v>237</v>
      </c>
      <c r="D21" s="41">
        <v>14.0</v>
      </c>
      <c r="E21" s="42">
        <v>3.0</v>
      </c>
      <c r="F21" s="42">
        <v>6.0</v>
      </c>
      <c r="G21" s="42">
        <v>9.0</v>
      </c>
      <c r="H21" s="42">
        <v>0.333333333333333</v>
      </c>
      <c r="I21" s="43" t="b">
        <v>1</v>
      </c>
      <c r="J21" s="12" t="s">
        <v>354</v>
      </c>
      <c r="K21" s="13" t="s">
        <v>347</v>
      </c>
    </row>
    <row r="22">
      <c r="A22" s="40" t="s">
        <v>364</v>
      </c>
      <c r="B22" s="40" t="s">
        <v>246</v>
      </c>
      <c r="C22" s="40" t="s">
        <v>247</v>
      </c>
      <c r="D22" s="41">
        <v>14.0</v>
      </c>
      <c r="E22" s="42">
        <v>2.0</v>
      </c>
      <c r="F22" s="42">
        <v>11.0</v>
      </c>
      <c r="G22" s="42">
        <v>13.0</v>
      </c>
      <c r="H22" s="42">
        <v>0.692307692307692</v>
      </c>
      <c r="I22" s="43" t="b">
        <v>1</v>
      </c>
      <c r="J22" s="12" t="s">
        <v>349</v>
      </c>
      <c r="K22" s="13" t="s">
        <v>347</v>
      </c>
    </row>
    <row r="23">
      <c r="A23" s="40" t="s">
        <v>365</v>
      </c>
      <c r="B23" s="40" t="s">
        <v>157</v>
      </c>
      <c r="C23" s="40" t="s">
        <v>158</v>
      </c>
      <c r="D23" s="41">
        <v>14.0</v>
      </c>
      <c r="E23" s="42">
        <v>4.0</v>
      </c>
      <c r="F23" s="42">
        <v>5.0</v>
      </c>
      <c r="G23" s="42">
        <v>9.0</v>
      </c>
      <c r="H23" s="42">
        <v>0.111111111111111</v>
      </c>
      <c r="I23" s="43" t="b">
        <v>1</v>
      </c>
      <c r="J23" s="12" t="s">
        <v>351</v>
      </c>
      <c r="K23" s="13" t="s">
        <v>347</v>
      </c>
    </row>
    <row r="24">
      <c r="A24" s="40" t="s">
        <v>366</v>
      </c>
      <c r="B24" s="40" t="s">
        <v>164</v>
      </c>
      <c r="C24" s="40" t="s">
        <v>165</v>
      </c>
      <c r="D24" s="41">
        <v>14.0</v>
      </c>
      <c r="E24" s="42">
        <v>0.0</v>
      </c>
      <c r="F24" s="42">
        <v>11.0</v>
      </c>
      <c r="G24" s="42">
        <v>11.0</v>
      </c>
      <c r="H24" s="42">
        <v>1.0</v>
      </c>
      <c r="I24" s="43" t="b">
        <v>1</v>
      </c>
      <c r="J24" s="12" t="s">
        <v>346</v>
      </c>
      <c r="K24" s="13" t="s">
        <v>347</v>
      </c>
    </row>
    <row r="25">
      <c r="A25" s="40" t="s">
        <v>367</v>
      </c>
      <c r="B25" s="40" t="s">
        <v>244</v>
      </c>
      <c r="C25" s="40" t="s">
        <v>245</v>
      </c>
      <c r="D25" s="41">
        <v>14.0</v>
      </c>
      <c r="E25" s="42">
        <v>1.0</v>
      </c>
      <c r="F25" s="42">
        <v>9.0</v>
      </c>
      <c r="G25" s="42">
        <v>10.0</v>
      </c>
      <c r="H25" s="42">
        <v>0.8</v>
      </c>
      <c r="I25" s="43" t="b">
        <v>1</v>
      </c>
      <c r="J25" s="12" t="s">
        <v>349</v>
      </c>
      <c r="K25" s="13" t="s">
        <v>347</v>
      </c>
    </row>
    <row r="26">
      <c r="A26" s="40" t="s">
        <v>368</v>
      </c>
      <c r="B26" s="40" t="s">
        <v>200</v>
      </c>
      <c r="C26" s="40" t="s">
        <v>201</v>
      </c>
      <c r="D26" s="41">
        <v>14.0</v>
      </c>
      <c r="E26" s="42">
        <v>8.0</v>
      </c>
      <c r="F26" s="42">
        <v>1.0</v>
      </c>
      <c r="G26" s="42">
        <v>9.0</v>
      </c>
      <c r="H26" s="42">
        <v>0.777777777777777</v>
      </c>
      <c r="I26" s="43" t="b">
        <v>0</v>
      </c>
      <c r="J26" s="12" t="s">
        <v>349</v>
      </c>
      <c r="K26" s="13" t="s">
        <v>347</v>
      </c>
    </row>
    <row r="27">
      <c r="A27" s="40" t="s">
        <v>368</v>
      </c>
      <c r="B27" s="40" t="s">
        <v>283</v>
      </c>
      <c r="C27" s="40" t="s">
        <v>284</v>
      </c>
      <c r="D27" s="41">
        <v>14.0</v>
      </c>
      <c r="E27" s="42">
        <v>2.0</v>
      </c>
      <c r="F27" s="42">
        <v>8.0</v>
      </c>
      <c r="G27" s="42">
        <v>10.0</v>
      </c>
      <c r="H27" s="42">
        <v>0.6</v>
      </c>
      <c r="I27" s="43" t="b">
        <v>1</v>
      </c>
      <c r="J27" s="12" t="s">
        <v>356</v>
      </c>
      <c r="K27" s="13" t="s">
        <v>347</v>
      </c>
    </row>
    <row r="28">
      <c r="A28" s="40" t="s">
        <v>368</v>
      </c>
      <c r="B28" s="40" t="s">
        <v>262</v>
      </c>
      <c r="C28" s="40" t="s">
        <v>263</v>
      </c>
      <c r="D28" s="41">
        <v>14.0</v>
      </c>
      <c r="E28" s="42">
        <v>9.0</v>
      </c>
      <c r="F28" s="42">
        <v>0.0</v>
      </c>
      <c r="G28" s="42">
        <v>9.0</v>
      </c>
      <c r="H28" s="42">
        <v>1.0</v>
      </c>
      <c r="I28" s="43" t="b">
        <v>0</v>
      </c>
      <c r="J28" s="12" t="s">
        <v>346</v>
      </c>
      <c r="K28" s="13" t="s">
        <v>347</v>
      </c>
    </row>
    <row r="29">
      <c r="A29" s="40" t="s">
        <v>369</v>
      </c>
      <c r="B29" s="40" t="s">
        <v>301</v>
      </c>
      <c r="C29" s="40" t="s">
        <v>302</v>
      </c>
      <c r="D29" s="41">
        <v>14.0</v>
      </c>
      <c r="E29" s="42">
        <v>5.0</v>
      </c>
      <c r="F29" s="42">
        <v>4.0</v>
      </c>
      <c r="G29" s="42">
        <v>9.0</v>
      </c>
      <c r="H29" s="42">
        <v>0.111111111111111</v>
      </c>
      <c r="I29" s="43" t="b">
        <v>0</v>
      </c>
      <c r="J29" s="12" t="s">
        <v>351</v>
      </c>
      <c r="K29" s="13" t="s">
        <v>347</v>
      </c>
    </row>
    <row r="30">
      <c r="A30" s="40" t="s">
        <v>370</v>
      </c>
      <c r="B30" s="40" t="s">
        <v>171</v>
      </c>
      <c r="C30" s="40" t="s">
        <v>172</v>
      </c>
      <c r="D30" s="41">
        <v>14.0</v>
      </c>
      <c r="E30" s="42">
        <v>4.0</v>
      </c>
      <c r="F30" s="42">
        <v>5.0</v>
      </c>
      <c r="G30" s="42">
        <v>9.0</v>
      </c>
      <c r="H30" s="42">
        <v>0.111111111111111</v>
      </c>
      <c r="I30" s="43" t="b">
        <v>1</v>
      </c>
      <c r="J30" s="12" t="s">
        <v>351</v>
      </c>
      <c r="K30" s="13" t="s">
        <v>347</v>
      </c>
    </row>
    <row r="31">
      <c r="A31" s="40" t="s">
        <v>371</v>
      </c>
      <c r="B31" s="40" t="s">
        <v>296</v>
      </c>
      <c r="C31" s="40" t="s">
        <v>297</v>
      </c>
      <c r="D31" s="41">
        <v>14.0</v>
      </c>
      <c r="E31" s="42">
        <v>5.0</v>
      </c>
      <c r="F31" s="42">
        <v>4.0</v>
      </c>
      <c r="G31" s="42">
        <v>9.0</v>
      </c>
      <c r="H31" s="42">
        <v>0.111111111111111</v>
      </c>
      <c r="I31" s="43" t="b">
        <v>0</v>
      </c>
      <c r="J31" s="12" t="s">
        <v>351</v>
      </c>
      <c r="K31" s="13" t="s">
        <v>347</v>
      </c>
    </row>
    <row r="32">
      <c r="A32" s="40" t="s">
        <v>372</v>
      </c>
      <c r="B32" s="40" t="s">
        <v>281</v>
      </c>
      <c r="C32" s="40" t="s">
        <v>282</v>
      </c>
      <c r="D32" s="41">
        <v>14.0</v>
      </c>
      <c r="E32" s="42">
        <v>1.0</v>
      </c>
      <c r="F32" s="42">
        <v>9.0</v>
      </c>
      <c r="G32" s="42">
        <v>10.0</v>
      </c>
      <c r="H32" s="42">
        <v>0.8</v>
      </c>
      <c r="I32" s="43" t="b">
        <v>1</v>
      </c>
      <c r="J32" s="12" t="s">
        <v>349</v>
      </c>
      <c r="K32" s="13" t="s">
        <v>347</v>
      </c>
    </row>
    <row r="33">
      <c r="A33" s="40" t="s">
        <v>373</v>
      </c>
      <c r="B33" s="40" t="s">
        <v>129</v>
      </c>
      <c r="C33" s="40" t="s">
        <v>130</v>
      </c>
      <c r="D33" s="41">
        <v>14.0</v>
      </c>
      <c r="E33" s="42">
        <v>8.0</v>
      </c>
      <c r="F33" s="42">
        <v>1.0</v>
      </c>
      <c r="G33" s="42">
        <v>9.0</v>
      </c>
      <c r="H33" s="42">
        <v>0.777777777777777</v>
      </c>
      <c r="I33" s="43" t="b">
        <v>0</v>
      </c>
      <c r="J33" s="12" t="s">
        <v>349</v>
      </c>
      <c r="K33" s="13" t="s">
        <v>347</v>
      </c>
    </row>
    <row r="34">
      <c r="A34" s="40" t="s">
        <v>373</v>
      </c>
      <c r="B34" s="40" t="s">
        <v>94</v>
      </c>
      <c r="C34" s="40" t="s">
        <v>95</v>
      </c>
      <c r="D34" s="41">
        <v>14.0</v>
      </c>
      <c r="E34" s="42">
        <v>7.0</v>
      </c>
      <c r="F34" s="42">
        <v>2.0</v>
      </c>
      <c r="G34" s="42">
        <v>9.0</v>
      </c>
      <c r="H34" s="42">
        <v>0.555555555555555</v>
      </c>
      <c r="I34" s="43" t="b">
        <v>0</v>
      </c>
      <c r="J34" s="12" t="s">
        <v>356</v>
      </c>
      <c r="K34" s="13" t="s">
        <v>347</v>
      </c>
    </row>
    <row r="35">
      <c r="A35" s="40" t="s">
        <v>374</v>
      </c>
      <c r="B35" s="40" t="s">
        <v>195</v>
      </c>
      <c r="C35" s="40" t="s">
        <v>196</v>
      </c>
      <c r="D35" s="41">
        <v>14.0</v>
      </c>
      <c r="E35" s="42">
        <v>8.0</v>
      </c>
      <c r="F35" s="42">
        <v>2.0</v>
      </c>
      <c r="G35" s="42">
        <v>10.0</v>
      </c>
      <c r="H35" s="42">
        <v>0.6</v>
      </c>
      <c r="I35" s="43" t="b">
        <v>0</v>
      </c>
      <c r="J35" s="12" t="s">
        <v>356</v>
      </c>
      <c r="K35" s="13" t="s">
        <v>347</v>
      </c>
    </row>
    <row r="36">
      <c r="A36" s="40" t="s">
        <v>375</v>
      </c>
      <c r="B36" s="40" t="s">
        <v>151</v>
      </c>
      <c r="C36" s="40" t="s">
        <v>152</v>
      </c>
      <c r="D36" s="41">
        <v>14.0</v>
      </c>
      <c r="E36" s="42">
        <v>7.0</v>
      </c>
      <c r="F36" s="42">
        <v>2.0</v>
      </c>
      <c r="G36" s="42">
        <v>9.0</v>
      </c>
      <c r="H36" s="42">
        <v>0.555555555555555</v>
      </c>
      <c r="I36" s="43" t="b">
        <v>0</v>
      </c>
      <c r="J36" s="12" t="s">
        <v>356</v>
      </c>
      <c r="K36" s="13" t="s">
        <v>347</v>
      </c>
    </row>
    <row r="37">
      <c r="A37" s="40" t="s">
        <v>376</v>
      </c>
      <c r="B37" s="40" t="s">
        <v>279</v>
      </c>
      <c r="C37" s="40" t="s">
        <v>280</v>
      </c>
      <c r="D37" s="41">
        <v>14.0</v>
      </c>
      <c r="E37" s="42">
        <v>7.0</v>
      </c>
      <c r="F37" s="42">
        <v>3.0</v>
      </c>
      <c r="G37" s="42">
        <v>10.0</v>
      </c>
      <c r="H37" s="42">
        <v>0.4</v>
      </c>
      <c r="I37" s="43" t="b">
        <v>0</v>
      </c>
      <c r="J37" s="12" t="s">
        <v>354</v>
      </c>
      <c r="K37" s="13" t="s">
        <v>347</v>
      </c>
    </row>
    <row r="38">
      <c r="A38" s="40" t="s">
        <v>377</v>
      </c>
      <c r="B38" s="40" t="s">
        <v>294</v>
      </c>
      <c r="C38" s="40" t="s">
        <v>295</v>
      </c>
      <c r="D38" s="41">
        <v>14.0</v>
      </c>
      <c r="E38" s="42">
        <v>7.0</v>
      </c>
      <c r="F38" s="42">
        <v>2.0</v>
      </c>
      <c r="G38" s="42">
        <v>9.0</v>
      </c>
      <c r="H38" s="42">
        <v>0.555555555555555</v>
      </c>
      <c r="I38" s="43" t="b">
        <v>0</v>
      </c>
      <c r="J38" s="12" t="s">
        <v>356</v>
      </c>
      <c r="K38" s="13" t="s">
        <v>347</v>
      </c>
    </row>
    <row r="39">
      <c r="A39" s="40" t="s">
        <v>378</v>
      </c>
      <c r="B39" s="40" t="s">
        <v>248</v>
      </c>
      <c r="C39" s="40" t="s">
        <v>249</v>
      </c>
      <c r="D39" s="41">
        <v>14.0</v>
      </c>
      <c r="E39" s="42">
        <v>6.0</v>
      </c>
      <c r="F39" s="42">
        <v>3.0</v>
      </c>
      <c r="G39" s="42">
        <v>9.0</v>
      </c>
      <c r="H39" s="42">
        <v>0.333333333333333</v>
      </c>
      <c r="I39" s="43" t="b">
        <v>0</v>
      </c>
      <c r="J39" s="12" t="s">
        <v>354</v>
      </c>
      <c r="K39" s="13" t="s">
        <v>347</v>
      </c>
    </row>
    <row r="40">
      <c r="A40" s="40" t="s">
        <v>378</v>
      </c>
      <c r="B40" s="40" t="s">
        <v>232</v>
      </c>
      <c r="C40" s="40" t="s">
        <v>233</v>
      </c>
      <c r="D40" s="41">
        <v>14.0</v>
      </c>
      <c r="E40" s="42">
        <v>6.0</v>
      </c>
      <c r="F40" s="42">
        <v>3.0</v>
      </c>
      <c r="G40" s="42">
        <v>9.0</v>
      </c>
      <c r="H40" s="42">
        <v>0.333333333333333</v>
      </c>
      <c r="I40" s="43" t="b">
        <v>0</v>
      </c>
      <c r="J40" s="12" t="s">
        <v>354</v>
      </c>
      <c r="K40" s="13" t="s">
        <v>347</v>
      </c>
    </row>
    <row r="41">
      <c r="A41" s="40" t="s">
        <v>379</v>
      </c>
      <c r="B41" s="40" t="s">
        <v>137</v>
      </c>
      <c r="C41" s="40" t="s">
        <v>138</v>
      </c>
      <c r="D41" s="41">
        <v>14.0</v>
      </c>
      <c r="E41" s="42">
        <v>8.0</v>
      </c>
      <c r="F41" s="42">
        <v>1.0</v>
      </c>
      <c r="G41" s="42">
        <v>9.0</v>
      </c>
      <c r="H41" s="42">
        <v>0.777777777777777</v>
      </c>
      <c r="I41" s="43" t="b">
        <v>0</v>
      </c>
      <c r="J41" s="12" t="s">
        <v>349</v>
      </c>
      <c r="K41" s="13" t="s">
        <v>347</v>
      </c>
    </row>
    <row r="42">
      <c r="A42" s="40" t="s">
        <v>379</v>
      </c>
      <c r="B42" s="40" t="s">
        <v>118</v>
      </c>
      <c r="C42" s="40" t="s">
        <v>119</v>
      </c>
      <c r="D42" s="41">
        <v>14.0</v>
      </c>
      <c r="E42" s="42">
        <v>8.0</v>
      </c>
      <c r="F42" s="42">
        <v>1.0</v>
      </c>
      <c r="G42" s="42">
        <v>9.0</v>
      </c>
      <c r="H42" s="42">
        <v>0.777777777777777</v>
      </c>
      <c r="I42" s="43" t="b">
        <v>0</v>
      </c>
      <c r="J42" s="12" t="s">
        <v>349</v>
      </c>
      <c r="K42" s="13" t="s">
        <v>347</v>
      </c>
    </row>
    <row r="43">
      <c r="A43" s="40" t="s">
        <v>380</v>
      </c>
      <c r="B43" s="40" t="s">
        <v>266</v>
      </c>
      <c r="C43" s="40" t="s">
        <v>267</v>
      </c>
      <c r="D43" s="41">
        <v>14.0</v>
      </c>
      <c r="E43" s="42">
        <v>1.0</v>
      </c>
      <c r="F43" s="42">
        <v>9.0</v>
      </c>
      <c r="G43" s="42">
        <v>10.0</v>
      </c>
      <c r="H43" s="42">
        <v>0.8</v>
      </c>
      <c r="I43" s="43" t="b">
        <v>1</v>
      </c>
      <c r="J43" s="12" t="s">
        <v>349</v>
      </c>
      <c r="K43" s="13" t="s">
        <v>347</v>
      </c>
    </row>
    <row r="44">
      <c r="A44" s="40" t="s">
        <v>381</v>
      </c>
      <c r="B44" s="40" t="s">
        <v>98</v>
      </c>
      <c r="C44" s="40" t="s">
        <v>99</v>
      </c>
      <c r="D44" s="41">
        <v>14.0</v>
      </c>
      <c r="E44" s="42">
        <v>2.0</v>
      </c>
      <c r="F44" s="42">
        <v>8.0</v>
      </c>
      <c r="G44" s="42">
        <v>10.0</v>
      </c>
      <c r="H44" s="42">
        <v>0.6</v>
      </c>
      <c r="I44" s="43" t="b">
        <v>1</v>
      </c>
      <c r="J44" s="12" t="s">
        <v>356</v>
      </c>
      <c r="K44" s="13" t="s">
        <v>347</v>
      </c>
    </row>
    <row r="45">
      <c r="A45" s="40" t="s">
        <v>382</v>
      </c>
      <c r="B45" s="40" t="s">
        <v>191</v>
      </c>
      <c r="C45" s="40" t="s">
        <v>192</v>
      </c>
      <c r="D45" s="41">
        <v>14.0</v>
      </c>
      <c r="E45" s="42">
        <v>5.0</v>
      </c>
      <c r="F45" s="42">
        <v>4.0</v>
      </c>
      <c r="G45" s="42">
        <v>9.0</v>
      </c>
      <c r="H45" s="42">
        <v>0.111111111111111</v>
      </c>
      <c r="I45" s="43" t="b">
        <v>0</v>
      </c>
      <c r="J45" s="12" t="s">
        <v>351</v>
      </c>
      <c r="K45" s="13" t="s">
        <v>347</v>
      </c>
    </row>
    <row r="46">
      <c r="A46" s="40" t="s">
        <v>383</v>
      </c>
      <c r="B46" s="40" t="s">
        <v>188</v>
      </c>
      <c r="C46" s="40" t="s">
        <v>189</v>
      </c>
      <c r="D46" s="41">
        <v>14.0</v>
      </c>
      <c r="E46" s="42">
        <v>3.0</v>
      </c>
      <c r="F46" s="42">
        <v>9.0</v>
      </c>
      <c r="G46" s="42">
        <v>12.0</v>
      </c>
      <c r="H46" s="42">
        <v>0.5</v>
      </c>
      <c r="I46" s="43" t="b">
        <v>1</v>
      </c>
      <c r="J46" s="12" t="s">
        <v>356</v>
      </c>
      <c r="K46" s="13" t="s">
        <v>347</v>
      </c>
    </row>
    <row r="47">
      <c r="A47" s="40" t="s">
        <v>384</v>
      </c>
      <c r="B47" s="40" t="s">
        <v>202</v>
      </c>
      <c r="C47" s="40" t="s">
        <v>203</v>
      </c>
      <c r="D47" s="41">
        <v>14.0</v>
      </c>
      <c r="E47" s="42">
        <v>9.0</v>
      </c>
      <c r="F47" s="42">
        <v>0.0</v>
      </c>
      <c r="G47" s="42">
        <v>9.0</v>
      </c>
      <c r="H47" s="42">
        <v>1.0</v>
      </c>
      <c r="I47" s="43" t="b">
        <v>0</v>
      </c>
      <c r="J47" s="12" t="s">
        <v>346</v>
      </c>
      <c r="K47" s="13" t="s">
        <v>347</v>
      </c>
    </row>
    <row r="48">
      <c r="A48" s="40" t="s">
        <v>385</v>
      </c>
      <c r="B48" s="40" t="s">
        <v>103</v>
      </c>
      <c r="C48" s="40" t="s">
        <v>104</v>
      </c>
      <c r="D48" s="41">
        <v>14.0</v>
      </c>
      <c r="E48" s="42">
        <v>3.0</v>
      </c>
      <c r="F48" s="42">
        <v>10.0</v>
      </c>
      <c r="G48" s="42">
        <v>13.0</v>
      </c>
      <c r="H48" s="42">
        <v>0.538461538461538</v>
      </c>
      <c r="I48" s="43" t="b">
        <v>1</v>
      </c>
      <c r="J48" s="12" t="s">
        <v>356</v>
      </c>
      <c r="K48" s="13" t="s">
        <v>347</v>
      </c>
    </row>
    <row r="49">
      <c r="A49" s="40" t="s">
        <v>386</v>
      </c>
      <c r="B49" s="40" t="s">
        <v>122</v>
      </c>
      <c r="C49" s="40" t="s">
        <v>123</v>
      </c>
      <c r="D49" s="41">
        <v>14.0</v>
      </c>
      <c r="E49" s="42">
        <v>4.0</v>
      </c>
      <c r="F49" s="42">
        <v>6.0</v>
      </c>
      <c r="G49" s="42">
        <v>10.0</v>
      </c>
      <c r="H49" s="42">
        <v>0.2</v>
      </c>
      <c r="I49" s="43" t="b">
        <v>1</v>
      </c>
      <c r="J49" s="12" t="s">
        <v>351</v>
      </c>
      <c r="K49" s="13" t="s">
        <v>347</v>
      </c>
    </row>
    <row r="50">
      <c r="A50" s="40" t="s">
        <v>387</v>
      </c>
      <c r="B50" s="40" t="s">
        <v>224</v>
      </c>
      <c r="C50" s="40" t="s">
        <v>225</v>
      </c>
      <c r="D50" s="41">
        <v>14.0</v>
      </c>
      <c r="E50" s="42">
        <v>6.0</v>
      </c>
      <c r="F50" s="42">
        <v>4.0</v>
      </c>
      <c r="G50" s="42">
        <v>10.0</v>
      </c>
      <c r="H50" s="42">
        <v>0.2</v>
      </c>
      <c r="I50" s="43" t="b">
        <v>0</v>
      </c>
      <c r="J50" s="12" t="s">
        <v>351</v>
      </c>
      <c r="K50" s="13" t="s">
        <v>347</v>
      </c>
    </row>
    <row r="51">
      <c r="A51" s="40" t="s">
        <v>387</v>
      </c>
      <c r="B51" s="40" t="s">
        <v>193</v>
      </c>
      <c r="C51" s="40" t="s">
        <v>194</v>
      </c>
      <c r="D51" s="41">
        <v>14.0</v>
      </c>
      <c r="E51" s="42">
        <v>0.0</v>
      </c>
      <c r="F51" s="42">
        <v>14.0</v>
      </c>
      <c r="G51" s="42">
        <v>14.0</v>
      </c>
      <c r="H51" s="42">
        <v>1.0</v>
      </c>
      <c r="I51" s="43" t="b">
        <v>1</v>
      </c>
      <c r="J51" s="12" t="s">
        <v>346</v>
      </c>
      <c r="K51" s="13" t="s">
        <v>347</v>
      </c>
    </row>
    <row r="52">
      <c r="A52" s="40" t="s">
        <v>388</v>
      </c>
      <c r="B52" s="40" t="s">
        <v>285</v>
      </c>
      <c r="C52" s="40" t="s">
        <v>286</v>
      </c>
      <c r="D52" s="41">
        <v>14.0</v>
      </c>
      <c r="E52" s="42">
        <v>5.0</v>
      </c>
      <c r="F52" s="42">
        <v>4.0</v>
      </c>
      <c r="G52" s="42">
        <v>9.0</v>
      </c>
      <c r="H52" s="42">
        <v>0.111111111111111</v>
      </c>
      <c r="I52" s="43" t="b">
        <v>0</v>
      </c>
      <c r="J52" s="12" t="s">
        <v>351</v>
      </c>
      <c r="K52" s="12" t="s">
        <v>33</v>
      </c>
    </row>
    <row r="53">
      <c r="A53" s="40" t="s">
        <v>389</v>
      </c>
      <c r="B53" s="40" t="s">
        <v>183</v>
      </c>
      <c r="C53" s="40" t="s">
        <v>184</v>
      </c>
      <c r="D53" s="41">
        <v>14.0</v>
      </c>
      <c r="E53" s="42">
        <v>3.0</v>
      </c>
      <c r="F53" s="42">
        <v>6.0</v>
      </c>
      <c r="G53" s="42">
        <v>9.0</v>
      </c>
      <c r="H53" s="42">
        <v>0.333333333333333</v>
      </c>
      <c r="I53" s="43" t="b">
        <v>1</v>
      </c>
      <c r="J53" s="12" t="s">
        <v>354</v>
      </c>
      <c r="K53" s="12" t="s">
        <v>33</v>
      </c>
    </row>
    <row r="54">
      <c r="A54" s="40" t="s">
        <v>390</v>
      </c>
      <c r="B54" s="40" t="s">
        <v>153</v>
      </c>
      <c r="C54" s="40" t="s">
        <v>154</v>
      </c>
      <c r="D54" s="41">
        <v>14.0</v>
      </c>
      <c r="E54" s="42">
        <v>1.0</v>
      </c>
      <c r="F54" s="42">
        <v>2.0</v>
      </c>
      <c r="G54" s="42">
        <v>3.0</v>
      </c>
      <c r="H54" s="42">
        <v>0.333333333333333</v>
      </c>
      <c r="I54" s="43" t="b">
        <v>1</v>
      </c>
      <c r="J54" s="12" t="s">
        <v>354</v>
      </c>
      <c r="K54" s="12" t="s">
        <v>33</v>
      </c>
    </row>
    <row r="55">
      <c r="A55" s="40" t="s">
        <v>391</v>
      </c>
      <c r="B55" s="40" t="s">
        <v>155</v>
      </c>
      <c r="C55" s="40" t="s">
        <v>156</v>
      </c>
      <c r="D55" s="41">
        <v>14.0</v>
      </c>
      <c r="E55" s="42">
        <v>1.0</v>
      </c>
      <c r="F55" s="42">
        <v>3.0</v>
      </c>
      <c r="G55" s="42">
        <v>4.0</v>
      </c>
      <c r="H55" s="42">
        <v>0.5</v>
      </c>
      <c r="I55" s="43" t="b">
        <v>1</v>
      </c>
      <c r="J55" s="12" t="s">
        <v>356</v>
      </c>
      <c r="K55" s="12" t="s">
        <v>33</v>
      </c>
    </row>
    <row r="56">
      <c r="A56" s="40" t="s">
        <v>358</v>
      </c>
      <c r="B56" s="40" t="s">
        <v>305</v>
      </c>
      <c r="C56" s="40" t="s">
        <v>306</v>
      </c>
      <c r="D56" s="41">
        <v>14.0</v>
      </c>
      <c r="E56" s="42">
        <v>2.0</v>
      </c>
      <c r="F56" s="42">
        <v>3.0</v>
      </c>
      <c r="G56" s="42">
        <v>5.0</v>
      </c>
      <c r="H56" s="42">
        <v>0.2</v>
      </c>
      <c r="I56" s="43" t="b">
        <v>1</v>
      </c>
      <c r="J56" s="12" t="s">
        <v>351</v>
      </c>
      <c r="K56" s="12" t="s">
        <v>33</v>
      </c>
    </row>
    <row r="57">
      <c r="A57" s="40" t="s">
        <v>392</v>
      </c>
      <c r="B57" s="40" t="s">
        <v>234</v>
      </c>
      <c r="C57" s="40" t="s">
        <v>235</v>
      </c>
      <c r="D57" s="41">
        <v>14.0</v>
      </c>
      <c r="E57" s="42">
        <v>5.0</v>
      </c>
      <c r="F57" s="42">
        <v>4.0</v>
      </c>
      <c r="G57" s="42">
        <v>9.0</v>
      </c>
      <c r="H57" s="42">
        <v>0.111111111111111</v>
      </c>
      <c r="I57" s="43" t="b">
        <v>0</v>
      </c>
      <c r="J57" s="12" t="s">
        <v>351</v>
      </c>
      <c r="K57" s="12" t="s">
        <v>33</v>
      </c>
    </row>
    <row r="58">
      <c r="A58" s="40" t="s">
        <v>393</v>
      </c>
      <c r="B58" s="40" t="s">
        <v>271</v>
      </c>
      <c r="C58" s="40" t="s">
        <v>272</v>
      </c>
      <c r="D58" s="41">
        <v>14.0</v>
      </c>
      <c r="E58" s="42">
        <v>8.0</v>
      </c>
      <c r="F58" s="42">
        <v>1.0</v>
      </c>
      <c r="G58" s="42">
        <v>9.0</v>
      </c>
      <c r="H58" s="42">
        <v>0.777777777777777</v>
      </c>
      <c r="I58" s="43" t="b">
        <v>0</v>
      </c>
      <c r="J58" s="12" t="s">
        <v>349</v>
      </c>
      <c r="K58" s="12" t="s">
        <v>33</v>
      </c>
    </row>
    <row r="59">
      <c r="A59" s="40" t="s">
        <v>394</v>
      </c>
      <c r="B59" s="40" t="s">
        <v>216</v>
      </c>
      <c r="C59" s="40" t="s">
        <v>217</v>
      </c>
      <c r="D59" s="41">
        <v>14.0</v>
      </c>
      <c r="E59" s="42">
        <v>5.0</v>
      </c>
      <c r="F59" s="42">
        <v>1.0</v>
      </c>
      <c r="G59" s="42">
        <v>6.0</v>
      </c>
      <c r="H59" s="42">
        <v>0.666666666666666</v>
      </c>
      <c r="I59" s="43" t="b">
        <v>0</v>
      </c>
      <c r="J59" s="12" t="s">
        <v>349</v>
      </c>
      <c r="K59" s="12" t="s">
        <v>33</v>
      </c>
    </row>
    <row r="60">
      <c r="A60" s="40" t="s">
        <v>395</v>
      </c>
      <c r="B60" s="40" t="s">
        <v>273</v>
      </c>
      <c r="C60" s="40" t="s">
        <v>274</v>
      </c>
      <c r="D60" s="41">
        <v>14.0</v>
      </c>
      <c r="E60" s="42">
        <v>5.0</v>
      </c>
      <c r="F60" s="42">
        <v>4.0</v>
      </c>
      <c r="G60" s="42">
        <v>9.0</v>
      </c>
      <c r="H60" s="42">
        <v>0.111111111111111</v>
      </c>
      <c r="I60" s="43" t="b">
        <v>0</v>
      </c>
      <c r="J60" s="12" t="s">
        <v>351</v>
      </c>
      <c r="K60" s="12" t="s">
        <v>33</v>
      </c>
    </row>
    <row r="61">
      <c r="A61" s="40" t="s">
        <v>375</v>
      </c>
      <c r="B61" s="40" t="s">
        <v>185</v>
      </c>
      <c r="C61" s="40" t="s">
        <v>186</v>
      </c>
      <c r="D61" s="41">
        <v>14.0</v>
      </c>
      <c r="E61" s="42">
        <v>4.0</v>
      </c>
      <c r="F61" s="42">
        <v>5.0</v>
      </c>
      <c r="G61" s="42">
        <v>9.0</v>
      </c>
      <c r="H61" s="42">
        <v>0.111111111111111</v>
      </c>
      <c r="I61" s="43" t="b">
        <v>1</v>
      </c>
      <c r="J61" s="12" t="s">
        <v>351</v>
      </c>
      <c r="K61" s="12" t="s">
        <v>33</v>
      </c>
    </row>
    <row r="62">
      <c r="A62" s="40" t="s">
        <v>350</v>
      </c>
      <c r="B62" s="40" t="s">
        <v>264</v>
      </c>
      <c r="C62" s="40" t="s">
        <v>265</v>
      </c>
      <c r="D62" s="41">
        <v>14.0</v>
      </c>
      <c r="E62" s="42">
        <v>0.0</v>
      </c>
      <c r="F62" s="42">
        <v>3.0</v>
      </c>
      <c r="G62" s="42">
        <v>3.0</v>
      </c>
      <c r="H62" s="42">
        <v>1.0</v>
      </c>
      <c r="I62" s="43" t="b">
        <v>1</v>
      </c>
      <c r="J62" s="12" t="s">
        <v>346</v>
      </c>
      <c r="K62" s="12" t="s">
        <v>396</v>
      </c>
    </row>
    <row r="63">
      <c r="A63" s="40" t="s">
        <v>397</v>
      </c>
      <c r="B63" s="40" t="s">
        <v>254</v>
      </c>
      <c r="C63" s="40" t="s">
        <v>255</v>
      </c>
      <c r="D63" s="41">
        <v>14.0</v>
      </c>
      <c r="E63" s="42">
        <v>2.0</v>
      </c>
      <c r="F63" s="42">
        <v>1.0</v>
      </c>
      <c r="G63" s="42">
        <v>3.0</v>
      </c>
      <c r="H63" s="42">
        <v>0.333333333333333</v>
      </c>
      <c r="I63" s="43" t="b">
        <v>0</v>
      </c>
      <c r="J63" s="12" t="s">
        <v>354</v>
      </c>
      <c r="K63" s="12" t="s">
        <v>396</v>
      </c>
    </row>
    <row r="64">
      <c r="A64" s="40" t="s">
        <v>370</v>
      </c>
      <c r="B64" s="40" t="s">
        <v>141</v>
      </c>
      <c r="C64" s="40" t="s">
        <v>142</v>
      </c>
      <c r="D64" s="41">
        <v>14.0</v>
      </c>
      <c r="E64" s="42">
        <v>3.0</v>
      </c>
      <c r="F64" s="42">
        <v>0.0</v>
      </c>
      <c r="G64" s="42">
        <v>3.0</v>
      </c>
      <c r="H64" s="42">
        <v>1.0</v>
      </c>
      <c r="I64" s="43" t="b">
        <v>0</v>
      </c>
      <c r="J64" s="12" t="s">
        <v>346</v>
      </c>
      <c r="K64" s="12" t="s">
        <v>396</v>
      </c>
    </row>
    <row r="65">
      <c r="A65" s="40" t="s">
        <v>398</v>
      </c>
      <c r="B65" s="40" t="s">
        <v>269</v>
      </c>
      <c r="C65" s="40" t="s">
        <v>270</v>
      </c>
      <c r="D65" s="41">
        <v>14.0</v>
      </c>
      <c r="E65" s="42">
        <v>1.0</v>
      </c>
      <c r="F65" s="42">
        <v>3.0</v>
      </c>
      <c r="G65" s="42">
        <v>4.0</v>
      </c>
      <c r="H65" s="42">
        <v>0.5</v>
      </c>
      <c r="I65" s="43" t="b">
        <v>1</v>
      </c>
      <c r="J65" s="12" t="s">
        <v>356</v>
      </c>
      <c r="K65" s="12" t="s">
        <v>396</v>
      </c>
    </row>
    <row r="66">
      <c r="A66" s="40" t="s">
        <v>370</v>
      </c>
      <c r="B66" s="40" t="s">
        <v>181</v>
      </c>
      <c r="C66" s="40" t="s">
        <v>182</v>
      </c>
      <c r="D66" s="41">
        <v>14.0</v>
      </c>
      <c r="E66" s="42">
        <v>1.0</v>
      </c>
      <c r="F66" s="42">
        <v>8.0</v>
      </c>
      <c r="G66" s="42">
        <v>9.0</v>
      </c>
      <c r="H66" s="42">
        <v>0.777777777777777</v>
      </c>
      <c r="I66" s="43" t="b">
        <v>1</v>
      </c>
      <c r="J66" s="12" t="s">
        <v>349</v>
      </c>
      <c r="K66" s="12" t="s">
        <v>399</v>
      </c>
    </row>
    <row r="67">
      <c r="A67" s="40" t="s">
        <v>400</v>
      </c>
      <c r="B67" s="40" t="s">
        <v>292</v>
      </c>
      <c r="C67" s="40" t="s">
        <v>293</v>
      </c>
      <c r="D67" s="41">
        <v>14.0</v>
      </c>
      <c r="E67" s="42">
        <v>1.0</v>
      </c>
      <c r="F67" s="42">
        <v>2.0</v>
      </c>
      <c r="G67" s="42">
        <v>3.0</v>
      </c>
      <c r="H67" s="42">
        <v>0.333333333333333</v>
      </c>
      <c r="I67" s="43" t="b">
        <v>1</v>
      </c>
      <c r="J67" s="12" t="s">
        <v>354</v>
      </c>
      <c r="K67" s="12" t="s">
        <v>399</v>
      </c>
    </row>
    <row r="68">
      <c r="A68" s="40" t="s">
        <v>401</v>
      </c>
      <c r="B68" s="40" t="s">
        <v>250</v>
      </c>
      <c r="C68" s="40" t="s">
        <v>251</v>
      </c>
      <c r="D68" s="41">
        <v>14.0</v>
      </c>
      <c r="E68" s="42">
        <v>4.0</v>
      </c>
      <c r="F68" s="42">
        <v>1.0</v>
      </c>
      <c r="G68" s="42">
        <v>5.0</v>
      </c>
      <c r="H68" s="42">
        <v>0.6</v>
      </c>
      <c r="I68" s="43" t="b">
        <v>0</v>
      </c>
      <c r="J68" s="12" t="s">
        <v>356</v>
      </c>
      <c r="K68" s="12" t="s">
        <v>399</v>
      </c>
    </row>
    <row r="69">
      <c r="A69" s="40" t="s">
        <v>402</v>
      </c>
      <c r="B69" s="40" t="s">
        <v>206</v>
      </c>
      <c r="C69" s="40" t="s">
        <v>207</v>
      </c>
      <c r="D69" s="41">
        <v>14.0</v>
      </c>
      <c r="E69" s="42">
        <v>5.0</v>
      </c>
      <c r="F69" s="42">
        <v>4.0</v>
      </c>
      <c r="G69" s="42">
        <v>9.0</v>
      </c>
      <c r="H69" s="42">
        <v>0.111111111111111</v>
      </c>
      <c r="I69" s="43" t="b">
        <v>0</v>
      </c>
      <c r="J69" s="12" t="s">
        <v>351</v>
      </c>
      <c r="K69" s="12" t="s">
        <v>399</v>
      </c>
    </row>
    <row r="70">
      <c r="A70" s="40" t="s">
        <v>353</v>
      </c>
      <c r="B70" s="40" t="s">
        <v>230</v>
      </c>
      <c r="C70" s="40" t="s">
        <v>231</v>
      </c>
      <c r="D70" s="41">
        <v>14.0</v>
      </c>
      <c r="E70" s="42">
        <v>2.0</v>
      </c>
      <c r="F70" s="42">
        <v>1.0</v>
      </c>
      <c r="G70" s="42">
        <v>3.0</v>
      </c>
      <c r="H70" s="42">
        <v>0.333333333333333</v>
      </c>
      <c r="I70" s="43" t="b">
        <v>0</v>
      </c>
      <c r="J70" s="12" t="s">
        <v>354</v>
      </c>
      <c r="K70" s="12" t="s">
        <v>403</v>
      </c>
    </row>
    <row r="71">
      <c r="A71" s="40" t="s">
        <v>404</v>
      </c>
      <c r="B71" s="40" t="s">
        <v>228</v>
      </c>
      <c r="C71" s="40" t="s">
        <v>229</v>
      </c>
      <c r="D71" s="41">
        <v>14.0</v>
      </c>
      <c r="E71" s="42">
        <v>3.0</v>
      </c>
      <c r="F71" s="42">
        <v>0.0</v>
      </c>
      <c r="G71" s="42">
        <v>3.0</v>
      </c>
      <c r="H71" s="42">
        <v>1.0</v>
      </c>
      <c r="I71" s="43" t="b">
        <v>0</v>
      </c>
      <c r="J71" s="12" t="s">
        <v>346</v>
      </c>
      <c r="K71" s="12" t="s">
        <v>403</v>
      </c>
    </row>
    <row r="72">
      <c r="A72" s="40" t="s">
        <v>405</v>
      </c>
      <c r="B72" s="40" t="s">
        <v>303</v>
      </c>
      <c r="C72" s="40" t="s">
        <v>304</v>
      </c>
      <c r="D72" s="41">
        <v>14.0</v>
      </c>
      <c r="E72" s="42">
        <v>0.0</v>
      </c>
      <c r="F72" s="42">
        <v>3.0</v>
      </c>
      <c r="G72" s="42">
        <v>3.0</v>
      </c>
      <c r="H72" s="42">
        <v>1.0</v>
      </c>
      <c r="I72" s="43" t="b">
        <v>1</v>
      </c>
      <c r="J72" s="12" t="s">
        <v>346</v>
      </c>
      <c r="K72" s="12" t="s">
        <v>403</v>
      </c>
    </row>
    <row r="73">
      <c r="A73" s="40" t="s">
        <v>406</v>
      </c>
      <c r="B73" s="40" t="s">
        <v>209</v>
      </c>
      <c r="C73" s="40" t="s">
        <v>210</v>
      </c>
      <c r="D73" s="41">
        <v>14.0</v>
      </c>
      <c r="E73" s="42">
        <v>1.0</v>
      </c>
      <c r="F73" s="42">
        <v>8.0</v>
      </c>
      <c r="G73" s="42">
        <v>9.0</v>
      </c>
      <c r="H73" s="42">
        <v>0.777777777777777</v>
      </c>
      <c r="I73" s="43" t="b">
        <v>1</v>
      </c>
      <c r="J73" s="12" t="s">
        <v>349</v>
      </c>
      <c r="K73" s="12" t="s">
        <v>403</v>
      </c>
    </row>
    <row r="74">
      <c r="A74" s="40" t="s">
        <v>407</v>
      </c>
      <c r="B74" s="40" t="s">
        <v>277</v>
      </c>
      <c r="C74" s="40" t="s">
        <v>278</v>
      </c>
      <c r="D74" s="41">
        <v>14.0</v>
      </c>
      <c r="E74" s="42">
        <v>4.0</v>
      </c>
      <c r="F74" s="42">
        <v>5.0</v>
      </c>
      <c r="G74" s="42">
        <v>9.0</v>
      </c>
      <c r="H74" s="42">
        <v>0.111111111111111</v>
      </c>
      <c r="I74" s="43" t="b">
        <v>1</v>
      </c>
      <c r="J74" s="12" t="s">
        <v>351</v>
      </c>
      <c r="K74" s="12" t="s">
        <v>408</v>
      </c>
    </row>
    <row r="75">
      <c r="A75" s="40" t="s">
        <v>409</v>
      </c>
      <c r="B75" s="40" t="s">
        <v>125</v>
      </c>
      <c r="C75" s="40" t="s">
        <v>126</v>
      </c>
      <c r="D75" s="41">
        <v>14.0</v>
      </c>
      <c r="E75" s="42">
        <v>3.0</v>
      </c>
      <c r="F75" s="42">
        <v>1.0</v>
      </c>
      <c r="G75" s="42">
        <v>4.0</v>
      </c>
      <c r="H75" s="42">
        <v>0.5</v>
      </c>
      <c r="I75" s="43" t="b">
        <v>0</v>
      </c>
      <c r="J75" s="12" t="s">
        <v>356</v>
      </c>
      <c r="K75" s="12" t="s">
        <v>408</v>
      </c>
    </row>
    <row r="76">
      <c r="A76" s="40" t="s">
        <v>410</v>
      </c>
      <c r="B76" s="40" t="s">
        <v>131</v>
      </c>
      <c r="C76" s="40" t="s">
        <v>132</v>
      </c>
      <c r="D76" s="41">
        <v>14.0</v>
      </c>
      <c r="E76" s="42">
        <v>2.0</v>
      </c>
      <c r="F76" s="42">
        <v>7.0</v>
      </c>
      <c r="G76" s="42">
        <v>9.0</v>
      </c>
      <c r="H76" s="42">
        <v>0.555555555555555</v>
      </c>
      <c r="I76" s="43" t="b">
        <v>1</v>
      </c>
      <c r="J76" s="12" t="s">
        <v>356</v>
      </c>
      <c r="K76" s="12" t="s">
        <v>408</v>
      </c>
    </row>
    <row r="77">
      <c r="A77" s="40" t="s">
        <v>376</v>
      </c>
      <c r="B77" s="40" t="s">
        <v>135</v>
      </c>
      <c r="C77" s="40" t="s">
        <v>136</v>
      </c>
      <c r="D77" s="41">
        <v>14.0</v>
      </c>
      <c r="E77" s="42">
        <v>3.0</v>
      </c>
      <c r="F77" s="42">
        <v>0.0</v>
      </c>
      <c r="G77" s="42">
        <v>3.0</v>
      </c>
      <c r="H77" s="42">
        <v>1.0</v>
      </c>
      <c r="I77" s="43" t="b">
        <v>0</v>
      </c>
      <c r="J77" s="12" t="s">
        <v>346</v>
      </c>
      <c r="K77" s="12" t="s">
        <v>408</v>
      </c>
    </row>
    <row r="78">
      <c r="A78" s="40" t="s">
        <v>352</v>
      </c>
      <c r="B78" s="40" t="s">
        <v>218</v>
      </c>
      <c r="C78" s="40" t="s">
        <v>219</v>
      </c>
      <c r="D78" s="41">
        <v>14.0</v>
      </c>
      <c r="E78" s="42">
        <v>2.0</v>
      </c>
      <c r="F78" s="42">
        <v>7.0</v>
      </c>
      <c r="G78" s="42">
        <v>9.0</v>
      </c>
      <c r="H78" s="42">
        <v>0.555555555555555</v>
      </c>
      <c r="I78" s="43" t="b">
        <v>1</v>
      </c>
      <c r="J78" s="12" t="s">
        <v>356</v>
      </c>
      <c r="K78" s="12" t="s">
        <v>411</v>
      </c>
    </row>
    <row r="79">
      <c r="A79" s="40" t="s">
        <v>355</v>
      </c>
      <c r="B79" s="40" t="s">
        <v>211</v>
      </c>
      <c r="C79" s="40" t="s">
        <v>212</v>
      </c>
      <c r="D79" s="41">
        <v>14.0</v>
      </c>
      <c r="E79" s="42">
        <v>1.0</v>
      </c>
      <c r="F79" s="42">
        <v>3.0</v>
      </c>
      <c r="G79" s="42">
        <v>4.0</v>
      </c>
      <c r="H79" s="42">
        <v>0.5</v>
      </c>
      <c r="I79" s="43" t="b">
        <v>1</v>
      </c>
      <c r="J79" s="12" t="s">
        <v>356</v>
      </c>
      <c r="K79" s="12" t="s">
        <v>411</v>
      </c>
    </row>
    <row r="80">
      <c r="A80" s="40" t="s">
        <v>368</v>
      </c>
      <c r="B80" s="40" t="s">
        <v>213</v>
      </c>
      <c r="C80" s="40" t="s">
        <v>214</v>
      </c>
      <c r="D80" s="41">
        <v>14.0</v>
      </c>
      <c r="E80" s="42">
        <v>4.0</v>
      </c>
      <c r="F80" s="42">
        <v>1.0</v>
      </c>
      <c r="G80" s="42">
        <v>5.0</v>
      </c>
      <c r="H80" s="42">
        <v>0.6</v>
      </c>
      <c r="I80" s="43" t="b">
        <v>0</v>
      </c>
      <c r="J80" s="12" t="s">
        <v>356</v>
      </c>
      <c r="K80" s="12" t="s">
        <v>411</v>
      </c>
    </row>
    <row r="81">
      <c r="A81" s="40" t="s">
        <v>369</v>
      </c>
      <c r="B81" s="40" t="s">
        <v>176</v>
      </c>
      <c r="C81" s="40" t="s">
        <v>177</v>
      </c>
      <c r="D81" s="41">
        <v>14.0</v>
      </c>
      <c r="E81" s="42">
        <v>6.0</v>
      </c>
      <c r="F81" s="42">
        <v>3.0</v>
      </c>
      <c r="G81" s="42">
        <v>9.0</v>
      </c>
      <c r="H81" s="42">
        <v>0.333333333333333</v>
      </c>
      <c r="I81" s="43" t="b">
        <v>0</v>
      </c>
      <c r="J81" s="12" t="s">
        <v>354</v>
      </c>
      <c r="K81" s="12" t="s">
        <v>411</v>
      </c>
    </row>
    <row r="82">
      <c r="A82" s="40" t="s">
        <v>412</v>
      </c>
      <c r="B82" s="40" t="s">
        <v>160</v>
      </c>
      <c r="C82" s="40" t="s">
        <v>161</v>
      </c>
      <c r="D82" s="41">
        <v>14.0</v>
      </c>
      <c r="E82" s="42">
        <v>1.0</v>
      </c>
      <c r="F82" s="42">
        <v>8.0</v>
      </c>
      <c r="G82" s="42">
        <v>9.0</v>
      </c>
      <c r="H82" s="42">
        <v>0.777777777777777</v>
      </c>
      <c r="I82" s="43" t="b">
        <v>1</v>
      </c>
      <c r="J82" s="12" t="s">
        <v>349</v>
      </c>
      <c r="K82" s="12" t="s">
        <v>413</v>
      </c>
    </row>
    <row r="83">
      <c r="A83" s="40" t="s">
        <v>407</v>
      </c>
      <c r="B83" s="40" t="s">
        <v>133</v>
      </c>
      <c r="C83" s="40" t="s">
        <v>134</v>
      </c>
      <c r="D83" s="41">
        <v>14.0</v>
      </c>
      <c r="E83" s="42">
        <v>1.0</v>
      </c>
      <c r="F83" s="42">
        <v>2.0</v>
      </c>
      <c r="G83" s="42">
        <v>3.0</v>
      </c>
      <c r="H83" s="42">
        <v>0.333333333333333</v>
      </c>
      <c r="I83" s="43" t="b">
        <v>1</v>
      </c>
      <c r="J83" s="12" t="s">
        <v>354</v>
      </c>
      <c r="K83" s="12" t="s">
        <v>413</v>
      </c>
    </row>
    <row r="84">
      <c r="A84" s="40" t="s">
        <v>414</v>
      </c>
      <c r="B84" s="40" t="s">
        <v>108</v>
      </c>
      <c r="C84" s="40" t="s">
        <v>109</v>
      </c>
      <c r="D84" s="41">
        <v>14.0</v>
      </c>
      <c r="E84" s="42">
        <v>7.0</v>
      </c>
      <c r="F84" s="42">
        <v>2.0</v>
      </c>
      <c r="G84" s="42">
        <v>9.0</v>
      </c>
      <c r="H84" s="42">
        <v>0.555555555555555</v>
      </c>
      <c r="I84" s="43" t="b">
        <v>0</v>
      </c>
      <c r="J84" s="12" t="s">
        <v>356</v>
      </c>
      <c r="K84" s="12" t="s">
        <v>413</v>
      </c>
    </row>
    <row r="85">
      <c r="A85" s="40" t="s">
        <v>387</v>
      </c>
      <c r="B85" s="40" t="s">
        <v>198</v>
      </c>
      <c r="C85" s="40" t="s">
        <v>199</v>
      </c>
      <c r="D85" s="41">
        <v>14.0</v>
      </c>
      <c r="E85" s="42">
        <v>5.0</v>
      </c>
      <c r="F85" s="42">
        <v>4.0</v>
      </c>
      <c r="G85" s="42">
        <v>9.0</v>
      </c>
      <c r="H85" s="42">
        <v>0.111111111111111</v>
      </c>
      <c r="I85" s="43" t="b">
        <v>0</v>
      </c>
      <c r="J85" s="12" t="s">
        <v>351</v>
      </c>
      <c r="K85" s="12" t="s">
        <v>413</v>
      </c>
    </row>
    <row r="86">
      <c r="A86" s="40" t="s">
        <v>387</v>
      </c>
      <c r="B86" s="40" t="s">
        <v>252</v>
      </c>
      <c r="C86" s="40" t="s">
        <v>253</v>
      </c>
      <c r="D86" s="41">
        <v>14.0</v>
      </c>
      <c r="E86" s="42">
        <v>0.0</v>
      </c>
      <c r="F86" s="42">
        <v>9.0</v>
      </c>
      <c r="G86" s="42">
        <v>9.0</v>
      </c>
      <c r="H86" s="42">
        <v>1.0</v>
      </c>
      <c r="I86" s="43" t="b">
        <v>1</v>
      </c>
      <c r="J86" s="12" t="s">
        <v>346</v>
      </c>
      <c r="K86" s="12" t="s">
        <v>415</v>
      </c>
    </row>
    <row r="87">
      <c r="A87" s="40" t="s">
        <v>387</v>
      </c>
      <c r="B87" s="40" t="s">
        <v>226</v>
      </c>
      <c r="C87" s="40" t="s">
        <v>227</v>
      </c>
      <c r="D87" s="41">
        <v>14.0</v>
      </c>
      <c r="E87" s="42">
        <v>2.0</v>
      </c>
      <c r="F87" s="42">
        <v>1.0</v>
      </c>
      <c r="G87" s="42">
        <v>3.0</v>
      </c>
      <c r="H87" s="42">
        <v>0.333333333333333</v>
      </c>
      <c r="I87" s="43" t="b">
        <v>0</v>
      </c>
      <c r="J87" s="12" t="s">
        <v>354</v>
      </c>
      <c r="K87" s="12" t="s">
        <v>415</v>
      </c>
    </row>
    <row r="88">
      <c r="A88" s="40" t="s">
        <v>416</v>
      </c>
      <c r="B88" s="40" t="s">
        <v>112</v>
      </c>
      <c r="C88" s="40" t="s">
        <v>113</v>
      </c>
      <c r="D88" s="41">
        <v>14.0</v>
      </c>
      <c r="E88" s="42">
        <v>4.0</v>
      </c>
      <c r="F88" s="42">
        <v>1.0</v>
      </c>
      <c r="G88" s="42">
        <v>5.0</v>
      </c>
      <c r="H88" s="42">
        <v>0.6</v>
      </c>
      <c r="I88" s="43" t="b">
        <v>0</v>
      </c>
      <c r="J88" s="12" t="s">
        <v>356</v>
      </c>
      <c r="K88" s="12" t="s">
        <v>415</v>
      </c>
    </row>
    <row r="89">
      <c r="A89" s="40" t="s">
        <v>417</v>
      </c>
      <c r="B89" s="40" t="s">
        <v>96</v>
      </c>
      <c r="C89" s="40" t="s">
        <v>97</v>
      </c>
      <c r="D89" s="41">
        <v>14.0</v>
      </c>
      <c r="E89" s="42">
        <v>2.0</v>
      </c>
      <c r="F89" s="42">
        <v>3.0</v>
      </c>
      <c r="G89" s="42">
        <v>5.0</v>
      </c>
      <c r="H89" s="42">
        <v>0.2</v>
      </c>
      <c r="I89" s="43" t="b">
        <v>1</v>
      </c>
      <c r="J89" s="12" t="s">
        <v>351</v>
      </c>
      <c r="K89" s="12" t="s">
        <v>415</v>
      </c>
    </row>
    <row r="90">
      <c r="A90" s="40" t="s">
        <v>418</v>
      </c>
      <c r="B90" s="40" t="s">
        <v>290</v>
      </c>
      <c r="C90" s="40" t="s">
        <v>291</v>
      </c>
      <c r="D90" s="41">
        <v>14.0</v>
      </c>
      <c r="E90" s="42">
        <v>0.0</v>
      </c>
      <c r="F90" s="42">
        <v>4.0</v>
      </c>
      <c r="G90" s="42">
        <v>4.0</v>
      </c>
      <c r="H90" s="42">
        <v>1.0</v>
      </c>
      <c r="I90" s="43" t="b">
        <v>1</v>
      </c>
      <c r="J90" s="12" t="s">
        <v>346</v>
      </c>
      <c r="K90" s="12" t="s">
        <v>419</v>
      </c>
    </row>
    <row r="91">
      <c r="A91" s="40" t="s">
        <v>358</v>
      </c>
      <c r="B91" s="40" t="s">
        <v>169</v>
      </c>
      <c r="C91" s="40" t="s">
        <v>170</v>
      </c>
      <c r="D91" s="41">
        <v>14.0</v>
      </c>
      <c r="E91" s="42">
        <v>4.0</v>
      </c>
      <c r="F91" s="42">
        <v>5.0</v>
      </c>
      <c r="G91" s="42">
        <v>9.0</v>
      </c>
      <c r="H91" s="42">
        <v>0.111111111111111</v>
      </c>
      <c r="I91" s="43" t="b">
        <v>1</v>
      </c>
      <c r="J91" s="12" t="s">
        <v>351</v>
      </c>
      <c r="K91" s="12" t="s">
        <v>419</v>
      </c>
    </row>
    <row r="92">
      <c r="A92" s="40" t="s">
        <v>398</v>
      </c>
      <c r="B92" s="40" t="s">
        <v>240</v>
      </c>
      <c r="C92" s="40" t="s">
        <v>241</v>
      </c>
      <c r="D92" s="41">
        <v>14.0</v>
      </c>
      <c r="E92" s="42">
        <v>8.0</v>
      </c>
      <c r="F92" s="42">
        <v>1.0</v>
      </c>
      <c r="G92" s="42">
        <v>9.0</v>
      </c>
      <c r="H92" s="42">
        <v>0.777777777777777</v>
      </c>
      <c r="I92" s="43" t="b">
        <v>0</v>
      </c>
      <c r="J92" s="12" t="s">
        <v>349</v>
      </c>
      <c r="K92" s="12" t="s">
        <v>419</v>
      </c>
    </row>
    <row r="93">
      <c r="A93" s="40" t="s">
        <v>378</v>
      </c>
      <c r="B93" s="40" t="s">
        <v>120</v>
      </c>
      <c r="C93" s="40" t="s">
        <v>121</v>
      </c>
      <c r="D93" s="41">
        <v>14.0</v>
      </c>
      <c r="E93" s="42">
        <v>8.0</v>
      </c>
      <c r="F93" s="42">
        <v>1.0</v>
      </c>
      <c r="G93" s="42">
        <v>9.0</v>
      </c>
      <c r="H93" s="42">
        <v>0.777777777777777</v>
      </c>
      <c r="I93" s="43" t="b">
        <v>0</v>
      </c>
      <c r="J93" s="12" t="s">
        <v>349</v>
      </c>
      <c r="K93" s="12" t="s">
        <v>419</v>
      </c>
    </row>
    <row r="94">
      <c r="A94" s="40" t="s">
        <v>420</v>
      </c>
      <c r="B94" s="40" t="s">
        <v>92</v>
      </c>
      <c r="C94" s="40" t="s">
        <v>93</v>
      </c>
      <c r="D94" s="41">
        <v>14.0</v>
      </c>
      <c r="E94" s="42">
        <v>2.0</v>
      </c>
      <c r="F94" s="42">
        <v>1.0</v>
      </c>
      <c r="G94" s="42">
        <v>3.0</v>
      </c>
      <c r="H94" s="42">
        <v>0.333333333333333</v>
      </c>
      <c r="I94" s="43" t="b">
        <v>0</v>
      </c>
      <c r="J94" s="12" t="s">
        <v>354</v>
      </c>
      <c r="K94" s="12" t="s">
        <v>421</v>
      </c>
    </row>
    <row r="95">
      <c r="A95" s="40" t="s">
        <v>422</v>
      </c>
      <c r="B95" s="40" t="s">
        <v>275</v>
      </c>
      <c r="C95" s="40" t="s">
        <v>276</v>
      </c>
      <c r="D95" s="41">
        <v>14.0</v>
      </c>
      <c r="E95" s="42">
        <v>1.0</v>
      </c>
      <c r="F95" s="42">
        <v>8.0</v>
      </c>
      <c r="G95" s="42">
        <v>9.0</v>
      </c>
      <c r="H95" s="42">
        <v>0.777777777777777</v>
      </c>
      <c r="I95" s="43" t="b">
        <v>1</v>
      </c>
      <c r="J95" s="12" t="s">
        <v>349</v>
      </c>
      <c r="K95" s="12" t="s">
        <v>421</v>
      </c>
    </row>
    <row r="96">
      <c r="A96" s="40" t="s">
        <v>423</v>
      </c>
      <c r="B96" s="40" t="s">
        <v>222</v>
      </c>
      <c r="C96" s="40" t="s">
        <v>223</v>
      </c>
      <c r="D96" s="41">
        <v>14.0</v>
      </c>
      <c r="E96" s="42">
        <v>8.0</v>
      </c>
      <c r="F96" s="42">
        <v>1.0</v>
      </c>
      <c r="G96" s="42">
        <v>9.0</v>
      </c>
      <c r="H96" s="42">
        <v>0.777777777777777</v>
      </c>
      <c r="I96" s="43" t="b">
        <v>0</v>
      </c>
      <c r="J96" s="12" t="s">
        <v>349</v>
      </c>
      <c r="K96" s="12" t="s">
        <v>421</v>
      </c>
    </row>
    <row r="97">
      <c r="A97" s="40" t="s">
        <v>424</v>
      </c>
      <c r="B97" s="40" t="s">
        <v>179</v>
      </c>
      <c r="C97" s="40" t="s">
        <v>180</v>
      </c>
      <c r="D97" s="41">
        <v>14.0</v>
      </c>
      <c r="E97" s="42">
        <v>1.0</v>
      </c>
      <c r="F97" s="42">
        <v>8.0</v>
      </c>
      <c r="G97" s="42">
        <v>9.0</v>
      </c>
      <c r="H97" s="42">
        <v>0.777777777777777</v>
      </c>
      <c r="I97" s="43" t="b">
        <v>1</v>
      </c>
      <c r="J97" s="12" t="s">
        <v>349</v>
      </c>
      <c r="K97" s="12" t="s">
        <v>421</v>
      </c>
    </row>
    <row r="98">
      <c r="A98" s="40" t="s">
        <v>412</v>
      </c>
      <c r="B98" s="40" t="s">
        <v>101</v>
      </c>
      <c r="C98" s="40" t="s">
        <v>102</v>
      </c>
      <c r="D98" s="41">
        <v>14.0</v>
      </c>
      <c r="E98" s="42">
        <v>0.0</v>
      </c>
      <c r="F98" s="42">
        <v>3.0</v>
      </c>
      <c r="G98" s="42">
        <v>3.0</v>
      </c>
      <c r="H98" s="42">
        <v>1.0</v>
      </c>
      <c r="I98" s="43" t="b">
        <v>1</v>
      </c>
      <c r="J98" s="12" t="s">
        <v>346</v>
      </c>
      <c r="K98" s="12" t="s">
        <v>425</v>
      </c>
    </row>
    <row r="99">
      <c r="A99" s="40" t="s">
        <v>426</v>
      </c>
      <c r="B99" s="40" t="s">
        <v>110</v>
      </c>
      <c r="C99" s="40" t="s">
        <v>111</v>
      </c>
      <c r="D99" s="41">
        <v>14.0</v>
      </c>
      <c r="E99" s="42">
        <v>1.0</v>
      </c>
      <c r="F99" s="42">
        <v>2.0</v>
      </c>
      <c r="G99" s="42">
        <v>3.0</v>
      </c>
      <c r="H99" s="42">
        <v>0.333333333333333</v>
      </c>
      <c r="I99" s="43" t="b">
        <v>1</v>
      </c>
      <c r="J99" s="12" t="s">
        <v>354</v>
      </c>
      <c r="K99" s="12" t="s">
        <v>425</v>
      </c>
    </row>
    <row r="100">
      <c r="A100" s="40" t="s">
        <v>427</v>
      </c>
      <c r="B100" s="40" t="s">
        <v>106</v>
      </c>
      <c r="C100" s="40" t="s">
        <v>107</v>
      </c>
      <c r="D100" s="41">
        <v>14.0</v>
      </c>
      <c r="E100" s="42">
        <v>3.0</v>
      </c>
      <c r="F100" s="42">
        <v>0.0</v>
      </c>
      <c r="G100" s="42">
        <v>3.0</v>
      </c>
      <c r="H100" s="42">
        <v>1.0</v>
      </c>
      <c r="I100" s="43" t="b">
        <v>0</v>
      </c>
      <c r="J100" s="12" t="s">
        <v>346</v>
      </c>
      <c r="K100" s="12" t="s">
        <v>425</v>
      </c>
    </row>
    <row r="101">
      <c r="A101" s="40" t="s">
        <v>428</v>
      </c>
      <c r="B101" s="40" t="s">
        <v>260</v>
      </c>
      <c r="C101" s="40" t="s">
        <v>261</v>
      </c>
      <c r="D101" s="41">
        <v>14.0</v>
      </c>
      <c r="E101" s="42">
        <v>4.0</v>
      </c>
      <c r="F101" s="42">
        <v>0.0</v>
      </c>
      <c r="G101" s="42">
        <v>4.0</v>
      </c>
      <c r="H101" s="42">
        <v>1.0</v>
      </c>
      <c r="I101" s="43" t="b">
        <v>0</v>
      </c>
      <c r="J101" s="12" t="s">
        <v>346</v>
      </c>
      <c r="K101" s="12" t="s">
        <v>425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9" t="s">
        <v>88</v>
      </c>
      <c r="B1" s="30" t="s">
        <v>89</v>
      </c>
      <c r="C1" s="44" t="s">
        <v>429</v>
      </c>
      <c r="D1" s="45" t="s">
        <v>60</v>
      </c>
      <c r="E1" s="44" t="s">
        <v>61</v>
      </c>
      <c r="F1" s="44" t="s">
        <v>62</v>
      </c>
      <c r="G1" s="44" t="s">
        <v>63</v>
      </c>
      <c r="H1" s="45" t="s">
        <v>64</v>
      </c>
      <c r="I1" s="46" t="s">
        <v>430</v>
      </c>
      <c r="J1" s="45" t="s">
        <v>60</v>
      </c>
      <c r="K1" s="44" t="s">
        <v>61</v>
      </c>
      <c r="L1" s="44" t="s">
        <v>62</v>
      </c>
      <c r="M1" s="44" t="s">
        <v>63</v>
      </c>
      <c r="N1" s="45" t="s">
        <v>64</v>
      </c>
      <c r="O1" s="46" t="s">
        <v>431</v>
      </c>
      <c r="P1" s="46" t="str">
        <f t="array" ref="P1:P101">O:O</f>
        <v>Comments</v>
      </c>
      <c r="Q1" s="47" t="s">
        <v>432</v>
      </c>
      <c r="R1" s="23" t="s">
        <v>433</v>
      </c>
      <c r="S1" s="23" t="s">
        <v>434</v>
      </c>
    </row>
    <row r="2">
      <c r="A2" s="12" t="str">
        <f>IFERROR(__xludf.DUMMYFUNCTION("QUERY(Source!B2:C101,""SELECT B, C"", 1)"),"dbf34c9045410ec67e5f1b9805a8f9d6")</f>
        <v>dbf34c9045410ec67e5f1b9805a8f9d6</v>
      </c>
      <c r="B2" s="12" t="str">
        <f>IFERROR(__xludf.DUMMYFUNCTION("""COMPUTED_VALUE"""),"Security measures (against lightning, flooding, theft, vandalism, and so forth) are to be taken into account and the stations must, of course, be able to withstand severe meteorological conditions. The cost of providing systems capable of operating under "&amp;"all foreseen circumstances at an automatic station is prohibitive, it is essential that, before specifying or designing an observation station, a thorough understanding of the working environment anticipated for the observation station be obtained. At an "&amp;"early stage of planning, there should be a detailed analysis of the relative importance of the meteorological and technical requirements so that sites can be chosen and approved as suitable before significant installation investment is made.")</f>
        <v>Security measures (against lightning, flooding, theft, vandalism, and so forth) are to be taken into account and the stations must, of course, be able to withstand severe meteorological conditions. The cost of providing systems capable of operating under all foreseen circumstances at an automatic station is prohibitive, it is essential that, before specifying or designing an observation station, a thorough understanding of the working environment anticipated for the observation station be obtained. At an early stage of planning, there should be a detailed analysis of the relative importance of the meteorological and technical requirements so that sites can be chosen and approved as suitable before significant installation investment is made.</v>
      </c>
      <c r="C2" s="48"/>
      <c r="D2" s="48" t="b">
        <f t="shared" ref="D2:H2" si="1">VLOOKUP($A2, INDIRECT(D$1&amp;"!A:C"), 3, FALSE)</f>
        <v>0</v>
      </c>
      <c r="E2" s="48" t="str">
        <f t="shared" si="1"/>
        <v>TO DO</v>
      </c>
      <c r="F2" s="48" t="str">
        <f t="shared" si="1"/>
        <v>TO DO</v>
      </c>
      <c r="G2" s="48" t="b">
        <f t="shared" si="1"/>
        <v>0</v>
      </c>
      <c r="H2" s="48" t="b">
        <f t="shared" si="1"/>
        <v>0</v>
      </c>
      <c r="I2" s="49">
        <f t="shared" ref="I2:I101" si="4">IF(COUNTA(D2:H2)=COUNTIF(D2:H2, "TO DO"), 0, ABS((COUNTIF(D2:H2,"TRUE")-COUNTIF(D2:H2, "FALSE")) / (COUNTA(D2:H2)-COUNTIF(D2:H2, "TO DO"))))</f>
        <v>1</v>
      </c>
      <c r="J2" s="50" t="str">
        <f t="shared" ref="J2:N2" si="2">VLOOKUP($A2, INDIRECT(J$1&amp;"!A:D"), 4, FALSE)</f>
        <v/>
      </c>
      <c r="K2" s="50" t="str">
        <f t="shared" si="2"/>
        <v/>
      </c>
      <c r="L2" s="50" t="str">
        <f t="shared" si="2"/>
        <v/>
      </c>
      <c r="M2" s="50" t="str">
        <f t="shared" si="2"/>
        <v/>
      </c>
      <c r="N2" s="50" t="str">
        <f t="shared" si="2"/>
        <v/>
      </c>
      <c r="O2" s="49" t="str">
        <f>IFERROR(__xludf.DUMMYFUNCTION("IF(COUNTA(J2:N2)=0, """", ARRAYFORMULA(""- ""&amp;TEXTJOIN(char(10)&amp;""- "", TRUE, FILTER(J$1:N$1&amp;"": ""&amp;J2:N2, NOT(ISBLANK(J2:N2))))))"),"")</f>
        <v/>
      </c>
      <c r="P2" s="49" t="s">
        <v>435</v>
      </c>
      <c r="Q2" s="51" t="b">
        <v>0</v>
      </c>
    </row>
    <row r="3">
      <c r="A3" s="12" t="str">
        <f>IFERROR(__xludf.DUMMYFUNCTION("""COMPUTED_VALUE"""),"4d382634bc2bf37936119beedb9eaad8")</f>
        <v>4d382634bc2bf37936119beedb9eaad8</v>
      </c>
      <c r="B3" s="12" t="str">
        <f>IFERROR(__xludf.DUMMYFUNCTION("""COMPUTED_VALUE"""),"Today, the Nordic Region is one of the most digitized in the world with the most advanced digital public service. Despite this commitment however remote areas experience challenges when it comes to health care and service maintenance for remote and sparse"&amp;"ly populated areas. Digital health solutions may provide one solution to growing social inequality in the area of health, as described in the chapter of health and welfare.")</f>
        <v>Today, the Nordic Region is one of the most digitized in the world with the most advanced digital public service. Despite this commitment however remote areas experience challenges when it comes to health care and service maintenance for remote and sparsely populated areas. Digital health solutions may provide one solution to growing social inequality in the area of health, as described in the chapter of health and welfare.</v>
      </c>
      <c r="C3" s="7"/>
      <c r="D3" s="48" t="b">
        <f t="shared" ref="D3:H3" si="3">VLOOKUP($A3, INDIRECT(D$1&amp;"!A:C"), 3, FALSE)</f>
        <v>0</v>
      </c>
      <c r="E3" s="48" t="str">
        <f t="shared" si="3"/>
        <v>TO DO</v>
      </c>
      <c r="F3" s="48" t="str">
        <f t="shared" si="3"/>
        <v>TO DO</v>
      </c>
      <c r="G3" s="48" t="b">
        <f t="shared" si="3"/>
        <v>0</v>
      </c>
      <c r="H3" s="48" t="b">
        <f t="shared" si="3"/>
        <v>0</v>
      </c>
      <c r="I3" s="49">
        <f t="shared" si="4"/>
        <v>1</v>
      </c>
      <c r="J3" s="50" t="str">
        <f t="shared" ref="J3:N3" si="5">VLOOKUP($A3, INDIRECT(J$1&amp;"!A:D"), 4, FALSE)</f>
        <v/>
      </c>
      <c r="K3" s="50" t="str">
        <f t="shared" si="5"/>
        <v/>
      </c>
      <c r="L3" s="50" t="str">
        <f t="shared" si="5"/>
        <v/>
      </c>
      <c r="M3" s="50" t="str">
        <f t="shared" si="5"/>
        <v/>
      </c>
      <c r="N3" s="50" t="str">
        <f t="shared" si="5"/>
        <v/>
      </c>
      <c r="O3" s="49" t="str">
        <f>IFERROR(__xludf.DUMMYFUNCTION("IF(COUNTA(J3:N3)=0, """", ARRAYFORMULA(""- ""&amp;TEXTJOIN(char(10)&amp;""- "", TRUE, FILTER(J$1:N$1&amp;"": ""&amp;J3:N3, NOT(ISBLANK(J3:N3))))))"),"")</f>
        <v/>
      </c>
      <c r="P3" s="49" t="s">
        <v>435</v>
      </c>
      <c r="Q3" s="51" t="b">
        <v>0</v>
      </c>
    </row>
    <row r="4">
      <c r="A4" s="12" t="str">
        <f>IFERROR(__xludf.DUMMYFUNCTION("""COMPUTED_VALUE"""),"7de62293b199fc692495f5c95d3a7e56")</f>
        <v>7de62293b199fc692495f5c95d3a7e56</v>
      </c>
      <c r="B4" s="12" t="str">
        <f>IFERROR(__xludf.DUMMYFUNCTION("""COMPUTED_VALUE"""),"Bioresources are mostly located in rural and coastal areas (forests, fish, algae, farm by-products) but appear also as e.g. orga nic waste. Their productivity a nd accessibil -ity differ between localities, given variation in natural conditions and the ma"&amp;"nagement of ownership and use. However advanced are the technologies involved, the biological raw materials used stem from - and impact on - land, water and sea-based bioresources. Alternative and competing uses touch on human rights and common property.")</f>
        <v>Bioresources are mostly located in rural and coastal areas (forests, fish, algae, farm by-products) but appear also as e.g. orga nic waste. Their productivity a nd accessibil -ity differ between localities, given variation in natural conditions and the management of ownership and use. However advanced are the technologies involved, the biological raw materials used stem from - and impact on - land, water and sea-based bioresources. Alternative and competing uses touch on human rights and common property.</v>
      </c>
      <c r="C4" s="7" t="s">
        <v>436</v>
      </c>
      <c r="D4" s="48" t="b">
        <f t="shared" ref="D4:H4" si="6">VLOOKUP($A4, INDIRECT(D$1&amp;"!A:C"), 3, FALSE)</f>
        <v>0</v>
      </c>
      <c r="E4" s="48" t="str">
        <f t="shared" si="6"/>
        <v>TO DO</v>
      </c>
      <c r="F4" s="48" t="str">
        <f t="shared" si="6"/>
        <v>TO DO</v>
      </c>
      <c r="G4" s="48" t="b">
        <f t="shared" si="6"/>
        <v>1</v>
      </c>
      <c r="H4" s="48" t="b">
        <f t="shared" si="6"/>
        <v>1</v>
      </c>
      <c r="I4" s="49">
        <f t="shared" si="4"/>
        <v>0.3333333333</v>
      </c>
      <c r="J4" s="50" t="str">
        <f t="shared" ref="J4:N4" si="7">VLOOKUP($A4, INDIRECT(J$1&amp;"!A:D"), 4, FALSE)</f>
        <v/>
      </c>
      <c r="K4" s="50" t="str">
        <f t="shared" si="7"/>
        <v/>
      </c>
      <c r="L4" s="50" t="str">
        <f t="shared" si="7"/>
        <v/>
      </c>
      <c r="M4" s="50" t="str">
        <f t="shared" si="7"/>
        <v/>
      </c>
      <c r="N4" s="50" t="str">
        <f t="shared" si="7"/>
        <v>weak link though</v>
      </c>
      <c r="O4" s="49" t="str">
        <f>IFERROR(__xludf.DUMMYFUNCTION("IF(COUNTA(J4:N4)=0, """", ARRAYFORMULA(""- ""&amp;TEXTJOIN(char(10)&amp;""- "", TRUE, FILTER(J$1:N$1&amp;"": ""&amp;J4:N4, NOT(ISBLANK(J4:N4))))))"),"- Steve: weak link though")</f>
        <v>- Steve: weak link though</v>
      </c>
      <c r="P4" s="49" t="s">
        <v>437</v>
      </c>
      <c r="Q4" s="51" t="s">
        <v>438</v>
      </c>
    </row>
    <row r="5">
      <c r="A5" s="12" t="str">
        <f>IFERROR(__xludf.DUMMYFUNCTION("""COMPUTED_VALUE"""),"47ec0945e03f9497ef0012d7dc9179f9")</f>
        <v>47ec0945e03f9497ef0012d7dc9179f9</v>
      </c>
      <c r="B5" s="12" t="str">
        <f>IFERROR(__xludf.DUMMYFUNCTION("""COMPUTED_VALUE"""),"Problems also arise from imperfectly controlled incineration, which can produce harmful substances, especially where plastics are involved. There is evidence that, in addition to the long-known hazardous substances, some substances (often called endocrine"&amp;" disruptors) that do not reach the levels of toxicity, persistence and bioaccumulation in the accepted definitions of hazardous substances, can disrupt the endocrine systems of humans and animals, with adverse effects on their reproductive success, metabo"&amp;"lism and behaviour. The use of the best practicable means to limit the creation of waste, discharges and emissions can help control these problems.")</f>
        <v>Problems also arise from imperfectly controlled incineration, which can produce harmful substances, especially where plastics are involved. There is evidence that, in addition to the long-known hazardous substances, some substances (often called endocrine disruptors) that do not reach the levels of toxicity, persistence and bioaccumulation in the accepted definitions of hazardous substances, can disrupt the endocrine systems of humans and animals, with adverse effects on their reproductive success, metabolism and behaviour. The use of the best practicable means to limit the creation of waste, discharges and emissions can help control these problems.</v>
      </c>
      <c r="C5" s="7" t="s">
        <v>63</v>
      </c>
      <c r="D5" s="48" t="b">
        <f t="shared" ref="D5:H5" si="8">VLOOKUP($A5, INDIRECT(D$1&amp;"!A:C"), 3, FALSE)</f>
        <v>0</v>
      </c>
      <c r="E5" s="48" t="str">
        <f t="shared" si="8"/>
        <v>TO DO</v>
      </c>
      <c r="F5" s="48" t="str">
        <f t="shared" si="8"/>
        <v>TO DO</v>
      </c>
      <c r="G5" s="48" t="b">
        <f t="shared" si="8"/>
        <v>1</v>
      </c>
      <c r="H5" s="48" t="b">
        <f t="shared" si="8"/>
        <v>0</v>
      </c>
      <c r="I5" s="49">
        <f t="shared" si="4"/>
        <v>0.3333333333</v>
      </c>
      <c r="J5" s="50" t="str">
        <f t="shared" ref="J5:N5" si="9">VLOOKUP($A5, INDIRECT(J$1&amp;"!A:D"), 4, FALSE)</f>
        <v/>
      </c>
      <c r="K5" s="50" t="str">
        <f t="shared" si="9"/>
        <v/>
      </c>
      <c r="L5" s="50" t="str">
        <f t="shared" si="9"/>
        <v/>
      </c>
      <c r="M5" s="50" t="str">
        <f t="shared" si="9"/>
        <v/>
      </c>
      <c r="N5" s="50" t="str">
        <f t="shared" si="9"/>
        <v/>
      </c>
      <c r="O5" s="49" t="str">
        <f>IFERROR(__xludf.DUMMYFUNCTION("IF(COUNTA(J5:N5)=0, """", ARRAYFORMULA(""- ""&amp;TEXTJOIN(char(10)&amp;""- "", TRUE, FILTER(J$1:N$1&amp;"": ""&amp;J5:N5, NOT(ISBLANK(J5:N5))))))"),"")</f>
        <v/>
      </c>
      <c r="P5" s="49" t="s">
        <v>435</v>
      </c>
      <c r="Q5" s="51" t="s">
        <v>438</v>
      </c>
    </row>
    <row r="6">
      <c r="A6" s="12" t="str">
        <f>IFERROR(__xludf.DUMMYFUNCTION("""COMPUTED_VALUE"""),"2d0e40c0e6dc764c8765dec4639ed177")</f>
        <v>2d0e40c0e6dc764c8765dec4639ed177</v>
      </c>
      <c r="B6" s="12" t="str">
        <f>IFERROR(__xludf.DUMMYFUNCTION("""COMPUTED_VALUE"""),"Information often exists but is very fragmented, inaccessible (and often lost) or collected according to different standards. In many cases, the information is collected in isolation and without keys for connecting pieces with one another. This constitute"&amp;"s a major challenge to the implementation of cross-sectoral management as called for by the BGI. Such integration also entails the exchange of expertise and related methods and tools, while catering for particular requirements of aquatic resources.")</f>
        <v>Information often exists but is very fragmented, inaccessible (and often lost) or collected according to different standards. In many cases, the information is collected in isolation and without keys for connecting pieces with one another. This constitutes a major challenge to the implementation of cross-sectoral management as called for by the BGI. Such integration also entails the exchange of expertise and related methods and tools, while catering for particular requirements of aquatic resources.</v>
      </c>
      <c r="C6" s="7"/>
      <c r="D6" s="48" t="b">
        <f t="shared" ref="D6:H6" si="10">VLOOKUP($A6, INDIRECT(D$1&amp;"!A:C"), 3, FALSE)</f>
        <v>1</v>
      </c>
      <c r="E6" s="48" t="str">
        <f t="shared" si="10"/>
        <v>TO DO</v>
      </c>
      <c r="F6" s="48" t="str">
        <f t="shared" si="10"/>
        <v>TO DO</v>
      </c>
      <c r="G6" s="48" t="b">
        <f t="shared" si="10"/>
        <v>1</v>
      </c>
      <c r="H6" s="48" t="b">
        <f t="shared" si="10"/>
        <v>1</v>
      </c>
      <c r="I6" s="49">
        <f t="shared" si="4"/>
        <v>1</v>
      </c>
      <c r="J6" s="50" t="str">
        <f t="shared" ref="J6:N6" si="11">VLOOKUP($A6, INDIRECT(J$1&amp;"!A:D"), 4, FALSE)</f>
        <v>BGI = Blue Growth Initiative</v>
      </c>
      <c r="K6" s="50" t="str">
        <f t="shared" si="11"/>
        <v/>
      </c>
      <c r="L6" s="50" t="str">
        <f t="shared" si="11"/>
        <v/>
      </c>
      <c r="M6" s="50" t="str">
        <f t="shared" si="11"/>
        <v/>
      </c>
      <c r="N6" s="50" t="str">
        <f t="shared" si="11"/>
        <v>BGI = FAO's blue growth initiative</v>
      </c>
      <c r="O6" s="49" t="str">
        <f>IFERROR(__xludf.DUMMYFUNCTION("IF(COUNTA(J6:N6)=0, """", ARRAYFORMULA(""- ""&amp;TEXTJOIN(char(10)&amp;""- "", TRUE, FILTER(J$1:N$1&amp;"": ""&amp;J6:N6, NOT(ISBLANK(J6:N6))))))"),"- Finn: BGI = Blue Growth Initiative
- Steve: BGI = FAO's blue growth initiative")</f>
        <v>- Finn: BGI = Blue Growth Initiative
- Steve: BGI = FAO's blue growth initiative</v>
      </c>
      <c r="P6" s="49" t="s">
        <v>439</v>
      </c>
      <c r="Q6" s="51" t="b">
        <v>1</v>
      </c>
    </row>
    <row r="7">
      <c r="A7" s="12" t="str">
        <f>IFERROR(__xludf.DUMMYFUNCTION("""COMPUTED_VALUE"""),"fff1f2f84b7fdd3656431572ed087067")</f>
        <v>fff1f2f84b7fdd3656431572ed087067</v>
      </c>
      <c r="B7" s="12" t="str">
        <f>IFERROR(__xludf.DUMMYFUNCTION("""COMPUTED_VALUE"""),"As a fact-based management approach, its successful implementation will require timely and reliable cross-disciplinary information in order to establish baselines, monitor changes, and support decision-making towards social, economic and environmental sus"&amp;"tainability. Data availability and quality issues often constrain the accuracy of assessment results. Moreover, management action lags behind assessment conclusions.")</f>
        <v>As a fact-based management approach, its successful implementation will require timely and reliable cross-disciplinary information in order to establish baselines, monitor changes, and support decision-making towards social, economic and environmental sustainability. Data availability and quality issues often constrain the accuracy of assessment results. Moreover, management action lags behind assessment conclusions.</v>
      </c>
      <c r="C7" s="7"/>
      <c r="D7" s="48" t="b">
        <f t="shared" ref="D7:H7" si="12">VLOOKUP($A7, INDIRECT(D$1&amp;"!A:C"), 3, FALSE)</f>
        <v>0</v>
      </c>
      <c r="E7" s="48" t="str">
        <f t="shared" si="12"/>
        <v>TO DO</v>
      </c>
      <c r="F7" s="48" t="str">
        <f t="shared" si="12"/>
        <v>TO DO</v>
      </c>
      <c r="G7" s="48" t="b">
        <f t="shared" si="12"/>
        <v>0</v>
      </c>
      <c r="H7" s="48" t="b">
        <f t="shared" si="12"/>
        <v>0</v>
      </c>
      <c r="I7" s="49">
        <f t="shared" si="4"/>
        <v>1</v>
      </c>
      <c r="J7" s="50" t="str">
        <f t="shared" ref="J7:N7" si="13">VLOOKUP($A7, INDIRECT(J$1&amp;"!A:D"), 4, FALSE)</f>
        <v/>
      </c>
      <c r="K7" s="50" t="str">
        <f t="shared" si="13"/>
        <v/>
      </c>
      <c r="L7" s="50" t="str">
        <f t="shared" si="13"/>
        <v/>
      </c>
      <c r="M7" s="50" t="str">
        <f t="shared" si="13"/>
        <v/>
      </c>
      <c r="N7" s="50" t="str">
        <f t="shared" si="13"/>
        <v/>
      </c>
      <c r="O7" s="49" t="str">
        <f>IFERROR(__xludf.DUMMYFUNCTION("IF(COUNTA(J7:N7)=0, """", ARRAYFORMULA(""- ""&amp;TEXTJOIN(char(10)&amp;""- "", TRUE, FILTER(J$1:N$1&amp;"": ""&amp;J7:N7, NOT(ISBLANK(J7:N7))))))"),"")</f>
        <v/>
      </c>
      <c r="P7" s="49" t="s">
        <v>435</v>
      </c>
      <c r="Q7" s="51" t="b">
        <v>0</v>
      </c>
    </row>
    <row r="8">
      <c r="A8" s="12" t="str">
        <f>IFERROR(__xludf.DUMMYFUNCTION("""COMPUTED_VALUE"""),"f11a0466582f778adb84667bc55f7601")</f>
        <v>f11a0466582f778adb84667bc55f7601</v>
      </c>
      <c r="B8" s="12" t="str">
        <f>IFERROR(__xludf.DUMMYFUNCTION("""COMPUTED_VALUE"""),"This is discussed later in the report (Chapters 5.6 and 7.3). The Convention also requires Parties to: 'ensure that the generation of hazardous wastes and other wastes are minimised.’ The Rotterdam Convention covers the Prior Informed Consent Procedure fo"&amp;"r Certain Hazardous Chemicals and Pesticides in International Trade13, and forms another important restraint on the unregulated trade in waste.")</f>
        <v>This is discussed later in the report (Chapters 5.6 and 7.3). The Convention also requires Parties to: 'ensure that the generation of hazardous wastes and other wastes are minimised.’ The Rotterdam Convention covers the Prior Informed Consent Procedure for Certain Hazardous Chemicals and Pesticides in International Trade13, and forms another important restraint on the unregulated trade in waste.</v>
      </c>
      <c r="C8" s="7"/>
      <c r="D8" s="48" t="b">
        <f t="shared" ref="D8:H8" si="14">VLOOKUP($A8, INDIRECT(D$1&amp;"!A:C"), 3, FALSE)</f>
        <v>0</v>
      </c>
      <c r="E8" s="48" t="str">
        <f t="shared" si="14"/>
        <v>TO DO</v>
      </c>
      <c r="F8" s="48" t="str">
        <f t="shared" si="14"/>
        <v>TO DO</v>
      </c>
      <c r="G8" s="48" t="b">
        <f t="shared" si="14"/>
        <v>0</v>
      </c>
      <c r="H8" s="48" t="b">
        <f t="shared" si="14"/>
        <v>0</v>
      </c>
      <c r="I8" s="49">
        <f t="shared" si="4"/>
        <v>1</v>
      </c>
      <c r="J8" s="50" t="str">
        <f t="shared" ref="J8:N8" si="15">VLOOKUP($A8, INDIRECT(J$1&amp;"!A:D"), 4, FALSE)</f>
        <v/>
      </c>
      <c r="K8" s="50" t="str">
        <f t="shared" si="15"/>
        <v/>
      </c>
      <c r="L8" s="50" t="str">
        <f t="shared" si="15"/>
        <v/>
      </c>
      <c r="M8" s="50" t="str">
        <f t="shared" si="15"/>
        <v/>
      </c>
      <c r="N8" s="50" t="str">
        <f t="shared" si="15"/>
        <v/>
      </c>
      <c r="O8" s="49" t="str">
        <f>IFERROR(__xludf.DUMMYFUNCTION("IF(COUNTA(J8:N8)=0, """", ARRAYFORMULA(""- ""&amp;TEXTJOIN(char(10)&amp;""- "", TRUE, FILTER(J$1:N$1&amp;"": ""&amp;J8:N8, NOT(ISBLANK(J8:N8))))))"),"")</f>
        <v/>
      </c>
      <c r="P8" s="49" t="s">
        <v>435</v>
      </c>
      <c r="Q8" s="51" t="b">
        <v>0</v>
      </c>
    </row>
    <row r="9">
      <c r="A9" s="12" t="str">
        <f>IFERROR(__xludf.DUMMYFUNCTION("""COMPUTED_VALUE"""),"d55922071740128632844dd65ce30f9e")</f>
        <v>d55922071740128632844dd65ce30f9e</v>
      </c>
      <c r="B9" s="12" t="str">
        <f>IFERROR(__xludf.DUMMYFUNCTION("""COMPUTED_VALUE"""),"For example, in Equatorial Guinea a dramatic increase in trafficking of women and children for domestic and sexual exploitation was associated with these industries (US Department of State 2011). In addition to fishery and livelihood issues, oil spills ha"&amp;"ve highly gendered health implications. Following the Exxon Valdez oil spill in Alaska in 1989, women were particularly subject to high levels of depression and post-traumatic stress disorder, as were Native Americans of both sexes (Palinkas ef al.")</f>
        <v>For example, in Equatorial Guinea a dramatic increase in trafficking of women and children for domestic and sexual exploitation was associated with these industries (US Department of State 2011). In addition to fishery and livelihood issues, oil spills have highly gendered health implications. Following the Exxon Valdez oil spill in Alaska in 1989, women were particularly subject to high levels of depression and post-traumatic stress disorder, as were Native Americans of both sexes (Palinkas ef al.</v>
      </c>
      <c r="C9" s="7"/>
      <c r="D9" s="48" t="b">
        <f t="shared" ref="D9:H9" si="16">VLOOKUP($A9, INDIRECT(D$1&amp;"!A:C"), 3, FALSE)</f>
        <v>0</v>
      </c>
      <c r="E9" s="48" t="str">
        <f t="shared" si="16"/>
        <v>TO DO</v>
      </c>
      <c r="F9" s="48" t="str">
        <f t="shared" si="16"/>
        <v>TO DO</v>
      </c>
      <c r="G9" s="48" t="b">
        <f t="shared" si="16"/>
        <v>0</v>
      </c>
      <c r="H9" s="48" t="b">
        <f t="shared" si="16"/>
        <v>0</v>
      </c>
      <c r="I9" s="49">
        <f t="shared" si="4"/>
        <v>1</v>
      </c>
      <c r="J9" s="50" t="str">
        <f t="shared" ref="J9:N9" si="17">VLOOKUP($A9, INDIRECT(J$1&amp;"!A:D"), 4, FALSE)</f>
        <v/>
      </c>
      <c r="K9" s="50" t="str">
        <f t="shared" si="17"/>
        <v/>
      </c>
      <c r="L9" s="50" t="str">
        <f t="shared" si="17"/>
        <v/>
      </c>
      <c r="M9" s="50" t="str">
        <f t="shared" si="17"/>
        <v/>
      </c>
      <c r="N9" s="50" t="str">
        <f t="shared" si="17"/>
        <v/>
      </c>
      <c r="O9" s="49" t="str">
        <f>IFERROR(__xludf.DUMMYFUNCTION("IF(COUNTA(J9:N9)=0, """", ARRAYFORMULA(""- ""&amp;TEXTJOIN(char(10)&amp;""- "", TRUE, FILTER(J$1:N$1&amp;"": ""&amp;J9:N9, NOT(ISBLANK(J9:N9))))))"),"")</f>
        <v/>
      </c>
      <c r="P9" s="49" t="s">
        <v>435</v>
      </c>
      <c r="Q9" s="51" t="b">
        <v>0</v>
      </c>
    </row>
    <row r="10">
      <c r="A10" s="12" t="str">
        <f>IFERROR(__xludf.DUMMYFUNCTION("""COMPUTED_VALUE"""),"f1454ca62c1d2d86ca4c823712c45ceb")</f>
        <v>f1454ca62c1d2d86ca4c823712c45ceb</v>
      </c>
      <c r="B10" s="12" t="str">
        <f>IFERROR(__xludf.DUMMYFUNCTION("""COMPUTED_VALUE"""),"Women and girls are subject to human trafficking and forced labour on board these vessels, primarily for sexual exploitation rather than as fishing labourers. Women are also reported to be victims of trafficking in the land-based fish processing sector (I"&amp;"LO 2013). When fishing rights are transferred or eliminated in these ways, the indigenous and traditional fishing rights of both women and men can be easily overlooked or misunderstood (Coope SoliDar R.L/ICSF 2015, Madrigal-Cordero and Solis-Rivera 2012)."&amp;" "" Ocean grabbing"" has gender-differentiated effects (Bennet ef al. Groups who are already marginalized, including women, are especially vulnerable to ""grabbing"", moreover, women fishers and gleaners whose work is concentrated in foreshore and reef ar"&amp;"eas are often within sight of communities and open to surveillance and regulation for IUU ""violations"" in ways that other types of fishing is not (Bennet et al. They have primary responsibilities in many countries for performing jobs such as smoking, sa"&amp;"lting and drying, as well as selling fish and seafood products in local markets.")</f>
        <v>Women and girls are subject to human trafficking and forced labour on board these vessels, primarily for sexual exploitation rather than as fishing labourers. Women are also reported to be victims of trafficking in the land-based fish processing sector (ILO 2013). When fishing rights are transferred or eliminated in these ways, the indigenous and traditional fishing rights of both women and men can be easily overlooked or misunderstood (Coope SoliDar R.L/ICSF 2015, Madrigal-Cordero and Solis-Rivera 2012). " Ocean grabbing" has gender-differentiated effects (Bennet ef al. Groups who are already marginalized, including women, are especially vulnerable to "grabbing", moreover, women fishers and gleaners whose work is concentrated in foreshore and reef areas are often within sight of communities and open to surveillance and regulation for IUU "violations" in ways that other types of fishing is not (Bennet et al. They have primary responsibilities in many countries for performing jobs such as smoking, salting and drying, as well as selling fish and seafood products in local markets.</v>
      </c>
      <c r="C10" s="7" t="s">
        <v>440</v>
      </c>
      <c r="D10" s="48" t="b">
        <f t="shared" ref="D10:H10" si="18">VLOOKUP($A10, INDIRECT(D$1&amp;"!A:C"), 3, FALSE)</f>
        <v>0</v>
      </c>
      <c r="E10" s="48" t="str">
        <f t="shared" si="18"/>
        <v>TO DO</v>
      </c>
      <c r="F10" s="48" t="str">
        <f t="shared" si="18"/>
        <v>TO DO</v>
      </c>
      <c r="G10" s="48" t="b">
        <f t="shared" si="18"/>
        <v>1</v>
      </c>
      <c r="H10" s="48" t="b">
        <f t="shared" si="18"/>
        <v>1</v>
      </c>
      <c r="I10" s="49">
        <f t="shared" si="4"/>
        <v>0.3333333333</v>
      </c>
      <c r="J10" s="50" t="str">
        <f t="shared" ref="J10:N10" si="19">VLOOKUP($A10, INDIRECT(J$1&amp;"!A:D"), 4, FALSE)</f>
        <v/>
      </c>
      <c r="K10" s="50" t="str">
        <f t="shared" si="19"/>
        <v/>
      </c>
      <c r="L10" s="50" t="str">
        <f t="shared" si="19"/>
        <v/>
      </c>
      <c r="M10" s="50" t="str">
        <f t="shared" si="19"/>
        <v/>
      </c>
      <c r="N10" s="50" t="str">
        <f t="shared" si="19"/>
        <v/>
      </c>
      <c r="O10" s="49" t="str">
        <f>IFERROR(__xludf.DUMMYFUNCTION("IF(COUNTA(J10:N10)=0, """", ARRAYFORMULA(""- ""&amp;TEXTJOIN(char(10)&amp;""- "", TRUE, FILTER(J$1:N$1&amp;"": ""&amp;J10:N10, NOT(ISBLANK(J10:N10))))))"),"")</f>
        <v/>
      </c>
      <c r="P10" s="49" t="s">
        <v>435</v>
      </c>
      <c r="Q10" s="52" t="b">
        <v>1</v>
      </c>
      <c r="R10" s="5" t="s">
        <v>441</v>
      </c>
    </row>
    <row r="11">
      <c r="A11" s="12" t="str">
        <f>IFERROR(__xludf.DUMMYFUNCTION("""COMPUTED_VALUE"""),"72bdc37187b1b1bc2f94d27ef289044e")</f>
        <v>72bdc37187b1b1bc2f94d27ef289044e</v>
      </c>
      <c r="B11" s="12" t="str">
        <f>IFERROR(__xludf.DUMMYFUNCTION("""COMPUTED_VALUE"""),"Courses of this kind aim to address the need to rapidly develop a general understanding of emerging issues where there is limited capacity. Introduction level and general courses are then superseded by more specialised technical courses and /or integratio"&amp;"n into vocational and masters training courses. Multi-stage courses combine on-the-job-learning and assignments with one or more intensive training sessions, often involving exposure to projects or other real-life management situations that provide the ex"&amp;"perience participants need to build their own capabilities. Participants then complete assignments and projects based on their workplace (or volunteer) experience (Coley and others, 2002).")</f>
        <v>Courses of this kind aim to address the need to rapidly develop a general understanding of emerging issues where there is limited capacity. Introduction level and general courses are then superseded by more specialised technical courses and /or integration into vocational and masters training courses. Multi-stage courses combine on-the-job-learning and assignments with one or more intensive training sessions, often involving exposure to projects or other real-life management situations that provide the experience participants need to build their own capabilities. Participants then complete assignments and projects based on their workplace (or volunteer) experience (Coley and others, 2002).</v>
      </c>
      <c r="C11" s="53"/>
      <c r="D11" s="48" t="b">
        <f t="shared" ref="D11:H11" si="20">VLOOKUP($A11, INDIRECT(D$1&amp;"!A:C"), 3, FALSE)</f>
        <v>0</v>
      </c>
      <c r="E11" s="48" t="str">
        <f t="shared" si="20"/>
        <v>TO DO</v>
      </c>
      <c r="F11" s="48" t="str">
        <f t="shared" si="20"/>
        <v>TO DO</v>
      </c>
      <c r="G11" s="48" t="b">
        <f t="shared" si="20"/>
        <v>0</v>
      </c>
      <c r="H11" s="48" t="b">
        <f t="shared" si="20"/>
        <v>0</v>
      </c>
      <c r="I11" s="49">
        <f t="shared" si="4"/>
        <v>1</v>
      </c>
      <c r="J11" s="50" t="str">
        <f t="shared" ref="J11:N11" si="21">VLOOKUP($A11, INDIRECT(J$1&amp;"!A:D"), 4, FALSE)</f>
        <v/>
      </c>
      <c r="K11" s="50" t="str">
        <f t="shared" si="21"/>
        <v/>
      </c>
      <c r="L11" s="50" t="str">
        <f t="shared" si="21"/>
        <v/>
      </c>
      <c r="M11" s="50" t="str">
        <f t="shared" si="21"/>
        <v/>
      </c>
      <c r="N11" s="50" t="str">
        <f t="shared" si="21"/>
        <v/>
      </c>
      <c r="O11" s="49" t="str">
        <f>IFERROR(__xludf.DUMMYFUNCTION("IF(COUNTA(J11:N11)=0, """", ARRAYFORMULA(""- ""&amp;TEXTJOIN(char(10)&amp;""- "", TRUE, FILTER(J$1:N$1&amp;"": ""&amp;J11:N11, NOT(ISBLANK(J11:N11))))))"),"")</f>
        <v/>
      </c>
      <c r="P11" s="49" t="s">
        <v>435</v>
      </c>
      <c r="Q11" s="51" t="b">
        <v>0</v>
      </c>
    </row>
    <row r="12">
      <c r="A12" s="12" t="str">
        <f>IFERROR(__xludf.DUMMYFUNCTION("""COMPUTED_VALUE"""),"ca3ea1264000a4f304fc78c27208451b")</f>
        <v>ca3ea1264000a4f304fc78c27208451b</v>
      </c>
      <c r="B12" s="12" t="str">
        <f>IFERROR(__xludf.DUMMYFUNCTION("""COMPUTED_VALUE"""),"Secondly, they suggest that developing countries depend on international scientific assistance, which has its own frequently changing investment agenda. There are also large disparities in key socio-economic indicators that can influence R&amp;D potential suc"&amp;"h as Gross Domestic Product (GDP), which varies from US$ 592 000 million for South Africa to less than US$ 1 000 million for Comoros. According to the World Bank (The World Bank, undated) R&amp;D expenditure (per cent of GDP) is defined as the current and cap"&amp;"ital expenditures (both public and private) on creative work undertaken systematically to increase knowledge, including knowledge of humanity, culture, and society, and the use of knowledge for new applications. R&amp;D covers basic research, applied research"&amp;", and experimental development.")</f>
        <v>Secondly, they suggest that developing countries depend on international scientific assistance, which has its own frequently changing investment agenda. There are also large disparities in key socio-economic indicators that can influence R&amp;D potential such as Gross Domestic Product (GDP), which varies from US$ 592 000 million for South Africa to less than US$ 1 000 million for Comoros. According to the World Bank (The World Bank, undated) R&amp;D expenditure (per cent of GDP) is defined as the current and capital expenditures (both public and private) on creative work undertaken systematically to increase knowledge, including knowledge of humanity, culture, and society, and the use of knowledge for new applications. R&amp;D covers basic research, applied research, and experimental development.</v>
      </c>
      <c r="C12" s="54"/>
      <c r="D12" s="48" t="b">
        <f t="shared" ref="D12:H12" si="22">VLOOKUP($A12, INDIRECT(D$1&amp;"!A:C"), 3, FALSE)</f>
        <v>0</v>
      </c>
      <c r="E12" s="48" t="str">
        <f t="shared" si="22"/>
        <v>TO DO</v>
      </c>
      <c r="F12" s="48" t="str">
        <f t="shared" si="22"/>
        <v>TO DO</v>
      </c>
      <c r="G12" s="48" t="b">
        <f t="shared" si="22"/>
        <v>0</v>
      </c>
      <c r="H12" s="48" t="b">
        <f t="shared" si="22"/>
        <v>0</v>
      </c>
      <c r="I12" s="49">
        <f t="shared" si="4"/>
        <v>1</v>
      </c>
      <c r="J12" s="50" t="str">
        <f t="shared" ref="J12:N12" si="23">VLOOKUP($A12, INDIRECT(J$1&amp;"!A:D"), 4, FALSE)</f>
        <v/>
      </c>
      <c r="K12" s="50" t="str">
        <f t="shared" si="23"/>
        <v/>
      </c>
      <c r="L12" s="50" t="str">
        <f t="shared" si="23"/>
        <v/>
      </c>
      <c r="M12" s="50" t="str">
        <f t="shared" si="23"/>
        <v/>
      </c>
      <c r="N12" s="50" t="str">
        <f t="shared" si="23"/>
        <v/>
      </c>
      <c r="O12" s="49" t="str">
        <f>IFERROR(__xludf.DUMMYFUNCTION("IF(COUNTA(J12:N12)=0, """", ARRAYFORMULA(""- ""&amp;TEXTJOIN(char(10)&amp;""- "", TRUE, FILTER(J$1:N$1&amp;"": ""&amp;J12:N12, NOT(ISBLANK(J12:N12))))))"),"")</f>
        <v/>
      </c>
      <c r="P12" s="49" t="s">
        <v>435</v>
      </c>
      <c r="Q12" s="51" t="b">
        <v>0</v>
      </c>
    </row>
    <row r="13">
      <c r="A13" s="12" t="str">
        <f>IFERROR(__xludf.DUMMYFUNCTION("""COMPUTED_VALUE"""),"29fc9c3dbf7863118ae69d751a0d31c0")</f>
        <v>29fc9c3dbf7863118ae69d751a0d31c0</v>
      </c>
      <c r="B13" s="12" t="str">
        <f>IFERROR(__xludf.DUMMYFUNCTION("""COMPUTED_VALUE"""),"This is seen to be necessary in order to devise integrated strategies and policies that foster synergies across different goals and explicitly address tensions and potential tradeoffs among them. The editions of the UN Global Sustainable Development Repor"&amp;"t published in 2015 and 2016 adopted the SDGs as an integrated network of goals as their basic framework (United Nations, 2015 and 2016a). Generic network maps of the SDGs were proposed in Le Blanc (2015). Systematic lists of relationships among the targe"&amp;"ts under one SDG and other SDGs have been published for SDG6 (UN-Water, 2016), SDG4 (Vladimirova and Le Blanc, 2016), and similar work is ongoing in other SDG areas (ICSU, forthcoming).")</f>
        <v>This is seen to be necessary in order to devise integrated strategies and policies that foster synergies across different goals and explicitly address tensions and potential tradeoffs among them. The editions of the UN Global Sustainable Development Report published in 2015 and 2016 adopted the SDGs as an integrated network of goals as their basic framework (United Nations, 2015 and 2016a). Generic network maps of the SDGs were proposed in Le Blanc (2015). Systematic lists of relationships among the targets under one SDG and other SDGs have been published for SDG6 (UN-Water, 2016), SDG4 (Vladimirova and Le Blanc, 2016), and similar work is ongoing in other SDG areas (ICSU, forthcoming).</v>
      </c>
      <c r="C13" s="53"/>
      <c r="D13" s="48" t="b">
        <f t="shared" ref="D13:H13" si="24">VLOOKUP($A13, INDIRECT(D$1&amp;"!A:C"), 3, FALSE)</f>
        <v>0</v>
      </c>
      <c r="E13" s="48" t="str">
        <f t="shared" si="24"/>
        <v>TO DO</v>
      </c>
      <c r="F13" s="48" t="str">
        <f t="shared" si="24"/>
        <v>TO DO</v>
      </c>
      <c r="G13" s="48" t="b">
        <f t="shared" si="24"/>
        <v>0</v>
      </c>
      <c r="H13" s="48" t="b">
        <f t="shared" si="24"/>
        <v>0</v>
      </c>
      <c r="I13" s="49">
        <f t="shared" si="4"/>
        <v>1</v>
      </c>
      <c r="J13" s="50" t="str">
        <f t="shared" ref="J13:N13" si="25">VLOOKUP($A13, INDIRECT(J$1&amp;"!A:D"), 4, FALSE)</f>
        <v/>
      </c>
      <c r="K13" s="50" t="str">
        <f t="shared" si="25"/>
        <v/>
      </c>
      <c r="L13" s="50" t="str">
        <f t="shared" si="25"/>
        <v/>
      </c>
      <c r="M13" s="50" t="str">
        <f t="shared" si="25"/>
        <v/>
      </c>
      <c r="N13" s="50" t="str">
        <f t="shared" si="25"/>
        <v/>
      </c>
      <c r="O13" s="49" t="str">
        <f>IFERROR(__xludf.DUMMYFUNCTION("IF(COUNTA(J13:N13)=0, """", ARRAYFORMULA(""- ""&amp;TEXTJOIN(char(10)&amp;""- "", TRUE, FILTER(J$1:N$1&amp;"": ""&amp;J13:N13, NOT(ISBLANK(J13:N13))))))"),"")</f>
        <v/>
      </c>
      <c r="P13" s="49" t="s">
        <v>435</v>
      </c>
      <c r="Q13" s="51" t="b">
        <v>0</v>
      </c>
    </row>
    <row r="14">
      <c r="A14" s="12" t="str">
        <f>IFERROR(__xludf.DUMMYFUNCTION("""COMPUTED_VALUE"""),"8aa1fb08aba1395bf2c68bf38cd4c8d6")</f>
        <v>8aa1fb08aba1395bf2c68bf38cd4c8d6</v>
      </c>
      <c r="B14" s="12" t="str">
        <f>IFERROR(__xludf.DUMMYFUNCTION("""COMPUTED_VALUE"""),"Because of the complex dimensionality of the interactions among the targets when viewed socially, economically and environmentally, the arrows in Figure 1 should be taken as illustrative but not definitive. However, in many cases the “real life” impacts o"&amp;"f what is done in a target area on other target areas is variable, and can be positive or negative. Some targets are mostly at the “receiving end” of the interlinkages and are affected by many of the other targets. They include targets 14.2 (sustainable m"&amp;"anagement of marine ecosystems), 14.4 (restoration of fish stocks), and 14.7 increased benefits for SIDS and LDCs. On the other hand, targets 14.a (science and technology) and I4.c (implementation of international law) have the potential to affect most of"&amp;" the other targets.")</f>
        <v>Because of the complex dimensionality of the interactions among the targets when viewed socially, economically and environmentally, the arrows in Figure 1 should be taken as illustrative but not definitive. However, in many cases the “real life” impacts of what is done in a target area on other target areas is variable, and can be positive or negative. Some targets are mostly at the “receiving end” of the interlinkages and are affected by many of the other targets. They include targets 14.2 (sustainable management of marine ecosystems), 14.4 (restoration of fish stocks), and 14.7 increased benefits for SIDS and LDCs. On the other hand, targets 14.a (science and technology) and I4.c (implementation of international law) have the potential to affect most of the other targets.</v>
      </c>
      <c r="C14" s="53"/>
      <c r="D14" s="48" t="b">
        <f t="shared" ref="D14:H14" si="26">VLOOKUP($A14, INDIRECT(D$1&amp;"!A:C"), 3, FALSE)</f>
        <v>1</v>
      </c>
      <c r="E14" s="48" t="str">
        <f t="shared" si="26"/>
        <v>TO DO</v>
      </c>
      <c r="F14" s="48" t="str">
        <f t="shared" si="26"/>
        <v>TO DO</v>
      </c>
      <c r="G14" s="48" t="b">
        <f t="shared" si="26"/>
        <v>1</v>
      </c>
      <c r="H14" s="48" t="b">
        <f t="shared" si="26"/>
        <v>1</v>
      </c>
      <c r="I14" s="49">
        <f t="shared" si="4"/>
        <v>1</v>
      </c>
      <c r="J14" s="50" t="str">
        <f t="shared" ref="J14:N14" si="27">VLOOKUP($A14, INDIRECT(J$1&amp;"!A:D"), 4, FALSE)</f>
        <v/>
      </c>
      <c r="K14" s="50" t="str">
        <f t="shared" si="27"/>
        <v/>
      </c>
      <c r="L14" s="50" t="str">
        <f t="shared" si="27"/>
        <v/>
      </c>
      <c r="M14" s="50" t="str">
        <f t="shared" si="27"/>
        <v/>
      </c>
      <c r="N14" s="50" t="str">
        <f t="shared" si="27"/>
        <v/>
      </c>
      <c r="O14" s="49" t="str">
        <f>IFERROR(__xludf.DUMMYFUNCTION("IF(COUNTA(J14:N14)=0, """", ARRAYFORMULA(""- ""&amp;TEXTJOIN(char(10)&amp;""- "", TRUE, FILTER(J$1:N$1&amp;"": ""&amp;J14:N14, NOT(ISBLANK(J14:N14))))))"),"")</f>
        <v/>
      </c>
      <c r="P14" s="49" t="s">
        <v>435</v>
      </c>
      <c r="Q14" s="51" t="b">
        <v>1</v>
      </c>
    </row>
    <row r="15">
      <c r="A15" s="12" t="str">
        <f>IFERROR(__xludf.DUMMYFUNCTION("""COMPUTED_VALUE"""),"61b0909cdbc98bfd1377240753474a6f")</f>
        <v>61b0909cdbc98bfd1377240753474a6f</v>
      </c>
      <c r="B15" s="12" t="str">
        <f>IFERROR(__xludf.DUMMYFUNCTION("""COMPUTED_VALUE"""),"The ocean has been a catalyst for regionalism. These have profound, damaging effects on our ocean and its ecosystems. But we also see that the ocean has an incredible ability to adapt and regenerate if it is given the chance. This requires rethinking the "&amp;"way we sustainably manage our oceanic resources. We recognize that there must be transformational change in attitude and behaviour. We must come together if we are to succeed as citizens, communities, governments and countries.")</f>
        <v>The ocean has been a catalyst for regionalism. These have profound, damaging effects on our ocean and its ecosystems. But we also see that the ocean has an incredible ability to adapt and regenerate if it is given the chance. This requires rethinking the way we sustainably manage our oceanic resources. We recognize that there must be transformational change in attitude and behaviour. We must come together if we are to succeed as citizens, communities, governments and countries.</v>
      </c>
      <c r="C15" s="53"/>
      <c r="D15" s="48" t="b">
        <f t="shared" ref="D15:H15" si="28">VLOOKUP($A15, INDIRECT(D$1&amp;"!A:C"), 3, FALSE)</f>
        <v>1</v>
      </c>
      <c r="E15" s="48" t="str">
        <f t="shared" si="28"/>
        <v>TO DO</v>
      </c>
      <c r="F15" s="48" t="str">
        <f t="shared" si="28"/>
        <v>TO DO</v>
      </c>
      <c r="G15" s="48" t="b">
        <f t="shared" si="28"/>
        <v>1</v>
      </c>
      <c r="H15" s="48" t="b">
        <f t="shared" si="28"/>
        <v>1</v>
      </c>
      <c r="I15" s="49">
        <f t="shared" si="4"/>
        <v>1</v>
      </c>
      <c r="J15" s="50" t="str">
        <f t="shared" ref="J15:N15" si="29">VLOOKUP($A15, INDIRECT(J$1&amp;"!A:D"), 4, FALSE)</f>
        <v/>
      </c>
      <c r="K15" s="50" t="str">
        <f t="shared" si="29"/>
        <v/>
      </c>
      <c r="L15" s="50" t="str">
        <f t="shared" si="29"/>
        <v/>
      </c>
      <c r="M15" s="50" t="str">
        <f t="shared" si="29"/>
        <v/>
      </c>
      <c r="N15" s="50" t="str">
        <f t="shared" si="29"/>
        <v/>
      </c>
      <c r="O15" s="49" t="str">
        <f>IFERROR(__xludf.DUMMYFUNCTION("IF(COUNTA(J15:N15)=0, """", ARRAYFORMULA(""- ""&amp;TEXTJOIN(char(10)&amp;""- "", TRUE, FILTER(J$1:N$1&amp;"": ""&amp;J15:N15, NOT(ISBLANK(J15:N15))))))"),"")</f>
        <v/>
      </c>
      <c r="P15" s="49" t="s">
        <v>435</v>
      </c>
      <c r="Q15" s="51" t="b">
        <v>1</v>
      </c>
    </row>
    <row r="16">
      <c r="A16" s="12" t="str">
        <f>IFERROR(__xludf.DUMMYFUNCTION("""COMPUTED_VALUE"""),"7d0203f701c1b31b078ba8faad369706")</f>
        <v>7d0203f701c1b31b078ba8faad369706</v>
      </c>
      <c r="B16" s="12" t="str">
        <f>IFERROR(__xludf.DUMMYFUNCTION("""COMPUTED_VALUE"""),"Ironically, this provided a favourable opportunity for Cambodian women fish traders in the Tonle Sap region to engage in cross-border fish trade. They had an advantage over male traders, enjoying greater mobility as they did not risk being considered war "&amp;"combatants. In the late 1990s, as the war subsided, control over fish trade moved into the hands of government agencies and the police.")</f>
        <v>Ironically, this provided a favourable opportunity for Cambodian women fish traders in the Tonle Sap region to engage in cross-border fish trade. They had an advantage over male traders, enjoying greater mobility as they did not risk being considered war combatants. In the late 1990s, as the war subsided, control over fish trade moved into the hands of government agencies and the police.</v>
      </c>
      <c r="C16" s="54" t="s">
        <v>440</v>
      </c>
      <c r="D16" s="48" t="b">
        <f t="shared" ref="D16:H16" si="30">VLOOKUP($A16, INDIRECT(D$1&amp;"!A:C"), 3, FALSE)</f>
        <v>0</v>
      </c>
      <c r="E16" s="48" t="str">
        <f t="shared" si="30"/>
        <v>TO DO</v>
      </c>
      <c r="F16" s="48" t="str">
        <f t="shared" si="30"/>
        <v>TO DO</v>
      </c>
      <c r="G16" s="48" t="b">
        <f t="shared" si="30"/>
        <v>0</v>
      </c>
      <c r="H16" s="48" t="b">
        <f t="shared" si="30"/>
        <v>1</v>
      </c>
      <c r="I16" s="49">
        <f t="shared" si="4"/>
        <v>0.3333333333</v>
      </c>
      <c r="J16" s="50" t="str">
        <f t="shared" ref="J16:N16" si="31">VLOOKUP($A16, INDIRECT(J$1&amp;"!A:D"), 4, FALSE)</f>
        <v>fish trade vs fishing</v>
      </c>
      <c r="K16" s="50" t="str">
        <f t="shared" si="31"/>
        <v/>
      </c>
      <c r="L16" s="50" t="str">
        <f t="shared" si="31"/>
        <v/>
      </c>
      <c r="M16" s="50" t="str">
        <f t="shared" si="31"/>
        <v/>
      </c>
      <c r="N16" s="50" t="str">
        <f t="shared" si="31"/>
        <v/>
      </c>
      <c r="O16" s="49" t="str">
        <f>IFERROR(__xludf.DUMMYFUNCTION("IF(COUNTA(J16:N16)=0, """", ARRAYFORMULA(""- ""&amp;TEXTJOIN(char(10)&amp;""- "", TRUE, FILTER(J$1:N$1&amp;"": ""&amp;J16:N16, NOT(ISBLANK(J16:N16))))))"),"- Finn: fish trade vs fishing")</f>
        <v>- Finn: fish trade vs fishing</v>
      </c>
      <c r="P16" s="49" t="s">
        <v>442</v>
      </c>
      <c r="Q16" s="52" t="b">
        <v>0</v>
      </c>
      <c r="R16" s="5" t="s">
        <v>443</v>
      </c>
    </row>
    <row r="17">
      <c r="A17" s="12" t="str">
        <f>IFERROR(__xludf.DUMMYFUNCTION("""COMPUTED_VALUE"""),"21cffd2895d836599b0bf431a036c37b")</f>
        <v>21cffd2895d836599b0bf431a036c37b</v>
      </c>
      <c r="B17" s="12" t="str">
        <f>IFERROR(__xludf.DUMMYFUNCTION("""COMPUTED_VALUE"""),"This number is thus an underestimate as it does not include congressional earmarks for aquaculture, aquaculture spending by other NMFS programs, or aquaculture spending by other US agencies (such as the USDA). With the exception of the BSAI crab fishery, "&amp;"all vessel/permit buybacks to date have involved some public funding. Aggregate public costs have amounted to almost USD 70 million, or approximately 25% of total buyback costs.")</f>
        <v>This number is thus an underestimate as it does not include congressional earmarks for aquaculture, aquaculture spending by other NMFS programs, or aquaculture spending by other US agencies (such as the USDA). With the exception of the BSAI crab fishery, all vessel/permit buybacks to date have involved some public funding. Aggregate public costs have amounted to almost USD 70 million, or approximately 25% of total buyback costs.</v>
      </c>
      <c r="C17" s="7" t="s">
        <v>63</v>
      </c>
      <c r="D17" s="48" t="b">
        <f t="shared" ref="D17:H17" si="32">VLOOKUP($A17, INDIRECT(D$1&amp;"!A:C"), 3, FALSE)</f>
        <v>0</v>
      </c>
      <c r="E17" s="48" t="str">
        <f t="shared" si="32"/>
        <v>TO DO</v>
      </c>
      <c r="F17" s="48" t="str">
        <f t="shared" si="32"/>
        <v>TO DO</v>
      </c>
      <c r="G17" s="48" t="b">
        <f t="shared" si="32"/>
        <v>1</v>
      </c>
      <c r="H17" s="48" t="b">
        <f t="shared" si="32"/>
        <v>0</v>
      </c>
      <c r="I17" s="49">
        <f t="shared" si="4"/>
        <v>0.3333333333</v>
      </c>
      <c r="J17" s="50" t="str">
        <f t="shared" ref="J17:N17" si="33">VLOOKUP($A17, INDIRECT(J$1&amp;"!A:D"), 4, FALSE)</f>
        <v/>
      </c>
      <c r="K17" s="50" t="str">
        <f t="shared" si="33"/>
        <v/>
      </c>
      <c r="L17" s="50" t="str">
        <f t="shared" si="33"/>
        <v/>
      </c>
      <c r="M17" s="50" t="str">
        <f t="shared" si="33"/>
        <v/>
      </c>
      <c r="N17" s="50" t="str">
        <f t="shared" si="33"/>
        <v>NMFS = National Marine Fisheries Service, but no notion of sustainable management of marine resources</v>
      </c>
      <c r="O17" s="49" t="str">
        <f>IFERROR(__xludf.DUMMYFUNCTION("IF(COUNTA(J17:N17)=0, """", ARRAYFORMULA(""- ""&amp;TEXTJOIN(char(10)&amp;""- "", TRUE, FILTER(J$1:N$1&amp;"": ""&amp;J17:N17, NOT(ISBLANK(J17:N17))))))"),"- Steve: NMFS = National Marine Fisheries Service, but no notion of sustainable management of marine resources")</f>
        <v>- Steve: NMFS = National Marine Fisheries Service, but no notion of sustainable management of marine resources</v>
      </c>
      <c r="P17" s="49" t="s">
        <v>444</v>
      </c>
      <c r="Q17" s="51" t="s">
        <v>438</v>
      </c>
    </row>
    <row r="18">
      <c r="A18" s="12" t="str">
        <f>IFERROR(__xludf.DUMMYFUNCTION("""COMPUTED_VALUE"""),"1bccedf6b7f73c47e16380ec7f4f9b90")</f>
        <v>1bccedf6b7f73c47e16380ec7f4f9b90</v>
      </c>
      <c r="B18" s="12" t="str">
        <f>IFERROR(__xludf.DUMMYFUNCTION("""COMPUTED_VALUE"""),"Suppose, for example, that a stock has been confined to Country A’s EEZ. Climate change increasingly diverts the stock into Country B’s EEZ, while the growth and reproduction of the stock still depend on how much of the stock is left after fishing in the "&amp;"EEZs of both countries. Country A’s command over the stock will be steadily eroded and so will its previously strong incentives to protect it, while Country B will acquire an interest in the stock, at first fleeting but then a more substantial one. If thi"&amp;"ngs continue in this direction, B will ultimately acquire a stronger incentive than A to preserve the stock for reproduction and future growth, while A will become a player which only has a minor fraction of the stock and which in fact will be able to dem"&amp;"and a disproportionate share of the stock, since it will in any case benefit from B’s conservation efforts without making much of a contribution itself. But how quickly will the players realize this reversal of roles and how timely will they adjust to it?")</f>
        <v>Suppose, for example, that a stock has been confined to Country A’s EEZ. Climate change increasingly diverts the stock into Country B’s EEZ, while the growth and reproduction of the stock still depend on how much of the stock is left after fishing in the EEZs of both countries. Country A’s command over the stock will be steadily eroded and so will its previously strong incentives to protect it, while Country B will acquire an interest in the stock, at first fleeting but then a more substantial one. If things continue in this direction, B will ultimately acquire a stronger incentive than A to preserve the stock for reproduction and future growth, while A will become a player which only has a minor fraction of the stock and which in fact will be able to demand a disproportionate share of the stock, since it will in any case benefit from B’s conservation efforts without making much of a contribution itself. But how quickly will the players realize this reversal of roles and how timely will they adjust to it?</v>
      </c>
      <c r="C18" s="7" t="s">
        <v>63</v>
      </c>
      <c r="D18" s="48" t="b">
        <f t="shared" ref="D18:H18" si="34">VLOOKUP($A18, INDIRECT(D$1&amp;"!A:C"), 3, FALSE)</f>
        <v>1</v>
      </c>
      <c r="E18" s="48" t="str">
        <f t="shared" si="34"/>
        <v>TO DO</v>
      </c>
      <c r="F18" s="48" t="str">
        <f t="shared" si="34"/>
        <v>TO DO</v>
      </c>
      <c r="G18" s="48" t="b">
        <f t="shared" si="34"/>
        <v>0</v>
      </c>
      <c r="H18" s="48" t="b">
        <f t="shared" si="34"/>
        <v>1</v>
      </c>
      <c r="I18" s="49">
        <f t="shared" si="4"/>
        <v>0.3333333333</v>
      </c>
      <c r="J18" s="50" t="str">
        <f t="shared" ref="J18:N18" si="35">VLOOKUP($A18, INDIRECT(J$1&amp;"!A:D"), 4, FALSE)</f>
        <v>weak</v>
      </c>
      <c r="K18" s="50" t="str">
        <f t="shared" si="35"/>
        <v/>
      </c>
      <c r="L18" s="50" t="str">
        <f t="shared" si="35"/>
        <v/>
      </c>
      <c r="M18" s="50" t="str">
        <f t="shared" si="35"/>
        <v/>
      </c>
      <c r="N18" s="50" t="str">
        <f t="shared" si="35"/>
        <v/>
      </c>
      <c r="O18" s="49" t="str">
        <f>IFERROR(__xludf.DUMMYFUNCTION("IF(COUNTA(J18:N18)=0, """", ARRAYFORMULA(""- ""&amp;TEXTJOIN(char(10)&amp;""- "", TRUE, FILTER(J$1:N$1&amp;"": ""&amp;J18:N18, NOT(ISBLANK(J18:N18))))))"),"- Finn: weak")</f>
        <v>- Finn: weak</v>
      </c>
      <c r="P18" s="49" t="s">
        <v>445</v>
      </c>
      <c r="Q18" s="51" t="s">
        <v>438</v>
      </c>
    </row>
    <row r="19">
      <c r="A19" s="12" t="str">
        <f>IFERROR(__xludf.DUMMYFUNCTION("""COMPUTED_VALUE"""),"054d6d6c79b21f8ec9eee66cabe7f819")</f>
        <v>054d6d6c79b21f8ec9eee66cabe7f819</v>
      </c>
      <c r="B19" s="12" t="str">
        <f>IFERROR(__xludf.DUMMYFUNCTION("""COMPUTED_VALUE"""),"It is the first year since 2006 that no stocks managed solely by the Australian Government have been classified as subject to overfishing. The statement is the first step in fulfilling the Australian Government’s commitment to work with industry to develo"&amp;"p a national aquaculture strategy. Parties to the agreement focused on developing foundation documents, including rules of procedure and financial regulations to help ensure the long-term conservation and sustainable use of non-highly migratory fish stock"&amp;"s in the high seas of the southern Indian Ocean.")</f>
        <v>It is the first year since 2006 that no stocks managed solely by the Australian Government have been classified as subject to overfishing. The statement is the first step in fulfilling the Australian Government’s commitment to work with industry to develop a national aquaculture strategy. Parties to the agreement focused on developing foundation documents, including rules of procedure and financial regulations to help ensure the long-term conservation and sustainable use of non-highly migratory fish stocks in the high seas of the southern Indian Ocean.</v>
      </c>
      <c r="C19" s="7"/>
      <c r="D19" s="48" t="b">
        <f t="shared" ref="D19:H19" si="36">VLOOKUP($A19, INDIRECT(D$1&amp;"!A:C"), 3, FALSE)</f>
        <v>1</v>
      </c>
      <c r="E19" s="48" t="str">
        <f t="shared" si="36"/>
        <v>TO DO</v>
      </c>
      <c r="F19" s="48" t="str">
        <f t="shared" si="36"/>
        <v>TO DO</v>
      </c>
      <c r="G19" s="48" t="b">
        <f t="shared" si="36"/>
        <v>1</v>
      </c>
      <c r="H19" s="48" t="b">
        <f t="shared" si="36"/>
        <v>1</v>
      </c>
      <c r="I19" s="49">
        <f t="shared" si="4"/>
        <v>1</v>
      </c>
      <c r="J19" s="50" t="str">
        <f t="shared" ref="J19:N19" si="37">VLOOKUP($A19, INDIRECT(J$1&amp;"!A:D"), 4, FALSE)</f>
        <v/>
      </c>
      <c r="K19" s="50" t="str">
        <f t="shared" si="37"/>
        <v/>
      </c>
      <c r="L19" s="50" t="str">
        <f t="shared" si="37"/>
        <v/>
      </c>
      <c r="M19" s="50" t="str">
        <f t="shared" si="37"/>
        <v/>
      </c>
      <c r="N19" s="50" t="str">
        <f t="shared" si="37"/>
        <v/>
      </c>
      <c r="O19" s="49" t="str">
        <f>IFERROR(__xludf.DUMMYFUNCTION("IF(COUNTA(J19:N19)=0, """", ARRAYFORMULA(""- ""&amp;TEXTJOIN(char(10)&amp;""- "", TRUE, FILTER(J$1:N$1&amp;"": ""&amp;J19:N19, NOT(ISBLANK(J19:N19))))))"),"")</f>
        <v/>
      </c>
      <c r="P19" s="49" t="s">
        <v>435</v>
      </c>
      <c r="Q19" s="51" t="b">
        <v>1</v>
      </c>
    </row>
    <row r="20">
      <c r="A20" s="12" t="str">
        <f>IFERROR(__xludf.DUMMYFUNCTION("""COMPUTED_VALUE"""),"7fa995e248654e5ab0e4864e990c0b24")</f>
        <v>7fa995e248654e5ab0e4864e990c0b24</v>
      </c>
      <c r="B20" s="12" t="str">
        <f>IFERROR(__xludf.DUMMYFUNCTION("""COMPUTED_VALUE"""),"The Fishery moved to total allowable catches allocated as individual transferable quotas on 1 July 2010. Responsibility for managing these waters now lies with the commonwealth department of infrastructure, transport, regional development and local govern"&amp;"ment. The department of infrastructure has entered into a service delivery arrangement with the western Australian department of fisheries for the management of these inshore fisheries.")</f>
        <v>The Fishery moved to total allowable catches allocated as individual transferable quotas on 1 July 2010. Responsibility for managing these waters now lies with the commonwealth department of infrastructure, transport, regional development and local government. The department of infrastructure has entered into a service delivery arrangement with the western Australian department of fisheries for the management of these inshore fisheries.</v>
      </c>
      <c r="C20" s="7" t="s">
        <v>440</v>
      </c>
      <c r="D20" s="48" t="b">
        <f t="shared" ref="D20:H20" si="38">VLOOKUP($A20, INDIRECT(D$1&amp;"!A:C"), 3, FALSE)</f>
        <v>1</v>
      </c>
      <c r="E20" s="48" t="str">
        <f t="shared" si="38"/>
        <v>TO DO</v>
      </c>
      <c r="F20" s="48" t="str">
        <f t="shared" si="38"/>
        <v>TO DO</v>
      </c>
      <c r="G20" s="48" t="b">
        <f t="shared" si="38"/>
        <v>1</v>
      </c>
      <c r="H20" s="48" t="b">
        <f t="shared" si="38"/>
        <v>0</v>
      </c>
      <c r="I20" s="49">
        <f t="shared" si="4"/>
        <v>0.3333333333</v>
      </c>
      <c r="J20" s="50" t="str">
        <f t="shared" ref="J20:N20" si="39">VLOOKUP($A20, INDIRECT(J$1&amp;"!A:D"), 4, FALSE)</f>
        <v/>
      </c>
      <c r="K20" s="50" t="str">
        <f t="shared" si="39"/>
        <v/>
      </c>
      <c r="L20" s="50" t="str">
        <f t="shared" si="39"/>
        <v/>
      </c>
      <c r="M20" s="50" t="str">
        <f t="shared" si="39"/>
        <v/>
      </c>
      <c r="N20" s="50" t="str">
        <f t="shared" si="39"/>
        <v>again no notion of sustainable use of marine resources</v>
      </c>
      <c r="O20" s="49" t="str">
        <f>IFERROR(__xludf.DUMMYFUNCTION("IF(COUNTA(J20:N20)=0, """", ARRAYFORMULA(""- ""&amp;TEXTJOIN(char(10)&amp;""- "", TRUE, FILTER(J$1:N$1&amp;"": ""&amp;J20:N20, NOT(ISBLANK(J20:N20))))))"),"- Steve: again no notion of sustainable use of marine resources")</f>
        <v>- Steve: again no notion of sustainable use of marine resources</v>
      </c>
      <c r="P20" s="49" t="s">
        <v>446</v>
      </c>
      <c r="Q20" s="52" t="b">
        <v>0</v>
      </c>
      <c r="R20" s="5" t="s">
        <v>447</v>
      </c>
    </row>
    <row r="21">
      <c r="A21" s="12" t="str">
        <f>IFERROR(__xludf.DUMMYFUNCTION("""COMPUTED_VALUE"""),"45fc65b837b705e0e7e55e366d07d7df")</f>
        <v>45fc65b837b705e0e7e55e366d07d7df</v>
      </c>
      <c r="B21" s="12" t="str">
        <f>IFERROR(__xludf.DUMMYFUNCTION("""COMPUTED_VALUE"""),"The average FTEs per unit remained unchanged from 2010 at 37. While the main reason for the contraction seen in the number of sea fish processing units and FTE jobs was ceased operations, other common reasons include reorientation towards processing salmo"&amp;"n (as salmon processing is not included in seafood processing data) and processing no longer being the main income generating activity of the business. Smaller units (1-10 FTE band) account for only 6% of industry employment, whilst representing 45% of to"&amp;"tal processing units. In contrast, the largest units (101+ FTEs) provide nearly 50% of employment from only 7% of all business units.")</f>
        <v>The average FTEs per unit remained unchanged from 2010 at 37. While the main reason for the contraction seen in the number of sea fish processing units and FTE jobs was ceased operations, other common reasons include reorientation towards processing salmon (as salmon processing is not included in seafood processing data) and processing no longer being the main income generating activity of the business. Smaller units (1-10 FTE band) account for only 6% of industry employment, whilst representing 45% of total processing units. In contrast, the largest units (101+ FTEs) provide nearly 50% of employment from only 7% of all business units.</v>
      </c>
      <c r="C21" s="7"/>
      <c r="D21" s="48" t="b">
        <f t="shared" ref="D21:H21" si="40">VLOOKUP($A21, INDIRECT(D$1&amp;"!A:C"), 3, FALSE)</f>
        <v>0</v>
      </c>
      <c r="E21" s="48" t="str">
        <f t="shared" si="40"/>
        <v>TO DO</v>
      </c>
      <c r="F21" s="48" t="str">
        <f t="shared" si="40"/>
        <v>TO DO</v>
      </c>
      <c r="G21" s="48" t="b">
        <f t="shared" si="40"/>
        <v>0</v>
      </c>
      <c r="H21" s="48" t="b">
        <f t="shared" si="40"/>
        <v>0</v>
      </c>
      <c r="I21" s="49">
        <f t="shared" si="4"/>
        <v>1</v>
      </c>
      <c r="J21" s="50" t="str">
        <f t="shared" ref="J21:N21" si="41">VLOOKUP($A21, INDIRECT(J$1&amp;"!A:D"), 4, FALSE)</f>
        <v/>
      </c>
      <c r="K21" s="50" t="str">
        <f t="shared" si="41"/>
        <v/>
      </c>
      <c r="L21" s="50" t="str">
        <f t="shared" si="41"/>
        <v/>
      </c>
      <c r="M21" s="50" t="str">
        <f t="shared" si="41"/>
        <v/>
      </c>
      <c r="N21" s="50" t="str">
        <f t="shared" si="41"/>
        <v>fact stating only</v>
      </c>
      <c r="O21" s="49" t="str">
        <f>IFERROR(__xludf.DUMMYFUNCTION("IF(COUNTA(J21:N21)=0, """", ARRAYFORMULA(""- ""&amp;TEXTJOIN(char(10)&amp;""- "", TRUE, FILTER(J$1:N$1&amp;"": ""&amp;J21:N21, NOT(ISBLANK(J21:N21))))))"),"- Steve: fact stating only")</f>
        <v>- Steve: fact stating only</v>
      </c>
      <c r="P21" s="49" t="s">
        <v>448</v>
      </c>
      <c r="Q21" s="51" t="b">
        <v>0</v>
      </c>
    </row>
    <row r="22">
      <c r="A22" s="12" t="str">
        <f>IFERROR(__xludf.DUMMYFUNCTION("""COMPUTED_VALUE"""),"5097415c625cebf22fd2fbb26c012fd6")</f>
        <v>5097415c625cebf22fd2fbb26c012fd6</v>
      </c>
      <c r="B22" s="12" t="str">
        <f>IFERROR(__xludf.DUMMYFUNCTION("""COMPUTED_VALUE"""),"This is the largest individual category accounting for 14% of all fish purchases. Sales of salmon remained fairly constant (+6.2%) since 2007 and consistently make up around 8% of total fish purchases. Purchases of herring and other blue fish fell -30% on"&amp;" 2007. Whilst purchases have fallen, expenditure on fish has remained almost unchanged. Expenditure has increased by 1%, from GBP 1.16 per person per week in 2007 to GBP 1.17 in 2010 (GDP 1.20 in 2011 ). In comparison, the expenditure on takeaway fish fel"&amp;"l 7.5% over the same period to GBP 0.17 per person per week .")</f>
        <v>This is the largest individual category accounting for 14% of all fish purchases. Sales of salmon remained fairly constant (+6.2%) since 2007 and consistently make up around 8% of total fish purchases. Purchases of herring and other blue fish fell -30% on 2007. Whilst purchases have fallen, expenditure on fish has remained almost unchanged. Expenditure has increased by 1%, from GBP 1.16 per person per week in 2007 to GBP 1.17 in 2010 (GDP 1.20 in 2011 ). In comparison, the expenditure on takeaway fish fell 7.5% over the same period to GBP 0.17 per person per week .</v>
      </c>
      <c r="C22" s="54"/>
      <c r="D22" s="48" t="b">
        <f t="shared" ref="D22:H22" si="42">VLOOKUP($A22, INDIRECT(D$1&amp;"!A:C"), 3, FALSE)</f>
        <v>0</v>
      </c>
      <c r="E22" s="48" t="str">
        <f t="shared" si="42"/>
        <v>TO DO</v>
      </c>
      <c r="F22" s="48" t="str">
        <f t="shared" si="42"/>
        <v>TO DO</v>
      </c>
      <c r="G22" s="48" t="b">
        <f t="shared" si="42"/>
        <v>0</v>
      </c>
      <c r="H22" s="48" t="b">
        <f t="shared" si="42"/>
        <v>0</v>
      </c>
      <c r="I22" s="49">
        <f t="shared" si="4"/>
        <v>1</v>
      </c>
      <c r="J22" s="50" t="str">
        <f t="shared" ref="J22:N22" si="43">VLOOKUP($A22, INDIRECT(J$1&amp;"!A:D"), 4, FALSE)</f>
        <v/>
      </c>
      <c r="K22" s="50" t="str">
        <f t="shared" si="43"/>
        <v/>
      </c>
      <c r="L22" s="50" t="str">
        <f t="shared" si="43"/>
        <v/>
      </c>
      <c r="M22" s="50" t="str">
        <f t="shared" si="43"/>
        <v/>
      </c>
      <c r="N22" s="50" t="str">
        <f t="shared" si="43"/>
        <v>fact stating only</v>
      </c>
      <c r="O22" s="49" t="str">
        <f>IFERROR(__xludf.DUMMYFUNCTION("IF(COUNTA(J22:N22)=0, """", ARRAYFORMULA(""- ""&amp;TEXTJOIN(char(10)&amp;""- "", TRUE, FILTER(J$1:N$1&amp;"": ""&amp;J22:N22, NOT(ISBLANK(J22:N22))))))"),"- Steve: fact stating only")</f>
        <v>- Steve: fact stating only</v>
      </c>
      <c r="P22" s="49" t="s">
        <v>448</v>
      </c>
      <c r="Q22" s="51" t="b">
        <v>0</v>
      </c>
    </row>
    <row r="23">
      <c r="A23" s="12" t="str">
        <f>IFERROR(__xludf.DUMMYFUNCTION("""COMPUTED_VALUE"""),"4e454b66741dc2aed78e55095d05b02f")</f>
        <v>4e454b66741dc2aed78e55095d05b02f</v>
      </c>
      <c r="B23" s="12" t="str">
        <f>IFERROR(__xludf.DUMMYFUNCTION("""COMPUTED_VALUE"""),"Decommissioning and withdrawal from the fleet consists in the scrapping of the vessel, to the exclusion of any other procedure. The premium is paid as compensation for scrapping the vessel and for abandoning the related permits and, as the case may be, qu"&amp;"ota allowances. In 2012 and 2013, EUR 0.7 million and EUR 0.3 million were disbursed respectively for these two categories (fish trade and fishing). The tonnage and propulsion power of the vessels are deducted from the capacity allocation limits for Franc"&amp;"e at European level.")</f>
        <v>Decommissioning and withdrawal from the fleet consists in the scrapping of the vessel, to the exclusion of any other procedure. The premium is paid as compensation for scrapping the vessel and for abandoning the related permits and, as the case may be, quota allowances. In 2012 and 2013, EUR 0.7 million and EUR 0.3 million were disbursed respectively for these two categories (fish trade and fishing). The tonnage and propulsion power of the vessels are deducted from the capacity allocation limits for France at European level.</v>
      </c>
      <c r="C23" s="7" t="s">
        <v>63</v>
      </c>
      <c r="D23" s="48" t="b">
        <f t="shared" ref="D23:H23" si="44">VLOOKUP($A23, INDIRECT(D$1&amp;"!A:C"), 3, FALSE)</f>
        <v>0</v>
      </c>
      <c r="E23" s="48" t="str">
        <f t="shared" si="44"/>
        <v>TO DO</v>
      </c>
      <c r="F23" s="48" t="str">
        <f t="shared" si="44"/>
        <v>TO DO</v>
      </c>
      <c r="G23" s="48" t="b">
        <f t="shared" si="44"/>
        <v>1</v>
      </c>
      <c r="H23" s="48" t="b">
        <f t="shared" si="44"/>
        <v>0</v>
      </c>
      <c r="I23" s="49">
        <f t="shared" si="4"/>
        <v>0.3333333333</v>
      </c>
      <c r="J23" s="50" t="str">
        <f t="shared" ref="J23:N23" si="45">VLOOKUP($A23, INDIRECT(J$1&amp;"!A:D"), 4, FALSE)</f>
        <v>unclear</v>
      </c>
      <c r="K23" s="50" t="str">
        <f t="shared" si="45"/>
        <v/>
      </c>
      <c r="L23" s="50" t="str">
        <f t="shared" si="45"/>
        <v/>
      </c>
      <c r="M23" s="50" t="str">
        <f t="shared" si="45"/>
        <v/>
      </c>
      <c r="N23" s="50" t="str">
        <f t="shared" si="45"/>
        <v>not really on environmental protection, or sustainable fishing</v>
      </c>
      <c r="O23" s="49" t="str">
        <f>IFERROR(__xludf.DUMMYFUNCTION("IF(COUNTA(J23:N23)=0, """", ARRAYFORMULA(""- ""&amp;TEXTJOIN(char(10)&amp;""- "", TRUE, FILTER(J$1:N$1&amp;"": ""&amp;J23:N23, NOT(ISBLANK(J23:N23))))))"),"- Finn: unclear
- Steve: not really on environmental protection, or sustainable fishing")</f>
        <v>- Finn: unclear
- Steve: not really on environmental protection, or sustainable fishing</v>
      </c>
      <c r="P23" s="49" t="s">
        <v>449</v>
      </c>
      <c r="Q23" s="51" t="s">
        <v>438</v>
      </c>
    </row>
    <row r="24">
      <c r="A24" s="12" t="str">
        <f>IFERROR(__xludf.DUMMYFUNCTION("""COMPUTED_VALUE"""),"907d1e958548215ce8985ef0060f2c74")</f>
        <v>907d1e958548215ce8985ef0060f2c74</v>
      </c>
      <c r="B24" s="12" t="str">
        <f>IFERROR(__xludf.DUMMYFUNCTION("""COMPUTED_VALUE"""),"Additionally, owners with TQL allocation are required to pay annually a specific tax calculated according to the amount of quota allocated to the owner. . Satellite Positioning System is required for small-scale vessels (more than 15m length), purse-seine"&amp;" (more than 12m length) and transport vessels. This will help enforce the first mile fishing zone restrictions.")</f>
        <v>Additionally, owners with TQL allocation are required to pay annually a specific tax calculated according to the amount of quota allocated to the owner. . Satellite Positioning System is required for small-scale vessels (more than 15m length), purse-seine (more than 12m length) and transport vessels. This will help enforce the first mile fishing zone restrictions.</v>
      </c>
      <c r="C24" s="48"/>
      <c r="D24" s="48" t="b">
        <f t="shared" ref="D24:H24" si="46">VLOOKUP($A24, INDIRECT(D$1&amp;"!A:C"), 3, FALSE)</f>
        <v>1</v>
      </c>
      <c r="E24" s="48" t="str">
        <f t="shared" si="46"/>
        <v>TO DO</v>
      </c>
      <c r="F24" s="48" t="str">
        <f t="shared" si="46"/>
        <v>TO DO</v>
      </c>
      <c r="G24" s="48" t="b">
        <f t="shared" si="46"/>
        <v>1</v>
      </c>
      <c r="H24" s="48" t="b">
        <f t="shared" si="46"/>
        <v>1</v>
      </c>
      <c r="I24" s="49">
        <f t="shared" si="4"/>
        <v>1</v>
      </c>
      <c r="J24" s="50" t="str">
        <f t="shared" ref="J24:N24" si="47">VLOOKUP($A24, INDIRECT(J$1&amp;"!A:D"), 4, FALSE)</f>
        <v/>
      </c>
      <c r="K24" s="50" t="str">
        <f t="shared" si="47"/>
        <v/>
      </c>
      <c r="L24" s="50" t="str">
        <f t="shared" si="47"/>
        <v/>
      </c>
      <c r="M24" s="50" t="str">
        <f t="shared" si="47"/>
        <v/>
      </c>
      <c r="N24" s="50" t="str">
        <f t="shared" si="47"/>
        <v/>
      </c>
      <c r="O24" s="49" t="str">
        <f>IFERROR(__xludf.DUMMYFUNCTION("IF(COUNTA(J24:N24)=0, """", ARRAYFORMULA(""- ""&amp;TEXTJOIN(char(10)&amp;""- "", TRUE, FILTER(J$1:N$1&amp;"": ""&amp;J24:N24, NOT(ISBLANK(J24:N24))))))"),"")</f>
        <v/>
      </c>
      <c r="P24" s="49" t="s">
        <v>435</v>
      </c>
      <c r="Q24" s="51" t="b">
        <v>1</v>
      </c>
    </row>
    <row r="25">
      <c r="A25" s="12" t="str">
        <f>IFERROR(__xludf.DUMMYFUNCTION("""COMPUTED_VALUE"""),"772a6067c43971ff7f1de79ec0cf3b86")</f>
        <v>772a6067c43971ff7f1de79ec0cf3b86</v>
      </c>
      <c r="B25" s="12" t="str">
        <f>IFERROR(__xludf.DUMMYFUNCTION("""COMPUTED_VALUE"""),"Most nets are lost in deeper fishing areas between 200 to 800 metres, but also in cod fisheries in relatively shallow waters. However, the TAC system for cod (Northeast Arctic and Coastal) does not restrict the overall catches of coastal cod. The Norwegia"&amp;"n coastal cod north is recognised as a stock complex. Genetic studies indicate that some of the spawning components along the coast could be local stocks, more or less isolated from coastal cod in neighbouring areas. The challenge for the management is, t"&amp;"herefore, both to keep the total stock complex at a productive level and, in addition, to give protection to potentially vulnerable local stocks.")</f>
        <v>Most nets are lost in deeper fishing areas between 200 to 800 metres, but also in cod fisheries in relatively shallow waters. However, the TAC system for cod (Northeast Arctic and Coastal) does not restrict the overall catches of coastal cod. The Norwegian coastal cod north is recognised as a stock complex. Genetic studies indicate that some of the spawning components along the coast could be local stocks, more or less isolated from coastal cod in neighbouring areas. The challenge for the management is, therefore, both to keep the total stock complex at a productive level and, in addition, to give protection to potentially vulnerable local stocks.</v>
      </c>
      <c r="C25" s="53"/>
      <c r="D25" s="48" t="b">
        <f t="shared" ref="D25:H25" si="48">VLOOKUP($A25, INDIRECT(D$1&amp;"!A:C"), 3, FALSE)</f>
        <v>1</v>
      </c>
      <c r="E25" s="48" t="str">
        <f t="shared" si="48"/>
        <v>TO DO</v>
      </c>
      <c r="F25" s="48" t="str">
        <f t="shared" si="48"/>
        <v>TO DO</v>
      </c>
      <c r="G25" s="48" t="b">
        <f t="shared" si="48"/>
        <v>1</v>
      </c>
      <c r="H25" s="48" t="b">
        <f t="shared" si="48"/>
        <v>1</v>
      </c>
      <c r="I25" s="49">
        <f t="shared" si="4"/>
        <v>1</v>
      </c>
      <c r="J25" s="50" t="str">
        <f t="shared" ref="J25:N25" si="49">VLOOKUP($A25, INDIRECT(J$1&amp;"!A:D"), 4, FALSE)</f>
        <v/>
      </c>
      <c r="K25" s="50" t="str">
        <f t="shared" si="49"/>
        <v/>
      </c>
      <c r="L25" s="50" t="str">
        <f t="shared" si="49"/>
        <v/>
      </c>
      <c r="M25" s="50" t="str">
        <f t="shared" si="49"/>
        <v/>
      </c>
      <c r="N25" s="50" t="str">
        <f t="shared" si="49"/>
        <v/>
      </c>
      <c r="O25" s="49" t="str">
        <f>IFERROR(__xludf.DUMMYFUNCTION("IF(COUNTA(J25:N25)=0, """", ARRAYFORMULA(""- ""&amp;TEXTJOIN(char(10)&amp;""- "", TRUE, FILTER(J$1:N$1&amp;"": ""&amp;J25:N25, NOT(ISBLANK(J25:N25))))))"),"")</f>
        <v/>
      </c>
      <c r="P25" s="49" t="s">
        <v>435</v>
      </c>
      <c r="Q25" s="51" t="b">
        <v>1</v>
      </c>
    </row>
    <row r="26">
      <c r="A26" s="12" t="str">
        <f>IFERROR(__xludf.DUMMYFUNCTION("""COMPUTED_VALUE"""),"22118a41269d5413c93e075786857402")</f>
        <v>22118a41269d5413c93e075786857402</v>
      </c>
      <c r="B26" s="12" t="str">
        <f>IFERROR(__xludf.DUMMYFUNCTION("""COMPUTED_VALUE"""),"Most of the expansion is projected in the RoW group, in particular Sub-Saharan Africa. After peaking (before 2030), global food crop area is projected to decline, particularly in North America, Brazil, Russia, South Asia and China. This is based on the as"&amp;"sumptions of slowly growing populations in the OECD and a shrinking population in Russia and China, stabilising diets (i.e. maximum caloric intake being reached) in most OECD and BRIICS countries, and increasing crop yields due to technological improvemen"&amp;"ts (for a further discussion of the agricultural land projections under the Baseline scenario, see Chapter 2).")</f>
        <v>Most of the expansion is projected in the RoW group, in particular Sub-Saharan Africa. After peaking (before 2030), global food crop area is projected to decline, particularly in North America, Brazil, Russia, South Asia and China. This is based on the assumptions of slowly growing populations in the OECD and a shrinking population in Russia and China, stabilising diets (i.e. maximum caloric intake being reached) in most OECD and BRIICS countries, and increasing crop yields due to technological improvements (for a further discussion of the agricultural land projections under the Baseline scenario, see Chapter 2).</v>
      </c>
      <c r="C26" s="7"/>
      <c r="D26" s="48" t="b">
        <f t="shared" ref="D26:H26" si="50">VLOOKUP($A26, INDIRECT(D$1&amp;"!A:C"), 3, FALSE)</f>
        <v>0</v>
      </c>
      <c r="E26" s="48" t="str">
        <f t="shared" si="50"/>
        <v>TO DO</v>
      </c>
      <c r="F26" s="48" t="str">
        <f t="shared" si="50"/>
        <v>TO DO</v>
      </c>
      <c r="G26" s="48" t="b">
        <f t="shared" si="50"/>
        <v>0</v>
      </c>
      <c r="H26" s="48" t="b">
        <f t="shared" si="50"/>
        <v>0</v>
      </c>
      <c r="I26" s="49">
        <f t="shared" si="4"/>
        <v>1</v>
      </c>
      <c r="J26" s="50" t="str">
        <f t="shared" ref="J26:N26" si="51">VLOOKUP($A26, INDIRECT(J$1&amp;"!A:D"), 4, FALSE)</f>
        <v/>
      </c>
      <c r="K26" s="50" t="str">
        <f t="shared" si="51"/>
        <v/>
      </c>
      <c r="L26" s="50" t="str">
        <f t="shared" si="51"/>
        <v/>
      </c>
      <c r="M26" s="50" t="str">
        <f t="shared" si="51"/>
        <v/>
      </c>
      <c r="N26" s="50" t="str">
        <f t="shared" si="51"/>
        <v/>
      </c>
      <c r="O26" s="49" t="str">
        <f>IFERROR(__xludf.DUMMYFUNCTION("IF(COUNTA(J26:N26)=0, """", ARRAYFORMULA(""- ""&amp;TEXTJOIN(char(10)&amp;""- "", TRUE, FILTER(J$1:N$1&amp;"": ""&amp;J26:N26, NOT(ISBLANK(J26:N26))))))"),"")</f>
        <v/>
      </c>
      <c r="P26" s="49" t="s">
        <v>435</v>
      </c>
      <c r="Q26" s="51" t="b">
        <v>0</v>
      </c>
    </row>
    <row r="27">
      <c r="A27" s="12" t="str">
        <f>IFERROR(__xludf.DUMMYFUNCTION("""COMPUTED_VALUE"""),"96bcdfce6179f4617e3cf317758460fb")</f>
        <v>96bcdfce6179f4617e3cf317758460fb</v>
      </c>
      <c r="B27" s="12" t="str">
        <f>IFERROR(__xludf.DUMMYFUNCTION("""COMPUTED_VALUE"""),"It then looks at trends in several indicators of biodiversity - species abundance (e.g. mean species abundance or MSA), threatened species, forest area (deforestation) and marine fish stocks - and the implications of business-as-usual trends continuing to"&amp;" the year 2050 under the OECD Environmental Outlook Baseline scenario. The chapter provides an overview of the different policy instruments available for biodiversity conservation and sustainable use, ranging from regulations to market-driven approaches, "&amp;"such as payments for ecosystem services (PES). Some more ambitious policy scenarios are examined - such as the implications of meeting the Aichi Biodiversity Target under the Convention on Biological Diversity (CBD) to expand the global protected area net"&amp;"work to at least 17% of terrestrial land by 2020.")</f>
        <v>It then looks at trends in several indicators of biodiversity - species abundance (e.g. mean species abundance or MSA), threatened species, forest area (deforestation) and marine fish stocks - and the implications of business-as-usual trends continuing to the year 2050 under the OECD Environmental Outlook Baseline scenario. The chapter provides an overview of the different policy instruments available for biodiversity conservation and sustainable use, ranging from regulations to market-driven approaches, such as payments for ecosystem services (PES). Some more ambitious policy scenarios are examined - such as the implications of meeting the Aichi Biodiversity Target under the Convention on Biological Diversity (CBD) to expand the global protected area network to at least 17% of terrestrial land by 2020.</v>
      </c>
      <c r="C27" s="48"/>
      <c r="D27" s="48" t="b">
        <f t="shared" ref="D27:H27" si="52">VLOOKUP($A27, INDIRECT(D$1&amp;"!A:C"), 3, FALSE)</f>
        <v>1</v>
      </c>
      <c r="E27" s="48" t="str">
        <f t="shared" si="52"/>
        <v>TO DO</v>
      </c>
      <c r="F27" s="48" t="str">
        <f t="shared" si="52"/>
        <v>TO DO</v>
      </c>
      <c r="G27" s="48" t="b">
        <f t="shared" si="52"/>
        <v>1</v>
      </c>
      <c r="H27" s="48" t="b">
        <f t="shared" si="52"/>
        <v>1</v>
      </c>
      <c r="I27" s="49">
        <f t="shared" si="4"/>
        <v>1</v>
      </c>
      <c r="J27" s="50" t="str">
        <f t="shared" ref="J27:N27" si="53">VLOOKUP($A27, INDIRECT(J$1&amp;"!A:D"), 4, FALSE)</f>
        <v/>
      </c>
      <c r="K27" s="50" t="str">
        <f t="shared" si="53"/>
        <v/>
      </c>
      <c r="L27" s="50" t="str">
        <f t="shared" si="53"/>
        <v/>
      </c>
      <c r="M27" s="50" t="str">
        <f t="shared" si="53"/>
        <v/>
      </c>
      <c r="N27" s="50" t="str">
        <f t="shared" si="53"/>
        <v/>
      </c>
      <c r="O27" s="49" t="str">
        <f>IFERROR(__xludf.DUMMYFUNCTION("IF(COUNTA(J27:N27)=0, """", ARRAYFORMULA(""- ""&amp;TEXTJOIN(char(10)&amp;""- "", TRUE, FILTER(J$1:N$1&amp;"": ""&amp;J27:N27, NOT(ISBLANK(J27:N27))))))"),"")</f>
        <v/>
      </c>
      <c r="P27" s="49" t="s">
        <v>435</v>
      </c>
      <c r="Q27" s="51" t="b">
        <v>1</v>
      </c>
    </row>
    <row r="28">
      <c r="A28" s="12" t="str">
        <f>IFERROR(__xludf.DUMMYFUNCTION("""COMPUTED_VALUE"""),"cb9f2ffc9b36b18e43d181f58d53c709")</f>
        <v>cb9f2ffc9b36b18e43d181f58d53c709</v>
      </c>
      <c r="B28" s="12" t="str">
        <f>IFERROR(__xludf.DUMMYFUNCTION("""COMPUTED_VALUE"""),"Overall, the relative impact of land-use change and management on MSA loss is projected to decrease. While expansion of food crop production and live-stock farming is projected to cause about half of the further MSA loss in the RoW between 2010 and 2030, "&amp;"it is not projected to be a major driver of further loss in the OECD countries or the BRIICS. Instead of agricultural land expansion, land abandonment is projected to occur in several regions, allowing considerable area for ecosystem recovery and regenera"&amp;"tion to take place. These areas will however bear the effects of “former land use” for several decades after land abandonment. Together these are referred to as forestry (but not deforestation, as that is included under land-use change).")</f>
        <v>Overall, the relative impact of land-use change and management on MSA loss is projected to decrease. While expansion of food crop production and live-stock farming is projected to cause about half of the further MSA loss in the RoW between 2010 and 2030, it is not projected to be a major driver of further loss in the OECD countries or the BRIICS. Instead of agricultural land expansion, land abandonment is projected to occur in several regions, allowing considerable area for ecosystem recovery and regeneration to take place. These areas will however bear the effects of “former land use” for several decades after land abandonment. Together these are referred to as forestry (but not deforestation, as that is included under land-use change).</v>
      </c>
      <c r="C28" s="53"/>
      <c r="D28" s="48" t="b">
        <f t="shared" ref="D28:H28" si="54">VLOOKUP($A28, INDIRECT(D$1&amp;"!A:C"), 3, FALSE)</f>
        <v>0</v>
      </c>
      <c r="E28" s="48" t="str">
        <f t="shared" si="54"/>
        <v>TO DO</v>
      </c>
      <c r="F28" s="48" t="str">
        <f t="shared" si="54"/>
        <v>TO DO</v>
      </c>
      <c r="G28" s="48" t="b">
        <f t="shared" si="54"/>
        <v>0</v>
      </c>
      <c r="H28" s="48" t="b">
        <f t="shared" si="54"/>
        <v>0</v>
      </c>
      <c r="I28" s="49">
        <f t="shared" si="4"/>
        <v>1</v>
      </c>
      <c r="J28" s="50" t="str">
        <f t="shared" ref="J28:N28" si="55">VLOOKUP($A28, INDIRECT(J$1&amp;"!A:D"), 4, FALSE)</f>
        <v/>
      </c>
      <c r="K28" s="50" t="str">
        <f t="shared" si="55"/>
        <v/>
      </c>
      <c r="L28" s="50" t="str">
        <f t="shared" si="55"/>
        <v/>
      </c>
      <c r="M28" s="50" t="str">
        <f t="shared" si="55"/>
        <v/>
      </c>
      <c r="N28" s="50" t="str">
        <f t="shared" si="55"/>
        <v/>
      </c>
      <c r="O28" s="49" t="str">
        <f>IFERROR(__xludf.DUMMYFUNCTION("IF(COUNTA(J28:N28)=0, """", ARRAYFORMULA(""- ""&amp;TEXTJOIN(char(10)&amp;""- "", TRUE, FILTER(J$1:N$1&amp;"": ""&amp;J28:N28, NOT(ISBLANK(J28:N28))))))"),"")</f>
        <v/>
      </c>
      <c r="P28" s="49" t="s">
        <v>435</v>
      </c>
      <c r="Q28" s="51" t="b">
        <v>0</v>
      </c>
    </row>
    <row r="29">
      <c r="A29" s="12" t="str">
        <f>IFERROR(__xludf.DUMMYFUNCTION("""COMPUTED_VALUE"""),"fb61233856a36d2d65ebbfca844aaa6e")</f>
        <v>fb61233856a36d2d65ebbfca844aaa6e</v>
      </c>
      <c r="B29" s="12" t="str">
        <f>IFERROR(__xludf.DUMMYFUNCTION("""COMPUTED_VALUE"""),"Software tools such as Marxan and MarZone which aid systematic reserve design have been used in several cases but could be adopted more widely. Monitoring both ecological and socio-economic data is important, initially to define the baseline, as well as r"&amp;"egularly thereafter to assess trends in performance over time. This has often not been undertaken as rigorously as needed, and challenges encountered include lack of sufficient human and financial resources, equipment and infrastructure.")</f>
        <v>Software tools such as Marxan and MarZone which aid systematic reserve design have been used in several cases but could be adopted more widely. Monitoring both ecological and socio-economic data is important, initially to define the baseline, as well as regularly thereafter to assess trends in performance over time. This has often not been undertaken as rigorously as needed, and challenges encountered include lack of sufficient human and financial resources, equipment and infrastructure.</v>
      </c>
      <c r="C29" s="53"/>
      <c r="D29" s="48" t="b">
        <f t="shared" ref="D29:H29" si="56">VLOOKUP($A29, INDIRECT(D$1&amp;"!A:C"), 3, FALSE)</f>
        <v>0</v>
      </c>
      <c r="E29" s="48" t="str">
        <f t="shared" si="56"/>
        <v>TO DO</v>
      </c>
      <c r="F29" s="48" t="str">
        <f t="shared" si="56"/>
        <v>TO DO</v>
      </c>
      <c r="G29" s="48" t="b">
        <f t="shared" si="56"/>
        <v>0</v>
      </c>
      <c r="H29" s="48" t="b">
        <f t="shared" si="56"/>
        <v>0</v>
      </c>
      <c r="I29" s="49">
        <f t="shared" si="4"/>
        <v>1</v>
      </c>
      <c r="J29" s="50" t="str">
        <f t="shared" ref="J29:N29" si="57">VLOOKUP($A29, INDIRECT(J$1&amp;"!A:D"), 4, FALSE)</f>
        <v/>
      </c>
      <c r="K29" s="50" t="str">
        <f t="shared" si="57"/>
        <v/>
      </c>
      <c r="L29" s="50" t="str">
        <f t="shared" si="57"/>
        <v/>
      </c>
      <c r="M29" s="50" t="str">
        <f t="shared" si="57"/>
        <v/>
      </c>
      <c r="N29" s="50" t="str">
        <f t="shared" si="57"/>
        <v>core topic not clear</v>
      </c>
      <c r="O29" s="49" t="str">
        <f>IFERROR(__xludf.DUMMYFUNCTION("IF(COUNTA(J29:N29)=0, """", ARRAYFORMULA(""- ""&amp;TEXTJOIN(char(10)&amp;""- "", TRUE, FILTER(J$1:N$1&amp;"": ""&amp;J29:N29, NOT(ISBLANK(J29:N29))))))"),"- Steve: core topic not clear")</f>
        <v>- Steve: core topic not clear</v>
      </c>
      <c r="P29" s="49" t="s">
        <v>450</v>
      </c>
      <c r="Q29" s="51" t="b">
        <v>0</v>
      </c>
    </row>
    <row r="30">
      <c r="A30" s="12" t="str">
        <f>IFERROR(__xludf.DUMMYFUNCTION("""COMPUTED_VALUE"""),"2700d850c1a1604de3f32e3a8ef93803")</f>
        <v>2700d850c1a1604de3f32e3a8ef93803</v>
      </c>
      <c r="B30" s="12" t="str">
        <f>IFERROR(__xludf.DUMMYFUNCTION("""COMPUTED_VALUE"""),"The Habitats Directive calls for the establishment of special areas of conservation for habitats or species. The protected areas defined by these directives are legally binding and restrict or forbid certain human activities. Member states must put measur"&amp;"es into place to achieve the conservation goals for each site.")</f>
        <v>The Habitats Directive calls for the establishment of special areas of conservation for habitats or species. The protected areas defined by these directives are legally binding and restrict or forbid certain human activities. Member states must put measures into place to achieve the conservation goals for each site.</v>
      </c>
      <c r="C30" s="7" t="s">
        <v>436</v>
      </c>
      <c r="D30" s="48" t="b">
        <f t="shared" ref="D30:H30" si="58">VLOOKUP($A30, INDIRECT(D$1&amp;"!A:C"), 3, FALSE)</f>
        <v>1</v>
      </c>
      <c r="E30" s="48" t="str">
        <f t="shared" si="58"/>
        <v>TO DO</v>
      </c>
      <c r="F30" s="48" t="str">
        <f t="shared" si="58"/>
        <v>TO DO</v>
      </c>
      <c r="G30" s="48" t="b">
        <f t="shared" si="58"/>
        <v>0</v>
      </c>
      <c r="H30" s="48" t="b">
        <f t="shared" si="58"/>
        <v>0</v>
      </c>
      <c r="I30" s="49">
        <f t="shared" si="4"/>
        <v>0.3333333333</v>
      </c>
      <c r="J30" s="50" t="str">
        <f t="shared" ref="J30:N30" si="59">VLOOKUP($A30, INDIRECT(J$1&amp;"!A:D"), 4, FALSE)</f>
        <v>Habitat Directive covers land+sea areas</v>
      </c>
      <c r="K30" s="50" t="str">
        <f t="shared" si="59"/>
        <v/>
      </c>
      <c r="L30" s="50" t="str">
        <f t="shared" si="59"/>
        <v/>
      </c>
      <c r="M30" s="50" t="str">
        <f t="shared" si="59"/>
        <v/>
      </c>
      <c r="N30" s="50" t="str">
        <f t="shared" si="59"/>
        <v>not clear if it talk about marine PAs</v>
      </c>
      <c r="O30" s="49" t="str">
        <f>IFERROR(__xludf.DUMMYFUNCTION("IF(COUNTA(J30:N30)=0, """", ARRAYFORMULA(""- ""&amp;TEXTJOIN(char(10)&amp;""- "", TRUE, FILTER(J$1:N$1&amp;"": ""&amp;J30:N30, NOT(ISBLANK(J30:N30))))))"),"- Finn: Habitat Directive covers land+sea areas
- Steve: not clear if it talk about marine PAs")</f>
        <v>- Finn: Habitat Directive covers land+sea areas
- Steve: not clear if it talk about marine PAs</v>
      </c>
      <c r="P30" s="49" t="s">
        <v>451</v>
      </c>
      <c r="Q30" s="51" t="s">
        <v>438</v>
      </c>
    </row>
    <row r="31">
      <c r="A31" s="12" t="str">
        <f>IFERROR(__xludf.DUMMYFUNCTION("""COMPUTED_VALUE"""),"e8afb34b2378870b9d14b87df76fb5d6")</f>
        <v>e8afb34b2378870b9d14b87df76fb5d6</v>
      </c>
      <c r="B31" s="12" t="str">
        <f>IFERROR(__xludf.DUMMYFUNCTION("""COMPUTED_VALUE"""),"Moreover, management of the marine EEZ is fraught with difficulties that are hampering its effective implementation. The chapter suggests three pathways to the urgent improvements required: better integration of economic analysis and economic tools, innov"&amp;"ation in governance structures and processes, and greater use of science and technology, in particular in gathering better data. These include a plethora of different agencies looking after different activities, gaps in the governance framework, weak comp"&amp;"liance and enforcement, new and emerging uses, and lack of an equity framework for exploitation of genetic resources.")</f>
        <v>Moreover, management of the marine EEZ is fraught with difficulties that are hampering its effective implementation. The chapter suggests three pathways to the urgent improvements required: better integration of economic analysis and economic tools, innovation in governance structures and processes, and greater use of science and technology, in particular in gathering better data. These include a plethora of different agencies looking after different activities, gaps in the governance framework, weak compliance and enforcement, new and emerging uses, and lack of an equity framework for exploitation of genetic resources.</v>
      </c>
      <c r="C31" s="48"/>
      <c r="D31" s="48" t="b">
        <f t="shared" ref="D31:H31" si="60">VLOOKUP($A31, INDIRECT(D$1&amp;"!A:C"), 3, FALSE)</f>
        <v>0</v>
      </c>
      <c r="E31" s="48" t="str">
        <f t="shared" si="60"/>
        <v>TO DO</v>
      </c>
      <c r="F31" s="48" t="str">
        <f t="shared" si="60"/>
        <v>TO DO</v>
      </c>
      <c r="G31" s="48" t="b">
        <f t="shared" si="60"/>
        <v>0</v>
      </c>
      <c r="H31" s="48" t="b">
        <f t="shared" si="60"/>
        <v>0</v>
      </c>
      <c r="I31" s="49">
        <f t="shared" si="4"/>
        <v>1</v>
      </c>
      <c r="J31" s="50" t="str">
        <f t="shared" ref="J31:N31" si="61">VLOOKUP($A31, INDIRECT(J$1&amp;"!A:D"), 4, FALSE)</f>
        <v/>
      </c>
      <c r="K31" s="50" t="str">
        <f t="shared" si="61"/>
        <v/>
      </c>
      <c r="L31" s="50" t="str">
        <f t="shared" si="61"/>
        <v/>
      </c>
      <c r="M31" s="50" t="str">
        <f t="shared" si="61"/>
        <v/>
      </c>
      <c r="N31" s="50" t="str">
        <f t="shared" si="61"/>
        <v/>
      </c>
      <c r="O31" s="49" t="str">
        <f>IFERROR(__xludf.DUMMYFUNCTION("IF(COUNTA(J31:N31)=0, """", ARRAYFORMULA(""- ""&amp;TEXTJOIN(char(10)&amp;""- "", TRUE, FILTER(J$1:N$1&amp;"": ""&amp;J31:N31, NOT(ISBLANK(J31:N31))))))"),"")</f>
        <v/>
      </c>
      <c r="P31" s="49" t="s">
        <v>435</v>
      </c>
      <c r="Q31" s="51" t="b">
        <v>0</v>
      </c>
    </row>
    <row r="32">
      <c r="A32" s="12" t="str">
        <f>IFERROR(__xludf.DUMMYFUNCTION("""COMPUTED_VALUE"""),"f8cf275c1fbd6d58bf5d878c371e7085")</f>
        <v>f8cf275c1fbd6d58bf5d878c371e7085</v>
      </c>
      <c r="B32" s="12" t="str">
        <f>IFERROR(__xludf.DUMMYFUNCTION("""COMPUTED_VALUE"""),"Third, the approach allow's the interdependencies between the different sectors to be explicitly modelled, to the extent that data permit. It compares rates of change of value added and employment in ocean-based industries betw'een 2010 and 2030. The comp"&amp;"ound annual growth rate for value added of the ocean-based industries combined between 2010 and 2030 is estimated at 3.45%, broadly in line with the anticipated compound annual growth rate for value added of the global economy. However, the total growth o"&amp;"f employment (approximately 30%) in the ocean-based industries over the 20-year period is expected to outpace markedly the overall growth rate of the global workforce (approximately 20%).")</f>
        <v>Third, the approach allow's the interdependencies between the different sectors to be explicitly modelled, to the extent that data permit. It compares rates of change of value added and employment in ocean-based industries betw'een 2010 and 2030. The compound annual growth rate for value added of the ocean-based industries combined between 2010 and 2030 is estimated at 3.45%, broadly in line with the anticipated compound annual growth rate for value added of the global economy. However, the total growth of employment (approximately 30%) in the ocean-based industries over the 20-year period is expected to outpace markedly the overall growth rate of the global workforce (approximately 20%).</v>
      </c>
      <c r="C32" s="53"/>
      <c r="D32" s="48" t="b">
        <f t="shared" ref="D32:H32" si="62">VLOOKUP($A32, INDIRECT(D$1&amp;"!A:C"), 3, FALSE)</f>
        <v>0</v>
      </c>
      <c r="E32" s="48" t="str">
        <f t="shared" si="62"/>
        <v>TO DO</v>
      </c>
      <c r="F32" s="48" t="str">
        <f t="shared" si="62"/>
        <v>TO DO</v>
      </c>
      <c r="G32" s="48" t="b">
        <f t="shared" si="62"/>
        <v>0</v>
      </c>
      <c r="H32" s="48" t="b">
        <f t="shared" si="62"/>
        <v>0</v>
      </c>
      <c r="I32" s="49">
        <f t="shared" si="4"/>
        <v>1</v>
      </c>
      <c r="J32" s="50" t="str">
        <f t="shared" ref="J32:N32" si="63">VLOOKUP($A32, INDIRECT(J$1&amp;"!A:D"), 4, FALSE)</f>
        <v/>
      </c>
      <c r="K32" s="50" t="str">
        <f t="shared" si="63"/>
        <v/>
      </c>
      <c r="L32" s="50" t="str">
        <f t="shared" si="63"/>
        <v/>
      </c>
      <c r="M32" s="50" t="str">
        <f t="shared" si="63"/>
        <v/>
      </c>
      <c r="N32" s="50" t="str">
        <f t="shared" si="63"/>
        <v>no link to SDG 14 objectives</v>
      </c>
      <c r="O32" s="49" t="str">
        <f>IFERROR(__xludf.DUMMYFUNCTION("IF(COUNTA(J32:N32)=0, """", ARRAYFORMULA(""- ""&amp;TEXTJOIN(char(10)&amp;""- "", TRUE, FILTER(J$1:N$1&amp;"": ""&amp;J32:N32, NOT(ISBLANK(J32:N32))))))"),"- Steve: no link to SDG 14 objectives")</f>
        <v>- Steve: no link to SDG 14 objectives</v>
      </c>
      <c r="P32" s="49" t="s">
        <v>452</v>
      </c>
      <c r="Q32" s="51" t="b">
        <v>0</v>
      </c>
    </row>
    <row r="33">
      <c r="A33" s="12" t="str">
        <f>IFERROR(__xludf.DUMMYFUNCTION("""COMPUTED_VALUE"""),"9865befb53abf5771ab84c142443b956")</f>
        <v>9865befb53abf5771ab84c142443b956</v>
      </c>
      <c r="B33" s="12" t="str">
        <f>IFERROR(__xludf.DUMMYFUNCTION("""COMPUTED_VALUE"""),"Second, the entity in charge of examining appeals must be independent of the micro-institution that is responsible for making or implementing decisions. Three possible mechanisms of appeal are commonly used: mediation, based on the common agreement to loo"&amp;"k for an acceptable settlement (e.g. through a conciliation commission), arbitration, which transfers decisions to independent parties, and courts. Costs tend to be higher for courts than for arbitration, and higher for arbitration than mediation. Other c"&amp;"haracteristics of institutions that are generally desirable are the capacity to coordinate and delegate, clear assignment of rights and responsibilities, involvement of stakeholders, methods of appeal, and capacity to promote good norms of behaviour (Tabl"&amp;"e 2.2).")</f>
        <v>Second, the entity in charge of examining appeals must be independent of the micro-institution that is responsible for making or implementing decisions. Three possible mechanisms of appeal are commonly used: mediation, based on the common agreement to look for an acceptable settlement (e.g. through a conciliation commission), arbitration, which transfers decisions to independent parties, and courts. Costs tend to be higher for courts than for arbitration, and higher for arbitration than mediation. Other characteristics of institutions that are generally desirable are the capacity to coordinate and delegate, clear assignment of rights and responsibilities, involvement of stakeholders, methods of appeal, and capacity to promote good norms of behaviour (Table 2.2).</v>
      </c>
      <c r="C33" s="53"/>
      <c r="D33" s="48" t="b">
        <f t="shared" ref="D33:H33" si="64">VLOOKUP($A33, INDIRECT(D$1&amp;"!A:C"), 3, FALSE)</f>
        <v>0</v>
      </c>
      <c r="E33" s="48" t="str">
        <f t="shared" si="64"/>
        <v>TO DO</v>
      </c>
      <c r="F33" s="48" t="str">
        <f t="shared" si="64"/>
        <v>TO DO</v>
      </c>
      <c r="G33" s="48" t="b">
        <f t="shared" si="64"/>
        <v>0</v>
      </c>
      <c r="H33" s="48" t="b">
        <f t="shared" si="64"/>
        <v>0</v>
      </c>
      <c r="I33" s="49">
        <f t="shared" si="4"/>
        <v>1</v>
      </c>
      <c r="J33" s="50" t="str">
        <f t="shared" ref="J33:N33" si="65">VLOOKUP($A33, INDIRECT(J$1&amp;"!A:D"), 4, FALSE)</f>
        <v/>
      </c>
      <c r="K33" s="50" t="str">
        <f t="shared" si="65"/>
        <v/>
      </c>
      <c r="L33" s="50" t="str">
        <f t="shared" si="65"/>
        <v/>
      </c>
      <c r="M33" s="50" t="str">
        <f t="shared" si="65"/>
        <v/>
      </c>
      <c r="N33" s="50" t="str">
        <f t="shared" si="65"/>
        <v/>
      </c>
      <c r="O33" s="49" t="str">
        <f>IFERROR(__xludf.DUMMYFUNCTION("IF(COUNTA(J33:N33)=0, """", ARRAYFORMULA(""- ""&amp;TEXTJOIN(char(10)&amp;""- "", TRUE, FILTER(J$1:N$1&amp;"": ""&amp;J33:N33, NOT(ISBLANK(J33:N33))))))"),"")</f>
        <v/>
      </c>
      <c r="P33" s="49" t="s">
        <v>435</v>
      </c>
      <c r="Q33" s="51" t="b">
        <v>0</v>
      </c>
    </row>
    <row r="34">
      <c r="A34" s="12" t="str">
        <f>IFERROR(__xludf.DUMMYFUNCTION("""COMPUTED_VALUE"""),"c2e27bfaaec51d377360b4298da7cce1")</f>
        <v>c2e27bfaaec51d377360b4298da7cce1</v>
      </c>
      <c r="B34" s="12" t="str">
        <f>IFERROR(__xludf.DUMMYFUNCTION("""COMPUTED_VALUE"""),"To be effective, institutions should be able to incorporate information from different sources, evaluate the relative quality of that information, set goals that are based on evidence, and be adaptable when facts change. There is a difficult trade-off bet"&amp;"ween strictly detailed procedures which are easy to communicate and control but introduce a lot of rigidities that may significantly increase costs (including long delays, interminable negotiations, repeated votes) and flexible rules that facilitate adapt"&amp;"ation but could allow the decision process to become arbitrary. Public access to procedures, including for parties not directly involved, is one way to reduce the shaipness of this trade-off by making rigid systems run more smoothly and flexible ones less"&amp;" arbitrary.")</f>
        <v>To be effective, institutions should be able to incorporate information from different sources, evaluate the relative quality of that information, set goals that are based on evidence, and be adaptable when facts change. There is a difficult trade-off between strictly detailed procedures which are easy to communicate and control but introduce a lot of rigidities that may significantly increase costs (including long delays, interminable negotiations, repeated votes) and flexible rules that facilitate adaptation but could allow the decision process to become arbitrary. Public access to procedures, including for parties not directly involved, is one way to reduce the shaipness of this trade-off by making rigid systems run more smoothly and flexible ones less arbitrary.</v>
      </c>
      <c r="C34" s="53"/>
      <c r="D34" s="48" t="b">
        <f t="shared" ref="D34:H34" si="66">VLOOKUP($A34, INDIRECT(D$1&amp;"!A:C"), 3, FALSE)</f>
        <v>0</v>
      </c>
      <c r="E34" s="48" t="str">
        <f t="shared" si="66"/>
        <v>TO DO</v>
      </c>
      <c r="F34" s="48" t="str">
        <f t="shared" si="66"/>
        <v>TO DO</v>
      </c>
      <c r="G34" s="48" t="b">
        <f t="shared" si="66"/>
        <v>0</v>
      </c>
      <c r="H34" s="48" t="b">
        <f t="shared" si="66"/>
        <v>0</v>
      </c>
      <c r="I34" s="49">
        <f t="shared" si="4"/>
        <v>1</v>
      </c>
      <c r="J34" s="50" t="str">
        <f t="shared" ref="J34:N34" si="67">VLOOKUP($A34, INDIRECT(J$1&amp;"!A:D"), 4, FALSE)</f>
        <v/>
      </c>
      <c r="K34" s="50" t="str">
        <f t="shared" si="67"/>
        <v/>
      </c>
      <c r="L34" s="50" t="str">
        <f t="shared" si="67"/>
        <v/>
      </c>
      <c r="M34" s="50" t="str">
        <f t="shared" si="67"/>
        <v/>
      </c>
      <c r="N34" s="50" t="str">
        <f t="shared" si="67"/>
        <v>core topic is not clear</v>
      </c>
      <c r="O34" s="49" t="str">
        <f>IFERROR(__xludf.DUMMYFUNCTION("IF(COUNTA(J34:N34)=0, """", ARRAYFORMULA(""- ""&amp;TEXTJOIN(char(10)&amp;""- "", TRUE, FILTER(J$1:N$1&amp;"": ""&amp;J34:N34, NOT(ISBLANK(J34:N34))))))"),"- Steve: core topic is not clear")</f>
        <v>- Steve: core topic is not clear</v>
      </c>
      <c r="P34" s="49" t="s">
        <v>453</v>
      </c>
      <c r="Q34" s="51" t="b">
        <v>0</v>
      </c>
    </row>
    <row r="35">
      <c r="A35" s="12" t="str">
        <f>IFERROR(__xludf.DUMMYFUNCTION("""COMPUTED_VALUE"""),"dee71bb7bb809821f6cfd5bfb33a2683")</f>
        <v>dee71bb7bb809821f6cfd5bfb33a2683</v>
      </c>
      <c r="B35" s="12" t="str">
        <f>IFERROR(__xludf.DUMMYFUNCTION("""COMPUTED_VALUE"""),"Contribution funding under AIMAP was intended to enable recipients to plan, manage and complete projects that would achieve these strategic outcomes. The AIMAP was a nationally competitive process with calls for proposals issued on an annual basis, and ba"&amp;"sed on priorities established in consultation with provinces, territories and sector stakeholders. The program focused on one year duration projects with demonstrable industry-wide benefits implemented by the end of the project.")</f>
        <v>Contribution funding under AIMAP was intended to enable recipients to plan, manage and complete projects that would achieve these strategic outcomes. The AIMAP was a nationally competitive process with calls for proposals issued on an annual basis, and based on priorities established in consultation with provinces, territories and sector stakeholders. The program focused on one year duration projects with demonstrable industry-wide benefits implemented by the end of the project.</v>
      </c>
      <c r="C35" s="54"/>
      <c r="D35" s="48" t="b">
        <f t="shared" ref="D35:H35" si="68">VLOOKUP($A35, INDIRECT(D$1&amp;"!A:C"), 3, FALSE)</f>
        <v>0</v>
      </c>
      <c r="E35" s="48" t="str">
        <f t="shared" si="68"/>
        <v>TO DO</v>
      </c>
      <c r="F35" s="48" t="str">
        <f t="shared" si="68"/>
        <v>TO DO</v>
      </c>
      <c r="G35" s="48" t="b">
        <f t="shared" si="68"/>
        <v>0</v>
      </c>
      <c r="H35" s="48" t="b">
        <f t="shared" si="68"/>
        <v>0</v>
      </c>
      <c r="I35" s="49">
        <f t="shared" si="4"/>
        <v>1</v>
      </c>
      <c r="J35" s="50" t="str">
        <f t="shared" ref="J35:N35" si="69">VLOOKUP($A35, INDIRECT(J$1&amp;"!A:D"), 4, FALSE)</f>
        <v>AIMAP = Aquaculture Innovation and Market Access Program - not about sustainability</v>
      </c>
      <c r="K35" s="50" t="str">
        <f t="shared" si="69"/>
        <v/>
      </c>
      <c r="L35" s="50" t="str">
        <f t="shared" si="69"/>
        <v/>
      </c>
      <c r="M35" s="50" t="str">
        <f t="shared" si="69"/>
        <v/>
      </c>
      <c r="N35" s="50" t="str">
        <f t="shared" si="69"/>
        <v/>
      </c>
      <c r="O35" s="49" t="str">
        <f>IFERROR(__xludf.DUMMYFUNCTION("IF(COUNTA(J35:N35)=0, """", ARRAYFORMULA(""- ""&amp;TEXTJOIN(char(10)&amp;""- "", TRUE, FILTER(J$1:N$1&amp;"": ""&amp;J35:N35, NOT(ISBLANK(J35:N35))))))"),"- Finn: AIMAP = Aquaculture Innovation and Market Access Program - not about sustainability")</f>
        <v>- Finn: AIMAP = Aquaculture Innovation and Market Access Program - not about sustainability</v>
      </c>
      <c r="P35" s="49" t="s">
        <v>454</v>
      </c>
      <c r="Q35" s="51" t="b">
        <v>0</v>
      </c>
    </row>
    <row r="36">
      <c r="A36" s="12" t="str">
        <f>IFERROR(__xludf.DUMMYFUNCTION("""COMPUTED_VALUE"""),"e0001c35ece84292c4d3bd87d90239ca")</f>
        <v>e0001c35ece84292c4d3bd87d90239ca</v>
      </c>
      <c r="B36" s="12" t="str">
        <f>IFERROR(__xludf.DUMMYFUNCTION("""COMPUTED_VALUE"""),"Further, an active rental market can help reveal the value of both the rights and the resource to users. Policy makers can minimise the risk of criticism by ensuring that the initial rights allocation is perceived as fair and that the rental market is tra"&amp;"nsparent and accessible to all. However, proper impact assessments (which themselves contain uncertainties) may be too expensive compared with the reform’s overall budget. As an alternative, managers can draw lessons from successful implementation of mark"&amp;"et mechanisms in other jurisdictions.")</f>
        <v>Further, an active rental market can help reveal the value of both the rights and the resource to users. Policy makers can minimise the risk of criticism by ensuring that the initial rights allocation is perceived as fair and that the rental market is transparent and accessible to all. However, proper impact assessments (which themselves contain uncertainties) may be too expensive compared with the reform’s overall budget. As an alternative, managers can draw lessons from successful implementation of market mechanisms in other jurisdictions.</v>
      </c>
      <c r="C36" s="48"/>
      <c r="D36" s="48" t="b">
        <f t="shared" ref="D36:H36" si="70">VLOOKUP($A36, INDIRECT(D$1&amp;"!A:C"), 3, FALSE)</f>
        <v>0</v>
      </c>
      <c r="E36" s="48" t="str">
        <f t="shared" si="70"/>
        <v>TO DO</v>
      </c>
      <c r="F36" s="48" t="str">
        <f t="shared" si="70"/>
        <v>TO DO</v>
      </c>
      <c r="G36" s="48" t="b">
        <f t="shared" si="70"/>
        <v>0</v>
      </c>
      <c r="H36" s="48" t="b">
        <f t="shared" si="70"/>
        <v>0</v>
      </c>
      <c r="I36" s="49">
        <f t="shared" si="4"/>
        <v>1</v>
      </c>
      <c r="J36" s="50" t="str">
        <f t="shared" ref="J36:N36" si="71">VLOOKUP($A36, INDIRECT(J$1&amp;"!A:D"), 4, FALSE)</f>
        <v/>
      </c>
      <c r="K36" s="50" t="str">
        <f t="shared" si="71"/>
        <v/>
      </c>
      <c r="L36" s="50" t="str">
        <f t="shared" si="71"/>
        <v/>
      </c>
      <c r="M36" s="50" t="str">
        <f t="shared" si="71"/>
        <v/>
      </c>
      <c r="N36" s="50" t="str">
        <f t="shared" si="71"/>
        <v/>
      </c>
      <c r="O36" s="49" t="str">
        <f>IFERROR(__xludf.DUMMYFUNCTION("IF(COUNTA(J36:N36)=0, """", ARRAYFORMULA(""- ""&amp;TEXTJOIN(char(10)&amp;""- "", TRUE, FILTER(J$1:N$1&amp;"": ""&amp;J36:N36, NOT(ISBLANK(J36:N36))))))"),"")</f>
        <v/>
      </c>
      <c r="P36" s="49" t="s">
        <v>435</v>
      </c>
      <c r="Q36" s="51" t="b">
        <v>0</v>
      </c>
    </row>
    <row r="37">
      <c r="A37" s="12" t="str">
        <f>IFERROR(__xludf.DUMMYFUNCTION("""COMPUTED_VALUE"""),"3677003da2eec9a96346ec956f05a731")</f>
        <v>3677003da2eec9a96346ec956f05a731</v>
      </c>
      <c r="B37" s="12" t="str">
        <f>IFERROR(__xludf.DUMMYFUNCTION("""COMPUTED_VALUE"""),"It also remains poorly understood. This is particularly true in the wildlife sector, where studies have tended to focus on conservation impacts rather than on socio-economic effects. For example, small-scale logging by local communities (which is deemed i"&amp;"llegal in many countries) can provide better returns than would employment in large-scale timber operations (which are often deemed legal).")</f>
        <v>It also remains poorly understood. This is particularly true in the wildlife sector, where studies have tended to focus on conservation impacts rather than on socio-economic effects. For example, small-scale logging by local communities (which is deemed illegal in many countries) can provide better returns than would employment in large-scale timber operations (which are often deemed legal).</v>
      </c>
      <c r="C37" s="48"/>
      <c r="D37" s="48" t="b">
        <f t="shared" ref="D37:H37" si="72">VLOOKUP($A37, INDIRECT(D$1&amp;"!A:C"), 3, FALSE)</f>
        <v>0</v>
      </c>
      <c r="E37" s="48" t="str">
        <f t="shared" si="72"/>
        <v>TO DO</v>
      </c>
      <c r="F37" s="48" t="str">
        <f t="shared" si="72"/>
        <v>TO DO</v>
      </c>
      <c r="G37" s="48" t="b">
        <f t="shared" si="72"/>
        <v>0</v>
      </c>
      <c r="H37" s="48" t="b">
        <f t="shared" si="72"/>
        <v>0</v>
      </c>
      <c r="I37" s="49">
        <f t="shared" si="4"/>
        <v>1</v>
      </c>
      <c r="J37" s="50" t="str">
        <f t="shared" ref="J37:N37" si="73">VLOOKUP($A37, INDIRECT(J$1&amp;"!A:D"), 4, FALSE)</f>
        <v/>
      </c>
      <c r="K37" s="50" t="str">
        <f t="shared" si="73"/>
        <v/>
      </c>
      <c r="L37" s="50" t="str">
        <f t="shared" si="73"/>
        <v/>
      </c>
      <c r="M37" s="50" t="str">
        <f t="shared" si="73"/>
        <v/>
      </c>
      <c r="N37" s="50" t="str">
        <f t="shared" si="73"/>
        <v/>
      </c>
      <c r="O37" s="49" t="str">
        <f>IFERROR(__xludf.DUMMYFUNCTION("IF(COUNTA(J37:N37)=0, """", ARRAYFORMULA(""- ""&amp;TEXTJOIN(char(10)&amp;""- "", TRUE, FILTER(J$1:N$1&amp;"": ""&amp;J37:N37, NOT(ISBLANK(J37:N37))))))"),"")</f>
        <v/>
      </c>
      <c r="P37" s="49" t="s">
        <v>435</v>
      </c>
      <c r="Q37" s="51" t="b">
        <v>0</v>
      </c>
    </row>
    <row r="38">
      <c r="A38" s="12" t="str">
        <f>IFERROR(__xludf.DUMMYFUNCTION("""COMPUTED_VALUE"""),"80cbc4c1da60b3e318f3981f124a92da")</f>
        <v>80cbc4c1da60b3e318f3981f124a92da</v>
      </c>
      <c r="B38" s="12" t="str">
        <f>IFERROR(__xludf.DUMMYFUNCTION("""COMPUTED_VALUE"""),"The killing of just a few would not only represent a great loss in itself, but could upset the chances of survival of whole packs, such is the dependence of wolves on the stability of their social structure. For all four large carnivores, areas have been "&amp;"designated where the species are allowed to reproduce.21 In other parts of the species’ range, no reproduction is allowed. Since 1994, livestock holders have been compensated for losses of livestock to predators.")</f>
        <v>The killing of just a few would not only represent a great loss in itself, but could upset the chances of survival of whole packs, such is the dependence of wolves on the stability of their social structure. For all four large carnivores, areas have been designated where the species are allowed to reproduce.21 In other parts of the species’ range, no reproduction is allowed. Since 1994, livestock holders have been compensated for losses of livestock to predators.</v>
      </c>
      <c r="C38" s="7"/>
      <c r="D38" s="48" t="b">
        <f t="shared" ref="D38:H38" si="74">VLOOKUP($A38, INDIRECT(D$1&amp;"!A:C"), 3, FALSE)</f>
        <v>0</v>
      </c>
      <c r="E38" s="48" t="str">
        <f t="shared" si="74"/>
        <v>TO DO</v>
      </c>
      <c r="F38" s="48" t="str">
        <f t="shared" si="74"/>
        <v>TO DO</v>
      </c>
      <c r="G38" s="48" t="b">
        <f t="shared" si="74"/>
        <v>0</v>
      </c>
      <c r="H38" s="48" t="b">
        <f t="shared" si="74"/>
        <v>0</v>
      </c>
      <c r="I38" s="49">
        <f t="shared" si="4"/>
        <v>1</v>
      </c>
      <c r="J38" s="50" t="str">
        <f t="shared" ref="J38:N38" si="75">VLOOKUP($A38, INDIRECT(J$1&amp;"!A:D"), 4, FALSE)</f>
        <v/>
      </c>
      <c r="K38" s="50" t="str">
        <f t="shared" si="75"/>
        <v/>
      </c>
      <c r="L38" s="50" t="str">
        <f t="shared" si="75"/>
        <v/>
      </c>
      <c r="M38" s="50" t="str">
        <f t="shared" si="75"/>
        <v/>
      </c>
      <c r="N38" s="50" t="str">
        <f t="shared" si="75"/>
        <v/>
      </c>
      <c r="O38" s="49" t="str">
        <f>IFERROR(__xludf.DUMMYFUNCTION("IF(COUNTA(J38:N38)=0, """", ARRAYFORMULA(""- ""&amp;TEXTJOIN(char(10)&amp;""- "", TRUE, FILTER(J$1:N$1&amp;"": ""&amp;J38:N38, NOT(ISBLANK(J38:N38))))))"),"")</f>
        <v/>
      </c>
      <c r="P38" s="49" t="s">
        <v>435</v>
      </c>
      <c r="Q38" s="51" t="b">
        <v>0</v>
      </c>
    </row>
    <row r="39">
      <c r="A39" s="12" t="str">
        <f>IFERROR(__xludf.DUMMYFUNCTION("""COMPUTED_VALUE"""),"605601ba5a6646550fd3d00658a3816f")</f>
        <v>605601ba5a6646550fd3d00658a3816f</v>
      </c>
      <c r="B39" s="12" t="str">
        <f>IFERROR(__xludf.DUMMYFUNCTION("""COMPUTED_VALUE"""),"Section 2.4 considers the challenges of climate change. Its effects will be larger and more rapid in the North Atlantic, and NORA’s natural-resource-based economies will be particularly vulnerable. In addition, the region is characterised by a dispersed s"&amp;"ettlement pattern, migration from smaller to bigger locations and population ageing.")</f>
        <v>Section 2.4 considers the challenges of climate change. Its effects will be larger and more rapid in the North Atlantic, and NORA’s natural-resource-based economies will be particularly vulnerable. In addition, the region is characterised by a dispersed settlement pattern, migration from smaller to bigger locations and population ageing.</v>
      </c>
      <c r="C39" s="53"/>
      <c r="D39" s="48" t="b">
        <f t="shared" ref="D39:H39" si="76">VLOOKUP($A39, INDIRECT(D$1&amp;"!A:C"), 3, FALSE)</f>
        <v>0</v>
      </c>
      <c r="E39" s="48" t="str">
        <f t="shared" si="76"/>
        <v>TO DO</v>
      </c>
      <c r="F39" s="48" t="str">
        <f t="shared" si="76"/>
        <v>TO DO</v>
      </c>
      <c r="G39" s="48" t="b">
        <f t="shared" si="76"/>
        <v>0</v>
      </c>
      <c r="H39" s="48" t="b">
        <f t="shared" si="76"/>
        <v>0</v>
      </c>
      <c r="I39" s="49">
        <f t="shared" si="4"/>
        <v>1</v>
      </c>
      <c r="J39" s="50" t="str">
        <f t="shared" ref="J39:N39" si="77">VLOOKUP($A39, INDIRECT(J$1&amp;"!A:D"), 4, FALSE)</f>
        <v/>
      </c>
      <c r="K39" s="50" t="str">
        <f t="shared" si="77"/>
        <v/>
      </c>
      <c r="L39" s="50" t="str">
        <f t="shared" si="77"/>
        <v/>
      </c>
      <c r="M39" s="50" t="str">
        <f t="shared" si="77"/>
        <v/>
      </c>
      <c r="N39" s="50" t="str">
        <f t="shared" si="77"/>
        <v/>
      </c>
      <c r="O39" s="49" t="str">
        <f>IFERROR(__xludf.DUMMYFUNCTION("IF(COUNTA(J39:N39)=0, """", ARRAYFORMULA(""- ""&amp;TEXTJOIN(char(10)&amp;""- "", TRUE, FILTER(J$1:N$1&amp;"": ""&amp;J39:N39, NOT(ISBLANK(J39:N39))))))"),"")</f>
        <v/>
      </c>
      <c r="P39" s="49" t="s">
        <v>435</v>
      </c>
      <c r="Q39" s="51" t="b">
        <v>0</v>
      </c>
    </row>
    <row r="40">
      <c r="A40" s="12" t="str">
        <f>IFERROR(__xludf.DUMMYFUNCTION("""COMPUTED_VALUE"""),"7e7c7a7cb85b06c8a8101fc5e62e12c2")</f>
        <v>7e7c7a7cb85b06c8a8101fc5e62e12c2</v>
      </c>
      <c r="B40" s="12" t="str">
        <f>IFERROR(__xludf.DUMMYFUNCTION("""COMPUTED_VALUE"""),"Challenges of peripherality are common in predominantly rural OECD regions (Box 2.1), but the example of NORA is certainly one of the most extreme cases of geographic peripherality. The magnitude of this problem, of course, differs from country to country"&amp;". For example, it is a greater issue in Finland than in the Netherlands, and a bigger challenge for Scotland than England, even though they are both part of the United Kingdom.")</f>
        <v>Challenges of peripherality are common in predominantly rural OECD regions (Box 2.1), but the example of NORA is certainly one of the most extreme cases of geographic peripherality. The magnitude of this problem, of course, differs from country to country. For example, it is a greater issue in Finland than in the Netherlands, and a bigger challenge for Scotland than England, even though they are both part of the United Kingdom.</v>
      </c>
      <c r="C40" s="7" t="s">
        <v>63</v>
      </c>
      <c r="D40" s="48" t="b">
        <f t="shared" ref="D40:H40" si="78">VLOOKUP($A40, INDIRECT(D$1&amp;"!A:C"), 3, FALSE)</f>
        <v>0</v>
      </c>
      <c r="E40" s="48" t="str">
        <f t="shared" si="78"/>
        <v>TO DO</v>
      </c>
      <c r="F40" s="48" t="str">
        <f t="shared" si="78"/>
        <v>TO DO</v>
      </c>
      <c r="G40" s="48" t="b">
        <f t="shared" si="78"/>
        <v>1</v>
      </c>
      <c r="H40" s="48" t="b">
        <f t="shared" si="78"/>
        <v>0</v>
      </c>
      <c r="I40" s="49">
        <f t="shared" si="4"/>
        <v>0.3333333333</v>
      </c>
      <c r="J40" s="50" t="str">
        <f t="shared" ref="J40:N40" si="79">VLOOKUP($A40, INDIRECT(J$1&amp;"!A:D"), 4, FALSE)</f>
        <v/>
      </c>
      <c r="K40" s="50" t="str">
        <f t="shared" si="79"/>
        <v/>
      </c>
      <c r="L40" s="50" t="str">
        <f t="shared" si="79"/>
        <v/>
      </c>
      <c r="M40" s="50" t="str">
        <f t="shared" si="79"/>
        <v/>
      </c>
      <c r="N40" s="50" t="str">
        <f t="shared" si="79"/>
        <v>NORa region is marine but it doesnt link to SDG 14 or its targets</v>
      </c>
      <c r="O40" s="49" t="str">
        <f>IFERROR(__xludf.DUMMYFUNCTION("IF(COUNTA(J40:N40)=0, """", ARRAYFORMULA(""- ""&amp;TEXTJOIN(char(10)&amp;""- "", TRUE, FILTER(J$1:N$1&amp;"": ""&amp;J40:N40, NOT(ISBLANK(J40:N40))))))"),"- Steve: NORa region is marine but it doesnt link to SDG 14 or its targets")</f>
        <v>- Steve: NORa region is marine but it doesnt link to SDG 14 or its targets</v>
      </c>
      <c r="P40" s="49" t="s">
        <v>455</v>
      </c>
      <c r="Q40" s="51" t="s">
        <v>438</v>
      </c>
    </row>
    <row r="41">
      <c r="A41" s="12" t="str">
        <f>IFERROR(__xludf.DUMMYFUNCTION("""COMPUTED_VALUE"""),"130654f68d61790d07280a0b5255af7d")</f>
        <v>130654f68d61790d07280a0b5255af7d</v>
      </c>
      <c r="B41" s="12" t="str">
        <f>IFERROR(__xludf.DUMMYFUNCTION("""COMPUTED_VALUE"""),"Citizens (or stakeholders groups) signal their policy demand or preferences through various channels such as lobbying or voting choices. The higher the costs involved in signalling this demand the lower the level of effective demand. Likewise the governme"&amp;"nt’s willingness to supply the policy favour will increase with increasing political benefits that would accrue to the government. Equilibrium is found at the point where the demand for a concession matches the willingness to supply it given the respectiv"&amp;"e perceptions of costs and benefits.")</f>
        <v>Citizens (or stakeholders groups) signal their policy demand or preferences through various channels such as lobbying or voting choices. The higher the costs involved in signalling this demand the lower the level of effective demand. Likewise the government’s willingness to supply the policy favour will increase with increasing political benefits that would accrue to the government. Equilibrium is found at the point where the demand for a concession matches the willingness to supply it given the respective perceptions of costs and benefits.</v>
      </c>
      <c r="C41" s="7"/>
      <c r="D41" s="48" t="b">
        <f t="shared" ref="D41:H41" si="80">VLOOKUP($A41, INDIRECT(D$1&amp;"!A:C"), 3, FALSE)</f>
        <v>0</v>
      </c>
      <c r="E41" s="48" t="str">
        <f t="shared" si="80"/>
        <v>TO DO</v>
      </c>
      <c r="F41" s="48" t="str">
        <f t="shared" si="80"/>
        <v>TO DO</v>
      </c>
      <c r="G41" s="48" t="b">
        <f t="shared" si="80"/>
        <v>0</v>
      </c>
      <c r="H41" s="48" t="b">
        <f t="shared" si="80"/>
        <v>0</v>
      </c>
      <c r="I41" s="49">
        <f t="shared" si="4"/>
        <v>1</v>
      </c>
      <c r="J41" s="50" t="str">
        <f t="shared" ref="J41:N41" si="81">VLOOKUP($A41, INDIRECT(J$1&amp;"!A:D"), 4, FALSE)</f>
        <v/>
      </c>
      <c r="K41" s="50" t="str">
        <f t="shared" si="81"/>
        <v/>
      </c>
      <c r="L41" s="50" t="str">
        <f t="shared" si="81"/>
        <v/>
      </c>
      <c r="M41" s="50" t="str">
        <f t="shared" si="81"/>
        <v/>
      </c>
      <c r="N41" s="50" t="str">
        <f t="shared" si="81"/>
        <v/>
      </c>
      <c r="O41" s="49" t="str">
        <f>IFERROR(__xludf.DUMMYFUNCTION("IF(COUNTA(J41:N41)=0, """", ARRAYFORMULA(""- ""&amp;TEXTJOIN(char(10)&amp;""- "", TRUE, FILTER(J$1:N$1&amp;"": ""&amp;J41:N41, NOT(ISBLANK(J41:N41))))))"),"")</f>
        <v/>
      </c>
      <c r="P41" s="49" t="s">
        <v>435</v>
      </c>
      <c r="Q41" s="51" t="b">
        <v>0</v>
      </c>
    </row>
    <row r="42">
      <c r="A42" s="12" t="str">
        <f>IFERROR(__xludf.DUMMYFUNCTION("""COMPUTED_VALUE"""),"faed89654d5e11fa78f94916608504f4")</f>
        <v>faed89654d5e11fa78f94916608504f4</v>
      </c>
      <c r="B42" s="12" t="str">
        <f>IFERROR(__xludf.DUMMYFUNCTION("""COMPUTED_VALUE"""),"Fernandez and Rodrik (1991) demonstrate that there is a bias towards the status quo (and hence against efficiency-enhancing reforms) whenever some (or all) of the individual gainers or losers from reform cannot be identified beforehand. Glazer (2003) poin"&amp;"ts out that once the reform has been implemented, the pattern of beneficiaries becomes clear and there may be support for the new status quo, despite initial opposition due to the uncertainty surrounding the distribution of benefits (next section). Loss a"&amp;"version can therefore help to create a status quo bias, making it difficult both to introduce a policy (and also to reverse a policy once it is adopted). However, the long term durability of reforms cannot be taken for granted.")</f>
        <v>Fernandez and Rodrik (1991) demonstrate that there is a bias towards the status quo (and hence against efficiency-enhancing reforms) whenever some (or all) of the individual gainers or losers from reform cannot be identified beforehand. Glazer (2003) points out that once the reform has been implemented, the pattern of beneficiaries becomes clear and there may be support for the new status quo, despite initial opposition due to the uncertainty surrounding the distribution of benefits (next section). Loss aversion can therefore help to create a status quo bias, making it difficult both to introduce a policy (and also to reverse a policy once it is adopted). However, the long term durability of reforms cannot be taken for granted.</v>
      </c>
      <c r="C42" s="53"/>
      <c r="D42" s="48" t="b">
        <f t="shared" ref="D42:H42" si="82">VLOOKUP($A42, INDIRECT(D$1&amp;"!A:C"), 3, FALSE)</f>
        <v>0</v>
      </c>
      <c r="E42" s="48" t="str">
        <f t="shared" si="82"/>
        <v>TO DO</v>
      </c>
      <c r="F42" s="48" t="str">
        <f t="shared" si="82"/>
        <v>TO DO</v>
      </c>
      <c r="G42" s="48" t="b">
        <f t="shared" si="82"/>
        <v>0</v>
      </c>
      <c r="H42" s="48" t="b">
        <f t="shared" si="82"/>
        <v>0</v>
      </c>
      <c r="I42" s="49">
        <f t="shared" si="4"/>
        <v>1</v>
      </c>
      <c r="J42" s="50" t="str">
        <f t="shared" ref="J42:N42" si="83">VLOOKUP($A42, INDIRECT(J$1&amp;"!A:D"), 4, FALSE)</f>
        <v/>
      </c>
      <c r="K42" s="50" t="str">
        <f t="shared" si="83"/>
        <v/>
      </c>
      <c r="L42" s="50" t="str">
        <f t="shared" si="83"/>
        <v/>
      </c>
      <c r="M42" s="50" t="str">
        <f t="shared" si="83"/>
        <v/>
      </c>
      <c r="N42" s="50" t="str">
        <f t="shared" si="83"/>
        <v/>
      </c>
      <c r="O42" s="49" t="str">
        <f>IFERROR(__xludf.DUMMYFUNCTION("IF(COUNTA(J42:N42)=0, """", ARRAYFORMULA(""- ""&amp;TEXTJOIN(char(10)&amp;""- "", TRUE, FILTER(J$1:N$1&amp;"": ""&amp;J42:N42, NOT(ISBLANK(J42:N42))))))"),"")</f>
        <v/>
      </c>
      <c r="P42" s="49" t="s">
        <v>435</v>
      </c>
      <c r="Q42" s="51" t="b">
        <v>0</v>
      </c>
    </row>
    <row r="43">
      <c r="A43" s="12" t="str">
        <f>IFERROR(__xludf.DUMMYFUNCTION("""COMPUTED_VALUE"""),"3b0e70372f5c506500f52ac2190e097e")</f>
        <v>3b0e70372f5c506500f52ac2190e097e</v>
      </c>
      <c r="B43" s="12" t="str">
        <f>IFERROR(__xludf.DUMMYFUNCTION("""COMPUTED_VALUE"""),"It also discusses the development of indicators, reference points and risk indices for assessing fisheries affected by climate changes. In addition, it demonstrates an approach to evaluating fisheries management from an EAF perspective. Finally, it review"&amp;"s current fisheries management systems and discusses implications for management under changing climate conditions.")</f>
        <v>It also discusses the development of indicators, reference points and risk indices for assessing fisheries affected by climate changes. In addition, it demonstrates an approach to evaluating fisheries management from an EAF perspective. Finally, it reviews current fisheries management systems and discusses implications for management under changing climate conditions.</v>
      </c>
      <c r="C43" s="54" t="s">
        <v>440</v>
      </c>
      <c r="D43" s="48" t="b">
        <f t="shared" ref="D43:H43" si="84">VLOOKUP($A43, INDIRECT(D$1&amp;"!A:C"), 3, FALSE)</f>
        <v>1</v>
      </c>
      <c r="E43" s="48" t="str">
        <f t="shared" si="84"/>
        <v>TO DO</v>
      </c>
      <c r="F43" s="48" t="str">
        <f t="shared" si="84"/>
        <v>TO DO</v>
      </c>
      <c r="G43" s="48" t="b">
        <f t="shared" si="84"/>
        <v>1</v>
      </c>
      <c r="H43" s="48" t="b">
        <f t="shared" si="84"/>
        <v>0</v>
      </c>
      <c r="I43" s="49">
        <f t="shared" si="4"/>
        <v>0.3333333333</v>
      </c>
      <c r="J43" s="50" t="str">
        <f t="shared" ref="J43:N43" si="85">VLOOKUP($A43, INDIRECT(J$1&amp;"!A:D"), 4, FALSE)</f>
        <v>EAF = Ecosystem Approach to Fisheries (focused on sust dev)</v>
      </c>
      <c r="K43" s="50" t="str">
        <f t="shared" si="85"/>
        <v/>
      </c>
      <c r="L43" s="50" t="str">
        <f t="shared" si="85"/>
        <v/>
      </c>
      <c r="M43" s="50" t="str">
        <f t="shared" si="85"/>
        <v/>
      </c>
      <c r="N43" s="50" t="str">
        <f t="shared" si="85"/>
        <v>though no notion of sustainable fishing practices or preventing overfishing etc</v>
      </c>
      <c r="O43" s="49" t="str">
        <f>IFERROR(__xludf.DUMMYFUNCTION("IF(COUNTA(J43:N43)=0, """", ARRAYFORMULA(""- ""&amp;TEXTJOIN(char(10)&amp;""- "", TRUE, FILTER(J$1:N$1&amp;"": ""&amp;J43:N43, NOT(ISBLANK(J43:N43))))))"),"- Finn: EAF = Ecosystem Approach to Fisheries (focused on sust dev)
- Steve: though no notion of sustainable fishing practices or preventing overfishing etc")</f>
        <v>- Finn: EAF = Ecosystem Approach to Fisheries (focused on sust dev)
- Steve: though no notion of sustainable fishing practices or preventing overfishing etc</v>
      </c>
      <c r="P43" s="49" t="s">
        <v>456</v>
      </c>
      <c r="Q43" s="52" t="b">
        <v>1</v>
      </c>
      <c r="R43" s="5" t="s">
        <v>457</v>
      </c>
    </row>
    <row r="44">
      <c r="A44" s="12" t="str">
        <f>IFERROR(__xludf.DUMMYFUNCTION("""COMPUTED_VALUE"""),"924b78e677fc97da7412d26a4f84a553")</f>
        <v>924b78e677fc97da7412d26a4f84a553</v>
      </c>
      <c r="B44" s="12" t="str">
        <f>IFERROR(__xludf.DUMMYFUNCTION("""COMPUTED_VALUE"""),"More broadly, global and more localised competition for factors of production, particularly site area, water and feeds can be critical, as is competition in food markets and price-supply conditions. Here, the role of aquaculture in providing raw material "&amp;"for value-added products is different from that for whole fresh or live product as is the potential size and value of markets involved.")</f>
        <v>More broadly, global and more localised competition for factors of production, particularly site area, water and feeds can be critical, as is competition in food markets and price-supply conditions. Here, the role of aquaculture in providing raw material for value-added products is different from that for whole fresh or live product as is the potential size and value of markets involved.</v>
      </c>
      <c r="C44" s="7" t="s">
        <v>63</v>
      </c>
      <c r="D44" s="48" t="b">
        <f t="shared" ref="D44:H44" si="86">VLOOKUP($A44, INDIRECT(D$1&amp;"!A:C"), 3, FALSE)</f>
        <v>0</v>
      </c>
      <c r="E44" s="48" t="str">
        <f t="shared" si="86"/>
        <v>TO DO</v>
      </c>
      <c r="F44" s="48" t="str">
        <f t="shared" si="86"/>
        <v>TO DO</v>
      </c>
      <c r="G44" s="48" t="b">
        <f t="shared" si="86"/>
        <v>1</v>
      </c>
      <c r="H44" s="48" t="b">
        <f t="shared" si="86"/>
        <v>0</v>
      </c>
      <c r="I44" s="49">
        <f t="shared" si="4"/>
        <v>0.3333333333</v>
      </c>
      <c r="J44" s="50" t="str">
        <f t="shared" ref="J44:N44" si="87">VLOOKUP($A44, INDIRECT(J$1&amp;"!A:D"), 4, FALSE)</f>
        <v>not specific to sustainable ocean use</v>
      </c>
      <c r="K44" s="50" t="str">
        <f t="shared" si="87"/>
        <v/>
      </c>
      <c r="L44" s="50" t="str">
        <f t="shared" si="87"/>
        <v/>
      </c>
      <c r="M44" s="50" t="str">
        <f t="shared" si="87"/>
        <v/>
      </c>
      <c r="N44" s="50" t="str">
        <f t="shared" si="87"/>
        <v>no link to SDG 14 objectives</v>
      </c>
      <c r="O44" s="49" t="str">
        <f>IFERROR(__xludf.DUMMYFUNCTION("IF(COUNTA(J44:N44)=0, """", ARRAYFORMULA(""- ""&amp;TEXTJOIN(char(10)&amp;""- "", TRUE, FILTER(J$1:N$1&amp;"": ""&amp;J44:N44, NOT(ISBLANK(J44:N44))))))"),"- Finn: not specific to sustainable ocean use
- Steve: no link to SDG 14 objectives")</f>
        <v>- Finn: not specific to sustainable ocean use
- Steve: no link to SDG 14 objectives</v>
      </c>
      <c r="P44" s="49" t="s">
        <v>458</v>
      </c>
      <c r="Q44" s="51" t="s">
        <v>438</v>
      </c>
    </row>
    <row r="45">
      <c r="A45" s="12" t="str">
        <f>IFERROR(__xludf.DUMMYFUNCTION("""COMPUTED_VALUE"""),"3e3612938ae0664497910370e72e2256")</f>
        <v>3e3612938ae0664497910370e72e2256</v>
      </c>
      <c r="B45" s="12" t="str">
        <f>IFERROR(__xludf.DUMMYFUNCTION("""COMPUTED_VALUE"""),"If the nitrogen removal was fixed at USD 10 per kg, this would represent a NTC of USD 357 504, if it was fixed at USD 30 per kg, this would represent a NTC of USD 1 072 512. The same could be applied to another key nutrient, phosphorus. With an average of"&amp;" 0.04% phosphorus content in FW kelp tissues, 4.09 tonnes of phopshorus would be removed per year. With a value of USD 4 per kg removed (Chopin etal.,")</f>
        <v>If the nitrogen removal was fixed at USD 10 per kg, this would represent a NTC of USD 357 504, if it was fixed at USD 30 per kg, this would represent a NTC of USD 1 072 512. The same could be applied to another key nutrient, phosphorus. With an average of 0.04% phosphorus content in FW kelp tissues, 4.09 tonnes of phopshorus would be removed per year. With a value of USD 4 per kg removed (Chopin etal.,</v>
      </c>
      <c r="C45" s="54"/>
      <c r="D45" s="48" t="b">
        <f t="shared" ref="D45:H45" si="88">VLOOKUP($A45, INDIRECT(D$1&amp;"!A:C"), 3, FALSE)</f>
        <v>0</v>
      </c>
      <c r="E45" s="48" t="str">
        <f t="shared" si="88"/>
        <v>TO DO</v>
      </c>
      <c r="F45" s="48" t="str">
        <f t="shared" si="88"/>
        <v>TO DO</v>
      </c>
      <c r="G45" s="48" t="b">
        <f t="shared" si="88"/>
        <v>0</v>
      </c>
      <c r="H45" s="48" t="b">
        <f t="shared" si="88"/>
        <v>0</v>
      </c>
      <c r="I45" s="49">
        <f t="shared" si="4"/>
        <v>1</v>
      </c>
      <c r="J45" s="50" t="str">
        <f t="shared" ref="J45:N45" si="89">VLOOKUP($A45, INDIRECT(J$1&amp;"!A:D"), 4, FALSE)</f>
        <v/>
      </c>
      <c r="K45" s="50" t="str">
        <f t="shared" si="89"/>
        <v/>
      </c>
      <c r="L45" s="50" t="str">
        <f t="shared" si="89"/>
        <v/>
      </c>
      <c r="M45" s="50" t="str">
        <f t="shared" si="89"/>
        <v/>
      </c>
      <c r="N45" s="50" t="str">
        <f t="shared" si="89"/>
        <v>more on kelp as a climate solution, but nothing on protection conservaqtion etc</v>
      </c>
      <c r="O45" s="49" t="str">
        <f>IFERROR(__xludf.DUMMYFUNCTION("IF(COUNTA(J45:N45)=0, """", ARRAYFORMULA(""- ""&amp;TEXTJOIN(char(10)&amp;""- "", TRUE, FILTER(J$1:N$1&amp;"": ""&amp;J45:N45, NOT(ISBLANK(J45:N45))))))"),"- Steve: more on kelp as a climate solution, but nothing on protection conservaqtion etc")</f>
        <v>- Steve: more on kelp as a climate solution, but nothing on protection conservaqtion etc</v>
      </c>
      <c r="P45" s="49" t="s">
        <v>459</v>
      </c>
      <c r="Q45" s="51" t="b">
        <v>0</v>
      </c>
    </row>
    <row r="46">
      <c r="A46" s="12" t="str">
        <f>IFERROR(__xludf.DUMMYFUNCTION("""COMPUTED_VALUE"""),"71c62a15a9d8c90f8682fd2b227fd941")</f>
        <v>71c62a15a9d8c90f8682fd2b227fd941</v>
      </c>
      <c r="B46" s="12" t="str">
        <f>IFERROR(__xludf.DUMMYFUNCTION("""COMPUTED_VALUE"""),"Furthermore, science committee and fishery resource management committee were newly organized to coordinate joint participation and role assignments to relevant stakeholders. So far, 10 FSRPs have been established and operated, and it is planned to be exp"&amp;"anded to 20 species by 2012. The result of pilot projects show that stocks are increasing after the introduction of FSRPs. For instance, the catch per unit effort (CPUE) of sandfish in the East Sea has increased from 0.44 in 2005 to 0.78 in 2007.")</f>
        <v>Furthermore, science committee and fishery resource management committee were newly organized to coordinate joint participation and role assignments to relevant stakeholders. So far, 10 FSRPs have been established and operated, and it is planned to be expanded to 20 species by 2012. The result of pilot projects show that stocks are increasing after the introduction of FSRPs. For instance, the catch per unit effort (CPUE) of sandfish in the East Sea has increased from 0.44 in 2005 to 0.78 in 2007.</v>
      </c>
      <c r="C46" s="53"/>
      <c r="D46" s="48" t="b">
        <f t="shared" ref="D46:H46" si="90">VLOOKUP($A46, INDIRECT(D$1&amp;"!A:C"), 3, FALSE)</f>
        <v>1</v>
      </c>
      <c r="E46" s="48" t="str">
        <f t="shared" si="90"/>
        <v>TO DO</v>
      </c>
      <c r="F46" s="48" t="str">
        <f t="shared" si="90"/>
        <v>TO DO</v>
      </c>
      <c r="G46" s="48" t="b">
        <f t="shared" si="90"/>
        <v>1</v>
      </c>
      <c r="H46" s="48" t="b">
        <f t="shared" si="90"/>
        <v>1</v>
      </c>
      <c r="I46" s="49">
        <f t="shared" si="4"/>
        <v>1</v>
      </c>
      <c r="J46" s="50" t="str">
        <f t="shared" ref="J46:N46" si="91">VLOOKUP($A46, INDIRECT(J$1&amp;"!A:D"), 4, FALSE)</f>
        <v>FSRP: Fish Stock Rebuilding Plan</v>
      </c>
      <c r="K46" s="50" t="str">
        <f t="shared" si="91"/>
        <v/>
      </c>
      <c r="L46" s="50" t="str">
        <f t="shared" si="91"/>
        <v/>
      </c>
      <c r="M46" s="50" t="str">
        <f t="shared" si="91"/>
        <v/>
      </c>
      <c r="N46" s="50" t="str">
        <f t="shared" si="91"/>
        <v>FSRPs = Fisheries Stock Rebuilding Plans</v>
      </c>
      <c r="O46" s="49" t="str">
        <f>IFERROR(__xludf.DUMMYFUNCTION("IF(COUNTA(J46:N46)=0, """", ARRAYFORMULA(""- ""&amp;TEXTJOIN(char(10)&amp;""- "", TRUE, FILTER(J$1:N$1&amp;"": ""&amp;J46:N46, NOT(ISBLANK(J46:N46))))))"),"- Finn: FSRP: Fish Stock Rebuilding Plan
- Steve: FSRPs = Fisheries Stock Rebuilding Plans")</f>
        <v>- Finn: FSRP: Fish Stock Rebuilding Plan
- Steve: FSRPs = Fisheries Stock Rebuilding Plans</v>
      </c>
      <c r="P46" s="49" t="s">
        <v>460</v>
      </c>
      <c r="Q46" s="51" t="b">
        <v>1</v>
      </c>
    </row>
    <row r="47">
      <c r="A47" s="12" t="str">
        <f>IFERROR(__xludf.DUMMYFUNCTION("""COMPUTED_VALUE"""),"43fadba2cedf94ac8d1bad8e85778e9f")</f>
        <v>43fadba2cedf94ac8d1bad8e85778e9f</v>
      </c>
      <c r="B47" s="12" t="str">
        <f>IFERROR(__xludf.DUMMYFUNCTION("""COMPUTED_VALUE"""),"Additionally, diarrhoea is a major cause of malnutrition in infants and young children. In the United States of America (USA), for example, around 76 million cases of foodbome diseases, resulting in 325 000 hospitalisations and 5 000 deaths, are estimated"&amp;" to occur each year. In the USA, diseases caused by the major pathogens alone are estimated to cost up to USD 35 billion annually (1997) in medical costs and lost productivity.")</f>
        <v>Additionally, diarrhoea is a major cause of malnutrition in infants and young children. In the United States of America (USA), for example, around 76 million cases of foodbome diseases, resulting in 325 000 hospitalisations and 5 000 deaths, are estimated to occur each year. In the USA, diseases caused by the major pathogens alone are estimated to cost up to USD 35 billion annually (1997) in medical costs and lost productivity.</v>
      </c>
      <c r="C47" s="7"/>
      <c r="D47" s="48" t="b">
        <f t="shared" ref="D47:H47" si="92">VLOOKUP($A47, INDIRECT(D$1&amp;"!A:C"), 3, FALSE)</f>
        <v>0</v>
      </c>
      <c r="E47" s="48" t="str">
        <f t="shared" si="92"/>
        <v>TO DO</v>
      </c>
      <c r="F47" s="48" t="str">
        <f t="shared" si="92"/>
        <v>TO DO</v>
      </c>
      <c r="G47" s="48" t="b">
        <f t="shared" si="92"/>
        <v>0</v>
      </c>
      <c r="H47" s="48" t="b">
        <f t="shared" si="92"/>
        <v>0</v>
      </c>
      <c r="I47" s="49">
        <f t="shared" si="4"/>
        <v>1</v>
      </c>
      <c r="J47" s="50" t="str">
        <f t="shared" ref="J47:N47" si="93">VLOOKUP($A47, INDIRECT(J$1&amp;"!A:D"), 4, FALSE)</f>
        <v/>
      </c>
      <c r="K47" s="50" t="str">
        <f t="shared" si="93"/>
        <v/>
      </c>
      <c r="L47" s="50" t="str">
        <f t="shared" si="93"/>
        <v/>
      </c>
      <c r="M47" s="50" t="str">
        <f t="shared" si="93"/>
        <v/>
      </c>
      <c r="N47" s="50" t="str">
        <f t="shared" si="93"/>
        <v/>
      </c>
      <c r="O47" s="49" t="str">
        <f>IFERROR(__xludf.DUMMYFUNCTION("IF(COUNTA(J47:N47)=0, """", ARRAYFORMULA(""- ""&amp;TEXTJOIN(char(10)&amp;""- "", TRUE, FILTER(J$1:N$1&amp;"": ""&amp;J47:N47, NOT(ISBLANK(J47:N47))))))"),"")</f>
        <v/>
      </c>
      <c r="P47" s="49" t="s">
        <v>435</v>
      </c>
      <c r="Q47" s="51" t="b">
        <v>0</v>
      </c>
    </row>
    <row r="48">
      <c r="A48" s="12" t="str">
        <f>IFERROR(__xludf.DUMMYFUNCTION("""COMPUTED_VALUE"""),"c37d02c83ce0f764f615367128454693")</f>
        <v>c37d02c83ce0f764f615367128454693</v>
      </c>
      <c r="B48" s="12" t="str">
        <f>IFERROR(__xludf.DUMMYFUNCTION("""COMPUTED_VALUE"""),"Le present document est consacre a ces questions. D en ressort qu’il serait possible de prendre acte plus clairement de certains antagonismes potentiels entre objectifs de developpement durable, et que la Norvege peut et devrait poursuivre plus resolument"&amp;" dans la voie des incitations economiques, qu’elle a contribue a ouvrir, de maniere a favoriser la realisation des objectifs de durabilite. Norwegian Coastal Cod (20 000 metric tons in 2004 and 21 000 metric tons in 2005) included.")</f>
        <v>Le present document est consacre a ces questions. D en ressort qu’il serait possible de prendre acte plus clairement de certains antagonismes potentiels entre objectifs de developpement durable, et que la Norvege peut et devrait poursuivre plus resolument dans la voie des incitations economiques, qu’elle a contribue a ouvrir, de maniere a favoriser la realisation des objectifs de durabilite. Norwegian Coastal Cod (20 000 metric tons in 2004 and 21 000 metric tons in 2005) included.</v>
      </c>
      <c r="C48" s="7"/>
      <c r="D48" s="48" t="str">
        <f t="shared" ref="D48:H48" si="94">VLOOKUP($A48, INDIRECT(D$1&amp;"!A:C"), 3, FALSE)</f>
        <v>SKIP</v>
      </c>
      <c r="E48" s="48" t="str">
        <f t="shared" si="94"/>
        <v>TO DO</v>
      </c>
      <c r="F48" s="48" t="str">
        <f t="shared" si="94"/>
        <v>TO DO</v>
      </c>
      <c r="G48" s="48" t="b">
        <f t="shared" si="94"/>
        <v>1</v>
      </c>
      <c r="H48" s="48" t="str">
        <f t="shared" si="94"/>
        <v>SKIP</v>
      </c>
      <c r="I48" s="49">
        <f t="shared" si="4"/>
        <v>0.3333333333</v>
      </c>
      <c r="J48" s="50" t="str">
        <f t="shared" ref="J48:N48" si="95">VLOOKUP($A48, INDIRECT(J$1&amp;"!A:D"), 4, FALSE)</f>
        <v>not English</v>
      </c>
      <c r="K48" s="50" t="str">
        <f t="shared" si="95"/>
        <v/>
      </c>
      <c r="L48" s="50" t="str">
        <f t="shared" si="95"/>
        <v/>
      </c>
      <c r="M48" s="50" t="str">
        <f t="shared" si="95"/>
        <v/>
      </c>
      <c r="N48" s="50" t="str">
        <f t="shared" si="95"/>
        <v>french</v>
      </c>
      <c r="O48" s="49" t="str">
        <f>IFERROR(__xludf.DUMMYFUNCTION("IF(COUNTA(J48:N48)=0, """", ARRAYFORMULA(""- ""&amp;TEXTJOIN(char(10)&amp;""- "", TRUE, FILTER(J$1:N$1&amp;"": ""&amp;J48:N48, NOT(ISBLANK(J48:N48))))))"),"- Finn: not English
- Steve: french")</f>
        <v>- Finn: not English
- Steve: french</v>
      </c>
      <c r="P48" s="49" t="s">
        <v>461</v>
      </c>
      <c r="Q48" s="51" t="s">
        <v>438</v>
      </c>
    </row>
    <row r="49">
      <c r="A49" s="12" t="str">
        <f>IFERROR(__xludf.DUMMYFUNCTION("""COMPUTED_VALUE"""),"5e1800076afc25857fe954facd918c19")</f>
        <v>5e1800076afc25857fe954facd918c19</v>
      </c>
      <c r="B49" s="12" t="str">
        <f>IFERROR(__xludf.DUMMYFUNCTION("""COMPUTED_VALUE"""),"This report responds to this request by identifying and measuring fuel tax concessions in the fisheries sector. It provides data on fuel use, tax concessions, and related information for OECD countries and partners, as well as describing some of the key c"&amp;"hallenges in measuring data of this type. The primary source of data is the country submissions, with other data sources used where the submissions are incomplete.")</f>
        <v>This report responds to this request by identifying and measuring fuel tax concessions in the fisheries sector. It provides data on fuel use, tax concessions, and related information for OECD countries and partners, as well as describing some of the key challenges in measuring data of this type. The primary source of data is the country submissions, with other data sources used where the submissions are incomplete.</v>
      </c>
      <c r="C49" s="7" t="s">
        <v>63</v>
      </c>
      <c r="D49" s="48" t="b">
        <f t="shared" ref="D49:H49" si="96">VLOOKUP($A49, INDIRECT(D$1&amp;"!A:C"), 3, FALSE)</f>
        <v>1</v>
      </c>
      <c r="E49" s="48" t="str">
        <f t="shared" si="96"/>
        <v>TO DO</v>
      </c>
      <c r="F49" s="48" t="str">
        <f t="shared" si="96"/>
        <v>TO DO</v>
      </c>
      <c r="G49" s="48" t="b">
        <f t="shared" si="96"/>
        <v>0</v>
      </c>
      <c r="H49" s="48" t="b">
        <f t="shared" si="96"/>
        <v>1</v>
      </c>
      <c r="I49" s="49">
        <f t="shared" si="4"/>
        <v>0.3333333333</v>
      </c>
      <c r="J49" s="50" t="str">
        <f t="shared" ref="J49:N49" si="97">VLOOKUP($A49, INDIRECT(J$1&amp;"!A:D"), 4, FALSE)</f>
        <v>subsidies</v>
      </c>
      <c r="K49" s="50" t="str">
        <f t="shared" si="97"/>
        <v/>
      </c>
      <c r="L49" s="50" t="str">
        <f t="shared" si="97"/>
        <v/>
      </c>
      <c r="M49" s="50" t="str">
        <f t="shared" si="97"/>
        <v/>
      </c>
      <c r="N49" s="50" t="str">
        <f t="shared" si="97"/>
        <v/>
      </c>
      <c r="O49" s="49" t="str">
        <f>IFERROR(__xludf.DUMMYFUNCTION("IF(COUNTA(J49:N49)=0, """", ARRAYFORMULA(""- ""&amp;TEXTJOIN(char(10)&amp;""- "", TRUE, FILTER(J$1:N$1&amp;"": ""&amp;J49:N49, NOT(ISBLANK(J49:N49))))))"),"- Finn: subsidies")</f>
        <v>- Finn: subsidies</v>
      </c>
      <c r="P49" s="49" t="s">
        <v>462</v>
      </c>
      <c r="Q49" s="51" t="s">
        <v>438</v>
      </c>
    </row>
    <row r="50">
      <c r="A50" s="12" t="str">
        <f>IFERROR(__xludf.DUMMYFUNCTION("""COMPUTED_VALUE"""),"c392d9308d8363e0323309959839e9d0")</f>
        <v>c392d9308d8363e0323309959839e9d0</v>
      </c>
      <c r="B50" s="12" t="str">
        <f>IFERROR(__xludf.DUMMYFUNCTION("""COMPUTED_VALUE"""),"First, the apparent stalemate in earlier, more ambitious, negotiations has meant proposals for text require a lowest common denominator approach to achieve consensus. Second, in the broader context of a largely stalled Doha Round, fisheries subsidies were"&amp;" always contingent on a measure of horse-trading among dominant members over other agreements. Third, the rest of the world has not remained still: disciplines have and are being developed in other fora, such as the Sustainable Development Goals (SDGs).")</f>
        <v>First, the apparent stalemate in earlier, more ambitious, negotiations has meant proposals for text require a lowest common denominator approach to achieve consensus. Second, in the broader context of a largely stalled Doha Round, fisheries subsidies were always contingent on a measure of horse-trading among dominant members over other agreements. Third, the rest of the world has not remained still: disciplines have and are being developed in other fora, such as the Sustainable Development Goals (SDGs).</v>
      </c>
      <c r="C50" s="53"/>
      <c r="D50" s="48" t="b">
        <f t="shared" ref="D50:H50" si="98">VLOOKUP($A50, INDIRECT(D$1&amp;"!A:C"), 3, FALSE)</f>
        <v>1</v>
      </c>
      <c r="E50" s="48" t="str">
        <f t="shared" si="98"/>
        <v>TO DO</v>
      </c>
      <c r="F50" s="48" t="str">
        <f t="shared" si="98"/>
        <v>TO DO</v>
      </c>
      <c r="G50" s="48" t="b">
        <f t="shared" si="98"/>
        <v>1</v>
      </c>
      <c r="H50" s="48" t="b">
        <f t="shared" si="98"/>
        <v>1</v>
      </c>
      <c r="I50" s="49">
        <f t="shared" si="4"/>
        <v>1</v>
      </c>
      <c r="J50" s="50" t="str">
        <f t="shared" ref="J50:N50" si="99">VLOOKUP($A50, INDIRECT(J$1&amp;"!A:D"), 4, FALSE)</f>
        <v/>
      </c>
      <c r="K50" s="50" t="str">
        <f t="shared" si="99"/>
        <v/>
      </c>
      <c r="L50" s="50" t="str">
        <f t="shared" si="99"/>
        <v/>
      </c>
      <c r="M50" s="50" t="str">
        <f t="shared" si="99"/>
        <v/>
      </c>
      <c r="N50" s="50" t="str">
        <f t="shared" si="99"/>
        <v/>
      </c>
      <c r="O50" s="49" t="str">
        <f>IFERROR(__xludf.DUMMYFUNCTION("IF(COUNTA(J50:N50)=0, """", ARRAYFORMULA(""- ""&amp;TEXTJOIN(char(10)&amp;""- "", TRUE, FILTER(J$1:N$1&amp;"": ""&amp;J50:N50, NOT(ISBLANK(J50:N50))))))"),"")</f>
        <v/>
      </c>
      <c r="P50" s="49" t="s">
        <v>435</v>
      </c>
      <c r="Q50" s="51" t="b">
        <v>1</v>
      </c>
    </row>
    <row r="51">
      <c r="A51" s="12" t="str">
        <f>IFERROR(__xludf.DUMMYFUNCTION("""COMPUTED_VALUE"""),"c7da651fadf739d1760d781ed487b5fd")</f>
        <v>c7da651fadf739d1760d781ed487b5fd</v>
      </c>
      <c r="B51" s="12" t="str">
        <f>IFERROR(__xludf.DUMMYFUNCTION("""COMPUTED_VALUE"""),"What role, if any, should RFMOs and/or fisheries management systems have in fisheries subsidies issues? How to define subsistence, small-scale and artisanal fishing and what subsidies disciplines should apply to these sectors? How could an agreement on fi"&amp;"sheries subsidies address the future development needs of developing and LDC members without undermining sustainability?")</f>
        <v>What role, if any, should RFMOs and/or fisheries management systems have in fisheries subsidies issues? How to define subsistence, small-scale and artisanal fishing and what subsidies disciplines should apply to these sectors? How could an agreement on fisheries subsidies address the future development needs of developing and LDC members without undermining sustainability?</v>
      </c>
      <c r="C51" s="48"/>
      <c r="D51" s="48" t="b">
        <f t="shared" ref="D51:H51" si="100">VLOOKUP($A51, INDIRECT(D$1&amp;"!A:C"), 3, FALSE)</f>
        <v>1</v>
      </c>
      <c r="E51" s="48" t="str">
        <f t="shared" si="100"/>
        <v>TO DO</v>
      </c>
      <c r="F51" s="48" t="str">
        <f t="shared" si="100"/>
        <v>TO DO</v>
      </c>
      <c r="G51" s="48" t="b">
        <f t="shared" si="100"/>
        <v>1</v>
      </c>
      <c r="H51" s="48" t="b">
        <f t="shared" si="100"/>
        <v>1</v>
      </c>
      <c r="I51" s="49">
        <f t="shared" si="4"/>
        <v>1</v>
      </c>
      <c r="J51" s="50" t="str">
        <f t="shared" ref="J51:N51" si="101">VLOOKUP($A51, INDIRECT(J$1&amp;"!A:D"), 4, FALSE)</f>
        <v/>
      </c>
      <c r="K51" s="50" t="str">
        <f t="shared" si="101"/>
        <v/>
      </c>
      <c r="L51" s="50" t="str">
        <f t="shared" si="101"/>
        <v/>
      </c>
      <c r="M51" s="50" t="str">
        <f t="shared" si="101"/>
        <v/>
      </c>
      <c r="N51" s="50" t="str">
        <f t="shared" si="101"/>
        <v/>
      </c>
      <c r="O51" s="49" t="str">
        <f>IFERROR(__xludf.DUMMYFUNCTION("IF(COUNTA(J51:N51)=0, """", ARRAYFORMULA(""- ""&amp;TEXTJOIN(char(10)&amp;""- "", TRUE, FILTER(J$1:N$1&amp;"": ""&amp;J51:N51, NOT(ISBLANK(J51:N51))))))"),"")</f>
        <v/>
      </c>
      <c r="P51" s="49" t="s">
        <v>435</v>
      </c>
      <c r="Q51" s="51" t="b">
        <v>1</v>
      </c>
    </row>
    <row r="52">
      <c r="A52" s="12" t="str">
        <f>IFERROR(__xludf.DUMMYFUNCTION("""COMPUTED_VALUE"""),"dc4cf2674af4824166a8e2241c8c10ea")</f>
        <v>dc4cf2674af4824166a8e2241c8c10ea</v>
      </c>
      <c r="B52" s="12" t="str">
        <f>IFERROR(__xludf.DUMMYFUNCTION("""COMPUTED_VALUE"""),"It is a business model aimed at the greatest societal benefits from economic, social and ecological perspectives. It outlines the ideas behind CSF as a business model, and how it was first put into place in the United States. Secondly, we describe how thi"&amp;"s idea is currently being put into practice in Skane with the innovation project Oresundsfisk, which was originally set up by SEA-U Marine Science Centre in Malmo, an economic association partly funded by the City of Malmo. The case study describes some o"&amp;"f the challenges with CSF such as logistics and mobilizing funding.")</f>
        <v>It is a business model aimed at the greatest societal benefits from economic, social and ecological perspectives. It outlines the ideas behind CSF as a business model, and how it was first put into place in the United States. Secondly, we describe how this idea is currently being put into practice in Skane with the innovation project Oresundsfisk, which was originally set up by SEA-U Marine Science Centre in Malmo, an economic association partly funded by the City of Malmo. The case study describes some of the challenges with CSF such as logistics and mobilizing funding.</v>
      </c>
      <c r="C52" s="54" t="s">
        <v>440</v>
      </c>
      <c r="D52" s="48" t="b">
        <f t="shared" ref="D52:H52" si="102">VLOOKUP($A52, INDIRECT(D$1&amp;"!A:C"), 3, FALSE)</f>
        <v>0</v>
      </c>
      <c r="E52" s="48" t="str">
        <f t="shared" si="102"/>
        <v>TO DO</v>
      </c>
      <c r="F52" s="48" t="str">
        <f t="shared" si="102"/>
        <v>TO DO</v>
      </c>
      <c r="G52" s="48" t="b">
        <f t="shared" si="102"/>
        <v>1</v>
      </c>
      <c r="H52" s="48" t="b">
        <f t="shared" si="102"/>
        <v>1</v>
      </c>
      <c r="I52" s="49">
        <f t="shared" si="4"/>
        <v>0.3333333333</v>
      </c>
      <c r="J52" s="50" t="str">
        <f t="shared" ref="J52:N52" si="103">VLOOKUP($A52, INDIRECT(J$1&amp;"!A:D"), 4, FALSE)</f>
        <v>CSF = Community Supported Fisheries</v>
      </c>
      <c r="K52" s="50" t="str">
        <f t="shared" si="103"/>
        <v/>
      </c>
      <c r="L52" s="50" t="str">
        <f t="shared" si="103"/>
        <v/>
      </c>
      <c r="M52" s="50" t="str">
        <f t="shared" si="103"/>
        <v/>
      </c>
      <c r="N52" s="50" t="str">
        <f t="shared" si="103"/>
        <v>CSF = Community supported fishing</v>
      </c>
      <c r="O52" s="49" t="str">
        <f>IFERROR(__xludf.DUMMYFUNCTION("IF(COUNTA(J52:N52)=0, """", ARRAYFORMULA(""- ""&amp;TEXTJOIN(char(10)&amp;""- "", TRUE, FILTER(J$1:N$1&amp;"": ""&amp;J52:N52, NOT(ISBLANK(J52:N52))))))"),"- Finn: CSF = Community Supported Fisheries
- Steve: CSF = Community supported fishing")</f>
        <v>- Finn: CSF = Community Supported Fisheries
- Steve: CSF = Community supported fishing</v>
      </c>
      <c r="P52" s="49" t="s">
        <v>463</v>
      </c>
      <c r="Q52" s="52" t="b">
        <v>1</v>
      </c>
      <c r="R52" s="5" t="s">
        <v>464</v>
      </c>
    </row>
    <row r="53">
      <c r="A53" s="12" t="str">
        <f>IFERROR(__xludf.DUMMYFUNCTION("""COMPUTED_VALUE"""),"03777289b3200792090f07fe7d0515ed")</f>
        <v>03777289b3200792090f07fe7d0515ed</v>
      </c>
      <c r="B53" s="12" t="str">
        <f>IFERROR(__xludf.DUMMYFUNCTION("""COMPUTED_VALUE"""),"Table 5.1 provides a summary of the main sectors involved, the types of plastic products or waste and the typical entry points to the ocean. Losses from this sector are unquantified but can be expected to be relatively low, provided good waste management "&amp;"practices are followed. However, losses may be much greater from poorly-managed municipal facilities and the informal waste recycling sectors.")</f>
        <v>Table 5.1 provides a summary of the main sectors involved, the types of plastic products or waste and the typical entry points to the ocean. Losses from this sector are unquantified but can be expected to be relatively low, provided good waste management practices are followed. However, losses may be much greater from poorly-managed municipal facilities and the informal waste recycling sectors.</v>
      </c>
      <c r="C53" s="7"/>
      <c r="D53" s="48" t="b">
        <f t="shared" ref="D53:H53" si="104">VLOOKUP($A53, INDIRECT(D$1&amp;"!A:C"), 3, FALSE)</f>
        <v>1</v>
      </c>
      <c r="E53" s="48" t="str">
        <f t="shared" si="104"/>
        <v>TO DO</v>
      </c>
      <c r="F53" s="48" t="str">
        <f t="shared" si="104"/>
        <v>TO DO</v>
      </c>
      <c r="G53" s="48" t="b">
        <f t="shared" si="104"/>
        <v>1</v>
      </c>
      <c r="H53" s="48" t="b">
        <f t="shared" si="104"/>
        <v>1</v>
      </c>
      <c r="I53" s="49">
        <f t="shared" si="4"/>
        <v>1</v>
      </c>
      <c r="J53" s="50" t="str">
        <f t="shared" ref="J53:N53" si="105">VLOOKUP($A53, INDIRECT(J$1&amp;"!A:D"), 4, FALSE)</f>
        <v/>
      </c>
      <c r="K53" s="50" t="str">
        <f t="shared" si="105"/>
        <v/>
      </c>
      <c r="L53" s="50" t="str">
        <f t="shared" si="105"/>
        <v/>
      </c>
      <c r="M53" s="50" t="str">
        <f t="shared" si="105"/>
        <v/>
      </c>
      <c r="N53" s="50" t="str">
        <f t="shared" si="105"/>
        <v/>
      </c>
      <c r="O53" s="49" t="str">
        <f>IFERROR(__xludf.DUMMYFUNCTION("IF(COUNTA(J53:N53)=0, """", ARRAYFORMULA(""- ""&amp;TEXTJOIN(char(10)&amp;""- "", TRUE, FILTER(J$1:N$1&amp;"": ""&amp;J53:N53, NOT(ISBLANK(J53:N53))))))"),"")</f>
        <v/>
      </c>
      <c r="P53" s="49" t="s">
        <v>435</v>
      </c>
      <c r="Q53" s="51" t="b">
        <v>1</v>
      </c>
    </row>
    <row r="54">
      <c r="A54" s="12" t="str">
        <f>IFERROR(__xludf.DUMMYFUNCTION("""COMPUTED_VALUE"""),"ba6dcc1d21c161f82ec261307bd071be")</f>
        <v>ba6dcc1d21c161f82ec261307bd071be</v>
      </c>
      <c r="B54" s="12" t="str">
        <f>IFERROR(__xludf.DUMMYFUNCTION("""COMPUTED_VALUE"""),"The threats facing the oceans are many and include unsustainable and destructive fishing practices, illegal and unreported fishing, pollution from both land-based and ship-based sources, habitat destruction, the introduction of invasive species, ocean noi"&amp;"se, ship strikes (collisions between cetaceans and vessels), the mining of minerals, and the extraction of oil and gas. The adverse impacts resulting from these activities act cumulatively with the effects of ocean acidification, ocean warming, shifting c"&amp;"urrents, reduced mixing and decreasing oxygen levels. While marine ecosystems and species might be able to withstand one type or intensity of impact, they are much more severely affected by a combination of effects.")</f>
        <v>The threats facing the oceans are many and include unsustainable and destructive fishing practices, illegal and unreported fishing, pollution from both land-based and ship-based sources, habitat destruction, the introduction of invasive species, ocean noise, ship strikes (collisions between cetaceans and vessels), the mining of minerals, and the extraction of oil and gas. The adverse impacts resulting from these activities act cumulatively with the effects of ocean acidification, ocean warming, shifting currents, reduced mixing and decreasing oxygen levels. While marine ecosystems and species might be able to withstand one type or intensity of impact, they are much more severely affected by a combination of effects.</v>
      </c>
      <c r="C54" s="53"/>
      <c r="D54" s="48" t="b">
        <f t="shared" ref="D54:H54" si="106">VLOOKUP($A54, INDIRECT(D$1&amp;"!A:C"), 3, FALSE)</f>
        <v>1</v>
      </c>
      <c r="E54" s="48" t="str">
        <f t="shared" si="106"/>
        <v>TO DO</v>
      </c>
      <c r="F54" s="48" t="str">
        <f t="shared" si="106"/>
        <v>TO DO</v>
      </c>
      <c r="G54" s="48" t="b">
        <f t="shared" si="106"/>
        <v>1</v>
      </c>
      <c r="H54" s="48" t="b">
        <f t="shared" si="106"/>
        <v>1</v>
      </c>
      <c r="I54" s="49">
        <f t="shared" si="4"/>
        <v>1</v>
      </c>
      <c r="J54" s="50" t="str">
        <f t="shared" ref="J54:N54" si="107">VLOOKUP($A54, INDIRECT(J$1&amp;"!A:D"), 4, FALSE)</f>
        <v/>
      </c>
      <c r="K54" s="50" t="str">
        <f t="shared" si="107"/>
        <v/>
      </c>
      <c r="L54" s="50" t="str">
        <f t="shared" si="107"/>
        <v/>
      </c>
      <c r="M54" s="50" t="str">
        <f t="shared" si="107"/>
        <v/>
      </c>
      <c r="N54" s="50" t="str">
        <f t="shared" si="107"/>
        <v/>
      </c>
      <c r="O54" s="49" t="str">
        <f>IFERROR(__xludf.DUMMYFUNCTION("IF(COUNTA(J54:N54)=0, """", ARRAYFORMULA(""- ""&amp;TEXTJOIN(char(10)&amp;""- "", TRUE, FILTER(J$1:N$1&amp;"": ""&amp;J54:N54, NOT(ISBLANK(J54:N54))))))"),"")</f>
        <v/>
      </c>
      <c r="P54" s="49" t="s">
        <v>435</v>
      </c>
      <c r="Q54" s="51" t="b">
        <v>1</v>
      </c>
    </row>
    <row r="55">
      <c r="A55" s="12" t="str">
        <f>IFERROR(__xludf.DUMMYFUNCTION("""COMPUTED_VALUE"""),"681db518df70ee169c2b5fa85c21ebd3")</f>
        <v>681db518df70ee169c2b5fa85c21ebd3</v>
      </c>
      <c r="B55" s="12" t="str">
        <f>IFERROR(__xludf.DUMMYFUNCTION("""COMPUTED_VALUE"""),"For example, the United Nations Declaration on the Rights of Indigenous Peoples enshrines the collective as well as individual rights of indigenous peoples, stating that “[ijndigenous peoples have the right to the lands, territories and resources which th"&amp;"ey have traditionally owned, occupied or otherwise used or acquired,"" and directing States to give legal recognition to these territories (UNDRIP, 2008). If fisheries resources are to be sustained, fisheries activities must be conducted in a responsible "&amp;"manner. Traditional fishing practices may be more harmoniously aligned with environmental sustainability, but the current reality is that the small-scale fisheries subsector itself in many parts of the world is being forced to move towards unsustainable p"&amp;"ractices. Sustainable resource management is therefore an issue of critical concern for the small-scale fisheries sector.")</f>
        <v>For example, the United Nations Declaration on the Rights of Indigenous Peoples enshrines the collective as well as individual rights of indigenous peoples, stating that “[ijndigenous peoples have the right to the lands, territories and resources which they have traditionally owned, occupied or otherwise used or acquired," and directing States to give legal recognition to these territories (UNDRIP, 2008). If fisheries resources are to be sustained, fisheries activities must be conducted in a responsible manner. Traditional fishing practices may be more harmoniously aligned with environmental sustainability, but the current reality is that the small-scale fisheries subsector itself in many parts of the world is being forced to move towards unsustainable practices. Sustainable resource management is therefore an issue of critical concern for the small-scale fisheries sector.</v>
      </c>
      <c r="C55" s="53"/>
      <c r="D55" s="48" t="b">
        <f t="shared" ref="D55:H55" si="108">VLOOKUP($A55, INDIRECT(D$1&amp;"!A:C"), 3, FALSE)</f>
        <v>1</v>
      </c>
      <c r="E55" s="48" t="str">
        <f t="shared" si="108"/>
        <v>TO DO</v>
      </c>
      <c r="F55" s="48" t="str">
        <f t="shared" si="108"/>
        <v>TO DO</v>
      </c>
      <c r="G55" s="48" t="b">
        <f t="shared" si="108"/>
        <v>1</v>
      </c>
      <c r="H55" s="48" t="b">
        <f t="shared" si="108"/>
        <v>1</v>
      </c>
      <c r="I55" s="49">
        <f t="shared" si="4"/>
        <v>1</v>
      </c>
      <c r="J55" s="50" t="str">
        <f t="shared" ref="J55:N55" si="109">VLOOKUP($A55, INDIRECT(J$1&amp;"!A:D"), 4, FALSE)</f>
        <v/>
      </c>
      <c r="K55" s="50" t="str">
        <f t="shared" si="109"/>
        <v/>
      </c>
      <c r="L55" s="50" t="str">
        <f t="shared" si="109"/>
        <v/>
      </c>
      <c r="M55" s="50" t="str">
        <f t="shared" si="109"/>
        <v/>
      </c>
      <c r="N55" s="50" t="str">
        <f t="shared" si="109"/>
        <v/>
      </c>
      <c r="O55" s="49" t="str">
        <f>IFERROR(__xludf.DUMMYFUNCTION("IF(COUNTA(J55:N55)=0, """", ARRAYFORMULA(""- ""&amp;TEXTJOIN(char(10)&amp;""- "", TRUE, FILTER(J$1:N$1&amp;"": ""&amp;J55:N55, NOT(ISBLANK(J55:N55))))))"),"")</f>
        <v/>
      </c>
      <c r="P55" s="49" t="s">
        <v>435</v>
      </c>
      <c r="Q55" s="51" t="b">
        <v>1</v>
      </c>
    </row>
    <row r="56">
      <c r="A56" s="12" t="str">
        <f>IFERROR(__xludf.DUMMYFUNCTION("""COMPUTED_VALUE"""),"844a96aae26c204befb12be2762d83fc")</f>
        <v>844a96aae26c204befb12be2762d83fc</v>
      </c>
      <c r="B56" s="12" t="str">
        <f>IFERROR(__xludf.DUMMYFUNCTION("""COMPUTED_VALUE"""),"This has implications for policy discussions on how to achieve progress on SDG 14. The interrelationships that we highlight can be used as a tool for dialogue between policy and scientific communities working on oceans, in particular for assessing the sta"&amp;"tus of knowledge on the various linkages, as well as identifying linkages that are likely to matter most for progress on SDG 14. We are grateful for the research assistance provided by Esther Lho and Nelya Rakhimova.")</f>
        <v>This has implications for policy discussions on how to achieve progress on SDG 14. The interrelationships that we highlight can be used as a tool for dialogue between policy and scientific communities working on oceans, in particular for assessing the status of knowledge on the various linkages, as well as identifying linkages that are likely to matter most for progress on SDG 14. We are grateful for the research assistance provided by Esther Lho and Nelya Rakhimova.</v>
      </c>
      <c r="C56" s="48"/>
      <c r="D56" s="48" t="b">
        <f t="shared" ref="D56:H56" si="110">VLOOKUP($A56, INDIRECT(D$1&amp;"!A:C"), 3, FALSE)</f>
        <v>1</v>
      </c>
      <c r="E56" s="48" t="str">
        <f t="shared" si="110"/>
        <v>TO DO</v>
      </c>
      <c r="F56" s="48" t="str">
        <f t="shared" si="110"/>
        <v>TO DO</v>
      </c>
      <c r="G56" s="48" t="b">
        <f t="shared" si="110"/>
        <v>1</v>
      </c>
      <c r="H56" s="48" t="b">
        <f t="shared" si="110"/>
        <v>1</v>
      </c>
      <c r="I56" s="49">
        <f t="shared" si="4"/>
        <v>1</v>
      </c>
      <c r="J56" s="50" t="str">
        <f t="shared" ref="J56:N56" si="111">VLOOKUP($A56, INDIRECT(J$1&amp;"!A:D"), 4, FALSE)</f>
        <v/>
      </c>
      <c r="K56" s="50" t="str">
        <f t="shared" si="111"/>
        <v/>
      </c>
      <c r="L56" s="50" t="str">
        <f t="shared" si="111"/>
        <v/>
      </c>
      <c r="M56" s="50" t="str">
        <f t="shared" si="111"/>
        <v/>
      </c>
      <c r="N56" s="50" t="str">
        <f t="shared" si="111"/>
        <v/>
      </c>
      <c r="O56" s="49" t="str">
        <f>IFERROR(__xludf.DUMMYFUNCTION("IF(COUNTA(J56:N56)=0, """", ARRAYFORMULA(""- ""&amp;TEXTJOIN(char(10)&amp;""- "", TRUE, FILTER(J$1:N$1&amp;"": ""&amp;J56:N56, NOT(ISBLANK(J56:N56))))))"),"")</f>
        <v/>
      </c>
      <c r="P56" s="49" t="s">
        <v>435</v>
      </c>
      <c r="Q56" s="51" t="b">
        <v>1</v>
      </c>
    </row>
    <row r="57">
      <c r="A57" s="12" t="str">
        <f>IFERROR(__xludf.DUMMYFUNCTION("""COMPUTED_VALUE"""),"1becaec2af7ebc574e64116ccb7703f0")</f>
        <v>1becaec2af7ebc574e64116ccb7703f0</v>
      </c>
      <c r="B57" s="12" t="str">
        <f>IFERROR(__xludf.DUMMYFUNCTION("""COMPUTED_VALUE"""),"The total first-hand value was slightly higher in 2007 compared to 2006. At the same time, fuel and lubrication oil costs increased. At this point of time it is, therefore, difficult to estimate the results for 2007. More details are available on the Norw"&amp;"egian Directorate of Fisheries website (luiow./isfeeridir.no).")</f>
        <v>The total first-hand value was slightly higher in 2007 compared to 2006. At the same time, fuel and lubrication oil costs increased. At this point of time it is, therefore, difficult to estimate the results for 2007. More details are available on the Norwegian Directorate of Fisheries website (luiow./isfeeridir.no).</v>
      </c>
      <c r="C57" s="48"/>
      <c r="D57" s="48" t="b">
        <f t="shared" ref="D57:H57" si="112">VLOOKUP($A57, INDIRECT(D$1&amp;"!A:C"), 3, FALSE)</f>
        <v>0</v>
      </c>
      <c r="E57" s="48" t="str">
        <f t="shared" si="112"/>
        <v>TO DO</v>
      </c>
      <c r="F57" s="48" t="str">
        <f t="shared" si="112"/>
        <v>TO DO</v>
      </c>
      <c r="G57" s="48" t="b">
        <f t="shared" si="112"/>
        <v>0</v>
      </c>
      <c r="H57" s="48" t="b">
        <f t="shared" si="112"/>
        <v>0</v>
      </c>
      <c r="I57" s="49">
        <f t="shared" si="4"/>
        <v>1</v>
      </c>
      <c r="J57" s="50" t="str">
        <f t="shared" ref="J57:N57" si="113">VLOOKUP($A57, INDIRECT(J$1&amp;"!A:D"), 4, FALSE)</f>
        <v/>
      </c>
      <c r="K57" s="50" t="str">
        <f t="shared" si="113"/>
        <v/>
      </c>
      <c r="L57" s="50" t="str">
        <f t="shared" si="113"/>
        <v/>
      </c>
      <c r="M57" s="50" t="str">
        <f t="shared" si="113"/>
        <v/>
      </c>
      <c r="N57" s="50" t="str">
        <f t="shared" si="113"/>
        <v/>
      </c>
      <c r="O57" s="49" t="str">
        <f>IFERROR(__xludf.DUMMYFUNCTION("IF(COUNTA(J57:N57)=0, """", ARRAYFORMULA(""- ""&amp;TEXTJOIN(char(10)&amp;""- "", TRUE, FILTER(J$1:N$1&amp;"": ""&amp;J57:N57, NOT(ISBLANK(J57:N57))))))"),"")</f>
        <v/>
      </c>
      <c r="P57" s="49" t="s">
        <v>435</v>
      </c>
      <c r="Q57" s="51" t="b">
        <v>0</v>
      </c>
    </row>
    <row r="58">
      <c r="A58" s="12" t="str">
        <f>IFERROR(__xludf.DUMMYFUNCTION("""COMPUTED_VALUE"""),"64768096187d887240e33f35c11c28da")</f>
        <v>64768096187d887240e33f35c11c28da</v>
      </c>
      <c r="B58" s="12" t="str">
        <f>IFERROR(__xludf.DUMMYFUNCTION("""COMPUTED_VALUE"""),"It will provide an immediate and automated screening of products for compliance with legal and regulatory submission requirements and be used to identify problems or deficiencies prior to import authorisation. It will also collect extensive and detailed d"&amp;"ata pertaining to imports establishing an extensive searchable data base for use in creating timely reports and research. The system will eventually include US export data as well.")</f>
        <v>It will provide an immediate and automated screening of products for compliance with legal and regulatory submission requirements and be used to identify problems or deficiencies prior to import authorisation. It will also collect extensive and detailed data pertaining to imports establishing an extensive searchable data base for use in creating timely reports and research. The system will eventually include US export data as well.</v>
      </c>
      <c r="C58" s="7"/>
      <c r="D58" s="48" t="b">
        <f t="shared" ref="D58:H58" si="114">VLOOKUP($A58, INDIRECT(D$1&amp;"!A:C"), 3, FALSE)</f>
        <v>0</v>
      </c>
      <c r="E58" s="48" t="str">
        <f t="shared" si="114"/>
        <v>TO DO</v>
      </c>
      <c r="F58" s="48" t="str">
        <f t="shared" si="114"/>
        <v>TO DO</v>
      </c>
      <c r="G58" s="48" t="b">
        <f t="shared" si="114"/>
        <v>0</v>
      </c>
      <c r="H58" s="48" t="b">
        <f t="shared" si="114"/>
        <v>0</v>
      </c>
      <c r="I58" s="49">
        <f t="shared" si="4"/>
        <v>1</v>
      </c>
      <c r="J58" s="50" t="str">
        <f t="shared" ref="J58:N58" si="115">VLOOKUP($A58, INDIRECT(J$1&amp;"!A:D"), 4, FALSE)</f>
        <v/>
      </c>
      <c r="K58" s="50" t="str">
        <f t="shared" si="115"/>
        <v/>
      </c>
      <c r="L58" s="50" t="str">
        <f t="shared" si="115"/>
        <v/>
      </c>
      <c r="M58" s="50" t="str">
        <f t="shared" si="115"/>
        <v/>
      </c>
      <c r="N58" s="50" t="str">
        <f t="shared" si="115"/>
        <v/>
      </c>
      <c r="O58" s="49" t="str">
        <f>IFERROR(__xludf.DUMMYFUNCTION("IF(COUNTA(J58:N58)=0, """", ARRAYFORMULA(""- ""&amp;TEXTJOIN(char(10)&amp;""- "", TRUE, FILTER(J$1:N$1&amp;"": ""&amp;J58:N58, NOT(ISBLANK(J58:N58))))))"),"")</f>
        <v/>
      </c>
      <c r="P58" s="49" t="s">
        <v>435</v>
      </c>
      <c r="Q58" s="51" t="b">
        <v>0</v>
      </c>
    </row>
    <row r="59">
      <c r="A59" s="12" t="str">
        <f>IFERROR(__xludf.DUMMYFUNCTION("""COMPUTED_VALUE"""),"a3dbac0ebfdd353c8ccc4f76ed817abf")</f>
        <v>a3dbac0ebfdd353c8ccc4f76ed817abf</v>
      </c>
      <c r="B59" s="12" t="str">
        <f>IFERROR(__xludf.DUMMYFUNCTION("""COMPUTED_VALUE"""),"The report gives a broad definition of IDRIS, listing requirements for qualification as IDRIS and possible additional features. Different organisational forms exist with or without legal identity, but a key point is that IDRIS should have clear added valu"&amp;"e. The OECD reports provide relevant information for IDRIS, summarising issues on road mapping and single-sited large international research infrastructures that may also be applicable to IDRIS. Often, only parts of these entities (as opposed to entire en"&amp;"tities) collectively constitute the infrastructure. The agreement need not necessarily define a new legal entity, or be legally binding.")</f>
        <v>The report gives a broad definition of IDRIS, listing requirements for qualification as IDRIS and possible additional features. Different organisational forms exist with or without legal identity, but a key point is that IDRIS should have clear added value. The OECD reports provide relevant information for IDRIS, summarising issues on road mapping and single-sited large international research infrastructures that may also be applicable to IDRIS. Often, only parts of these entities (as opposed to entire entities) collectively constitute the infrastructure. The agreement need not necessarily define a new legal entity, or be legally binding.</v>
      </c>
      <c r="C59" s="53"/>
      <c r="D59" s="48" t="b">
        <f t="shared" ref="D59:H59" si="116">VLOOKUP($A59, INDIRECT(D$1&amp;"!A:C"), 3, FALSE)</f>
        <v>0</v>
      </c>
      <c r="E59" s="48" t="str">
        <f t="shared" si="116"/>
        <v>TO DO</v>
      </c>
      <c r="F59" s="48" t="str">
        <f t="shared" si="116"/>
        <v>TO DO</v>
      </c>
      <c r="G59" s="48" t="b">
        <f t="shared" si="116"/>
        <v>0</v>
      </c>
      <c r="H59" s="48" t="b">
        <f t="shared" si="116"/>
        <v>0</v>
      </c>
      <c r="I59" s="49">
        <f t="shared" si="4"/>
        <v>1</v>
      </c>
      <c r="J59" s="50" t="str">
        <f t="shared" ref="J59:N59" si="117">VLOOKUP($A59, INDIRECT(J$1&amp;"!A:D"), 4, FALSE)</f>
        <v/>
      </c>
      <c r="K59" s="50" t="str">
        <f t="shared" si="117"/>
        <v/>
      </c>
      <c r="L59" s="50" t="str">
        <f t="shared" si="117"/>
        <v/>
      </c>
      <c r="M59" s="50" t="str">
        <f t="shared" si="117"/>
        <v/>
      </c>
      <c r="N59" s="50" t="str">
        <f t="shared" si="117"/>
        <v/>
      </c>
      <c r="O59" s="49" t="str">
        <f>IFERROR(__xludf.DUMMYFUNCTION("IF(COUNTA(J59:N59)=0, """", ARRAYFORMULA(""- ""&amp;TEXTJOIN(char(10)&amp;""- "", TRUE, FILTER(J$1:N$1&amp;"": ""&amp;J59:N59, NOT(ISBLANK(J59:N59))))))"),"")</f>
        <v/>
      </c>
      <c r="P59" s="49" t="s">
        <v>435</v>
      </c>
      <c r="Q59" s="51" t="b">
        <v>0</v>
      </c>
    </row>
    <row r="60">
      <c r="A60" s="12" t="str">
        <f>IFERROR(__xludf.DUMMYFUNCTION("""COMPUTED_VALUE"""),"93c54355787bef57ec9988fa7b212e41")</f>
        <v>93c54355787bef57ec9988fa7b212e41</v>
      </c>
      <c r="B60" s="12" t="str">
        <f>IFERROR(__xludf.DUMMYFUNCTION("""COMPUTED_VALUE"""),"The total budgetary' FSE includes other expenditures such as management of resources (management expenditures, enforcement expenditures) included as transfers to sector, and cost recovery charges. In 2015, total budgetary FSE amounted to EUR 13.2 million "&amp;"(USD 15 million). This includes transfers to fishers of EUR 322 000 (USD 357 000) and transfers to sector of EUR 12.9 million (USD 14.3 million).")</f>
        <v>The total budgetary' FSE includes other expenditures such as management of resources (management expenditures, enforcement expenditures) included as transfers to sector, and cost recovery charges. In 2015, total budgetary FSE amounted to EUR 13.2 million (USD 15 million). This includes transfers to fishers of EUR 322 000 (USD 357 000) and transfers to sector of EUR 12.9 million (USD 14.3 million).</v>
      </c>
      <c r="C60" s="7" t="s">
        <v>440</v>
      </c>
      <c r="D60" s="48" t="b">
        <f t="shared" ref="D60:H60" si="118">VLOOKUP($A60, INDIRECT(D$1&amp;"!A:C"), 3, FALSE)</f>
        <v>0</v>
      </c>
      <c r="E60" s="48" t="str">
        <f t="shared" si="118"/>
        <v>TO DO</v>
      </c>
      <c r="F60" s="48" t="str">
        <f t="shared" si="118"/>
        <v>TO DO</v>
      </c>
      <c r="G60" s="48" t="b">
        <f t="shared" si="118"/>
        <v>1</v>
      </c>
      <c r="H60" s="48" t="b">
        <f t="shared" si="118"/>
        <v>1</v>
      </c>
      <c r="I60" s="49">
        <f t="shared" si="4"/>
        <v>0.3333333333</v>
      </c>
      <c r="J60" s="50" t="str">
        <f t="shared" ref="J60:N60" si="119">VLOOKUP($A60, INDIRECT(J$1&amp;"!A:D"), 4, FALSE)</f>
        <v/>
      </c>
      <c r="K60" s="50" t="str">
        <f t="shared" si="119"/>
        <v/>
      </c>
      <c r="L60" s="50" t="str">
        <f t="shared" si="119"/>
        <v/>
      </c>
      <c r="M60" s="50" t="str">
        <f t="shared" si="119"/>
        <v/>
      </c>
      <c r="N60" s="50" t="str">
        <f t="shared" si="119"/>
        <v/>
      </c>
      <c r="O60" s="49" t="str">
        <f>IFERROR(__xludf.DUMMYFUNCTION("IF(COUNTA(J60:N60)=0, """", ARRAYFORMULA(""- ""&amp;TEXTJOIN(char(10)&amp;""- "", TRUE, FILTER(J$1:N$1&amp;"": ""&amp;J60:N60, NOT(ISBLANK(J60:N60))))))"),"")</f>
        <v/>
      </c>
      <c r="P60" s="49" t="s">
        <v>435</v>
      </c>
      <c r="Q60" s="52" t="b">
        <v>0</v>
      </c>
      <c r="R60" s="5" t="s">
        <v>465</v>
      </c>
    </row>
    <row r="61">
      <c r="A61" s="12" t="str">
        <f>IFERROR(__xludf.DUMMYFUNCTION("""COMPUTED_VALUE"""),"02719688ce9599e12631a4b40bcbbaa4")</f>
        <v>02719688ce9599e12631a4b40bcbbaa4</v>
      </c>
      <c r="B61" s="12" t="str">
        <f>IFERROR(__xludf.DUMMYFUNCTION("""COMPUTED_VALUE"""),"However, in smaller traditional or artisanal fisheries, consolidation can reduce in some cases the important social role that these fisheries can play. In this case, applying the same set of management rules to these different groups is not always desirab"&amp;"le. Defining the appropriate scope of market based schemes to obtain social and economic goals is a challenge and the impacts of reform should be monitored using the principles of adaptive management.")</f>
        <v>However, in smaller traditional or artisanal fisheries, consolidation can reduce in some cases the important social role that these fisheries can play. In this case, applying the same set of management rules to these different groups is not always desirable. Defining the appropriate scope of market based schemes to obtain social and economic goals is a challenge and the impacts of reform should be monitored using the principles of adaptive management.</v>
      </c>
      <c r="C61" s="54" t="s">
        <v>440</v>
      </c>
      <c r="D61" s="48" t="b">
        <f t="shared" ref="D61:H61" si="120">VLOOKUP($A61, INDIRECT(D$1&amp;"!A:C"), 3, FALSE)</f>
        <v>0</v>
      </c>
      <c r="E61" s="48" t="str">
        <f t="shared" si="120"/>
        <v>TO DO</v>
      </c>
      <c r="F61" s="48" t="str">
        <f t="shared" si="120"/>
        <v>TO DO</v>
      </c>
      <c r="G61" s="48" t="b">
        <f t="shared" si="120"/>
        <v>1</v>
      </c>
      <c r="H61" s="48" t="b">
        <f t="shared" si="120"/>
        <v>1</v>
      </c>
      <c r="I61" s="49">
        <f t="shared" si="4"/>
        <v>0.3333333333</v>
      </c>
      <c r="J61" s="50" t="str">
        <f t="shared" ref="J61:N61" si="121">VLOOKUP($A61, INDIRECT(J$1&amp;"!A:D"), 4, FALSE)</f>
        <v>not about access to marine resources or markets</v>
      </c>
      <c r="K61" s="50" t="str">
        <f t="shared" si="121"/>
        <v/>
      </c>
      <c r="L61" s="50" t="str">
        <f t="shared" si="121"/>
        <v/>
      </c>
      <c r="M61" s="50" t="str">
        <f t="shared" si="121"/>
        <v/>
      </c>
      <c r="N61" s="50" t="str">
        <f t="shared" si="121"/>
        <v/>
      </c>
      <c r="O61" s="49" t="str">
        <f>IFERROR(__xludf.DUMMYFUNCTION("IF(COUNTA(J61:N61)=0, """", ARRAYFORMULA(""- ""&amp;TEXTJOIN(char(10)&amp;""- "", TRUE, FILTER(J$1:N$1&amp;"": ""&amp;J61:N61, NOT(ISBLANK(J61:N61))))))"),"- Finn: not about access to marine resources or markets")</f>
        <v>- Finn: not about access to marine resources or markets</v>
      </c>
      <c r="P61" s="49" t="s">
        <v>466</v>
      </c>
      <c r="Q61" s="51" t="s">
        <v>438</v>
      </c>
    </row>
    <row r="62">
      <c r="A62" s="12" t="str">
        <f>IFERROR(__xludf.DUMMYFUNCTION("""COMPUTED_VALUE"""),"9dc06344321763dd4db3943093b9d20b")</f>
        <v>9dc06344321763dd4db3943093b9d20b</v>
      </c>
      <c r="B62" s="12" t="str">
        <f>IFERROR(__xludf.DUMMYFUNCTION("""COMPUTED_VALUE"""),"The dumping of waste at sea is controlled under the Convention on the Prevention of Marine Pollution by Dumping of Wastes and Other Matter of 1972 and its 1996 Protocol. If these are effectively and consistently implemented, that particular source of inpu"&amp;"ts of harmful substances will be satisfactorily controlled. However, there are serious gaps in knowledge about their implementation: over 50 per cent of the contracting parties to those instruments are not reporting, and it is consequently not known how e"&amp;"ffective the instruments are (chap.")</f>
        <v>The dumping of waste at sea is controlled under the Convention on the Prevention of Marine Pollution by Dumping of Wastes and Other Matter of 1972 and its 1996 Protocol. If these are effectively and consistently implemented, that particular source of inputs of harmful substances will be satisfactorily controlled. However, there are serious gaps in knowledge about their implementation: over 50 per cent of the contracting parties to those instruments are not reporting, and it is consequently not known how effective the instruments are (chap.</v>
      </c>
      <c r="C62" s="53"/>
      <c r="D62" s="48" t="b">
        <f t="shared" ref="D62:H62" si="122">VLOOKUP($A62, INDIRECT(D$1&amp;"!A:C"), 3, FALSE)</f>
        <v>1</v>
      </c>
      <c r="E62" s="48" t="str">
        <f t="shared" si="122"/>
        <v>TO DO</v>
      </c>
      <c r="F62" s="48" t="str">
        <f t="shared" si="122"/>
        <v>TO DO</v>
      </c>
      <c r="G62" s="48" t="b">
        <f t="shared" si="122"/>
        <v>1</v>
      </c>
      <c r="H62" s="48" t="b">
        <f t="shared" si="122"/>
        <v>1</v>
      </c>
      <c r="I62" s="49">
        <f t="shared" si="4"/>
        <v>1</v>
      </c>
      <c r="J62" s="50" t="str">
        <f t="shared" ref="J62:N62" si="123">VLOOKUP($A62, INDIRECT(J$1&amp;"!A:D"), 4, FALSE)</f>
        <v/>
      </c>
      <c r="K62" s="50" t="str">
        <f t="shared" si="123"/>
        <v/>
      </c>
      <c r="L62" s="50" t="str">
        <f t="shared" si="123"/>
        <v/>
      </c>
      <c r="M62" s="50" t="str">
        <f t="shared" si="123"/>
        <v/>
      </c>
      <c r="N62" s="50" t="str">
        <f t="shared" si="123"/>
        <v/>
      </c>
      <c r="O62" s="49" t="str">
        <f>IFERROR(__xludf.DUMMYFUNCTION("IF(COUNTA(J62:N62)=0, """", ARRAYFORMULA(""- ""&amp;TEXTJOIN(char(10)&amp;""- "", TRUE, FILTER(J$1:N$1&amp;"": ""&amp;J62:N62, NOT(ISBLANK(J62:N62))))))"),"")</f>
        <v/>
      </c>
      <c r="P62" s="49" t="s">
        <v>435</v>
      </c>
      <c r="Q62" s="51" t="b">
        <v>1</v>
      </c>
    </row>
    <row r="63">
      <c r="A63" s="12" t="str">
        <f>IFERROR(__xludf.DUMMYFUNCTION("""COMPUTED_VALUE"""),"1cc311b2ecd4399b906d5b239a42553c")</f>
        <v>1cc311b2ecd4399b906d5b239a42553c</v>
      </c>
      <c r="B63" s="12" t="str">
        <f>IFERROR(__xludf.DUMMYFUNCTION("""COMPUTED_VALUE"""),"A. aegypti appears to thrive in artificial habits created by discarded tyres, cans, plastic containers and other temporary reservoirs, and advice has been issued to minimise these potential breeding sites*. The rapid spread of Zika in South America and th"&amp;"e Caribbean in 2015 and 2016 may have been exacerbated by a lack of effective waste collection and management. The American Administration asked Congress, on 6 Feb 2016, for more than US$ 1.8 billion in emergency funding for use both domestically and inte"&amp;"rnationally.")</f>
        <v>A. aegypti appears to thrive in artificial habits created by discarded tyres, cans, plastic containers and other temporary reservoirs, and advice has been issued to minimise these potential breeding sites*. The rapid spread of Zika in South America and the Caribbean in 2015 and 2016 may have been exacerbated by a lack of effective waste collection and management. The American Administration asked Congress, on 6 Feb 2016, for more than US$ 1.8 billion in emergency funding for use both domestically and internationally.</v>
      </c>
      <c r="C63" s="53"/>
      <c r="D63" s="48" t="b">
        <f t="shared" ref="D63:H63" si="124">VLOOKUP($A63, INDIRECT(D$1&amp;"!A:C"), 3, FALSE)</f>
        <v>0</v>
      </c>
      <c r="E63" s="48" t="str">
        <f t="shared" si="124"/>
        <v>TO DO</v>
      </c>
      <c r="F63" s="48" t="str">
        <f t="shared" si="124"/>
        <v>TO DO</v>
      </c>
      <c r="G63" s="48" t="b">
        <f t="shared" si="124"/>
        <v>0</v>
      </c>
      <c r="H63" s="48" t="b">
        <f t="shared" si="124"/>
        <v>0</v>
      </c>
      <c r="I63" s="49">
        <f t="shared" si="4"/>
        <v>1</v>
      </c>
      <c r="J63" s="50" t="str">
        <f t="shared" ref="J63:N63" si="125">VLOOKUP($A63, INDIRECT(J$1&amp;"!A:D"), 4, FALSE)</f>
        <v/>
      </c>
      <c r="K63" s="50" t="str">
        <f t="shared" si="125"/>
        <v/>
      </c>
      <c r="L63" s="50" t="str">
        <f t="shared" si="125"/>
        <v/>
      </c>
      <c r="M63" s="50" t="str">
        <f t="shared" si="125"/>
        <v/>
      </c>
      <c r="N63" s="50" t="str">
        <f t="shared" si="125"/>
        <v>more on land based pollution and waste</v>
      </c>
      <c r="O63" s="49" t="str">
        <f>IFERROR(__xludf.DUMMYFUNCTION("IF(COUNTA(J63:N63)=0, """", ARRAYFORMULA(""- ""&amp;TEXTJOIN(char(10)&amp;""- "", TRUE, FILTER(J$1:N$1&amp;"": ""&amp;J63:N63, NOT(ISBLANK(J63:N63))))))"),"- Steve: more on land based pollution and waste")</f>
        <v>- Steve: more on land based pollution and waste</v>
      </c>
      <c r="P63" s="49" t="s">
        <v>467</v>
      </c>
      <c r="Q63" s="51" t="b">
        <v>0</v>
      </c>
    </row>
    <row r="64">
      <c r="A64" s="12" t="str">
        <f>IFERROR(__xludf.DUMMYFUNCTION("""COMPUTED_VALUE"""),"c0a28839158cea086cd49e77ab392098")</f>
        <v>c0a28839158cea086cd49e77ab392098</v>
      </c>
      <c r="B64" s="12" t="str">
        <f>IFERROR(__xludf.DUMMYFUNCTION("""COMPUTED_VALUE"""),"As Cullinane and Bergqvist (2014) suggest: “The future imposition of more stringent limits on both SOx and NOx emissions, together with greater geographical applicability, will put energy use and other efficiency measures high on the agenda for shipping c"&amp;"ompanies. This may result in the wider use of measures such as speed differentiation that, in turn, may enable shipping companies to better absorb the price changes arising from the EC A regulations. The large socio-economic benefits of the EC A regulatio"&amp;"ns, combined with the global challenges related to pollution in densely populated areas such as the Mediterranean and Asia, emphasize the importance of designating more regions as ECAs.”")</f>
        <v>As Cullinane and Bergqvist (2014) suggest: “The future imposition of more stringent limits on both SOx and NOx emissions, together with greater geographical applicability, will put energy use and other efficiency measures high on the agenda for shipping companies. This may result in the wider use of measures such as speed differentiation that, in turn, may enable shipping companies to better absorb the price changes arising from the EC A regulations. The large socio-economic benefits of the EC A regulations, combined with the global challenges related to pollution in densely populated areas such as the Mediterranean and Asia, emphasize the importance of designating more regions as ECAs.”</v>
      </c>
      <c r="C64" s="7" t="s">
        <v>63</v>
      </c>
      <c r="D64" s="48" t="b">
        <f t="shared" ref="D64:H64" si="126">VLOOKUP($A64, INDIRECT(D$1&amp;"!A:C"), 3, FALSE)</f>
        <v>1</v>
      </c>
      <c r="E64" s="48" t="str">
        <f t="shared" si="126"/>
        <v>TO DO</v>
      </c>
      <c r="F64" s="48" t="str">
        <f t="shared" si="126"/>
        <v>TO DO</v>
      </c>
      <c r="G64" s="48" t="b">
        <f t="shared" si="126"/>
        <v>0</v>
      </c>
      <c r="H64" s="48" t="b">
        <f t="shared" si="126"/>
        <v>1</v>
      </c>
      <c r="I64" s="49">
        <f t="shared" si="4"/>
        <v>0.3333333333</v>
      </c>
      <c r="J64" s="50" t="str">
        <f t="shared" ref="J64:N64" si="127">VLOOKUP($A64, INDIRECT(J$1&amp;"!A:D"), 4, FALSE)</f>
        <v>ECA = Emissions Control Area for ships</v>
      </c>
      <c r="K64" s="50" t="str">
        <f t="shared" si="127"/>
        <v/>
      </c>
      <c r="L64" s="50" t="str">
        <f t="shared" si="127"/>
        <v/>
      </c>
      <c r="M64" s="50" t="str">
        <f t="shared" si="127"/>
        <v/>
      </c>
      <c r="N64" s="50" t="str">
        <f t="shared" si="127"/>
        <v>ECA = Emission Control Areas, mentions marine pollution marginally</v>
      </c>
      <c r="O64" s="49" t="str">
        <f>IFERROR(__xludf.DUMMYFUNCTION("IF(COUNTA(J64:N64)=0, """", ARRAYFORMULA(""- ""&amp;TEXTJOIN(char(10)&amp;""- "", TRUE, FILTER(J$1:N$1&amp;"": ""&amp;J64:N64, NOT(ISBLANK(J64:N64))))))"),"- Finn: ECA = Emissions Control Area for ships
- Steve: ECA = Emission Control Areas, mentions marine pollution marginally")</f>
        <v>- Finn: ECA = Emissions Control Area for ships
- Steve: ECA = Emission Control Areas, mentions marine pollution marginally</v>
      </c>
      <c r="P64" s="49" t="s">
        <v>468</v>
      </c>
      <c r="Q64" s="51" t="s">
        <v>438</v>
      </c>
    </row>
    <row r="65">
      <c r="A65" s="12" t="str">
        <f>IFERROR(__xludf.DUMMYFUNCTION("""COMPUTED_VALUE"""),"41e05740665f4d6e702598aa8b66f31c")</f>
        <v>41e05740665f4d6e702598aa8b66f31c</v>
      </c>
      <c r="B65" s="12" t="str">
        <f>IFERROR(__xludf.DUMMYFUNCTION("""COMPUTED_VALUE"""),"The threat of serious marine pollution hangs over many situations of armed conflict. Typical of this are perhaps the concerns surrounding the fact that some of the w'orld’s most important oil tanker routes pass through areas rife with unrest and civil war"&amp;". Piracy and the threat of hijack by terrorist groups (taking control of vessels physically or by breaching cyber-security defences) add to the list of concerns.")</f>
        <v>The threat of serious marine pollution hangs over many situations of armed conflict. Typical of this are perhaps the concerns surrounding the fact that some of the w'orld’s most important oil tanker routes pass through areas rife with unrest and civil war. Piracy and the threat of hijack by terrorist groups (taking control of vessels physically or by breaching cyber-security defences) add to the list of concerns.</v>
      </c>
      <c r="C65" s="7"/>
      <c r="D65" s="48" t="b">
        <f t="shared" ref="D65:H65" si="128">VLOOKUP($A65, INDIRECT(D$1&amp;"!A:C"), 3, FALSE)</f>
        <v>1</v>
      </c>
      <c r="E65" s="48" t="str">
        <f t="shared" si="128"/>
        <v>TO DO</v>
      </c>
      <c r="F65" s="48" t="str">
        <f t="shared" si="128"/>
        <v>TO DO</v>
      </c>
      <c r="G65" s="48" t="b">
        <f t="shared" si="128"/>
        <v>1</v>
      </c>
      <c r="H65" s="48" t="b">
        <f t="shared" si="128"/>
        <v>1</v>
      </c>
      <c r="I65" s="49">
        <f t="shared" si="4"/>
        <v>1</v>
      </c>
      <c r="J65" s="50" t="str">
        <f t="shared" ref="J65:N65" si="129">VLOOKUP($A65, INDIRECT(J$1&amp;"!A:D"), 4, FALSE)</f>
        <v/>
      </c>
      <c r="K65" s="50" t="str">
        <f t="shared" si="129"/>
        <v/>
      </c>
      <c r="L65" s="50" t="str">
        <f t="shared" si="129"/>
        <v/>
      </c>
      <c r="M65" s="50" t="str">
        <f t="shared" si="129"/>
        <v/>
      </c>
      <c r="N65" s="50" t="str">
        <f t="shared" si="129"/>
        <v/>
      </c>
      <c r="O65" s="49" t="str">
        <f>IFERROR(__xludf.DUMMYFUNCTION("IF(COUNTA(J65:N65)=0, """", ARRAYFORMULA(""- ""&amp;TEXTJOIN(char(10)&amp;""- "", TRUE, FILTER(J$1:N$1&amp;"": ""&amp;J65:N65, NOT(ISBLANK(J65:N65))))))"),"")</f>
        <v/>
      </c>
      <c r="P65" s="49" t="s">
        <v>435</v>
      </c>
      <c r="Q65" s="51" t="b">
        <v>1</v>
      </c>
    </row>
    <row r="66">
      <c r="A66" s="12" t="str">
        <f>IFERROR(__xludf.DUMMYFUNCTION("""COMPUTED_VALUE"""),"1dcff90b835dd5008c4026a19409973f")</f>
        <v>1dcff90b835dd5008c4026a19409973f</v>
      </c>
      <c r="B66" s="12" t="str">
        <f>IFERROR(__xludf.DUMMYFUNCTION("""COMPUTED_VALUE"""),"For example, in recent years the European Union has adopted two instruments, the 2002 EU Recommendation on Integrated Coastal Zone Management and the 2008 Marine Strategy Framew'ork Directive, which offer a comprehensive and integrated approach to the man"&amp;"agement of all European coasts and marine waters, and set medium- and long-term objectives (to 2020 and beyond) for member states for managing their ocean activities. East Asia has its Partnerships in Environmental Management for the Seas of East Asia (PE"&amp;"MSEA), an international organisation focused on coastal and ocean governance in east Asia, scaling up integrated coastal management initiatives and aiming to improve technical co-operation in ecosystem-based management of watersheds, estuaries and adjacen"&amp;"t coastal seas. In addition to the lack of protection that such gaps afford the ocean environment and its biodiversity, they create a decision-making vacuum for many ocean industries, notably in respect of future investment. By way of illustration, the ne"&amp;"gotiations around the implementation of the UN agreement to protect marine biodiversity promise to usher in a period of considerable uncertainty for those ocean industries operating in the high seas.")</f>
        <v>For example, in recent years the European Union has adopted two instruments, the 2002 EU Recommendation on Integrated Coastal Zone Management and the 2008 Marine Strategy Framew'ork Directive, which offer a comprehensive and integrated approach to the management of all European coasts and marine waters, and set medium- and long-term objectives (to 2020 and beyond) for member states for managing their ocean activities. East Asia has its Partnerships in Environmental Management for the Seas of East Asia (PEMSEA), an international organisation focused on coastal and ocean governance in east Asia, scaling up integrated coastal management initiatives and aiming to improve technical co-operation in ecosystem-based management of watersheds, estuaries and adjacent coastal seas. In addition to the lack of protection that such gaps afford the ocean environment and its biodiversity, they create a decision-making vacuum for many ocean industries, notably in respect of future investment. By way of illustration, the negotiations around the implementation of the UN agreement to protect marine biodiversity promise to usher in a period of considerable uncertainty for those ocean industries operating in the high seas.</v>
      </c>
      <c r="C66" s="54"/>
      <c r="D66" s="48" t="b">
        <f t="shared" ref="D66:H66" si="130">VLOOKUP($A66, INDIRECT(D$1&amp;"!A:C"), 3, FALSE)</f>
        <v>1</v>
      </c>
      <c r="E66" s="48" t="str">
        <f t="shared" si="130"/>
        <v>TO DO</v>
      </c>
      <c r="F66" s="48" t="str">
        <f t="shared" si="130"/>
        <v>TO DO</v>
      </c>
      <c r="G66" s="48" t="b">
        <f t="shared" si="130"/>
        <v>1</v>
      </c>
      <c r="H66" s="48" t="b">
        <f t="shared" si="130"/>
        <v>1</v>
      </c>
      <c r="I66" s="49">
        <f t="shared" si="4"/>
        <v>1</v>
      </c>
      <c r="J66" s="50" t="str">
        <f t="shared" ref="J66:N66" si="131">VLOOKUP($A66, INDIRECT(J$1&amp;"!A:D"), 4, FALSE)</f>
        <v/>
      </c>
      <c r="K66" s="50" t="str">
        <f t="shared" si="131"/>
        <v/>
      </c>
      <c r="L66" s="50" t="str">
        <f t="shared" si="131"/>
        <v/>
      </c>
      <c r="M66" s="50" t="str">
        <f t="shared" si="131"/>
        <v/>
      </c>
      <c r="N66" s="50" t="str">
        <f t="shared" si="131"/>
        <v/>
      </c>
      <c r="O66" s="49" t="str">
        <f>IFERROR(__xludf.DUMMYFUNCTION("IF(COUNTA(J66:N66)=0, """", ARRAYFORMULA(""- ""&amp;TEXTJOIN(char(10)&amp;""- "", TRUE, FILTER(J$1:N$1&amp;"": ""&amp;J66:N66, NOT(ISBLANK(J66:N66))))))"),"")</f>
        <v/>
      </c>
      <c r="P66" s="49" t="s">
        <v>435</v>
      </c>
      <c r="Q66" s="51" t="b">
        <v>1</v>
      </c>
    </row>
    <row r="67">
      <c r="A67" s="12" t="str">
        <f>IFERROR(__xludf.DUMMYFUNCTION("""COMPUTED_VALUE"""),"c8c364743e08530825e7a29b4c9e8f88")</f>
        <v>c8c364743e08530825e7a29b4c9e8f88</v>
      </c>
      <c r="B67" s="12" t="str">
        <f>IFERROR(__xludf.DUMMYFUNCTION("""COMPUTED_VALUE"""),"Estimates of the size of the benefits of marine ecosystem services suggest that these are considerable (for a review of a selection of such studies see Annex 1 .A2), but much work remains to be done. Hence, as noted above, while many aspects of ecosystem "&amp;"services are taken into account here, the quantitative focus of this report is on ocean-based industries. To compare an industry’s contribution to the economy across countries, the share of total GVA is preferred to the share of GDP.")</f>
        <v>Estimates of the size of the benefits of marine ecosystem services suggest that these are considerable (for a review of a selection of such studies see Annex 1 .A2), but much work remains to be done. Hence, as noted above, while many aspects of ecosystem services are taken into account here, the quantitative focus of this report is on ocean-based industries. To compare an industry’s contribution to the economy across countries, the share of total GVA is preferred to the share of GDP.</v>
      </c>
      <c r="C67" s="53"/>
      <c r="D67" s="48" t="b">
        <f t="shared" ref="D67:H67" si="132">VLOOKUP($A67, INDIRECT(D$1&amp;"!A:C"), 3, FALSE)</f>
        <v>0</v>
      </c>
      <c r="E67" s="48" t="str">
        <f t="shared" si="132"/>
        <v>TO DO</v>
      </c>
      <c r="F67" s="48" t="str">
        <f t="shared" si="132"/>
        <v>TO DO</v>
      </c>
      <c r="G67" s="48" t="b">
        <f t="shared" si="132"/>
        <v>0</v>
      </c>
      <c r="H67" s="48" t="b">
        <f t="shared" si="132"/>
        <v>0</v>
      </c>
      <c r="I67" s="49">
        <f t="shared" si="4"/>
        <v>1</v>
      </c>
      <c r="J67" s="50" t="str">
        <f t="shared" ref="J67:N67" si="133">VLOOKUP($A67, INDIRECT(J$1&amp;"!A:D"), 4, FALSE)</f>
        <v/>
      </c>
      <c r="K67" s="50" t="str">
        <f t="shared" si="133"/>
        <v/>
      </c>
      <c r="L67" s="50" t="str">
        <f t="shared" si="133"/>
        <v/>
      </c>
      <c r="M67" s="50" t="str">
        <f t="shared" si="133"/>
        <v/>
      </c>
      <c r="N67" s="50" t="str">
        <f t="shared" si="133"/>
        <v>marine ecosystem services but no value/call to action - fact stating?</v>
      </c>
      <c r="O67" s="49" t="str">
        <f>IFERROR(__xludf.DUMMYFUNCTION("IF(COUNTA(J67:N67)=0, """", ARRAYFORMULA(""- ""&amp;TEXTJOIN(char(10)&amp;""- "", TRUE, FILTER(J$1:N$1&amp;"": ""&amp;J67:N67, NOT(ISBLANK(J67:N67))))))"),"- Steve: marine ecosystem services but no value/call to action - fact stating?")</f>
        <v>- Steve: marine ecosystem services but no value/call to action - fact stating?</v>
      </c>
      <c r="P67" s="49" t="s">
        <v>469</v>
      </c>
      <c r="Q67" s="51" t="b">
        <v>0</v>
      </c>
    </row>
    <row r="68">
      <c r="A68" s="12" t="str">
        <f>IFERROR(__xludf.DUMMYFUNCTION("""COMPUTED_VALUE"""),"20384cd06a06446a9e92238fbd5e08a5")</f>
        <v>20384cd06a06446a9e92238fbd5e08a5</v>
      </c>
      <c r="B68" s="12" t="str">
        <f>IFERROR(__xludf.DUMMYFUNCTION("""COMPUTED_VALUE"""),"Those who absorb the cost of anticipatory actions are not necessarily those who will benefit. There are competing interests for ecosystem goods and services that make it difficult to build consensus around trade-offs and create winners and losers when tra"&amp;"de-offs are made. There is the path dependence created by the history of management.")</f>
        <v>Those who absorb the cost of anticipatory actions are not necessarily those who will benefit. There are competing interests for ecosystem goods and services that make it difficult to build consensus around trade-offs and create winners and losers when trade-offs are made. There is the path dependence created by the history of management.</v>
      </c>
      <c r="C68" s="7"/>
      <c r="D68" s="48" t="b">
        <f t="shared" ref="D68:H68" si="134">VLOOKUP($A68, INDIRECT(D$1&amp;"!A:C"), 3, FALSE)</f>
        <v>0</v>
      </c>
      <c r="E68" s="48" t="str">
        <f t="shared" si="134"/>
        <v>TO DO</v>
      </c>
      <c r="F68" s="48" t="str">
        <f t="shared" si="134"/>
        <v>TO DO</v>
      </c>
      <c r="G68" s="48" t="b">
        <f t="shared" si="134"/>
        <v>0</v>
      </c>
      <c r="H68" s="48" t="b">
        <f t="shared" si="134"/>
        <v>0</v>
      </c>
      <c r="I68" s="49">
        <f t="shared" si="4"/>
        <v>1</v>
      </c>
      <c r="J68" s="50" t="str">
        <f t="shared" ref="J68:N68" si="135">VLOOKUP($A68, INDIRECT(J$1&amp;"!A:D"), 4, FALSE)</f>
        <v/>
      </c>
      <c r="K68" s="50" t="str">
        <f t="shared" si="135"/>
        <v/>
      </c>
      <c r="L68" s="50" t="str">
        <f t="shared" si="135"/>
        <v/>
      </c>
      <c r="M68" s="50" t="str">
        <f t="shared" si="135"/>
        <v/>
      </c>
      <c r="N68" s="50" t="str">
        <f t="shared" si="135"/>
        <v/>
      </c>
      <c r="O68" s="49" t="str">
        <f>IFERROR(__xludf.DUMMYFUNCTION("IF(COUNTA(J68:N68)=0, """", ARRAYFORMULA(""- ""&amp;TEXTJOIN(char(10)&amp;""- "", TRUE, FILTER(J$1:N$1&amp;"": ""&amp;J68:N68, NOT(ISBLANK(J68:N68))))))"),"")</f>
        <v/>
      </c>
      <c r="P68" s="49" t="s">
        <v>435</v>
      </c>
      <c r="Q68" s="51" t="b">
        <v>0</v>
      </c>
    </row>
    <row r="69">
      <c r="A69" s="12" t="str">
        <f>IFERROR(__xludf.DUMMYFUNCTION("""COMPUTED_VALUE"""),"a34ceef0d1e939709ad385726dbb0814")</f>
        <v>a34ceef0d1e939709ad385726dbb0814</v>
      </c>
      <c r="B69" s="12" t="str">
        <f>IFERROR(__xludf.DUMMYFUNCTION("""COMPUTED_VALUE"""),"Decision rules may combine current states and trends of indicators with seemingly ad hoc rules, such as not allowing changes in the TAC in consecutive years. Managers and stakeholders agree a priori about the indicator data, the decision rules, and the pe"&amp;"riod over which the rule will be used. An operating model is typically used to generate ‘true’ ecosystem dynamics including the natural variations in the system (Figure 4.4).")</f>
        <v>Decision rules may combine current states and trends of indicators with seemingly ad hoc rules, such as not allowing changes in the TAC in consecutive years. Managers and stakeholders agree a priori about the indicator data, the decision rules, and the period over which the rule will be used. An operating model is typically used to generate ‘true’ ecosystem dynamics including the natural variations in the system (Figure 4.4).</v>
      </c>
      <c r="C69" s="54" t="s">
        <v>440</v>
      </c>
      <c r="D69" s="48" t="b">
        <f t="shared" ref="D69:H69" si="136">VLOOKUP($A69, INDIRECT(D$1&amp;"!A:C"), 3, FALSE)</f>
        <v>1</v>
      </c>
      <c r="E69" s="48" t="str">
        <f t="shared" si="136"/>
        <v>TO DO</v>
      </c>
      <c r="F69" s="48" t="str">
        <f t="shared" si="136"/>
        <v>TO DO</v>
      </c>
      <c r="G69" s="48" t="b">
        <f t="shared" si="136"/>
        <v>1</v>
      </c>
      <c r="H69" s="48" t="b">
        <f t="shared" si="136"/>
        <v>0</v>
      </c>
      <c r="I69" s="49">
        <f t="shared" si="4"/>
        <v>0.3333333333</v>
      </c>
      <c r="J69" s="50" t="str">
        <f t="shared" ref="J69:N69" si="137">VLOOKUP($A69, INDIRECT(J$1&amp;"!A:D"), 4, FALSE)</f>
        <v>TAC = total allowable catch</v>
      </c>
      <c r="K69" s="50" t="str">
        <f t="shared" si="137"/>
        <v/>
      </c>
      <c r="L69" s="50" t="str">
        <f t="shared" si="137"/>
        <v/>
      </c>
      <c r="M69" s="50" t="str">
        <f t="shared" si="137"/>
        <v/>
      </c>
      <c r="N69" s="50" t="str">
        <f t="shared" si="137"/>
        <v/>
      </c>
      <c r="O69" s="49" t="str">
        <f>IFERROR(__xludf.DUMMYFUNCTION("IF(COUNTA(J69:N69)=0, """", ARRAYFORMULA(""- ""&amp;TEXTJOIN(char(10)&amp;""- "", TRUE, FILTER(J$1:N$1&amp;"": ""&amp;J69:N69, NOT(ISBLANK(J69:N69))))))"),"- Finn: TAC = total allowable catch")</f>
        <v>- Finn: TAC = total allowable catch</v>
      </c>
      <c r="P69" s="49" t="s">
        <v>470</v>
      </c>
      <c r="Q69" s="51" t="s">
        <v>438</v>
      </c>
    </row>
    <row r="70">
      <c r="A70" s="12" t="str">
        <f>IFERROR(__xludf.DUMMYFUNCTION("""COMPUTED_VALUE"""),"4c3a1f2a7f4fd26b8ce799942359e2c7")</f>
        <v>4c3a1f2a7f4fd26b8ce799942359e2c7</v>
      </c>
      <c r="B70" s="12" t="str">
        <f>IFERROR(__xludf.DUMMYFUNCTION("""COMPUTED_VALUE"""),"An annual meeting takes place to ensure cooperation and coordination between regional centres under the Basel and Stockholm Conventions"". One of the main drivers for doing so was the realisation in the 1970s and 1980s of the extent of the traffic in toxi"&amp;"c wastes to Africa and other developing regions12. The Basel Convention is of relevance, as much of the waste trade involves plastics, and some of these contain relatively high levels of additive chemicals which are in Annex I or II of the Convention. The"&amp;"se have known toxicological effects, with serious human health implications.")</f>
        <v>An annual meeting takes place to ensure cooperation and coordination between regional centres under the Basel and Stockholm Conventions". One of the main drivers for doing so was the realisation in the 1970s and 1980s of the extent of the traffic in toxic wastes to Africa and other developing regions12. The Basel Convention is of relevance, as much of the waste trade involves plastics, and some of these contain relatively high levels of additive chemicals which are in Annex I or II of the Convention. These have known toxicological effects, with serious human health implications.</v>
      </c>
      <c r="C70" s="7"/>
      <c r="D70" s="48" t="b">
        <f t="shared" ref="D70:H70" si="138">VLOOKUP($A70, INDIRECT(D$1&amp;"!A:C"), 3, FALSE)</f>
        <v>0</v>
      </c>
      <c r="E70" s="48" t="str">
        <f t="shared" si="138"/>
        <v>TO DO</v>
      </c>
      <c r="F70" s="48" t="str">
        <f t="shared" si="138"/>
        <v>TO DO</v>
      </c>
      <c r="G70" s="48" t="b">
        <f t="shared" si="138"/>
        <v>0</v>
      </c>
      <c r="H70" s="48" t="b">
        <f t="shared" si="138"/>
        <v>0</v>
      </c>
      <c r="I70" s="49">
        <f t="shared" si="4"/>
        <v>1</v>
      </c>
      <c r="J70" s="50" t="str">
        <f t="shared" ref="J70:N70" si="139">VLOOKUP($A70, INDIRECT(J$1&amp;"!A:D"), 4, FALSE)</f>
        <v/>
      </c>
      <c r="K70" s="50" t="str">
        <f t="shared" si="139"/>
        <v/>
      </c>
      <c r="L70" s="50" t="str">
        <f t="shared" si="139"/>
        <v/>
      </c>
      <c r="M70" s="50" t="str">
        <f t="shared" si="139"/>
        <v/>
      </c>
      <c r="N70" s="50" t="str">
        <f t="shared" si="139"/>
        <v/>
      </c>
      <c r="O70" s="49" t="str">
        <f>IFERROR(__xludf.DUMMYFUNCTION("IF(COUNTA(J70:N70)=0, """", ARRAYFORMULA(""- ""&amp;TEXTJOIN(char(10)&amp;""- "", TRUE, FILTER(J$1:N$1&amp;"": ""&amp;J70:N70, NOT(ISBLANK(J70:N70))))))"),"")</f>
        <v/>
      </c>
      <c r="P70" s="49" t="s">
        <v>435</v>
      </c>
      <c r="Q70" s="51" t="b">
        <v>0</v>
      </c>
    </row>
    <row r="71">
      <c r="A71" s="12" t="str">
        <f>IFERROR(__xludf.DUMMYFUNCTION("""COMPUTED_VALUE"""),"f449f88a99d459d34cd8b75259951128")</f>
        <v>f449f88a99d459d34cd8b75259951128</v>
      </c>
      <c r="B71" s="12" t="str">
        <f>IFERROR(__xludf.DUMMYFUNCTION("""COMPUTED_VALUE"""),"There are also new requirements to provide information on the nutrient content of foods. The new rules will help consumers make better-informed decisions when they buy food, boost consumer empowerment and contribute to the fight against the rising levels "&amp;"of obesity and chronic diseases in the European Union. In 2011, three health claims were authorised for decosahexanaeoic acid (DHA) for children (relating to normal brain development, normal visual development and eye development).")</f>
        <v>There are also new requirements to provide information on the nutrient content of foods. The new rules will help consumers make better-informed decisions when they buy food, boost consumer empowerment and contribute to the fight against the rising levels of obesity and chronic diseases in the European Union. In 2011, three health claims were authorised for decosahexanaeoic acid (DHA) for children (relating to normal brain development, normal visual development and eye development).</v>
      </c>
      <c r="C71" s="53"/>
      <c r="D71" s="48" t="b">
        <f t="shared" ref="D71:H71" si="140">VLOOKUP($A71, INDIRECT(D$1&amp;"!A:C"), 3, FALSE)</f>
        <v>0</v>
      </c>
      <c r="E71" s="48" t="str">
        <f t="shared" si="140"/>
        <v>TO DO</v>
      </c>
      <c r="F71" s="48" t="str">
        <f t="shared" si="140"/>
        <v>TO DO</v>
      </c>
      <c r="G71" s="48" t="b">
        <f t="shared" si="140"/>
        <v>0</v>
      </c>
      <c r="H71" s="48" t="b">
        <f t="shared" si="140"/>
        <v>0</v>
      </c>
      <c r="I71" s="49">
        <f t="shared" si="4"/>
        <v>1</v>
      </c>
      <c r="J71" s="50" t="str">
        <f t="shared" ref="J71:N71" si="141">VLOOKUP($A71, INDIRECT(J$1&amp;"!A:D"), 4, FALSE)</f>
        <v/>
      </c>
      <c r="K71" s="50" t="str">
        <f t="shared" si="141"/>
        <v/>
      </c>
      <c r="L71" s="50" t="str">
        <f t="shared" si="141"/>
        <v/>
      </c>
      <c r="M71" s="50" t="str">
        <f t="shared" si="141"/>
        <v/>
      </c>
      <c r="N71" s="50" t="str">
        <f t="shared" si="141"/>
        <v/>
      </c>
      <c r="O71" s="49" t="str">
        <f>IFERROR(__xludf.DUMMYFUNCTION("IF(COUNTA(J71:N71)=0, """", ARRAYFORMULA(""- ""&amp;TEXTJOIN(char(10)&amp;""- "", TRUE, FILTER(J$1:N$1&amp;"": ""&amp;J71:N71, NOT(ISBLANK(J71:N71))))))"),"")</f>
        <v/>
      </c>
      <c r="P71" s="49" t="s">
        <v>435</v>
      </c>
      <c r="Q71" s="51" t="b">
        <v>0</v>
      </c>
    </row>
    <row r="72">
      <c r="A72" s="12" t="str">
        <f>IFERROR(__xludf.DUMMYFUNCTION("""COMPUTED_VALUE"""),"3f6968c847df85b761d332cd85ee8d65")</f>
        <v>3f6968c847df85b761d332cd85ee8d65</v>
      </c>
      <c r="B72" s="12" t="str">
        <f>IFERROR(__xludf.DUMMYFUNCTION("""COMPUTED_VALUE"""),"Among other things, it promotes concerted actions to undertake integrated ecosystem-based management and urges the scientific community to enhance understanding of the ocean. The Declaration looks towards the ocean as a new engine of sustainable economic "&amp;"growth with a new vision of “green growth from the sea”. In this regard they further committed to urgently take the measures necessary to maintain or restore all stocks at least to levels that can produce the maximum sustainable yield, with the aim of ach"&amp;"ieving these goals in the shortest time feasible, as determined by their biological characteristics. Special attention was given to ocean acidification, which may lead to drastic changes in the oceans’ ecosystem, especially coral bleaching.")</f>
        <v>Among other things, it promotes concerted actions to undertake integrated ecosystem-based management and urges the scientific community to enhance understanding of the ocean. The Declaration looks towards the ocean as a new engine of sustainable economic growth with a new vision of “green growth from the sea”. In this regard they further committed to urgently take the measures necessary to maintain or restore all stocks at least to levels that can produce the maximum sustainable yield, with the aim of achieving these goals in the shortest time feasible, as determined by their biological characteristics. Special attention was given to ocean acidification, which may lead to drastic changes in the oceans’ ecosystem, especially coral bleaching.</v>
      </c>
      <c r="C72" s="54"/>
      <c r="D72" s="48" t="b">
        <f t="shared" ref="D72:H72" si="142">VLOOKUP($A72, INDIRECT(D$1&amp;"!A:C"), 3, FALSE)</f>
        <v>1</v>
      </c>
      <c r="E72" s="48" t="str">
        <f t="shared" si="142"/>
        <v>TO DO</v>
      </c>
      <c r="F72" s="48" t="str">
        <f t="shared" si="142"/>
        <v>TO DO</v>
      </c>
      <c r="G72" s="48" t="b">
        <f t="shared" si="142"/>
        <v>1</v>
      </c>
      <c r="H72" s="48" t="b">
        <f t="shared" si="142"/>
        <v>1</v>
      </c>
      <c r="I72" s="49">
        <f t="shared" si="4"/>
        <v>1</v>
      </c>
      <c r="J72" s="50" t="str">
        <f t="shared" ref="J72:N72" si="143">VLOOKUP($A72, INDIRECT(J$1&amp;"!A:D"), 4, FALSE)</f>
        <v/>
      </c>
      <c r="K72" s="50" t="str">
        <f t="shared" si="143"/>
        <v/>
      </c>
      <c r="L72" s="50" t="str">
        <f t="shared" si="143"/>
        <v/>
      </c>
      <c r="M72" s="50" t="str">
        <f t="shared" si="143"/>
        <v/>
      </c>
      <c r="N72" s="50" t="str">
        <f t="shared" si="143"/>
        <v/>
      </c>
      <c r="O72" s="49" t="str">
        <f>IFERROR(__xludf.DUMMYFUNCTION("IF(COUNTA(J72:N72)=0, """", ARRAYFORMULA(""- ""&amp;TEXTJOIN(char(10)&amp;""- "", TRUE, FILTER(J$1:N$1&amp;"": ""&amp;J72:N72, NOT(ISBLANK(J72:N72))))))"),"")</f>
        <v/>
      </c>
      <c r="P72" s="49" t="s">
        <v>435</v>
      </c>
      <c r="Q72" s="51" t="b">
        <v>1</v>
      </c>
    </row>
    <row r="73">
      <c r="A73" s="12" t="str">
        <f>IFERROR(__xludf.DUMMYFUNCTION("""COMPUTED_VALUE"""),"9afe039a04a815c51e3c117dae833fcc")</f>
        <v>9afe039a04a815c51e3c117dae833fcc</v>
      </c>
      <c r="B73" s="12" t="str">
        <f>IFERROR(__xludf.DUMMYFUNCTION("""COMPUTED_VALUE"""),"They describe the current situation, and indicate what the situation in 2030/50 might be, what physical and biological impacts may emerge and how these changes might affect the economic potential of ocean-based activities. It is important to note the inte"&amp;"rconnections between the drivers and changes addressed in each subsection. By way of illustration, rising C02 emissions contribute to rising ocean acidification, which in turn affects certain marine creatures and, further compounded by e.g. ocean warming,"&amp;" pollution and ultimately the ocean’s biomass. The strongest warming trends have been found at high latitudes (Rhein et al.,")</f>
        <v>They describe the current situation, and indicate what the situation in 2030/50 might be, what physical and biological impacts may emerge and how these changes might affect the economic potential of ocean-based activities. It is important to note the interconnections between the drivers and changes addressed in each subsection. By way of illustration, rising C02 emissions contribute to rising ocean acidification, which in turn affects certain marine creatures and, further compounded by e.g. ocean warming, pollution and ultimately the ocean’s biomass. The strongest warming trends have been found at high latitudes (Rhein et al.,</v>
      </c>
      <c r="C73" s="53"/>
      <c r="D73" s="48" t="b">
        <f t="shared" ref="D73:H73" si="144">VLOOKUP($A73, INDIRECT(D$1&amp;"!A:C"), 3, FALSE)</f>
        <v>1</v>
      </c>
      <c r="E73" s="48" t="str">
        <f t="shared" si="144"/>
        <v>TO DO</v>
      </c>
      <c r="F73" s="48" t="str">
        <f t="shared" si="144"/>
        <v>TO DO</v>
      </c>
      <c r="G73" s="48" t="b">
        <f t="shared" si="144"/>
        <v>1</v>
      </c>
      <c r="H73" s="48" t="b">
        <f t="shared" si="144"/>
        <v>1</v>
      </c>
      <c r="I73" s="49">
        <f t="shared" si="4"/>
        <v>1</v>
      </c>
      <c r="J73" s="50" t="str">
        <f t="shared" ref="J73:N73" si="145">VLOOKUP($A73, INDIRECT(J$1&amp;"!A:D"), 4, FALSE)</f>
        <v/>
      </c>
      <c r="K73" s="50" t="str">
        <f t="shared" si="145"/>
        <v/>
      </c>
      <c r="L73" s="50" t="str">
        <f t="shared" si="145"/>
        <v/>
      </c>
      <c r="M73" s="50" t="str">
        <f t="shared" si="145"/>
        <v/>
      </c>
      <c r="N73" s="50" t="str">
        <f t="shared" si="145"/>
        <v/>
      </c>
      <c r="O73" s="49" t="str">
        <f>IFERROR(__xludf.DUMMYFUNCTION("IF(COUNTA(J73:N73)=0, """", ARRAYFORMULA(""- ""&amp;TEXTJOIN(char(10)&amp;""- "", TRUE, FILTER(J$1:N$1&amp;"": ""&amp;J73:N73, NOT(ISBLANK(J73:N73))))))"),"")</f>
        <v/>
      </c>
      <c r="P73" s="49" t="s">
        <v>435</v>
      </c>
      <c r="Q73" s="51" t="b">
        <v>1</v>
      </c>
    </row>
    <row r="74">
      <c r="A74" s="12" t="str">
        <f>IFERROR(__xludf.DUMMYFUNCTION("""COMPUTED_VALUE"""),"994e37d355b315d7d66d5e1ed08133dd")</f>
        <v>994e37d355b315d7d66d5e1ed08133dd</v>
      </c>
      <c r="B74" s="12" t="str">
        <f>IFERROR(__xludf.DUMMYFUNCTION("""COMPUTED_VALUE"""),"Foreign ownership of quota or ACE is not allowed unless a specific exemption is granted by the Minister of Fisheries and the Overseas Investment Commission. To receive the exemption, a foreign company must demonstrate that New Zealand will benefit from th"&amp;"e ownership. If New Zealand ceases to benefit, the ownership or interest in quota or ACE can be taken away from foreign companies without any compensation being offered.")</f>
        <v>Foreign ownership of quota or ACE is not allowed unless a specific exemption is granted by the Minister of Fisheries and the Overseas Investment Commission. To receive the exemption, a foreign company must demonstrate that New Zealand will benefit from the ownership. If New Zealand ceases to benefit, the ownership or interest in quota or ACE can be taken away from foreign companies without any compensation being offered.</v>
      </c>
      <c r="C74" s="54" t="s">
        <v>440</v>
      </c>
      <c r="D74" s="48" t="b">
        <f t="shared" ref="D74:H74" si="146">VLOOKUP($A74, INDIRECT(D$1&amp;"!A:C"), 3, FALSE)</f>
        <v>0</v>
      </c>
      <c r="E74" s="48" t="str">
        <f t="shared" si="146"/>
        <v>TO DO</v>
      </c>
      <c r="F74" s="48" t="str">
        <f t="shared" si="146"/>
        <v>TO DO</v>
      </c>
      <c r="G74" s="48" t="b">
        <f t="shared" si="146"/>
        <v>1</v>
      </c>
      <c r="H74" s="48" t="b">
        <f t="shared" si="146"/>
        <v>1</v>
      </c>
      <c r="I74" s="49">
        <f t="shared" si="4"/>
        <v>0.3333333333</v>
      </c>
      <c r="J74" s="50" t="str">
        <f t="shared" ref="J74:N74" si="147">VLOOKUP($A74, INDIRECT(J$1&amp;"!A:D"), 4, FALSE)</f>
        <v/>
      </c>
      <c r="K74" s="50" t="str">
        <f t="shared" si="147"/>
        <v/>
      </c>
      <c r="L74" s="50" t="str">
        <f t="shared" si="147"/>
        <v/>
      </c>
      <c r="M74" s="50" t="str">
        <f t="shared" si="147"/>
        <v/>
      </c>
      <c r="N74" s="50" t="str">
        <f t="shared" si="147"/>
        <v>ACE= Annual Catch Entitlements</v>
      </c>
      <c r="O74" s="49" t="str">
        <f>IFERROR(__xludf.DUMMYFUNCTION("IF(COUNTA(J74:N74)=0, """", ARRAYFORMULA(""- ""&amp;TEXTJOIN(char(10)&amp;""- "", TRUE, FILTER(J$1:N$1&amp;"": ""&amp;J74:N74, NOT(ISBLANK(J74:N74))))))"),"- Steve: ACE= Annual Catch Entitlements")</f>
        <v>- Steve: ACE= Annual Catch Entitlements</v>
      </c>
      <c r="P74" s="49" t="s">
        <v>471</v>
      </c>
      <c r="Q74" s="52" t="b">
        <v>0</v>
      </c>
      <c r="R74" s="5" t="s">
        <v>447</v>
      </c>
    </row>
    <row r="75">
      <c r="A75" s="12" t="str">
        <f>IFERROR(__xludf.DUMMYFUNCTION("""COMPUTED_VALUE"""),"62e3d6a8869cc8065a6481469573baa1")</f>
        <v>62e3d6a8869cc8065a6481469573baa1</v>
      </c>
      <c r="B75" s="12" t="str">
        <f>IFERROR(__xludf.DUMMYFUNCTION("""COMPUTED_VALUE"""),"Fuel saving is one of the most important goals of the Dutch fleet and the sector has invested in fuel saving gear. The result is a 24% decrease in 2014 of fuel consumption (in litres) per fishing day compared with the 2008-2013 average. In addition, decre"&amp;"asing fuel prices contributed to an overall reduction of energy costs by 21% with respect to the 2008-2013 average, along with a 4% increase in volume of landings.")</f>
        <v>Fuel saving is one of the most important goals of the Dutch fleet and the sector has invested in fuel saving gear. The result is a 24% decrease in 2014 of fuel consumption (in litres) per fishing day compared with the 2008-2013 average. In addition, decreasing fuel prices contributed to an overall reduction of energy costs by 21% with respect to the 2008-2013 average, along with a 4% increase in volume of landings.</v>
      </c>
      <c r="C75" s="54"/>
      <c r="D75" s="48" t="b">
        <f t="shared" ref="D75:H75" si="148">VLOOKUP($A75, INDIRECT(D$1&amp;"!A:C"), 3, FALSE)</f>
        <v>0</v>
      </c>
      <c r="E75" s="48" t="str">
        <f t="shared" si="148"/>
        <v>TO DO</v>
      </c>
      <c r="F75" s="48" t="str">
        <f t="shared" si="148"/>
        <v>TO DO</v>
      </c>
      <c r="G75" s="48" t="b">
        <f t="shared" si="148"/>
        <v>0</v>
      </c>
      <c r="H75" s="48" t="b">
        <f t="shared" si="148"/>
        <v>0</v>
      </c>
      <c r="I75" s="49">
        <f t="shared" si="4"/>
        <v>1</v>
      </c>
      <c r="J75" s="50" t="str">
        <f t="shared" ref="J75:N75" si="149">VLOOKUP($A75, INDIRECT(J$1&amp;"!A:D"), 4, FALSE)</f>
        <v/>
      </c>
      <c r="K75" s="50" t="str">
        <f t="shared" si="149"/>
        <v/>
      </c>
      <c r="L75" s="50" t="str">
        <f t="shared" si="149"/>
        <v/>
      </c>
      <c r="M75" s="50" t="str">
        <f t="shared" si="149"/>
        <v/>
      </c>
      <c r="N75" s="50" t="str">
        <f t="shared" si="149"/>
        <v/>
      </c>
      <c r="O75" s="49" t="str">
        <f>IFERROR(__xludf.DUMMYFUNCTION("IF(COUNTA(J75:N75)=0, """", ARRAYFORMULA(""- ""&amp;TEXTJOIN(char(10)&amp;""- "", TRUE, FILTER(J$1:N$1&amp;"": ""&amp;J75:N75, NOT(ISBLANK(J75:N75))))))"),"")</f>
        <v/>
      </c>
      <c r="P75" s="49" t="s">
        <v>435</v>
      </c>
      <c r="Q75" s="51" t="b">
        <v>0</v>
      </c>
    </row>
    <row r="76">
      <c r="A76" s="12" t="str">
        <f>IFERROR(__xludf.DUMMYFUNCTION("""COMPUTED_VALUE"""),"c634027df3a27a87dc68b3d90e49445a")</f>
        <v>c634027df3a27a87dc68b3d90e49445a</v>
      </c>
      <c r="B76" s="12" t="str">
        <f>IFERROR(__xludf.DUMMYFUNCTION("""COMPUTED_VALUE"""),"This means sustainable utilisation, conservation and management of the resource based on scientific information and applied expertise guided by respect for the marine ecosystem as a whole. Iceland’s National Strategy for Sustainable Development contains o"&amp;"bjectives specific to living marine resources and state that management should both aim to minimise any negative ecosystem impacts associated with fishing and use the best scientific information available to ensure fish stocks remain at sustainable levels"&amp;". The management system has proven successful at achieving most of this, securing an economically sustainable fishing industry while also contributing to biological sustainability'. The Icelandic fleet has been reducing in size and becoming more profitabl"&amp;"e, the carbon footprint of the industry is reducing, fishing pressure has been declining and safety at sea has radically improved recent decades.")</f>
        <v>This means sustainable utilisation, conservation and management of the resource based on scientific information and applied expertise guided by respect for the marine ecosystem as a whole. Iceland’s National Strategy for Sustainable Development contains objectives specific to living marine resources and state that management should both aim to minimise any negative ecosystem impacts associated with fishing and use the best scientific information available to ensure fish stocks remain at sustainable levels. The management system has proven successful at achieving most of this, securing an economically sustainable fishing industry while also contributing to biological sustainability'. The Icelandic fleet has been reducing in size and becoming more profitable, the carbon footprint of the industry is reducing, fishing pressure has been declining and safety at sea has radically improved recent decades.</v>
      </c>
      <c r="C76" s="48"/>
      <c r="D76" s="48" t="b">
        <f t="shared" ref="D76:H76" si="150">VLOOKUP($A76, INDIRECT(D$1&amp;"!A:C"), 3, FALSE)</f>
        <v>1</v>
      </c>
      <c r="E76" s="48" t="str">
        <f t="shared" si="150"/>
        <v>TO DO</v>
      </c>
      <c r="F76" s="48" t="str">
        <f t="shared" si="150"/>
        <v>TO DO</v>
      </c>
      <c r="G76" s="48" t="b">
        <f t="shared" si="150"/>
        <v>1</v>
      </c>
      <c r="H76" s="48" t="b">
        <f t="shared" si="150"/>
        <v>1</v>
      </c>
      <c r="I76" s="49">
        <f t="shared" si="4"/>
        <v>1</v>
      </c>
      <c r="J76" s="50" t="str">
        <f t="shared" ref="J76:N76" si="151">VLOOKUP($A76, INDIRECT(J$1&amp;"!A:D"), 4, FALSE)</f>
        <v/>
      </c>
      <c r="K76" s="50" t="str">
        <f t="shared" si="151"/>
        <v/>
      </c>
      <c r="L76" s="50" t="str">
        <f t="shared" si="151"/>
        <v/>
      </c>
      <c r="M76" s="50" t="str">
        <f t="shared" si="151"/>
        <v/>
      </c>
      <c r="N76" s="50" t="str">
        <f t="shared" si="151"/>
        <v/>
      </c>
      <c r="O76" s="49" t="str">
        <f>IFERROR(__xludf.DUMMYFUNCTION("IF(COUNTA(J76:N76)=0, """", ARRAYFORMULA(""- ""&amp;TEXTJOIN(char(10)&amp;""- "", TRUE, FILTER(J$1:N$1&amp;"": ""&amp;J76:N76, NOT(ISBLANK(J76:N76))))))"),"")</f>
        <v/>
      </c>
      <c r="P76" s="49" t="s">
        <v>435</v>
      </c>
      <c r="Q76" s="51" t="b">
        <v>1</v>
      </c>
    </row>
    <row r="77">
      <c r="A77" s="12" t="str">
        <f>IFERROR(__xludf.DUMMYFUNCTION("""COMPUTED_VALUE"""),"9efc0b4347f62f995b265c0e4f334ad6")</f>
        <v>9efc0b4347f62f995b265c0e4f334ad6</v>
      </c>
      <c r="B77" s="12" t="str">
        <f>IFERROR(__xludf.DUMMYFUNCTION("""COMPUTED_VALUE"""),"From the forest sector, data from Honduras show that it was 75% cheaper to produce and transport illegal wood than legal wood (Wells et al, 2007). One study estimated that illegal timber depresses global prices of timber by between 7% and 16%, costing US "&amp;"exporters at least USD 460 million a year (Seneca Creek Associates and Wood Resources International, 2004). Illegal harvesters are also able to free-ride on the efforts of those who are striving to manage a resource sustainably, for example, those fishing"&amp;" illegally from managed fisheries or in conservation areas, so increasing the costs for legitimate operators. Examples would be damage to equipment because of the use of poor-quality ODS counterfeit products, or the costs of remediation after the illegal "&amp;"dumping of waste.")</f>
        <v>From the forest sector, data from Honduras show that it was 75% cheaper to produce and transport illegal wood than legal wood (Wells et al, 2007). One study estimated that illegal timber depresses global prices of timber by between 7% and 16%, costing US exporters at least USD 460 million a year (Seneca Creek Associates and Wood Resources International, 2004). Illegal harvesters are also able to free-ride on the efforts of those who are striving to manage a resource sustainably, for example, those fishing illegally from managed fisheries or in conservation areas, so increasing the costs for legitimate operators. Examples would be damage to equipment because of the use of poor-quality ODS counterfeit products, or the costs of remediation after the illegal dumping of waste.</v>
      </c>
      <c r="C77" s="54"/>
      <c r="D77" s="48" t="b">
        <f t="shared" ref="D77:H77" si="152">VLOOKUP($A77, INDIRECT(D$1&amp;"!A:C"), 3, FALSE)</f>
        <v>1</v>
      </c>
      <c r="E77" s="48" t="str">
        <f t="shared" si="152"/>
        <v>TO DO</v>
      </c>
      <c r="F77" s="48" t="str">
        <f t="shared" si="152"/>
        <v>TO DO</v>
      </c>
      <c r="G77" s="48" t="b">
        <f t="shared" si="152"/>
        <v>1</v>
      </c>
      <c r="H77" s="48" t="b">
        <f t="shared" si="152"/>
        <v>1</v>
      </c>
      <c r="I77" s="49">
        <f t="shared" si="4"/>
        <v>1</v>
      </c>
      <c r="J77" s="50" t="str">
        <f t="shared" ref="J77:N77" si="153">VLOOKUP($A77, INDIRECT(J$1&amp;"!A:D"), 4, FALSE)</f>
        <v/>
      </c>
      <c r="K77" s="50" t="str">
        <f t="shared" si="153"/>
        <v/>
      </c>
      <c r="L77" s="50" t="str">
        <f t="shared" si="153"/>
        <v/>
      </c>
      <c r="M77" s="50" t="str">
        <f t="shared" si="153"/>
        <v/>
      </c>
      <c r="N77" s="50" t="str">
        <f t="shared" si="153"/>
        <v/>
      </c>
      <c r="O77" s="49" t="str">
        <f>IFERROR(__xludf.DUMMYFUNCTION("IF(COUNTA(J77:N77)=0, """", ARRAYFORMULA(""- ""&amp;TEXTJOIN(char(10)&amp;""- "", TRUE, FILTER(J$1:N$1&amp;"": ""&amp;J77:N77, NOT(ISBLANK(J77:N77))))))"),"")</f>
        <v/>
      </c>
      <c r="P77" s="49" t="s">
        <v>435</v>
      </c>
      <c r="Q77" s="51" t="b">
        <v>1</v>
      </c>
    </row>
    <row r="78">
      <c r="A78" s="12" t="str">
        <f>IFERROR(__xludf.DUMMYFUNCTION("""COMPUTED_VALUE"""),"d3e7cc6fd7c8bfab1953064c22e4caf1")</f>
        <v>d3e7cc6fd7c8bfab1953064c22e4caf1</v>
      </c>
      <c r="B78" s="12" t="str">
        <f>IFERROR(__xludf.DUMMYFUNCTION("""COMPUTED_VALUE"""),"This project will also assemble its outputs on the state of the marine ecosystems and shared living marine resource in the region as a comprehensive web-based dashboard. By enabling the pooling of data repositories, software, methodologies and expertise, "&amp;"iMarine aims to deliver cost-efficient data services. It will also expand its scope to other areas of blue growth, such as traceability of fishery products, spatial planning, and socio-economic and environmental performance of aquaculture.")</f>
        <v>This project will also assemble its outputs on the state of the marine ecosystems and shared living marine resource in the region as a comprehensive web-based dashboard. By enabling the pooling of data repositories, software, methodologies and expertise, iMarine aims to deliver cost-efficient data services. It will also expand its scope to other areas of blue growth, such as traceability of fishery products, spatial planning, and socio-economic and environmental performance of aquaculture.</v>
      </c>
      <c r="C78" s="54"/>
      <c r="D78" s="48" t="b">
        <f t="shared" ref="D78:H78" si="154">VLOOKUP($A78, INDIRECT(D$1&amp;"!A:C"), 3, FALSE)</f>
        <v>1</v>
      </c>
      <c r="E78" s="48" t="str">
        <f t="shared" si="154"/>
        <v>TO DO</v>
      </c>
      <c r="F78" s="48" t="str">
        <f t="shared" si="154"/>
        <v>TO DO</v>
      </c>
      <c r="G78" s="48" t="b">
        <f t="shared" si="154"/>
        <v>1</v>
      </c>
      <c r="H78" s="48" t="b">
        <f t="shared" si="154"/>
        <v>1</v>
      </c>
      <c r="I78" s="49">
        <f t="shared" si="4"/>
        <v>1</v>
      </c>
      <c r="J78" s="50" t="str">
        <f t="shared" ref="J78:N78" si="155">VLOOKUP($A78, INDIRECT(J$1&amp;"!A:D"), 4, FALSE)</f>
        <v/>
      </c>
      <c r="K78" s="50" t="str">
        <f t="shared" si="155"/>
        <v/>
      </c>
      <c r="L78" s="50" t="str">
        <f t="shared" si="155"/>
        <v/>
      </c>
      <c r="M78" s="50" t="str">
        <f t="shared" si="155"/>
        <v/>
      </c>
      <c r="N78" s="50" t="str">
        <f t="shared" si="155"/>
        <v/>
      </c>
      <c r="O78" s="49" t="str">
        <f>IFERROR(__xludf.DUMMYFUNCTION("IF(COUNTA(J78:N78)=0, """", ARRAYFORMULA(""- ""&amp;TEXTJOIN(char(10)&amp;""- "", TRUE, FILTER(J$1:N$1&amp;"": ""&amp;J78:N78, NOT(ISBLANK(J78:N78))))))"),"")</f>
        <v/>
      </c>
      <c r="P78" s="49" t="s">
        <v>435</v>
      </c>
      <c r="Q78" s="51" t="b">
        <v>1</v>
      </c>
    </row>
    <row r="79">
      <c r="A79" s="12" t="str">
        <f>IFERROR(__xludf.DUMMYFUNCTION("""COMPUTED_VALUE"""),"35b29aee4781e08e0a7ae9afda0e8355")</f>
        <v>35b29aee4781e08e0a7ae9afda0e8355</v>
      </c>
      <c r="B79" s="12" t="str">
        <f>IFERROR(__xludf.DUMMYFUNCTION("""COMPUTED_VALUE"""),"In Iceland women account for about 7% of commercial boat-based fishers (Figure 2.5.1), unusually assuming all roles from skipper to deckhand (Willson 2014). Those in the commercial fishing sector serve on vessels of all sizes. It threatens the health of f"&amp;"ish populations and marine and coastal ecosystems worldwide, as well as the livelihoods and food security of millions of inhabitants of coastal areas (Hall 2016, Pew Charitable Trusts 2016).")</f>
        <v>In Iceland women account for about 7% of commercial boat-based fishers (Figure 2.5.1), unusually assuming all roles from skipper to deckhand (Willson 2014). Those in the commercial fishing sector serve on vessels of all sizes. It threatens the health of fish populations and marine and coastal ecosystems worldwide, as well as the livelihoods and food security of millions of inhabitants of coastal areas (Hall 2016, Pew Charitable Trusts 2016).</v>
      </c>
      <c r="C79" s="53"/>
      <c r="D79" s="48" t="b">
        <f t="shared" ref="D79:H79" si="156">VLOOKUP($A79, INDIRECT(D$1&amp;"!A:C"), 3, FALSE)</f>
        <v>1</v>
      </c>
      <c r="E79" s="48" t="str">
        <f t="shared" si="156"/>
        <v>TO DO</v>
      </c>
      <c r="F79" s="48" t="str">
        <f t="shared" si="156"/>
        <v>TO DO</v>
      </c>
      <c r="G79" s="48" t="b">
        <f t="shared" si="156"/>
        <v>1</v>
      </c>
      <c r="H79" s="48" t="b">
        <f t="shared" si="156"/>
        <v>1</v>
      </c>
      <c r="I79" s="49">
        <f t="shared" si="4"/>
        <v>1</v>
      </c>
      <c r="J79" s="50" t="str">
        <f t="shared" ref="J79:N79" si="157">VLOOKUP($A79, INDIRECT(J$1&amp;"!A:D"), 4, FALSE)</f>
        <v/>
      </c>
      <c r="K79" s="50" t="str">
        <f t="shared" si="157"/>
        <v/>
      </c>
      <c r="L79" s="50" t="str">
        <f t="shared" si="157"/>
        <v/>
      </c>
      <c r="M79" s="50" t="str">
        <f t="shared" si="157"/>
        <v/>
      </c>
      <c r="N79" s="50" t="str">
        <f t="shared" si="157"/>
        <v/>
      </c>
      <c r="O79" s="49" t="str">
        <f>IFERROR(__xludf.DUMMYFUNCTION("IF(COUNTA(J79:N79)=0, """", ARRAYFORMULA(""- ""&amp;TEXTJOIN(char(10)&amp;""- "", TRUE, FILTER(J$1:N$1&amp;"": ""&amp;J79:N79, NOT(ISBLANK(J79:N79))))))"),"")</f>
        <v/>
      </c>
      <c r="P79" s="49" t="s">
        <v>435</v>
      </c>
      <c r="Q79" s="51" t="b">
        <v>1</v>
      </c>
    </row>
    <row r="80">
      <c r="A80" s="12" t="str">
        <f>IFERROR(__xludf.DUMMYFUNCTION("""COMPUTED_VALUE"""),"3665dcbec78b36f06b12bcc0015a4e7f")</f>
        <v>3665dcbec78b36f06b12bcc0015a4e7f</v>
      </c>
      <c r="B80" s="12" t="str">
        <f>IFERROR(__xludf.DUMMYFUNCTION("""COMPUTED_VALUE"""),"Despite some local successes, biodiversity is on the decline globally and this loss is projected to continue. Continuing uiith business as usual may have far-reaching adverse implications for human well-being, security and economic growth. This chapter su"&amp;"mmarises the considerable benefits and often hidden values of biodiversity and the ecosystems of which it is a part.")</f>
        <v>Despite some local successes, biodiversity is on the decline globally and this loss is projected to continue. Continuing uiith business as usual may have far-reaching adverse implications for human well-being, security and economic growth. This chapter summarises the considerable benefits and often hidden values of biodiversity and the ecosystems of which it is a part.</v>
      </c>
      <c r="C80" s="53"/>
      <c r="D80" s="48" t="b">
        <f t="shared" ref="D80:H80" si="158">VLOOKUP($A80, INDIRECT(D$1&amp;"!A:C"), 3, FALSE)</f>
        <v>0</v>
      </c>
      <c r="E80" s="48" t="str">
        <f t="shared" si="158"/>
        <v>TO DO</v>
      </c>
      <c r="F80" s="48" t="str">
        <f t="shared" si="158"/>
        <v>TO DO</v>
      </c>
      <c r="G80" s="48" t="b">
        <f t="shared" si="158"/>
        <v>0</v>
      </c>
      <c r="H80" s="48" t="b">
        <f t="shared" si="158"/>
        <v>0</v>
      </c>
      <c r="I80" s="49">
        <f t="shared" si="4"/>
        <v>1</v>
      </c>
      <c r="J80" s="50" t="str">
        <f t="shared" ref="J80:N80" si="159">VLOOKUP($A80, INDIRECT(J$1&amp;"!A:D"), 4, FALSE)</f>
        <v>SDG 15</v>
      </c>
      <c r="K80" s="50" t="str">
        <f t="shared" si="159"/>
        <v/>
      </c>
      <c r="L80" s="50" t="str">
        <f t="shared" si="159"/>
        <v/>
      </c>
      <c r="M80" s="50" t="str">
        <f t="shared" si="159"/>
        <v/>
      </c>
      <c r="N80" s="50" t="str">
        <f t="shared" si="159"/>
        <v>not explicitly linked to marine biodiversity</v>
      </c>
      <c r="O80" s="49" t="str">
        <f>IFERROR(__xludf.DUMMYFUNCTION("IF(COUNTA(J80:N80)=0, """", ARRAYFORMULA(""- ""&amp;TEXTJOIN(char(10)&amp;""- "", TRUE, FILTER(J$1:N$1&amp;"": ""&amp;J80:N80, NOT(ISBLANK(J80:N80))))))"),"- Finn: SDG 15
- Steve: not explicitly linked to marine biodiversity")</f>
        <v>- Finn: SDG 15
- Steve: not explicitly linked to marine biodiversity</v>
      </c>
      <c r="P80" s="49" t="s">
        <v>472</v>
      </c>
      <c r="Q80" s="51" t="b">
        <v>0</v>
      </c>
    </row>
    <row r="81">
      <c r="A81" s="12" t="str">
        <f>IFERROR(__xludf.DUMMYFUNCTION("""COMPUTED_VALUE"""),"d968fe7e63564b12511726bc94b3ded6")</f>
        <v>d968fe7e63564b12511726bc94b3ded6</v>
      </c>
      <c r="B81" s="12" t="str">
        <f>IFERROR(__xludf.DUMMYFUNCTION("""COMPUTED_VALUE"""),"Total ecosystem service benefits of achieving 10% coverage of MPAs have been estimated at USD 622-923 billion over the period 2015-50. This includes substantial efforts in enhancing the design and implementation of MPAs, as evidence suggests that in many "&amp;"cases they are not meeting their intended objectives. This report therefore considers the benefits and costs of MPAs, key issues in effective design and implementation, scaling up finance for MPAs, and the need for effective policy mixes. Clearly define t"&amp;"he goals and objectives of the MPA, and the required level of protection to achieve these.")</f>
        <v>Total ecosystem service benefits of achieving 10% coverage of MPAs have been estimated at USD 622-923 billion over the period 2015-50. This includes substantial efforts in enhancing the design and implementation of MPAs, as evidence suggests that in many cases they are not meeting their intended objectives. This report therefore considers the benefits and costs of MPAs, key issues in effective design and implementation, scaling up finance for MPAs, and the need for effective policy mixes. Clearly define the goals and objectives of the MPA, and the required level of protection to achieve these.</v>
      </c>
      <c r="C81" s="7" t="s">
        <v>63</v>
      </c>
      <c r="D81" s="48" t="b">
        <f t="shared" ref="D81:H81" si="160">VLOOKUP($A81, INDIRECT(D$1&amp;"!A:C"), 3, FALSE)</f>
        <v>1</v>
      </c>
      <c r="E81" s="48" t="str">
        <f t="shared" si="160"/>
        <v>TO DO</v>
      </c>
      <c r="F81" s="48" t="str">
        <f t="shared" si="160"/>
        <v>TO DO</v>
      </c>
      <c r="G81" s="48" t="b">
        <f t="shared" si="160"/>
        <v>0</v>
      </c>
      <c r="H81" s="48" t="b">
        <f t="shared" si="160"/>
        <v>1</v>
      </c>
      <c r="I81" s="49">
        <f t="shared" si="4"/>
        <v>0.3333333333</v>
      </c>
      <c r="J81" s="50" t="str">
        <f t="shared" ref="J81:N81" si="161">VLOOKUP($A81, INDIRECT(J$1&amp;"!A:D"), 4, FALSE)</f>
        <v>MPA = Marine Protected Area</v>
      </c>
      <c r="K81" s="50" t="str">
        <f t="shared" si="161"/>
        <v/>
      </c>
      <c r="L81" s="50" t="str">
        <f t="shared" si="161"/>
        <v/>
      </c>
      <c r="M81" s="50" t="str">
        <f t="shared" si="161"/>
        <v/>
      </c>
      <c r="N81" s="50" t="str">
        <f t="shared" si="161"/>
        <v/>
      </c>
      <c r="O81" s="49" t="str">
        <f>IFERROR(__xludf.DUMMYFUNCTION("IF(COUNTA(J81:N81)=0, """", ARRAYFORMULA(""- ""&amp;TEXTJOIN(char(10)&amp;""- "", TRUE, FILTER(J$1:N$1&amp;"": ""&amp;J81:N81, NOT(ISBLANK(J81:N81))))))"),"- Finn: MPA = Marine Protected Area")</f>
        <v>- Finn: MPA = Marine Protected Area</v>
      </c>
      <c r="P81" s="49" t="s">
        <v>473</v>
      </c>
      <c r="Q81" s="51" t="s">
        <v>438</v>
      </c>
    </row>
    <row r="82">
      <c r="A82" s="12" t="str">
        <f>IFERROR(__xludf.DUMMYFUNCTION("""COMPUTED_VALUE"""),"5378b79a7f236ec54f5411d55c07c138")</f>
        <v>5378b79a7f236ec54f5411d55c07c138</v>
      </c>
      <c r="B82" s="12" t="str">
        <f>IFERROR(__xludf.DUMMYFUNCTION("""COMPUTED_VALUE"""),"Notwithstanding the fact that the outcomes from MC10 include a commitment to abolish export subsidies for farm exports, some members have called for a more result. In particular, for reinvigorated action by WTO members on ambitious and effective disciplin"&amp;"es on fisheries subsidies. This is reflected in an initiative led by a subset of WTO members which gained some momentum at MC10 which calls for international action to eliminate harmful fishing subsidies (McClay, 2015).")</f>
        <v>Notwithstanding the fact that the outcomes from MC10 include a commitment to abolish export subsidies for farm exports, some members have called for a more result. In particular, for reinvigorated action by WTO members on ambitious and effective disciplines on fisheries subsidies. This is reflected in an initiative led by a subset of WTO members which gained some momentum at MC10 which calls for international action to eliminate harmful fishing subsidies (McClay, 2015).</v>
      </c>
      <c r="C82" s="53"/>
      <c r="D82" s="48" t="b">
        <f t="shared" ref="D82:H82" si="162">VLOOKUP($A82, INDIRECT(D$1&amp;"!A:C"), 3, FALSE)</f>
        <v>1</v>
      </c>
      <c r="E82" s="48" t="str">
        <f t="shared" si="162"/>
        <v>TO DO</v>
      </c>
      <c r="F82" s="48" t="str">
        <f t="shared" si="162"/>
        <v>TO DO</v>
      </c>
      <c r="G82" s="48" t="b">
        <f t="shared" si="162"/>
        <v>1</v>
      </c>
      <c r="H82" s="48" t="b">
        <f t="shared" si="162"/>
        <v>1</v>
      </c>
      <c r="I82" s="49">
        <f t="shared" si="4"/>
        <v>1</v>
      </c>
      <c r="J82" s="50" t="str">
        <f t="shared" ref="J82:N82" si="163">VLOOKUP($A82, INDIRECT(J$1&amp;"!A:D"), 4, FALSE)</f>
        <v/>
      </c>
      <c r="K82" s="50" t="str">
        <f t="shared" si="163"/>
        <v/>
      </c>
      <c r="L82" s="50" t="str">
        <f t="shared" si="163"/>
        <v/>
      </c>
      <c r="M82" s="50" t="str">
        <f t="shared" si="163"/>
        <v/>
      </c>
      <c r="N82" s="50" t="str">
        <f t="shared" si="163"/>
        <v/>
      </c>
      <c r="O82" s="49" t="str">
        <f>IFERROR(__xludf.DUMMYFUNCTION("IF(COUNTA(J82:N82)=0, """", ARRAYFORMULA(""- ""&amp;TEXTJOIN(char(10)&amp;""- "", TRUE, FILTER(J$1:N$1&amp;"": ""&amp;J82:N82, NOT(ISBLANK(J82:N82))))))"),"")</f>
        <v/>
      </c>
      <c r="P82" s="49" t="s">
        <v>435</v>
      </c>
      <c r="Q82" s="51" t="b">
        <v>1</v>
      </c>
    </row>
    <row r="83">
      <c r="A83" s="12" t="str">
        <f>IFERROR(__xludf.DUMMYFUNCTION("""COMPUTED_VALUE"""),"dae82f1844226ef176127d6947511c60")</f>
        <v>dae82f1844226ef176127d6947511c60</v>
      </c>
      <c r="B83" s="12" t="str">
        <f>IFERROR(__xludf.DUMMYFUNCTION("""COMPUTED_VALUE"""),"These will state what is needed to be achieved for a fishery (objectives) and the implementation strategies to achieve those objectives-including research, regulations, and compliance. New Zealand participates in the FAO co-ordinated development of Intern"&amp;"ational Guidelines on the Management of Deep-Sea Fisheries in the High Seas, the negotiation of a binding port State measures agreement and the WTO negotiations to end fishing subsidies. The government also released the Marine Protected Areas Policy and I"&amp;"mplementation Plan (MPA Policy). This has been somewhat counterbalanced by increases in farmed greenshell mussel production which also became the key export species.")</f>
        <v>These will state what is needed to be achieved for a fishery (objectives) and the implementation strategies to achieve those objectives-including research, regulations, and compliance. New Zealand participates in the FAO co-ordinated development of International Guidelines on the Management of Deep-Sea Fisheries in the High Seas, the negotiation of a binding port State measures agreement and the WTO negotiations to end fishing subsidies. The government also released the Marine Protected Areas Policy and Implementation Plan (MPA Policy). This has been somewhat counterbalanced by increases in farmed greenshell mussel production which also became the key export species.</v>
      </c>
      <c r="C83" s="53"/>
      <c r="D83" s="48" t="b">
        <f t="shared" ref="D83:H83" si="164">VLOOKUP($A83, INDIRECT(D$1&amp;"!A:C"), 3, FALSE)</f>
        <v>1</v>
      </c>
      <c r="E83" s="48" t="str">
        <f t="shared" si="164"/>
        <v>TO DO</v>
      </c>
      <c r="F83" s="48" t="str">
        <f t="shared" si="164"/>
        <v>TO DO</v>
      </c>
      <c r="G83" s="48" t="b">
        <f t="shared" si="164"/>
        <v>1</v>
      </c>
      <c r="H83" s="48" t="b">
        <f t="shared" si="164"/>
        <v>1</v>
      </c>
      <c r="I83" s="49">
        <f t="shared" si="4"/>
        <v>1</v>
      </c>
      <c r="J83" s="50" t="str">
        <f t="shared" ref="J83:N83" si="165">VLOOKUP($A83, INDIRECT(J$1&amp;"!A:D"), 4, FALSE)</f>
        <v/>
      </c>
      <c r="K83" s="50" t="str">
        <f t="shared" si="165"/>
        <v/>
      </c>
      <c r="L83" s="50" t="str">
        <f t="shared" si="165"/>
        <v/>
      </c>
      <c r="M83" s="50" t="str">
        <f t="shared" si="165"/>
        <v/>
      </c>
      <c r="N83" s="50" t="str">
        <f t="shared" si="165"/>
        <v/>
      </c>
      <c r="O83" s="49" t="str">
        <f>IFERROR(__xludf.DUMMYFUNCTION("IF(COUNTA(J83:N83)=0, """", ARRAYFORMULA(""- ""&amp;TEXTJOIN(char(10)&amp;""- "", TRUE, FILTER(J$1:N$1&amp;"": ""&amp;J83:N83, NOT(ISBLANK(J83:N83))))))"),"")</f>
        <v/>
      </c>
      <c r="P83" s="49" t="s">
        <v>435</v>
      </c>
      <c r="Q83" s="51" t="b">
        <v>1</v>
      </c>
    </row>
    <row r="84">
      <c r="A84" s="12" t="str">
        <f>IFERROR(__xludf.DUMMYFUNCTION("""COMPUTED_VALUE"""),"b1855618d712a578ed0101f0cd4d1c54")</f>
        <v>b1855618d712a578ed0101f0cd4d1c54</v>
      </c>
      <c r="B84" s="12" t="str">
        <f>IFERROR(__xludf.DUMMYFUNCTION("""COMPUTED_VALUE"""),"In England, the “Enclosures” deprived many poor peasants of access to land their families had used for centuries. The conflicts and misery generated were even worse than those that will inevitably accompany any solution for fisheries. For example, in one "&amp;"incident in 1607, known as the Newton Rebellion, a battle between the gentry and peasantry left around 50 people dead, and the peasant ringleaders were hanged and quartered. Access to some resources is controlled, notably in EEZ, and there are attempts to"&amp;" extend control to the whole “territory”.")</f>
        <v>In England, the “Enclosures” deprived many poor peasants of access to land their families had used for centuries. The conflicts and misery generated were even worse than those that will inevitably accompany any solution for fisheries. For example, in one incident in 1607, known as the Newton Rebellion, a battle between the gentry and peasantry left around 50 people dead, and the peasant ringleaders were hanged and quartered. Access to some resources is controlled, notably in EEZ, and there are attempts to extend control to the whole “territory”.</v>
      </c>
      <c r="C84" s="54" t="s">
        <v>440</v>
      </c>
      <c r="D84" s="48" t="b">
        <f t="shared" ref="D84:H84" si="166">VLOOKUP($A84, INDIRECT(D$1&amp;"!A:C"), 3, FALSE)</f>
        <v>0</v>
      </c>
      <c r="E84" s="48" t="str">
        <f t="shared" si="166"/>
        <v>TO DO</v>
      </c>
      <c r="F84" s="48" t="str">
        <f t="shared" si="166"/>
        <v>TO DO</v>
      </c>
      <c r="G84" s="48" t="b">
        <f t="shared" si="166"/>
        <v>0</v>
      </c>
      <c r="H84" s="48" t="b">
        <f t="shared" si="166"/>
        <v>1</v>
      </c>
      <c r="I84" s="49">
        <f t="shared" si="4"/>
        <v>0.3333333333</v>
      </c>
      <c r="J84" s="50" t="str">
        <f t="shared" ref="J84:N84" si="167">VLOOKUP($A84, INDIRECT(J$1&amp;"!A:D"), 4, FALSE)</f>
        <v/>
      </c>
      <c r="K84" s="50" t="str">
        <f t="shared" si="167"/>
        <v/>
      </c>
      <c r="L84" s="50" t="str">
        <f t="shared" si="167"/>
        <v/>
      </c>
      <c r="M84" s="50" t="str">
        <f t="shared" si="167"/>
        <v/>
      </c>
      <c r="N84" s="50" t="str">
        <f t="shared" si="167"/>
        <v/>
      </c>
      <c r="O84" s="49" t="str">
        <f>IFERROR(__xludf.DUMMYFUNCTION("IF(COUNTA(J84:N84)=0, """", ARRAYFORMULA(""- ""&amp;TEXTJOIN(char(10)&amp;""- "", TRUE, FILTER(J$1:N$1&amp;"": ""&amp;J84:N84, NOT(ISBLANK(J84:N84))))))"),"")</f>
        <v/>
      </c>
      <c r="P84" s="49" t="s">
        <v>435</v>
      </c>
      <c r="Q84" s="52" t="b">
        <v>0</v>
      </c>
      <c r="R84" s="5" t="s">
        <v>474</v>
      </c>
    </row>
    <row r="85">
      <c r="A85" s="12" t="str">
        <f>IFERROR(__xludf.DUMMYFUNCTION("""COMPUTED_VALUE"""),"1a5cf4c0e9e938971f6610b365d01457")</f>
        <v>1a5cf4c0e9e938971f6610b365d01457</v>
      </c>
      <c r="B85" s="12" t="str">
        <f>IFERROR(__xludf.DUMMYFUNCTION("""COMPUTED_VALUE"""),"Further, EU employment law requires that EU DWF crew receive two months of paid holiday—including transfers— for each four months of work onboard .8 EU DWF crew also receive several days of holiday when the fish is offloaded, whereas crew on Filipino and "&amp;"Taiwanese boats often do the stevedoring themselves (ibid.). This heterogeneity in part contributes to the complexity of analysing the potential implications of proposed fisheries subsidies disciplines at the WTO. First, it is difficult to identify and pr"&amp;"ove a 'trade distortion' for fish products since the same species normally fetch widely different prices because of complex quality and market differentials. Second, the WTO's analytical emphasis on exchange/ trade means subsidies are defined mainly in te"&amp;"rms of export distortions, which the Agreement on Subsidies and Countervailing Measures (ASCM) suggests should be assessed by examining negative trade effects such as market share or prices in an export market.")</f>
        <v>Further, EU employment law requires that EU DWF crew receive two months of paid holiday—including transfers— for each four months of work onboard .8 EU DWF crew also receive several days of holiday when the fish is offloaded, whereas crew on Filipino and Taiwanese boats often do the stevedoring themselves (ibid.). This heterogeneity in part contributes to the complexity of analysing the potential implications of proposed fisheries subsidies disciplines at the WTO. First, it is difficult to identify and prove a 'trade distortion' for fish products since the same species normally fetch widely different prices because of complex quality and market differentials. Second, the WTO's analytical emphasis on exchange/ trade means subsidies are defined mainly in terms of export distortions, which the Agreement on Subsidies and Countervailing Measures (ASCM) suggests should be assessed by examining negative trade effects such as market share or prices in an export market.</v>
      </c>
      <c r="C85" s="54"/>
      <c r="D85" s="48" t="b">
        <f t="shared" ref="D85:H85" si="168">VLOOKUP($A85, INDIRECT(D$1&amp;"!A:C"), 3, FALSE)</f>
        <v>1</v>
      </c>
      <c r="E85" s="48" t="str">
        <f t="shared" si="168"/>
        <v>TO DO</v>
      </c>
      <c r="F85" s="48" t="str">
        <f t="shared" si="168"/>
        <v>TO DO</v>
      </c>
      <c r="G85" s="48" t="b">
        <f t="shared" si="168"/>
        <v>1</v>
      </c>
      <c r="H85" s="48" t="b">
        <f t="shared" si="168"/>
        <v>1</v>
      </c>
      <c r="I85" s="49">
        <f t="shared" si="4"/>
        <v>1</v>
      </c>
      <c r="J85" s="50" t="str">
        <f t="shared" ref="J85:N85" si="169">VLOOKUP($A85, INDIRECT(J$1&amp;"!A:D"), 4, FALSE)</f>
        <v/>
      </c>
      <c r="K85" s="50" t="str">
        <f t="shared" si="169"/>
        <v/>
      </c>
      <c r="L85" s="50" t="str">
        <f t="shared" si="169"/>
        <v/>
      </c>
      <c r="M85" s="50" t="str">
        <f t="shared" si="169"/>
        <v/>
      </c>
      <c r="N85" s="50" t="str">
        <f t="shared" si="169"/>
        <v/>
      </c>
      <c r="O85" s="49" t="str">
        <f>IFERROR(__xludf.DUMMYFUNCTION("IF(COUNTA(J85:N85)=0, """", ARRAYFORMULA(""- ""&amp;TEXTJOIN(char(10)&amp;""- "", TRUE, FILTER(J$1:N$1&amp;"": ""&amp;J85:N85, NOT(ISBLANK(J85:N85))))))"),"")</f>
        <v/>
      </c>
      <c r="P85" s="49" t="s">
        <v>435</v>
      </c>
      <c r="Q85" s="51" t="b">
        <v>1</v>
      </c>
    </row>
    <row r="86">
      <c r="A86" s="12" t="str">
        <f>IFERROR(__xludf.DUMMYFUNCTION("""COMPUTED_VALUE"""),"706dd7e1b680ac4abe76499bf1c9c964")</f>
        <v>706dd7e1b680ac4abe76499bf1c9c964</v>
      </c>
      <c r="B86" s="12" t="str">
        <f>IFERROR(__xludf.DUMMYFUNCTION("""COMPUTED_VALUE"""),"Further disciplines could also be considered for capacity-enhancing subsidies. Besides subsidies for IUU fishing and overfishing and overcapacity, developing countries, including LDCs and small vulnerable economies (SVEs), should be permitted to provide f"&amp;"isheries subsidies for coastal and commercial fishing activities. These proposals reflect the position held by SVEs since the late 2000s—that disciplines should fall hardest on developed WTO members with large-scale distant water fishing (DWF) fleets, all"&amp;"owing developing countries and LDCs the policy space to provide subsidies to support the sustainable development of their domestic fisheries. The main new addition of the ACP and LDC proposals was to draw attention to subsidies that support fishing in the"&amp;" high seas. General disciplines for the elimination of subsidies contributing to IUU fishing and prohibition of certain forms of fisheries subsidies contributing to overfishing and overcapacity would enter into force no later than 2020.")</f>
        <v>Further disciplines could also be considered for capacity-enhancing subsidies. Besides subsidies for IUU fishing and overfishing and overcapacity, developing countries, including LDCs and small vulnerable economies (SVEs), should be permitted to provide fisheries subsidies for coastal and commercial fishing activities. These proposals reflect the position held by SVEs since the late 2000s—that disciplines should fall hardest on developed WTO members with large-scale distant water fishing (DWF) fleets, allowing developing countries and LDCs the policy space to provide subsidies to support the sustainable development of their domestic fisheries. The main new addition of the ACP and LDC proposals was to draw attention to subsidies that support fishing in the high seas. General disciplines for the elimination of subsidies contributing to IUU fishing and prohibition of certain forms of fisheries subsidies contributing to overfishing and overcapacity would enter into force no later than 2020.</v>
      </c>
      <c r="C86" s="7"/>
      <c r="D86" s="48" t="b">
        <f t="shared" ref="D86:H86" si="170">VLOOKUP($A86, INDIRECT(D$1&amp;"!A:C"), 3, FALSE)</f>
        <v>1</v>
      </c>
      <c r="E86" s="48" t="str">
        <f t="shared" si="170"/>
        <v>TO DO</v>
      </c>
      <c r="F86" s="48" t="str">
        <f t="shared" si="170"/>
        <v>TO DO</v>
      </c>
      <c r="G86" s="48" t="b">
        <f t="shared" si="170"/>
        <v>1</v>
      </c>
      <c r="H86" s="48" t="b">
        <f t="shared" si="170"/>
        <v>1</v>
      </c>
      <c r="I86" s="49">
        <f t="shared" si="4"/>
        <v>1</v>
      </c>
      <c r="J86" s="50" t="str">
        <f t="shared" ref="J86:N86" si="171">VLOOKUP($A86, INDIRECT(J$1&amp;"!A:D"), 4, FALSE)</f>
        <v/>
      </c>
      <c r="K86" s="50" t="str">
        <f t="shared" si="171"/>
        <v/>
      </c>
      <c r="L86" s="50" t="str">
        <f t="shared" si="171"/>
        <v/>
      </c>
      <c r="M86" s="50" t="str">
        <f t="shared" si="171"/>
        <v/>
      </c>
      <c r="N86" s="50" t="str">
        <f t="shared" si="171"/>
        <v/>
      </c>
      <c r="O86" s="49" t="str">
        <f>IFERROR(__xludf.DUMMYFUNCTION("IF(COUNTA(J86:N86)=0, """", ARRAYFORMULA(""- ""&amp;TEXTJOIN(char(10)&amp;""- "", TRUE, FILTER(J$1:N$1&amp;"": ""&amp;J86:N86, NOT(ISBLANK(J86:N86))))))"),"")</f>
        <v/>
      </c>
      <c r="P86" s="49" t="s">
        <v>435</v>
      </c>
      <c r="Q86" s="51" t="b">
        <v>1</v>
      </c>
    </row>
    <row r="87">
      <c r="A87" s="12" t="str">
        <f>IFERROR(__xludf.DUMMYFUNCTION("""COMPUTED_VALUE"""),"0f8d8fc5db4919e3f14595f73353573c")</f>
        <v>0f8d8fc5db4919e3f14595f73353573c</v>
      </c>
      <c r="B87" s="12" t="str">
        <f>IFERROR(__xludf.DUMMYFUNCTION("""COMPUTED_VALUE"""),"Its work plan is flexible to enable quick response to emerging issues in the international trading environment that impact particularly on highly vulnerable Commonwealth constituencies - least developed countries (LDCs), small states and sub-Saharan Afric"&amp;"a. Regional and Emerging Trade Issues, held in Port Louis, Mauritius. Investment and Innovation, UNCTAD 14, held in Nairobi, Kenya.")</f>
        <v>Its work plan is flexible to enable quick response to emerging issues in the international trading environment that impact particularly on highly vulnerable Commonwealth constituencies - least developed countries (LDCs), small states and sub-Saharan Africa. Regional and Emerging Trade Issues, held in Port Louis, Mauritius. Investment and Innovation, UNCTAD 14, held in Nairobi, Kenya.</v>
      </c>
      <c r="C87" s="7"/>
      <c r="D87" s="48" t="b">
        <f t="shared" ref="D87:H87" si="172">VLOOKUP($A87, INDIRECT(D$1&amp;"!A:C"), 3, FALSE)</f>
        <v>0</v>
      </c>
      <c r="E87" s="48" t="str">
        <f t="shared" si="172"/>
        <v>TO DO</v>
      </c>
      <c r="F87" s="48" t="str">
        <f t="shared" si="172"/>
        <v>TO DO</v>
      </c>
      <c r="G87" s="48" t="b">
        <f t="shared" si="172"/>
        <v>0</v>
      </c>
      <c r="H87" s="48" t="b">
        <f t="shared" si="172"/>
        <v>0</v>
      </c>
      <c r="I87" s="49">
        <f t="shared" si="4"/>
        <v>1</v>
      </c>
      <c r="J87" s="50" t="str">
        <f t="shared" ref="J87:N87" si="173">VLOOKUP($A87, INDIRECT(J$1&amp;"!A:D"), 4, FALSE)</f>
        <v/>
      </c>
      <c r="K87" s="50" t="str">
        <f t="shared" si="173"/>
        <v/>
      </c>
      <c r="L87" s="50" t="str">
        <f t="shared" si="173"/>
        <v/>
      </c>
      <c r="M87" s="50" t="str">
        <f t="shared" si="173"/>
        <v/>
      </c>
      <c r="N87" s="50" t="str">
        <f t="shared" si="173"/>
        <v/>
      </c>
      <c r="O87" s="49" t="str">
        <f>IFERROR(__xludf.DUMMYFUNCTION("IF(COUNTA(J87:N87)=0, """", ARRAYFORMULA(""- ""&amp;TEXTJOIN(char(10)&amp;""- "", TRUE, FILTER(J$1:N$1&amp;"": ""&amp;J87:N87, NOT(ISBLANK(J87:N87))))))"),"")</f>
        <v/>
      </c>
      <c r="P87" s="49" t="s">
        <v>435</v>
      </c>
      <c r="Q87" s="51" t="b">
        <v>0</v>
      </c>
    </row>
    <row r="88">
      <c r="A88" s="12" t="str">
        <f>IFERROR(__xludf.DUMMYFUNCTION("""COMPUTED_VALUE"""),"4f7eea5e72bae1acfb399c9eb5931889")</f>
        <v>4f7eea5e72bae1acfb399c9eb5931889</v>
      </c>
      <c r="B88" s="12" t="str">
        <f>IFERROR(__xludf.DUMMYFUNCTION("""COMPUTED_VALUE"""),"However, the ability of many SIDS to attract viable large-scale processing sector businesses is often limited by location and by operating and transport costs. The potential for renewable energy use in these approaches should be linked to Strategy 2. Oppo"&amp;"rtunities may lie in both domestic and export markets, as well as in accessing entirely new markets or working to improve marketing and value addition in existing markets.")</f>
        <v>However, the ability of many SIDS to attract viable large-scale processing sector businesses is often limited by location and by operating and transport costs. The potential for renewable energy use in these approaches should be linked to Strategy 2. Opportunities may lie in both domestic and export markets, as well as in accessing entirely new markets or working to improve marketing and value addition in existing markets.</v>
      </c>
      <c r="C88" s="53"/>
      <c r="D88" s="48" t="b">
        <f t="shared" ref="D88:H88" si="174">VLOOKUP($A88, INDIRECT(D$1&amp;"!A:C"), 3, FALSE)</f>
        <v>0</v>
      </c>
      <c r="E88" s="48" t="str">
        <f t="shared" si="174"/>
        <v>TO DO</v>
      </c>
      <c r="F88" s="48" t="str">
        <f t="shared" si="174"/>
        <v>TO DO</v>
      </c>
      <c r="G88" s="48" t="b">
        <f t="shared" si="174"/>
        <v>0</v>
      </c>
      <c r="H88" s="48" t="b">
        <f t="shared" si="174"/>
        <v>0</v>
      </c>
      <c r="I88" s="49">
        <f t="shared" si="4"/>
        <v>1</v>
      </c>
      <c r="J88" s="50" t="str">
        <f t="shared" ref="J88:N88" si="175">VLOOKUP($A88, INDIRECT(J$1&amp;"!A:D"), 4, FALSE)</f>
        <v/>
      </c>
      <c r="K88" s="50" t="str">
        <f t="shared" si="175"/>
        <v/>
      </c>
      <c r="L88" s="50" t="str">
        <f t="shared" si="175"/>
        <v/>
      </c>
      <c r="M88" s="50" t="str">
        <f t="shared" si="175"/>
        <v/>
      </c>
      <c r="N88" s="50" t="str">
        <f t="shared" si="175"/>
        <v>not clear if this refers to marine natural resource use or management</v>
      </c>
      <c r="O88" s="49" t="str">
        <f>IFERROR(__xludf.DUMMYFUNCTION("IF(COUNTA(J88:N88)=0, """", ARRAYFORMULA(""- ""&amp;TEXTJOIN(char(10)&amp;""- "", TRUE, FILTER(J$1:N$1&amp;"": ""&amp;J88:N88, NOT(ISBLANK(J88:N88))))))"),"- Steve: not clear if this refers to marine natural resource use or management")</f>
        <v>- Steve: not clear if this refers to marine natural resource use or management</v>
      </c>
      <c r="P88" s="49" t="s">
        <v>475</v>
      </c>
      <c r="Q88" s="51" t="b">
        <v>0</v>
      </c>
    </row>
    <row r="89">
      <c r="A89" s="12" t="str">
        <f>IFERROR(__xludf.DUMMYFUNCTION("""COMPUTED_VALUE"""),"6049f93b0d80bccb8a5bd945757c0908")</f>
        <v>6049f93b0d80bccb8a5bd945757c0908</v>
      </c>
      <c r="B89" s="12" t="str">
        <f>IFERROR(__xludf.DUMMYFUNCTION("""COMPUTED_VALUE"""),"The pres: sures. The Green Economy model provides such an approach, and the time is right to take strong actions. We have to find practical ways to feed the more than 7 billion people on the planet, confront the challenges in the global economy, and grow "&amp;"sustainably and resiliently. Many, particularly Small Island Developing States (SIDS), are dependent on ocean resources. It is now recognised that the ocean of today is greatly changed even from what it was just 40 years ago.")</f>
        <v>The pres: sures. The Green Economy model provides such an approach, and the time is right to take strong actions. We have to find practical ways to feed the more than 7 billion people on the planet, confront the challenges in the global economy, and grow sustainably and resiliently. Many, particularly Small Island Developing States (SIDS), are dependent on ocean resources. It is now recognised that the ocean of today is greatly changed even from what it was just 40 years ago.</v>
      </c>
      <c r="C89" s="54" t="s">
        <v>33</v>
      </c>
      <c r="D89" s="48" t="b">
        <f t="shared" ref="D89:H89" si="176">VLOOKUP($A89, INDIRECT(D$1&amp;"!A:C"), 3, FALSE)</f>
        <v>0</v>
      </c>
      <c r="E89" s="48" t="str">
        <f t="shared" si="176"/>
        <v>TO DO</v>
      </c>
      <c r="F89" s="48" t="str">
        <f t="shared" si="176"/>
        <v>TO DO</v>
      </c>
      <c r="G89" s="48" t="b">
        <f t="shared" si="176"/>
        <v>1</v>
      </c>
      <c r="H89" s="48" t="b">
        <f t="shared" si="176"/>
        <v>1</v>
      </c>
      <c r="I89" s="49">
        <f t="shared" si="4"/>
        <v>0.3333333333</v>
      </c>
      <c r="J89" s="50" t="str">
        <f t="shared" ref="J89:N89" si="177">VLOOKUP($A89, INDIRECT(J$1&amp;"!A:D"), 4, FALSE)</f>
        <v/>
      </c>
      <c r="K89" s="50" t="str">
        <f t="shared" si="177"/>
        <v/>
      </c>
      <c r="L89" s="50" t="str">
        <f t="shared" si="177"/>
        <v/>
      </c>
      <c r="M89" s="50" t="str">
        <f t="shared" si="177"/>
        <v/>
      </c>
      <c r="N89" s="50" t="str">
        <f t="shared" si="177"/>
        <v/>
      </c>
      <c r="O89" s="49" t="str">
        <f>IFERROR(__xludf.DUMMYFUNCTION("IF(COUNTA(J89:N89)=0, """", ARRAYFORMULA(""- ""&amp;TEXTJOIN(char(10)&amp;""- "", TRUE, FILTER(J$1:N$1&amp;"": ""&amp;J89:N89, NOT(ISBLANK(J89:N89))))))"),"")</f>
        <v/>
      </c>
      <c r="P89" s="49" t="s">
        <v>435</v>
      </c>
      <c r="Q89" s="51" t="s">
        <v>438</v>
      </c>
    </row>
    <row r="90">
      <c r="A90" s="12" t="str">
        <f>IFERROR(__xludf.DUMMYFUNCTION("""COMPUTED_VALUE"""),"2d659f4fa9ae693ba40d71249db2b5c1")</f>
        <v>2d659f4fa9ae693ba40d71249db2b5c1</v>
      </c>
      <c r="B90" s="12" t="str">
        <f>IFERROR(__xludf.DUMMYFUNCTION("""COMPUTED_VALUE"""),"Progress is slow, however, as illustrated by the difficulties in reaching consensus even in areas such as transparency and notifications. Financial and technical assistance, as well as technology transfer (Target 14.a), will be important to many SIDS and "&amp;"LDCs as they look to create and implement national and regional strategies for sustainability, preservation and protection of their fisheries industries. These interlinked goals provide a new framework for advancing sustainable development over the next 1"&amp;"5 years. Today, the global population is about 7.3 billion, a figure projected to reach about 8.5 billion by 2035 (UNDESA, 2011). Some 2 billion more people will populate the earth in 20 years from now.")</f>
        <v>Progress is slow, however, as illustrated by the difficulties in reaching consensus even in areas such as transparency and notifications. Financial and technical assistance, as well as technology transfer (Target 14.a), will be important to many SIDS and LDCs as they look to create and implement national and regional strategies for sustainability, preservation and protection of their fisheries industries. These interlinked goals provide a new framework for advancing sustainable development over the next 15 years. Today, the global population is about 7.3 billion, a figure projected to reach about 8.5 billion by 2035 (UNDESA, 2011). Some 2 billion more people will populate the earth in 20 years from now.</v>
      </c>
      <c r="C90" s="54"/>
      <c r="D90" s="48" t="b">
        <f t="shared" ref="D90:H90" si="178">VLOOKUP($A90, INDIRECT(D$1&amp;"!A:C"), 3, FALSE)</f>
        <v>1</v>
      </c>
      <c r="E90" s="48" t="str">
        <f t="shared" si="178"/>
        <v>TO DO</v>
      </c>
      <c r="F90" s="48" t="str">
        <f t="shared" si="178"/>
        <v>TO DO</v>
      </c>
      <c r="G90" s="48" t="b">
        <f t="shared" si="178"/>
        <v>1</v>
      </c>
      <c r="H90" s="48" t="b">
        <f t="shared" si="178"/>
        <v>1</v>
      </c>
      <c r="I90" s="49">
        <f t="shared" si="4"/>
        <v>1</v>
      </c>
      <c r="J90" s="50" t="str">
        <f t="shared" ref="J90:N90" si="179">VLOOKUP($A90, INDIRECT(J$1&amp;"!A:D"), 4, FALSE)</f>
        <v/>
      </c>
      <c r="K90" s="50" t="str">
        <f t="shared" si="179"/>
        <v/>
      </c>
      <c r="L90" s="50" t="str">
        <f t="shared" si="179"/>
        <v/>
      </c>
      <c r="M90" s="50" t="str">
        <f t="shared" si="179"/>
        <v/>
      </c>
      <c r="N90" s="50" t="str">
        <f t="shared" si="179"/>
        <v/>
      </c>
      <c r="O90" s="49" t="str">
        <f>IFERROR(__xludf.DUMMYFUNCTION("IF(COUNTA(J90:N90)=0, """", ARRAYFORMULA(""- ""&amp;TEXTJOIN(char(10)&amp;""- "", TRUE, FILTER(J$1:N$1&amp;"": ""&amp;J90:N90, NOT(ISBLANK(J90:N90))))))"),"")</f>
        <v/>
      </c>
      <c r="P90" s="49" t="s">
        <v>435</v>
      </c>
      <c r="Q90" s="51" t="b">
        <v>1</v>
      </c>
    </row>
    <row r="91">
      <c r="A91" s="12" t="str">
        <f>IFERROR(__xludf.DUMMYFUNCTION("""COMPUTED_VALUE"""),"11e18aeda202ab60b081f8930a9d94b4")</f>
        <v>11e18aeda202ab60b081f8930a9d94b4</v>
      </c>
      <c r="B91" s="12" t="str">
        <f>IFERROR(__xludf.DUMMYFUNCTION("""COMPUTED_VALUE"""),"It is clear, as pointed by one of the referees, that investing more resources in a search of the literature would likely yield an even greater number of linkages than are documented here. This has to be kept in mind when reading the paper. The dimensions "&amp;"that SDG 17 encompasses (finance, capacity building, trade, information and communications technology and data, monitoring and accountability) are relevant to most of the targets under SDG 14. In particular, financing and capacity building have been ident"&amp;"ified as important across the set of SDG 14 targets (UN, 2017).")</f>
        <v>It is clear, as pointed by one of the referees, that investing more resources in a search of the literature would likely yield an even greater number of linkages than are documented here. This has to be kept in mind when reading the paper. The dimensions that SDG 17 encompasses (finance, capacity building, trade, information and communications technology and data, monitoring and accountability) are relevant to most of the targets under SDG 14. In particular, financing and capacity building have been identified as important across the set of SDG 14 targets (UN, 2017).</v>
      </c>
      <c r="C91" s="54" t="s">
        <v>33</v>
      </c>
      <c r="D91" s="48" t="b">
        <f t="shared" ref="D91:H91" si="180">VLOOKUP($A91, INDIRECT(D$1&amp;"!A:C"), 3, FALSE)</f>
        <v>1</v>
      </c>
      <c r="E91" s="48" t="str">
        <f t="shared" si="180"/>
        <v>TO DO</v>
      </c>
      <c r="F91" s="48" t="str">
        <f t="shared" si="180"/>
        <v>TO DO</v>
      </c>
      <c r="G91" s="48" t="b">
        <f t="shared" si="180"/>
        <v>0</v>
      </c>
      <c r="H91" s="48" t="b">
        <f t="shared" si="180"/>
        <v>0</v>
      </c>
      <c r="I91" s="49">
        <f t="shared" si="4"/>
        <v>0.3333333333</v>
      </c>
      <c r="J91" s="50" t="str">
        <f t="shared" ref="J91:N91" si="181">VLOOKUP($A91, INDIRECT(J$1&amp;"!A:D"), 4, FALSE)</f>
        <v/>
      </c>
      <c r="K91" s="50" t="str">
        <f t="shared" si="181"/>
        <v/>
      </c>
      <c r="L91" s="50" t="str">
        <f t="shared" si="181"/>
        <v/>
      </c>
      <c r="M91" s="50" t="str">
        <f t="shared" si="181"/>
        <v/>
      </c>
      <c r="N91" s="50" t="str">
        <f t="shared" si="181"/>
        <v>mere fact stating?</v>
      </c>
      <c r="O91" s="49" t="str">
        <f>IFERROR(__xludf.DUMMYFUNCTION("IF(COUNTA(J91:N91)=0, """", ARRAYFORMULA(""- ""&amp;TEXTJOIN(char(10)&amp;""- "", TRUE, FILTER(J$1:N$1&amp;"": ""&amp;J91:N91, NOT(ISBLANK(J91:N91))))))"),"- Steve: mere fact stating?")</f>
        <v>- Steve: mere fact stating?</v>
      </c>
      <c r="P91" s="49" t="s">
        <v>476</v>
      </c>
      <c r="Q91" s="51" t="s">
        <v>438</v>
      </c>
    </row>
    <row r="92">
      <c r="A92" s="12" t="str">
        <f>IFERROR(__xludf.DUMMYFUNCTION("""COMPUTED_VALUE"""),"2604088802978a8bc01aba4ea3af102e")</f>
        <v>2604088802978a8bc01aba4ea3af102e</v>
      </c>
      <c r="B92" s="12" t="str">
        <f>IFERROR(__xludf.DUMMYFUNCTION("""COMPUTED_VALUE"""),"At a general level, uncertainties with all of these technologies arise with respect to the speed of technological development, the impact of advances in individual technologies, and - perhaps most importantly - the convergence of ICT, sensors, robotics, n"&amp;"ano- and biotechnology. Advances in one technology may amplify developments and outcomes of other technologies, leading to disruptive changes. This is already becoming visible in green technologies, which typically operate at the intersection of these eme"&amp;"rging technologies, in the creation of ‘'programmable matter”, and in advances in the medical and pharmaceutical fields.")</f>
        <v>At a general level, uncertainties with all of these technologies arise with respect to the speed of technological development, the impact of advances in individual technologies, and - perhaps most importantly - the convergence of ICT, sensors, robotics, nano- and biotechnology. Advances in one technology may amplify developments and outcomes of other technologies, leading to disruptive changes. This is already becoming visible in green technologies, which typically operate at the intersection of these emerging technologies, in the creation of ‘'programmable matter”, and in advances in the medical and pharmaceutical fields.</v>
      </c>
      <c r="C92" s="48"/>
      <c r="D92" s="48" t="b">
        <f t="shared" ref="D92:H92" si="182">VLOOKUP($A92, INDIRECT(D$1&amp;"!A:C"), 3, FALSE)</f>
        <v>0</v>
      </c>
      <c r="E92" s="48" t="str">
        <f t="shared" si="182"/>
        <v>TO DO</v>
      </c>
      <c r="F92" s="48" t="str">
        <f t="shared" si="182"/>
        <v>TO DO</v>
      </c>
      <c r="G92" s="48" t="b">
        <f t="shared" si="182"/>
        <v>0</v>
      </c>
      <c r="H92" s="48" t="b">
        <f t="shared" si="182"/>
        <v>0</v>
      </c>
      <c r="I92" s="49">
        <f t="shared" si="4"/>
        <v>1</v>
      </c>
      <c r="J92" s="50" t="str">
        <f t="shared" ref="J92:N92" si="183">VLOOKUP($A92, INDIRECT(J$1&amp;"!A:D"), 4, FALSE)</f>
        <v/>
      </c>
      <c r="K92" s="50" t="str">
        <f t="shared" si="183"/>
        <v/>
      </c>
      <c r="L92" s="50" t="str">
        <f t="shared" si="183"/>
        <v/>
      </c>
      <c r="M92" s="50" t="str">
        <f t="shared" si="183"/>
        <v/>
      </c>
      <c r="N92" s="50" t="str">
        <f t="shared" si="183"/>
        <v/>
      </c>
      <c r="O92" s="49" t="str">
        <f>IFERROR(__xludf.DUMMYFUNCTION("IF(COUNTA(J92:N92)=0, """", ARRAYFORMULA(""- ""&amp;TEXTJOIN(char(10)&amp;""- "", TRUE, FILTER(J$1:N$1&amp;"": ""&amp;J92:N92, NOT(ISBLANK(J92:N92))))))"),"")</f>
        <v/>
      </c>
      <c r="P92" s="49" t="s">
        <v>435</v>
      </c>
      <c r="Q92" s="51" t="b">
        <v>0</v>
      </c>
    </row>
    <row r="93">
      <c r="A93" s="12" t="str">
        <f>IFERROR(__xludf.DUMMYFUNCTION("""COMPUTED_VALUE"""),"8c6d907bb5260146d9aefb86a130911e")</f>
        <v>8c6d907bb5260146d9aefb86a130911e</v>
      </c>
      <c r="B93" s="12" t="str">
        <f>IFERROR(__xludf.DUMMYFUNCTION("""COMPUTED_VALUE"""),"Section 2.3 studies the opportunities for enlarging the economic base, as well as the important role of innovation in the NORA region. New developments, research and the implementation of new techniques can support the future competitiveness and sustainab"&amp;"ility of traditional natural-resource-based industries. At the same time, in the context of increasing efforts to sustain and diversify regional economies, innovation could help to support the development of emerging or new niches and sectors. However, th"&amp;"is will require improving education and training and encouraging entrepreneurship and competition.")</f>
        <v>Section 2.3 studies the opportunities for enlarging the economic base, as well as the important role of innovation in the NORA region. New developments, research and the implementation of new techniques can support the future competitiveness and sustainability of traditional natural-resource-based industries. At the same time, in the context of increasing efforts to sustain and diversify regional economies, innovation could help to support the development of emerging or new niches and sectors. However, this will require improving education and training and encouraging entrepreneurship and competition.</v>
      </c>
      <c r="C93" s="7"/>
      <c r="D93" s="48" t="b">
        <f t="shared" ref="D93:H93" si="184">VLOOKUP($A93, INDIRECT(D$1&amp;"!A:C"), 3, FALSE)</f>
        <v>0</v>
      </c>
      <c r="E93" s="48" t="str">
        <f t="shared" si="184"/>
        <v>TO DO</v>
      </c>
      <c r="F93" s="48" t="str">
        <f t="shared" si="184"/>
        <v>TO DO</v>
      </c>
      <c r="G93" s="48" t="b">
        <f t="shared" si="184"/>
        <v>0</v>
      </c>
      <c r="H93" s="48" t="b">
        <f t="shared" si="184"/>
        <v>0</v>
      </c>
      <c r="I93" s="49">
        <f t="shared" si="4"/>
        <v>1</v>
      </c>
      <c r="J93" s="50" t="str">
        <f t="shared" ref="J93:N93" si="185">VLOOKUP($A93, INDIRECT(J$1&amp;"!A:D"), 4, FALSE)</f>
        <v/>
      </c>
      <c r="K93" s="50" t="str">
        <f t="shared" si="185"/>
        <v/>
      </c>
      <c r="L93" s="50" t="str">
        <f t="shared" si="185"/>
        <v/>
      </c>
      <c r="M93" s="50" t="str">
        <f t="shared" si="185"/>
        <v/>
      </c>
      <c r="N93" s="50" t="str">
        <f t="shared" si="185"/>
        <v>traditional resource based industries might not relate to marine industries exclusively</v>
      </c>
      <c r="O93" s="49" t="str">
        <f>IFERROR(__xludf.DUMMYFUNCTION("IF(COUNTA(J93:N93)=0, """", ARRAYFORMULA(""- ""&amp;TEXTJOIN(char(10)&amp;""- "", TRUE, FILTER(J$1:N$1&amp;"": ""&amp;J93:N93, NOT(ISBLANK(J93:N93))))))"),"- Steve: traditional resource based industries might not relate to marine industries exclusively")</f>
        <v>- Steve: traditional resource based industries might not relate to marine industries exclusively</v>
      </c>
      <c r="P93" s="49" t="s">
        <v>477</v>
      </c>
      <c r="Q93" s="51" t="b">
        <v>0</v>
      </c>
    </row>
    <row r="94">
      <c r="A94" s="12" t="str">
        <f>IFERROR(__xludf.DUMMYFUNCTION("""COMPUTED_VALUE"""),"7f1203820ada8132cb45592df35539aa")</f>
        <v>7f1203820ada8132cb45592df35539aa</v>
      </c>
      <c r="B94" s="12" t="str">
        <f>IFERROR(__xludf.DUMMYFUNCTION("""COMPUTED_VALUE"""),"Well-advised policies and strategies backed by strong research programmes will be of paramount importance in overcoming production constraints. Especially in more-affluent markets, consumers are increasingly requiring high standards of quality assurance a"&amp;"nd demanding guarantees that the fish they purchase are produced sustainably. Stringent quality- and safety-related import standards, together with requirements for products meeting international animal health and environmental standards and social respon"&amp;"sibility requirements, might act as barriers to small-scale fish producers and operators attempting to penetrate international markets and distribution channels.")</f>
        <v>Well-advised policies and strategies backed by strong research programmes will be of paramount importance in overcoming production constraints. Especially in more-affluent markets, consumers are increasingly requiring high standards of quality assurance and demanding guarantees that the fish they purchase are produced sustainably. Stringent quality- and safety-related import standards, together with requirements for products meeting international animal health and environmental standards and social responsibility requirements, might act as barriers to small-scale fish producers and operators attempting to penetrate international markets and distribution channels.</v>
      </c>
      <c r="C94" s="48"/>
      <c r="D94" s="48" t="b">
        <f t="shared" ref="D94:H94" si="186">VLOOKUP($A94, INDIRECT(D$1&amp;"!A:C"), 3, FALSE)</f>
        <v>1</v>
      </c>
      <c r="E94" s="48" t="str">
        <f t="shared" si="186"/>
        <v>TO DO</v>
      </c>
      <c r="F94" s="48" t="str">
        <f t="shared" si="186"/>
        <v>TO DO</v>
      </c>
      <c r="G94" s="48" t="b">
        <f t="shared" si="186"/>
        <v>1</v>
      </c>
      <c r="H94" s="48" t="b">
        <f t="shared" si="186"/>
        <v>1</v>
      </c>
      <c r="I94" s="49">
        <f t="shared" si="4"/>
        <v>1</v>
      </c>
      <c r="J94" s="50" t="str">
        <f t="shared" ref="J94:N94" si="187">VLOOKUP($A94, INDIRECT(J$1&amp;"!A:D"), 4, FALSE)</f>
        <v/>
      </c>
      <c r="K94" s="50" t="str">
        <f t="shared" si="187"/>
        <v/>
      </c>
      <c r="L94" s="50" t="str">
        <f t="shared" si="187"/>
        <v/>
      </c>
      <c r="M94" s="50" t="str">
        <f t="shared" si="187"/>
        <v/>
      </c>
      <c r="N94" s="50" t="str">
        <f t="shared" si="187"/>
        <v/>
      </c>
      <c r="O94" s="49" t="str">
        <f>IFERROR(__xludf.DUMMYFUNCTION("IF(COUNTA(J94:N94)=0, """", ARRAYFORMULA(""- ""&amp;TEXTJOIN(char(10)&amp;""- "", TRUE, FILTER(J$1:N$1&amp;"": ""&amp;J94:N94, NOT(ISBLANK(J94:N94))))))"),"")</f>
        <v/>
      </c>
      <c r="P94" s="49" t="s">
        <v>435</v>
      </c>
      <c r="Q94" s="51" t="b">
        <v>1</v>
      </c>
    </row>
    <row r="95">
      <c r="A95" s="12" t="str">
        <f>IFERROR(__xludf.DUMMYFUNCTION("""COMPUTED_VALUE"""),"a3bef40faa38a41ba3b6a6b8d2257e7c")</f>
        <v>a3bef40faa38a41ba3b6a6b8d2257e7c</v>
      </c>
      <c r="B95" s="12" t="str">
        <f>IFERROR(__xludf.DUMMYFUNCTION("""COMPUTED_VALUE"""),"Accordingly, the creation of the GFCM Forum on Fisheries Science, the conducting of regional surveys-at-sea and the compilation of catalogues of fishing activities aim at enhancing the quantity and quality of data used for advice. The revision of existing"&amp;" management plans or the development of new ones is also considered necessary for main commercial fisheries as well as the fisheries that rely on or show a strong interaction with resources in need of urgent action. It also recognizes that collecting soci"&amp;"o-economic data that are as complete, timely and accurate as possible helps develop coherent policies to ensure resource and market access for small-scale fishers.")</f>
        <v>Accordingly, the creation of the GFCM Forum on Fisheries Science, the conducting of regional surveys-at-sea and the compilation of catalogues of fishing activities aim at enhancing the quantity and quality of data used for advice. The revision of existing management plans or the development of new ones is also considered necessary for main commercial fisheries as well as the fisheries that rely on or show a strong interaction with resources in need of urgent action. It also recognizes that collecting socio-economic data that are as complete, timely and accurate as possible helps develop coherent policies to ensure resource and market access for small-scale fishers.</v>
      </c>
      <c r="C95" s="7"/>
      <c r="D95" s="48" t="b">
        <f t="shared" ref="D95:H95" si="188">VLOOKUP($A95, INDIRECT(D$1&amp;"!A:C"), 3, FALSE)</f>
        <v>1</v>
      </c>
      <c r="E95" s="48" t="str">
        <f t="shared" si="188"/>
        <v>TO DO</v>
      </c>
      <c r="F95" s="48" t="str">
        <f t="shared" si="188"/>
        <v>TO DO</v>
      </c>
      <c r="G95" s="48" t="b">
        <f t="shared" si="188"/>
        <v>1</v>
      </c>
      <c r="H95" s="48" t="b">
        <f t="shared" si="188"/>
        <v>1</v>
      </c>
      <c r="I95" s="49">
        <f t="shared" si="4"/>
        <v>1</v>
      </c>
      <c r="J95" s="50" t="str">
        <f t="shared" ref="J95:N95" si="189">VLOOKUP($A95, INDIRECT(J$1&amp;"!A:D"), 4, FALSE)</f>
        <v/>
      </c>
      <c r="K95" s="50" t="str">
        <f t="shared" si="189"/>
        <v/>
      </c>
      <c r="L95" s="50" t="str">
        <f t="shared" si="189"/>
        <v/>
      </c>
      <c r="M95" s="50" t="str">
        <f t="shared" si="189"/>
        <v/>
      </c>
      <c r="N95" s="50" t="str">
        <f t="shared" si="189"/>
        <v/>
      </c>
      <c r="O95" s="49" t="str">
        <f>IFERROR(__xludf.DUMMYFUNCTION("IF(COUNTA(J95:N95)=0, """", ARRAYFORMULA(""- ""&amp;TEXTJOIN(char(10)&amp;""- "", TRUE, FILTER(J$1:N$1&amp;"": ""&amp;J95:N95, NOT(ISBLANK(J95:N95))))))"),"")</f>
        <v/>
      </c>
      <c r="P95" s="49" t="s">
        <v>435</v>
      </c>
      <c r="Q95" s="51" t="b">
        <v>1</v>
      </c>
    </row>
    <row r="96">
      <c r="A96" s="12" t="str">
        <f>IFERROR(__xludf.DUMMYFUNCTION("""COMPUTED_VALUE"""),"11e4fc23fbb4c61d67de60cf72a610fb")</f>
        <v>11e4fc23fbb4c61d67de60cf72a610fb</v>
      </c>
      <c r="B96" s="12" t="str">
        <f>IFERROR(__xludf.DUMMYFUNCTION("""COMPUTED_VALUE"""),"Similar issues have been raised in the food safety area as have been raised in relation to eco-labels and certification. What are the various roles of the public and private sector in food safety governance? How are costs divided amongst the various stake"&amp;"holders? And what are the impacts on small-scale operators and developing countries if they fail to meet public let alone private sector requirements?")</f>
        <v>Similar issues have been raised in the food safety area as have been raised in relation to eco-labels and certification. What are the various roles of the public and private sector in food safety governance? How are costs divided amongst the various stakeholders? And what are the impacts on small-scale operators and developing countries if they fail to meet public let alone private sector requirements?</v>
      </c>
      <c r="C96" s="54"/>
      <c r="D96" s="48" t="b">
        <f t="shared" ref="D96:H96" si="190">VLOOKUP($A96, INDIRECT(D$1&amp;"!A:C"), 3, FALSE)</f>
        <v>0</v>
      </c>
      <c r="E96" s="48" t="str">
        <f t="shared" si="190"/>
        <v>TO DO</v>
      </c>
      <c r="F96" s="48" t="str">
        <f t="shared" si="190"/>
        <v>TO DO</v>
      </c>
      <c r="G96" s="48" t="b">
        <f t="shared" si="190"/>
        <v>0</v>
      </c>
      <c r="H96" s="48" t="b">
        <f t="shared" si="190"/>
        <v>0</v>
      </c>
      <c r="I96" s="49">
        <f t="shared" si="4"/>
        <v>1</v>
      </c>
      <c r="J96" s="50" t="str">
        <f t="shared" ref="J96:N96" si="191">VLOOKUP($A96, INDIRECT(J$1&amp;"!A:D"), 4, FALSE)</f>
        <v/>
      </c>
      <c r="K96" s="50" t="str">
        <f t="shared" si="191"/>
        <v/>
      </c>
      <c r="L96" s="50" t="str">
        <f t="shared" si="191"/>
        <v/>
      </c>
      <c r="M96" s="50" t="str">
        <f t="shared" si="191"/>
        <v/>
      </c>
      <c r="N96" s="50" t="str">
        <f t="shared" si="191"/>
        <v/>
      </c>
      <c r="O96" s="49" t="str">
        <f>IFERROR(__xludf.DUMMYFUNCTION("IF(COUNTA(J96:N96)=0, """", ARRAYFORMULA(""- ""&amp;TEXTJOIN(char(10)&amp;""- "", TRUE, FILTER(J$1:N$1&amp;"": ""&amp;J96:N96, NOT(ISBLANK(J96:N96))))))"),"")</f>
        <v/>
      </c>
      <c r="P96" s="49" t="s">
        <v>435</v>
      </c>
      <c r="Q96" s="51" t="b">
        <v>0</v>
      </c>
    </row>
    <row r="97">
      <c r="A97" s="12" t="str">
        <f>IFERROR(__xludf.DUMMYFUNCTION("""COMPUTED_VALUE"""),"942c0f2068c6be7f895c86a44d972d4c")</f>
        <v>942c0f2068c6be7f895c86a44d972d4c</v>
      </c>
      <c r="B97" s="12" t="str">
        <f>IFERROR(__xludf.DUMMYFUNCTION("""COMPUTED_VALUE"""),"As has been mentioned already, the small scale fishers were exempt from the ITQ system when it was first implemented, mostly due to fears that they would be bought out of the industry. Various measures were taken to safeguard their livelihoods while at th"&amp;"e same time there was an increased pressure on this fleet to adopt some form of quotas to limit their catches. To increase employment in coastal communities, fishers using a long-line that is baited onshore have been allowed to double their catches in dem"&amp;"ersal (living near the bottom) species.")</f>
        <v>As has been mentioned already, the small scale fishers were exempt from the ITQ system when it was first implemented, mostly due to fears that they would be bought out of the industry. Various measures were taken to safeguard their livelihoods while at the same time there was an increased pressure on this fleet to adopt some form of quotas to limit their catches. To increase employment in coastal communities, fishers using a long-line that is baited onshore have been allowed to double their catches in demersal (living near the bottom) species.</v>
      </c>
      <c r="C97" s="53"/>
      <c r="D97" s="48" t="b">
        <f t="shared" ref="D97:H97" si="192">VLOOKUP($A97, INDIRECT(D$1&amp;"!A:C"), 3, FALSE)</f>
        <v>1</v>
      </c>
      <c r="E97" s="48" t="str">
        <f t="shared" si="192"/>
        <v>TO DO</v>
      </c>
      <c r="F97" s="48" t="str">
        <f t="shared" si="192"/>
        <v>TO DO</v>
      </c>
      <c r="G97" s="48" t="b">
        <f t="shared" si="192"/>
        <v>1</v>
      </c>
      <c r="H97" s="48" t="b">
        <f t="shared" si="192"/>
        <v>1</v>
      </c>
      <c r="I97" s="49">
        <f t="shared" si="4"/>
        <v>1</v>
      </c>
      <c r="J97" s="50" t="str">
        <f t="shared" ref="J97:N97" si="193">VLOOKUP($A97, INDIRECT(J$1&amp;"!A:D"), 4, FALSE)</f>
        <v/>
      </c>
      <c r="K97" s="50" t="str">
        <f t="shared" si="193"/>
        <v/>
      </c>
      <c r="L97" s="50" t="str">
        <f t="shared" si="193"/>
        <v/>
      </c>
      <c r="M97" s="50" t="str">
        <f t="shared" si="193"/>
        <v/>
      </c>
      <c r="N97" s="50" t="str">
        <f t="shared" si="193"/>
        <v/>
      </c>
      <c r="O97" s="49" t="str">
        <f>IFERROR(__xludf.DUMMYFUNCTION("IF(COUNTA(J97:N97)=0, """", ARRAYFORMULA(""- ""&amp;TEXTJOIN(char(10)&amp;""- "", TRUE, FILTER(J$1:N$1&amp;"": ""&amp;J97:N97, NOT(ISBLANK(J97:N97))))))"),"")</f>
        <v/>
      </c>
      <c r="P97" s="49" t="s">
        <v>435</v>
      </c>
      <c r="Q97" s="51" t="b">
        <v>1</v>
      </c>
    </row>
    <row r="98">
      <c r="A98" s="12" t="str">
        <f>IFERROR(__xludf.DUMMYFUNCTION("""COMPUTED_VALUE"""),"dfabad6d52b75beb83cb5d3acee7d522")</f>
        <v>dfabad6d52b75beb83cb5d3acee7d522</v>
      </c>
      <c r="B98" s="12" t="str">
        <f>IFERROR(__xludf.DUMMYFUNCTION("""COMPUTED_VALUE"""),"The 1982 United Nations Convention on the Law of the Sea (“the Convention"" / UNCLOS) sets out the overarching international legal framework for all activities on the oceans and seas, including the conservation and sustainable use of living marine resourc"&amp;"es. It is complemented by the 1995 Agreement for the Implementation of the Provisions of the United Nations Convention on the Law of the Sea of 10 December 1982 relating to the Conservation and Management of Straddling Fish Stocks and Highly Migratory Fis"&amp;"h Stocks (“the Agreement”). The latter sets out a comprehensive legal framework for the implementation of the provisions of the Convention relating to the longterm conservation and sustainable use of straddling fish stocks and highly migratory fish stocks"&amp;".")</f>
        <v>The 1982 United Nations Convention on the Law of the Sea (“the Convention" / UNCLOS) sets out the overarching international legal framework for all activities on the oceans and seas, including the conservation and sustainable use of living marine resources. It is complemented by the 1995 Agreement for the Implementation of the Provisions of the United Nations Convention on the Law of the Sea of 10 December 1982 relating to the Conservation and Management of Straddling Fish Stocks and Highly Migratory Fish Stocks (“the Agreement”). The latter sets out a comprehensive legal framework for the implementation of the provisions of the Convention relating to the longterm conservation and sustainable use of straddling fish stocks and highly migratory fish stocks.</v>
      </c>
      <c r="C98" s="54"/>
      <c r="D98" s="48" t="b">
        <f t="shared" ref="D98:H98" si="194">VLOOKUP($A98, INDIRECT(D$1&amp;"!A:C"), 3, FALSE)</f>
        <v>1</v>
      </c>
      <c r="E98" s="48" t="str">
        <f t="shared" si="194"/>
        <v>TO DO</v>
      </c>
      <c r="F98" s="48" t="str">
        <f t="shared" si="194"/>
        <v>TO DO</v>
      </c>
      <c r="G98" s="48" t="b">
        <f t="shared" si="194"/>
        <v>1</v>
      </c>
      <c r="H98" s="48" t="b">
        <f t="shared" si="194"/>
        <v>1</v>
      </c>
      <c r="I98" s="49">
        <f t="shared" si="4"/>
        <v>1</v>
      </c>
      <c r="J98" s="50" t="str">
        <f t="shared" ref="J98:N98" si="195">VLOOKUP($A98, INDIRECT(J$1&amp;"!A:D"), 4, FALSE)</f>
        <v/>
      </c>
      <c r="K98" s="50" t="str">
        <f t="shared" si="195"/>
        <v/>
      </c>
      <c r="L98" s="50" t="str">
        <f t="shared" si="195"/>
        <v/>
      </c>
      <c r="M98" s="50" t="str">
        <f t="shared" si="195"/>
        <v/>
      </c>
      <c r="N98" s="50" t="str">
        <f t="shared" si="195"/>
        <v/>
      </c>
      <c r="O98" s="49" t="str">
        <f>IFERROR(__xludf.DUMMYFUNCTION("IF(COUNTA(J98:N98)=0, """", ARRAYFORMULA(""- ""&amp;TEXTJOIN(char(10)&amp;""- "", TRUE, FILTER(J$1:N$1&amp;"": ""&amp;J98:N98, NOT(ISBLANK(J98:N98))))))"),"")</f>
        <v/>
      </c>
      <c r="P98" s="49" t="s">
        <v>435</v>
      </c>
      <c r="Q98" s="51" t="b">
        <v>1</v>
      </c>
    </row>
    <row r="99">
      <c r="A99" s="12" t="str">
        <f>IFERROR(__xludf.DUMMYFUNCTION("""COMPUTED_VALUE"""),"979561762e83fc24be9ffb1a26139ae1")</f>
        <v>979561762e83fc24be9ffb1a26139ae1</v>
      </c>
      <c r="B99" s="12" t="str">
        <f>IFERROR(__xludf.DUMMYFUNCTION("""COMPUTED_VALUE"""),"To the extent permitted by its national laws and regulations, each member of the Commission shall establish arrangements for making available to prosecuting authorities of other members of the Commission evidence related to alleged violations of the provi"&amp;"sions of the Convention and any conservation and management measures adopted by the Commission, including information available on the beneficial ownership of vessels flying its flag.")</f>
        <v>To the extent permitted by its national laws and regulations, each member of the Commission shall establish arrangements for making available to prosecuting authorities of other members of the Commission evidence related to alleged violations of the provisions of the Convention and any conservation and management measures adopted by the Commission, including information available on the beneficial ownership of vessels flying its flag.</v>
      </c>
      <c r="C99" s="53"/>
      <c r="D99" s="48" t="b">
        <f t="shared" ref="D99:H99" si="196">VLOOKUP($A99, INDIRECT(D$1&amp;"!A:C"), 3, FALSE)</f>
        <v>0</v>
      </c>
      <c r="E99" s="48" t="str">
        <f t="shared" si="196"/>
        <v>TO DO</v>
      </c>
      <c r="F99" s="48" t="str">
        <f t="shared" si="196"/>
        <v>TO DO</v>
      </c>
      <c r="G99" s="48" t="b">
        <f t="shared" si="196"/>
        <v>0</v>
      </c>
      <c r="H99" s="48" t="b">
        <f t="shared" si="196"/>
        <v>0</v>
      </c>
      <c r="I99" s="49">
        <f t="shared" si="4"/>
        <v>1</v>
      </c>
      <c r="J99" s="50" t="str">
        <f t="shared" ref="J99:N99" si="197">VLOOKUP($A99, INDIRECT(J$1&amp;"!A:D"), 4, FALSE)</f>
        <v/>
      </c>
      <c r="K99" s="50" t="str">
        <f t="shared" si="197"/>
        <v/>
      </c>
      <c r="L99" s="50" t="str">
        <f t="shared" si="197"/>
        <v/>
      </c>
      <c r="M99" s="50" t="str">
        <f t="shared" si="197"/>
        <v/>
      </c>
      <c r="N99" s="50" t="str">
        <f t="shared" si="197"/>
        <v/>
      </c>
      <c r="O99" s="49" t="str">
        <f>IFERROR(__xludf.DUMMYFUNCTION("IF(COUNTA(J99:N99)=0, """", ARRAYFORMULA(""- ""&amp;TEXTJOIN(char(10)&amp;""- "", TRUE, FILTER(J$1:N$1&amp;"": ""&amp;J99:N99, NOT(ISBLANK(J99:N99))))))"),"")</f>
        <v/>
      </c>
      <c r="P99" s="49" t="s">
        <v>435</v>
      </c>
      <c r="Q99" s="51" t="b">
        <v>0</v>
      </c>
    </row>
    <row r="100">
      <c r="A100" s="12" t="str">
        <f>IFERROR(__xludf.DUMMYFUNCTION("""COMPUTED_VALUE"""),"7c50c4ff303c99dc6dda1de8fa88f3f5")</f>
        <v>7c50c4ff303c99dc6dda1de8fa88f3f5</v>
      </c>
      <c r="B100" s="12" t="str">
        <f>IFERROR(__xludf.DUMMYFUNCTION("""COMPUTED_VALUE"""),"Since it came into force in 1986, the law has undergone four amendments, in 2000, 2004, 2009 and 2013. Further amendments were still under development in 2015. Suggestions for changes were collected by conducting investigations, surveys and symposia where"&amp;" policymakers, industries and scientists had a chance to provide input.")</f>
        <v>Since it came into force in 1986, the law has undergone four amendments, in 2000, 2004, 2009 and 2013. Further amendments were still under development in 2015. Suggestions for changes were collected by conducting investigations, surveys and symposia where policymakers, industries and scientists had a chance to provide input.</v>
      </c>
      <c r="C100" s="7"/>
      <c r="D100" s="48" t="b">
        <f t="shared" ref="D100:H100" si="198">VLOOKUP($A100, INDIRECT(D$1&amp;"!A:C"), 3, FALSE)</f>
        <v>0</v>
      </c>
      <c r="E100" s="48" t="str">
        <f t="shared" si="198"/>
        <v>TO DO</v>
      </c>
      <c r="F100" s="48" t="str">
        <f t="shared" si="198"/>
        <v>TO DO</v>
      </c>
      <c r="G100" s="48" t="b">
        <f t="shared" si="198"/>
        <v>0</v>
      </c>
      <c r="H100" s="48" t="b">
        <f t="shared" si="198"/>
        <v>0</v>
      </c>
      <c r="I100" s="49">
        <f t="shared" si="4"/>
        <v>1</v>
      </c>
      <c r="J100" s="50" t="str">
        <f t="shared" ref="J100:N100" si="199">VLOOKUP($A100, INDIRECT(J$1&amp;"!A:D"), 4, FALSE)</f>
        <v/>
      </c>
      <c r="K100" s="50" t="str">
        <f t="shared" si="199"/>
        <v/>
      </c>
      <c r="L100" s="50" t="str">
        <f t="shared" si="199"/>
        <v/>
      </c>
      <c r="M100" s="50" t="str">
        <f t="shared" si="199"/>
        <v/>
      </c>
      <c r="N100" s="50" t="str">
        <f t="shared" si="199"/>
        <v/>
      </c>
      <c r="O100" s="49" t="str">
        <f>IFERROR(__xludf.DUMMYFUNCTION("IF(COUNTA(J100:N100)=0, """", ARRAYFORMULA(""- ""&amp;TEXTJOIN(char(10)&amp;""- "", TRUE, FILTER(J$1:N$1&amp;"": ""&amp;J100:N100, NOT(ISBLANK(J100:N100))))))"),"")</f>
        <v/>
      </c>
      <c r="P100" s="49" t="s">
        <v>435</v>
      </c>
      <c r="Q100" s="51" t="b">
        <v>0</v>
      </c>
    </row>
    <row r="101">
      <c r="A101" s="12" t="str">
        <f>IFERROR(__xludf.DUMMYFUNCTION("""COMPUTED_VALUE"""),"5143e817991c8363d06eda61cb0e468b")</f>
        <v>5143e817991c8363d06eda61cb0e468b</v>
      </c>
      <c r="B101" s="12" t="str">
        <f>IFERROR(__xludf.DUMMYFUNCTION("""COMPUTED_VALUE"""),"The use of such data by the OECD is without prejudice to the status of the Golan Heights, East Jerusalem and Israeli settlements in the West Bank under the terms of international law. All requests for public or commercial use and translation rights should"&amp;" be submitted to rights@oecd.org. Requests for permission to photocopy portions of this material for public or commercial use shall be addressed directly to the Copyright Clearance Center (CCC) at info@copyright.com or the Centre francais d’exploitation d"&amp;"u droit de copie (CFC) at contact@cfcopies.com. R. (2005), ""Property rights in fisheries: Iceland's experience with ITQs"", Reviews in Fish Biology and Fisheries, 15(3): 243-264.")</f>
        <v>The use of such data by the OECD is without prejudice to the status of the Golan Heights, East Jerusalem and Israeli settlements in the West Bank under the terms of international law. All requests for public or commercial use and translation rights should be submitted to rights@oecd.org. Requests for permission to photocopy portions of this material for public or commercial use shall be addressed directly to the Copyright Clearance Center (CCC) at info@copyright.com or the Centre francais d’exploitation du droit de copie (CFC) at contact@cfcopies.com. R. (2005), "Property rights in fisheries: Iceland's experience with ITQs", Reviews in Fish Biology and Fisheries, 15(3): 243-264.</v>
      </c>
      <c r="C101" s="54"/>
      <c r="D101" s="48" t="b">
        <f t="shared" ref="D101:H101" si="200">VLOOKUP($A101, INDIRECT(D$1&amp;"!A:C"), 3, FALSE)</f>
        <v>0</v>
      </c>
      <c r="E101" s="48" t="str">
        <f t="shared" si="200"/>
        <v>TO DO</v>
      </c>
      <c r="F101" s="48" t="str">
        <f t="shared" si="200"/>
        <v>TO DO</v>
      </c>
      <c r="G101" s="48" t="b">
        <f t="shared" si="200"/>
        <v>0</v>
      </c>
      <c r="H101" s="48" t="b">
        <f t="shared" si="200"/>
        <v>0</v>
      </c>
      <c r="I101" s="49">
        <f t="shared" si="4"/>
        <v>1</v>
      </c>
      <c r="J101" s="50" t="str">
        <f t="shared" ref="J101:N101" si="201">VLOOKUP($A101, INDIRECT(J$1&amp;"!A:D"), 4, FALSE)</f>
        <v/>
      </c>
      <c r="K101" s="50" t="str">
        <f t="shared" si="201"/>
        <v/>
      </c>
      <c r="L101" s="50" t="str">
        <f t="shared" si="201"/>
        <v/>
      </c>
      <c r="M101" s="50" t="str">
        <f t="shared" si="201"/>
        <v/>
      </c>
      <c r="N101" s="50" t="str">
        <f t="shared" si="201"/>
        <v/>
      </c>
      <c r="O101" s="49" t="str">
        <f>IFERROR(__xludf.DUMMYFUNCTION("IF(COUNTA(J101:N101)=0, """", ARRAYFORMULA(""- ""&amp;TEXTJOIN(char(10)&amp;""- "", TRUE, FILTER(J$1:N$1&amp;"": ""&amp;J101:N101, NOT(ISBLANK(J101:N101))))))"),"")</f>
        <v/>
      </c>
      <c r="P101" s="49" t="s">
        <v>435</v>
      </c>
      <c r="Q101" s="51" t="b">
        <v>0</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3" t="s">
        <v>478</v>
      </c>
      <c r="B1" s="5" t="s">
        <v>336</v>
      </c>
      <c r="C1" s="23" t="s">
        <v>337</v>
      </c>
      <c r="D1" s="23" t="s">
        <v>342</v>
      </c>
      <c r="E1" s="55" t="s">
        <v>479</v>
      </c>
      <c r="F1" s="23" t="s">
        <v>334</v>
      </c>
      <c r="G1" s="23" t="s">
        <v>480</v>
      </c>
    </row>
    <row r="2">
      <c r="A2" s="24" t="str">
        <f t="shared" ref="A2:A85" si="1">IF(NOT(ISBLANK(B2)), LEFT(MD5(B2), 7), "")</f>
        <v>Loading...</v>
      </c>
      <c r="B2" s="56" t="s">
        <v>117</v>
      </c>
      <c r="C2" s="57">
        <v>14.0</v>
      </c>
      <c r="D2" s="56" t="b">
        <v>0</v>
      </c>
      <c r="E2" s="58" t="s">
        <v>116</v>
      </c>
      <c r="F2" s="24" t="s">
        <v>345</v>
      </c>
    </row>
    <row r="3">
      <c r="A3" s="24" t="str">
        <f t="shared" si="1"/>
        <v>Loading...</v>
      </c>
      <c r="B3" s="12" t="s">
        <v>115</v>
      </c>
      <c r="C3" s="57">
        <v>14.0</v>
      </c>
      <c r="D3" s="24" t="b">
        <v>0</v>
      </c>
      <c r="E3" s="12" t="s">
        <v>114</v>
      </c>
      <c r="F3" s="24" t="s">
        <v>348</v>
      </c>
    </row>
    <row r="4">
      <c r="A4" s="24" t="str">
        <f t="shared" si="1"/>
        <v>Loading...</v>
      </c>
      <c r="B4" s="40" t="s">
        <v>299</v>
      </c>
      <c r="C4" s="57">
        <v>14.0</v>
      </c>
      <c r="D4" s="24" t="b">
        <v>1</v>
      </c>
      <c r="E4" s="12" t="s">
        <v>298</v>
      </c>
      <c r="F4" s="24" t="s">
        <v>352</v>
      </c>
    </row>
    <row r="5">
      <c r="A5" s="24" t="str">
        <f t="shared" si="1"/>
        <v>Loading...</v>
      </c>
      <c r="B5" s="12" t="s">
        <v>239</v>
      </c>
      <c r="C5" s="57">
        <v>14.0</v>
      </c>
      <c r="D5" s="24" t="b">
        <v>0</v>
      </c>
      <c r="E5" s="12" t="s">
        <v>238</v>
      </c>
      <c r="F5" s="24" t="s">
        <v>352</v>
      </c>
    </row>
    <row r="6">
      <c r="A6" s="24" t="str">
        <f t="shared" si="1"/>
        <v>Loading...</v>
      </c>
      <c r="B6" s="12" t="s">
        <v>128</v>
      </c>
      <c r="C6" s="57">
        <v>14.0</v>
      </c>
      <c r="D6" s="24" t="b">
        <v>0</v>
      </c>
      <c r="E6" s="12" t="s">
        <v>127</v>
      </c>
      <c r="F6" s="24" t="s">
        <v>353</v>
      </c>
    </row>
    <row r="7">
      <c r="A7" s="24" t="str">
        <f t="shared" si="1"/>
        <v>Loading...</v>
      </c>
      <c r="B7" s="12" t="s">
        <v>308</v>
      </c>
      <c r="C7" s="57">
        <v>14.0</v>
      </c>
      <c r="D7" s="24" t="b">
        <v>0</v>
      </c>
      <c r="E7" s="12" t="s">
        <v>307</v>
      </c>
      <c r="F7" s="24" t="s">
        <v>355</v>
      </c>
    </row>
    <row r="8">
      <c r="A8" s="24" t="str">
        <f t="shared" si="1"/>
        <v>Loading...</v>
      </c>
      <c r="B8" s="12" t="s">
        <v>289</v>
      </c>
      <c r="C8" s="57">
        <v>14.0</v>
      </c>
      <c r="D8" s="24" t="b">
        <v>1</v>
      </c>
      <c r="E8" s="12" t="s">
        <v>288</v>
      </c>
      <c r="F8" s="24" t="s">
        <v>355</v>
      </c>
      <c r="G8" s="24" t="s">
        <v>441</v>
      </c>
    </row>
    <row r="9">
      <c r="A9" s="24" t="str">
        <f t="shared" si="1"/>
        <v>Loading...</v>
      </c>
      <c r="B9" s="40" t="s">
        <v>140</v>
      </c>
      <c r="C9" s="57">
        <v>14.0</v>
      </c>
      <c r="D9" s="24" t="b">
        <v>0</v>
      </c>
      <c r="E9" s="12" t="s">
        <v>139</v>
      </c>
      <c r="F9" s="24" t="s">
        <v>357</v>
      </c>
    </row>
    <row r="10">
      <c r="A10" s="24" t="str">
        <f t="shared" si="1"/>
        <v>Loading...</v>
      </c>
      <c r="B10" s="12" t="s">
        <v>163</v>
      </c>
      <c r="C10" s="57">
        <v>14.0</v>
      </c>
      <c r="D10" s="24" t="b">
        <v>0</v>
      </c>
      <c r="E10" s="12" t="s">
        <v>162</v>
      </c>
      <c r="F10" s="24" t="s">
        <v>357</v>
      </c>
    </row>
    <row r="11">
      <c r="A11" s="24" t="str">
        <f t="shared" si="1"/>
        <v>Loading...</v>
      </c>
      <c r="B11" s="12" t="s">
        <v>205</v>
      </c>
      <c r="C11" s="57">
        <v>14.0</v>
      </c>
      <c r="D11" s="24" t="b">
        <v>0</v>
      </c>
      <c r="E11" s="12" t="s">
        <v>204</v>
      </c>
      <c r="F11" s="24" t="s">
        <v>358</v>
      </c>
    </row>
    <row r="12">
      <c r="A12" s="24" t="str">
        <f t="shared" si="1"/>
        <v>Loading...</v>
      </c>
      <c r="B12" s="12" t="s">
        <v>145</v>
      </c>
      <c r="C12" s="57">
        <v>14.0</v>
      </c>
      <c r="D12" s="24" t="b">
        <v>1</v>
      </c>
      <c r="E12" s="12" t="s">
        <v>144</v>
      </c>
      <c r="F12" s="24" t="s">
        <v>358</v>
      </c>
    </row>
    <row r="13">
      <c r="A13" s="24" t="str">
        <f t="shared" si="1"/>
        <v>Loading...</v>
      </c>
      <c r="B13" s="12" t="s">
        <v>257</v>
      </c>
      <c r="C13" s="57">
        <v>14.0</v>
      </c>
      <c r="D13" s="24" t="b">
        <v>1</v>
      </c>
      <c r="E13" s="12" t="s">
        <v>256</v>
      </c>
      <c r="F13" s="24" t="s">
        <v>359</v>
      </c>
    </row>
    <row r="14">
      <c r="A14" s="24" t="str">
        <f t="shared" si="1"/>
        <v>Loading...</v>
      </c>
      <c r="B14" s="12" t="s">
        <v>167</v>
      </c>
      <c r="C14" s="57">
        <v>14.0</v>
      </c>
      <c r="D14" s="24" t="b">
        <v>0</v>
      </c>
      <c r="E14" s="12" t="s">
        <v>166</v>
      </c>
      <c r="F14" s="24" t="s">
        <v>360</v>
      </c>
      <c r="G14" s="24" t="s">
        <v>443</v>
      </c>
    </row>
    <row r="15">
      <c r="A15" s="24" t="str">
        <f t="shared" si="1"/>
        <v>Loading...</v>
      </c>
      <c r="B15" s="12" t="s">
        <v>175</v>
      </c>
      <c r="C15" s="57">
        <v>14.0</v>
      </c>
      <c r="D15" s="24" t="b">
        <v>1</v>
      </c>
      <c r="E15" s="12" t="s">
        <v>174</v>
      </c>
      <c r="F15" s="24" t="s">
        <v>363</v>
      </c>
    </row>
    <row r="16">
      <c r="A16" s="24" t="str">
        <f t="shared" si="1"/>
        <v>Loading...</v>
      </c>
      <c r="B16" s="12" t="s">
        <v>243</v>
      </c>
      <c r="C16" s="57">
        <v>14.0</v>
      </c>
      <c r="D16" s="24" t="b">
        <v>0</v>
      </c>
      <c r="E16" s="12" t="s">
        <v>242</v>
      </c>
      <c r="F16" s="24" t="s">
        <v>363</v>
      </c>
      <c r="G16" s="24" t="s">
        <v>447</v>
      </c>
    </row>
    <row r="17">
      <c r="A17" s="24" t="str">
        <f t="shared" si="1"/>
        <v>Loading...</v>
      </c>
      <c r="B17" s="12" t="s">
        <v>237</v>
      </c>
      <c r="C17" s="57">
        <v>14.0</v>
      </c>
      <c r="D17" s="24" t="b">
        <v>0</v>
      </c>
      <c r="E17" s="12" t="s">
        <v>236</v>
      </c>
      <c r="F17" s="24" t="s">
        <v>364</v>
      </c>
    </row>
    <row r="18">
      <c r="A18" s="24" t="str">
        <f t="shared" si="1"/>
        <v>Loading...</v>
      </c>
      <c r="B18" s="12" t="s">
        <v>247</v>
      </c>
      <c r="C18" s="57">
        <v>14.0</v>
      </c>
      <c r="D18" s="24" t="b">
        <v>0</v>
      </c>
      <c r="E18" s="12" t="s">
        <v>246</v>
      </c>
      <c r="F18" s="24" t="s">
        <v>364</v>
      </c>
    </row>
    <row r="19">
      <c r="A19" s="24" t="str">
        <f t="shared" si="1"/>
        <v>Loading...</v>
      </c>
      <c r="B19" s="12" t="s">
        <v>165</v>
      </c>
      <c r="C19" s="57">
        <v>14.0</v>
      </c>
      <c r="D19" s="24" t="b">
        <v>1</v>
      </c>
      <c r="E19" s="12" t="s">
        <v>164</v>
      </c>
      <c r="F19" s="24" t="s">
        <v>366</v>
      </c>
    </row>
    <row r="20">
      <c r="A20" s="24" t="str">
        <f t="shared" si="1"/>
        <v>Loading...</v>
      </c>
      <c r="B20" s="40" t="s">
        <v>245</v>
      </c>
      <c r="C20" s="57">
        <v>14.0</v>
      </c>
      <c r="D20" s="24" t="b">
        <v>1</v>
      </c>
      <c r="E20" s="12" t="s">
        <v>244</v>
      </c>
      <c r="F20" s="24" t="s">
        <v>367</v>
      </c>
    </row>
    <row r="21">
      <c r="A21" s="24" t="str">
        <f t="shared" si="1"/>
        <v>Loading...</v>
      </c>
      <c r="B21" s="12" t="s">
        <v>201</v>
      </c>
      <c r="C21" s="57">
        <v>14.0</v>
      </c>
      <c r="D21" s="24" t="b">
        <v>0</v>
      </c>
      <c r="E21" s="12" t="s">
        <v>200</v>
      </c>
      <c r="F21" s="24" t="s">
        <v>368</v>
      </c>
    </row>
    <row r="22">
      <c r="A22" s="24" t="str">
        <f t="shared" si="1"/>
        <v>Loading...</v>
      </c>
      <c r="B22" s="12" t="s">
        <v>284</v>
      </c>
      <c r="C22" s="57">
        <v>14.0</v>
      </c>
      <c r="D22" s="24" t="b">
        <v>1</v>
      </c>
      <c r="E22" s="12" t="s">
        <v>283</v>
      </c>
      <c r="F22" s="24" t="s">
        <v>368</v>
      </c>
    </row>
    <row r="23">
      <c r="A23" s="24" t="str">
        <f t="shared" si="1"/>
        <v>Loading...</v>
      </c>
      <c r="B23" s="40" t="s">
        <v>263</v>
      </c>
      <c r="C23" s="57">
        <v>14.0</v>
      </c>
      <c r="D23" s="24" t="b">
        <v>0</v>
      </c>
      <c r="E23" s="12" t="s">
        <v>262</v>
      </c>
      <c r="F23" s="24" t="s">
        <v>368</v>
      </c>
    </row>
    <row r="24">
      <c r="A24" s="24" t="str">
        <f t="shared" si="1"/>
        <v>Loading...</v>
      </c>
      <c r="B24" s="12" t="s">
        <v>302</v>
      </c>
      <c r="C24" s="57">
        <v>14.0</v>
      </c>
      <c r="D24" s="24" t="b">
        <v>0</v>
      </c>
      <c r="E24" s="12" t="s">
        <v>301</v>
      </c>
      <c r="F24" s="24" t="s">
        <v>369</v>
      </c>
    </row>
    <row r="25">
      <c r="A25" s="24" t="str">
        <f t="shared" si="1"/>
        <v>Loading...</v>
      </c>
      <c r="B25" s="12" t="s">
        <v>297</v>
      </c>
      <c r="C25" s="57">
        <v>14.0</v>
      </c>
      <c r="D25" s="24" t="b">
        <v>0</v>
      </c>
      <c r="E25" s="12" t="s">
        <v>296</v>
      </c>
      <c r="F25" s="24" t="s">
        <v>371</v>
      </c>
    </row>
    <row r="26">
      <c r="A26" s="24" t="str">
        <f t="shared" si="1"/>
        <v>Loading...</v>
      </c>
      <c r="B26" s="59" t="s">
        <v>481</v>
      </c>
      <c r="C26" s="57">
        <v>14.0</v>
      </c>
      <c r="D26" s="24" t="b">
        <v>0</v>
      </c>
      <c r="E26" s="12" t="s">
        <v>281</v>
      </c>
      <c r="F26" s="24" t="s">
        <v>372</v>
      </c>
      <c r="G26" s="5" t="s">
        <v>482</v>
      </c>
    </row>
    <row r="27">
      <c r="A27" s="24" t="str">
        <f t="shared" si="1"/>
        <v>Loading...</v>
      </c>
      <c r="B27" s="12" t="s">
        <v>130</v>
      </c>
      <c r="C27" s="57">
        <v>14.0</v>
      </c>
      <c r="D27" s="24" t="b">
        <v>0</v>
      </c>
      <c r="E27" s="12" t="s">
        <v>129</v>
      </c>
      <c r="F27" s="24" t="s">
        <v>373</v>
      </c>
    </row>
    <row r="28">
      <c r="A28" s="24" t="str">
        <f t="shared" si="1"/>
        <v>Loading...</v>
      </c>
      <c r="B28" s="59" t="s">
        <v>483</v>
      </c>
      <c r="C28" s="57">
        <v>14.0</v>
      </c>
      <c r="D28" s="24" t="b">
        <v>0</v>
      </c>
      <c r="E28" s="12" t="s">
        <v>94</v>
      </c>
      <c r="F28" s="24" t="s">
        <v>373</v>
      </c>
      <c r="G28" s="5" t="s">
        <v>484</v>
      </c>
    </row>
    <row r="29">
      <c r="A29" s="24" t="str">
        <f t="shared" si="1"/>
        <v>Loading...</v>
      </c>
      <c r="B29" s="12" t="s">
        <v>196</v>
      </c>
      <c r="C29" s="57">
        <v>14.0</v>
      </c>
      <c r="D29" s="24" t="b">
        <v>0</v>
      </c>
      <c r="E29" s="12" t="s">
        <v>195</v>
      </c>
      <c r="F29" s="24" t="s">
        <v>374</v>
      </c>
    </row>
    <row r="30">
      <c r="A30" s="24" t="str">
        <f t="shared" si="1"/>
        <v>Loading...</v>
      </c>
      <c r="B30" s="12" t="s">
        <v>152</v>
      </c>
      <c r="C30" s="57">
        <v>14.0</v>
      </c>
      <c r="D30" s="24" t="b">
        <v>0</v>
      </c>
      <c r="E30" s="12" t="s">
        <v>151</v>
      </c>
      <c r="F30" s="24" t="s">
        <v>375</v>
      </c>
    </row>
    <row r="31">
      <c r="A31" s="24" t="str">
        <f t="shared" si="1"/>
        <v>Loading...</v>
      </c>
      <c r="B31" s="40" t="s">
        <v>280</v>
      </c>
      <c r="C31" s="57">
        <v>14.0</v>
      </c>
      <c r="D31" s="24" t="b">
        <v>0</v>
      </c>
      <c r="E31" s="12" t="s">
        <v>279</v>
      </c>
      <c r="F31" s="24" t="s">
        <v>376</v>
      </c>
    </row>
    <row r="32">
      <c r="A32" s="24" t="str">
        <f t="shared" si="1"/>
        <v>Loading...</v>
      </c>
      <c r="B32" s="12" t="s">
        <v>295</v>
      </c>
      <c r="C32" s="57">
        <v>14.0</v>
      </c>
      <c r="D32" s="24" t="b">
        <v>0</v>
      </c>
      <c r="E32" s="12" t="s">
        <v>294</v>
      </c>
      <c r="F32" s="24" t="s">
        <v>377</v>
      </c>
    </row>
    <row r="33">
      <c r="A33" s="24" t="str">
        <f t="shared" si="1"/>
        <v>Loading...</v>
      </c>
      <c r="B33" s="40" t="s">
        <v>249</v>
      </c>
      <c r="C33" s="57">
        <v>14.0</v>
      </c>
      <c r="D33" s="24" t="b">
        <v>0</v>
      </c>
      <c r="E33" s="12" t="s">
        <v>248</v>
      </c>
      <c r="F33" s="24" t="s">
        <v>378</v>
      </c>
    </row>
    <row r="34">
      <c r="A34" s="24" t="str">
        <f t="shared" si="1"/>
        <v>Loading...</v>
      </c>
      <c r="B34" s="12" t="s">
        <v>138</v>
      </c>
      <c r="C34" s="57">
        <v>14.0</v>
      </c>
      <c r="D34" s="24" t="b">
        <v>0</v>
      </c>
      <c r="E34" s="12" t="s">
        <v>137</v>
      </c>
      <c r="F34" s="24" t="s">
        <v>379</v>
      </c>
    </row>
    <row r="35">
      <c r="A35" s="24" t="str">
        <f t="shared" si="1"/>
        <v>Loading...</v>
      </c>
      <c r="B35" s="12" t="s">
        <v>119</v>
      </c>
      <c r="C35" s="57">
        <v>14.0</v>
      </c>
      <c r="D35" s="24" t="b">
        <v>0</v>
      </c>
      <c r="E35" s="12" t="s">
        <v>118</v>
      </c>
      <c r="F35" s="24" t="s">
        <v>379</v>
      </c>
    </row>
    <row r="36">
      <c r="A36" s="24" t="str">
        <f t="shared" si="1"/>
        <v>Loading...</v>
      </c>
      <c r="B36" s="12" t="s">
        <v>267</v>
      </c>
      <c r="C36" s="57">
        <v>14.0</v>
      </c>
      <c r="D36" s="24" t="b">
        <v>1</v>
      </c>
      <c r="E36" s="12" t="s">
        <v>266</v>
      </c>
      <c r="F36" s="24" t="s">
        <v>380</v>
      </c>
      <c r="G36" s="24" t="s">
        <v>457</v>
      </c>
    </row>
    <row r="37">
      <c r="A37" s="24" t="str">
        <f t="shared" si="1"/>
        <v>Loading...</v>
      </c>
      <c r="B37" s="59" t="s">
        <v>485</v>
      </c>
      <c r="C37" s="57">
        <v>14.0</v>
      </c>
      <c r="D37" s="24" t="b">
        <v>0</v>
      </c>
      <c r="E37" s="12" t="s">
        <v>191</v>
      </c>
      <c r="F37" s="24" t="s">
        <v>382</v>
      </c>
      <c r="G37" s="5" t="s">
        <v>486</v>
      </c>
    </row>
    <row r="38">
      <c r="A38" s="24" t="str">
        <f t="shared" si="1"/>
        <v>Loading...</v>
      </c>
      <c r="B38" s="59" t="s">
        <v>487</v>
      </c>
      <c r="C38" s="57">
        <v>14.0</v>
      </c>
      <c r="D38" s="24" t="b">
        <v>1</v>
      </c>
      <c r="E38" s="12" t="s">
        <v>188</v>
      </c>
      <c r="F38" s="24" t="s">
        <v>383</v>
      </c>
      <c r="G38" s="5" t="s">
        <v>488</v>
      </c>
    </row>
    <row r="39">
      <c r="A39" s="24" t="str">
        <f t="shared" si="1"/>
        <v>Loading...</v>
      </c>
      <c r="B39" s="59" t="s">
        <v>489</v>
      </c>
      <c r="C39" s="57">
        <v>14.0</v>
      </c>
      <c r="D39" s="24" t="b">
        <v>0</v>
      </c>
      <c r="E39" s="12" t="s">
        <v>202</v>
      </c>
      <c r="F39" s="24" t="s">
        <v>384</v>
      </c>
      <c r="G39" s="5" t="s">
        <v>484</v>
      </c>
    </row>
    <row r="40">
      <c r="A40" s="24" t="str">
        <f t="shared" si="1"/>
        <v>Loading...</v>
      </c>
      <c r="B40" s="12" t="s">
        <v>225</v>
      </c>
      <c r="C40" s="57">
        <v>14.0</v>
      </c>
      <c r="D40" s="24" t="b">
        <v>1</v>
      </c>
      <c r="E40" s="12" t="s">
        <v>224</v>
      </c>
      <c r="F40" s="24" t="s">
        <v>387</v>
      </c>
    </row>
    <row r="41">
      <c r="A41" s="24" t="str">
        <f t="shared" si="1"/>
        <v>Loading...</v>
      </c>
      <c r="B41" s="12" t="s">
        <v>194</v>
      </c>
      <c r="C41" s="57">
        <v>14.0</v>
      </c>
      <c r="D41" s="24" t="b">
        <v>1</v>
      </c>
      <c r="E41" s="12" t="s">
        <v>193</v>
      </c>
      <c r="F41" s="24" t="s">
        <v>387</v>
      </c>
    </row>
    <row r="42">
      <c r="A42" s="24" t="str">
        <f t="shared" si="1"/>
        <v>Loading...</v>
      </c>
      <c r="B42" s="12" t="s">
        <v>286</v>
      </c>
      <c r="C42" s="57">
        <v>14.0</v>
      </c>
      <c r="D42" s="24" t="b">
        <v>1</v>
      </c>
      <c r="E42" s="12" t="s">
        <v>285</v>
      </c>
      <c r="F42" s="24" t="s">
        <v>388</v>
      </c>
      <c r="G42" s="24" t="s">
        <v>464</v>
      </c>
    </row>
    <row r="43">
      <c r="A43" s="24" t="str">
        <f t="shared" si="1"/>
        <v>Loading...</v>
      </c>
      <c r="B43" s="12" t="s">
        <v>184</v>
      </c>
      <c r="C43" s="57">
        <v>14.0</v>
      </c>
      <c r="D43" s="24" t="b">
        <v>1</v>
      </c>
      <c r="E43" s="12" t="s">
        <v>183</v>
      </c>
      <c r="F43" s="24" t="s">
        <v>389</v>
      </c>
    </row>
    <row r="44">
      <c r="A44" s="24" t="str">
        <f t="shared" si="1"/>
        <v>Loading...</v>
      </c>
      <c r="B44" s="40" t="s">
        <v>154</v>
      </c>
      <c r="C44" s="57">
        <v>14.0</v>
      </c>
      <c r="D44" s="24" t="b">
        <v>1</v>
      </c>
      <c r="E44" s="12" t="s">
        <v>153</v>
      </c>
      <c r="F44" s="24" t="s">
        <v>390</v>
      </c>
    </row>
    <row r="45">
      <c r="A45" s="24" t="str">
        <f t="shared" si="1"/>
        <v>Loading...</v>
      </c>
      <c r="B45" s="59" t="s">
        <v>490</v>
      </c>
      <c r="C45" s="57">
        <v>14.0</v>
      </c>
      <c r="D45" s="24" t="b">
        <v>1</v>
      </c>
      <c r="E45" s="12" t="s">
        <v>155</v>
      </c>
      <c r="F45" s="24" t="s">
        <v>391</v>
      </c>
      <c r="G45" s="5" t="s">
        <v>484</v>
      </c>
    </row>
    <row r="46">
      <c r="A46" s="24" t="str">
        <f t="shared" si="1"/>
        <v>Loading...</v>
      </c>
      <c r="B46" s="12" t="s">
        <v>306</v>
      </c>
      <c r="C46" s="57">
        <v>14.0</v>
      </c>
      <c r="D46" s="24" t="b">
        <v>1</v>
      </c>
      <c r="E46" s="12" t="s">
        <v>305</v>
      </c>
      <c r="F46" s="24" t="s">
        <v>358</v>
      </c>
    </row>
    <row r="47">
      <c r="A47" s="24" t="str">
        <f t="shared" si="1"/>
        <v>Loading...</v>
      </c>
      <c r="B47" s="12" t="s">
        <v>235</v>
      </c>
      <c r="C47" s="57">
        <v>14.0</v>
      </c>
      <c r="D47" s="24" t="b">
        <v>0</v>
      </c>
      <c r="E47" s="12" t="s">
        <v>234</v>
      </c>
      <c r="F47" s="24" t="s">
        <v>392</v>
      </c>
    </row>
    <row r="48">
      <c r="A48" s="24" t="str">
        <f t="shared" si="1"/>
        <v>Loading...</v>
      </c>
      <c r="B48" s="12" t="s">
        <v>272</v>
      </c>
      <c r="C48" s="57">
        <v>14.0</v>
      </c>
      <c r="D48" s="24" t="b">
        <v>0</v>
      </c>
      <c r="E48" s="12" t="s">
        <v>271</v>
      </c>
      <c r="F48" s="24" t="s">
        <v>393</v>
      </c>
    </row>
    <row r="49">
      <c r="A49" s="24" t="str">
        <f t="shared" si="1"/>
        <v>Loading...</v>
      </c>
      <c r="B49" s="12" t="s">
        <v>217</v>
      </c>
      <c r="C49" s="57">
        <v>14.0</v>
      </c>
      <c r="D49" s="24" t="b">
        <v>0</v>
      </c>
      <c r="E49" s="12" t="s">
        <v>216</v>
      </c>
      <c r="F49" s="24" t="s">
        <v>394</v>
      </c>
    </row>
    <row r="50">
      <c r="A50" s="24" t="str">
        <f t="shared" si="1"/>
        <v>Loading...</v>
      </c>
      <c r="B50" s="40" t="s">
        <v>274</v>
      </c>
      <c r="C50" s="57">
        <v>14.0</v>
      </c>
      <c r="D50" s="24" t="b">
        <v>0</v>
      </c>
      <c r="E50" s="12" t="s">
        <v>273</v>
      </c>
      <c r="F50" s="24" t="s">
        <v>395</v>
      </c>
      <c r="G50" s="24" t="s">
        <v>465</v>
      </c>
    </row>
    <row r="51">
      <c r="A51" s="24" t="str">
        <f t="shared" si="1"/>
        <v>Loading...</v>
      </c>
      <c r="B51" s="12" t="s">
        <v>265</v>
      </c>
      <c r="C51" s="57">
        <v>14.0</v>
      </c>
      <c r="D51" s="24" t="b">
        <v>1</v>
      </c>
      <c r="E51" s="12" t="s">
        <v>264</v>
      </c>
      <c r="F51" s="24" t="s">
        <v>350</v>
      </c>
    </row>
    <row r="52">
      <c r="A52" s="24" t="str">
        <f t="shared" si="1"/>
        <v>Loading...</v>
      </c>
      <c r="B52" s="12" t="s">
        <v>255</v>
      </c>
      <c r="C52" s="57">
        <v>14.0</v>
      </c>
      <c r="D52" s="24" t="b">
        <v>0</v>
      </c>
      <c r="E52" s="12" t="s">
        <v>254</v>
      </c>
      <c r="F52" s="24" t="s">
        <v>397</v>
      </c>
    </row>
    <row r="53">
      <c r="A53" s="24" t="str">
        <f t="shared" si="1"/>
        <v>Loading...</v>
      </c>
      <c r="B53" s="59" t="s">
        <v>491</v>
      </c>
      <c r="C53" s="57">
        <v>14.0</v>
      </c>
      <c r="D53" s="24" t="b">
        <v>1</v>
      </c>
      <c r="E53" s="12" t="s">
        <v>269</v>
      </c>
      <c r="F53" s="24" t="s">
        <v>398</v>
      </c>
      <c r="G53" s="5" t="s">
        <v>484</v>
      </c>
    </row>
    <row r="54">
      <c r="A54" s="24" t="str">
        <f t="shared" si="1"/>
        <v>Loading...</v>
      </c>
      <c r="B54" s="59" t="s">
        <v>492</v>
      </c>
      <c r="C54" s="57">
        <v>14.0</v>
      </c>
      <c r="D54" s="24" t="b">
        <v>1</v>
      </c>
      <c r="E54" s="12" t="s">
        <v>181</v>
      </c>
      <c r="F54" s="24" t="s">
        <v>370</v>
      </c>
      <c r="G54" s="5" t="s">
        <v>484</v>
      </c>
    </row>
    <row r="55">
      <c r="A55" s="24" t="str">
        <f t="shared" si="1"/>
        <v>Loading...</v>
      </c>
      <c r="B55" s="40" t="s">
        <v>293</v>
      </c>
      <c r="C55" s="57">
        <v>14.0</v>
      </c>
      <c r="D55" s="24" t="b">
        <v>0</v>
      </c>
      <c r="E55" s="12" t="s">
        <v>292</v>
      </c>
      <c r="F55" s="24" t="s">
        <v>400</v>
      </c>
    </row>
    <row r="56">
      <c r="A56" s="24" t="str">
        <f t="shared" si="1"/>
        <v>Loading...</v>
      </c>
      <c r="B56" s="12" t="s">
        <v>251</v>
      </c>
      <c r="C56" s="57">
        <v>14.0</v>
      </c>
      <c r="D56" s="24" t="b">
        <v>0</v>
      </c>
      <c r="E56" s="12" t="s">
        <v>250</v>
      </c>
      <c r="F56" s="24" t="s">
        <v>401</v>
      </c>
    </row>
    <row r="57">
      <c r="A57" s="24" t="str">
        <f t="shared" si="1"/>
        <v>Loading...</v>
      </c>
      <c r="B57" s="12" t="s">
        <v>231</v>
      </c>
      <c r="C57" s="57">
        <v>14.0</v>
      </c>
      <c r="D57" s="24" t="b">
        <v>0</v>
      </c>
      <c r="E57" s="12" t="s">
        <v>230</v>
      </c>
      <c r="F57" s="24" t="s">
        <v>353</v>
      </c>
    </row>
    <row r="58">
      <c r="A58" s="24" t="str">
        <f t="shared" si="1"/>
        <v>Loading...</v>
      </c>
      <c r="B58" s="59" t="s">
        <v>493</v>
      </c>
      <c r="C58" s="57">
        <v>14.0</v>
      </c>
      <c r="D58" s="24" t="b">
        <v>0</v>
      </c>
      <c r="E58" s="12" t="s">
        <v>228</v>
      </c>
      <c r="F58" s="24" t="s">
        <v>404</v>
      </c>
      <c r="G58" s="5" t="s">
        <v>484</v>
      </c>
    </row>
    <row r="59">
      <c r="A59" s="24" t="str">
        <f t="shared" si="1"/>
        <v>Loading...</v>
      </c>
      <c r="B59" s="12" t="s">
        <v>304</v>
      </c>
      <c r="C59" s="57">
        <v>14.0</v>
      </c>
      <c r="D59" s="24" t="b">
        <v>1</v>
      </c>
      <c r="E59" s="12" t="s">
        <v>303</v>
      </c>
      <c r="F59" s="24" t="s">
        <v>405</v>
      </c>
    </row>
    <row r="60">
      <c r="A60" s="24" t="str">
        <f t="shared" si="1"/>
        <v>Loading...</v>
      </c>
      <c r="B60" s="12" t="s">
        <v>210</v>
      </c>
      <c r="C60" s="57">
        <v>14.0</v>
      </c>
      <c r="D60" s="24" t="b">
        <v>1</v>
      </c>
      <c r="E60" s="12" t="s">
        <v>209</v>
      </c>
      <c r="F60" s="24" t="s">
        <v>406</v>
      </c>
    </row>
    <row r="61">
      <c r="A61" s="24" t="str">
        <f t="shared" si="1"/>
        <v>Loading...</v>
      </c>
      <c r="B61" s="40" t="s">
        <v>278</v>
      </c>
      <c r="C61" s="57">
        <v>14.0</v>
      </c>
      <c r="D61" s="24" t="b">
        <v>0</v>
      </c>
      <c r="E61" s="12" t="s">
        <v>277</v>
      </c>
      <c r="F61" s="24" t="s">
        <v>407</v>
      </c>
      <c r="G61" s="24" t="s">
        <v>447</v>
      </c>
    </row>
    <row r="62">
      <c r="A62" s="24" t="str">
        <f t="shared" si="1"/>
        <v>Loading...</v>
      </c>
      <c r="B62" s="12" t="s">
        <v>126</v>
      </c>
      <c r="C62" s="57">
        <v>14.0</v>
      </c>
      <c r="D62" s="24" t="b">
        <v>0</v>
      </c>
      <c r="E62" s="12" t="s">
        <v>125</v>
      </c>
      <c r="F62" s="24" t="s">
        <v>409</v>
      </c>
    </row>
    <row r="63">
      <c r="A63" s="24" t="str">
        <f t="shared" si="1"/>
        <v>Loading...</v>
      </c>
      <c r="B63" s="59" t="s">
        <v>494</v>
      </c>
      <c r="C63" s="57">
        <v>14.0</v>
      </c>
      <c r="D63" s="24" t="b">
        <v>1</v>
      </c>
      <c r="E63" s="12" t="s">
        <v>131</v>
      </c>
      <c r="F63" s="24" t="s">
        <v>410</v>
      </c>
      <c r="G63" s="5" t="s">
        <v>488</v>
      </c>
    </row>
    <row r="64">
      <c r="A64" s="24" t="str">
        <f t="shared" si="1"/>
        <v>Loading...</v>
      </c>
      <c r="B64" s="12" t="s">
        <v>136</v>
      </c>
      <c r="C64" s="57">
        <v>14.0</v>
      </c>
      <c r="D64" s="24" t="b">
        <v>1</v>
      </c>
      <c r="E64" s="12" t="s">
        <v>135</v>
      </c>
      <c r="F64" s="24" t="s">
        <v>376</v>
      </c>
    </row>
    <row r="65">
      <c r="A65" s="24" t="str">
        <f t="shared" si="1"/>
        <v>Loading...</v>
      </c>
      <c r="B65" s="12" t="s">
        <v>219</v>
      </c>
      <c r="C65" s="57">
        <v>14.0</v>
      </c>
      <c r="D65" s="24" t="b">
        <v>1</v>
      </c>
      <c r="E65" s="12" t="s">
        <v>218</v>
      </c>
      <c r="F65" s="24" t="s">
        <v>352</v>
      </c>
    </row>
    <row r="66">
      <c r="A66" s="24" t="str">
        <f t="shared" si="1"/>
        <v>Loading...</v>
      </c>
      <c r="B66" s="40" t="s">
        <v>212</v>
      </c>
      <c r="C66" s="57">
        <v>14.0</v>
      </c>
      <c r="D66" s="24" t="b">
        <v>1</v>
      </c>
      <c r="E66" s="12" t="s">
        <v>211</v>
      </c>
      <c r="F66" s="24" t="s">
        <v>355</v>
      </c>
    </row>
    <row r="67">
      <c r="A67" s="24" t="str">
        <f t="shared" si="1"/>
        <v>Loading...</v>
      </c>
      <c r="B67" s="59" t="s">
        <v>495</v>
      </c>
      <c r="C67" s="57">
        <v>14.0</v>
      </c>
      <c r="D67" s="24" t="b">
        <v>0</v>
      </c>
      <c r="E67" s="12" t="s">
        <v>213</v>
      </c>
      <c r="F67" s="24" t="s">
        <v>368</v>
      </c>
      <c r="G67" s="5" t="s">
        <v>484</v>
      </c>
    </row>
    <row r="68">
      <c r="A68" s="24" t="str">
        <f t="shared" si="1"/>
        <v>Loading...</v>
      </c>
      <c r="B68" s="12" t="s">
        <v>161</v>
      </c>
      <c r="C68" s="57">
        <v>14.0</v>
      </c>
      <c r="D68" s="24" t="b">
        <v>1</v>
      </c>
      <c r="E68" s="12" t="s">
        <v>160</v>
      </c>
      <c r="F68" s="24" t="s">
        <v>412</v>
      </c>
    </row>
    <row r="69">
      <c r="A69" s="24" t="str">
        <f t="shared" si="1"/>
        <v>Loading...</v>
      </c>
      <c r="B69" s="12" t="s">
        <v>134</v>
      </c>
      <c r="C69" s="57">
        <v>14.0</v>
      </c>
      <c r="D69" s="24" t="b">
        <v>1</v>
      </c>
      <c r="E69" s="12" t="s">
        <v>133</v>
      </c>
      <c r="F69" s="24" t="s">
        <v>407</v>
      </c>
    </row>
    <row r="70">
      <c r="A70" s="24" t="str">
        <f t="shared" si="1"/>
        <v>Loading...</v>
      </c>
      <c r="B70" s="12" t="s">
        <v>109</v>
      </c>
      <c r="C70" s="57">
        <v>14.0</v>
      </c>
      <c r="D70" s="24" t="b">
        <v>0</v>
      </c>
      <c r="E70" s="12" t="s">
        <v>108</v>
      </c>
      <c r="F70" s="24" t="s">
        <v>414</v>
      </c>
      <c r="G70" s="24" t="s">
        <v>474</v>
      </c>
    </row>
    <row r="71">
      <c r="A71" s="24" t="str">
        <f t="shared" si="1"/>
        <v>Loading...</v>
      </c>
      <c r="B71" s="40" t="s">
        <v>199</v>
      </c>
      <c r="C71" s="57">
        <v>14.0</v>
      </c>
      <c r="D71" s="24" t="b">
        <v>1</v>
      </c>
      <c r="E71" s="12" t="s">
        <v>198</v>
      </c>
      <c r="F71" s="24" t="s">
        <v>387</v>
      </c>
    </row>
    <row r="72">
      <c r="A72" s="24" t="str">
        <f t="shared" si="1"/>
        <v>Loading...</v>
      </c>
      <c r="B72" s="12" t="s">
        <v>253</v>
      </c>
      <c r="C72" s="57">
        <v>14.0</v>
      </c>
      <c r="D72" s="24" t="b">
        <v>1</v>
      </c>
      <c r="E72" s="12" t="s">
        <v>252</v>
      </c>
      <c r="F72" s="24" t="s">
        <v>387</v>
      </c>
    </row>
    <row r="73">
      <c r="A73" s="24" t="str">
        <f t="shared" si="1"/>
        <v>Loading...</v>
      </c>
      <c r="B73" s="12" t="s">
        <v>227</v>
      </c>
      <c r="C73" s="57">
        <v>14.0</v>
      </c>
      <c r="D73" s="24" t="b">
        <v>0</v>
      </c>
      <c r="E73" s="12" t="s">
        <v>226</v>
      </c>
      <c r="F73" s="24" t="s">
        <v>387</v>
      </c>
    </row>
    <row r="74">
      <c r="A74" s="24" t="str">
        <f t="shared" si="1"/>
        <v>Loading...</v>
      </c>
      <c r="B74" s="12" t="s">
        <v>113</v>
      </c>
      <c r="C74" s="57">
        <v>14.0</v>
      </c>
      <c r="D74" s="24" t="b">
        <v>0</v>
      </c>
      <c r="E74" s="12" t="s">
        <v>112</v>
      </c>
      <c r="F74" s="24" t="s">
        <v>416</v>
      </c>
    </row>
    <row r="75">
      <c r="A75" s="24" t="str">
        <f t="shared" si="1"/>
        <v>Loading...</v>
      </c>
      <c r="B75" s="40" t="s">
        <v>291</v>
      </c>
      <c r="C75" s="57">
        <v>14.0</v>
      </c>
      <c r="D75" s="24" t="b">
        <v>1</v>
      </c>
      <c r="E75" s="12" t="s">
        <v>290</v>
      </c>
      <c r="F75" s="24" t="s">
        <v>418</v>
      </c>
    </row>
    <row r="76">
      <c r="A76" s="24" t="str">
        <f t="shared" si="1"/>
        <v>Loading...</v>
      </c>
      <c r="B76" s="12" t="s">
        <v>241</v>
      </c>
      <c r="C76" s="57">
        <v>14.0</v>
      </c>
      <c r="D76" s="24" t="b">
        <v>0</v>
      </c>
      <c r="E76" s="12" t="s">
        <v>240</v>
      </c>
      <c r="F76" s="24" t="s">
        <v>398</v>
      </c>
    </row>
    <row r="77">
      <c r="A77" s="24" t="str">
        <f t="shared" si="1"/>
        <v>Loading...</v>
      </c>
      <c r="B77" s="12" t="s">
        <v>121</v>
      </c>
      <c r="C77" s="57">
        <v>14.0</v>
      </c>
      <c r="D77" s="24" t="b">
        <v>0</v>
      </c>
      <c r="E77" s="12" t="s">
        <v>120</v>
      </c>
      <c r="F77" s="24" t="s">
        <v>378</v>
      </c>
    </row>
    <row r="78">
      <c r="A78" s="24" t="str">
        <f t="shared" si="1"/>
        <v>Loading...</v>
      </c>
      <c r="B78" s="40" t="s">
        <v>93</v>
      </c>
      <c r="C78" s="57">
        <v>14.0</v>
      </c>
      <c r="D78" s="24" t="b">
        <v>1</v>
      </c>
      <c r="E78" s="12" t="s">
        <v>92</v>
      </c>
      <c r="F78" s="24" t="s">
        <v>420</v>
      </c>
    </row>
    <row r="79">
      <c r="A79" s="24" t="str">
        <f t="shared" si="1"/>
        <v>Loading...</v>
      </c>
      <c r="B79" s="12" t="s">
        <v>276</v>
      </c>
      <c r="C79" s="57">
        <v>14.0</v>
      </c>
      <c r="D79" s="24" t="b">
        <v>1</v>
      </c>
      <c r="E79" s="12" t="s">
        <v>275</v>
      </c>
      <c r="F79" s="24" t="s">
        <v>422</v>
      </c>
    </row>
    <row r="80">
      <c r="A80" s="24" t="str">
        <f t="shared" si="1"/>
        <v>Loading...</v>
      </c>
      <c r="B80" s="12" t="s">
        <v>223</v>
      </c>
      <c r="C80" s="57">
        <v>14.0</v>
      </c>
      <c r="D80" s="24" t="b">
        <v>0</v>
      </c>
      <c r="E80" s="12" t="s">
        <v>222</v>
      </c>
      <c r="F80" s="24" t="s">
        <v>423</v>
      </c>
    </row>
    <row r="81">
      <c r="A81" s="24" t="str">
        <f t="shared" si="1"/>
        <v>Loading...</v>
      </c>
      <c r="B81" s="12" t="s">
        <v>180</v>
      </c>
      <c r="C81" s="57">
        <v>14.0</v>
      </c>
      <c r="D81" s="24" t="b">
        <v>1</v>
      </c>
      <c r="E81" s="12" t="s">
        <v>179</v>
      </c>
      <c r="F81" s="24" t="s">
        <v>424</v>
      </c>
    </row>
    <row r="82">
      <c r="A82" s="24" t="str">
        <f t="shared" si="1"/>
        <v>Loading...</v>
      </c>
      <c r="B82" s="12" t="s">
        <v>102</v>
      </c>
      <c r="C82" s="57">
        <v>14.0</v>
      </c>
      <c r="D82" s="24" t="b">
        <v>1</v>
      </c>
      <c r="E82" s="12" t="s">
        <v>101</v>
      </c>
      <c r="F82" s="24" t="s">
        <v>412</v>
      </c>
    </row>
    <row r="83">
      <c r="A83" s="24" t="str">
        <f t="shared" si="1"/>
        <v>Loading...</v>
      </c>
      <c r="B83" s="40" t="s">
        <v>111</v>
      </c>
      <c r="C83" s="57">
        <v>14.0</v>
      </c>
      <c r="D83" s="24" t="b">
        <v>0</v>
      </c>
      <c r="E83" s="12" t="s">
        <v>110</v>
      </c>
      <c r="F83" s="24" t="s">
        <v>426</v>
      </c>
    </row>
    <row r="84">
      <c r="A84" s="24" t="str">
        <f t="shared" si="1"/>
        <v>Loading...</v>
      </c>
      <c r="B84" s="12" t="s">
        <v>107</v>
      </c>
      <c r="C84" s="57">
        <v>14.0</v>
      </c>
      <c r="D84" s="24" t="b">
        <v>0</v>
      </c>
      <c r="E84" s="12" t="s">
        <v>106</v>
      </c>
      <c r="F84" s="24" t="s">
        <v>427</v>
      </c>
    </row>
    <row r="85">
      <c r="A85" s="24" t="str">
        <f t="shared" si="1"/>
        <v>Loading...</v>
      </c>
      <c r="B85" s="12" t="s">
        <v>261</v>
      </c>
      <c r="C85" s="57">
        <v>14.0</v>
      </c>
      <c r="D85" s="24" t="b">
        <v>0</v>
      </c>
      <c r="E85" s="12" t="s">
        <v>260</v>
      </c>
      <c r="F85" s="24" t="s">
        <v>428</v>
      </c>
    </row>
  </sheetData>
  <autoFilter ref="$A$1:$G$85"/>
  <drawing r:id="rId1"/>
</worksheet>
</file>