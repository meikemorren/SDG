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Finn" sheetId="2" r:id="rId5"/>
    <sheet state="visible" name="Gib" sheetId="3" r:id="rId6"/>
    <sheet state="visible" name="Jean-Baptiste" sheetId="4" r:id="rId7"/>
    <sheet state="visible" name="Meike" sheetId="5" r:id="rId8"/>
    <sheet state="visible" name="Steve" sheetId="6" r:id="rId9"/>
    <sheet state="visible" name="Source" sheetId="7" r:id="rId10"/>
    <sheet state="visible" name="Final Review" sheetId="8" r:id="rId11"/>
    <sheet state="visible" name="Output" sheetId="9" r:id="rId12"/>
  </sheets>
  <definedNames>
    <definedName hidden="1" localSheetId="7" name="_xlnm._FilterDatabase">'Final Review'!$A$1:$S$101</definedName>
    <definedName hidden="1" localSheetId="8" name="_xlnm._FilterDatabase">Output!$A$1:$G$961</definedName>
  </definedNames>
  <calcPr/>
</workbook>
</file>

<file path=xl/sharedStrings.xml><?xml version="1.0" encoding="utf-8"?>
<sst xmlns="http://schemas.openxmlformats.org/spreadsheetml/2006/main" count="2703" uniqueCount="437">
  <si>
    <t>Hello 👋</t>
  </si>
  <si>
    <t>Welcome to the labeling exercise for SDG 9.</t>
  </si>
  <si>
    <t>The objective of this exercise is to label 100 texts in terms of their relevance to SDG 9.</t>
  </si>
  <si>
    <t>Your Labeling Sheet</t>
  </si>
  <si>
    <t>You have your own personal sheet for assigning the labels. You will find it by clicking on your name in the list at the bottom of this page.</t>
  </si>
  <si>
    <t>Each sheet has the same 100 texts, but the order in which they appear has been randomized.</t>
  </si>
  <si>
    <t>Later on, we will put everyone's labels side-by-side. This will help us identify texts with high and low alignment.</t>
  </si>
  <si>
    <t>At our next meeting, we will discuss the texts where we have disagreements and see if we can reach a consensus for the "true" label for every text.</t>
  </si>
  <si>
    <t>Please resist the temptation to look at other people's labels until you are done labeling. 🙂</t>
  </si>
  <si>
    <t>Explanation of Labels</t>
  </si>
  <si>
    <t>On your personal sheet, you will find the text in column B.</t>
  </si>
  <si>
    <t>Column C contains a drop-down for picking the appropriate label. The options are:</t>
  </si>
  <si>
    <t>This text is relevant to SDG 9</t>
  </si>
  <si>
    <t>This text is not relevant to SDG 9</t>
  </si>
  <si>
    <t>SKIP</t>
  </si>
  <si>
    <t>You can use this if you are not sure about the label</t>
  </si>
  <si>
    <t>If you want, you can put any comments in column D.</t>
  </si>
  <si>
    <t>Instructions for Labeling</t>
  </si>
  <si>
    <t>The text should be annotated as SDG 9 only if:</t>
  </si>
  <si>
    <r>
      <rPr>
        <rFont val="Arial"/>
        <color theme="1"/>
        <u/>
      </rPr>
      <t xml:space="preserve">1. The text addresses </t>
    </r>
    <r>
      <rPr>
        <rFont val="Arial"/>
        <b/>
        <color theme="1"/>
        <u/>
      </rPr>
      <t>SDG 9 or one of its targets</t>
    </r>
  </si>
  <si>
    <t>See the official definitions of SDG 9 and its targets below ("SDG 9 Description &amp; Targets").</t>
  </si>
  <si>
    <t>AND</t>
  </si>
  <si>
    <r>
      <rPr>
        <rFont val="Arial"/>
        <color theme="1"/>
        <u/>
      </rPr>
      <t xml:space="preserve">2. The text addresses SDG 9 or its targets </t>
    </r>
    <r>
      <rPr>
        <rFont val="Arial"/>
        <b/>
        <color theme="1"/>
        <u/>
      </rPr>
      <t>directly</t>
    </r>
    <r>
      <rPr>
        <rFont val="Arial"/>
        <color theme="1"/>
        <u/>
      </rPr>
      <t>:</t>
    </r>
  </si>
  <si>
    <t>- the text should be directly relevant to SDG 9 or to achieving SDG 9</t>
  </si>
  <si>
    <t>- if a text only has an indirect or implicit relevance, it should not be labeled SDG 9</t>
  </si>
  <si>
    <r>
      <rPr>
        <rFont val="Arial"/>
        <color theme="1"/>
        <u/>
      </rPr>
      <t xml:space="preserve">3. The text addresses SDG 9 or its targets </t>
    </r>
    <r>
      <rPr>
        <rFont val="Arial"/>
        <b/>
        <color theme="1"/>
        <u/>
      </rPr>
      <t>specifically</t>
    </r>
    <r>
      <rPr>
        <rFont val="Arial"/>
        <color theme="1"/>
        <u/>
      </rPr>
      <t>:</t>
    </r>
  </si>
  <si>
    <t>- the text should be specific to SDG 9 and its targets</t>
  </si>
  <si>
    <t>- if fact stating, the text should contain value-laden words (e.g. renewable energy instead of energy, drug abuse instead of drugs, infant mortality instead of premature deaths)</t>
  </si>
  <si>
    <r>
      <rPr>
        <rFont val="Arial"/>
        <color theme="1"/>
        <u/>
      </rPr>
      <t xml:space="preserve">4. Annotate as SDG 9 regardless of </t>
    </r>
    <r>
      <rPr>
        <rFont val="Arial"/>
        <b/>
        <color theme="1"/>
        <u/>
      </rPr>
      <t>valence</t>
    </r>
    <r>
      <rPr>
        <rFont val="Arial"/>
        <color theme="1"/>
        <u/>
      </rPr>
      <t xml:space="preserve"> and </t>
    </r>
    <r>
      <rPr>
        <rFont val="Arial"/>
        <b/>
        <color theme="1"/>
        <u/>
      </rPr>
      <t>other SDGs</t>
    </r>
    <r>
      <rPr>
        <rFont val="Arial"/>
        <color theme="1"/>
        <u/>
      </rPr>
      <t>:</t>
    </r>
  </si>
  <si>
    <t>- annotate as SDG 9 regardless of whether the content is discussed in a positive or negative light. We ignore valence (sentiment) for now.</t>
  </si>
  <si>
    <t>- annotate as SDG 9 even if other SDGs are mentioned and annotate as SDG 9 even if SDG 9 is not the "most important" SDG in the text</t>
  </si>
  <si>
    <t>With all that said, please do trust your judgment! I am sure we will have important discussions about these issues next time — which is exactly what we want 😊</t>
  </si>
  <si>
    <t>SDG 9 Description &amp; Targets</t>
  </si>
  <si>
    <t>SDG 9</t>
  </si>
  <si>
    <t>Build resilient infrastructure, promote inclusive and sustainable industrialization and foster innovation</t>
  </si>
  <si>
    <t>Target 9.1</t>
  </si>
  <si>
    <t>Develop quality, reliable, sustainable and resilient infrastructure, including regional and transborder infrastructure, to support economic development and human well-being, with a focus on affordable and equitable access for all</t>
  </si>
  <si>
    <t>Target 9.2</t>
  </si>
  <si>
    <t>Promote inclusive and sustainable industrialization and, by 2030, significantly raise industry’s share of employment and gross domestic product, in line with national circumstances, and double its share in least developed countries</t>
  </si>
  <si>
    <t>Target 9.3</t>
  </si>
  <si>
    <t>Increase the access of small-scale industrial and other enterprises, in particular in developing countries, to financial services, including affordable credit, and their integration into value chains and markets</t>
  </si>
  <si>
    <t>Target 9.4</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</si>
  <si>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</si>
  <si>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Target 9.5</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</si>
  <si>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</si>
  <si>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Target 9.a</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</si>
  <si>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</si>
  <si>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Target 9.b</t>
  </si>
  <si>
    <t>Support domestic technology development, research and innovation in developing countries, including by ensuring a conducive policy environment for, inter alia, industrial diversification and value addition to commodities</t>
  </si>
  <si>
    <t>Target 9.c</t>
  </si>
  <si>
    <t>Significantly increase access to information and communications technology and strive to provide universal and affordable access to the Internet in least developed countries by 2020</t>
  </si>
  <si>
    <t>Click here to see all other SDGs and targets.</t>
  </si>
  <si>
    <t>Labeling Sheets</t>
  </si>
  <si>
    <t>Please click on your name to access your personal labeling sheet. Names are listed in alphabetical order.</t>
  </si>
  <si>
    <t>Name</t>
  </si>
  <si>
    <r>
      <rPr>
        <rFont val="Arial"/>
        <b/>
        <color theme="1"/>
      </rPr>
      <t>Progress</t>
    </r>
    <r>
      <rPr>
        <rFont val="Arial"/>
        <b val="0"/>
        <color theme="1"/>
      </rPr>
      <t xml:space="preserve"> (will update automatically)</t>
    </r>
  </si>
  <si>
    <t>Finn</t>
  </si>
  <si>
    <t>Gib</t>
  </si>
  <si>
    <t>Jean-Baptiste</t>
  </si>
  <si>
    <t>Meike</t>
  </si>
  <si>
    <t>Steve</t>
  </si>
  <si>
    <t>Thank you for being part of this exercise and thanks to OSDG for the dataset! ❤️</t>
  </si>
  <si>
    <t>Text Selection</t>
  </si>
  <si>
    <t>FYI: You do not need to read this section. We are just documenting how the texts for this exercise were selected.</t>
  </si>
  <si>
    <t>In total, 100 texts were selected from the OSDG dataset for SDG 9. The reason for selecting each text is documented in the "Source" sheet.</t>
  </si>
  <si>
    <t>Automatic Selection (50 texts)</t>
  </si>
  <si>
    <t>50 texts were selected automatically</t>
  </si>
  <si>
    <t>- 25 texts that OSDG community labeled as "SDG 9"</t>
  </si>
  <si>
    <t>- 25 texts that OSDG community labeled as "not SDG 9"</t>
  </si>
  <si>
    <t>In the OSDG dataset, each text has an agreement score between 0 (equal positive and negative labels) to 1 (full consensus).</t>
  </si>
  <si>
    <t>Each set of the 25 texts above consist of:</t>
  </si>
  <si>
    <t>- 5 texts with agreement score &gt; 0.8</t>
  </si>
  <si>
    <t>- 5 texts with agreement score &gt; 0.6 and &lt;= 0.8</t>
  </si>
  <si>
    <t>- 5 texts with agreement score &gt; 0.4 and &lt;= 0.6</t>
  </si>
  <si>
    <t>- 5 texts with agreement score &gt; 0.2 and &lt;= 0.4</t>
  </si>
  <si>
    <t>- 5 texts with agrement score &gt; 0 and &lt;= 0.2</t>
  </si>
  <si>
    <t>For each permutation (label + agreement level), the five texts with the largest number of annotators were selected.</t>
  </si>
  <si>
    <t>Manual Selection (50 texts)</t>
  </si>
  <si>
    <t>50 texts were selected manually</t>
  </si>
  <si>
    <t>- 5 texts containing words relevant to the SDG</t>
  </si>
  <si>
    <t>- 2 to 3 texts for each target, containing words relevant to that target</t>
  </si>
  <si>
    <t>Text ID</t>
  </si>
  <si>
    <t>Text</t>
  </si>
  <si>
    <t>SDG 9 Label</t>
  </si>
  <si>
    <t>Comments (optional)</t>
  </si>
  <si>
    <t>8762d726f2021cc763435d68a3bb94fc</t>
  </si>
  <si>
    <t>The initiative includes more than 8,000 corporate participants, of which 55% are SMEs. It is collaborating with UN entities such as the International Trade Centre (ITC) and the UN Industrial Organization (UNIDO) to bring SMEs into the sustainability fold. Our Women’s Empowerment Principles (WEPs) offer guidance on women in the workplace, marketplace and community.</t>
  </si>
  <si>
    <t>SDG 8 rather than SDG 9</t>
  </si>
  <si>
    <t>362a69966d68d2b5ea7036666fbe7891</t>
  </si>
  <si>
    <t>One of the most striking results was that households were more likely to use the benefits to reduce risk (e.g. by buying health insurance) than to increase consumption, and households invested more in livestock assets which they used to engage in small enterprises and in non-bank savings. In China, industrialisation in the countryside, which was encouraged to absorb surplus labour, increase rural household income and provide operating revenues for local governments, has caused detrimental environmental problems. Rural factories typically bum raw coal and consume heavy amounts of water, but lack the advanced technologies, equipment and management expertise that can mitigate environmental pollution. As a result, they cause massive air and water pollution. In the mid-1990s, rural factories were estimated to emit up to two-thirds of China’s air pollution (Tilt and Xiao, 2007), while over 80% of rivers in China have some degree of contamination and water has become public health risk. Two-thirds of rural population do not have access to piped water, which increases exposure to pollution-related illnesses.</t>
  </si>
  <si>
    <t>unsustainable industrialization</t>
  </si>
  <si>
    <t>36d32b3ab585d62268d16f31608994dd</t>
  </si>
  <si>
    <t>This would alleviate the problem of electricity theft and enable online smart decisions by both the end user and the utility company to adjust their respective loads. The programme meets a considerable number of objectives of the WSIS Action Lines and SDGs in terms of economic growth, employment, quality education, lifelong learning opportunities, etc. The Situational Center is intended to be an "indicator board", i.e. an indicator of "health" and an instrument for the management of technological and administrative processes.</t>
  </si>
  <si>
    <t>10b32932c4c837ea1d3a2ccc843006f3</t>
  </si>
  <si>
    <t>The “statistical discrimination” theory maintains that discrimination is based on stereotypes: in a context of information asymmetries, employers use an observable identity characteristic of a group (e.g. race or gender) as a signal for an unobservable variable (e.g. skills or productivity) (Phelps, 1972, Arrow, 1973). From early age, boys and girls perceive different stereotyped notions of what they should excel and enjoy in doing, which shapes their behaviours and may even affect their performance (Hill, Corbett and St. Rose, 2010, OECD, 2012a). For example, as early as the first year of primaiy school, girls rate their own ability in mathematics as lower than that of boys, even when their actual performance does not differ (Fredericks and Eccles, 2002, Herbert and Stipek, 2005).</t>
  </si>
  <si>
    <t>fc858cb61f1e681ce345cc088e09016d</t>
  </si>
  <si>
    <t>Yet, in many countries those systems are notoriously inflexible, portending serious challenges. This is among the reasons that the public sector has traditionally played a major role in education and training. Another cause for this role is concern for equality of opportunity, with government intervention aiming to ensure that low income households and SMEs can make the necessary investments in skills even if their access to finance is limited.</t>
  </si>
  <si>
    <t>0b8aa137261ca6a4b6ae1a5f28846e84</t>
  </si>
  <si>
    <t>While most countries have adopted broadband policies or strategies, more infrastructure investments are necessary to ensure reliable connections and universal access to ICTs. However, access to ICTs is not enough. Additional efforts are needed to strengthen domestic capacity, especially in digital literacy, higher education and other research institutions, to better exploit the full benefits of ICTs and set sustainable growth paths for the future. Access to new knowledge, innovation, and new technologies can catalyse efforts and contribute to faster achievement of many of the SDGs.</t>
  </si>
  <si>
    <t>de6512eebaf0eaafc7fa866eb637576a</t>
  </si>
  <si>
    <t>Prior to this configuration (1975-98), the administrative structure included over three times the number of vovoideships and the powiat level did not exist. There are three legal types of municipalities: 1) urban communes, 2) rural communes, 3) uiban-mral communes. These are translated into country-specific recommendations and target objectives.8 Within the EU policy framework there is scope for country members to determine their own complementary priority areas and as such, Poland’s rural policies are a mix of both EU and national priorities (involving the co-financing and co-management of funds).</t>
  </si>
  <si>
    <t>typos</t>
  </si>
  <si>
    <t>3a8f2e714f8d1929c608b6a3155d07ff</t>
  </si>
  <si>
    <t>Concerned with economic development, Mobilis is strengthening its partnership strategy with the local technology industry and is thereby participating fully in the emancipation of the national economy. This project is developed in partnership with Huawei Ericsson ZTE, and it relates to SDGs 1, 3, 5, 8 and 9, building resilient infrastructure, promoting sustainable industrialization and fostering innovation. San Luis 3.0 is the name of the state policy that defines actions to maximize San Luis' digitalization and prepares it for the effects of the fourth industrial revolution.</t>
  </si>
  <si>
    <t>3141431a3a1e6f1a353dbf8ba9bfd0a2</t>
  </si>
  <si>
    <t>Changes in existing processes can only be considered R&amp;D if new methods are applied to improve current processes. While always being closely linked to the System of National Accounts (SNA), the 2008 revision of the SNA adopted the Frascati definitions and derived data to change the treatment of R&amp;D from being intermediate consumption to investments. This change had implications on the calculation of GDP as R&amp;D would be considered production. The re-classification resulted in an increase in GDP by on average 2.2 percentage points in OECD countries. (</t>
  </si>
  <si>
    <t>3b97c24b18de80bb2859fb240600e042</t>
  </si>
  <si>
    <t>This raises growth opportunities at the national level, and creates space for raising public revenue that can be used for further development expenditure. However, with the lack of infrastructure availability, economic growth suffers and this has a negative impact on the possibility of raising public revenues. Therefore, while inadequate infrastructure leads to a vicious cycle of weak public services and disincentives for private sector investment for economic activities, improving infrastructure helps Governments to generate revenue by strengthening growth. In the short term, building infrastructure boosts aggregate demand through increased construction activity and the creation of employment In the long term, infrastructure investment can boost economic growth by increasing the supply capacity of an economy (World Bank, 2012).5 Infrastructure development and maintenance have several policy implications due to their nature and sustained financing needs.</t>
  </si>
  <si>
    <t>target 9.1</t>
  </si>
  <si>
    <t>4cd4c7eda79265cccc3a5eee321c0a92</t>
  </si>
  <si>
    <t>They thus create a dynamic whereby: i) recruitment is based on objective, non-discriminatory criteria, thus increasing the chances of recruiting the workers that are best suited for each job, and ii) future investments would be targeted to most efficient activities, regardless of the group undertaking them, thus making those investments more sustainable in the long run. Individuals suffering discrimination also suffer from lower incomes and poorer health status, stemming from higher psychological distress, lower self-esteem and related mental health problems (Choi et al., In turn, firms that discriminate narrow the pool of employees considered in recruitment processes, resulting in lower productivity and profits (Lanning, 2010). At the aggregate level, discrimination can lead to depressed wages and underemployment for a high share of the discriminated population (Baldwin and Johnson, 1996).</t>
  </si>
  <si>
    <t>01eade64240d9cdbe82425d88f18dc8b</t>
  </si>
  <si>
    <t>The authors are grateful to the model's author, Mr. Luis Martinez, Modeller and Analyst at the ITF. For editorial support the authors thank Ms. Edwina Collins, Content Production Co-ordinator, ITF, Ms. Katherine Farrow, Modeller and Analyst, ITF, and Michael Kloth, Head of Communications, ITF. Further support was provided by Mr. Luke Mackle, Consultant, and Ms. Tabea Klang, former Consultant, both of the Eurasia division. Final editorial and visual support was provided by Ms Vanessa Berry-Chatelain, Communications Manager, OECD Global Relations Secretariat.</t>
  </si>
  <si>
    <t>357480cdf5a83458cf1fdb2797344949</t>
  </si>
  <si>
    <t>They introduced the concept of the “bottom of the pyramid” (BoP), further developed in Prahalad (2005). The International Finance Corporation (IFC) and the World Resources Institute (Hammond et al., They estimated that in 2002, the 4 billion people living in poverty constituted a USD 5 trillion global consumer market, of which the 5 economies of China, Colombia, India, Indonesia and South Africa represented USD 3.2 trillion.</t>
  </si>
  <si>
    <t>21e0fbf4c00b0e464c516d764f1d178f</t>
  </si>
  <si>
    <t>Moreover, a prerequisite for workers to be able to use new technology and capital productively is that they have the appropriate skills and abilities that are required to do so. Key examples of policy areas that should be considered to foster productivity therefore also include not only improving the availability and quality of physical as well as information and communication infrastructure, but also expanding investment in education, with a particular focus on improving its quality and increasing the focus on science, technology and innovation. Policy attention is also increasingly being paid to technical and vocational education and training, which comprises formal, non-formal and informal learning for the world of work. Reassessing training and educational systems by taking into account such criteria as quantity, quality and relevance of teaching methods and teaching material would therefore be an important step in strengthening the innovation potential of the region.</t>
  </si>
  <si>
    <t>c8ae2566de3f3a0e943b728b66ce8500</t>
  </si>
  <si>
    <t>The framework requires that infrastructure development is seen from a holistic perspective in terms of these interdependencies and that planning horizons are longer term, accounting for the full lifespan of the system and of the individual assets. Relational databases that enable us to structure and analyze data have been part of mainstream product offerings since the mid to late 1970s. Spatial databases to represent objects defined in geometric space are common today, as are geospatial systems that enable us to work with detailed geographical information.</t>
  </si>
  <si>
    <t>target 9.1 (quality / sustainable)</t>
  </si>
  <si>
    <t>6c230e51cedce8a83b1a4d2c149ea3d2</t>
  </si>
  <si>
    <t>Virtually universal healthcare, pension and primary education systems have led to relatively low' infant mortality, long life expectancy (close to 80 years), a high literacy rate and low poverty by Latin American standards. Costa Rica has also built a world-renowned green trademark and a strong eco-tourism industry based on good management of natural resources focusing on the protection of biodiversity and renewable energy sources. These successes are reflected in well-being indicators for Costa Rica, w'hich are comparable or even above the OECD average in several dimensions. Inequality is rising, economic growth is slowing and burdens on public finance have been growing. Budgetary pressures are more persistent and have particularly worsened since the global financial crisis.</t>
  </si>
  <si>
    <t>3477d91e205b5afcba892330b840e704</t>
  </si>
  <si>
    <t>Addressing discrimination is complex, as it is not simply related to the aforementioned “taste discrimination” theory that is to be addressed explicitly in education (Becker, 1957). Much discrimination relates more to “statistical discrimination”, i.e. contexts where stereotypes inform decisions because the other party (as e.g. an employer) does not have information on individuals and so judges an individual’s potential performance based on perceived characteristics of a group (Phelps, 1972, Arrow, 1973). This is more difficult to address, particularly if a group has already been at a disadvantage in engaging in certain activities.</t>
  </si>
  <si>
    <t>44d5749920b592f90e148a260e5d4fd2</t>
  </si>
  <si>
    <t>The Committee for Scientific and Technological Policy (CSTP) approved and declassified this paper on 16 March 2017. The opinions expressed and arguments employed are those of the authors. Comments on Working Papers are welcomed, and may be sent to Directorate for Science, Technology and Innovation, OECD, 2 rue Andre-Pascal, 75775 Paris Cedex 16, France.</t>
  </si>
  <si>
    <t>53a1904c7dbe74bbd49d177a4e8ee14f</t>
  </si>
  <si>
    <t>Other consequences of such misallocations may include labour market distortions (e.g. a large-sized informal economy), firm-level challenges in recruiting staff with appropriate skills, and high gender inequalities (OECD, 2016b). All of these are visible in Latin America. Estimates show that nearly 55% of workers in the region are informal (Bosch, Melguizo and Pages, 2013), and more than 35% of firms in most countries report difficulties recruiting adequately skilled labour, significantly above rates in other emerging regions such as East Asia and Pacific, Eastern Europe and Central Asia.</t>
  </si>
  <si>
    <t>1612241b27c66e4c5c7e1e2667ea1584</t>
  </si>
  <si>
    <t>Experimentation and innovative mechanisms, such as regulatory sandboxes, can help policymakers design appropriate regulatory frameworks. A variety of factors can constrain diffusion of technology. To improve access, it is important to identify binding constraints—be they absorptive capacities and the digital skills gap, lack of economic incentives, social and cultural factors, or issues related to intellectual property rights (IPRs).</t>
  </si>
  <si>
    <t>e6aee3f776aac72e24008a60b5ff17cd</t>
  </si>
  <si>
    <t>The composition of these groupings, specified in tables A, B and C, is intended to reflect basic economic country conditions. Several countries (in particular the economies in transition) have characteristics that could place them in more than one category, however, for purposes of analysis, the groupings have been made mutually exclusive. Within each broad category, some subgroups are defined based either on geographical location or on ad hoc criteria, such as the subgroup of “major developed economies”, which is based on the membership of the Group of Seven.</t>
  </si>
  <si>
    <t>85c3b72aeb7dac86b9d06614abc02e01</t>
  </si>
  <si>
    <t>The DAC are also discussing ways to improve knowledge sharing, promote learning, and incentivise innovation in development co-operation policies and practices. While the details of such marker are not yet defined, the proposal to add a new marker on innovation signals DAC members’ increasing ambition towards greater innovation in how development co-operation is planned and implemented. While there are many technological developments across many fields, most references in STI policy are linked to the digital transformation and the access and use of modern information, communication technologies (ICTs).</t>
  </si>
  <si>
    <t>target 9.c</t>
  </si>
  <si>
    <t>4d89b053ae33e8e65c966606d60be4fd</t>
  </si>
  <si>
    <t>Tariff data cover 2005, 2008 and 2009, and are aggregated to the industry detail of the OECD ICIO model, weighting each 6-digit product by its share of bilateral trade in the corresponding industry as reported by the importer. Lastly, the data are aggregated at the country level by weighting with respect to intermediate imports when it comes to backward participation and exports to forward. The weighted average corresponds to a rough measure of the revenue from tariff expressed as a ratio of total trade of intermediates.</t>
  </si>
  <si>
    <t>ab83ba0a097abd033774b03f769ca3d0</t>
  </si>
  <si>
    <t>Cirera and Winters (2014) find that aid for trade has a positive impact on exporting and importing times in sub-Saharan African countries, but other factors explain differing experiences in structural change. They find that a 1% increase in aid-for-trade facilitation could generate a USD 415 million increase in global trade. An USAID (2010) evaluation of trade assistance focusing on expansion of exports, trade policy reform, increased participation in trade agreements, and efficiency gains from trade facilitation assistance, finds that each additional US dollar increases the value of developing country exports by USD 42 two years later.</t>
  </si>
  <si>
    <t>ae7338c5b1e410f75514cf4602938c8d</t>
  </si>
  <si>
    <t>Such services and related physical infrastructure occur at multiple scales and serve urban, industrial, agricultural and rural users, as well as involving ecological considerations (Global Water Partnership, 2009). They include dams and hydropower, water supply, wastewater, sanitation and water quality, storm water systems, irrigation and drainage, river and coastal works, pipelines and canals, and natural water infrastructure (Grigg, 2017). The particular nature of water as a basic human need, in combination with its amenability to being controlled and monopolized in different circumstances, makes public involvement in its provision both necessary and fraught.</t>
  </si>
  <si>
    <t>lacking context. Remove?</t>
  </si>
  <si>
    <t>1eb4d1117f122fa1a652072d1599b630</t>
  </si>
  <si>
    <t>Such expectations can have profound implications for the policy mix and governance arrangements. The greening of science, technology and innovation (STI) policies is particularly noticeable, as technology and innovation are increasingly seen as ways to mitigate climate change. In this context, broader and denser ties are being formed between public and private actors, beyond traditional intellectual property (IP) links and incubators, with a view to exploit more fully the potential synergies between the two sectors. Innovation policies now require a “whole-of-government” approach.</t>
  </si>
  <si>
    <t>74831f911bf6eea77fb500974a35c98d</t>
  </si>
  <si>
    <t>An outline of the indicator framework is shown in Table 5.1. The five themes covered include: the environment and resource productivity of the economy, the natural asset base, the environmental dimensions of quality of life, economic opportunities and policy responses, and context indicators covering the socio-economic characteristics of growth. What are the lessons that other local areas can leam from Schonefelder Kreuz, and what are the critical markers of transition and how effective have policy responses been in encouraging this transition?</t>
  </si>
  <si>
    <t>7f1d02e3db39dcf22289a1991b5f6d95</t>
  </si>
  <si>
    <t>The switching point where foreign direct investment (FDI) takes on greater relative importance compared to aid for trade and is found around the cut off of GNI that separates the least developed countries from those with a higher GNI,i.e. According to a recent OECD Survey, in 2012-15 USD 81.1 billion was mobilised through a series of development finance interventions (Figures 11.3 and 11.4). The ultimate development merits of such blended finance, however, will depend on the specific transactions and projects being developed.</t>
  </si>
  <si>
    <t>7c9177c34b24f2e8edb9c2ead45796bb</t>
  </si>
  <si>
    <t>The computational models we build can help us deepen our understanding infrastructure systems. This requires experts to make a series of reasonable assumptions to fill unanticipated 'specificity gaps'. Using such models or even the best Al algorithms should therefore always be tempered with human understanding and knowledge.</t>
  </si>
  <si>
    <t>bf0d8c5d610f91c7587f76882c3efe48</t>
  </si>
  <si>
    <t>Many of these activities are conducted by corporate foundations or in form of corporate social responsibility actions. A final issue is that information on foreign direct investment (FDI) is not available at the sectoral level. The 2016 OECD-DAC Survey estimates that between 2012 and 2015, US$81 billion was mobilized from the private sector by official development finance interventions in the form of guarantees, syndicated loans, shares in collective investment vehicles (CIVs), credit lines and direct investment in companies.</t>
  </si>
  <si>
    <t>21d426c989c0c51ab2164591670407aa</t>
  </si>
  <si>
    <t>For example, in the context of the Ideas for Change programme in Colombia, some communities in more remote areas were initially reluctant to have the government and the research community provide solutions to their needs, due to the lack of trust. During the implementation of the Kiut programme in Hungary, convincing the target group (mostly low-income individuals from the Roma minority with no experience in dealing with bureaucratic procedures) to apply to the programme became an important implementation challenge. This partly explains the fact that, from the original aim of 400 recipients, only 138 finally received microloans. Similarly, during the implementation of the European Progress Microfinance Facility Programme in Lithuania, the bank in charge of providing loans to (mainly female) micro-entrepreneurs had difficulties allocating the funding due to lack of demand (in part due to expensive rates on products): from EUR 5 million available, only EUR 1.91 million were committed.</t>
  </si>
  <si>
    <t>97e167c2d9a431c67f4b8515117df480</t>
  </si>
  <si>
    <t>Additionally, Afghanistan has problems involving corruption, security, technical skills, labour and infrastructure. Cultural barriers, which limit free movement of women in their daily lives, also affect their professional activities. I made it a priority to hire women, but many others would not work with a woman or company mostly made up of women.</t>
  </si>
  <si>
    <t>1cda1bb92ee7a697dcf019bb6e89eb92</t>
  </si>
  <si>
    <t>Implementation will be difficult, because of the proliferation of new, uncoordinated planning mechanisms and the prescriptive approach of Grenelle, which runs counter to the current trend toward greater flexibility in planning (planning by ordonnance). In the Paris-IDF region, such coordination is bound to be complicated due to its position as a global metropolis viewed by the government as strategic, the many players involved in its governance, the fragmentation of fields of intervention, and the diffuse and often opaque nature of the decision-making process. This is all the more true when one attempts to describe “the system of green growth governance in Ile-de-France,” as “green growth” is not currently the explicit object of governance. The region is characterised by a surfeit of administrations - the famous institutional millefeuille comprising nearly 1 300 communes - which frustrates horizontal and vertical coordination among public players. Consequently, it is difficult to strike a consensus on a coherent and shared vision of the region. This fragmentation of local authorities is a handicap for green growth, which requires coordinated spatial approaches.</t>
  </si>
  <si>
    <t>d4938ef2ef810228f45b8fd396162e45</t>
  </si>
  <si>
    <t>Online platforms are increasingly providing such services as logistics and finance (Chapter 2). In particular, export promotion agencies may want to create partnerships with logistics and/or financial service providers to offer a package of services to national exporters. These initiatives involve close collaboration between TIPOs and the private sector.</t>
  </si>
  <si>
    <t>a2a64d65e8746b9479d6353a39842e05</t>
  </si>
  <si>
    <t>Although gender-focused aid has been on the rise since the launch of the Millennium Development Goals, there is much room for improvement (OECD DAC, 2014). The total annual average amount of official development assistance (ODA) to support gender equality and women’s empowerment2 committed by the OECD Development Assistance Committee (DAC) donors in 2012 and 2013 was USD 25.9 billion, which was only around one-quarter of all sector-allocable aid, both of which are not mutually exclusive (OECD DAC, 2015). Gendered aid is heavily concentrated in education and health.</t>
  </si>
  <si>
    <t>2b5cf83ecea586a07e73a9ae15dfd72e</t>
  </si>
  <si>
    <t>In spite of these advances, however, there remain areas in which telecommunications access is sparsely distributed, and continued efforts are therefore needed to connect the poor in remote rural areas to national and global networks. Affordability is as important as connectivity in enabling the poor to gain from new technology (chapter II). In addition, to benefit fully from improved access, users need relevant content, the capabilities to make use of it, and the power and transport infrastructures that facilitate connectivity and stimulate wider economic activity.</t>
  </si>
  <si>
    <t>cf5c74087feff44ad79474b5ac91a544</t>
  </si>
  <si>
    <t>While becoming closely integrated into the European and global economy, Slovenia has kept a strong sense of national identity placing high value on its language and culture. Already before 1991, Slovenia had been at the economic forefront within former Yugoslavia. In the two decades that followed, bold decisions, sound economic policy and hard work yielded success and resulted in stability as well as a strong position of this small country of two million inhabitants in Central Europe.</t>
  </si>
  <si>
    <t>b84162bedc165c49588200cec84951ee</t>
  </si>
  <si>
    <t>The post-crisis response and the exceptional measures taken by OECD countries—including prolonged low interest rates and unconventional monetary policy—distorted the development finance landscape. As international interest rates normalise and conditions in developing countries improve, capital that flowed to developing countries is returning back to developed countries. For instance, in 2015 private flows to developing countries at market prices dropped almost 60% compared to 2014.</t>
  </si>
  <si>
    <t>f5f3288ad7cc7721c11157297676f5e7</t>
  </si>
  <si>
    <t>The digital divide between developed and developing countries remains wide in terms of access to broadband services and e-commerce platforms, quality of infrastructure and legal framework. On average, services firms are more intensive users of digital technology than manufacturing firms, while high-tech firms are more intensive users of industrial robots than services or low-tech firms. Despite these challenges, it is possible to illustrate the current state of the digital economy using available statistical and anecdotal evidence and to make inferences about its likely future direction. The US International Trade Commission (USITC) offers a similar estimate of US$ 27.7 trillion for global e-commerce in 2016, up 44 per cent from 2012.</t>
  </si>
  <si>
    <t>6428d9f11f0ff663b3a558f62f834c95</t>
  </si>
  <si>
    <t>Despite no increase in funding since 2010, the health sector is still the largest receiving sector of ODF support to science and innovation. The focus areas in the health sector are infectious and STD-related disease control, including HIV/AIDS, and reproductive health. Other priority sectors are the agriculture and education sectors.</t>
  </si>
  <si>
    <t>a044666c7fad5972c0deaad3751681aa</t>
  </si>
  <si>
    <t>Dynamic innovation, adaptation and adoption of new and better ways to allocate and productively use resources over time so as to continuously enhance what is achievable in terms of people’s needs or well-being. At the same time, we may face inter-temporal tradeoffs, in the well-being of people over time. In such cases, it is important to strike the right balance. Climate change is a much cited case of a potential win-lose outcome over time, and therefore unsustainable development. It is also, however, possible to go too far in the opposite direction, adopting policies that hurt those in the present more than they benefit those in the future.</t>
  </si>
  <si>
    <t>c50587f3ebc7d0b7940fe2847f7d4b1c</t>
  </si>
  <si>
    <t>The prospects for aggregate ODA are not encouraging: unprecedented fiscal pressures in OECD countries are reducing aid budgets. There is a need both to sharpen the focus of ODA onto LDCs, and to look to alternatives. While the ostensible rationale for aid is to address poverty, most aid goes to countries that are not LDCs.</t>
  </si>
  <si>
    <t>074b6b0a6910630d357129b152dabd14</t>
  </si>
  <si>
    <t>Industrial inclusiveness policies are implemented to address the problem of a dual economy (i.e. one divided into highly innovative/productive sectors and traditional/low productivity sectors) by improving the competitiveness of less innovative firms and foster the emergence of new activities by increasing the enteipreneurship of underrepresented groups. These new activities may address previously underserved needs. Territorial inclusiveness policies foster the development of more productive and innovative activities in lagging regions, offering better opportunities for people in those areas. They also increase the chances of other initiatives (e.g. investment in R&amp;D and transport infrastructure) to have their intended effects on innovation performance and growth.</t>
  </si>
  <si>
    <t>2347398706d4dceeb074fb0c94df17f1</t>
  </si>
  <si>
    <t>Remain on track while crossing this rocky terrain - a considerable period of time will be needed for all the reforms to take hold. This includes remuneration systems that separate compensation for teaching and research. Incentives provided with project and programme funding need to be aligned with the goals and processes of university reform. Whether these are returning expatriates or researchers without a Slovenian background, whether doctoral students or end-of-career professors, all should be welcome in principle.</t>
  </si>
  <si>
    <t>target 9.5</t>
  </si>
  <si>
    <t>f2d7bbe9cdc854ccbb301c538f9548a8</t>
  </si>
  <si>
    <t>Information on the estimated percentage of the allocation dedicated to rural areas is included in each of the Specific Description of Priority Axes of each ROP. These amounts show the potential source of funding dedicated to rural areas w'ithin specific themes (Table 2.3). The national government has no compliance mechanism by which to ensure that these amounts are met. There are plans to introduce a monitoring tool for this process at the end of 2018.</t>
  </si>
  <si>
    <t>typo</t>
  </si>
  <si>
    <t>fae7d643309797a987a8a5d17eae8da0</t>
  </si>
  <si>
    <t>These advances allow companies to mine and exploit so-called ‘alternative data’. Such data include information on the location of consumers, frequency and type of phone calls, frequency of utility bill payments, social media presence, and various other items. Based on this information, financial technology companies build models that calculate the propensity of consumers to repay their financial obligations and that provide them with the appropriate financial facilities. Consequently, financial technology companies can provide access to finance and credit without relying on credit-scoring agencies, which do not operate in all markets.</t>
  </si>
  <si>
    <t>bc281ff4a49fd742a209a8317c2c3e95</t>
  </si>
  <si>
    <t>The international mobility of research staff facilitates this global reach, as both professors and graduate students are generally highly mobile in their careers and can organise long-term visiting periods in other institutions. Multinationals are very strategic in their location decisions, particularly for tapping into a knowledge-intensive region elsewhere in the world. The same is not always true for many SMEs that lack the same capacity or benefit from a global partner search as a large multinational. This positive influence is evident to a lesser degree for cross-border traders, which could signify benefits to businesses of accessing diverse knowledge inputs at the cross-border level.</t>
  </si>
  <si>
    <t>d82832adfd81ccee53cccd0bef35f383</t>
  </si>
  <si>
    <t>The analysis in this paper is based on bilateral ODA and multilateral outflows. Taking the developing country angle makes more sense to assess the amount of resources available to countries towards the attainment of the SDGs. Instead of counting core funding to multilateral agencies, the analysis includes research activities performed by multilateral agencies based on the same criteria as for bilateral donors.</t>
  </si>
  <si>
    <t>0880decea47fe86b21e70d4e07bccc9b</t>
  </si>
  <si>
    <t>The objectives of public and private research differ widely. Public research generally has the objective of expanding the knowledge base and obtaining recognition for this, and does not necessarily result in upgrading of the technological capabilities of industrial sectors. Conversely, private research is motivated primarily by the practical application of the knowledge that it develops.</t>
  </si>
  <si>
    <t>2d695d36a6594d60ae4682780b19f24b</t>
  </si>
  <si>
    <t>Infrastructure provides the basic physical facilities essential to business and society, industrialization drives economic growth and job creation, thereby reducing income inequality, and innovation expands the technological capabilities of industrial sectors and leads to the development of new skills. However, inequalities in the value added in the manufacturing sector point to the steep challenges faced by the most disadvantaged countries, as well as their potential for growth. For example, in 2015, manufacturing value added (MVA) per capita was less than 100 US dollars a year in the least developed countries (LDCs) compared to 4,926 US dollars in developed regions.</t>
  </si>
  <si>
    <t>a08a4b005493791da231b42e733ba12d</t>
  </si>
  <si>
    <t>Unlike the Millennium Development Goals, the Sustainable Development Goals are universal and comprehensive goals that give equal importance to the economic, social and environmental pillars of sustainable development. Islands of prosperity surrounded by poverty, injustice, climate change and environmental degradation are viewed as neither sustainable nor acceptable. Bridging such a gap is a formidable task, especially in least developed countries (LDCs).</t>
  </si>
  <si>
    <t>76030d1f14e9e89f05b3c023e083b4ef</t>
  </si>
  <si>
    <t>At the same time, the shift in the nature of employment towards more temporary, less secure jobs risks placing a greater burden on individual workers to acquire the right skills and competences at their own expense.17 In many parts of the world, women are over-represented in informal occupations or the self-employed, constraining their opportunities for training, lifelong learning and skill acquisition. Providing strong policy support will be essential to ensuring the equal sharing of technological dividends from innovation. Currently, about 15-20 per cent of employees in advanced economies and 40-80 per cent of employees in developing countries are self-employed.</t>
  </si>
  <si>
    <t>a239663f3b1cd146891b6f2235c29198</t>
  </si>
  <si>
    <t>This involves optimizing processes and reducing defects to achieve better management and more efficient use of time and resources. This in turn can lead to greater customer satisfaction and an enlarged client base - domestically (for example, in public procurement) or internationally. For firms and developers in developing and transition economies, quality standards are relevant to building trust among potential foreign clients - a key parameter to win offshoring contracts.</t>
  </si>
  <si>
    <t>dc303c8b88722a89fdd1613519e3c413</t>
  </si>
  <si>
    <t>National regulatory reforms have been adopted to drive and regulate electronic transactions, including laws to protect personal data, protect consumers, and fight cybercrime. The government has created a Ministry of Posts and Digital Economy, and has opened an academic institution that focuses on new technologies. E-commerce is gradually taking hold and online businesses are tapping into burgeoning consumer demand. Nevertheless, the growth of e-commerce is still limited by issues such as limited logistics and payment services, and high costs for electricity and broadband.</t>
  </si>
  <si>
    <t>5740e9afa658171030a10954b97c405c</t>
  </si>
  <si>
    <t>This level is barely a fifth of the GDP per capita levels of more than $15,000 (at PPP) that existed in 1970 in developed economies in the region, when services contributed 50% of value added in GDP. Mandaluyong City, Philippines, ADB, 2013). For the stochastic frontier approach, see Denis J. Aigner, C.A. Knox Lovell and Peter Schmidt, “Formulation and estimation of stochastic frontier production function models", Journal of Econometrics, vol.</t>
  </si>
  <si>
    <t>59e8c79a5899e5ef22a18feb8f9d2107</t>
  </si>
  <si>
    <t>In OECD countries, a large part of logistics is now outsourced to third-party logistics (3PL) providers. Despite the shortcomings presented previously, local professionals are more satisfied with their local trucking and railways services than their peers in middle-income countries. This is not the case for warehousing, freight forwarding, custom broking and services.</t>
  </si>
  <si>
    <t>09bfed64cb823451848a438cfe759332</t>
  </si>
  <si>
    <t>Personal income taxes have had a relatively small impact on reducing inequality, but transfers from the central government to local governments produced a more equalising effect, albeit with mixed results in terms of satisfaction with public services. Social protection systems have also been extended, but important coverage gaps remain among the poor and ethnic minority groups, and informality remains a key challenge for universal extension. This has been backed by large investments in rural hard and soft infrastructure and a majority of government transfers dedicated to rural areas, leading to a decrease in the rural-urban income gap since 2011.</t>
  </si>
  <si>
    <t>regional infrastructure</t>
  </si>
  <si>
    <t>f1af0af932c136f20d7e4f646caff3ef</t>
  </si>
  <si>
    <t>Innovative pricing schemes, such as dynamic discounting, are also helping to make the service more affordable for low-income groups. It is home to the countries with the lowest mobile-cellular price baskets worldwide: Sri Lanka and Bangladesh, where prices stand out at PPP$ 2.45 and PPP$ 4.14 per month. Globally, the price of a basic fixed-broadband connection fell from around USD 80 per month in 2008 to USD 25 in 2015, corresponding to a drop in the ratio of price to average GNI per capita from over 90 per cent to 14 per cent.</t>
  </si>
  <si>
    <t>broadband access</t>
  </si>
  <si>
    <t>df1fc304fd23a161686507b9dd87895b</t>
  </si>
  <si>
    <t>The activities eligible for funding (max. Funds can also be used for market analysis, business planning, concept/strategy development. A total of four calls have been launched so far, with the number of applications growing each time. In 2010, a total of 284 pre-applications and 159 full applications were received, of which a total of 46 were approved and funded. In 2011,33 projects were approved.</t>
  </si>
  <si>
    <t>666b2e1a2bcf7d057db32e370ad39940</t>
  </si>
  <si>
    <t>For their part, governments need to ensure that their own country’s quality infrastructure is ready for industry 4.0. But this growth has stagnated in recent years. This is especially evident in many SMEs, where weaknesses in competitiveness, poor working conditions and low skill development prevail.</t>
  </si>
  <si>
    <t>00d8a629c87df45375043cddcdf17d5a</t>
  </si>
  <si>
    <t>Workers have incentives too, as such investment improves their job and revenue prospects. Yet for a number of reasons those incentives are unlikely to lead to optimal outcomes - neither for firms nor for workers, and definitely not for a country as a whole. This is of particular concern at a time of pressure on education and training systems, when the ability to adjust skills can determine a country's economic future.</t>
  </si>
  <si>
    <t>bcbfd7b80fb954118a14a236cc8f550b</t>
  </si>
  <si>
    <t>It is expected that new partnerships will be formed between researchers in the United Kingdom and in developing countries, forging greater knowledge exchange and strengthening the capacity for research and innovation in both the United Kingdom and in other countries. Out of a total of 22 projects implemented between 2015 and 2017, 41% were focused on improving digital skills. The remaining projects focused on working with the youth to encourage local entrepreneurship (22 %), expanding access to internet and phone networks (11 %), providing new ICT solutions for greater government transparency, participation and efficiency (19 %), and developing new digital solutions in the health sector (7 %). While investments in the ICT sector have previously been linked to the development of infrastructure, new needs for international support emerges as part of countries’ digital transition.</t>
  </si>
  <si>
    <t>1fd6c576ea36e79edeb35415022ca174</t>
  </si>
  <si>
    <t>However, based on the criteria used, the analysis can be considered to both under and over-estimate the available amount of resources. The quantitative data here presented is indicative (or best effort), due to the lack of precise identification of STI in the underlying statistical classification. While lots of detailed information exists on development activities through the CRS, the lack of adequate classifications that conforms to official STI definitions and standards pose a challenge in assessing the portion of development finance targeting STI.</t>
  </si>
  <si>
    <t>5eff20582fe4bcdefc9dfe3dcef16a08</t>
  </si>
  <si>
    <t>Consequently, the closure of the SHOK programme leaves a significant gap in Finland’s research and innovation policy. The profusion of small basic research centres over the past two decades appears to have had little effect on generating quality peaks and there is no centres of excellence instrument working around innovation. Bigger basic research centres and a revived competence centres programme appear to be necessities for tackling the quality “peaks”. For the most part, universities are not in a position to fund the early-stage commercialisation of research results, a capacity gap that is filled through Tekes’ commercialisation programme “New business from research ideas”.</t>
  </si>
  <si>
    <t>4fd5aa8d73e97467456d56933f31a32b</t>
  </si>
  <si>
    <t>The top international vendors have risen to the challenge and are all pursuing technologies that can offer ever faster and cheaper fixed and wireless network solutions based upon Internet protocol (IP). High-speed, broadband fixed, 3G and now Long Term Evolution (LTE) networks (commonly known as "fourth generation" or "4G") have enabled the progressive development of increasingly "smarter" phones and terminals and a growing environment of applications and services. Research companies such as NPD3and IDC4 are reporting that some 50 per cent (around 900 million) of all mobile phones sold in 2013 have been smart phones.</t>
  </si>
  <si>
    <t>bf1d9f2bcf1e90750c0cf1bd2b4b6b0b</t>
  </si>
  <si>
    <t>Indeed, the cost of health impacts (e.g. diarrheal disease and cancer) is expected to be around 1.9% of rural GDP (World Bank, 2007b). Improving wood fuel efficiency or finding alternative sustainable fuels could reduce indoor smoke pollution and consequently mitigate health risks, reduce deforestation, and have positive spillovers on soil conservation, watershed management, irrigation agriculture and biodiversity conservation (World Bank, 2009b). Also, problems of droughts and desertification pose great environmental challenges in Tanzania, particularly the agricultural sector and rural communities. In general, Tanzania has experienced decreasing rainfall and increasing temperature.</t>
  </si>
  <si>
    <t>57cea092a479e8997010a2ff4f9b7407</t>
  </si>
  <si>
    <t>This success opened the way for Slovenia’s accession to an enlarging European Union, membership in the European Monetary Union, and adherence to the Schengen agreement which greatly facilitates cross-border movement in much of the European continent. In a number of respects Slovenia has been leading among new EU Member States. The country’s efforts were once more recognised when in the summer of 2010 Slovenia also became a member of the OECD.</t>
  </si>
  <si>
    <t>081bdfc95dc470d6d54f927d700c320b</t>
  </si>
  <si>
    <t>This is a step forward in transparency and steering. The new model can be expected to improve basic conditions for teaching and research, such as the ratio of professors to students. However, its impact on research excellence may be less than expected, as research funding is not linked to any indicator of research output.</t>
  </si>
  <si>
    <t>0c510a5e8441fb60f31d7fe53eeb3709</t>
  </si>
  <si>
    <t>These include policies and funding for education, healthcare and social services which may have unique (and sometimes unintended) territorial consequences. A benefit of the broad rural policy approach is that it aims to create a mechanism to overcome this lack of a territorial lens within sectoral policies. The relationship between broad, narrow and sectoral policy types are depicted in Figure 2.1.</t>
  </si>
  <si>
    <t>846563cec09de0a1e9524090f9cb94d9</t>
  </si>
  <si>
    <t>Of the 63 developing country respondents to the 2017 aid-for-trade monitoring exercise, 54 (84%) state that trade facilitation has risen to the top of the list of their aid-for-trade priorities. Among donor respondents, a similar story emerges: 27 out of 42 submissions (65%) indicated that trade facilitation is a priority in their aid-for-trade programming (Figure 2.2). Trade facilitation was noted as a priority in the national development strategies of 85% of the respondents -up from 45% in 2015.</t>
  </si>
  <si>
    <t>5f0cc37ffdad87f2c46990aa62d7bb32</t>
  </si>
  <si>
    <t>Should deviations occur, the shipper notifies the customer and discusses possible corrective actions. The use of smart sensors and data analytics has enabled Maersk to expand its activities, which were traditionally focused on the physical transportation of goods across the globe, to the provision of value-added advisory services to customers. The platform, TradeLens, was officially launched in August 2018.</t>
  </si>
  <si>
    <t>7e8fc2f298ed588fa0a5f6b7def60cf7</t>
  </si>
  <si>
    <t>There has been, however, a recent increase in collaboration among cross-border regions on the continent (Association of European Border Regions, 2010). Local and regional authorities, as well as the economic sector and non-governmental organisations (NGOs), are playing a growing role in many cross-border fields in this part of the world, but the co-operations are still informal and not well structured. These areas are an international zone of adjacent regions from different countries - or very often, regions that are neighbours, but separated by a sea.</t>
  </si>
  <si>
    <t>fba000a839e9c3dc602a7e40b1a35b3c</t>
  </si>
  <si>
    <t>Much less support was destined to the transition economies in Eastern Europe (USD 12.9 billion), Latin America and the Caribbean (USD 11.1 billion) and Oceania (USD 2.1 billion). Banking and financial services, and other business services, received USD 33.2 billion and USD 16.4 billion respectively. Most disbursements for building productive capacity went to Africa (USD 47.8 billion) followed by Asia (USD 41.7 billion), Europe (USD 13.7 billion), Latin America and the Caribbean (USD 11.9 billion), and Oceania (USD 1.2 billion).</t>
  </si>
  <si>
    <t>5654701dcb9a588a82795b51b555774c</t>
  </si>
  <si>
    <t>Internet of Things (loT) sensors, for example, can reduce the costs of global trade by increasing the efficiency of shipping and transport. First, they reduce the amount of goods lost in transport. Second, shipment tracking systems enable companies to optimize routes to efficiently use shipping containers.</t>
  </si>
  <si>
    <t>863226c59bb5d06e399c781bae5731c1</t>
  </si>
  <si>
    <t>Counting all core funding to multilateral agencies that perform some research would severely over-estimated the amount of STI-related ODA. This relates in particular to many UN agencies, the World Bank, IMF and regional development banks whose core mandate may not necessarily be research or financing STI activities in developing countries, but for which these types of activities are part of their agreed work programme. For example, an activity supporting the development of ICT skills among children may be classified in the CRS as education rather than ICTs.</t>
  </si>
  <si>
    <t>09683e9e25315f55eccf583ac9732a50</t>
  </si>
  <si>
    <t>This series continues that originally entitled OECD Trade Policy Working Papers. The opinions expressed and the arguments employed herein do not necessarily reflect the official views of OECD member countries. The use of such data by the OECD is without prejudice to the status of the Golan Heights, East Jerusalem and Israeli settlements in the West Bank under the terms of international law.</t>
  </si>
  <si>
    <t>f9b37c879b64099d1906a2f6d64a6c99</t>
  </si>
  <si>
    <t>The contributing authors were Chris Bruegge, Kayoko Ido, Taylor Reynolds, Cristina Serra-Vallejo, Piotr Stryszowski and Rudolf Van Der Berg. The authors would particularly like to thank Dawit Bekele, Constance Bommelaer, Bill Graham and Michuki Mwangi from ISOC and Janis Karklins, Boyan Radoykov and Irmgarda Kasinskaite-Buddeberg from UNESCO for their work and guidance on the project. With the goal of “achieving more with less”, governments need to look at ways to make the most of limited resources.</t>
  </si>
  <si>
    <t>b807497b10f627371b4f87f7661d18c4</t>
  </si>
  <si>
    <t>Conversely, since economic development improves household and individual welfare, the acquisition power of customers is expected to rise (with the caveat of inequality in the distribution of welfare gains). Target 2 was about making broadband affordable: "By 2015, entry-level broadband services should be made affordable (less than 5 per cent of average monthly income) in developing countries through adequate regulation and market forces. Recognizing the relative nature of affordability targets, Target 1.3 of the ITU Connect 2020 Agenda stated that "Worldwide, telecommunications/ICTs should be 40 per cent more affordable by 2020". Following a similar formulation, Target 2.3.A declared that: "The affordability gap between developed and developing countries should be reduced by 40 per cent by 2020" (ITU, 2014b).</t>
  </si>
  <si>
    <t>ba298e5a1bed6037467fda54388ed17a</t>
  </si>
  <si>
    <t>The workshop was aimed at sharing practical experience in the field of the testing (including remote testing) of equipment, new technologies and services. The meeting was devoted mainly to reviewing the results of the evaluation study of the current regimes governing C&amp;l testing in the Arab Maghreb countries and to the review/ approval of the draft Mutual Recognition Agreement (MRA) between the Arab Maghreb countries as suggested by ITU. To this end, the launch of the ITU/UNESCO Broadband Commission for Sustainable Development is aimed at promoting the use of broadband to achieve the SDGs.</t>
  </si>
  <si>
    <t>47d144a77666d4904b716d11433c79b3</t>
  </si>
  <si>
    <t>Poor quality of infrastructure (for example, sub-standard transport connections or unreliable telecommunication grids) is an additional challenge developing and emerging countries face in the development of their manufacturing sector. According to the OECD (2018), early adoption of digital infrastructure such as a reliable telecommunication infrastructure (high-speed internet access) or more sophisticated technologies (for instance, the Blockchain), may lead to 'leapfrogging' within the manufacturing sector and thus promotes an inclusive and sustainable future development. The shrewd use of automation technology may have two substantial effects on the characteristics of the goods produced.</t>
  </si>
  <si>
    <t>fdacb6816f3a5f38d0d44f536a0f66c3</t>
  </si>
  <si>
    <t>Regular evaluation of support programmes and institutions receiving public support should be the norm, with practical consequences for further rounds of support. However, a balance must be struck between the need for periodic adjustments based on evaluation and stability of support programmes to ensure their long-term impact on the behaviour of beneficiaries. At a broader level, good governance implies a system of information that produces internationally comparable statistics and indicators on a regular basis.</t>
  </si>
  <si>
    <t>bc4b6b7eaf6d86d8963389459366fb52</t>
  </si>
  <si>
    <t>Used well, aid can generate large payoffs in terms of reducing poverty, meeting basic needs, and helping nations build human and institutional capacity. While aid has eradicated diseases, prevented famines, and done many other good things, its effects on growth are often difficult to establish given the limited data that is available. Arndt et al (2010) found that it was reasonable to assume that aid equivalent to 1% of a country's gross domestic product raised that country's economic growth by an average of 0.1% per year during the period 1970-2000.</t>
  </si>
  <si>
    <t>3f7a0dc76cab45a479b8a7fd663d065a</t>
  </si>
  <si>
    <t>Valuing data and technology, forging innovative partnerships, taking risks and creating trust mean different things for different institutions. They will all need to be kept abreast of, and incorporate, change in order to provide relevant services to their members. This report focuses on the three types of TISIs, namely trade and investment promotion organizations (TIPOs), vocational education and training providers, and quality infrastructure.</t>
  </si>
  <si>
    <t>quality infrastructure</t>
  </si>
  <si>
    <t>bcc6d6484506554c98e04e3fa2729222</t>
  </si>
  <si>
    <t>While some providers include nearly half a page of information for one single activity, other providers may restrict the amount of information to a few words. Nearly all descriptions are in English, however, other languages are also used, which further adds challenges to synthesising the information. Considering that the CRS contains approximately 250 000 activities per year, it has previously been challenging to process the amount of information captured in these description.</t>
  </si>
  <si>
    <t>2ed4ee2a8f03ea2164acfd13050888e5</t>
  </si>
  <si>
    <t>Transactions by the official sector with countries on the DAC List of ODA Recipients, which do not meet the conditions for eligibility as Official Development Assistance. The puipose codes are also commonly referred to as sector codes as they provide a classification of the sector of the activity. In total, there are 261 purpose codes with 207 mandatory and 54 new voluntary codes, which have recently been added to the CRS to more easily link development activities to developing country budgets. These activities are considered core STI activities as their ultimate aim are clearly focused on obtaining new knowledge through scientific studies in their respective sectors. All activities reported under these codes are considered as core support to the ICT sector.</t>
  </si>
  <si>
    <t>5ad0b755a69eb3a3a150430668e000cc</t>
  </si>
  <si>
    <t>The countries represented through these associations account for more than half of global spending on software and IT services and more than half of all ICT spending. Eight of the respondents were based in a developed country, 26 in a developing country and the remaining four in a transition economy. Three LDCs were included (Bangladesh, the Gambia and Haiti).</t>
  </si>
  <si>
    <t>6262a83a143a8a35121adab422e9b942</t>
  </si>
  <si>
    <t>The unbalanced growth model is based around exploiting scale economies and complementarities in favoured sectors that can induce more investment and productivity growth. Those sectors, in Hirschman’s framework, have more backward and forward linkages, the former referring to provision of inputs from other activities and sectors, the latter to demand for new activities. The development policy challenge is, accordingly, about identifying lead sectors, addressing missing linkages and strengthening inter-industry and intersectoral interdependencies to boost productivity growth. In this sequence, infrastructure would follow rather than lead the growth process. It is laigely around this sequencing issue that differences between balanced and unbalanced growth strategies emerged in early development policy debates (see box 4.2). Despite these differences, there was general agreement that in most developing countries, investment in general, and in infrastructure, in particular, involves a series of non-marginal adjustments that are poorly coordinated by markets and for which planning techniques of various kinds are desirable.</t>
  </si>
  <si>
    <t>industry growth</t>
  </si>
  <si>
    <t>be4c49bb7ed675402c26cc62da5038e2</t>
  </si>
  <si>
    <t>Contribution to economic growth ("positive externalities"). Contribution to employment and output of broadband deployment ("countercyclical effect"). In reviewing the literature, it will become apparent that there is no single approach to assess broadband's economic contribution. Each methodology that has been utilized so far (input / output analysis, econometric modelling, measurement of consumer surplus, and microeconomics case studies) will be reviewed and the robustness of the evidence generated will be assessed.</t>
  </si>
  <si>
    <t>ff7a209f9c007ed4692bc808675a4a8b</t>
  </si>
  <si>
    <t>The removal of barriers to their participation in innovation activities can further contribute. Some studies point out that credit market failures might partly explain cross-country differences in productivity and adoption of new technologies (Baneijee and Duflo, 2005). This is crucial, as barriers to technology adoption facing firms might at least partly explain differences in economic development between countries (Parente and Prescott, 1994, OECD, 2015h). They do so by helping demonstrate the potential of certain social groups and changing the attitudes of employers or investors towards them.</t>
  </si>
  <si>
    <t>27b511b9de036a8aaf257010f337e180</t>
  </si>
  <si>
    <t>The Journal of Economic History. Reference Architecture for the Telecommunications Industry: Transformation of Strategy, Organization, Processes, Data, and Applications. Impacts oftransport infrastructure on productivity and economic growth: Recent advances and research challenges. Transport Reviews: A Transnational Transdisciplinary Journal. In: Cockbum J, Dissou Y, Duclos J-Y and Tiberti L. Infrastructure and Economic Growth in Asia.</t>
  </si>
  <si>
    <t>66cf7fa90ac70148c3d0bbe6c3c87b5f</t>
  </si>
  <si>
    <t>These can be classified in two groups: factors that restrict the supply of financial services and those that hinder demand. The first group identifies the high operational cost of supplying financial services to people located in areas of sparse population and relatively low income levels, as well as the high risk of financing poorly diversified activities that face productive and market risks. This is compounded by the moral hazard that cannot be mitigated through traditional guarantees owing to low rates of formal property ownership.</t>
  </si>
  <si>
    <t>e4e1b7ff77cf5b2f37507cefd6d21c89</t>
  </si>
  <si>
    <t>In particular, they get little of the fully discretionary funding that they need, such as is provided by budget support. In the donor perception there is a tension between the need for aid and the ability of governments to use it. This then faces donors with an impossible choice: provide aid to needy environments where it will be badly used, or provide it to environments where it will be better used but where it is not really needed.</t>
  </si>
  <si>
    <t>38d0d962df5e4303563c512a9c74e85d</t>
  </si>
  <si>
    <t>Table C.1 gives regional information on the time and costs spent in procedural compliance for both exports and imports. A general trend is that the poorer the region, the higher is the time spent in compliance and cost of compliance at the border. Sub-Saharan Africa has the highest cost and time spent in compliance of all regions covered in the table.</t>
  </si>
  <si>
    <t>1c31bacb0ec35a22ed3af5fff43f82ca</t>
  </si>
  <si>
    <t>You cannot pick up a newspaper, turn on your TV, or review the Internet news without being aware that regulation is a key topic in the press. There are stories on regulation of the finance sector stemming from the global financial crisis. There are articles on regulation of the press (by the press!),</t>
  </si>
  <si>
    <t>b1d7dfb6f7fd09ef83f6eabb111c77c8</t>
  </si>
  <si>
    <t>New technologies make logistics and transport more efficient, consumers prefer higher degrees of customization, and e-commerce brings markets closer together, leading to a parcellization of trade (see Box C.4). Thus, infrastructure and geographical factors will remain important for digital intensive products that are still traded physically. The role of legal institutions that measure the ability of countries to enforce contracts will increase insofar as they interact with other policy fields.</t>
  </si>
  <si>
    <t>9fdc71eebe5590417d11f06ae42264f0</t>
  </si>
  <si>
    <t>In 2017, the estimated share of women using the Internet was 12% lower than the share of men. This gender digital divide is highest in Africa where 25% of men and only 19% of women were using the Internet in 2017. ( However, closing these digital divides require more than infrastructure investments (Broadband Commission for Sustainable Development, 2018(18]).</t>
  </si>
  <si>
    <t>6758aa1659ba9d694f79d9c60c34cfaf</t>
  </si>
  <si>
    <t>Austria could benefit from taking a more strategic approach to developing the RTO sector and other transfer-oriented institutions. Austria’s policy mix for business R&amp;D and innovation has altered substantially in recent years, with the emphasis increasingly placed on more generic support for R&amp;D through a tax incentive (the Research Premium). About three quarters of additional public R&amp;D funding to enterprises between 2006 and 2015 (excluding the co-operative sector) can be attributed to this instrument. Due to design features of the Research Premium, and the increase in the tax exemption rate to 14% in 2018, this shift is likely to continue.</t>
  </si>
  <si>
    <t>edfef690e36e23a1a1ea69344f6541bf</t>
  </si>
  <si>
    <t>Any advancement in the prevention or treatment of these diseases will no doubt have a positive effect on the economic development and welfare of developing countries. According to the definition, only research spending which has the economic development and welfare of developing countries as its main objective can be counted as ODA. Consequently, research spending relating to global challenges, which does not qualify as ODA, is often not reported to the DAC statistical systems.</t>
  </si>
  <si>
    <t>8f5c675076f05ede159030216eaef8a3</t>
  </si>
  <si>
    <t>This trend has negatively affected the low-income groups, particularly since the financial crisis. The main reasons for the decline in the redistributive capacity of taxes and transfers are the reduction in benefit generosity, the tightening of eligibility rules, and the failure of transfers to the lowest income group to keep pace with earnings growth (OECD, 2015e). In this context, public policies that foster inclusiveness without imposing long-term weight on public budgets, and that increase the chances of effectiveness of public funding become ever more relevant.</t>
  </si>
  <si>
    <t>1d0bd3fe7e9f9234b5f112aedc86e7bd</t>
  </si>
  <si>
    <t>This tax measure was created in 1997, suspended in 2004 and 2005, re-established in 2006 (under severe public budget constraints imposed by the European Union) and reinforced in 2009. Previously only 50% of such expenditures were taken into account. Before 2006, the tax deduction was 100% and depreciation was 40:20:20:20.</t>
  </si>
  <si>
    <t>TO DO</t>
  </si>
  <si>
    <t>more fact stating and no focus on research and development per se, only on ODA-related funding</t>
  </si>
  <si>
    <t>not clear what cross border collabo is about</t>
  </si>
  <si>
    <t>ICT spending but no link to how this help with access to ICT services</t>
  </si>
  <si>
    <t>infrastructure investments</t>
  </si>
  <si>
    <t>smart industrialisation?</t>
  </si>
  <si>
    <t>only vaguely linked to infrastructure</t>
  </si>
  <si>
    <t>no value, call toaction</t>
  </si>
  <si>
    <t>on STI, but no value, call to action</t>
  </si>
  <si>
    <t>doi</t>
  </si>
  <si>
    <t>text_id</t>
  </si>
  <si>
    <t>text</t>
  </si>
  <si>
    <t>sdg</t>
  </si>
  <si>
    <t>labels_negative</t>
  </si>
  <si>
    <t>labels_positive</t>
  </si>
  <si>
    <t>labels_total</t>
  </si>
  <si>
    <t>agreement</t>
  </si>
  <si>
    <t>label</t>
  </si>
  <si>
    <t>difficulty</t>
  </si>
  <si>
    <t>selection reason</t>
  </si>
  <si>
    <t>10.18356/3d4ceb23-en</t>
  </si>
  <si>
    <t>medium</t>
  </si>
  <si>
    <t>automated selection</t>
  </si>
  <si>
    <t>10.1787/0492621a-en</t>
  </si>
  <si>
    <t>easy</t>
  </si>
  <si>
    <t>10.1787/a09a3a5d-en</t>
  </si>
  <si>
    <t>very easy</t>
  </si>
  <si>
    <t>10.18356/ca9e0bef-en</t>
  </si>
  <si>
    <t>11.1002/pub/80c5340c-885a9460-en</t>
  </si>
  <si>
    <t>10.1787/5k9fd0fg78bs-en</t>
  </si>
  <si>
    <t>hard</t>
  </si>
  <si>
    <t>10.1787/sti/outlook-2010-6-en</t>
  </si>
  <si>
    <t>very hard</t>
  </si>
  <si>
    <t>10.1787/3726edff-en</t>
  </si>
  <si>
    <t>10.1787/9789264229488-2-en</t>
  </si>
  <si>
    <t>11.1002/pub/80dd7836-0bda635e-en</t>
  </si>
  <si>
    <t>10.30875/423532ad-en</t>
  </si>
  <si>
    <t>10.18356/2575b318-en</t>
  </si>
  <si>
    <t>10.18356/f501027d-en</t>
  </si>
  <si>
    <t>10.1787/9789264167407-3-en</t>
  </si>
  <si>
    <t>10.18356/74f4872a-en</t>
  </si>
  <si>
    <t>10.1787/9789264271654-4-en</t>
  </si>
  <si>
    <t>10.1787/9789264205307-5-en</t>
  </si>
  <si>
    <t>10.18356/8dca91b0-en</t>
  </si>
  <si>
    <t>11.1002/pub/80fc3264-ad6b8f4b-en</t>
  </si>
  <si>
    <t>10.18356/22b34fe3-en</t>
  </si>
  <si>
    <t>10.1787/9789264252271-11-en</t>
  </si>
  <si>
    <t>10.1787/aid/glance-2017-14-en</t>
  </si>
  <si>
    <t>11.1002/pub/8114a552-02ac2f7b-en</t>
  </si>
  <si>
    <t>11.1002/pub/80f3623e-00dc42a3-en</t>
  </si>
  <si>
    <t>10.30875/64b86eed-en</t>
  </si>
  <si>
    <t>10.14217/9781848591035-7-en</t>
  </si>
  <si>
    <t>11.1002/pub/80f4cf5d-a6903d66-en</t>
  </si>
  <si>
    <t>10.1787/aid/glance-2017-5-en</t>
  </si>
  <si>
    <t>10.1787/9789264289925-6-en</t>
  </si>
  <si>
    <t>10.1787/9789264204362-8-en</t>
  </si>
  <si>
    <t>10.18356/8d349bcd-en</t>
  </si>
  <si>
    <t>11.1002/pub/80de56e8-cd56b92e-en</t>
  </si>
  <si>
    <t>10.18356/d08a72ab-en</t>
  </si>
  <si>
    <t>10.18356/215a990d-en</t>
  </si>
  <si>
    <t>10.1787/9789264128392-3-en</t>
  </si>
  <si>
    <t>10.1787/5js0bslh9m25-en</t>
  </si>
  <si>
    <t>10.1787/9789264309470-en</t>
  </si>
  <si>
    <t>10.1787/5k4c1rq2bqvk-en</t>
  </si>
  <si>
    <t>10.18356/01a171e9-en</t>
  </si>
  <si>
    <t>10.18356/8d9bd360-en</t>
  </si>
  <si>
    <t>10.18356/7f55e015-en</t>
  </si>
  <si>
    <t>10.18356/d91c28bf-en</t>
  </si>
  <si>
    <t>11.1002/pub/8111ea61-c3a8a09b-en</t>
  </si>
  <si>
    <t>target 9.2</t>
  </si>
  <si>
    <t>11.1002/pub/807b38cb-39ff5763-en</t>
  </si>
  <si>
    <t>target 9.3</t>
  </si>
  <si>
    <t>10.18356/0905f827-en</t>
  </si>
  <si>
    <t>10.30875/c7f78275-en</t>
  </si>
  <si>
    <t>target 9.4</t>
  </si>
  <si>
    <t>10.1787/5k3wb8kmckf4-en</t>
  </si>
  <si>
    <t>10.1787/sti/outlook-2014-5-en</t>
  </si>
  <si>
    <t>10.1787/9789264276369-9-en</t>
  </si>
  <si>
    <t>target 9.a</t>
  </si>
  <si>
    <t>10.18356/9303a7a3-en</t>
  </si>
  <si>
    <t>target 9.b</t>
  </si>
  <si>
    <t>10.1787/785f021c-en</t>
  </si>
  <si>
    <t>10.18356/2c363e4e-en</t>
  </si>
  <si>
    <t>Group</t>
  </si>
  <si>
    <t>Alignment</t>
  </si>
  <si>
    <t>Comments</t>
  </si>
  <si>
    <t>Consensus</t>
  </si>
  <si>
    <t>Rationale</t>
  </si>
  <si>
    <t>Notes</t>
  </si>
  <si>
    <t>employment</t>
  </si>
  <si>
    <t/>
  </si>
  <si>
    <t>UNDECIDED</t>
  </si>
  <si>
    <t>technology</t>
  </si>
  <si>
    <t>- Steve: on STI, but no value, call to action</t>
  </si>
  <si>
    <t>SMEs</t>
  </si>
  <si>
    <t>- Steve: no value, call toaction</t>
  </si>
  <si>
    <t>logistics</t>
  </si>
  <si>
    <t>- Finn: target 9.1</t>
  </si>
  <si>
    <t>- Steve: smart industrialisation?</t>
  </si>
  <si>
    <t>- Finn: industry growth</t>
  </si>
  <si>
    <t>fiscal</t>
  </si>
  <si>
    <t>There has been, however, a recent increase in colemploymentation among cross-border regions on the continent (Association of European Border Regions, 2010). Local and regional authorities, as well as the economic sector and non-governmental organisations (NGOs), are playing a growing role in many cross-border fields in this part of the world, but the co-operations are still informal and not well structured. These areas are an international zone of adjacent regions from different countries - or very often, regions that are neighbours, but separated by a sea.</t>
  </si>
  <si>
    <t>- Steve: not clear what cross border collabo is about</t>
  </si>
  <si>
    <t>- Finn: target 9.c</t>
  </si>
  <si>
    <t>The initiative includes more than 8,000 corporate participants, of which 55% are SMEs. It is colemploymentating with UN entities such as the International Trade Centre (ITC) and the UN Industrial Organization (UNIDO) to bring SMEs into the sustainability fold. Our Women’s Empowerment Principles (WEPs) offer guidance on women in the workplace, marketplace and community.</t>
  </si>
  <si>
    <t>- Finn: SDG 8 rather than SDG 9</t>
  </si>
  <si>
    <t>research</t>
  </si>
  <si>
    <t>infrastructure</t>
  </si>
  <si>
    <t>- Finn: target 9.1 (quality / sustainable)</t>
  </si>
  <si>
    <t>was an oversight</t>
  </si>
  <si>
    <t>- Finn: typos</t>
  </si>
  <si>
    <t>- Finn: broadband access</t>
  </si>
  <si>
    <t>- Finn: typo</t>
  </si>
  <si>
    <t>problems with infrastructure is relevant to SDG 9</t>
  </si>
  <si>
    <t>- Steve: only vaguely linked to infrastructure</t>
  </si>
  <si>
    <t>not directly linked to quality, reliable, sustainable, or resilient infrastructure</t>
  </si>
  <si>
    <t>- Finn: unsustainable industrialization</t>
  </si>
  <si>
    <t>Online platforms are increasingly providing such services as logistics and finance (Chapter 2). In particular, export promotion agencies may want to create partnerships with logistics and/or financial service providers to offer a package of services to national exporters. These initiatives involve close colemploymentation between TIPOs and the private sector.</t>
  </si>
  <si>
    <t>smart industrialization and increased integration into markets</t>
  </si>
  <si>
    <t>- Finn: regional infrastructure
- Steve: infrastructure investments</t>
  </si>
  <si>
    <t>- Finn: target 9.5</t>
  </si>
  <si>
    <t>- Finn: quality infrastructure</t>
  </si>
  <si>
    <t>- Steve: more fact stating and no focus on research and development per se, only on ODA-related funding</t>
  </si>
  <si>
    <t>- Finn: lacking context. Remove?</t>
  </si>
  <si>
    <t>public access to infrastructure</t>
  </si>
  <si>
    <t>- Steve: ICT spending but no link to how this help with access to ICT services</t>
  </si>
  <si>
    <t>id</t>
  </si>
  <si>
    <t>osdg_text_id</t>
  </si>
  <si>
    <t>comment</t>
  </si>
  <si>
    <t>The “statistical discrimination” theory maintains that discrimination is based on stereotypes: in a context of information asymmetries, employers use an observable identity characteristic of a group (e.g. race or gender) as a signal for an unobservable variable (e.g. skills or productivity) (Phelps, 1972, Arrow, 1973). From early age, boys and girls perceive different stereotyped notions of what they should excel and enjoy in doing, which shapes their behaviours and may even affect their performance (Hill, Corbett and St. Rose, 2010, OECD, 2012a). For example, as early as the first year of primary school, girls rate their own ability in mathematics as lower than that of boys, even when their actual performance does not differ (Fredericks and Eccles, 2002, Herbert and Stipek, 2005).</t>
  </si>
  <si>
    <t>fixed typo</t>
  </si>
  <si>
    <t>The unbalanced growth model is based around exploiting scale economies and complementarities in favoured sectors that can induce more investment and productivity growth. Those sectors, in Hirschman’s framework, have more backward and forward linkages, the former referring to provision of inputs from other activities and sectors, the latter to demand for new activities. The development policy challenge is, accordingly, about identifying lead sectors, addressing missing linkages and strengthening inter-industry and intersectoral interdependencies to boost productivity growth. In this sequence, infrastructure would follow rather than lead the growth process. It is largely around this sequencing issue that differences between balanced and unbalanced growth strategies emerged in early development policy debates (see box 4.2). Despite these differences, there was general agreement that in most developing countries, investment in general, and in infrastructure, in particular, involves a series of non-marginal adjustments that are poorly coordinated by markets and for which planning techniques of various kinds are desirable.</t>
  </si>
  <si>
    <t>Although gender-focused aid has been on the rise since the launch of the Millennium Development Goals, there is much room for improvement (OECD DAC, 2014). The total annual average amount of official development assistance (ODA) to support gender equality and women’s empowerment committed by the OECD Development Assistance Committee (DAC) donors in 2012 and 2013 was USD 25.9 billion, which was only around one-quarter of all sector-allocable aid, both of which are not mutually exclusive (OECD DAC, 2015). Gendered aid is heavily concentrated in education and health.</t>
  </si>
  <si>
    <t>removed footnote number</t>
  </si>
  <si>
    <t>Prior to this configuration (1975-98), the administrative structure included over three times the number of vovoideships and the powiat level did not exist. There are three legal types of municipalities: 1) urban communes, 2) rural communes, 3) urban-rural communes. These are translated into country-specific recommendations and target objectives. Within the EU policy framework there is scope for country members to determine their own complementary priority areas and as such, Poland’s rural policies are a mix of both EU and national priorities (involving the co-financing and co-management of funds).</t>
  </si>
  <si>
    <t>fixed typo; removed footnote number</t>
  </si>
  <si>
    <t>Information on the estimated percentage of the allocation dedicated to rural areas is included in each of the Specific Description of Priority Axes of each ROP. These amounts show the potential source of funding dedicated to rural areas within specific themes (Table 2.3). The national government has no compliance mechanism by which to ensure that these amounts are met. There are plans to introduce a monitoring tool for this process at the end of 2018.</t>
  </si>
  <si>
    <t>Industrial inclusiveness policies are implemented to address the problem of a dual economy (i.e. one divided into highly innovative/productive sectors and traditional/low productivity sectors) by improving the competitiveness of less innovative firms and foster the emergence of new activities by increasing the entrepreneurship of underrepresented groups. These new activities may address previously underserved needs. Territorial inclusiveness policies foster the development of more productive and innovative activities in lagging regions, offering better opportunities for people in those areas. They also increase the chances of other initiatives (e.g. investment in R&amp;D and transport infrastructure) to have their intended effects on innovation performance and growth.</t>
  </si>
  <si>
    <t>Transactions by the official sector with countries on the DAC List of ODA Recipients, which do not meet the conditions for eligibility as Official Development Assistance. The purpose codes are also commonly referred to as sector codes as they provide a classification of the sector of the activity. In total, there are 261 purpose codes with 207 mandatory and 54 new voluntary codes, which have recently been added to the CRS to more easily link development activities to developing country budgets. These activities are considered core STI activities as their ultimate aim are clearly focused on obtaining new knowledge through scientific studies in their respective sectors. All activities reported under these codes are considered as core support to the ICT sector.</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</si>
</sst>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sz val="17.0"/>
      <color rgb="FF000000"/>
      <name val="&quot;Arial&quot;"/>
    </font>
    <font>
      <sz val="14.0"/>
      <color theme="1"/>
      <name val="Arial"/>
      <scheme val="minor"/>
    </font>
    <font>
      <color rgb="FF000000"/>
      <name val="&quot;Arial&quot;"/>
    </font>
    <font>
      <color rgb="FF000000"/>
      <name val="Arial"/>
      <scheme val="minor"/>
    </font>
    <font>
      <color theme="1"/>
      <name val="Arial"/>
      <scheme val="minor"/>
    </font>
    <font>
      <b/>
      <u/>
      <sz val="14.0"/>
      <color rgb="FF000000"/>
      <name val="Oswald"/>
    </font>
    <font>
      <u/>
      <color theme="1"/>
      <name val="Arial"/>
      <scheme val="minor"/>
    </font>
    <font>
      <i/>
      <color theme="1"/>
      <name val="Arial"/>
      <scheme val="minor"/>
    </font>
    <font>
      <color theme="1"/>
      <name val="Arial"/>
    </font>
    <font>
      <b/>
      <color rgb="FF000000"/>
      <name val="&quot;Arial&quot;"/>
    </font>
    <font>
      <b/>
      <color rgb="FFFFFFFF"/>
      <name val="Arial"/>
    </font>
    <font>
      <b/>
      <color theme="1"/>
      <name val="Arial"/>
    </font>
    <font>
      <u/>
      <color rgb="FF0000FF"/>
    </font>
    <font>
      <b/>
      <color theme="1"/>
      <name val="Arial"/>
      <scheme val="minor"/>
    </font>
    <font>
      <sz val="13.0"/>
      <color theme="1"/>
      <name val="Arial"/>
      <scheme val="minor"/>
    </font>
    <font>
      <b/>
      <u/>
      <color theme="1"/>
      <name val="Arial"/>
      <scheme val="minor"/>
    </font>
    <font>
      <b/>
      <color theme="1"/>
      <name val="Calibri"/>
    </font>
    <font>
      <b/>
      <sz val="10.0"/>
      <color theme="1"/>
      <name val="Arial"/>
      <scheme val="minor"/>
    </font>
    <font>
      <color theme="1"/>
      <name val="Calibri"/>
    </font>
    <font>
      <sz val="11.0"/>
      <color theme="1"/>
      <name val="Arial"/>
      <scheme val="minor"/>
    </font>
    <font>
      <b/>
      <sz val="10.0"/>
      <color theme="1"/>
      <name val="Arial"/>
    </font>
    <font>
      <sz val="10.0"/>
      <color theme="1"/>
      <name val="Arial"/>
      <scheme val="minor"/>
    </font>
    <font>
      <sz val="9.0"/>
      <color theme="1"/>
      <name val="Arial"/>
      <scheme val="minor"/>
    </font>
  </fonts>
  <fills count="5">
    <fill>
      <patternFill patternType="none"/>
    </fill>
    <fill>
      <patternFill patternType="lightGray"/>
    </fill>
    <fill>
      <patternFill patternType="solid">
        <fgColor rgb="FFFD6925"/>
        <bgColor rgb="FFFD6925"/>
      </patternFill>
    </fill>
    <fill>
      <patternFill patternType="solid">
        <fgColor rgb="FFD9EAD3"/>
        <bgColor rgb="FFD9EAD3"/>
      </patternFill>
    </fill>
    <fill>
      <patternFill patternType="solid">
        <fgColor rgb="FFF4CCCC"/>
        <bgColor rgb="FFF4CCCC"/>
      </patternFill>
    </fill>
  </fills>
  <borders count="5">
    <border/>
    <border>
      <left style="thin">
        <color rgb="FFFFFFFF"/>
      </left>
      <right style="thin">
        <color rgb="FFFFFFFF"/>
      </right>
      <top style="thin">
        <color rgb="FFFFFFFF"/>
      </top>
      <bottom style="thin">
        <color rgb="FFFFFFFF"/>
      </bottom>
    </border>
    <border>
      <right style="thin">
        <color rgb="FF999999"/>
      </right>
      <top style="thin">
        <color rgb="FF999999"/>
      </top>
      <bottom style="thin">
        <color rgb="FF999999"/>
      </bottom>
    </border>
    <border>
      <right style="thin">
        <color rgb="FF999999"/>
      </right>
      <bottom style="thin">
        <color rgb="FF999999"/>
      </bottom>
    </border>
    <border>
      <left style="thick">
        <color rgb="FF000000"/>
      </left>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5" numFmtId="0" xfId="0" applyAlignment="1" applyFont="1">
      <alignment horizontal="center" readingOrder="0"/>
    </xf>
    <xf borderId="0" fillId="0" fontId="5" numFmtId="0" xfId="0" applyAlignment="1" applyFont="1">
      <alignment readingOrder="0" shrinkToFit="0" vertical="center" wrapText="1"/>
    </xf>
    <xf borderId="0" fillId="0" fontId="7" numFmtId="0" xfId="0" applyAlignment="1" applyFont="1">
      <alignment readingOrder="0"/>
    </xf>
    <xf borderId="0" fillId="0" fontId="5" numFmtId="0" xfId="0" applyAlignment="1" applyFont="1">
      <alignment readingOrder="0"/>
    </xf>
    <xf borderId="0" fillId="0" fontId="8" numFmtId="0" xfId="0" applyAlignment="1" applyFont="1">
      <alignment readingOrder="0"/>
    </xf>
    <xf borderId="0" fillId="0" fontId="9" numFmtId="0" xfId="0" applyAlignment="1" applyFont="1">
      <alignment vertical="bottom"/>
    </xf>
    <xf borderId="0" fillId="0" fontId="9" numFmtId="0" xfId="0" applyAlignment="1" applyFont="1">
      <alignment shrinkToFit="0" vertical="bottom" wrapText="0"/>
    </xf>
    <xf borderId="0" fillId="0" fontId="9" numFmtId="0" xfId="0" applyFont="1"/>
    <xf borderId="0" fillId="0" fontId="5" numFmtId="0" xfId="0" applyAlignment="1" applyFont="1">
      <alignment readingOrder="0" shrinkToFit="0" wrapText="1"/>
    </xf>
    <xf borderId="0" fillId="0" fontId="10" numFmtId="0" xfId="0" applyAlignment="1" applyFont="1">
      <alignment readingOrder="0"/>
    </xf>
    <xf borderId="1" fillId="2" fontId="11" numFmtId="0" xfId="0" applyAlignment="1" applyBorder="1" applyFill="1" applyFont="1">
      <alignment horizontal="center" readingOrder="0" vertical="center"/>
    </xf>
    <xf borderId="2" fillId="0" fontId="12" numFmtId="0" xfId="0" applyAlignment="1" applyBorder="1" applyFont="1">
      <alignment readingOrder="0" vertical="center"/>
    </xf>
    <xf borderId="1" fillId="2" fontId="11" numFmtId="0" xfId="0" applyAlignment="1" applyBorder="1" applyFont="1">
      <alignment horizontal="center" readingOrder="0" shrinkToFit="0" vertical="center" wrapText="1"/>
    </xf>
    <xf borderId="3" fillId="0" fontId="9" numFmtId="0" xfId="0" applyAlignment="1" applyBorder="1" applyFont="1">
      <alignment readingOrder="0" shrinkToFit="0" vertical="center" wrapText="1"/>
    </xf>
    <xf borderId="0" fillId="0" fontId="13" numFmtId="0" xfId="0" applyAlignment="1" applyFont="1">
      <alignment readingOrder="0"/>
    </xf>
    <xf borderId="0" fillId="0" fontId="14" numFmtId="0" xfId="0" applyAlignment="1" applyFont="1">
      <alignment readingOrder="0"/>
    </xf>
    <xf borderId="0" fillId="0" fontId="5" numFmtId="0" xfId="0" applyFont="1"/>
    <xf borderId="0" fillId="0" fontId="0" numFmtId="0" xfId="0" applyAlignment="1" applyFont="1">
      <alignment horizontal="right"/>
    </xf>
    <xf borderId="0" fillId="0" fontId="15" numFmtId="0" xfId="0" applyAlignment="1" applyFont="1">
      <alignment readingOrder="0"/>
    </xf>
    <xf borderId="0" fillId="0" fontId="16" numFmtId="0" xfId="0" applyAlignment="1" applyFont="1">
      <alignment readingOrder="0"/>
    </xf>
    <xf borderId="0" fillId="0" fontId="17" numFmtId="0" xfId="0" applyAlignment="1" applyFont="1">
      <alignment readingOrder="0" vertical="bottom"/>
    </xf>
    <xf borderId="0" fillId="0" fontId="17" numFmtId="0" xfId="0" applyAlignment="1" applyFont="1">
      <alignment readingOrder="0" shrinkToFit="0" vertical="bottom" wrapText="1"/>
    </xf>
    <xf borderId="0" fillId="0" fontId="18" numFmtId="0" xfId="0" applyAlignment="1" applyFont="1">
      <alignment horizontal="center" readingOrder="0" vertical="bottom"/>
    </xf>
    <xf borderId="0" fillId="0" fontId="19" numFmtId="0" xfId="0" applyAlignment="1" applyFont="1">
      <alignment vertical="bottom"/>
    </xf>
    <xf borderId="0" fillId="0" fontId="19" numFmtId="0" xfId="0" applyAlignment="1" applyFont="1">
      <alignment shrinkToFit="0" vertical="bottom" wrapText="1"/>
    </xf>
    <xf borderId="0" fillId="0" fontId="20" numFmtId="0" xfId="0" applyAlignment="1" applyFont="1">
      <alignment horizontal="center" readingOrder="0" vertical="center"/>
    </xf>
    <xf borderId="0" fillId="3" fontId="19" numFmtId="0" xfId="0" applyAlignment="1" applyFill="1" applyFont="1">
      <alignment shrinkToFit="0" vertical="bottom" wrapText="1"/>
    </xf>
    <xf borderId="0" fillId="4" fontId="19" numFmtId="0" xfId="0" applyAlignment="1" applyFill="1" applyFont="1">
      <alignment shrinkToFit="0" vertical="bottom" wrapText="1"/>
    </xf>
    <xf borderId="0" fillId="0" fontId="12" numFmtId="0" xfId="0" applyAlignment="1" applyFont="1">
      <alignment vertical="bottom"/>
    </xf>
    <xf borderId="0" fillId="0" fontId="12" numFmtId="0" xfId="0" applyAlignment="1" applyFont="1">
      <alignment vertical="bottom"/>
    </xf>
    <xf borderId="0" fillId="0" fontId="12" numFmtId="0" xfId="0" applyAlignment="1" applyFont="1">
      <alignment horizontal="right" readingOrder="0" vertical="bottom"/>
    </xf>
    <xf borderId="0" fillId="0" fontId="9" numFmtId="0" xfId="0" applyAlignment="1" applyFont="1">
      <alignment vertical="bottom"/>
    </xf>
    <xf borderId="0" fillId="0" fontId="9" numFmtId="0" xfId="0" applyAlignment="1" applyFont="1">
      <alignment horizontal="right" vertical="bottom"/>
    </xf>
    <xf borderId="0" fillId="0" fontId="9" numFmtId="0" xfId="0" applyAlignment="1" applyFont="1">
      <alignment horizontal="right" vertical="bottom"/>
    </xf>
    <xf borderId="0" fillId="0" fontId="9" numFmtId="0" xfId="0" applyAlignment="1" applyFont="1">
      <alignment horizontal="center" vertical="bottom"/>
    </xf>
    <xf borderId="0" fillId="0" fontId="12" numFmtId="0" xfId="0" applyAlignment="1" applyFont="1">
      <alignment horizontal="center" readingOrder="0" vertical="bottom"/>
    </xf>
    <xf borderId="0" fillId="0" fontId="12" numFmtId="0" xfId="0" applyAlignment="1" applyFont="1">
      <alignment horizontal="center" vertical="bottom"/>
    </xf>
    <xf borderId="0" fillId="0" fontId="21" numFmtId="0" xfId="0" applyAlignment="1" applyFont="1">
      <alignment readingOrder="0" vertical="bottom"/>
    </xf>
    <xf borderId="4" fillId="0" fontId="14" numFmtId="0" xfId="0" applyAlignment="1" applyBorder="1" applyFont="1">
      <alignment horizontal="center" readingOrder="0"/>
    </xf>
    <xf borderId="0" fillId="0" fontId="5" numFmtId="0" xfId="0" applyAlignment="1" applyFont="1">
      <alignment horizontal="center"/>
    </xf>
    <xf borderId="0" fillId="0" fontId="22" numFmtId="10" xfId="0" applyFont="1" applyNumberFormat="1"/>
    <xf borderId="0" fillId="0" fontId="23" numFmtId="10" xfId="0" applyFont="1" applyNumberFormat="1"/>
    <xf borderId="4" fillId="0" fontId="5" numFmtId="0" xfId="0" applyAlignment="1" applyBorder="1" applyFont="1">
      <alignment horizontal="center" readingOrder="0"/>
    </xf>
    <xf borderId="0" fillId="0" fontId="5" numFmtId="0" xfId="0" applyAlignment="1" applyFont="1">
      <alignment horizontal="center" vertical="center"/>
    </xf>
    <xf borderId="0" fillId="0" fontId="5" numFmtId="0" xfId="0" applyAlignment="1" applyFont="1">
      <alignment horizontal="center" readingOrder="0" vertical="center"/>
    </xf>
    <xf borderId="0" fillId="0" fontId="9" numFmtId="0" xfId="0" applyAlignment="1" applyFont="1">
      <alignment readingOrder="0" vertical="bottom"/>
    </xf>
  </cellXfs>
  <cellStyles count="1">
    <cellStyle xfId="0" name="Normal" builtinId="0"/>
  </cellStyles>
  <dxfs count="4">
    <dxf>
      <font/>
      <fill>
        <patternFill patternType="solid">
          <fgColor rgb="FFB7E1CD"/>
          <bgColor rgb="FFB7E1CD"/>
        </patternFill>
      </fill>
      <border/>
    </dxf>
    <dxf>
      <font/>
      <fill>
        <patternFill patternType="solid">
          <fgColor rgb="FFF4C7C3"/>
          <bgColor rgb="FFF4C7C3"/>
        </patternFill>
      </fill>
      <border/>
    </dxf>
    <dxf>
      <font>
        <color rgb="FFB7B7B7"/>
      </font>
      <fill>
        <patternFill patternType="none"/>
      </fill>
      <border/>
    </dxf>
    <dxf>
      <font/>
      <fill>
        <patternFill patternType="solid">
          <fgColor rgb="FF6D9EEB"/>
          <bgColor rgb="FF6D9EE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KCI6yswUKtks84SBjK2OGY4P-cIgkcF/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9.25"/>
    <col customWidth="1" min="3" max="3" width="82.25"/>
  </cols>
  <sheetData>
    <row r="1">
      <c r="A1" s="1"/>
    </row>
    <row r="2">
      <c r="B2" s="2" t="s">
        <v>0</v>
      </c>
    </row>
    <row r="3">
      <c r="B3" s="3"/>
    </row>
    <row r="4">
      <c r="B4" s="4" t="s">
        <v>1</v>
      </c>
    </row>
    <row r="5">
      <c r="B5" s="5" t="s">
        <v>2</v>
      </c>
    </row>
    <row r="6">
      <c r="B6" s="5"/>
    </row>
    <row r="7">
      <c r="B7" s="6" t="s">
        <v>3</v>
      </c>
    </row>
    <row r="8">
      <c r="B8" s="5" t="s">
        <v>4</v>
      </c>
    </row>
    <row r="9">
      <c r="B9" s="5" t="s">
        <v>5</v>
      </c>
    </row>
    <row r="10">
      <c r="B10" s="5" t="s">
        <v>6</v>
      </c>
    </row>
    <row r="11">
      <c r="B11" s="5" t="s">
        <v>7</v>
      </c>
    </row>
    <row r="12">
      <c r="B12" s="5" t="s">
        <v>8</v>
      </c>
    </row>
    <row r="13">
      <c r="B13" s="5"/>
    </row>
    <row r="14">
      <c r="B14" s="6" t="s">
        <v>9</v>
      </c>
    </row>
    <row r="15">
      <c r="B15" s="5" t="s">
        <v>10</v>
      </c>
    </row>
    <row r="16">
      <c r="B16" s="5" t="s">
        <v>11</v>
      </c>
    </row>
    <row r="17">
      <c r="B17" s="5"/>
      <c r="C17" s="5"/>
    </row>
    <row r="18">
      <c r="B18" s="7" t="b">
        <v>1</v>
      </c>
      <c r="C18" s="5" t="s">
        <v>12</v>
      </c>
    </row>
    <row r="19">
      <c r="B19" s="7" t="b">
        <v>0</v>
      </c>
      <c r="C19" s="5" t="s">
        <v>13</v>
      </c>
    </row>
    <row r="20">
      <c r="B20" s="7" t="s">
        <v>14</v>
      </c>
      <c r="C20" s="5" t="s">
        <v>15</v>
      </c>
    </row>
    <row r="22">
      <c r="B22" s="5" t="s">
        <v>16</v>
      </c>
    </row>
    <row r="24">
      <c r="B24" s="6" t="s">
        <v>17</v>
      </c>
    </row>
    <row r="25">
      <c r="B25" s="5" t="s">
        <v>18</v>
      </c>
      <c r="C25" s="8"/>
    </row>
    <row r="26">
      <c r="B26" s="9"/>
      <c r="C26" s="8"/>
    </row>
    <row r="27">
      <c r="B27" s="9" t="s">
        <v>19</v>
      </c>
      <c r="C27" s="8"/>
    </row>
    <row r="28">
      <c r="B28" s="10" t="s">
        <v>20</v>
      </c>
      <c r="C28" s="8"/>
    </row>
    <row r="29">
      <c r="B29" s="5"/>
      <c r="C29" s="8"/>
    </row>
    <row r="30">
      <c r="B30" s="11" t="s">
        <v>21</v>
      </c>
      <c r="C30" s="8"/>
    </row>
    <row r="31">
      <c r="B31" s="5"/>
      <c r="C31" s="8"/>
    </row>
    <row r="32">
      <c r="B32" s="9" t="s">
        <v>22</v>
      </c>
      <c r="C32" s="8"/>
    </row>
    <row r="33">
      <c r="B33" s="5" t="s">
        <v>23</v>
      </c>
      <c r="C33" s="8"/>
    </row>
    <row r="34">
      <c r="B34" s="5" t="s">
        <v>24</v>
      </c>
      <c r="C34" s="8"/>
    </row>
    <row r="35">
      <c r="C35" s="8"/>
    </row>
    <row r="36">
      <c r="B36" s="11" t="s">
        <v>21</v>
      </c>
      <c r="C36" s="8"/>
    </row>
    <row r="37">
      <c r="C37" s="8"/>
    </row>
    <row r="38">
      <c r="B38" s="9" t="s">
        <v>25</v>
      </c>
      <c r="C38" s="8"/>
    </row>
    <row r="39">
      <c r="B39" s="5" t="s">
        <v>26</v>
      </c>
      <c r="C39" s="8"/>
    </row>
    <row r="40">
      <c r="A40" s="12"/>
      <c r="B40" s="13" t="s">
        <v>27</v>
      </c>
      <c r="C40" s="14"/>
      <c r="D40" s="12"/>
      <c r="E40" s="12"/>
      <c r="F40" s="12"/>
      <c r="G40" s="12"/>
      <c r="H40" s="12"/>
      <c r="I40" s="12"/>
      <c r="J40" s="12"/>
      <c r="K40" s="12"/>
      <c r="L40" s="12"/>
      <c r="M40" s="12"/>
      <c r="N40" s="12"/>
      <c r="O40" s="12"/>
      <c r="P40" s="12"/>
      <c r="Q40" s="12"/>
      <c r="R40" s="12"/>
      <c r="S40" s="12"/>
      <c r="T40" s="12"/>
      <c r="U40" s="12"/>
      <c r="V40" s="12"/>
      <c r="W40" s="12"/>
      <c r="X40" s="12"/>
      <c r="Y40" s="12"/>
      <c r="Z40" s="12"/>
    </row>
    <row r="41">
      <c r="C41" s="8"/>
    </row>
    <row r="42">
      <c r="B42" s="9" t="s">
        <v>28</v>
      </c>
      <c r="C42" s="15"/>
    </row>
    <row r="43">
      <c r="B43" s="5" t="s">
        <v>29</v>
      </c>
    </row>
    <row r="44">
      <c r="B44" s="5" t="s">
        <v>30</v>
      </c>
    </row>
    <row r="45">
      <c r="B45" s="16"/>
    </row>
    <row r="46">
      <c r="B46" s="3" t="s">
        <v>31</v>
      </c>
    </row>
    <row r="48">
      <c r="B48" s="6" t="s">
        <v>32</v>
      </c>
    </row>
    <row r="49">
      <c r="B49" s="17" t="s">
        <v>33</v>
      </c>
      <c r="C49" s="18" t="s">
        <v>34</v>
      </c>
    </row>
    <row r="50">
      <c r="B50" s="19" t="s">
        <v>35</v>
      </c>
      <c r="C50" s="20" t="s">
        <v>36</v>
      </c>
    </row>
    <row r="51">
      <c r="B51" s="19" t="s">
        <v>37</v>
      </c>
      <c r="C51" s="20" t="s">
        <v>38</v>
      </c>
    </row>
    <row r="52">
      <c r="B52" s="19" t="s">
        <v>39</v>
      </c>
      <c r="C52" s="20" t="s">
        <v>40</v>
      </c>
    </row>
    <row r="53">
      <c r="B53" s="19" t="s">
        <v>41</v>
      </c>
      <c r="C53" s="20" t="s">
        <v>42</v>
      </c>
    </row>
    <row r="54">
      <c r="B54" s="19" t="s">
        <v>43</v>
      </c>
      <c r="C54" s="20" t="s">
        <v>44</v>
      </c>
    </row>
    <row r="55">
      <c r="B55" s="19" t="s">
        <v>45</v>
      </c>
      <c r="C55" s="20" t="s">
        <v>46</v>
      </c>
    </row>
    <row r="56">
      <c r="B56" s="19" t="s">
        <v>47</v>
      </c>
      <c r="C56" s="20" t="s">
        <v>48</v>
      </c>
    </row>
    <row r="57">
      <c r="B57" s="19" t="s">
        <v>49</v>
      </c>
      <c r="C57" s="20" t="s">
        <v>50</v>
      </c>
    </row>
    <row r="58">
      <c r="B58" s="21" t="s">
        <v>51</v>
      </c>
    </row>
    <row r="60">
      <c r="B60" s="6" t="s">
        <v>52</v>
      </c>
    </row>
    <row r="61">
      <c r="B61" s="5" t="s">
        <v>53</v>
      </c>
    </row>
    <row r="62">
      <c r="B62" s="5"/>
    </row>
    <row r="63">
      <c r="B63" s="22" t="s">
        <v>54</v>
      </c>
      <c r="C63" s="22" t="s">
        <v>55</v>
      </c>
    </row>
    <row r="64">
      <c r="B64" s="21" t="s">
        <v>56</v>
      </c>
      <c r="C64" s="23" t="str">
        <f>IFERROR(__xludf.DUMMYFUNCTION("SPARKLINE((100-COUNTIF(INDIRECT(B64&amp;""!C:C""), ""TO DO""))/100+0.01,{""charttype"",""bar"";""max"",1.01;""min"",0; ""color1"", ""#4285f4""})"),"")</f>
        <v/>
      </c>
      <c r="D64" s="24" t="str">
        <f t="shared" ref="D64:D68" si="1">(100-COUNTIF(INDIRECT(B64&amp;"!C:C"), "TO DO")) &amp; " / 100"</f>
        <v>100 / 100</v>
      </c>
    </row>
    <row r="65">
      <c r="B65" s="21" t="s">
        <v>57</v>
      </c>
      <c r="C65" s="23" t="str">
        <f>IFERROR(__xludf.DUMMYFUNCTION("SPARKLINE((100-COUNTIF(INDIRECT(B65&amp;""!C:C""), ""TO DO""))/100+0.01,{""charttype"",""bar"";""max"",1.01;""min"",0; ""color1"", ""#4285f4""})"),"")</f>
        <v/>
      </c>
      <c r="D65" s="24" t="str">
        <f t="shared" si="1"/>
        <v>0 / 100</v>
      </c>
    </row>
    <row r="66">
      <c r="B66" s="21" t="s">
        <v>58</v>
      </c>
      <c r="C66" s="23" t="str">
        <f>IFERROR(__xludf.DUMMYFUNCTION("SPARKLINE((100-COUNTIF(INDIRECT(B66&amp;""!C:C""), ""TO DO""))/100+0.01,{""charttype"",""bar"";""max"",1.01;""min"",0; ""color1"", ""#4285f4""})"),"")</f>
        <v/>
      </c>
      <c r="D66" s="24" t="str">
        <f t="shared" si="1"/>
        <v>0 / 100</v>
      </c>
    </row>
    <row r="67">
      <c r="B67" s="21" t="s">
        <v>59</v>
      </c>
      <c r="C67" s="23" t="str">
        <f>IFERROR(__xludf.DUMMYFUNCTION("SPARKLINE((100-COUNTIF(INDIRECT(B67&amp;""!C:C""), ""TO DO""))/100+0.01,{""charttype"",""bar"";""max"",1.01;""min"",0; ""color1"", ""#4285f4""})"),"")</f>
        <v/>
      </c>
      <c r="D67" s="24" t="str">
        <f t="shared" si="1"/>
        <v>100 / 100</v>
      </c>
    </row>
    <row r="68">
      <c r="B68" s="21" t="s">
        <v>60</v>
      </c>
      <c r="C68" s="23" t="str">
        <f>IFERROR(__xludf.DUMMYFUNCTION("SPARKLINE((100-COUNTIF(INDIRECT(B68&amp;""!C:C""), ""TO DO""))/100+0.01,{""charttype"",""bar"";""max"",1.01;""min"",0; ""color1"", ""#4285f4""})"),"")</f>
        <v/>
      </c>
      <c r="D68" s="24" t="str">
        <f t="shared" si="1"/>
        <v>100 / 100</v>
      </c>
    </row>
    <row r="70">
      <c r="B70" s="25" t="s">
        <v>61</v>
      </c>
    </row>
    <row r="72">
      <c r="B72" s="6" t="s">
        <v>62</v>
      </c>
    </row>
    <row r="73">
      <c r="B73" s="5" t="s">
        <v>63</v>
      </c>
    </row>
    <row r="74">
      <c r="B74" s="5"/>
    </row>
    <row r="75">
      <c r="B75" s="5" t="s">
        <v>64</v>
      </c>
    </row>
    <row r="76">
      <c r="B76" s="5"/>
    </row>
    <row r="77">
      <c r="B77" s="26" t="s">
        <v>65</v>
      </c>
    </row>
    <row r="78">
      <c r="B78" s="5" t="s">
        <v>66</v>
      </c>
    </row>
    <row r="79">
      <c r="B79" s="5" t="s">
        <v>67</v>
      </c>
    </row>
    <row r="80">
      <c r="B80" s="5" t="s">
        <v>68</v>
      </c>
    </row>
    <row r="81">
      <c r="B81" s="5" t="s">
        <v>69</v>
      </c>
    </row>
    <row r="82">
      <c r="B82" s="5" t="s">
        <v>70</v>
      </c>
    </row>
    <row r="83">
      <c r="B83" s="5" t="s">
        <v>71</v>
      </c>
    </row>
    <row r="84">
      <c r="B84" s="5" t="s">
        <v>72</v>
      </c>
    </row>
    <row r="85">
      <c r="B85" s="5" t="s">
        <v>73</v>
      </c>
    </row>
    <row r="86">
      <c r="B86" s="5" t="s">
        <v>74</v>
      </c>
    </row>
    <row r="87">
      <c r="B87" s="5" t="s">
        <v>75</v>
      </c>
    </row>
    <row r="88">
      <c r="B88" s="5" t="s">
        <v>76</v>
      </c>
    </row>
    <row r="90">
      <c r="B90" s="26" t="s">
        <v>77</v>
      </c>
    </row>
    <row r="91">
      <c r="B91" s="5" t="s">
        <v>78</v>
      </c>
    </row>
    <row r="92">
      <c r="B92" s="5" t="s">
        <v>67</v>
      </c>
    </row>
    <row r="93">
      <c r="B93" s="3" t="s">
        <v>68</v>
      </c>
    </row>
    <row r="94">
      <c r="B94" s="5" t="s">
        <v>70</v>
      </c>
    </row>
    <row r="95">
      <c r="B95" s="3" t="s">
        <v>79</v>
      </c>
    </row>
    <row r="96">
      <c r="B96" s="5" t="s">
        <v>80</v>
      </c>
    </row>
    <row r="102">
      <c r="B102" s="13"/>
    </row>
    <row r="103">
      <c r="B103" s="13"/>
    </row>
    <row r="104">
      <c r="B104" s="13"/>
    </row>
    <row r="105">
      <c r="B105" s="13"/>
    </row>
    <row r="106">
      <c r="B106" s="13"/>
    </row>
  </sheetData>
  <dataValidations>
    <dataValidation type="list" allowBlank="1" showErrorMessage="1" sqref="B18:B20">
      <formula1>"TRUE,FALSE,SKIP"</formula1>
    </dataValidation>
  </dataValidations>
  <hyperlinks>
    <hyperlink r:id="rId1" ref="B58"/>
    <hyperlink display="Finn" location="Finn!A1" ref="B64"/>
    <hyperlink display="Gib" location="Gib!A1" ref="B65"/>
    <hyperlink display="Jean-Baptiste" location="'Jean-Baptiste'!A1" ref="B66"/>
    <hyperlink display="Meike" location="Meike!A1" ref="B67"/>
    <hyperlink display="Steve" location="Steve!A1" ref="B6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34.63"/>
  </cols>
  <sheetData>
    <row r="1">
      <c r="A1" s="27" t="s">
        <v>81</v>
      </c>
      <c r="B1" s="28" t="s">
        <v>82</v>
      </c>
      <c r="C1" s="29" t="s">
        <v>83</v>
      </c>
      <c r="D1" s="22" t="s">
        <v>84</v>
      </c>
    </row>
    <row r="2">
      <c r="A2" s="30" t="s">
        <v>85</v>
      </c>
      <c r="B2" s="31" t="s">
        <v>86</v>
      </c>
      <c r="C2" s="32" t="b">
        <v>0</v>
      </c>
      <c r="D2" s="5" t="s">
        <v>87</v>
      </c>
    </row>
    <row r="3">
      <c r="A3" s="30" t="s">
        <v>88</v>
      </c>
      <c r="B3" s="31" t="s">
        <v>89</v>
      </c>
      <c r="C3" s="32" t="b">
        <v>0</v>
      </c>
      <c r="D3" s="5" t="s">
        <v>90</v>
      </c>
    </row>
    <row r="4">
      <c r="A4" s="30" t="s">
        <v>91</v>
      </c>
      <c r="B4" s="31" t="s">
        <v>92</v>
      </c>
      <c r="C4" s="32" t="b">
        <v>0</v>
      </c>
    </row>
    <row r="5">
      <c r="A5" s="30" t="s">
        <v>93</v>
      </c>
      <c r="B5" s="31" t="s">
        <v>94</v>
      </c>
      <c r="C5" s="32" t="b">
        <v>0</v>
      </c>
    </row>
    <row r="6">
      <c r="A6" s="30" t="s">
        <v>95</v>
      </c>
      <c r="B6" s="31" t="s">
        <v>96</v>
      </c>
      <c r="C6" s="32" t="b">
        <v>0</v>
      </c>
    </row>
    <row r="7">
      <c r="A7" s="30" t="s">
        <v>97</v>
      </c>
      <c r="B7" s="31" t="s">
        <v>98</v>
      </c>
      <c r="C7" s="32" t="b">
        <v>1</v>
      </c>
    </row>
    <row r="8">
      <c r="A8" s="30" t="s">
        <v>99</v>
      </c>
      <c r="B8" s="31" t="s">
        <v>100</v>
      </c>
      <c r="C8" s="32" t="b">
        <v>0</v>
      </c>
      <c r="D8" s="5" t="s">
        <v>101</v>
      </c>
    </row>
    <row r="9">
      <c r="A9" s="30" t="s">
        <v>102</v>
      </c>
      <c r="B9" s="31" t="s">
        <v>103</v>
      </c>
      <c r="C9" s="32" t="b">
        <v>1</v>
      </c>
    </row>
    <row r="10">
      <c r="A10" s="30" t="s">
        <v>104</v>
      </c>
      <c r="B10" s="31" t="s">
        <v>105</v>
      </c>
      <c r="C10" s="32" t="b">
        <v>0</v>
      </c>
    </row>
    <row r="11">
      <c r="A11" s="30" t="s">
        <v>106</v>
      </c>
      <c r="B11" s="31" t="s">
        <v>107</v>
      </c>
      <c r="C11" s="32" t="b">
        <v>1</v>
      </c>
      <c r="D11" s="5" t="s">
        <v>108</v>
      </c>
    </row>
    <row r="12">
      <c r="A12" s="30" t="s">
        <v>109</v>
      </c>
      <c r="B12" s="31" t="s">
        <v>110</v>
      </c>
      <c r="C12" s="32" t="b">
        <v>0</v>
      </c>
    </row>
    <row r="13">
      <c r="A13" s="30" t="s">
        <v>111</v>
      </c>
      <c r="B13" s="31" t="s">
        <v>112</v>
      </c>
      <c r="C13" s="32" t="b">
        <v>0</v>
      </c>
    </row>
    <row r="14">
      <c r="A14" s="30" t="s">
        <v>113</v>
      </c>
      <c r="B14" s="31" t="s">
        <v>114</v>
      </c>
      <c r="C14" s="32" t="b">
        <v>0</v>
      </c>
    </row>
    <row r="15">
      <c r="A15" s="30" t="s">
        <v>115</v>
      </c>
      <c r="B15" s="31" t="s">
        <v>116</v>
      </c>
      <c r="C15" s="32" t="b">
        <v>1</v>
      </c>
    </row>
    <row r="16">
      <c r="A16" s="30" t="s">
        <v>117</v>
      </c>
      <c r="B16" s="31" t="s">
        <v>118</v>
      </c>
      <c r="C16" s="32" t="b">
        <v>1</v>
      </c>
      <c r="D16" s="5" t="s">
        <v>119</v>
      </c>
    </row>
    <row r="17">
      <c r="A17" s="30" t="s">
        <v>120</v>
      </c>
      <c r="B17" s="31" t="s">
        <v>121</v>
      </c>
      <c r="C17" s="32" t="b">
        <v>0</v>
      </c>
    </row>
    <row r="18">
      <c r="A18" s="30" t="s">
        <v>122</v>
      </c>
      <c r="B18" s="31" t="s">
        <v>123</v>
      </c>
      <c r="C18" s="32" t="b">
        <v>0</v>
      </c>
    </row>
    <row r="19">
      <c r="A19" s="30" t="s">
        <v>124</v>
      </c>
      <c r="B19" s="31" t="s">
        <v>125</v>
      </c>
      <c r="C19" s="32" t="b">
        <v>0</v>
      </c>
    </row>
    <row r="20">
      <c r="A20" s="30" t="s">
        <v>126</v>
      </c>
      <c r="B20" s="31" t="s">
        <v>127</v>
      </c>
      <c r="C20" s="32" t="b">
        <v>0</v>
      </c>
    </row>
    <row r="21">
      <c r="A21" s="30" t="s">
        <v>128</v>
      </c>
      <c r="B21" s="31" t="s">
        <v>129</v>
      </c>
      <c r="C21" s="32" t="b">
        <v>1</v>
      </c>
    </row>
    <row r="22">
      <c r="A22" s="30" t="s">
        <v>130</v>
      </c>
      <c r="B22" s="31" t="s">
        <v>131</v>
      </c>
      <c r="C22" s="32" t="b">
        <v>0</v>
      </c>
    </row>
    <row r="23">
      <c r="A23" s="30" t="s">
        <v>132</v>
      </c>
      <c r="B23" s="31" t="s">
        <v>133</v>
      </c>
      <c r="C23" s="32" t="b">
        <v>1</v>
      </c>
      <c r="D23" s="5" t="s">
        <v>134</v>
      </c>
    </row>
    <row r="24">
      <c r="A24" s="30" t="s">
        <v>135</v>
      </c>
      <c r="B24" s="31" t="s">
        <v>136</v>
      </c>
      <c r="C24" s="32" t="b">
        <v>0</v>
      </c>
    </row>
    <row r="25">
      <c r="A25" s="30" t="s">
        <v>137</v>
      </c>
      <c r="B25" s="31" t="s">
        <v>138</v>
      </c>
      <c r="C25" s="32" t="b">
        <v>0</v>
      </c>
    </row>
    <row r="26">
      <c r="A26" s="30" t="s">
        <v>139</v>
      </c>
      <c r="B26" s="31" t="s">
        <v>140</v>
      </c>
      <c r="C26" s="32" t="b">
        <v>0</v>
      </c>
      <c r="D26" s="5" t="s">
        <v>141</v>
      </c>
    </row>
    <row r="27">
      <c r="A27" s="30" t="s">
        <v>142</v>
      </c>
      <c r="B27" s="31" t="s">
        <v>143</v>
      </c>
      <c r="C27" s="32" t="b">
        <v>1</v>
      </c>
    </row>
    <row r="28">
      <c r="A28" s="30" t="s">
        <v>144</v>
      </c>
      <c r="B28" s="31" t="s">
        <v>145</v>
      </c>
      <c r="C28" s="32" t="b">
        <v>0</v>
      </c>
    </row>
    <row r="29">
      <c r="A29" s="30" t="s">
        <v>146</v>
      </c>
      <c r="B29" s="31" t="s">
        <v>147</v>
      </c>
      <c r="C29" s="32" t="b">
        <v>0</v>
      </c>
    </row>
    <row r="30">
      <c r="A30" s="30" t="s">
        <v>148</v>
      </c>
      <c r="B30" s="31" t="s">
        <v>149</v>
      </c>
      <c r="C30" s="32" t="b">
        <v>0</v>
      </c>
    </row>
    <row r="31">
      <c r="A31" s="30" t="s">
        <v>150</v>
      </c>
      <c r="B31" s="31" t="s">
        <v>151</v>
      </c>
      <c r="C31" s="32" t="b">
        <v>0</v>
      </c>
    </row>
    <row r="32">
      <c r="A32" s="30" t="s">
        <v>152</v>
      </c>
      <c r="B32" s="31" t="s">
        <v>153</v>
      </c>
      <c r="C32" s="32" t="b">
        <v>0</v>
      </c>
    </row>
    <row r="33">
      <c r="A33" s="30" t="s">
        <v>154</v>
      </c>
      <c r="B33" s="31" t="s">
        <v>155</v>
      </c>
      <c r="C33" s="32" t="b">
        <v>0</v>
      </c>
    </row>
    <row r="34">
      <c r="A34" s="30" t="s">
        <v>156</v>
      </c>
      <c r="B34" s="31" t="s">
        <v>157</v>
      </c>
      <c r="C34" s="32" t="b">
        <v>0</v>
      </c>
    </row>
    <row r="35">
      <c r="A35" s="30" t="s">
        <v>158</v>
      </c>
      <c r="B35" s="31" t="s">
        <v>159</v>
      </c>
      <c r="C35" s="32" t="b">
        <v>0</v>
      </c>
    </row>
    <row r="36">
      <c r="A36" s="30" t="s">
        <v>160</v>
      </c>
      <c r="B36" s="31" t="s">
        <v>161</v>
      </c>
      <c r="C36" s="32" t="b">
        <v>0</v>
      </c>
    </row>
    <row r="37">
      <c r="A37" s="30" t="s">
        <v>162</v>
      </c>
      <c r="B37" s="31" t="s">
        <v>163</v>
      </c>
      <c r="C37" s="32" t="b">
        <v>1</v>
      </c>
    </row>
    <row r="38">
      <c r="A38" s="30" t="s">
        <v>164</v>
      </c>
      <c r="B38" s="31" t="s">
        <v>165</v>
      </c>
      <c r="C38" s="32" t="b">
        <v>0</v>
      </c>
    </row>
    <row r="39">
      <c r="A39" s="30" t="s">
        <v>166</v>
      </c>
      <c r="B39" s="31" t="s">
        <v>167</v>
      </c>
      <c r="C39" s="32" t="b">
        <v>0</v>
      </c>
    </row>
    <row r="40">
      <c r="A40" s="30" t="s">
        <v>168</v>
      </c>
      <c r="B40" s="31" t="s">
        <v>169</v>
      </c>
      <c r="C40" s="32" t="b">
        <v>1</v>
      </c>
    </row>
    <row r="41">
      <c r="A41" s="30" t="s">
        <v>170</v>
      </c>
      <c r="B41" s="31" t="s">
        <v>171</v>
      </c>
      <c r="C41" s="32" t="b">
        <v>1</v>
      </c>
    </row>
    <row r="42">
      <c r="A42" s="30" t="s">
        <v>172</v>
      </c>
      <c r="B42" s="31" t="s">
        <v>173</v>
      </c>
      <c r="C42" s="32" t="b">
        <v>0</v>
      </c>
    </row>
    <row r="43">
      <c r="A43" s="30" t="s">
        <v>174</v>
      </c>
      <c r="B43" s="31" t="s">
        <v>175</v>
      </c>
      <c r="C43" s="32" t="b">
        <v>0</v>
      </c>
    </row>
    <row r="44">
      <c r="A44" s="30" t="s">
        <v>176</v>
      </c>
      <c r="B44" s="31" t="s">
        <v>177</v>
      </c>
      <c r="C44" s="32" t="b">
        <v>1</v>
      </c>
    </row>
    <row r="45">
      <c r="A45" s="30" t="s">
        <v>178</v>
      </c>
      <c r="B45" s="31" t="s">
        <v>179</v>
      </c>
      <c r="C45" s="32" t="b">
        <v>1</v>
      </c>
      <c r="D45" s="5" t="s">
        <v>180</v>
      </c>
    </row>
    <row r="46">
      <c r="A46" s="30" t="s">
        <v>181</v>
      </c>
      <c r="B46" s="31" t="s">
        <v>182</v>
      </c>
      <c r="C46" s="32" t="b">
        <v>0</v>
      </c>
      <c r="D46" s="5" t="s">
        <v>183</v>
      </c>
    </row>
    <row r="47">
      <c r="A47" s="30" t="s">
        <v>184</v>
      </c>
      <c r="B47" s="31" t="s">
        <v>185</v>
      </c>
      <c r="C47" s="32" t="b">
        <v>0</v>
      </c>
    </row>
    <row r="48">
      <c r="A48" s="30" t="s">
        <v>186</v>
      </c>
      <c r="B48" s="31" t="s">
        <v>187</v>
      </c>
      <c r="C48" s="32" t="b">
        <v>0</v>
      </c>
    </row>
    <row r="49">
      <c r="A49" s="30" t="s">
        <v>188</v>
      </c>
      <c r="B49" s="31" t="s">
        <v>189</v>
      </c>
      <c r="C49" s="32" t="b">
        <v>0</v>
      </c>
    </row>
    <row r="50">
      <c r="A50" s="30" t="s">
        <v>190</v>
      </c>
      <c r="B50" s="31" t="s">
        <v>191</v>
      </c>
      <c r="C50" s="32" t="b">
        <v>1</v>
      </c>
    </row>
    <row r="51">
      <c r="A51" s="30" t="s">
        <v>192</v>
      </c>
      <c r="B51" s="31" t="s">
        <v>193</v>
      </c>
      <c r="C51" s="32" t="b">
        <v>1</v>
      </c>
    </row>
    <row r="52">
      <c r="A52" s="30" t="s">
        <v>194</v>
      </c>
      <c r="B52" s="31" t="s">
        <v>195</v>
      </c>
      <c r="C52" s="32" t="b">
        <v>0</v>
      </c>
    </row>
    <row r="53">
      <c r="A53" s="30" t="s">
        <v>196</v>
      </c>
      <c r="B53" s="31" t="s">
        <v>197</v>
      </c>
      <c r="C53" s="32" t="b">
        <v>1</v>
      </c>
    </row>
    <row r="54">
      <c r="A54" s="30" t="s">
        <v>198</v>
      </c>
      <c r="B54" s="31" t="s">
        <v>199</v>
      </c>
      <c r="C54" s="32" t="b">
        <v>0</v>
      </c>
    </row>
    <row r="55">
      <c r="A55" s="30" t="s">
        <v>200</v>
      </c>
      <c r="B55" s="31" t="s">
        <v>201</v>
      </c>
      <c r="C55" s="32" t="b">
        <v>1</v>
      </c>
    </row>
    <row r="56">
      <c r="A56" s="30" t="s">
        <v>202</v>
      </c>
      <c r="B56" s="31" t="s">
        <v>203</v>
      </c>
      <c r="C56" s="32" t="b">
        <v>0</v>
      </c>
    </row>
    <row r="57">
      <c r="A57" s="30" t="s">
        <v>204</v>
      </c>
      <c r="B57" s="31" t="s">
        <v>205</v>
      </c>
      <c r="C57" s="32" t="b">
        <v>0</v>
      </c>
    </row>
    <row r="58">
      <c r="A58" s="30" t="s">
        <v>206</v>
      </c>
      <c r="B58" s="31" t="s">
        <v>207</v>
      </c>
      <c r="C58" s="32" t="b">
        <v>1</v>
      </c>
      <c r="D58" s="5" t="s">
        <v>208</v>
      </c>
    </row>
    <row r="59">
      <c r="A59" s="30" t="s">
        <v>209</v>
      </c>
      <c r="B59" s="31" t="s">
        <v>210</v>
      </c>
      <c r="C59" s="32" t="b">
        <v>1</v>
      </c>
      <c r="D59" s="5" t="s">
        <v>211</v>
      </c>
    </row>
    <row r="60">
      <c r="A60" s="30" t="s">
        <v>212</v>
      </c>
      <c r="B60" s="31" t="s">
        <v>213</v>
      </c>
      <c r="C60" s="32" t="b">
        <v>0</v>
      </c>
    </row>
    <row r="61">
      <c r="A61" s="30" t="s">
        <v>214</v>
      </c>
      <c r="B61" s="31" t="s">
        <v>215</v>
      </c>
      <c r="C61" s="32" t="b">
        <v>1</v>
      </c>
    </row>
    <row r="62">
      <c r="A62" s="30" t="s">
        <v>216</v>
      </c>
      <c r="B62" s="31" t="s">
        <v>217</v>
      </c>
      <c r="C62" s="32" t="b">
        <v>0</v>
      </c>
    </row>
    <row r="63">
      <c r="A63" s="30" t="s">
        <v>218</v>
      </c>
      <c r="B63" s="31" t="s">
        <v>219</v>
      </c>
      <c r="C63" s="32" t="b">
        <v>1</v>
      </c>
    </row>
    <row r="64">
      <c r="A64" s="30" t="s">
        <v>220</v>
      </c>
      <c r="B64" s="31" t="s">
        <v>221</v>
      </c>
      <c r="C64" s="32" t="b">
        <v>1</v>
      </c>
    </row>
    <row r="65">
      <c r="A65" s="30" t="s">
        <v>222</v>
      </c>
      <c r="B65" s="31" t="s">
        <v>223</v>
      </c>
      <c r="C65" s="32" t="b">
        <v>1</v>
      </c>
    </row>
    <row r="66">
      <c r="A66" s="30" t="s">
        <v>224</v>
      </c>
      <c r="B66" s="31" t="s">
        <v>225</v>
      </c>
      <c r="C66" s="32" t="b">
        <v>1</v>
      </c>
    </row>
    <row r="67">
      <c r="A67" s="30" t="s">
        <v>226</v>
      </c>
      <c r="B67" s="31" t="s">
        <v>227</v>
      </c>
      <c r="C67" s="32" t="b">
        <v>0</v>
      </c>
    </row>
    <row r="68">
      <c r="A68" s="30" t="s">
        <v>228</v>
      </c>
      <c r="B68" s="31" t="s">
        <v>229</v>
      </c>
      <c r="C68" s="32" t="b">
        <v>0</v>
      </c>
    </row>
    <row r="69">
      <c r="A69" s="30" t="s">
        <v>230</v>
      </c>
      <c r="B69" s="31" t="s">
        <v>231</v>
      </c>
      <c r="C69" s="32" t="b">
        <v>1</v>
      </c>
    </row>
    <row r="70">
      <c r="A70" s="30" t="s">
        <v>232</v>
      </c>
      <c r="B70" s="31" t="s">
        <v>233</v>
      </c>
      <c r="C70" s="32" t="b">
        <v>0</v>
      </c>
    </row>
    <row r="71">
      <c r="A71" s="30" t="s">
        <v>234</v>
      </c>
      <c r="B71" s="31" t="s">
        <v>235</v>
      </c>
      <c r="C71" s="32" t="b">
        <v>0</v>
      </c>
    </row>
    <row r="72">
      <c r="A72" s="30" t="s">
        <v>236</v>
      </c>
      <c r="B72" s="31" t="s">
        <v>237</v>
      </c>
      <c r="C72" s="32" t="b">
        <v>0</v>
      </c>
    </row>
    <row r="73">
      <c r="A73" s="30" t="s">
        <v>238</v>
      </c>
      <c r="B73" s="31" t="s">
        <v>239</v>
      </c>
      <c r="C73" s="32" t="b">
        <v>0</v>
      </c>
    </row>
    <row r="74">
      <c r="A74" s="30" t="s">
        <v>240</v>
      </c>
      <c r="B74" s="31" t="s">
        <v>241</v>
      </c>
      <c r="C74" s="32" t="b">
        <v>0</v>
      </c>
    </row>
    <row r="75">
      <c r="A75" s="30" t="s">
        <v>242</v>
      </c>
      <c r="B75" s="31" t="s">
        <v>243</v>
      </c>
      <c r="C75" s="32" t="b">
        <v>0</v>
      </c>
    </row>
    <row r="76">
      <c r="A76" s="30" t="s">
        <v>244</v>
      </c>
      <c r="B76" s="31" t="s">
        <v>245</v>
      </c>
      <c r="C76" s="32" t="b">
        <v>1</v>
      </c>
    </row>
    <row r="77">
      <c r="A77" s="30" t="s">
        <v>246</v>
      </c>
      <c r="B77" s="31" t="s">
        <v>247</v>
      </c>
      <c r="C77" s="32" t="b">
        <v>0</v>
      </c>
    </row>
    <row r="78">
      <c r="A78" s="30" t="s">
        <v>248</v>
      </c>
      <c r="B78" s="31" t="s">
        <v>249</v>
      </c>
      <c r="C78" s="32" t="b">
        <v>0</v>
      </c>
    </row>
    <row r="79">
      <c r="A79" s="30" t="s">
        <v>250</v>
      </c>
      <c r="B79" s="31" t="s">
        <v>251</v>
      </c>
      <c r="C79" s="32" t="b">
        <v>1</v>
      </c>
    </row>
    <row r="80">
      <c r="A80" s="30" t="s">
        <v>252</v>
      </c>
      <c r="B80" s="31" t="s">
        <v>253</v>
      </c>
      <c r="C80" s="32" t="b">
        <v>1</v>
      </c>
    </row>
    <row r="81">
      <c r="A81" s="30" t="s">
        <v>254</v>
      </c>
      <c r="B81" s="31" t="s">
        <v>255</v>
      </c>
      <c r="C81" s="32" t="b">
        <v>1</v>
      </c>
    </row>
    <row r="82">
      <c r="A82" s="30" t="s">
        <v>256</v>
      </c>
      <c r="B82" s="31" t="s">
        <v>257</v>
      </c>
      <c r="C82" s="32" t="b">
        <v>0</v>
      </c>
    </row>
    <row r="83">
      <c r="A83" s="30" t="s">
        <v>258</v>
      </c>
      <c r="B83" s="31" t="s">
        <v>259</v>
      </c>
      <c r="C83" s="32" t="b">
        <v>0</v>
      </c>
    </row>
    <row r="84">
      <c r="A84" s="30" t="s">
        <v>260</v>
      </c>
      <c r="B84" s="31" t="s">
        <v>261</v>
      </c>
      <c r="C84" s="32" t="b">
        <v>1</v>
      </c>
      <c r="D84" s="5" t="s">
        <v>262</v>
      </c>
    </row>
    <row r="85">
      <c r="A85" s="30" t="s">
        <v>263</v>
      </c>
      <c r="B85" s="31" t="s">
        <v>264</v>
      </c>
      <c r="C85" s="32" t="b">
        <v>0</v>
      </c>
    </row>
    <row r="86">
      <c r="A86" s="30" t="s">
        <v>265</v>
      </c>
      <c r="B86" s="31" t="s">
        <v>266</v>
      </c>
      <c r="C86" s="32" t="b">
        <v>1</v>
      </c>
    </row>
    <row r="87">
      <c r="A87" s="30" t="s">
        <v>267</v>
      </c>
      <c r="B87" s="31" t="s">
        <v>268</v>
      </c>
      <c r="C87" s="32" t="b">
        <v>0</v>
      </c>
    </row>
    <row r="88">
      <c r="A88" s="30" t="s">
        <v>269</v>
      </c>
      <c r="B88" s="31" t="s">
        <v>270</v>
      </c>
      <c r="C88" s="32" t="b">
        <v>1</v>
      </c>
      <c r="D88" s="5" t="s">
        <v>271</v>
      </c>
    </row>
    <row r="89">
      <c r="A89" s="30" t="s">
        <v>272</v>
      </c>
      <c r="B89" s="31" t="s">
        <v>273</v>
      </c>
      <c r="C89" s="32" t="b">
        <v>0</v>
      </c>
    </row>
    <row r="90">
      <c r="A90" s="30" t="s">
        <v>274</v>
      </c>
      <c r="B90" s="31" t="s">
        <v>275</v>
      </c>
      <c r="C90" s="32" t="b">
        <v>0</v>
      </c>
    </row>
    <row r="91">
      <c r="A91" s="30" t="s">
        <v>276</v>
      </c>
      <c r="B91" s="31" t="s">
        <v>277</v>
      </c>
      <c r="C91" s="32" t="b">
        <v>0</v>
      </c>
    </row>
    <row r="92">
      <c r="A92" s="30" t="s">
        <v>278</v>
      </c>
      <c r="B92" s="31" t="s">
        <v>279</v>
      </c>
      <c r="C92" s="32" t="b">
        <v>0</v>
      </c>
    </row>
    <row r="93">
      <c r="A93" s="30" t="s">
        <v>280</v>
      </c>
      <c r="B93" s="31" t="s">
        <v>281</v>
      </c>
      <c r="C93" s="32" t="b">
        <v>0</v>
      </c>
    </row>
    <row r="94">
      <c r="A94" s="30" t="s">
        <v>282</v>
      </c>
      <c r="B94" s="31" t="s">
        <v>283</v>
      </c>
      <c r="C94" s="32" t="b">
        <v>0</v>
      </c>
    </row>
    <row r="95">
      <c r="A95" s="30" t="s">
        <v>284</v>
      </c>
      <c r="B95" s="31" t="s">
        <v>285</v>
      </c>
      <c r="C95" s="32" t="b">
        <v>0</v>
      </c>
    </row>
    <row r="96">
      <c r="A96" s="30" t="s">
        <v>286</v>
      </c>
      <c r="B96" s="31" t="s">
        <v>287</v>
      </c>
      <c r="C96" s="32" t="b">
        <v>0</v>
      </c>
    </row>
    <row r="97">
      <c r="A97" s="30" t="s">
        <v>288</v>
      </c>
      <c r="B97" s="31" t="s">
        <v>289</v>
      </c>
      <c r="C97" s="32" t="b">
        <v>1</v>
      </c>
    </row>
    <row r="98">
      <c r="A98" s="30" t="s">
        <v>290</v>
      </c>
      <c r="B98" s="31" t="s">
        <v>291</v>
      </c>
      <c r="C98" s="32" t="b">
        <v>1</v>
      </c>
    </row>
    <row r="99">
      <c r="A99" s="30" t="s">
        <v>292</v>
      </c>
      <c r="B99" s="31" t="s">
        <v>293</v>
      </c>
      <c r="C99" s="32" t="b">
        <v>0</v>
      </c>
    </row>
    <row r="100">
      <c r="A100" s="30" t="s">
        <v>294</v>
      </c>
      <c r="B100" s="31" t="s">
        <v>295</v>
      </c>
      <c r="C100" s="32" t="b">
        <v>0</v>
      </c>
    </row>
    <row r="101">
      <c r="A101" s="30" t="s">
        <v>296</v>
      </c>
      <c r="B101" s="31" t="s">
        <v>297</v>
      </c>
      <c r="C101" s="32" t="b">
        <v>0</v>
      </c>
    </row>
  </sheetData>
  <dataValidations>
    <dataValidation type="list" allowBlank="1" showErrorMessage="1" sqref="C2:C101">
      <formula1>"TO DO,TRUE,FALSE,SKIP"</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27" t="s">
        <v>81</v>
      </c>
      <c r="B1" s="28" t="s">
        <v>82</v>
      </c>
      <c r="C1" s="29" t="s">
        <v>83</v>
      </c>
      <c r="D1" s="22" t="s">
        <v>84</v>
      </c>
    </row>
    <row r="2">
      <c r="A2" s="30" t="s">
        <v>244</v>
      </c>
      <c r="B2" s="31" t="s">
        <v>245</v>
      </c>
      <c r="C2" s="32" t="s">
        <v>298</v>
      </c>
    </row>
    <row r="3">
      <c r="A3" s="30" t="s">
        <v>200</v>
      </c>
      <c r="B3" s="31" t="s">
        <v>201</v>
      </c>
      <c r="C3" s="32" t="s">
        <v>298</v>
      </c>
    </row>
    <row r="4">
      <c r="A4" s="30" t="s">
        <v>170</v>
      </c>
      <c r="B4" s="31" t="s">
        <v>171</v>
      </c>
      <c r="C4" s="32" t="s">
        <v>298</v>
      </c>
    </row>
    <row r="5">
      <c r="A5" s="30" t="s">
        <v>139</v>
      </c>
      <c r="B5" s="31" t="s">
        <v>140</v>
      </c>
      <c r="C5" s="32" t="s">
        <v>298</v>
      </c>
    </row>
    <row r="6">
      <c r="A6" s="30" t="s">
        <v>172</v>
      </c>
      <c r="B6" s="31" t="s">
        <v>173</v>
      </c>
      <c r="C6" s="32" t="s">
        <v>298</v>
      </c>
    </row>
    <row r="7">
      <c r="A7" s="30" t="s">
        <v>184</v>
      </c>
      <c r="B7" s="31" t="s">
        <v>185</v>
      </c>
      <c r="C7" s="32" t="s">
        <v>298</v>
      </c>
    </row>
    <row r="8">
      <c r="A8" s="30" t="s">
        <v>130</v>
      </c>
      <c r="B8" s="31" t="s">
        <v>131</v>
      </c>
      <c r="C8" s="32" t="s">
        <v>298</v>
      </c>
    </row>
    <row r="9">
      <c r="A9" s="30" t="s">
        <v>256</v>
      </c>
      <c r="B9" s="31" t="s">
        <v>257</v>
      </c>
      <c r="C9" s="32" t="s">
        <v>298</v>
      </c>
    </row>
    <row r="10">
      <c r="A10" s="30" t="s">
        <v>209</v>
      </c>
      <c r="B10" s="31" t="s">
        <v>210</v>
      </c>
      <c r="C10" s="32" t="s">
        <v>298</v>
      </c>
    </row>
    <row r="11">
      <c r="A11" s="30" t="s">
        <v>265</v>
      </c>
      <c r="B11" s="31" t="s">
        <v>266</v>
      </c>
      <c r="C11" s="32" t="s">
        <v>298</v>
      </c>
    </row>
    <row r="12">
      <c r="A12" s="30" t="s">
        <v>117</v>
      </c>
      <c r="B12" s="31" t="s">
        <v>118</v>
      </c>
      <c r="C12" s="32" t="s">
        <v>298</v>
      </c>
    </row>
    <row r="13">
      <c r="A13" s="30" t="s">
        <v>186</v>
      </c>
      <c r="B13" s="31" t="s">
        <v>187</v>
      </c>
      <c r="C13" s="32" t="s">
        <v>298</v>
      </c>
    </row>
    <row r="14">
      <c r="A14" s="30" t="s">
        <v>178</v>
      </c>
      <c r="B14" s="31" t="s">
        <v>179</v>
      </c>
      <c r="C14" s="32" t="s">
        <v>298</v>
      </c>
    </row>
    <row r="15">
      <c r="A15" s="30" t="s">
        <v>296</v>
      </c>
      <c r="B15" s="31" t="s">
        <v>297</v>
      </c>
      <c r="C15" s="32" t="s">
        <v>298</v>
      </c>
    </row>
    <row r="16">
      <c r="A16" s="30" t="s">
        <v>160</v>
      </c>
      <c r="B16" s="31" t="s">
        <v>161</v>
      </c>
      <c r="C16" s="32" t="s">
        <v>298</v>
      </c>
    </row>
    <row r="17">
      <c r="A17" s="30" t="s">
        <v>150</v>
      </c>
      <c r="B17" s="31" t="s">
        <v>151</v>
      </c>
      <c r="C17" s="32" t="s">
        <v>298</v>
      </c>
    </row>
    <row r="18">
      <c r="A18" s="30" t="s">
        <v>106</v>
      </c>
      <c r="B18" s="31" t="s">
        <v>107</v>
      </c>
      <c r="C18" s="32" t="s">
        <v>298</v>
      </c>
    </row>
    <row r="19">
      <c r="A19" s="30" t="s">
        <v>226</v>
      </c>
      <c r="B19" s="31" t="s">
        <v>227</v>
      </c>
      <c r="C19" s="32" t="s">
        <v>298</v>
      </c>
    </row>
    <row r="20">
      <c r="A20" s="30" t="s">
        <v>288</v>
      </c>
      <c r="B20" s="31" t="s">
        <v>289</v>
      </c>
      <c r="C20" s="32" t="s">
        <v>298</v>
      </c>
    </row>
    <row r="21">
      <c r="A21" s="30" t="s">
        <v>216</v>
      </c>
      <c r="B21" s="31" t="s">
        <v>217</v>
      </c>
      <c r="C21" s="32" t="s">
        <v>298</v>
      </c>
    </row>
    <row r="22">
      <c r="A22" s="30" t="s">
        <v>294</v>
      </c>
      <c r="B22" s="31" t="s">
        <v>295</v>
      </c>
      <c r="C22" s="32" t="s">
        <v>298</v>
      </c>
    </row>
    <row r="23">
      <c r="A23" s="30" t="s">
        <v>126</v>
      </c>
      <c r="B23" s="31" t="s">
        <v>127</v>
      </c>
      <c r="C23" s="32" t="s">
        <v>298</v>
      </c>
    </row>
    <row r="24">
      <c r="A24" s="30" t="s">
        <v>248</v>
      </c>
      <c r="B24" s="31" t="s">
        <v>249</v>
      </c>
      <c r="C24" s="32" t="s">
        <v>298</v>
      </c>
    </row>
    <row r="25">
      <c r="A25" s="30" t="s">
        <v>196</v>
      </c>
      <c r="B25" s="31" t="s">
        <v>197</v>
      </c>
      <c r="C25" s="32" t="s">
        <v>298</v>
      </c>
    </row>
    <row r="26">
      <c r="A26" s="30" t="s">
        <v>240</v>
      </c>
      <c r="B26" s="31" t="s">
        <v>241</v>
      </c>
      <c r="C26" s="32" t="s">
        <v>298</v>
      </c>
    </row>
    <row r="27">
      <c r="A27" s="30" t="s">
        <v>238</v>
      </c>
      <c r="B27" s="31" t="s">
        <v>239</v>
      </c>
      <c r="C27" s="32" t="s">
        <v>298</v>
      </c>
    </row>
    <row r="28">
      <c r="A28" s="30" t="s">
        <v>168</v>
      </c>
      <c r="B28" s="31" t="s">
        <v>169</v>
      </c>
      <c r="C28" s="32" t="s">
        <v>298</v>
      </c>
    </row>
    <row r="29">
      <c r="A29" s="30" t="s">
        <v>115</v>
      </c>
      <c r="B29" s="31" t="s">
        <v>116</v>
      </c>
      <c r="C29" s="32" t="s">
        <v>298</v>
      </c>
    </row>
    <row r="30">
      <c r="A30" s="30" t="s">
        <v>192</v>
      </c>
      <c r="B30" s="31" t="s">
        <v>193</v>
      </c>
      <c r="C30" s="32" t="s">
        <v>298</v>
      </c>
    </row>
    <row r="31">
      <c r="A31" s="30" t="s">
        <v>95</v>
      </c>
      <c r="B31" s="31" t="s">
        <v>96</v>
      </c>
      <c r="C31" s="32" t="s">
        <v>298</v>
      </c>
    </row>
    <row r="32">
      <c r="A32" s="30" t="s">
        <v>224</v>
      </c>
      <c r="B32" s="31" t="s">
        <v>225</v>
      </c>
      <c r="C32" s="32" t="s">
        <v>298</v>
      </c>
    </row>
    <row r="33">
      <c r="A33" s="30" t="s">
        <v>164</v>
      </c>
      <c r="B33" s="31" t="s">
        <v>165</v>
      </c>
      <c r="C33" s="32" t="s">
        <v>298</v>
      </c>
    </row>
    <row r="34">
      <c r="A34" s="30" t="s">
        <v>162</v>
      </c>
      <c r="B34" s="31" t="s">
        <v>163</v>
      </c>
      <c r="C34" s="32" t="s">
        <v>298</v>
      </c>
    </row>
    <row r="35">
      <c r="A35" s="30" t="s">
        <v>284</v>
      </c>
      <c r="B35" s="31" t="s">
        <v>285</v>
      </c>
      <c r="C35" s="32" t="s">
        <v>298</v>
      </c>
    </row>
    <row r="36">
      <c r="A36" s="30" t="s">
        <v>124</v>
      </c>
      <c r="B36" s="31" t="s">
        <v>125</v>
      </c>
      <c r="C36" s="32" t="s">
        <v>298</v>
      </c>
    </row>
    <row r="37">
      <c r="A37" s="30" t="s">
        <v>174</v>
      </c>
      <c r="B37" s="31" t="s">
        <v>175</v>
      </c>
      <c r="C37" s="32" t="s">
        <v>298</v>
      </c>
    </row>
    <row r="38">
      <c r="A38" s="30" t="s">
        <v>269</v>
      </c>
      <c r="B38" s="31" t="s">
        <v>270</v>
      </c>
      <c r="C38" s="32" t="s">
        <v>298</v>
      </c>
    </row>
    <row r="39">
      <c r="A39" s="30" t="s">
        <v>286</v>
      </c>
      <c r="B39" s="31" t="s">
        <v>287</v>
      </c>
      <c r="C39" s="32" t="s">
        <v>298</v>
      </c>
    </row>
    <row r="40">
      <c r="A40" s="30" t="s">
        <v>142</v>
      </c>
      <c r="B40" s="31" t="s">
        <v>143</v>
      </c>
      <c r="C40" s="32" t="s">
        <v>298</v>
      </c>
    </row>
    <row r="41">
      <c r="A41" s="30" t="s">
        <v>234</v>
      </c>
      <c r="B41" s="31" t="s">
        <v>235</v>
      </c>
      <c r="C41" s="32" t="s">
        <v>298</v>
      </c>
    </row>
    <row r="42">
      <c r="A42" s="30" t="s">
        <v>236</v>
      </c>
      <c r="B42" s="31" t="s">
        <v>237</v>
      </c>
      <c r="C42" s="32" t="s">
        <v>298</v>
      </c>
    </row>
    <row r="43">
      <c r="A43" s="30" t="s">
        <v>144</v>
      </c>
      <c r="B43" s="31" t="s">
        <v>145</v>
      </c>
      <c r="C43" s="32" t="s">
        <v>298</v>
      </c>
    </row>
    <row r="44">
      <c r="A44" s="30" t="s">
        <v>99</v>
      </c>
      <c r="B44" s="31" t="s">
        <v>100</v>
      </c>
      <c r="C44" s="32" t="s">
        <v>298</v>
      </c>
    </row>
    <row r="45">
      <c r="A45" s="30" t="s">
        <v>93</v>
      </c>
      <c r="B45" s="31" t="s">
        <v>94</v>
      </c>
      <c r="C45" s="32" t="s">
        <v>298</v>
      </c>
    </row>
    <row r="46">
      <c r="A46" s="30" t="s">
        <v>222</v>
      </c>
      <c r="B46" s="31" t="s">
        <v>223</v>
      </c>
      <c r="C46" s="32" t="s">
        <v>298</v>
      </c>
    </row>
    <row r="47">
      <c r="A47" s="30" t="s">
        <v>109</v>
      </c>
      <c r="B47" s="31" t="s">
        <v>110</v>
      </c>
      <c r="C47" s="32" t="s">
        <v>298</v>
      </c>
    </row>
    <row r="48">
      <c r="A48" s="30" t="s">
        <v>146</v>
      </c>
      <c r="B48" s="31" t="s">
        <v>147</v>
      </c>
      <c r="C48" s="32" t="s">
        <v>298</v>
      </c>
    </row>
    <row r="49">
      <c r="A49" s="30" t="s">
        <v>278</v>
      </c>
      <c r="B49" s="31" t="s">
        <v>279</v>
      </c>
      <c r="C49" s="32" t="s">
        <v>298</v>
      </c>
    </row>
    <row r="50">
      <c r="A50" s="30" t="s">
        <v>137</v>
      </c>
      <c r="B50" s="31" t="s">
        <v>138</v>
      </c>
      <c r="C50" s="32" t="s">
        <v>298</v>
      </c>
    </row>
    <row r="51">
      <c r="A51" s="30" t="s">
        <v>212</v>
      </c>
      <c r="B51" s="31" t="s">
        <v>213</v>
      </c>
      <c r="C51" s="32" t="s">
        <v>298</v>
      </c>
    </row>
    <row r="52">
      <c r="A52" s="30" t="s">
        <v>254</v>
      </c>
      <c r="B52" s="31" t="s">
        <v>255</v>
      </c>
      <c r="C52" s="32" t="s">
        <v>298</v>
      </c>
    </row>
    <row r="53">
      <c r="A53" s="30" t="s">
        <v>282</v>
      </c>
      <c r="B53" s="31" t="s">
        <v>283</v>
      </c>
      <c r="C53" s="32" t="s">
        <v>298</v>
      </c>
    </row>
    <row r="54">
      <c r="A54" s="30" t="s">
        <v>276</v>
      </c>
      <c r="B54" s="31" t="s">
        <v>277</v>
      </c>
      <c r="C54" s="32" t="s">
        <v>298</v>
      </c>
    </row>
    <row r="55">
      <c r="A55" s="30" t="s">
        <v>258</v>
      </c>
      <c r="B55" s="31" t="s">
        <v>259</v>
      </c>
      <c r="C55" s="32" t="s">
        <v>298</v>
      </c>
    </row>
    <row r="56">
      <c r="A56" s="30" t="s">
        <v>102</v>
      </c>
      <c r="B56" s="31" t="s">
        <v>103</v>
      </c>
      <c r="C56" s="32" t="s">
        <v>298</v>
      </c>
    </row>
    <row r="57">
      <c r="A57" s="30" t="s">
        <v>202</v>
      </c>
      <c r="B57" s="31" t="s">
        <v>203</v>
      </c>
      <c r="C57" s="32" t="s">
        <v>298</v>
      </c>
    </row>
    <row r="58">
      <c r="A58" s="30" t="s">
        <v>166</v>
      </c>
      <c r="B58" s="31" t="s">
        <v>167</v>
      </c>
      <c r="C58" s="32" t="s">
        <v>298</v>
      </c>
    </row>
    <row r="59">
      <c r="A59" s="30" t="s">
        <v>272</v>
      </c>
      <c r="B59" s="31" t="s">
        <v>273</v>
      </c>
      <c r="C59" s="32" t="s">
        <v>298</v>
      </c>
    </row>
    <row r="60">
      <c r="A60" s="30" t="s">
        <v>158</v>
      </c>
      <c r="B60" s="31" t="s">
        <v>159</v>
      </c>
      <c r="C60" s="32" t="s">
        <v>298</v>
      </c>
    </row>
    <row r="61">
      <c r="A61" s="30" t="s">
        <v>181</v>
      </c>
      <c r="B61" s="31" t="s">
        <v>182</v>
      </c>
      <c r="C61" s="32" t="s">
        <v>298</v>
      </c>
    </row>
    <row r="62">
      <c r="A62" s="30" t="s">
        <v>190</v>
      </c>
      <c r="B62" s="31" t="s">
        <v>191</v>
      </c>
      <c r="C62" s="32" t="s">
        <v>298</v>
      </c>
    </row>
    <row r="63">
      <c r="A63" s="30" t="s">
        <v>176</v>
      </c>
      <c r="B63" s="31" t="s">
        <v>177</v>
      </c>
      <c r="C63" s="32" t="s">
        <v>298</v>
      </c>
    </row>
    <row r="64">
      <c r="A64" s="30" t="s">
        <v>292</v>
      </c>
      <c r="B64" s="31" t="s">
        <v>293</v>
      </c>
      <c r="C64" s="32" t="s">
        <v>298</v>
      </c>
    </row>
    <row r="65">
      <c r="A65" s="30" t="s">
        <v>132</v>
      </c>
      <c r="B65" s="31" t="s">
        <v>133</v>
      </c>
      <c r="C65" s="32" t="s">
        <v>298</v>
      </c>
    </row>
    <row r="66">
      <c r="A66" s="30" t="s">
        <v>128</v>
      </c>
      <c r="B66" s="31" t="s">
        <v>129</v>
      </c>
      <c r="C66" s="32" t="s">
        <v>298</v>
      </c>
    </row>
    <row r="67">
      <c r="A67" s="30" t="s">
        <v>280</v>
      </c>
      <c r="B67" s="31" t="s">
        <v>281</v>
      </c>
      <c r="C67" s="32" t="s">
        <v>298</v>
      </c>
    </row>
    <row r="68">
      <c r="A68" s="30" t="s">
        <v>104</v>
      </c>
      <c r="B68" s="31" t="s">
        <v>105</v>
      </c>
      <c r="C68" s="32" t="s">
        <v>298</v>
      </c>
    </row>
    <row r="69">
      <c r="A69" s="30" t="s">
        <v>85</v>
      </c>
      <c r="B69" s="31" t="s">
        <v>86</v>
      </c>
      <c r="C69" s="32" t="s">
        <v>298</v>
      </c>
    </row>
    <row r="70">
      <c r="A70" s="30" t="s">
        <v>198</v>
      </c>
      <c r="B70" s="31" t="s">
        <v>199</v>
      </c>
      <c r="C70" s="32" t="s">
        <v>298</v>
      </c>
    </row>
    <row r="71">
      <c r="A71" s="30" t="s">
        <v>267</v>
      </c>
      <c r="B71" s="31" t="s">
        <v>268</v>
      </c>
      <c r="C71" s="32" t="s">
        <v>298</v>
      </c>
    </row>
    <row r="72">
      <c r="A72" s="30" t="s">
        <v>194</v>
      </c>
      <c r="B72" s="31" t="s">
        <v>195</v>
      </c>
      <c r="C72" s="32" t="s">
        <v>298</v>
      </c>
    </row>
    <row r="73">
      <c r="A73" s="30" t="s">
        <v>220</v>
      </c>
      <c r="B73" s="31" t="s">
        <v>221</v>
      </c>
      <c r="C73" s="32" t="s">
        <v>298</v>
      </c>
    </row>
    <row r="74">
      <c r="A74" s="30" t="s">
        <v>246</v>
      </c>
      <c r="B74" s="31" t="s">
        <v>247</v>
      </c>
      <c r="C74" s="32" t="s">
        <v>298</v>
      </c>
    </row>
    <row r="75">
      <c r="A75" s="30" t="s">
        <v>135</v>
      </c>
      <c r="B75" s="31" t="s">
        <v>136</v>
      </c>
      <c r="C75" s="32" t="s">
        <v>298</v>
      </c>
    </row>
    <row r="76">
      <c r="A76" s="30" t="s">
        <v>91</v>
      </c>
      <c r="B76" s="31" t="s">
        <v>92</v>
      </c>
      <c r="C76" s="32" t="s">
        <v>298</v>
      </c>
    </row>
    <row r="77">
      <c r="A77" s="30" t="s">
        <v>218</v>
      </c>
      <c r="B77" s="31" t="s">
        <v>219</v>
      </c>
      <c r="C77" s="32" t="s">
        <v>298</v>
      </c>
    </row>
    <row r="78">
      <c r="A78" s="30" t="s">
        <v>250</v>
      </c>
      <c r="B78" s="31" t="s">
        <v>251</v>
      </c>
      <c r="C78" s="32" t="s">
        <v>298</v>
      </c>
    </row>
    <row r="79">
      <c r="A79" s="30" t="s">
        <v>260</v>
      </c>
      <c r="B79" s="31" t="s">
        <v>261</v>
      </c>
      <c r="C79" s="32" t="s">
        <v>298</v>
      </c>
    </row>
    <row r="80">
      <c r="A80" s="30" t="s">
        <v>152</v>
      </c>
      <c r="B80" s="31" t="s">
        <v>153</v>
      </c>
      <c r="C80" s="32" t="s">
        <v>298</v>
      </c>
    </row>
    <row r="81">
      <c r="A81" s="30" t="s">
        <v>113</v>
      </c>
      <c r="B81" s="31" t="s">
        <v>114</v>
      </c>
      <c r="C81" s="32" t="s">
        <v>298</v>
      </c>
    </row>
    <row r="82">
      <c r="A82" s="30" t="s">
        <v>290</v>
      </c>
      <c r="B82" s="31" t="s">
        <v>291</v>
      </c>
      <c r="C82" s="32" t="s">
        <v>298</v>
      </c>
    </row>
    <row r="83">
      <c r="A83" s="30" t="s">
        <v>274</v>
      </c>
      <c r="B83" s="31" t="s">
        <v>275</v>
      </c>
      <c r="C83" s="32" t="s">
        <v>298</v>
      </c>
    </row>
    <row r="84">
      <c r="A84" s="30" t="s">
        <v>156</v>
      </c>
      <c r="B84" s="31" t="s">
        <v>157</v>
      </c>
      <c r="C84" s="32" t="s">
        <v>298</v>
      </c>
    </row>
    <row r="85">
      <c r="A85" s="30" t="s">
        <v>214</v>
      </c>
      <c r="B85" s="31" t="s">
        <v>215</v>
      </c>
      <c r="C85" s="32" t="s">
        <v>298</v>
      </c>
    </row>
    <row r="86">
      <c r="A86" s="30" t="s">
        <v>88</v>
      </c>
      <c r="B86" s="31" t="s">
        <v>89</v>
      </c>
      <c r="C86" s="32" t="s">
        <v>298</v>
      </c>
    </row>
    <row r="87">
      <c r="A87" s="30" t="s">
        <v>232</v>
      </c>
      <c r="B87" s="31" t="s">
        <v>233</v>
      </c>
      <c r="C87" s="32" t="s">
        <v>298</v>
      </c>
    </row>
    <row r="88">
      <c r="A88" s="30" t="s">
        <v>122</v>
      </c>
      <c r="B88" s="31" t="s">
        <v>123</v>
      </c>
      <c r="C88" s="32" t="s">
        <v>298</v>
      </c>
    </row>
    <row r="89">
      <c r="A89" s="30" t="s">
        <v>154</v>
      </c>
      <c r="B89" s="31" t="s">
        <v>155</v>
      </c>
      <c r="C89" s="32" t="s">
        <v>298</v>
      </c>
    </row>
    <row r="90">
      <c r="A90" s="30" t="s">
        <v>252</v>
      </c>
      <c r="B90" s="31" t="s">
        <v>253</v>
      </c>
      <c r="C90" s="32" t="s">
        <v>298</v>
      </c>
    </row>
    <row r="91">
      <c r="A91" s="30" t="s">
        <v>230</v>
      </c>
      <c r="B91" s="31" t="s">
        <v>231</v>
      </c>
      <c r="C91" s="32" t="s">
        <v>298</v>
      </c>
    </row>
    <row r="92">
      <c r="A92" s="30" t="s">
        <v>228</v>
      </c>
      <c r="B92" s="31" t="s">
        <v>229</v>
      </c>
      <c r="C92" s="32" t="s">
        <v>298</v>
      </c>
    </row>
    <row r="93">
      <c r="A93" s="30" t="s">
        <v>120</v>
      </c>
      <c r="B93" s="31" t="s">
        <v>121</v>
      </c>
      <c r="C93" s="32" t="s">
        <v>298</v>
      </c>
    </row>
    <row r="94">
      <c r="A94" s="30" t="s">
        <v>242</v>
      </c>
      <c r="B94" s="31" t="s">
        <v>243</v>
      </c>
      <c r="C94" s="32" t="s">
        <v>298</v>
      </c>
    </row>
    <row r="95">
      <c r="A95" s="30" t="s">
        <v>204</v>
      </c>
      <c r="B95" s="31" t="s">
        <v>205</v>
      </c>
      <c r="C95" s="32" t="s">
        <v>298</v>
      </c>
    </row>
    <row r="96">
      <c r="A96" s="30" t="s">
        <v>206</v>
      </c>
      <c r="B96" s="31" t="s">
        <v>207</v>
      </c>
      <c r="C96" s="32" t="s">
        <v>298</v>
      </c>
    </row>
    <row r="97">
      <c r="A97" s="30" t="s">
        <v>263</v>
      </c>
      <c r="B97" s="31" t="s">
        <v>264</v>
      </c>
      <c r="C97" s="32" t="s">
        <v>298</v>
      </c>
    </row>
    <row r="98">
      <c r="A98" s="30" t="s">
        <v>111</v>
      </c>
      <c r="B98" s="31" t="s">
        <v>112</v>
      </c>
      <c r="C98" s="32" t="s">
        <v>298</v>
      </c>
    </row>
    <row r="99">
      <c r="A99" s="30" t="s">
        <v>97</v>
      </c>
      <c r="B99" s="31" t="s">
        <v>98</v>
      </c>
      <c r="C99" s="32" t="s">
        <v>298</v>
      </c>
    </row>
    <row r="100">
      <c r="A100" s="30" t="s">
        <v>148</v>
      </c>
      <c r="B100" s="31" t="s">
        <v>149</v>
      </c>
      <c r="C100" s="32" t="s">
        <v>298</v>
      </c>
    </row>
    <row r="101">
      <c r="A101" s="30" t="s">
        <v>188</v>
      </c>
      <c r="B101" s="31" t="s">
        <v>189</v>
      </c>
      <c r="C101" s="32" t="s">
        <v>298</v>
      </c>
    </row>
  </sheetData>
  <dataValidations>
    <dataValidation type="list" allowBlank="1" showErrorMessage="1" sqref="C2:C101">
      <formula1>"TO DO,TRUE,FALSE,SKIP"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27" t="s">
        <v>81</v>
      </c>
      <c r="B1" s="28" t="s">
        <v>82</v>
      </c>
      <c r="C1" s="29" t="s">
        <v>83</v>
      </c>
      <c r="D1" s="22" t="s">
        <v>84</v>
      </c>
    </row>
    <row r="2">
      <c r="A2" s="30" t="s">
        <v>204</v>
      </c>
      <c r="B2" s="31" t="s">
        <v>205</v>
      </c>
      <c r="C2" s="32" t="s">
        <v>298</v>
      </c>
    </row>
    <row r="3">
      <c r="A3" s="30" t="s">
        <v>278</v>
      </c>
      <c r="B3" s="31" t="s">
        <v>279</v>
      </c>
      <c r="C3" s="32" t="s">
        <v>298</v>
      </c>
    </row>
    <row r="4">
      <c r="A4" s="30" t="s">
        <v>122</v>
      </c>
      <c r="B4" s="31" t="s">
        <v>123</v>
      </c>
      <c r="C4" s="32" t="s">
        <v>298</v>
      </c>
    </row>
    <row r="5">
      <c r="A5" s="30" t="s">
        <v>192</v>
      </c>
      <c r="B5" s="31" t="s">
        <v>193</v>
      </c>
      <c r="C5" s="32" t="s">
        <v>298</v>
      </c>
    </row>
    <row r="6">
      <c r="A6" s="30" t="s">
        <v>212</v>
      </c>
      <c r="B6" s="31" t="s">
        <v>213</v>
      </c>
      <c r="C6" s="32" t="s">
        <v>298</v>
      </c>
    </row>
    <row r="7">
      <c r="A7" s="30" t="s">
        <v>146</v>
      </c>
      <c r="B7" s="31" t="s">
        <v>147</v>
      </c>
      <c r="C7" s="32" t="s">
        <v>298</v>
      </c>
    </row>
    <row r="8">
      <c r="A8" s="30" t="s">
        <v>170</v>
      </c>
      <c r="B8" s="31" t="s">
        <v>171</v>
      </c>
      <c r="C8" s="32" t="s">
        <v>298</v>
      </c>
    </row>
    <row r="9">
      <c r="A9" s="30" t="s">
        <v>252</v>
      </c>
      <c r="B9" s="31" t="s">
        <v>253</v>
      </c>
      <c r="C9" s="32" t="s">
        <v>298</v>
      </c>
    </row>
    <row r="10">
      <c r="A10" s="30" t="s">
        <v>135</v>
      </c>
      <c r="B10" s="31" t="s">
        <v>136</v>
      </c>
      <c r="C10" s="32" t="s">
        <v>298</v>
      </c>
    </row>
    <row r="11">
      <c r="A11" s="30" t="s">
        <v>296</v>
      </c>
      <c r="B11" s="31" t="s">
        <v>297</v>
      </c>
      <c r="C11" s="32" t="s">
        <v>298</v>
      </c>
    </row>
    <row r="12">
      <c r="A12" s="30" t="s">
        <v>258</v>
      </c>
      <c r="B12" s="31" t="s">
        <v>259</v>
      </c>
      <c r="C12" s="32" t="s">
        <v>298</v>
      </c>
    </row>
    <row r="13">
      <c r="A13" s="30" t="s">
        <v>214</v>
      </c>
      <c r="B13" s="31" t="s">
        <v>215</v>
      </c>
      <c r="C13" s="32" t="s">
        <v>298</v>
      </c>
    </row>
    <row r="14">
      <c r="A14" s="30" t="s">
        <v>265</v>
      </c>
      <c r="B14" s="31" t="s">
        <v>266</v>
      </c>
      <c r="C14" s="32" t="s">
        <v>298</v>
      </c>
    </row>
    <row r="15">
      <c r="A15" s="30" t="s">
        <v>294</v>
      </c>
      <c r="B15" s="31" t="s">
        <v>295</v>
      </c>
      <c r="C15" s="32" t="s">
        <v>298</v>
      </c>
    </row>
    <row r="16">
      <c r="A16" s="30" t="s">
        <v>91</v>
      </c>
      <c r="B16" s="31" t="s">
        <v>92</v>
      </c>
      <c r="C16" s="32" t="s">
        <v>298</v>
      </c>
    </row>
    <row r="17">
      <c r="A17" s="30" t="s">
        <v>115</v>
      </c>
      <c r="B17" s="31" t="s">
        <v>116</v>
      </c>
      <c r="C17" s="32" t="s">
        <v>298</v>
      </c>
    </row>
    <row r="18">
      <c r="A18" s="30" t="s">
        <v>292</v>
      </c>
      <c r="B18" s="31" t="s">
        <v>293</v>
      </c>
      <c r="C18" s="32" t="s">
        <v>298</v>
      </c>
    </row>
    <row r="19">
      <c r="A19" s="30" t="s">
        <v>230</v>
      </c>
      <c r="B19" s="31" t="s">
        <v>231</v>
      </c>
      <c r="C19" s="32" t="s">
        <v>298</v>
      </c>
    </row>
    <row r="20">
      <c r="A20" s="30" t="s">
        <v>198</v>
      </c>
      <c r="B20" s="31" t="s">
        <v>199</v>
      </c>
      <c r="C20" s="32" t="s">
        <v>298</v>
      </c>
    </row>
    <row r="21">
      <c r="A21" s="30" t="s">
        <v>132</v>
      </c>
      <c r="B21" s="31" t="s">
        <v>133</v>
      </c>
      <c r="C21" s="32" t="s">
        <v>298</v>
      </c>
    </row>
    <row r="22">
      <c r="A22" s="30" t="s">
        <v>250</v>
      </c>
      <c r="B22" s="31" t="s">
        <v>251</v>
      </c>
      <c r="C22" s="32" t="s">
        <v>298</v>
      </c>
    </row>
    <row r="23">
      <c r="A23" s="30" t="s">
        <v>139</v>
      </c>
      <c r="B23" s="31" t="s">
        <v>140</v>
      </c>
      <c r="C23" s="32" t="s">
        <v>298</v>
      </c>
    </row>
    <row r="24">
      <c r="A24" s="30" t="s">
        <v>166</v>
      </c>
      <c r="B24" s="31" t="s">
        <v>167</v>
      </c>
      <c r="C24" s="32" t="s">
        <v>298</v>
      </c>
    </row>
    <row r="25">
      <c r="A25" s="30" t="s">
        <v>236</v>
      </c>
      <c r="B25" s="31" t="s">
        <v>237</v>
      </c>
      <c r="C25" s="32" t="s">
        <v>298</v>
      </c>
    </row>
    <row r="26">
      <c r="A26" s="30" t="s">
        <v>202</v>
      </c>
      <c r="B26" s="31" t="s">
        <v>203</v>
      </c>
      <c r="C26" s="32" t="s">
        <v>298</v>
      </c>
    </row>
    <row r="27">
      <c r="A27" s="30" t="s">
        <v>93</v>
      </c>
      <c r="B27" s="31" t="s">
        <v>94</v>
      </c>
      <c r="C27" s="32" t="s">
        <v>298</v>
      </c>
    </row>
    <row r="28">
      <c r="A28" s="30" t="s">
        <v>150</v>
      </c>
      <c r="B28" s="31" t="s">
        <v>151</v>
      </c>
      <c r="C28" s="32" t="s">
        <v>298</v>
      </c>
    </row>
    <row r="29">
      <c r="A29" s="30" t="s">
        <v>178</v>
      </c>
      <c r="B29" s="31" t="s">
        <v>179</v>
      </c>
      <c r="C29" s="32" t="s">
        <v>298</v>
      </c>
    </row>
    <row r="30">
      <c r="A30" s="30" t="s">
        <v>274</v>
      </c>
      <c r="B30" s="31" t="s">
        <v>275</v>
      </c>
      <c r="C30" s="32" t="s">
        <v>298</v>
      </c>
    </row>
    <row r="31">
      <c r="A31" s="30" t="s">
        <v>188</v>
      </c>
      <c r="B31" s="31" t="s">
        <v>189</v>
      </c>
      <c r="C31" s="32" t="s">
        <v>298</v>
      </c>
    </row>
    <row r="32">
      <c r="A32" s="30" t="s">
        <v>181</v>
      </c>
      <c r="B32" s="31" t="s">
        <v>182</v>
      </c>
      <c r="C32" s="32" t="s">
        <v>298</v>
      </c>
    </row>
    <row r="33">
      <c r="A33" s="30" t="s">
        <v>148</v>
      </c>
      <c r="B33" s="31" t="s">
        <v>149</v>
      </c>
      <c r="C33" s="32" t="s">
        <v>298</v>
      </c>
    </row>
    <row r="34">
      <c r="A34" s="30" t="s">
        <v>196</v>
      </c>
      <c r="B34" s="31" t="s">
        <v>197</v>
      </c>
      <c r="C34" s="32" t="s">
        <v>298</v>
      </c>
    </row>
    <row r="35">
      <c r="A35" s="30" t="s">
        <v>220</v>
      </c>
      <c r="B35" s="31" t="s">
        <v>221</v>
      </c>
      <c r="C35" s="32" t="s">
        <v>298</v>
      </c>
    </row>
    <row r="36">
      <c r="A36" s="30" t="s">
        <v>137</v>
      </c>
      <c r="B36" s="31" t="s">
        <v>138</v>
      </c>
      <c r="C36" s="32" t="s">
        <v>298</v>
      </c>
    </row>
    <row r="37">
      <c r="A37" s="30" t="s">
        <v>209</v>
      </c>
      <c r="B37" s="31" t="s">
        <v>210</v>
      </c>
      <c r="C37" s="32" t="s">
        <v>298</v>
      </c>
    </row>
    <row r="38">
      <c r="A38" s="30" t="s">
        <v>109</v>
      </c>
      <c r="B38" s="31" t="s">
        <v>110</v>
      </c>
      <c r="C38" s="32" t="s">
        <v>298</v>
      </c>
    </row>
    <row r="39">
      <c r="A39" s="30" t="s">
        <v>232</v>
      </c>
      <c r="B39" s="31" t="s">
        <v>233</v>
      </c>
      <c r="C39" s="32" t="s">
        <v>298</v>
      </c>
    </row>
    <row r="40">
      <c r="A40" s="30" t="s">
        <v>246</v>
      </c>
      <c r="B40" s="31" t="s">
        <v>247</v>
      </c>
      <c r="C40" s="32" t="s">
        <v>298</v>
      </c>
    </row>
    <row r="41">
      <c r="A41" s="30" t="s">
        <v>254</v>
      </c>
      <c r="B41" s="31" t="s">
        <v>255</v>
      </c>
      <c r="C41" s="32" t="s">
        <v>298</v>
      </c>
    </row>
    <row r="42">
      <c r="A42" s="30" t="s">
        <v>88</v>
      </c>
      <c r="B42" s="31" t="s">
        <v>89</v>
      </c>
      <c r="C42" s="32" t="s">
        <v>298</v>
      </c>
    </row>
    <row r="43">
      <c r="A43" s="30" t="s">
        <v>152</v>
      </c>
      <c r="B43" s="31" t="s">
        <v>153</v>
      </c>
      <c r="C43" s="32" t="s">
        <v>298</v>
      </c>
    </row>
    <row r="44">
      <c r="A44" s="30" t="s">
        <v>216</v>
      </c>
      <c r="B44" s="31" t="s">
        <v>217</v>
      </c>
      <c r="C44" s="32" t="s">
        <v>298</v>
      </c>
    </row>
    <row r="45">
      <c r="A45" s="30" t="s">
        <v>104</v>
      </c>
      <c r="B45" s="31" t="s">
        <v>105</v>
      </c>
      <c r="C45" s="32" t="s">
        <v>298</v>
      </c>
    </row>
    <row r="46">
      <c r="A46" s="30" t="s">
        <v>120</v>
      </c>
      <c r="B46" s="31" t="s">
        <v>121</v>
      </c>
      <c r="C46" s="32" t="s">
        <v>298</v>
      </c>
    </row>
    <row r="47">
      <c r="A47" s="30" t="s">
        <v>244</v>
      </c>
      <c r="B47" s="31" t="s">
        <v>245</v>
      </c>
      <c r="C47" s="32" t="s">
        <v>298</v>
      </c>
    </row>
    <row r="48">
      <c r="A48" s="30" t="s">
        <v>269</v>
      </c>
      <c r="B48" s="31" t="s">
        <v>270</v>
      </c>
      <c r="C48" s="32" t="s">
        <v>298</v>
      </c>
    </row>
    <row r="49">
      <c r="A49" s="30" t="s">
        <v>224</v>
      </c>
      <c r="B49" s="31" t="s">
        <v>225</v>
      </c>
      <c r="C49" s="32" t="s">
        <v>298</v>
      </c>
    </row>
    <row r="50">
      <c r="A50" s="30" t="s">
        <v>282</v>
      </c>
      <c r="B50" s="31" t="s">
        <v>283</v>
      </c>
      <c r="C50" s="32" t="s">
        <v>298</v>
      </c>
    </row>
    <row r="51">
      <c r="A51" s="30" t="s">
        <v>242</v>
      </c>
      <c r="B51" s="31" t="s">
        <v>243</v>
      </c>
      <c r="C51" s="32" t="s">
        <v>298</v>
      </c>
    </row>
    <row r="52">
      <c r="A52" s="30" t="s">
        <v>267</v>
      </c>
      <c r="B52" s="31" t="s">
        <v>268</v>
      </c>
      <c r="C52" s="32" t="s">
        <v>298</v>
      </c>
    </row>
    <row r="53">
      <c r="A53" s="30" t="s">
        <v>222</v>
      </c>
      <c r="B53" s="31" t="s">
        <v>223</v>
      </c>
      <c r="C53" s="32" t="s">
        <v>298</v>
      </c>
    </row>
    <row r="54">
      <c r="A54" s="30" t="s">
        <v>284</v>
      </c>
      <c r="B54" s="31" t="s">
        <v>285</v>
      </c>
      <c r="C54" s="32" t="s">
        <v>298</v>
      </c>
    </row>
    <row r="55">
      <c r="A55" s="30" t="s">
        <v>276</v>
      </c>
      <c r="B55" s="31" t="s">
        <v>277</v>
      </c>
      <c r="C55" s="32" t="s">
        <v>298</v>
      </c>
    </row>
    <row r="56">
      <c r="A56" s="30" t="s">
        <v>226</v>
      </c>
      <c r="B56" s="31" t="s">
        <v>227</v>
      </c>
      <c r="C56" s="32" t="s">
        <v>298</v>
      </c>
    </row>
    <row r="57">
      <c r="A57" s="30" t="s">
        <v>190</v>
      </c>
      <c r="B57" s="31" t="s">
        <v>191</v>
      </c>
      <c r="C57" s="32" t="s">
        <v>298</v>
      </c>
    </row>
    <row r="58">
      <c r="A58" s="30" t="s">
        <v>248</v>
      </c>
      <c r="B58" s="31" t="s">
        <v>249</v>
      </c>
      <c r="C58" s="32" t="s">
        <v>298</v>
      </c>
    </row>
    <row r="59">
      <c r="A59" s="30" t="s">
        <v>238</v>
      </c>
      <c r="B59" s="31" t="s">
        <v>239</v>
      </c>
      <c r="C59" s="32" t="s">
        <v>298</v>
      </c>
    </row>
    <row r="60">
      <c r="A60" s="30" t="s">
        <v>124</v>
      </c>
      <c r="B60" s="31" t="s">
        <v>125</v>
      </c>
      <c r="C60" s="32" t="s">
        <v>298</v>
      </c>
    </row>
    <row r="61">
      <c r="A61" s="30" t="s">
        <v>142</v>
      </c>
      <c r="B61" s="31" t="s">
        <v>143</v>
      </c>
      <c r="C61" s="32" t="s">
        <v>298</v>
      </c>
    </row>
    <row r="62">
      <c r="A62" s="30" t="s">
        <v>240</v>
      </c>
      <c r="B62" s="31" t="s">
        <v>241</v>
      </c>
      <c r="C62" s="32" t="s">
        <v>298</v>
      </c>
    </row>
    <row r="63">
      <c r="A63" s="30" t="s">
        <v>99</v>
      </c>
      <c r="B63" s="31" t="s">
        <v>100</v>
      </c>
      <c r="C63" s="32" t="s">
        <v>298</v>
      </c>
    </row>
    <row r="64">
      <c r="A64" s="30" t="s">
        <v>186</v>
      </c>
      <c r="B64" s="31" t="s">
        <v>187</v>
      </c>
      <c r="C64" s="32" t="s">
        <v>298</v>
      </c>
    </row>
    <row r="65">
      <c r="A65" s="30" t="s">
        <v>256</v>
      </c>
      <c r="B65" s="31" t="s">
        <v>257</v>
      </c>
      <c r="C65" s="32" t="s">
        <v>298</v>
      </c>
    </row>
    <row r="66">
      <c r="A66" s="30" t="s">
        <v>288</v>
      </c>
      <c r="B66" s="31" t="s">
        <v>289</v>
      </c>
      <c r="C66" s="32" t="s">
        <v>298</v>
      </c>
    </row>
    <row r="67">
      <c r="A67" s="30" t="s">
        <v>234</v>
      </c>
      <c r="B67" s="31" t="s">
        <v>235</v>
      </c>
      <c r="C67" s="32" t="s">
        <v>298</v>
      </c>
    </row>
    <row r="68">
      <c r="A68" s="30" t="s">
        <v>158</v>
      </c>
      <c r="B68" s="31" t="s">
        <v>159</v>
      </c>
      <c r="C68" s="32" t="s">
        <v>298</v>
      </c>
    </row>
    <row r="69">
      <c r="A69" s="30" t="s">
        <v>172</v>
      </c>
      <c r="B69" s="31" t="s">
        <v>173</v>
      </c>
      <c r="C69" s="32" t="s">
        <v>298</v>
      </c>
    </row>
    <row r="70">
      <c r="A70" s="30" t="s">
        <v>260</v>
      </c>
      <c r="B70" s="31" t="s">
        <v>261</v>
      </c>
      <c r="C70" s="32" t="s">
        <v>298</v>
      </c>
    </row>
    <row r="71">
      <c r="A71" s="30" t="s">
        <v>95</v>
      </c>
      <c r="B71" s="31" t="s">
        <v>96</v>
      </c>
      <c r="C71" s="32" t="s">
        <v>298</v>
      </c>
    </row>
    <row r="72">
      <c r="A72" s="30" t="s">
        <v>144</v>
      </c>
      <c r="B72" s="31" t="s">
        <v>145</v>
      </c>
      <c r="C72" s="32" t="s">
        <v>298</v>
      </c>
    </row>
    <row r="73">
      <c r="A73" s="30" t="s">
        <v>85</v>
      </c>
      <c r="B73" s="31" t="s">
        <v>86</v>
      </c>
      <c r="C73" s="32" t="s">
        <v>298</v>
      </c>
    </row>
    <row r="74">
      <c r="A74" s="30" t="s">
        <v>184</v>
      </c>
      <c r="B74" s="31" t="s">
        <v>185</v>
      </c>
      <c r="C74" s="32" t="s">
        <v>298</v>
      </c>
    </row>
    <row r="75">
      <c r="A75" s="30" t="s">
        <v>128</v>
      </c>
      <c r="B75" s="31" t="s">
        <v>129</v>
      </c>
      <c r="C75" s="32" t="s">
        <v>298</v>
      </c>
    </row>
    <row r="76">
      <c r="A76" s="30" t="s">
        <v>111</v>
      </c>
      <c r="B76" s="31" t="s">
        <v>112</v>
      </c>
      <c r="C76" s="32" t="s">
        <v>298</v>
      </c>
    </row>
    <row r="77">
      <c r="A77" s="30" t="s">
        <v>126</v>
      </c>
      <c r="B77" s="31" t="s">
        <v>127</v>
      </c>
      <c r="C77" s="32" t="s">
        <v>298</v>
      </c>
    </row>
    <row r="78">
      <c r="A78" s="30" t="s">
        <v>168</v>
      </c>
      <c r="B78" s="31" t="s">
        <v>169</v>
      </c>
      <c r="C78" s="32" t="s">
        <v>298</v>
      </c>
    </row>
    <row r="79">
      <c r="A79" s="30" t="s">
        <v>286</v>
      </c>
      <c r="B79" s="31" t="s">
        <v>287</v>
      </c>
      <c r="C79" s="32" t="s">
        <v>298</v>
      </c>
    </row>
    <row r="80">
      <c r="A80" s="30" t="s">
        <v>106</v>
      </c>
      <c r="B80" s="31" t="s">
        <v>107</v>
      </c>
      <c r="C80" s="32" t="s">
        <v>298</v>
      </c>
    </row>
    <row r="81">
      <c r="A81" s="30" t="s">
        <v>194</v>
      </c>
      <c r="B81" s="31" t="s">
        <v>195</v>
      </c>
      <c r="C81" s="32" t="s">
        <v>298</v>
      </c>
    </row>
    <row r="82">
      <c r="A82" s="30" t="s">
        <v>280</v>
      </c>
      <c r="B82" s="31" t="s">
        <v>281</v>
      </c>
      <c r="C82" s="32" t="s">
        <v>298</v>
      </c>
    </row>
    <row r="83">
      <c r="A83" s="30" t="s">
        <v>206</v>
      </c>
      <c r="B83" s="31" t="s">
        <v>207</v>
      </c>
      <c r="C83" s="32" t="s">
        <v>298</v>
      </c>
    </row>
    <row r="84">
      <c r="A84" s="30" t="s">
        <v>154</v>
      </c>
      <c r="B84" s="31" t="s">
        <v>155</v>
      </c>
      <c r="C84" s="32" t="s">
        <v>298</v>
      </c>
    </row>
    <row r="85">
      <c r="A85" s="30" t="s">
        <v>200</v>
      </c>
      <c r="B85" s="31" t="s">
        <v>201</v>
      </c>
      <c r="C85" s="32" t="s">
        <v>298</v>
      </c>
    </row>
    <row r="86">
      <c r="A86" s="30" t="s">
        <v>228</v>
      </c>
      <c r="B86" s="31" t="s">
        <v>229</v>
      </c>
      <c r="C86" s="32" t="s">
        <v>298</v>
      </c>
    </row>
    <row r="87">
      <c r="A87" s="30" t="s">
        <v>160</v>
      </c>
      <c r="B87" s="31" t="s">
        <v>161</v>
      </c>
      <c r="C87" s="32" t="s">
        <v>298</v>
      </c>
    </row>
    <row r="88">
      <c r="A88" s="30" t="s">
        <v>176</v>
      </c>
      <c r="B88" s="31" t="s">
        <v>177</v>
      </c>
      <c r="C88" s="32" t="s">
        <v>298</v>
      </c>
    </row>
    <row r="89">
      <c r="A89" s="30" t="s">
        <v>97</v>
      </c>
      <c r="B89" s="31" t="s">
        <v>98</v>
      </c>
      <c r="C89" s="32" t="s">
        <v>298</v>
      </c>
    </row>
    <row r="90">
      <c r="A90" s="30" t="s">
        <v>102</v>
      </c>
      <c r="B90" s="31" t="s">
        <v>103</v>
      </c>
      <c r="C90" s="32" t="s">
        <v>298</v>
      </c>
    </row>
    <row r="91">
      <c r="A91" s="30" t="s">
        <v>164</v>
      </c>
      <c r="B91" s="31" t="s">
        <v>165</v>
      </c>
      <c r="C91" s="32" t="s">
        <v>298</v>
      </c>
    </row>
    <row r="92">
      <c r="A92" s="30" t="s">
        <v>174</v>
      </c>
      <c r="B92" s="31" t="s">
        <v>175</v>
      </c>
      <c r="C92" s="32" t="s">
        <v>298</v>
      </c>
    </row>
    <row r="93">
      <c r="A93" s="30" t="s">
        <v>263</v>
      </c>
      <c r="B93" s="31" t="s">
        <v>264</v>
      </c>
      <c r="C93" s="32" t="s">
        <v>298</v>
      </c>
    </row>
    <row r="94">
      <c r="A94" s="30" t="s">
        <v>130</v>
      </c>
      <c r="B94" s="31" t="s">
        <v>131</v>
      </c>
      <c r="C94" s="32" t="s">
        <v>298</v>
      </c>
    </row>
    <row r="95">
      <c r="A95" s="30" t="s">
        <v>290</v>
      </c>
      <c r="B95" s="31" t="s">
        <v>291</v>
      </c>
      <c r="C95" s="32" t="s">
        <v>298</v>
      </c>
    </row>
    <row r="96">
      <c r="A96" s="30" t="s">
        <v>156</v>
      </c>
      <c r="B96" s="31" t="s">
        <v>157</v>
      </c>
      <c r="C96" s="32" t="s">
        <v>298</v>
      </c>
    </row>
    <row r="97">
      <c r="A97" s="30" t="s">
        <v>117</v>
      </c>
      <c r="B97" s="31" t="s">
        <v>118</v>
      </c>
      <c r="C97" s="32" t="s">
        <v>298</v>
      </c>
    </row>
    <row r="98">
      <c r="A98" s="30" t="s">
        <v>272</v>
      </c>
      <c r="B98" s="31" t="s">
        <v>273</v>
      </c>
      <c r="C98" s="32" t="s">
        <v>298</v>
      </c>
    </row>
    <row r="99">
      <c r="A99" s="30" t="s">
        <v>162</v>
      </c>
      <c r="B99" s="31" t="s">
        <v>163</v>
      </c>
      <c r="C99" s="32" t="s">
        <v>298</v>
      </c>
    </row>
    <row r="100">
      <c r="A100" s="30" t="s">
        <v>113</v>
      </c>
      <c r="B100" s="31" t="s">
        <v>114</v>
      </c>
      <c r="C100" s="32" t="s">
        <v>298</v>
      </c>
    </row>
    <row r="101">
      <c r="A101" s="30" t="s">
        <v>218</v>
      </c>
      <c r="B101" s="31" t="s">
        <v>219</v>
      </c>
      <c r="C101" s="32" t="s">
        <v>298</v>
      </c>
    </row>
  </sheetData>
  <dataValidations>
    <dataValidation type="list" allowBlank="1" showErrorMessage="1" sqref="C2:C101">
      <formula1>"TO DO,TRUE,FALSE,SKIP"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98.5"/>
    <col customWidth="1" min="3" max="4" width="19.75"/>
  </cols>
  <sheetData>
    <row r="1">
      <c r="A1" s="27" t="s">
        <v>81</v>
      </c>
      <c r="B1" s="28" t="s">
        <v>82</v>
      </c>
      <c r="C1" s="29" t="s">
        <v>83</v>
      </c>
      <c r="D1" s="22" t="s">
        <v>84</v>
      </c>
    </row>
    <row r="2">
      <c r="A2" s="30" t="s">
        <v>122</v>
      </c>
      <c r="B2" s="31" t="s">
        <v>123</v>
      </c>
      <c r="C2" s="32" t="b">
        <v>0</v>
      </c>
    </row>
    <row r="3">
      <c r="A3" s="30" t="s">
        <v>248</v>
      </c>
      <c r="B3" s="31" t="s">
        <v>249</v>
      </c>
      <c r="C3" s="32" t="b">
        <v>0</v>
      </c>
    </row>
    <row r="4">
      <c r="A4" s="30" t="s">
        <v>174</v>
      </c>
      <c r="B4" s="31" t="s">
        <v>175</v>
      </c>
      <c r="C4" s="32" t="b">
        <v>1</v>
      </c>
    </row>
    <row r="5">
      <c r="A5" s="30" t="s">
        <v>135</v>
      </c>
      <c r="B5" s="31" t="s">
        <v>136</v>
      </c>
      <c r="C5" s="32" t="b">
        <v>0</v>
      </c>
    </row>
    <row r="6">
      <c r="A6" s="30" t="s">
        <v>130</v>
      </c>
      <c r="B6" s="31" t="s">
        <v>131</v>
      </c>
      <c r="C6" s="32" t="b">
        <v>0</v>
      </c>
    </row>
    <row r="7">
      <c r="A7" s="30" t="s">
        <v>216</v>
      </c>
      <c r="B7" s="31" t="s">
        <v>217</v>
      </c>
      <c r="C7" s="32" t="b">
        <v>1</v>
      </c>
    </row>
    <row r="8">
      <c r="A8" s="30" t="s">
        <v>109</v>
      </c>
      <c r="B8" s="31" t="s">
        <v>110</v>
      </c>
      <c r="C8" s="32" t="b">
        <v>0</v>
      </c>
    </row>
    <row r="9">
      <c r="A9" s="30" t="s">
        <v>218</v>
      </c>
      <c r="B9" s="31" t="s">
        <v>219</v>
      </c>
      <c r="C9" s="32" t="b">
        <v>1</v>
      </c>
    </row>
    <row r="10">
      <c r="A10" s="30" t="s">
        <v>192</v>
      </c>
      <c r="B10" s="31" t="s">
        <v>193</v>
      </c>
      <c r="C10" s="32" t="b">
        <v>1</v>
      </c>
    </row>
    <row r="11">
      <c r="A11" s="30" t="s">
        <v>99</v>
      </c>
      <c r="B11" s="31" t="s">
        <v>100</v>
      </c>
      <c r="C11" s="32" t="b">
        <v>0</v>
      </c>
    </row>
    <row r="12">
      <c r="A12" s="30" t="s">
        <v>260</v>
      </c>
      <c r="B12" s="31" t="s">
        <v>261</v>
      </c>
      <c r="C12" s="32" t="b">
        <v>1</v>
      </c>
    </row>
    <row r="13">
      <c r="A13" s="30" t="s">
        <v>111</v>
      </c>
      <c r="B13" s="31" t="s">
        <v>112</v>
      </c>
      <c r="C13" s="32" t="b">
        <v>0</v>
      </c>
    </row>
    <row r="14">
      <c r="A14" s="30" t="s">
        <v>288</v>
      </c>
      <c r="B14" s="31" t="s">
        <v>289</v>
      </c>
      <c r="C14" s="32" t="b">
        <v>1</v>
      </c>
    </row>
    <row r="15">
      <c r="A15" s="30" t="s">
        <v>170</v>
      </c>
      <c r="B15" s="31" t="s">
        <v>171</v>
      </c>
      <c r="C15" s="32" t="b">
        <v>0</v>
      </c>
    </row>
    <row r="16">
      <c r="A16" s="30" t="s">
        <v>238</v>
      </c>
      <c r="B16" s="31" t="s">
        <v>239</v>
      </c>
      <c r="C16" s="32" t="b">
        <v>1</v>
      </c>
    </row>
    <row r="17">
      <c r="A17" s="30" t="s">
        <v>162</v>
      </c>
      <c r="B17" s="31" t="s">
        <v>163</v>
      </c>
      <c r="C17" s="32" t="b">
        <v>1</v>
      </c>
    </row>
    <row r="18">
      <c r="A18" s="30" t="s">
        <v>244</v>
      </c>
      <c r="B18" s="33" t="s">
        <v>245</v>
      </c>
      <c r="C18" s="32" t="b">
        <v>1</v>
      </c>
    </row>
    <row r="19">
      <c r="A19" s="30" t="s">
        <v>240</v>
      </c>
      <c r="B19" s="31" t="s">
        <v>241</v>
      </c>
      <c r="C19" s="32" t="b">
        <v>1</v>
      </c>
    </row>
    <row r="20">
      <c r="A20" s="30" t="s">
        <v>280</v>
      </c>
      <c r="B20" s="31" t="s">
        <v>281</v>
      </c>
      <c r="C20" s="32" t="b">
        <v>1</v>
      </c>
    </row>
    <row r="21">
      <c r="A21" s="30" t="s">
        <v>222</v>
      </c>
      <c r="B21" s="31" t="s">
        <v>223</v>
      </c>
      <c r="C21" s="32" t="b">
        <v>1</v>
      </c>
    </row>
    <row r="22">
      <c r="A22" s="30" t="s">
        <v>214</v>
      </c>
      <c r="B22" s="31" t="s">
        <v>215</v>
      </c>
      <c r="C22" s="32" t="b">
        <v>1</v>
      </c>
    </row>
    <row r="23">
      <c r="A23" s="30" t="s">
        <v>212</v>
      </c>
      <c r="B23" s="31" t="s">
        <v>213</v>
      </c>
      <c r="C23" s="32" t="b">
        <v>0</v>
      </c>
    </row>
    <row r="24">
      <c r="A24" s="30" t="s">
        <v>113</v>
      </c>
      <c r="B24" s="31" t="s">
        <v>114</v>
      </c>
      <c r="C24" s="32" t="b">
        <v>0</v>
      </c>
    </row>
    <row r="25">
      <c r="A25" s="30" t="s">
        <v>198</v>
      </c>
      <c r="B25" s="31" t="s">
        <v>199</v>
      </c>
      <c r="C25" s="32" t="b">
        <v>1</v>
      </c>
    </row>
    <row r="26">
      <c r="A26" s="30" t="s">
        <v>104</v>
      </c>
      <c r="B26" s="34" t="s">
        <v>105</v>
      </c>
      <c r="C26" s="32" t="b">
        <v>0</v>
      </c>
    </row>
    <row r="27">
      <c r="A27" s="30" t="s">
        <v>246</v>
      </c>
      <c r="B27" s="31" t="s">
        <v>247</v>
      </c>
      <c r="C27" s="32" t="b">
        <v>0</v>
      </c>
    </row>
    <row r="28">
      <c r="A28" s="30" t="s">
        <v>181</v>
      </c>
      <c r="B28" s="31" t="s">
        <v>182</v>
      </c>
      <c r="C28" s="32" t="b">
        <v>0</v>
      </c>
    </row>
    <row r="29">
      <c r="A29" s="30" t="s">
        <v>115</v>
      </c>
      <c r="B29" s="31" t="s">
        <v>116</v>
      </c>
      <c r="C29" s="32" t="b">
        <v>1</v>
      </c>
    </row>
    <row r="30">
      <c r="A30" s="30" t="s">
        <v>184</v>
      </c>
      <c r="B30" s="31" t="s">
        <v>185</v>
      </c>
      <c r="C30" s="32" t="b">
        <v>0</v>
      </c>
    </row>
    <row r="31">
      <c r="A31" s="30" t="s">
        <v>206</v>
      </c>
      <c r="B31" s="31" t="s">
        <v>207</v>
      </c>
      <c r="C31" s="32" t="b">
        <v>0</v>
      </c>
    </row>
    <row r="32">
      <c r="A32" s="30" t="s">
        <v>234</v>
      </c>
      <c r="B32" s="31" t="s">
        <v>235</v>
      </c>
      <c r="C32" s="32" t="b">
        <v>1</v>
      </c>
    </row>
    <row r="33">
      <c r="A33" s="30" t="s">
        <v>200</v>
      </c>
      <c r="B33" s="31" t="s">
        <v>201</v>
      </c>
      <c r="C33" s="32" t="b">
        <v>1</v>
      </c>
    </row>
    <row r="34">
      <c r="A34" s="30" t="s">
        <v>194</v>
      </c>
      <c r="B34" s="31" t="s">
        <v>195</v>
      </c>
      <c r="C34" s="32" t="b">
        <v>0</v>
      </c>
    </row>
    <row r="35">
      <c r="A35" s="30" t="s">
        <v>178</v>
      </c>
      <c r="B35" s="31" t="s">
        <v>179</v>
      </c>
      <c r="C35" s="32" t="b">
        <v>0</v>
      </c>
    </row>
    <row r="36">
      <c r="A36" s="30" t="s">
        <v>263</v>
      </c>
      <c r="B36" s="31" t="s">
        <v>264</v>
      </c>
      <c r="C36" s="32" t="b">
        <v>0</v>
      </c>
    </row>
    <row r="37">
      <c r="A37" s="30" t="s">
        <v>176</v>
      </c>
      <c r="B37" s="31" t="s">
        <v>177</v>
      </c>
      <c r="C37" s="32" t="b">
        <v>1</v>
      </c>
    </row>
    <row r="38">
      <c r="A38" s="30" t="s">
        <v>106</v>
      </c>
      <c r="B38" s="31" t="s">
        <v>107</v>
      </c>
      <c r="C38" s="32" t="b">
        <v>1</v>
      </c>
    </row>
    <row r="39">
      <c r="A39" s="30" t="s">
        <v>209</v>
      </c>
      <c r="B39" s="31" t="s">
        <v>210</v>
      </c>
      <c r="C39" s="32" t="b">
        <v>1</v>
      </c>
    </row>
    <row r="40">
      <c r="A40" s="30" t="s">
        <v>250</v>
      </c>
      <c r="B40" s="31" t="s">
        <v>251</v>
      </c>
      <c r="C40" s="32" t="b">
        <v>1</v>
      </c>
    </row>
    <row r="41">
      <c r="A41" s="30" t="s">
        <v>232</v>
      </c>
      <c r="B41" s="33" t="s">
        <v>233</v>
      </c>
      <c r="C41" s="32" t="b">
        <v>1</v>
      </c>
    </row>
    <row r="42">
      <c r="A42" s="30" t="s">
        <v>158</v>
      </c>
      <c r="B42" s="31" t="s">
        <v>159</v>
      </c>
      <c r="C42" s="32" t="b">
        <v>0</v>
      </c>
    </row>
    <row r="43">
      <c r="A43" s="30" t="s">
        <v>256</v>
      </c>
      <c r="B43" s="31" t="s">
        <v>257</v>
      </c>
      <c r="C43" s="32" t="b">
        <v>1</v>
      </c>
    </row>
    <row r="44">
      <c r="A44" s="30" t="s">
        <v>164</v>
      </c>
      <c r="B44" s="31" t="s">
        <v>165</v>
      </c>
      <c r="C44" s="32" t="b">
        <v>0</v>
      </c>
    </row>
    <row r="45">
      <c r="A45" s="30" t="s">
        <v>278</v>
      </c>
      <c r="B45" s="31" t="s">
        <v>279</v>
      </c>
      <c r="C45" s="32" t="b">
        <v>1</v>
      </c>
    </row>
    <row r="46">
      <c r="A46" s="30" t="s">
        <v>95</v>
      </c>
      <c r="B46" s="31" t="s">
        <v>96</v>
      </c>
      <c r="C46" s="32" t="b">
        <v>1</v>
      </c>
    </row>
    <row r="47">
      <c r="A47" s="30" t="s">
        <v>294</v>
      </c>
      <c r="B47" s="31" t="s">
        <v>295</v>
      </c>
      <c r="C47" s="32" t="b">
        <v>0</v>
      </c>
    </row>
    <row r="48">
      <c r="A48" s="30" t="s">
        <v>204</v>
      </c>
      <c r="B48" s="31" t="s">
        <v>205</v>
      </c>
      <c r="C48" s="32" t="b">
        <v>1</v>
      </c>
    </row>
    <row r="49">
      <c r="A49" s="30" t="s">
        <v>156</v>
      </c>
      <c r="B49" s="31" t="s">
        <v>157</v>
      </c>
      <c r="C49" s="32" t="b">
        <v>0</v>
      </c>
    </row>
    <row r="50">
      <c r="A50" s="30" t="s">
        <v>236</v>
      </c>
      <c r="B50" s="31" t="s">
        <v>237</v>
      </c>
      <c r="C50" s="32" t="b">
        <v>1</v>
      </c>
    </row>
    <row r="51">
      <c r="A51" s="30" t="s">
        <v>258</v>
      </c>
      <c r="B51" s="31" t="s">
        <v>259</v>
      </c>
      <c r="C51" s="32" t="b">
        <v>1</v>
      </c>
    </row>
    <row r="52">
      <c r="A52" s="30" t="s">
        <v>188</v>
      </c>
      <c r="B52" s="31" t="s">
        <v>189</v>
      </c>
      <c r="C52" s="32" t="b">
        <v>0</v>
      </c>
    </row>
    <row r="53">
      <c r="A53" s="30" t="s">
        <v>228</v>
      </c>
      <c r="B53" s="31" t="s">
        <v>229</v>
      </c>
      <c r="C53" s="32" t="b">
        <v>0</v>
      </c>
    </row>
    <row r="54">
      <c r="A54" s="30" t="s">
        <v>166</v>
      </c>
      <c r="B54" s="31" t="s">
        <v>167</v>
      </c>
      <c r="C54" s="32" t="b">
        <v>1</v>
      </c>
    </row>
    <row r="55">
      <c r="A55" s="30" t="s">
        <v>274</v>
      </c>
      <c r="B55" s="31" t="s">
        <v>275</v>
      </c>
      <c r="C55" s="32" t="b">
        <v>1</v>
      </c>
    </row>
    <row r="56">
      <c r="A56" s="30" t="s">
        <v>168</v>
      </c>
      <c r="B56" s="31" t="s">
        <v>169</v>
      </c>
      <c r="C56" s="32" t="b">
        <v>1</v>
      </c>
    </row>
    <row r="57">
      <c r="A57" s="30" t="s">
        <v>254</v>
      </c>
      <c r="B57" s="31" t="s">
        <v>255</v>
      </c>
      <c r="C57" s="32" t="b">
        <v>1</v>
      </c>
    </row>
    <row r="58">
      <c r="A58" s="30" t="s">
        <v>242</v>
      </c>
      <c r="B58" s="31" t="s">
        <v>243</v>
      </c>
      <c r="C58" s="32" t="b">
        <v>1</v>
      </c>
    </row>
    <row r="59">
      <c r="A59" s="30" t="s">
        <v>152</v>
      </c>
      <c r="B59" s="31" t="s">
        <v>153</v>
      </c>
      <c r="C59" s="32" t="b">
        <v>1</v>
      </c>
    </row>
    <row r="60">
      <c r="A60" s="30" t="s">
        <v>120</v>
      </c>
      <c r="B60" s="31" t="s">
        <v>121</v>
      </c>
      <c r="C60" s="32" t="b">
        <v>1</v>
      </c>
    </row>
    <row r="61">
      <c r="A61" s="30" t="s">
        <v>292</v>
      </c>
      <c r="B61" s="31" t="s">
        <v>293</v>
      </c>
      <c r="C61" s="32" t="b">
        <v>1</v>
      </c>
    </row>
    <row r="62">
      <c r="A62" s="30" t="s">
        <v>128</v>
      </c>
      <c r="B62" s="31" t="s">
        <v>129</v>
      </c>
      <c r="C62" s="32" t="b">
        <v>0</v>
      </c>
    </row>
    <row r="63">
      <c r="A63" s="30" t="s">
        <v>148</v>
      </c>
      <c r="B63" s="31" t="s">
        <v>149</v>
      </c>
      <c r="C63" s="32" t="b">
        <v>1</v>
      </c>
    </row>
    <row r="64">
      <c r="A64" s="30" t="s">
        <v>267</v>
      </c>
      <c r="B64" s="31" t="s">
        <v>268</v>
      </c>
      <c r="C64" s="32" t="b">
        <v>1</v>
      </c>
    </row>
    <row r="65">
      <c r="A65" s="30" t="s">
        <v>284</v>
      </c>
      <c r="B65" s="31" t="s">
        <v>285</v>
      </c>
      <c r="C65" s="32" t="b">
        <v>0</v>
      </c>
    </row>
    <row r="66">
      <c r="A66" s="30" t="s">
        <v>144</v>
      </c>
      <c r="B66" s="31" t="s">
        <v>145</v>
      </c>
      <c r="C66" s="32" t="b">
        <v>1</v>
      </c>
    </row>
    <row r="67">
      <c r="A67" s="30" t="s">
        <v>139</v>
      </c>
      <c r="B67" s="31" t="s">
        <v>140</v>
      </c>
      <c r="C67" s="32" t="b">
        <v>1</v>
      </c>
    </row>
    <row r="68">
      <c r="A68" s="30" t="s">
        <v>154</v>
      </c>
      <c r="B68" s="31" t="s">
        <v>155</v>
      </c>
      <c r="C68" s="32" t="b">
        <v>1</v>
      </c>
    </row>
    <row r="69">
      <c r="A69" s="30" t="s">
        <v>190</v>
      </c>
      <c r="B69" s="31" t="s">
        <v>191</v>
      </c>
      <c r="C69" s="32" t="b">
        <v>0</v>
      </c>
    </row>
    <row r="70">
      <c r="A70" s="30" t="s">
        <v>186</v>
      </c>
      <c r="B70" s="31" t="s">
        <v>187</v>
      </c>
      <c r="C70" s="32" t="b">
        <v>1</v>
      </c>
    </row>
    <row r="71">
      <c r="A71" s="30" t="s">
        <v>202</v>
      </c>
      <c r="B71" s="31" t="s">
        <v>203</v>
      </c>
      <c r="C71" s="32" t="b">
        <v>0</v>
      </c>
    </row>
    <row r="72">
      <c r="A72" s="30" t="s">
        <v>286</v>
      </c>
      <c r="B72" s="31" t="s">
        <v>287</v>
      </c>
      <c r="C72" s="32" t="b">
        <v>1</v>
      </c>
    </row>
    <row r="73">
      <c r="A73" s="30" t="s">
        <v>160</v>
      </c>
      <c r="B73" s="31" t="s">
        <v>161</v>
      </c>
      <c r="C73" s="32" t="b">
        <v>0</v>
      </c>
    </row>
    <row r="74">
      <c r="A74" s="30" t="s">
        <v>132</v>
      </c>
      <c r="B74" s="31" t="s">
        <v>133</v>
      </c>
      <c r="C74" s="32" t="b">
        <v>1</v>
      </c>
    </row>
    <row r="75">
      <c r="A75" s="30" t="s">
        <v>124</v>
      </c>
      <c r="B75" s="31" t="s">
        <v>125</v>
      </c>
      <c r="C75" s="32" t="b">
        <v>0</v>
      </c>
    </row>
    <row r="76">
      <c r="A76" s="30" t="s">
        <v>196</v>
      </c>
      <c r="B76" s="31" t="s">
        <v>197</v>
      </c>
      <c r="C76" s="32" t="b">
        <v>0</v>
      </c>
    </row>
    <row r="77">
      <c r="A77" s="30" t="s">
        <v>102</v>
      </c>
      <c r="B77" s="31" t="s">
        <v>103</v>
      </c>
      <c r="C77" s="32" t="b">
        <v>1</v>
      </c>
    </row>
    <row r="78">
      <c r="A78" s="30" t="s">
        <v>282</v>
      </c>
      <c r="B78" s="33" t="s">
        <v>283</v>
      </c>
      <c r="C78" s="32" t="b">
        <v>1</v>
      </c>
    </row>
    <row r="79">
      <c r="A79" s="30" t="s">
        <v>85</v>
      </c>
      <c r="B79" s="31" t="s">
        <v>86</v>
      </c>
      <c r="C79" s="32" t="b">
        <v>0</v>
      </c>
    </row>
    <row r="80">
      <c r="A80" s="30" t="s">
        <v>93</v>
      </c>
      <c r="B80" s="31" t="s">
        <v>94</v>
      </c>
      <c r="C80" s="32" t="b">
        <v>0</v>
      </c>
    </row>
    <row r="81">
      <c r="A81" s="30" t="s">
        <v>290</v>
      </c>
      <c r="B81" s="31" t="s">
        <v>291</v>
      </c>
      <c r="C81" s="32" t="b">
        <v>0</v>
      </c>
    </row>
    <row r="82">
      <c r="A82" s="30" t="s">
        <v>296</v>
      </c>
      <c r="B82" s="31" t="s">
        <v>297</v>
      </c>
      <c r="C82" s="32" t="b">
        <v>0</v>
      </c>
    </row>
    <row r="83">
      <c r="A83" s="30" t="s">
        <v>220</v>
      </c>
      <c r="B83" s="33" t="s">
        <v>221</v>
      </c>
      <c r="C83" s="32" t="b">
        <v>1</v>
      </c>
    </row>
    <row r="84">
      <c r="A84" s="30" t="s">
        <v>91</v>
      </c>
      <c r="B84" s="31" t="s">
        <v>92</v>
      </c>
      <c r="C84" s="32" t="b">
        <v>1</v>
      </c>
    </row>
    <row r="85">
      <c r="A85" s="30" t="s">
        <v>126</v>
      </c>
      <c r="B85" s="31" t="s">
        <v>127</v>
      </c>
      <c r="C85" s="32" t="b">
        <v>1</v>
      </c>
    </row>
    <row r="86">
      <c r="A86" s="30" t="s">
        <v>269</v>
      </c>
      <c r="B86" s="31" t="s">
        <v>270</v>
      </c>
      <c r="C86" s="32" t="b">
        <v>1</v>
      </c>
    </row>
    <row r="87">
      <c r="A87" s="30" t="s">
        <v>146</v>
      </c>
      <c r="B87" s="31" t="s">
        <v>147</v>
      </c>
      <c r="C87" s="32" t="b">
        <v>1</v>
      </c>
    </row>
    <row r="88">
      <c r="A88" s="30" t="s">
        <v>224</v>
      </c>
      <c r="B88" s="31" t="s">
        <v>225</v>
      </c>
      <c r="C88" s="32" t="b">
        <v>1</v>
      </c>
    </row>
    <row r="89">
      <c r="A89" s="30" t="s">
        <v>142</v>
      </c>
      <c r="B89" s="31" t="s">
        <v>143</v>
      </c>
      <c r="C89" s="32" t="b">
        <v>1</v>
      </c>
    </row>
    <row r="90">
      <c r="A90" s="30" t="s">
        <v>150</v>
      </c>
      <c r="B90" s="31" t="s">
        <v>151</v>
      </c>
      <c r="C90" s="32" t="b">
        <v>1</v>
      </c>
    </row>
    <row r="91">
      <c r="A91" s="30" t="s">
        <v>230</v>
      </c>
      <c r="B91" s="31" t="s">
        <v>231</v>
      </c>
      <c r="C91" s="32" t="b">
        <v>0</v>
      </c>
    </row>
    <row r="92">
      <c r="A92" s="30" t="s">
        <v>88</v>
      </c>
      <c r="B92" s="31" t="s">
        <v>89</v>
      </c>
      <c r="C92" s="32" t="b">
        <v>1</v>
      </c>
    </row>
    <row r="93">
      <c r="A93" s="30" t="s">
        <v>117</v>
      </c>
      <c r="B93" s="31" t="s">
        <v>118</v>
      </c>
      <c r="C93" s="32" t="b">
        <v>1</v>
      </c>
    </row>
    <row r="94">
      <c r="A94" s="30" t="s">
        <v>97</v>
      </c>
      <c r="B94" s="31" t="s">
        <v>98</v>
      </c>
      <c r="C94" s="32" t="b">
        <v>1</v>
      </c>
    </row>
    <row r="95">
      <c r="A95" s="30" t="s">
        <v>252</v>
      </c>
      <c r="B95" s="31" t="s">
        <v>253</v>
      </c>
      <c r="C95" s="32" t="b">
        <v>1</v>
      </c>
    </row>
    <row r="96">
      <c r="A96" s="30" t="s">
        <v>276</v>
      </c>
      <c r="B96" s="33" t="s">
        <v>277</v>
      </c>
      <c r="C96" s="32" t="b">
        <v>1</v>
      </c>
    </row>
    <row r="97">
      <c r="A97" s="30" t="s">
        <v>226</v>
      </c>
      <c r="B97" s="31" t="s">
        <v>227</v>
      </c>
      <c r="C97" s="32" t="b">
        <v>0</v>
      </c>
    </row>
    <row r="98">
      <c r="A98" s="30" t="s">
        <v>172</v>
      </c>
      <c r="B98" s="31" t="s">
        <v>173</v>
      </c>
      <c r="C98" s="32" t="b">
        <v>0</v>
      </c>
    </row>
    <row r="99">
      <c r="A99" s="30" t="s">
        <v>137</v>
      </c>
      <c r="B99" s="31" t="s">
        <v>138</v>
      </c>
      <c r="C99" s="32" t="b">
        <v>1</v>
      </c>
    </row>
    <row r="100">
      <c r="A100" s="30" t="s">
        <v>272</v>
      </c>
      <c r="B100" s="31" t="s">
        <v>273</v>
      </c>
      <c r="C100" s="32" t="b">
        <v>1</v>
      </c>
    </row>
    <row r="101">
      <c r="A101" s="30" t="s">
        <v>265</v>
      </c>
      <c r="B101" s="31" t="s">
        <v>266</v>
      </c>
      <c r="C101" s="32" t="b">
        <v>1</v>
      </c>
    </row>
  </sheetData>
  <dataValidations>
    <dataValidation type="list" allowBlank="1" showErrorMessage="1" sqref="C2:C101">
      <formula1>"TO DO,TRUE,FALSE,SKIP"</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2.63"/>
    <col customWidth="1" min="3" max="3" width="19.75"/>
    <col customWidth="1" min="4" max="4" width="60.63"/>
  </cols>
  <sheetData>
    <row r="1">
      <c r="A1" s="27" t="s">
        <v>81</v>
      </c>
      <c r="B1" s="28" t="s">
        <v>82</v>
      </c>
      <c r="C1" s="29" t="s">
        <v>83</v>
      </c>
      <c r="D1" s="22" t="s">
        <v>84</v>
      </c>
    </row>
    <row r="2">
      <c r="A2" s="30" t="s">
        <v>132</v>
      </c>
      <c r="B2" s="31" t="s">
        <v>133</v>
      </c>
      <c r="C2" s="32" t="b">
        <v>1</v>
      </c>
    </row>
    <row r="3">
      <c r="A3" s="30" t="s">
        <v>274</v>
      </c>
      <c r="B3" s="31" t="s">
        <v>275</v>
      </c>
      <c r="C3" s="32" t="b">
        <v>1</v>
      </c>
    </row>
    <row r="4">
      <c r="A4" s="30" t="s">
        <v>170</v>
      </c>
      <c r="B4" s="31" t="s">
        <v>171</v>
      </c>
      <c r="C4" s="32" t="b">
        <v>1</v>
      </c>
    </row>
    <row r="5">
      <c r="A5" s="30" t="s">
        <v>244</v>
      </c>
      <c r="B5" s="31" t="s">
        <v>245</v>
      </c>
      <c r="C5" s="32" t="b">
        <v>1</v>
      </c>
    </row>
    <row r="6">
      <c r="A6" s="30" t="s">
        <v>265</v>
      </c>
      <c r="B6" s="31" t="s">
        <v>266</v>
      </c>
      <c r="C6" s="32" t="b">
        <v>1</v>
      </c>
    </row>
    <row r="7">
      <c r="A7" s="30" t="s">
        <v>216</v>
      </c>
      <c r="B7" s="31" t="s">
        <v>217</v>
      </c>
      <c r="C7" s="32" t="b">
        <v>0</v>
      </c>
    </row>
    <row r="8">
      <c r="A8" s="30" t="s">
        <v>186</v>
      </c>
      <c r="B8" s="31" t="s">
        <v>187</v>
      </c>
      <c r="C8" s="32" t="b">
        <v>0</v>
      </c>
    </row>
    <row r="9">
      <c r="A9" s="30" t="s">
        <v>137</v>
      </c>
      <c r="B9" s="31" t="s">
        <v>138</v>
      </c>
      <c r="C9" s="32" t="b">
        <v>0</v>
      </c>
    </row>
    <row r="10">
      <c r="A10" s="30" t="s">
        <v>156</v>
      </c>
      <c r="B10" s="31" t="s">
        <v>157</v>
      </c>
      <c r="C10" s="32" t="b">
        <v>0</v>
      </c>
    </row>
    <row r="11">
      <c r="A11" s="30" t="s">
        <v>276</v>
      </c>
      <c r="B11" s="31" t="s">
        <v>277</v>
      </c>
      <c r="C11" s="32" t="b">
        <v>1</v>
      </c>
    </row>
    <row r="12">
      <c r="A12" s="30" t="s">
        <v>284</v>
      </c>
      <c r="B12" s="31" t="s">
        <v>285</v>
      </c>
      <c r="C12" s="32" t="b">
        <v>0</v>
      </c>
    </row>
    <row r="13">
      <c r="A13" s="30" t="s">
        <v>146</v>
      </c>
      <c r="B13" s="31" t="s">
        <v>147</v>
      </c>
      <c r="C13" s="32" t="b">
        <v>0</v>
      </c>
    </row>
    <row r="14">
      <c r="A14" s="30" t="s">
        <v>120</v>
      </c>
      <c r="B14" s="31" t="s">
        <v>121</v>
      </c>
      <c r="C14" s="32" t="b">
        <v>0</v>
      </c>
    </row>
    <row r="15">
      <c r="A15" s="30" t="s">
        <v>294</v>
      </c>
      <c r="B15" s="31" t="s">
        <v>295</v>
      </c>
      <c r="C15" s="32" t="b">
        <v>0</v>
      </c>
    </row>
    <row r="16">
      <c r="A16" s="30" t="s">
        <v>212</v>
      </c>
      <c r="B16" s="31" t="s">
        <v>213</v>
      </c>
      <c r="C16" s="32" t="b">
        <v>0</v>
      </c>
    </row>
    <row r="17">
      <c r="A17" s="30" t="s">
        <v>292</v>
      </c>
      <c r="B17" s="31" t="s">
        <v>293</v>
      </c>
      <c r="C17" s="32" t="b">
        <v>0</v>
      </c>
      <c r="D17" s="5" t="s">
        <v>299</v>
      </c>
    </row>
    <row r="18">
      <c r="A18" s="30" t="s">
        <v>202</v>
      </c>
      <c r="B18" s="31" t="s">
        <v>203</v>
      </c>
      <c r="C18" s="32" t="b">
        <v>0</v>
      </c>
    </row>
    <row r="19">
      <c r="A19" s="30" t="s">
        <v>162</v>
      </c>
      <c r="B19" s="31" t="s">
        <v>163</v>
      </c>
      <c r="C19" s="32" t="b">
        <v>1</v>
      </c>
    </row>
    <row r="20">
      <c r="A20" s="30" t="s">
        <v>200</v>
      </c>
      <c r="B20" s="31" t="s">
        <v>201</v>
      </c>
      <c r="C20" s="32" t="b">
        <v>0</v>
      </c>
    </row>
    <row r="21">
      <c r="A21" s="30" t="s">
        <v>269</v>
      </c>
      <c r="B21" s="31" t="s">
        <v>270</v>
      </c>
      <c r="C21" s="32" t="b">
        <v>1</v>
      </c>
    </row>
    <row r="22">
      <c r="A22" s="30" t="s">
        <v>93</v>
      </c>
      <c r="B22" s="31" t="s">
        <v>94</v>
      </c>
      <c r="C22" s="32" t="b">
        <v>0</v>
      </c>
    </row>
    <row r="23">
      <c r="A23" s="30" t="s">
        <v>246</v>
      </c>
      <c r="B23" s="31" t="s">
        <v>247</v>
      </c>
      <c r="C23" s="32" t="b">
        <v>0</v>
      </c>
    </row>
    <row r="24">
      <c r="A24" s="30" t="s">
        <v>126</v>
      </c>
      <c r="B24" s="31" t="s">
        <v>127</v>
      </c>
      <c r="C24" s="32" t="b">
        <v>0</v>
      </c>
    </row>
    <row r="25">
      <c r="A25" s="30" t="s">
        <v>109</v>
      </c>
      <c r="B25" s="31" t="s">
        <v>110</v>
      </c>
      <c r="C25" s="32" t="b">
        <v>0</v>
      </c>
    </row>
    <row r="26">
      <c r="A26" s="30" t="s">
        <v>85</v>
      </c>
      <c r="B26" s="31" t="s">
        <v>86</v>
      </c>
      <c r="C26" s="32" t="b">
        <v>1</v>
      </c>
    </row>
    <row r="27">
      <c r="A27" s="30" t="s">
        <v>168</v>
      </c>
      <c r="B27" s="31" t="s">
        <v>169</v>
      </c>
      <c r="C27" s="32" t="b">
        <v>1</v>
      </c>
    </row>
    <row r="28">
      <c r="A28" s="30" t="s">
        <v>230</v>
      </c>
      <c r="B28" s="31" t="s">
        <v>231</v>
      </c>
      <c r="C28" s="32" t="b">
        <v>1</v>
      </c>
    </row>
    <row r="29">
      <c r="A29" s="30" t="s">
        <v>234</v>
      </c>
      <c r="B29" s="31" t="s">
        <v>235</v>
      </c>
      <c r="C29" s="32" t="b">
        <v>0</v>
      </c>
    </row>
    <row r="30">
      <c r="A30" s="30" t="s">
        <v>238</v>
      </c>
      <c r="B30" s="31" t="s">
        <v>239</v>
      </c>
      <c r="C30" s="32" t="b">
        <v>0</v>
      </c>
      <c r="D30" s="5" t="s">
        <v>300</v>
      </c>
    </row>
    <row r="31">
      <c r="A31" s="30" t="s">
        <v>267</v>
      </c>
      <c r="B31" s="31" t="s">
        <v>268</v>
      </c>
      <c r="C31" s="32" t="b">
        <v>0</v>
      </c>
      <c r="D31" s="5" t="s">
        <v>301</v>
      </c>
    </row>
    <row r="32">
      <c r="A32" s="30" t="s">
        <v>142</v>
      </c>
      <c r="B32" s="31" t="s">
        <v>143</v>
      </c>
      <c r="C32" s="32" t="b">
        <v>1</v>
      </c>
    </row>
    <row r="33">
      <c r="A33" s="30" t="s">
        <v>206</v>
      </c>
      <c r="B33" s="31" t="s">
        <v>207</v>
      </c>
      <c r="C33" s="32" t="b">
        <v>1</v>
      </c>
      <c r="D33" s="5" t="s">
        <v>302</v>
      </c>
    </row>
    <row r="34">
      <c r="A34" s="30" t="s">
        <v>181</v>
      </c>
      <c r="B34" s="31" t="s">
        <v>182</v>
      </c>
      <c r="C34" s="32" t="b">
        <v>0</v>
      </c>
    </row>
    <row r="35">
      <c r="A35" s="30" t="s">
        <v>286</v>
      </c>
      <c r="B35" s="31" t="s">
        <v>287</v>
      </c>
      <c r="C35" s="32" t="b">
        <v>1</v>
      </c>
    </row>
    <row r="36">
      <c r="A36" s="30" t="s">
        <v>88</v>
      </c>
      <c r="B36" s="31" t="s">
        <v>89</v>
      </c>
      <c r="C36" s="32" t="b">
        <v>0</v>
      </c>
    </row>
    <row r="37">
      <c r="A37" s="30" t="s">
        <v>117</v>
      </c>
      <c r="B37" s="31" t="s">
        <v>118</v>
      </c>
      <c r="C37" s="32" t="b">
        <v>0</v>
      </c>
    </row>
    <row r="38">
      <c r="A38" s="30" t="s">
        <v>222</v>
      </c>
      <c r="B38" s="31" t="s">
        <v>223</v>
      </c>
      <c r="C38" s="32" t="b">
        <v>1</v>
      </c>
    </row>
    <row r="39">
      <c r="A39" s="30" t="s">
        <v>91</v>
      </c>
      <c r="B39" s="31" t="s">
        <v>92</v>
      </c>
      <c r="C39" s="32" t="b">
        <v>0</v>
      </c>
    </row>
    <row r="40">
      <c r="A40" s="30" t="s">
        <v>242</v>
      </c>
      <c r="B40" s="31" t="s">
        <v>243</v>
      </c>
      <c r="C40" s="32" t="b">
        <v>1</v>
      </c>
    </row>
    <row r="41">
      <c r="A41" s="30" t="s">
        <v>184</v>
      </c>
      <c r="B41" s="31" t="s">
        <v>185</v>
      </c>
      <c r="C41" s="32" t="b">
        <v>0</v>
      </c>
    </row>
    <row r="42">
      <c r="A42" s="30" t="s">
        <v>224</v>
      </c>
      <c r="B42" s="31" t="s">
        <v>225</v>
      </c>
      <c r="C42" s="32" t="b">
        <v>1</v>
      </c>
    </row>
    <row r="43">
      <c r="A43" s="30" t="s">
        <v>204</v>
      </c>
      <c r="B43" s="31" t="s">
        <v>205</v>
      </c>
      <c r="C43" s="32" t="b">
        <v>1</v>
      </c>
      <c r="D43" s="5" t="s">
        <v>303</v>
      </c>
    </row>
    <row r="44">
      <c r="A44" s="30" t="s">
        <v>166</v>
      </c>
      <c r="B44" s="31" t="s">
        <v>167</v>
      </c>
      <c r="C44" s="32" t="b">
        <v>0</v>
      </c>
    </row>
    <row r="45">
      <c r="A45" s="30" t="s">
        <v>106</v>
      </c>
      <c r="B45" s="31" t="s">
        <v>107</v>
      </c>
      <c r="C45" s="32" t="b">
        <v>1</v>
      </c>
    </row>
    <row r="46">
      <c r="A46" s="30" t="s">
        <v>97</v>
      </c>
      <c r="B46" s="31" t="s">
        <v>98</v>
      </c>
      <c r="C46" s="32" t="b">
        <v>1</v>
      </c>
    </row>
    <row r="47">
      <c r="A47" s="30" t="s">
        <v>124</v>
      </c>
      <c r="B47" s="31" t="s">
        <v>125</v>
      </c>
      <c r="C47" s="32" t="b">
        <v>0</v>
      </c>
    </row>
    <row r="48">
      <c r="A48" s="30" t="s">
        <v>196</v>
      </c>
      <c r="B48" s="31" t="s">
        <v>197</v>
      </c>
      <c r="C48" s="32" t="b">
        <v>1</v>
      </c>
    </row>
    <row r="49">
      <c r="A49" s="30" t="s">
        <v>256</v>
      </c>
      <c r="B49" s="31" t="s">
        <v>257</v>
      </c>
      <c r="C49" s="32" t="b">
        <v>0</v>
      </c>
    </row>
    <row r="50">
      <c r="A50" s="30" t="s">
        <v>115</v>
      </c>
      <c r="B50" s="31" t="s">
        <v>116</v>
      </c>
      <c r="C50" s="32" t="b">
        <v>1</v>
      </c>
    </row>
    <row r="51">
      <c r="A51" s="30" t="s">
        <v>282</v>
      </c>
      <c r="B51" s="31" t="s">
        <v>283</v>
      </c>
      <c r="C51" s="32" t="b">
        <v>0</v>
      </c>
    </row>
    <row r="52">
      <c r="A52" s="30" t="s">
        <v>95</v>
      </c>
      <c r="B52" s="31" t="s">
        <v>96</v>
      </c>
      <c r="C52" s="32" t="b">
        <v>1</v>
      </c>
    </row>
    <row r="53">
      <c r="A53" s="30" t="s">
        <v>198</v>
      </c>
      <c r="B53" s="31" t="s">
        <v>199</v>
      </c>
      <c r="C53" s="32" t="b">
        <v>0</v>
      </c>
    </row>
    <row r="54">
      <c r="A54" s="30" t="s">
        <v>139</v>
      </c>
      <c r="B54" s="31" t="s">
        <v>140</v>
      </c>
      <c r="C54" s="32" t="b">
        <v>1</v>
      </c>
    </row>
    <row r="55">
      <c r="A55" s="30" t="s">
        <v>240</v>
      </c>
      <c r="B55" s="31" t="s">
        <v>241</v>
      </c>
      <c r="C55" s="32" t="b">
        <v>0</v>
      </c>
    </row>
    <row r="56">
      <c r="A56" s="30" t="s">
        <v>148</v>
      </c>
      <c r="B56" s="31" t="s">
        <v>149</v>
      </c>
      <c r="C56" s="32" t="b">
        <v>0</v>
      </c>
      <c r="D56" s="5" t="s">
        <v>304</v>
      </c>
    </row>
    <row r="57">
      <c r="A57" s="30" t="s">
        <v>280</v>
      </c>
      <c r="B57" s="31" t="s">
        <v>281</v>
      </c>
      <c r="C57" s="32" t="b">
        <v>0</v>
      </c>
    </row>
    <row r="58">
      <c r="A58" s="30" t="s">
        <v>135</v>
      </c>
      <c r="B58" s="31" t="s">
        <v>136</v>
      </c>
      <c r="C58" s="32" t="b">
        <v>0</v>
      </c>
    </row>
    <row r="59">
      <c r="A59" s="30" t="s">
        <v>172</v>
      </c>
      <c r="B59" s="31" t="s">
        <v>173</v>
      </c>
      <c r="C59" s="32" t="b">
        <v>1</v>
      </c>
    </row>
    <row r="60">
      <c r="A60" s="30" t="s">
        <v>111</v>
      </c>
      <c r="B60" s="31" t="s">
        <v>112</v>
      </c>
      <c r="C60" s="32" t="b">
        <v>0</v>
      </c>
    </row>
    <row r="61">
      <c r="A61" s="30" t="s">
        <v>290</v>
      </c>
      <c r="B61" s="31" t="s">
        <v>291</v>
      </c>
      <c r="C61" s="32" t="b">
        <v>1</v>
      </c>
    </row>
    <row r="62">
      <c r="A62" s="30" t="s">
        <v>228</v>
      </c>
      <c r="B62" s="31" t="s">
        <v>229</v>
      </c>
      <c r="C62" s="32" t="b">
        <v>0</v>
      </c>
    </row>
    <row r="63">
      <c r="A63" s="30" t="s">
        <v>209</v>
      </c>
      <c r="B63" s="31" t="s">
        <v>210</v>
      </c>
      <c r="C63" s="32" t="b">
        <v>1</v>
      </c>
    </row>
    <row r="64">
      <c r="A64" s="30" t="s">
        <v>178</v>
      </c>
      <c r="B64" s="31" t="s">
        <v>179</v>
      </c>
      <c r="C64" s="32" t="b">
        <v>0</v>
      </c>
    </row>
    <row r="65">
      <c r="A65" s="30" t="s">
        <v>104</v>
      </c>
      <c r="B65" s="31" t="s">
        <v>105</v>
      </c>
      <c r="C65" s="32" t="b">
        <v>0</v>
      </c>
      <c r="D65" s="5" t="s">
        <v>305</v>
      </c>
    </row>
    <row r="66">
      <c r="A66" s="30" t="s">
        <v>232</v>
      </c>
      <c r="B66" s="31" t="s">
        <v>233</v>
      </c>
      <c r="C66" s="32" t="b">
        <v>0</v>
      </c>
    </row>
    <row r="67">
      <c r="A67" s="30" t="s">
        <v>252</v>
      </c>
      <c r="B67" s="31" t="s">
        <v>253</v>
      </c>
      <c r="C67" s="32" t="b">
        <v>1</v>
      </c>
    </row>
    <row r="68">
      <c r="A68" s="30" t="s">
        <v>144</v>
      </c>
      <c r="B68" s="31" t="s">
        <v>145</v>
      </c>
      <c r="C68" s="32" t="b">
        <v>0</v>
      </c>
    </row>
    <row r="69">
      <c r="A69" s="30" t="s">
        <v>128</v>
      </c>
      <c r="B69" s="31" t="s">
        <v>129</v>
      </c>
      <c r="C69" s="32" t="b">
        <v>1</v>
      </c>
    </row>
    <row r="70">
      <c r="A70" s="30" t="s">
        <v>154</v>
      </c>
      <c r="B70" s="31" t="s">
        <v>155</v>
      </c>
      <c r="C70" s="32" t="b">
        <v>1</v>
      </c>
    </row>
    <row r="71">
      <c r="A71" s="30" t="s">
        <v>194</v>
      </c>
      <c r="B71" s="31" t="s">
        <v>195</v>
      </c>
      <c r="C71" s="32" t="b">
        <v>0</v>
      </c>
    </row>
    <row r="72">
      <c r="A72" s="30" t="s">
        <v>218</v>
      </c>
      <c r="B72" s="31" t="s">
        <v>219</v>
      </c>
      <c r="C72" s="32" t="b">
        <v>1</v>
      </c>
    </row>
    <row r="73">
      <c r="A73" s="30" t="s">
        <v>150</v>
      </c>
      <c r="B73" s="31" t="s">
        <v>151</v>
      </c>
      <c r="C73" s="32" t="b">
        <v>0</v>
      </c>
    </row>
    <row r="74">
      <c r="A74" s="30" t="s">
        <v>220</v>
      </c>
      <c r="B74" s="31" t="s">
        <v>221</v>
      </c>
      <c r="C74" s="32" t="b">
        <v>0</v>
      </c>
      <c r="D74" s="5" t="s">
        <v>306</v>
      </c>
    </row>
    <row r="75">
      <c r="A75" s="30" t="s">
        <v>122</v>
      </c>
      <c r="B75" s="31" t="s">
        <v>123</v>
      </c>
      <c r="C75" s="32" t="b">
        <v>0</v>
      </c>
    </row>
    <row r="76">
      <c r="A76" s="30" t="s">
        <v>113</v>
      </c>
      <c r="B76" s="31" t="s">
        <v>114</v>
      </c>
      <c r="C76" s="32" t="b">
        <v>0</v>
      </c>
    </row>
    <row r="77">
      <c r="A77" s="30" t="s">
        <v>158</v>
      </c>
      <c r="B77" s="31" t="s">
        <v>159</v>
      </c>
      <c r="C77" s="32" t="b">
        <v>0</v>
      </c>
    </row>
    <row r="78">
      <c r="A78" s="30" t="s">
        <v>248</v>
      </c>
      <c r="B78" s="31" t="s">
        <v>249</v>
      </c>
      <c r="C78" s="32" t="b">
        <v>0</v>
      </c>
    </row>
    <row r="79">
      <c r="A79" s="30" t="s">
        <v>254</v>
      </c>
      <c r="B79" s="31" t="s">
        <v>255</v>
      </c>
      <c r="C79" s="32" t="b">
        <v>1</v>
      </c>
    </row>
    <row r="80">
      <c r="A80" s="30" t="s">
        <v>102</v>
      </c>
      <c r="B80" s="31" t="s">
        <v>103</v>
      </c>
      <c r="C80" s="32" t="b">
        <v>1</v>
      </c>
    </row>
    <row r="81">
      <c r="A81" s="30" t="s">
        <v>288</v>
      </c>
      <c r="B81" s="31" t="s">
        <v>289</v>
      </c>
      <c r="C81" s="32" t="b">
        <v>1</v>
      </c>
    </row>
    <row r="82">
      <c r="A82" s="30" t="s">
        <v>164</v>
      </c>
      <c r="B82" s="31" t="s">
        <v>165</v>
      </c>
      <c r="C82" s="32" t="b">
        <v>0</v>
      </c>
    </row>
    <row r="83">
      <c r="A83" s="30" t="s">
        <v>250</v>
      </c>
      <c r="B83" s="31" t="s">
        <v>251</v>
      </c>
      <c r="C83" s="32" t="b">
        <v>1</v>
      </c>
    </row>
    <row r="84">
      <c r="A84" s="30" t="s">
        <v>152</v>
      </c>
      <c r="B84" s="31" t="s">
        <v>153</v>
      </c>
      <c r="C84" s="32" t="b">
        <v>1</v>
      </c>
    </row>
    <row r="85">
      <c r="A85" s="30" t="s">
        <v>192</v>
      </c>
      <c r="B85" s="31" t="s">
        <v>193</v>
      </c>
      <c r="C85" s="32" t="b">
        <v>1</v>
      </c>
    </row>
    <row r="86">
      <c r="A86" s="30" t="s">
        <v>278</v>
      </c>
      <c r="B86" s="31" t="s">
        <v>279</v>
      </c>
      <c r="C86" s="32" t="b">
        <v>0</v>
      </c>
    </row>
    <row r="87">
      <c r="A87" s="30" t="s">
        <v>176</v>
      </c>
      <c r="B87" s="31" t="s">
        <v>177</v>
      </c>
      <c r="C87" s="32" t="b">
        <v>1</v>
      </c>
    </row>
    <row r="88">
      <c r="A88" s="30" t="s">
        <v>296</v>
      </c>
      <c r="B88" s="31" t="s">
        <v>297</v>
      </c>
      <c r="C88" s="32" t="b">
        <v>0</v>
      </c>
    </row>
    <row r="89">
      <c r="A89" s="30" t="s">
        <v>160</v>
      </c>
      <c r="B89" s="31" t="s">
        <v>161</v>
      </c>
      <c r="C89" s="32" t="b">
        <v>0</v>
      </c>
    </row>
    <row r="90">
      <c r="A90" s="30" t="s">
        <v>226</v>
      </c>
      <c r="B90" s="31" t="s">
        <v>227</v>
      </c>
      <c r="C90" s="32" t="b">
        <v>0</v>
      </c>
    </row>
    <row r="91">
      <c r="A91" s="30" t="s">
        <v>190</v>
      </c>
      <c r="B91" s="31" t="s">
        <v>191</v>
      </c>
      <c r="C91" s="32" t="b">
        <v>1</v>
      </c>
    </row>
    <row r="92">
      <c r="A92" s="30" t="s">
        <v>272</v>
      </c>
      <c r="B92" s="31" t="s">
        <v>273</v>
      </c>
      <c r="C92" s="32" t="b">
        <v>1</v>
      </c>
    </row>
    <row r="93">
      <c r="A93" s="30" t="s">
        <v>174</v>
      </c>
      <c r="B93" s="31" t="s">
        <v>175</v>
      </c>
      <c r="C93" s="32" t="b">
        <v>0</v>
      </c>
    </row>
    <row r="94">
      <c r="A94" s="30" t="s">
        <v>99</v>
      </c>
      <c r="B94" s="31" t="s">
        <v>100</v>
      </c>
      <c r="C94" s="32" t="b">
        <v>0</v>
      </c>
    </row>
    <row r="95">
      <c r="A95" s="30" t="s">
        <v>236</v>
      </c>
      <c r="B95" s="31" t="s">
        <v>237</v>
      </c>
      <c r="C95" s="32" t="b">
        <v>1</v>
      </c>
    </row>
    <row r="96">
      <c r="A96" s="30" t="s">
        <v>188</v>
      </c>
      <c r="B96" s="31" t="s">
        <v>189</v>
      </c>
      <c r="C96" s="32" t="b">
        <v>0</v>
      </c>
    </row>
    <row r="97">
      <c r="A97" s="30" t="s">
        <v>260</v>
      </c>
      <c r="B97" s="31" t="s">
        <v>261</v>
      </c>
      <c r="C97" s="32" t="b">
        <v>1</v>
      </c>
    </row>
    <row r="98">
      <c r="A98" s="30" t="s">
        <v>214</v>
      </c>
      <c r="B98" s="31" t="s">
        <v>215</v>
      </c>
      <c r="C98" s="32" t="b">
        <v>1</v>
      </c>
    </row>
    <row r="99">
      <c r="A99" s="30" t="s">
        <v>263</v>
      </c>
      <c r="B99" s="31" t="s">
        <v>264</v>
      </c>
      <c r="C99" s="32" t="b">
        <v>0</v>
      </c>
    </row>
    <row r="100">
      <c r="A100" s="30" t="s">
        <v>258</v>
      </c>
      <c r="B100" s="31" t="s">
        <v>259</v>
      </c>
      <c r="C100" s="32" t="b">
        <v>0</v>
      </c>
    </row>
    <row r="101">
      <c r="A101" s="30" t="s">
        <v>130</v>
      </c>
      <c r="B101" s="31" t="s">
        <v>131</v>
      </c>
      <c r="C101" s="32" t="b">
        <v>0</v>
      </c>
    </row>
  </sheetData>
  <dataValidations>
    <dataValidation type="list" allowBlank="1" showErrorMessage="1" sqref="C2:C101">
      <formula1>"TO DO,TRUE,FALSE,SKIP"</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0.25"/>
    <col customWidth="1" min="11" max="11" width="17.13"/>
  </cols>
  <sheetData>
    <row r="1">
      <c r="A1" s="35" t="s">
        <v>307</v>
      </c>
      <c r="B1" s="35" t="s">
        <v>308</v>
      </c>
      <c r="C1" s="35" t="s">
        <v>309</v>
      </c>
      <c r="D1" s="35" t="s">
        <v>310</v>
      </c>
      <c r="E1" s="35" t="s">
        <v>311</v>
      </c>
      <c r="F1" s="35" t="s">
        <v>312</v>
      </c>
      <c r="G1" s="35" t="s">
        <v>313</v>
      </c>
      <c r="H1" s="35" t="s">
        <v>314</v>
      </c>
      <c r="I1" s="36" t="s">
        <v>315</v>
      </c>
      <c r="J1" s="35" t="s">
        <v>316</v>
      </c>
      <c r="K1" s="37" t="s">
        <v>317</v>
      </c>
    </row>
    <row r="2">
      <c r="A2" s="38" t="s">
        <v>318</v>
      </c>
      <c r="B2" s="38" t="s">
        <v>216</v>
      </c>
      <c r="C2" s="38" t="s">
        <v>217</v>
      </c>
      <c r="D2" s="39">
        <v>9.0</v>
      </c>
      <c r="E2" s="40">
        <v>7.0</v>
      </c>
      <c r="F2" s="40">
        <v>2.0</v>
      </c>
      <c r="G2" s="40">
        <v>9.0</v>
      </c>
      <c r="H2" s="40">
        <v>0.555555555555555</v>
      </c>
      <c r="I2" s="41" t="b">
        <v>0</v>
      </c>
      <c r="J2" s="12" t="s">
        <v>319</v>
      </c>
      <c r="K2" s="40" t="s">
        <v>320</v>
      </c>
    </row>
    <row r="3">
      <c r="A3" s="38" t="s">
        <v>321</v>
      </c>
      <c r="B3" s="38" t="s">
        <v>111</v>
      </c>
      <c r="C3" s="38" t="s">
        <v>112</v>
      </c>
      <c r="D3" s="39">
        <v>9.0</v>
      </c>
      <c r="E3" s="40">
        <v>8.0</v>
      </c>
      <c r="F3" s="40">
        <v>1.0</v>
      </c>
      <c r="G3" s="40">
        <v>9.0</v>
      </c>
      <c r="H3" s="40">
        <v>0.777777777777777</v>
      </c>
      <c r="I3" s="41" t="b">
        <v>0</v>
      </c>
      <c r="J3" s="12" t="s">
        <v>322</v>
      </c>
      <c r="K3" s="40" t="s">
        <v>320</v>
      </c>
    </row>
    <row r="4">
      <c r="A4" s="38" t="s">
        <v>323</v>
      </c>
      <c r="B4" s="38" t="s">
        <v>93</v>
      </c>
      <c r="C4" s="38" t="s">
        <v>94</v>
      </c>
      <c r="D4" s="39">
        <v>9.0</v>
      </c>
      <c r="E4" s="40">
        <v>9.0</v>
      </c>
      <c r="F4" s="40">
        <v>0.0</v>
      </c>
      <c r="G4" s="40">
        <v>9.0</v>
      </c>
      <c r="H4" s="40">
        <v>1.0</v>
      </c>
      <c r="I4" s="41" t="b">
        <v>0</v>
      </c>
      <c r="J4" s="12" t="s">
        <v>324</v>
      </c>
      <c r="K4" s="40" t="s">
        <v>320</v>
      </c>
    </row>
    <row r="5">
      <c r="A5" s="38" t="s">
        <v>325</v>
      </c>
      <c r="B5" s="38" t="s">
        <v>128</v>
      </c>
      <c r="C5" s="38" t="s">
        <v>129</v>
      </c>
      <c r="D5" s="39">
        <v>9.0</v>
      </c>
      <c r="E5" s="40">
        <v>6.0</v>
      </c>
      <c r="F5" s="40">
        <v>48.0</v>
      </c>
      <c r="G5" s="40">
        <v>54.0</v>
      </c>
      <c r="H5" s="40">
        <v>0.777777777777777</v>
      </c>
      <c r="I5" s="41" t="b">
        <v>1</v>
      </c>
      <c r="J5" s="12" t="s">
        <v>322</v>
      </c>
      <c r="K5" s="40" t="s">
        <v>320</v>
      </c>
    </row>
    <row r="6">
      <c r="A6" s="38" t="s">
        <v>326</v>
      </c>
      <c r="B6" s="38" t="s">
        <v>284</v>
      </c>
      <c r="C6" s="38" t="s">
        <v>285</v>
      </c>
      <c r="D6" s="39">
        <v>9.0</v>
      </c>
      <c r="E6" s="40">
        <v>3.0</v>
      </c>
      <c r="F6" s="40">
        <v>0.0</v>
      </c>
      <c r="G6" s="40">
        <v>3.0</v>
      </c>
      <c r="H6" s="40">
        <v>1.0</v>
      </c>
      <c r="I6" s="41" t="b">
        <v>0</v>
      </c>
      <c r="J6" s="12" t="s">
        <v>324</v>
      </c>
      <c r="K6" s="40" t="s">
        <v>320</v>
      </c>
    </row>
    <row r="7">
      <c r="A7" s="38" t="s">
        <v>327</v>
      </c>
      <c r="B7" s="38" t="s">
        <v>156</v>
      </c>
      <c r="C7" s="38" t="s">
        <v>157</v>
      </c>
      <c r="D7" s="39">
        <v>9.0</v>
      </c>
      <c r="E7" s="40">
        <v>7.0</v>
      </c>
      <c r="F7" s="40">
        <v>4.0</v>
      </c>
      <c r="G7" s="40">
        <v>11.0</v>
      </c>
      <c r="H7" s="40">
        <v>0.272727272727272</v>
      </c>
      <c r="I7" s="41" t="b">
        <v>0</v>
      </c>
      <c r="J7" s="12" t="s">
        <v>328</v>
      </c>
      <c r="K7" s="40" t="s">
        <v>320</v>
      </c>
    </row>
    <row r="8">
      <c r="A8" s="38" t="s">
        <v>329</v>
      </c>
      <c r="B8" s="38" t="s">
        <v>296</v>
      </c>
      <c r="C8" s="38" t="s">
        <v>297</v>
      </c>
      <c r="D8" s="39">
        <v>9.0</v>
      </c>
      <c r="E8" s="40">
        <v>6.0</v>
      </c>
      <c r="F8" s="40">
        <v>5.0</v>
      </c>
      <c r="G8" s="40">
        <v>11.0</v>
      </c>
      <c r="H8" s="40">
        <v>0.0909090909090909</v>
      </c>
      <c r="I8" s="41" t="b">
        <v>0</v>
      </c>
      <c r="J8" s="12" t="s">
        <v>330</v>
      </c>
      <c r="K8" s="40" t="s">
        <v>320</v>
      </c>
    </row>
    <row r="9">
      <c r="A9" s="38" t="s">
        <v>331</v>
      </c>
      <c r="B9" s="38" t="s">
        <v>220</v>
      </c>
      <c r="C9" s="38" t="s">
        <v>221</v>
      </c>
      <c r="D9" s="39">
        <v>9.0</v>
      </c>
      <c r="E9" s="40">
        <v>6.0</v>
      </c>
      <c r="F9" s="40">
        <v>7.0</v>
      </c>
      <c r="G9" s="40">
        <v>13.0</v>
      </c>
      <c r="H9" s="40">
        <v>0.0769230769230769</v>
      </c>
      <c r="I9" s="41" t="b">
        <v>1</v>
      </c>
      <c r="J9" s="12" t="s">
        <v>330</v>
      </c>
      <c r="K9" s="40" t="s">
        <v>320</v>
      </c>
    </row>
    <row r="10">
      <c r="A10" s="38" t="s">
        <v>323</v>
      </c>
      <c r="B10" s="38" t="s">
        <v>152</v>
      </c>
      <c r="C10" s="38" t="s">
        <v>153</v>
      </c>
      <c r="D10" s="39">
        <v>9.0</v>
      </c>
      <c r="E10" s="40">
        <v>8.0</v>
      </c>
      <c r="F10" s="40">
        <v>1.0</v>
      </c>
      <c r="G10" s="40">
        <v>9.0</v>
      </c>
      <c r="H10" s="40">
        <v>0.777777777777777</v>
      </c>
      <c r="I10" s="41" t="b">
        <v>0</v>
      </c>
      <c r="J10" s="12" t="s">
        <v>322</v>
      </c>
      <c r="K10" s="40" t="s">
        <v>320</v>
      </c>
    </row>
    <row r="11">
      <c r="A11" s="38" t="s">
        <v>331</v>
      </c>
      <c r="B11" s="38" t="s">
        <v>104</v>
      </c>
      <c r="C11" s="38" t="s">
        <v>105</v>
      </c>
      <c r="D11" s="39">
        <v>9.0</v>
      </c>
      <c r="E11" s="40">
        <v>4.0</v>
      </c>
      <c r="F11" s="40">
        <v>10.0</v>
      </c>
      <c r="G11" s="40">
        <v>14.0</v>
      </c>
      <c r="H11" s="40">
        <v>0.428571428571428</v>
      </c>
      <c r="I11" s="41" t="b">
        <v>1</v>
      </c>
      <c r="J11" s="12" t="s">
        <v>319</v>
      </c>
      <c r="K11" s="40" t="s">
        <v>320</v>
      </c>
    </row>
    <row r="12">
      <c r="A12" s="38" t="s">
        <v>332</v>
      </c>
      <c r="B12" s="38" t="s">
        <v>113</v>
      </c>
      <c r="C12" s="38" t="s">
        <v>114</v>
      </c>
      <c r="D12" s="39">
        <v>9.0</v>
      </c>
      <c r="E12" s="40">
        <v>3.0</v>
      </c>
      <c r="F12" s="40">
        <v>18.0</v>
      </c>
      <c r="G12" s="40">
        <v>21.0</v>
      </c>
      <c r="H12" s="40">
        <v>0.714285714285714</v>
      </c>
      <c r="I12" s="41" t="b">
        <v>1</v>
      </c>
      <c r="J12" s="12" t="s">
        <v>322</v>
      </c>
      <c r="K12" s="40" t="s">
        <v>320</v>
      </c>
    </row>
    <row r="13">
      <c r="A13" s="38" t="s">
        <v>333</v>
      </c>
      <c r="B13" s="38" t="s">
        <v>91</v>
      </c>
      <c r="C13" s="38" t="s">
        <v>92</v>
      </c>
      <c r="D13" s="39">
        <v>9.0</v>
      </c>
      <c r="E13" s="40">
        <v>4.0</v>
      </c>
      <c r="F13" s="40">
        <v>0.0</v>
      </c>
      <c r="G13" s="40">
        <v>4.0</v>
      </c>
      <c r="H13" s="40">
        <v>1.0</v>
      </c>
      <c r="I13" s="41" t="b">
        <v>0</v>
      </c>
      <c r="J13" s="12" t="s">
        <v>324</v>
      </c>
      <c r="K13" s="40" t="s">
        <v>320</v>
      </c>
    </row>
    <row r="14">
      <c r="A14" s="38" t="s">
        <v>334</v>
      </c>
      <c r="B14" s="38" t="s">
        <v>282</v>
      </c>
      <c r="C14" s="38" t="s">
        <v>283</v>
      </c>
      <c r="D14" s="39">
        <v>9.0</v>
      </c>
      <c r="E14" s="40">
        <v>6.0</v>
      </c>
      <c r="F14" s="40">
        <v>4.0</v>
      </c>
      <c r="G14" s="40">
        <v>10.0</v>
      </c>
      <c r="H14" s="40">
        <v>0.2</v>
      </c>
      <c r="I14" s="41" t="b">
        <v>0</v>
      </c>
      <c r="J14" s="12" t="s">
        <v>330</v>
      </c>
      <c r="K14" s="40" t="s">
        <v>320</v>
      </c>
    </row>
    <row r="15">
      <c r="A15" s="38" t="s">
        <v>335</v>
      </c>
      <c r="B15" s="38" t="s">
        <v>106</v>
      </c>
      <c r="C15" s="38" t="s">
        <v>107</v>
      </c>
      <c r="D15" s="39">
        <v>9.0</v>
      </c>
      <c r="E15" s="40">
        <v>5.0</v>
      </c>
      <c r="F15" s="40">
        <v>8.0</v>
      </c>
      <c r="G15" s="40">
        <v>13.0</v>
      </c>
      <c r="H15" s="40">
        <v>0.23076923076923</v>
      </c>
      <c r="I15" s="41" t="b">
        <v>1</v>
      </c>
      <c r="J15" s="12" t="s">
        <v>328</v>
      </c>
      <c r="K15" s="40" t="s">
        <v>320</v>
      </c>
    </row>
    <row r="16">
      <c r="A16" s="38" t="s">
        <v>323</v>
      </c>
      <c r="B16" s="38" t="s">
        <v>124</v>
      </c>
      <c r="C16" s="38" t="s">
        <v>125</v>
      </c>
      <c r="D16" s="39">
        <v>9.0</v>
      </c>
      <c r="E16" s="40">
        <v>8.0</v>
      </c>
      <c r="F16" s="40">
        <v>5.0</v>
      </c>
      <c r="G16" s="40">
        <v>13.0</v>
      </c>
      <c r="H16" s="40">
        <v>0.23076923076923</v>
      </c>
      <c r="I16" s="41" t="b">
        <v>0</v>
      </c>
      <c r="J16" s="12" t="s">
        <v>328</v>
      </c>
      <c r="K16" s="40" t="s">
        <v>320</v>
      </c>
    </row>
    <row r="17">
      <c r="A17" s="38" t="s">
        <v>336</v>
      </c>
      <c r="B17" s="38" t="s">
        <v>202</v>
      </c>
      <c r="C17" s="38" t="s">
        <v>203</v>
      </c>
      <c r="D17" s="39">
        <v>9.0</v>
      </c>
      <c r="E17" s="40">
        <v>3.0</v>
      </c>
      <c r="F17" s="40">
        <v>11.0</v>
      </c>
      <c r="G17" s="40">
        <v>14.0</v>
      </c>
      <c r="H17" s="40">
        <v>0.571428571428571</v>
      </c>
      <c r="I17" s="41" t="b">
        <v>1</v>
      </c>
      <c r="J17" s="12" t="s">
        <v>319</v>
      </c>
      <c r="K17" s="40" t="s">
        <v>320</v>
      </c>
    </row>
    <row r="18">
      <c r="A18" s="38" t="s">
        <v>337</v>
      </c>
      <c r="B18" s="38" t="s">
        <v>228</v>
      </c>
      <c r="C18" s="38" t="s">
        <v>229</v>
      </c>
      <c r="D18" s="39">
        <v>9.0</v>
      </c>
      <c r="E18" s="40">
        <v>5.0</v>
      </c>
      <c r="F18" s="40">
        <v>7.0</v>
      </c>
      <c r="G18" s="40">
        <v>12.0</v>
      </c>
      <c r="H18" s="40">
        <v>0.166666666666666</v>
      </c>
      <c r="I18" s="41" t="b">
        <v>1</v>
      </c>
      <c r="J18" s="12" t="s">
        <v>330</v>
      </c>
      <c r="K18" s="40" t="s">
        <v>320</v>
      </c>
    </row>
    <row r="19">
      <c r="A19" s="38" t="s">
        <v>321</v>
      </c>
      <c r="B19" s="38" t="s">
        <v>204</v>
      </c>
      <c r="C19" s="38" t="s">
        <v>205</v>
      </c>
      <c r="D19" s="39">
        <v>9.0</v>
      </c>
      <c r="E19" s="40">
        <v>16.0</v>
      </c>
      <c r="F19" s="40">
        <v>152.0</v>
      </c>
      <c r="G19" s="40">
        <v>168.0</v>
      </c>
      <c r="H19" s="40">
        <v>0.809523809523809</v>
      </c>
      <c r="I19" s="41" t="b">
        <v>1</v>
      </c>
      <c r="J19" s="12" t="s">
        <v>324</v>
      </c>
      <c r="K19" s="40" t="s">
        <v>320</v>
      </c>
    </row>
    <row r="20">
      <c r="A20" s="38" t="s">
        <v>334</v>
      </c>
      <c r="B20" s="38" t="s">
        <v>236</v>
      </c>
      <c r="C20" s="38" t="s">
        <v>237</v>
      </c>
      <c r="D20" s="39">
        <v>9.0</v>
      </c>
      <c r="E20" s="40">
        <v>3.0</v>
      </c>
      <c r="F20" s="40">
        <v>10.0</v>
      </c>
      <c r="G20" s="40">
        <v>13.0</v>
      </c>
      <c r="H20" s="40">
        <v>0.538461538461538</v>
      </c>
      <c r="I20" s="41" t="b">
        <v>1</v>
      </c>
      <c r="J20" s="12" t="s">
        <v>319</v>
      </c>
      <c r="K20" s="40" t="s">
        <v>320</v>
      </c>
    </row>
    <row r="21">
      <c r="A21" s="38" t="s">
        <v>338</v>
      </c>
      <c r="B21" s="38" t="s">
        <v>269</v>
      </c>
      <c r="C21" s="38" t="s">
        <v>270</v>
      </c>
      <c r="D21" s="39">
        <v>9.0</v>
      </c>
      <c r="E21" s="40">
        <v>5.0</v>
      </c>
      <c r="F21" s="40">
        <v>6.0</v>
      </c>
      <c r="G21" s="40">
        <v>11.0</v>
      </c>
      <c r="H21" s="40">
        <v>0.0909090909090909</v>
      </c>
      <c r="I21" s="41" t="b">
        <v>1</v>
      </c>
      <c r="J21" s="12" t="s">
        <v>330</v>
      </c>
      <c r="K21" s="40" t="s">
        <v>320</v>
      </c>
    </row>
    <row r="22">
      <c r="A22" s="38" t="s">
        <v>318</v>
      </c>
      <c r="B22" s="38" t="s">
        <v>214</v>
      </c>
      <c r="C22" s="38" t="s">
        <v>215</v>
      </c>
      <c r="D22" s="39">
        <v>9.0</v>
      </c>
      <c r="E22" s="40">
        <v>7.0</v>
      </c>
      <c r="F22" s="40">
        <v>6.0</v>
      </c>
      <c r="G22" s="40">
        <v>13.0</v>
      </c>
      <c r="H22" s="40">
        <v>0.0769230769230769</v>
      </c>
      <c r="I22" s="41" t="b">
        <v>0</v>
      </c>
      <c r="J22" s="12" t="s">
        <v>330</v>
      </c>
      <c r="K22" s="40" t="s">
        <v>320</v>
      </c>
    </row>
    <row r="23">
      <c r="A23" s="38" t="s">
        <v>339</v>
      </c>
      <c r="B23" s="38" t="s">
        <v>120</v>
      </c>
      <c r="C23" s="38" t="s">
        <v>121</v>
      </c>
      <c r="D23" s="39">
        <v>9.0</v>
      </c>
      <c r="E23" s="40">
        <v>5.0</v>
      </c>
      <c r="F23" s="40">
        <v>10.0</v>
      </c>
      <c r="G23" s="40">
        <v>15.0</v>
      </c>
      <c r="H23" s="40">
        <v>0.333333333333333</v>
      </c>
      <c r="I23" s="41" t="b">
        <v>1</v>
      </c>
      <c r="J23" s="12" t="s">
        <v>328</v>
      </c>
      <c r="K23" s="40" t="s">
        <v>320</v>
      </c>
    </row>
    <row r="24">
      <c r="A24" s="38" t="s">
        <v>340</v>
      </c>
      <c r="B24" s="38" t="s">
        <v>238</v>
      </c>
      <c r="C24" s="38" t="s">
        <v>239</v>
      </c>
      <c r="D24" s="39">
        <v>9.0</v>
      </c>
      <c r="E24" s="40">
        <v>7.0</v>
      </c>
      <c r="F24" s="40">
        <v>2.0</v>
      </c>
      <c r="G24" s="40">
        <v>9.0</v>
      </c>
      <c r="H24" s="40">
        <v>0.555555555555555</v>
      </c>
      <c r="I24" s="41" t="b">
        <v>0</v>
      </c>
      <c r="J24" s="12" t="s">
        <v>319</v>
      </c>
      <c r="K24" s="40" t="s">
        <v>320</v>
      </c>
    </row>
    <row r="25">
      <c r="A25" s="38" t="s">
        <v>331</v>
      </c>
      <c r="B25" s="38" t="s">
        <v>132</v>
      </c>
      <c r="C25" s="38" t="s">
        <v>133</v>
      </c>
      <c r="D25" s="39">
        <v>9.0</v>
      </c>
      <c r="E25" s="40">
        <v>0.0</v>
      </c>
      <c r="F25" s="40">
        <v>94.0</v>
      </c>
      <c r="G25" s="40">
        <v>94.0</v>
      </c>
      <c r="H25" s="40">
        <v>1.0</v>
      </c>
      <c r="I25" s="41" t="b">
        <v>1</v>
      </c>
      <c r="J25" s="12" t="s">
        <v>324</v>
      </c>
      <c r="K25" s="40" t="s">
        <v>320</v>
      </c>
    </row>
    <row r="26">
      <c r="A26" s="38" t="s">
        <v>331</v>
      </c>
      <c r="B26" s="38" t="s">
        <v>244</v>
      </c>
      <c r="C26" s="38" t="s">
        <v>245</v>
      </c>
      <c r="D26" s="39">
        <v>9.0</v>
      </c>
      <c r="E26" s="40">
        <v>3.0</v>
      </c>
      <c r="F26" s="40">
        <v>9.0</v>
      </c>
      <c r="G26" s="40">
        <v>12.0</v>
      </c>
      <c r="H26" s="40">
        <v>0.5</v>
      </c>
      <c r="I26" s="41" t="b">
        <v>1</v>
      </c>
      <c r="J26" s="12" t="s">
        <v>319</v>
      </c>
      <c r="K26" s="40" t="s">
        <v>320</v>
      </c>
    </row>
    <row r="27">
      <c r="A27" s="38" t="s">
        <v>341</v>
      </c>
      <c r="B27" s="38" t="s">
        <v>85</v>
      </c>
      <c r="C27" s="38" t="s">
        <v>86</v>
      </c>
      <c r="D27" s="39">
        <v>9.0</v>
      </c>
      <c r="E27" s="40">
        <v>7.0</v>
      </c>
      <c r="F27" s="40">
        <v>4.0</v>
      </c>
      <c r="G27" s="40">
        <v>11.0</v>
      </c>
      <c r="H27" s="40">
        <v>0.272727272727272</v>
      </c>
      <c r="I27" s="41" t="b">
        <v>0</v>
      </c>
      <c r="J27" s="12" t="s">
        <v>328</v>
      </c>
      <c r="K27" s="40" t="s">
        <v>320</v>
      </c>
    </row>
    <row r="28">
      <c r="A28" s="38" t="s">
        <v>342</v>
      </c>
      <c r="B28" s="38" t="s">
        <v>172</v>
      </c>
      <c r="C28" s="38" t="s">
        <v>173</v>
      </c>
      <c r="D28" s="39">
        <v>9.0</v>
      </c>
      <c r="E28" s="40">
        <v>6.0</v>
      </c>
      <c r="F28" s="40">
        <v>5.0</v>
      </c>
      <c r="G28" s="40">
        <v>11.0</v>
      </c>
      <c r="H28" s="40">
        <v>0.0909090909090909</v>
      </c>
      <c r="I28" s="41" t="b">
        <v>0</v>
      </c>
      <c r="J28" s="12" t="s">
        <v>330</v>
      </c>
      <c r="K28" s="40" t="s">
        <v>320</v>
      </c>
    </row>
    <row r="29">
      <c r="A29" s="38" t="s">
        <v>343</v>
      </c>
      <c r="B29" s="38" t="s">
        <v>198</v>
      </c>
      <c r="C29" s="38" t="s">
        <v>199</v>
      </c>
      <c r="D29" s="39">
        <v>9.0</v>
      </c>
      <c r="E29" s="40">
        <v>3.0</v>
      </c>
      <c r="F29" s="40">
        <v>21.0</v>
      </c>
      <c r="G29" s="40">
        <v>24.0</v>
      </c>
      <c r="H29" s="40">
        <v>0.75</v>
      </c>
      <c r="I29" s="41" t="b">
        <v>1</v>
      </c>
      <c r="J29" s="12" t="s">
        <v>322</v>
      </c>
      <c r="K29" s="40" t="s">
        <v>320</v>
      </c>
    </row>
    <row r="30">
      <c r="A30" s="38" t="s">
        <v>344</v>
      </c>
      <c r="B30" s="38" t="s">
        <v>160</v>
      </c>
      <c r="C30" s="38" t="s">
        <v>161</v>
      </c>
      <c r="D30" s="39">
        <v>9.0</v>
      </c>
      <c r="E30" s="40">
        <v>8.0</v>
      </c>
      <c r="F30" s="40">
        <v>1.0</v>
      </c>
      <c r="G30" s="40">
        <v>9.0</v>
      </c>
      <c r="H30" s="40">
        <v>0.777777777777777</v>
      </c>
      <c r="I30" s="41" t="b">
        <v>0</v>
      </c>
      <c r="J30" s="12" t="s">
        <v>322</v>
      </c>
      <c r="K30" s="40" t="s">
        <v>320</v>
      </c>
    </row>
    <row r="31">
      <c r="A31" s="38" t="s">
        <v>345</v>
      </c>
      <c r="B31" s="38" t="s">
        <v>137</v>
      </c>
      <c r="C31" s="38" t="s">
        <v>138</v>
      </c>
      <c r="D31" s="39">
        <v>9.0</v>
      </c>
      <c r="E31" s="40">
        <v>0.0</v>
      </c>
      <c r="F31" s="40">
        <v>65.0</v>
      </c>
      <c r="G31" s="40">
        <v>65.0</v>
      </c>
      <c r="H31" s="40">
        <v>1.0</v>
      </c>
      <c r="I31" s="41" t="b">
        <v>1</v>
      </c>
      <c r="J31" s="12" t="s">
        <v>324</v>
      </c>
      <c r="K31" s="40" t="s">
        <v>320</v>
      </c>
    </row>
    <row r="32">
      <c r="A32" s="38" t="s">
        <v>346</v>
      </c>
      <c r="B32" s="38" t="s">
        <v>250</v>
      </c>
      <c r="C32" s="38" t="s">
        <v>251</v>
      </c>
      <c r="D32" s="39">
        <v>9.0</v>
      </c>
      <c r="E32" s="40">
        <v>4.0</v>
      </c>
      <c r="F32" s="40">
        <v>9.0</v>
      </c>
      <c r="G32" s="40">
        <v>13.0</v>
      </c>
      <c r="H32" s="40">
        <v>0.384615384615384</v>
      </c>
      <c r="I32" s="41" t="b">
        <v>1</v>
      </c>
      <c r="J32" s="12" t="s">
        <v>328</v>
      </c>
      <c r="K32" s="40" t="s">
        <v>320</v>
      </c>
    </row>
    <row r="33">
      <c r="A33" s="38" t="s">
        <v>347</v>
      </c>
      <c r="B33" s="38" t="s">
        <v>252</v>
      </c>
      <c r="C33" s="38" t="s">
        <v>253</v>
      </c>
      <c r="D33" s="39">
        <v>9.0</v>
      </c>
      <c r="E33" s="40">
        <v>5.0</v>
      </c>
      <c r="F33" s="40">
        <v>6.0</v>
      </c>
      <c r="G33" s="40">
        <v>11.0</v>
      </c>
      <c r="H33" s="40">
        <v>0.0909090909090909</v>
      </c>
      <c r="I33" s="41" t="b">
        <v>1</v>
      </c>
      <c r="J33" s="12" t="s">
        <v>330</v>
      </c>
      <c r="K33" s="40" t="s">
        <v>320</v>
      </c>
    </row>
    <row r="34">
      <c r="A34" s="38" t="s">
        <v>340</v>
      </c>
      <c r="B34" s="38" t="s">
        <v>186</v>
      </c>
      <c r="C34" s="38" t="s">
        <v>187</v>
      </c>
      <c r="D34" s="39">
        <v>9.0</v>
      </c>
      <c r="E34" s="40">
        <v>6.0</v>
      </c>
      <c r="F34" s="40">
        <v>14.0</v>
      </c>
      <c r="G34" s="40">
        <v>20.0</v>
      </c>
      <c r="H34" s="40">
        <v>0.4</v>
      </c>
      <c r="I34" s="41" t="b">
        <v>1</v>
      </c>
      <c r="J34" s="12" t="s">
        <v>328</v>
      </c>
      <c r="K34" s="40" t="s">
        <v>320</v>
      </c>
    </row>
    <row r="35">
      <c r="A35" s="38" t="s">
        <v>331</v>
      </c>
      <c r="B35" s="38" t="s">
        <v>218</v>
      </c>
      <c r="C35" s="38" t="s">
        <v>219</v>
      </c>
      <c r="D35" s="39">
        <v>9.0</v>
      </c>
      <c r="E35" s="40">
        <v>11.0</v>
      </c>
      <c r="F35" s="40">
        <v>33.0</v>
      </c>
      <c r="G35" s="40">
        <v>44.0</v>
      </c>
      <c r="H35" s="40">
        <v>0.5</v>
      </c>
      <c r="I35" s="41" t="b">
        <v>1</v>
      </c>
      <c r="J35" s="12" t="s">
        <v>319</v>
      </c>
      <c r="K35" s="40" t="s">
        <v>320</v>
      </c>
    </row>
    <row r="36">
      <c r="A36" s="38" t="s">
        <v>331</v>
      </c>
      <c r="B36" s="38" t="s">
        <v>263</v>
      </c>
      <c r="C36" s="38" t="s">
        <v>264</v>
      </c>
      <c r="D36" s="39">
        <v>9.0</v>
      </c>
      <c r="E36" s="40">
        <v>7.0</v>
      </c>
      <c r="F36" s="40">
        <v>2.0</v>
      </c>
      <c r="G36" s="40">
        <v>9.0</v>
      </c>
      <c r="H36" s="40">
        <v>0.555555555555555</v>
      </c>
      <c r="I36" s="41" t="b">
        <v>0</v>
      </c>
      <c r="J36" s="12" t="s">
        <v>319</v>
      </c>
      <c r="K36" s="40" t="s">
        <v>320</v>
      </c>
    </row>
    <row r="37">
      <c r="A37" s="38" t="s">
        <v>348</v>
      </c>
      <c r="B37" s="38" t="s">
        <v>150</v>
      </c>
      <c r="C37" s="38" t="s">
        <v>151</v>
      </c>
      <c r="D37" s="39">
        <v>9.0</v>
      </c>
      <c r="E37" s="40">
        <v>6.0</v>
      </c>
      <c r="F37" s="40">
        <v>4.0</v>
      </c>
      <c r="G37" s="40">
        <v>10.0</v>
      </c>
      <c r="H37" s="40">
        <v>0.2</v>
      </c>
      <c r="I37" s="41" t="b">
        <v>0</v>
      </c>
      <c r="J37" s="12" t="s">
        <v>330</v>
      </c>
      <c r="K37" s="40" t="s">
        <v>320</v>
      </c>
    </row>
    <row r="38">
      <c r="A38" s="38" t="s">
        <v>349</v>
      </c>
      <c r="B38" s="38" t="s">
        <v>174</v>
      </c>
      <c r="C38" s="38" t="s">
        <v>175</v>
      </c>
      <c r="D38" s="39">
        <v>9.0</v>
      </c>
      <c r="E38" s="40">
        <v>8.0</v>
      </c>
      <c r="F38" s="40">
        <v>1.0</v>
      </c>
      <c r="G38" s="40">
        <v>9.0</v>
      </c>
      <c r="H38" s="40">
        <v>0.777777777777777</v>
      </c>
      <c r="I38" s="41" t="b">
        <v>0</v>
      </c>
      <c r="J38" s="12" t="s">
        <v>322</v>
      </c>
      <c r="K38" s="40" t="s">
        <v>320</v>
      </c>
    </row>
    <row r="39">
      <c r="A39" s="38" t="s">
        <v>350</v>
      </c>
      <c r="B39" s="38" t="s">
        <v>117</v>
      </c>
      <c r="C39" s="38" t="s">
        <v>118</v>
      </c>
      <c r="D39" s="39">
        <v>9.0</v>
      </c>
      <c r="E39" s="40">
        <v>1.0</v>
      </c>
      <c r="F39" s="40">
        <v>72.0</v>
      </c>
      <c r="G39" s="40">
        <v>73.0</v>
      </c>
      <c r="H39" s="40">
        <v>0.972602739726027</v>
      </c>
      <c r="I39" s="41" t="b">
        <v>1</v>
      </c>
      <c r="J39" s="12" t="s">
        <v>324</v>
      </c>
      <c r="K39" s="40" t="s">
        <v>320</v>
      </c>
    </row>
    <row r="40">
      <c r="A40" s="38" t="s">
        <v>337</v>
      </c>
      <c r="B40" s="38" t="s">
        <v>164</v>
      </c>
      <c r="C40" s="38" t="s">
        <v>165</v>
      </c>
      <c r="D40" s="39">
        <v>9.0</v>
      </c>
      <c r="E40" s="40">
        <v>3.0</v>
      </c>
      <c r="F40" s="40">
        <v>0.0</v>
      </c>
      <c r="G40" s="40">
        <v>3.0</v>
      </c>
      <c r="H40" s="40">
        <v>1.0</v>
      </c>
      <c r="I40" s="41" t="b">
        <v>0</v>
      </c>
      <c r="J40" s="12" t="s">
        <v>324</v>
      </c>
      <c r="K40" s="40" t="s">
        <v>320</v>
      </c>
    </row>
    <row r="41">
      <c r="A41" s="38" t="s">
        <v>351</v>
      </c>
      <c r="B41" s="38" t="s">
        <v>200</v>
      </c>
      <c r="C41" s="38" t="s">
        <v>201</v>
      </c>
      <c r="D41" s="39">
        <v>9.0</v>
      </c>
      <c r="E41" s="40">
        <v>20.0</v>
      </c>
      <c r="F41" s="40">
        <v>10.0</v>
      </c>
      <c r="G41" s="40">
        <v>30.0</v>
      </c>
      <c r="H41" s="40">
        <v>0.333333333333333</v>
      </c>
      <c r="I41" s="41" t="b">
        <v>0</v>
      </c>
      <c r="J41" s="12" t="s">
        <v>328</v>
      </c>
      <c r="K41" s="40" t="s">
        <v>320</v>
      </c>
    </row>
    <row r="42">
      <c r="A42" s="38" t="s">
        <v>352</v>
      </c>
      <c r="B42" s="38" t="s">
        <v>99</v>
      </c>
      <c r="C42" s="38" t="s">
        <v>100</v>
      </c>
      <c r="D42" s="39">
        <v>9.0</v>
      </c>
      <c r="E42" s="40">
        <v>8.0</v>
      </c>
      <c r="F42" s="40">
        <v>1.0</v>
      </c>
      <c r="G42" s="40">
        <v>9.0</v>
      </c>
      <c r="H42" s="40">
        <v>0.777777777777777</v>
      </c>
      <c r="I42" s="41" t="b">
        <v>0</v>
      </c>
      <c r="J42" s="12" t="s">
        <v>322</v>
      </c>
      <c r="K42" s="40" t="s">
        <v>320</v>
      </c>
    </row>
    <row r="43">
      <c r="A43" s="38" t="s">
        <v>353</v>
      </c>
      <c r="B43" s="38" t="s">
        <v>212</v>
      </c>
      <c r="C43" s="38" t="s">
        <v>213</v>
      </c>
      <c r="D43" s="39">
        <v>9.0</v>
      </c>
      <c r="E43" s="40">
        <v>5.0</v>
      </c>
      <c r="F43" s="40">
        <v>0.0</v>
      </c>
      <c r="G43" s="40">
        <v>5.0</v>
      </c>
      <c r="H43" s="40">
        <v>1.0</v>
      </c>
      <c r="I43" s="41" t="b">
        <v>0</v>
      </c>
      <c r="J43" s="12" t="s">
        <v>324</v>
      </c>
      <c r="K43" s="40" t="s">
        <v>320</v>
      </c>
    </row>
    <row r="44">
      <c r="A44" s="38" t="s">
        <v>349</v>
      </c>
      <c r="B44" s="38" t="s">
        <v>280</v>
      </c>
      <c r="C44" s="38" t="s">
        <v>281</v>
      </c>
      <c r="D44" s="39">
        <v>9.0</v>
      </c>
      <c r="E44" s="40">
        <v>7.0</v>
      </c>
      <c r="F44" s="40">
        <v>2.0</v>
      </c>
      <c r="G44" s="40">
        <v>9.0</v>
      </c>
      <c r="H44" s="40">
        <v>0.555555555555555</v>
      </c>
      <c r="I44" s="41" t="b">
        <v>0</v>
      </c>
      <c r="J44" s="12" t="s">
        <v>319</v>
      </c>
      <c r="K44" s="40" t="s">
        <v>320</v>
      </c>
    </row>
    <row r="45">
      <c r="A45" s="38" t="s">
        <v>354</v>
      </c>
      <c r="B45" s="38" t="s">
        <v>130</v>
      </c>
      <c r="C45" s="38" t="s">
        <v>131</v>
      </c>
      <c r="D45" s="39">
        <v>9.0</v>
      </c>
      <c r="E45" s="40">
        <v>7.0</v>
      </c>
      <c r="F45" s="40">
        <v>3.0</v>
      </c>
      <c r="G45" s="40">
        <v>10.0</v>
      </c>
      <c r="H45" s="40">
        <v>0.4</v>
      </c>
      <c r="I45" s="41" t="b">
        <v>0</v>
      </c>
      <c r="J45" s="12" t="s">
        <v>328</v>
      </c>
      <c r="K45" s="40" t="s">
        <v>320</v>
      </c>
    </row>
    <row r="46">
      <c r="A46" s="38" t="s">
        <v>355</v>
      </c>
      <c r="B46" s="38" t="s">
        <v>209</v>
      </c>
      <c r="C46" s="38" t="s">
        <v>210</v>
      </c>
      <c r="D46" s="39">
        <v>9.0</v>
      </c>
      <c r="E46" s="40">
        <v>4.0</v>
      </c>
      <c r="F46" s="40">
        <v>8.0</v>
      </c>
      <c r="G46" s="40">
        <v>12.0</v>
      </c>
      <c r="H46" s="40">
        <v>0.333333333333333</v>
      </c>
      <c r="I46" s="41" t="b">
        <v>1</v>
      </c>
      <c r="J46" s="12" t="s">
        <v>328</v>
      </c>
      <c r="K46" s="40" t="s">
        <v>320</v>
      </c>
    </row>
    <row r="47">
      <c r="A47" s="38" t="s">
        <v>352</v>
      </c>
      <c r="B47" s="38" t="s">
        <v>181</v>
      </c>
      <c r="C47" s="38" t="s">
        <v>182</v>
      </c>
      <c r="D47" s="39">
        <v>9.0</v>
      </c>
      <c r="E47" s="40">
        <v>7.0</v>
      </c>
      <c r="F47" s="40">
        <v>2.0</v>
      </c>
      <c r="G47" s="40">
        <v>9.0</v>
      </c>
      <c r="H47" s="40">
        <v>0.555555555555555</v>
      </c>
      <c r="I47" s="41" t="b">
        <v>0</v>
      </c>
      <c r="J47" s="12" t="s">
        <v>319</v>
      </c>
      <c r="K47" s="40" t="s">
        <v>320</v>
      </c>
    </row>
    <row r="48">
      <c r="A48" s="38" t="s">
        <v>356</v>
      </c>
      <c r="B48" s="38" t="s">
        <v>184</v>
      </c>
      <c r="C48" s="38" t="s">
        <v>185</v>
      </c>
      <c r="D48" s="39">
        <v>9.0</v>
      </c>
      <c r="E48" s="40">
        <v>2.0</v>
      </c>
      <c r="F48" s="40">
        <v>18.0</v>
      </c>
      <c r="G48" s="40">
        <v>20.0</v>
      </c>
      <c r="H48" s="40">
        <v>0.8</v>
      </c>
      <c r="I48" s="41" t="b">
        <v>1</v>
      </c>
      <c r="J48" s="12" t="s">
        <v>322</v>
      </c>
      <c r="K48" s="40" t="s">
        <v>320</v>
      </c>
    </row>
    <row r="49">
      <c r="A49" s="38" t="s">
        <v>357</v>
      </c>
      <c r="B49" s="38" t="s">
        <v>95</v>
      </c>
      <c r="C49" s="38" t="s">
        <v>96</v>
      </c>
      <c r="D49" s="39">
        <v>9.0</v>
      </c>
      <c r="E49" s="40">
        <v>3.0</v>
      </c>
      <c r="F49" s="40">
        <v>20.0</v>
      </c>
      <c r="G49" s="40">
        <v>23.0</v>
      </c>
      <c r="H49" s="40">
        <v>0.739130434782608</v>
      </c>
      <c r="I49" s="41" t="b">
        <v>1</v>
      </c>
      <c r="J49" s="12" t="s">
        <v>322</v>
      </c>
      <c r="K49" s="40" t="s">
        <v>320</v>
      </c>
    </row>
    <row r="50">
      <c r="A50" s="38" t="s">
        <v>358</v>
      </c>
      <c r="B50" s="38" t="s">
        <v>256</v>
      </c>
      <c r="C50" s="38" t="s">
        <v>257</v>
      </c>
      <c r="D50" s="39">
        <v>9.0</v>
      </c>
      <c r="E50" s="40">
        <v>2.0</v>
      </c>
      <c r="F50" s="40">
        <v>78.0</v>
      </c>
      <c r="G50" s="40">
        <v>80.0</v>
      </c>
      <c r="H50" s="40">
        <v>0.95</v>
      </c>
      <c r="I50" s="41" t="b">
        <v>1</v>
      </c>
      <c r="J50" s="12" t="s">
        <v>324</v>
      </c>
      <c r="K50" s="40" t="s">
        <v>320</v>
      </c>
    </row>
    <row r="51">
      <c r="A51" s="38" t="s">
        <v>323</v>
      </c>
      <c r="B51" s="38" t="s">
        <v>274</v>
      </c>
      <c r="C51" s="38" t="s">
        <v>275</v>
      </c>
      <c r="D51" s="39">
        <v>9.0</v>
      </c>
      <c r="E51" s="40">
        <v>5.0</v>
      </c>
      <c r="F51" s="40">
        <v>7.0</v>
      </c>
      <c r="G51" s="40">
        <v>12.0</v>
      </c>
      <c r="H51" s="40">
        <v>0.166666666666666</v>
      </c>
      <c r="I51" s="41" t="b">
        <v>1</v>
      </c>
      <c r="J51" s="12" t="s">
        <v>330</v>
      </c>
      <c r="K51" s="40" t="s">
        <v>320</v>
      </c>
    </row>
    <row r="52">
      <c r="A52" s="38" t="s">
        <v>345</v>
      </c>
      <c r="B52" s="38" t="s">
        <v>258</v>
      </c>
      <c r="C52" s="38" t="s">
        <v>259</v>
      </c>
      <c r="D52" s="39">
        <v>9.0</v>
      </c>
      <c r="E52" s="40">
        <v>7.0</v>
      </c>
      <c r="F52" s="40">
        <v>1.0</v>
      </c>
      <c r="G52" s="40">
        <v>8.0</v>
      </c>
      <c r="H52" s="40">
        <v>0.75</v>
      </c>
      <c r="I52" s="41" t="b">
        <v>0</v>
      </c>
      <c r="J52" s="12" t="s">
        <v>322</v>
      </c>
      <c r="K52" s="40" t="s">
        <v>33</v>
      </c>
    </row>
    <row r="53">
      <c r="A53" s="38" t="s">
        <v>359</v>
      </c>
      <c r="B53" s="38" t="s">
        <v>246</v>
      </c>
      <c r="C53" s="38" t="s">
        <v>247</v>
      </c>
      <c r="D53" s="39">
        <v>9.0</v>
      </c>
      <c r="E53" s="40">
        <v>7.0</v>
      </c>
      <c r="F53" s="40">
        <v>2.0</v>
      </c>
      <c r="G53" s="40">
        <v>9.0</v>
      </c>
      <c r="H53" s="40">
        <v>0.555555555555555</v>
      </c>
      <c r="I53" s="41" t="b">
        <v>0</v>
      </c>
      <c r="J53" s="12" t="s">
        <v>319</v>
      </c>
      <c r="K53" s="40" t="s">
        <v>33</v>
      </c>
    </row>
    <row r="54">
      <c r="A54" s="38" t="s">
        <v>323</v>
      </c>
      <c r="B54" s="38" t="s">
        <v>109</v>
      </c>
      <c r="C54" s="38" t="s">
        <v>110</v>
      </c>
      <c r="D54" s="39">
        <v>9.0</v>
      </c>
      <c r="E54" s="40">
        <v>7.0</v>
      </c>
      <c r="F54" s="40">
        <v>2.0</v>
      </c>
      <c r="G54" s="40">
        <v>9.0</v>
      </c>
      <c r="H54" s="40">
        <v>0.555555555555555</v>
      </c>
      <c r="I54" s="41" t="b">
        <v>0</v>
      </c>
      <c r="J54" s="12" t="s">
        <v>319</v>
      </c>
      <c r="K54" s="40" t="s">
        <v>33</v>
      </c>
    </row>
    <row r="55">
      <c r="A55" s="38" t="s">
        <v>331</v>
      </c>
      <c r="B55" s="38" t="s">
        <v>170</v>
      </c>
      <c r="C55" s="38" t="s">
        <v>171</v>
      </c>
      <c r="D55" s="39">
        <v>9.0</v>
      </c>
      <c r="E55" s="40">
        <v>2.0</v>
      </c>
      <c r="F55" s="40">
        <v>7.0</v>
      </c>
      <c r="G55" s="40">
        <v>9.0</v>
      </c>
      <c r="H55" s="40">
        <v>0.555555555555555</v>
      </c>
      <c r="I55" s="41" t="b">
        <v>1</v>
      </c>
      <c r="J55" s="12" t="s">
        <v>319</v>
      </c>
      <c r="K55" s="40" t="s">
        <v>33</v>
      </c>
    </row>
    <row r="56">
      <c r="A56" s="38" t="s">
        <v>360</v>
      </c>
      <c r="B56" s="38" t="s">
        <v>290</v>
      </c>
      <c r="C56" s="38" t="s">
        <v>291</v>
      </c>
      <c r="D56" s="39">
        <v>9.0</v>
      </c>
      <c r="E56" s="40">
        <v>2.0</v>
      </c>
      <c r="F56" s="40">
        <v>7.0</v>
      </c>
      <c r="G56" s="40">
        <v>9.0</v>
      </c>
      <c r="H56" s="40">
        <v>0.555555555555555</v>
      </c>
      <c r="I56" s="41" t="b">
        <v>1</v>
      </c>
      <c r="J56" s="12" t="s">
        <v>319</v>
      </c>
      <c r="K56" s="40" t="s">
        <v>33</v>
      </c>
    </row>
    <row r="57">
      <c r="A57" s="38" t="s">
        <v>361</v>
      </c>
      <c r="B57" s="38" t="s">
        <v>248</v>
      </c>
      <c r="C57" s="38" t="s">
        <v>249</v>
      </c>
      <c r="D57" s="39">
        <v>9.0</v>
      </c>
      <c r="E57" s="40">
        <v>7.0</v>
      </c>
      <c r="F57" s="40">
        <v>2.0</v>
      </c>
      <c r="G57" s="40">
        <v>9.0</v>
      </c>
      <c r="H57" s="40">
        <v>0.555555555555555</v>
      </c>
      <c r="I57" s="41" t="b">
        <v>0</v>
      </c>
      <c r="J57" s="12" t="s">
        <v>319</v>
      </c>
      <c r="K57" s="40" t="s">
        <v>33</v>
      </c>
    </row>
    <row r="58">
      <c r="A58" s="38" t="s">
        <v>336</v>
      </c>
      <c r="B58" s="38" t="s">
        <v>115</v>
      </c>
      <c r="C58" s="38" t="s">
        <v>116</v>
      </c>
      <c r="D58" s="39">
        <v>9.0</v>
      </c>
      <c r="E58" s="40">
        <v>1.0</v>
      </c>
      <c r="F58" s="40">
        <v>2.0</v>
      </c>
      <c r="G58" s="40">
        <v>3.0</v>
      </c>
      <c r="H58" s="40">
        <v>0.333333333333333</v>
      </c>
      <c r="I58" s="41" t="b">
        <v>1</v>
      </c>
      <c r="J58" s="12" t="s">
        <v>328</v>
      </c>
      <c r="K58" s="40" t="s">
        <v>33</v>
      </c>
    </row>
    <row r="59">
      <c r="A59" s="38" t="s">
        <v>338</v>
      </c>
      <c r="B59" s="38" t="s">
        <v>276</v>
      </c>
      <c r="C59" s="38" t="s">
        <v>277</v>
      </c>
      <c r="D59" s="39">
        <v>9.0</v>
      </c>
      <c r="E59" s="40">
        <v>1.0</v>
      </c>
      <c r="F59" s="40">
        <v>2.0</v>
      </c>
      <c r="G59" s="40">
        <v>3.0</v>
      </c>
      <c r="H59" s="40">
        <v>0.333333333333333</v>
      </c>
      <c r="I59" s="41" t="b">
        <v>1</v>
      </c>
      <c r="J59" s="12" t="s">
        <v>328</v>
      </c>
      <c r="K59" s="40" t="s">
        <v>33</v>
      </c>
    </row>
    <row r="60">
      <c r="A60" s="38" t="s">
        <v>362</v>
      </c>
      <c r="B60" s="38" t="s">
        <v>190</v>
      </c>
      <c r="C60" s="38" t="s">
        <v>191</v>
      </c>
      <c r="D60" s="39">
        <v>9.0</v>
      </c>
      <c r="E60" s="40">
        <v>4.0</v>
      </c>
      <c r="F60" s="40">
        <v>5.0</v>
      </c>
      <c r="G60" s="40">
        <v>9.0</v>
      </c>
      <c r="H60" s="40">
        <v>0.111111111111111</v>
      </c>
      <c r="I60" s="41" t="b">
        <v>1</v>
      </c>
      <c r="J60" s="12" t="s">
        <v>330</v>
      </c>
      <c r="K60" s="40" t="s">
        <v>33</v>
      </c>
    </row>
    <row r="61">
      <c r="A61" s="38" t="s">
        <v>363</v>
      </c>
      <c r="B61" s="38" t="s">
        <v>196</v>
      </c>
      <c r="C61" s="38" t="s">
        <v>197</v>
      </c>
      <c r="D61" s="39">
        <v>9.0</v>
      </c>
      <c r="E61" s="40">
        <v>5.0</v>
      </c>
      <c r="F61" s="40">
        <v>4.0</v>
      </c>
      <c r="G61" s="40">
        <v>9.0</v>
      </c>
      <c r="H61" s="40">
        <v>0.111111111111111</v>
      </c>
      <c r="I61" s="41" t="b">
        <v>0</v>
      </c>
      <c r="J61" s="12" t="s">
        <v>330</v>
      </c>
      <c r="K61" s="40" t="s">
        <v>33</v>
      </c>
    </row>
    <row r="62">
      <c r="A62" s="38" t="s">
        <v>323</v>
      </c>
      <c r="B62" s="38" t="s">
        <v>176</v>
      </c>
      <c r="C62" s="38" t="s">
        <v>177</v>
      </c>
      <c r="D62" s="39">
        <v>9.0</v>
      </c>
      <c r="E62" s="40">
        <v>0.0</v>
      </c>
      <c r="F62" s="40">
        <v>9.0</v>
      </c>
      <c r="G62" s="40">
        <v>9.0</v>
      </c>
      <c r="H62" s="40">
        <v>1.0</v>
      </c>
      <c r="I62" s="41" t="b">
        <v>1</v>
      </c>
      <c r="J62" s="12" t="s">
        <v>324</v>
      </c>
      <c r="K62" s="40" t="s">
        <v>108</v>
      </c>
    </row>
    <row r="63">
      <c r="A63" s="38" t="s">
        <v>364</v>
      </c>
      <c r="B63" s="38" t="s">
        <v>154</v>
      </c>
      <c r="C63" s="38" t="s">
        <v>155</v>
      </c>
      <c r="D63" s="39">
        <v>9.0</v>
      </c>
      <c r="E63" s="40">
        <v>7.0</v>
      </c>
      <c r="F63" s="40">
        <v>1.0</v>
      </c>
      <c r="G63" s="40">
        <v>8.0</v>
      </c>
      <c r="H63" s="40">
        <v>0.75</v>
      </c>
      <c r="I63" s="41" t="b">
        <v>0</v>
      </c>
      <c r="J63" s="12" t="s">
        <v>322</v>
      </c>
      <c r="K63" s="40" t="s">
        <v>108</v>
      </c>
    </row>
    <row r="64">
      <c r="A64" s="38" t="s">
        <v>365</v>
      </c>
      <c r="B64" s="38" t="s">
        <v>162</v>
      </c>
      <c r="C64" s="38" t="s">
        <v>163</v>
      </c>
      <c r="D64" s="39">
        <v>9.0</v>
      </c>
      <c r="E64" s="40">
        <v>2.0</v>
      </c>
      <c r="F64" s="40">
        <v>7.0</v>
      </c>
      <c r="G64" s="40">
        <v>9.0</v>
      </c>
      <c r="H64" s="40">
        <v>0.555555555555555</v>
      </c>
      <c r="I64" s="41" t="b">
        <v>1</v>
      </c>
      <c r="J64" s="12" t="s">
        <v>319</v>
      </c>
      <c r="K64" s="40" t="s">
        <v>108</v>
      </c>
    </row>
    <row r="65">
      <c r="A65" s="38" t="s">
        <v>352</v>
      </c>
      <c r="B65" s="38" t="s">
        <v>232</v>
      </c>
      <c r="C65" s="38" t="s">
        <v>233</v>
      </c>
      <c r="D65" s="39">
        <v>9.0</v>
      </c>
      <c r="E65" s="40">
        <v>3.0</v>
      </c>
      <c r="F65" s="40">
        <v>1.0</v>
      </c>
      <c r="G65" s="40">
        <v>4.0</v>
      </c>
      <c r="H65" s="40">
        <v>0.5</v>
      </c>
      <c r="I65" s="41" t="b">
        <v>0</v>
      </c>
      <c r="J65" s="12" t="s">
        <v>319</v>
      </c>
      <c r="K65" s="40" t="s">
        <v>108</v>
      </c>
    </row>
    <row r="66">
      <c r="A66" s="38" t="s">
        <v>350</v>
      </c>
      <c r="B66" s="38" t="s">
        <v>148</v>
      </c>
      <c r="C66" s="38" t="s">
        <v>149</v>
      </c>
      <c r="D66" s="39">
        <v>9.0</v>
      </c>
      <c r="E66" s="40">
        <v>2.0</v>
      </c>
      <c r="F66" s="40">
        <v>3.0</v>
      </c>
      <c r="G66" s="40">
        <v>5.0</v>
      </c>
      <c r="H66" s="40">
        <v>0.2</v>
      </c>
      <c r="I66" s="41" t="b">
        <v>1</v>
      </c>
      <c r="J66" s="12" t="s">
        <v>330</v>
      </c>
      <c r="K66" s="40" t="s">
        <v>108</v>
      </c>
    </row>
    <row r="67">
      <c r="A67" s="38" t="s">
        <v>366</v>
      </c>
      <c r="B67" s="38" t="s">
        <v>102</v>
      </c>
      <c r="C67" s="38" t="s">
        <v>103</v>
      </c>
      <c r="D67" s="39">
        <v>9.0</v>
      </c>
      <c r="E67" s="40">
        <v>0.0</v>
      </c>
      <c r="F67" s="40">
        <v>11.0</v>
      </c>
      <c r="G67" s="40">
        <v>11.0</v>
      </c>
      <c r="H67" s="40">
        <v>1.0</v>
      </c>
      <c r="I67" s="41" t="b">
        <v>1</v>
      </c>
      <c r="J67" s="12" t="s">
        <v>324</v>
      </c>
      <c r="K67" s="40" t="s">
        <v>367</v>
      </c>
    </row>
    <row r="68">
      <c r="A68" s="38" t="s">
        <v>344</v>
      </c>
      <c r="B68" s="38" t="s">
        <v>88</v>
      </c>
      <c r="C68" s="38" t="s">
        <v>89</v>
      </c>
      <c r="D68" s="39">
        <v>9.0</v>
      </c>
      <c r="E68" s="40">
        <v>2.0</v>
      </c>
      <c r="F68" s="40">
        <v>4.0</v>
      </c>
      <c r="G68" s="40">
        <v>6.0</v>
      </c>
      <c r="H68" s="40">
        <v>0.333333333333333</v>
      </c>
      <c r="I68" s="41" t="b">
        <v>1</v>
      </c>
      <c r="J68" s="12" t="s">
        <v>328</v>
      </c>
      <c r="K68" s="40" t="s">
        <v>367</v>
      </c>
    </row>
    <row r="69">
      <c r="A69" s="38" t="s">
        <v>359</v>
      </c>
      <c r="B69" s="38" t="s">
        <v>135</v>
      </c>
      <c r="C69" s="38" t="s">
        <v>136</v>
      </c>
      <c r="D69" s="39">
        <v>9.0</v>
      </c>
      <c r="E69" s="40">
        <v>2.0</v>
      </c>
      <c r="F69" s="40">
        <v>1.0</v>
      </c>
      <c r="G69" s="40">
        <v>3.0</v>
      </c>
      <c r="H69" s="40">
        <v>0.333333333333333</v>
      </c>
      <c r="I69" s="41" t="b">
        <v>0</v>
      </c>
      <c r="J69" s="12" t="s">
        <v>328</v>
      </c>
      <c r="K69" s="40" t="s">
        <v>367</v>
      </c>
    </row>
    <row r="70">
      <c r="A70" s="38" t="s">
        <v>344</v>
      </c>
      <c r="B70" s="38" t="s">
        <v>226</v>
      </c>
      <c r="C70" s="38" t="s">
        <v>227</v>
      </c>
      <c r="D70" s="39">
        <v>9.0</v>
      </c>
      <c r="E70" s="40">
        <v>6.0</v>
      </c>
      <c r="F70" s="40">
        <v>3.0</v>
      </c>
      <c r="G70" s="40">
        <v>9.0</v>
      </c>
      <c r="H70" s="40">
        <v>0.333333333333333</v>
      </c>
      <c r="I70" s="41" t="b">
        <v>0</v>
      </c>
      <c r="J70" s="12" t="s">
        <v>328</v>
      </c>
      <c r="K70" s="40" t="s">
        <v>367</v>
      </c>
    </row>
    <row r="71">
      <c r="A71" s="38" t="s">
        <v>368</v>
      </c>
      <c r="B71" s="38" t="s">
        <v>272</v>
      </c>
      <c r="C71" s="38" t="s">
        <v>273</v>
      </c>
      <c r="D71" s="39">
        <v>9.0</v>
      </c>
      <c r="E71" s="40">
        <v>5.0</v>
      </c>
      <c r="F71" s="40">
        <v>4.0</v>
      </c>
      <c r="G71" s="40">
        <v>9.0</v>
      </c>
      <c r="H71" s="40">
        <v>0.111111111111111</v>
      </c>
      <c r="I71" s="41" t="b">
        <v>0</v>
      </c>
      <c r="J71" s="12" t="s">
        <v>330</v>
      </c>
      <c r="K71" s="40" t="s">
        <v>367</v>
      </c>
    </row>
    <row r="72">
      <c r="A72" s="38" t="s">
        <v>323</v>
      </c>
      <c r="B72" s="38" t="s">
        <v>126</v>
      </c>
      <c r="C72" s="38" t="s">
        <v>127</v>
      </c>
      <c r="D72" s="39">
        <v>9.0</v>
      </c>
      <c r="E72" s="40">
        <v>8.0</v>
      </c>
      <c r="F72" s="40">
        <v>1.0</v>
      </c>
      <c r="G72" s="40">
        <v>9.0</v>
      </c>
      <c r="H72" s="40">
        <v>0.777777777777777</v>
      </c>
      <c r="I72" s="41" t="b">
        <v>0</v>
      </c>
      <c r="J72" s="12" t="s">
        <v>322</v>
      </c>
      <c r="K72" s="40" t="s">
        <v>369</v>
      </c>
    </row>
    <row r="73">
      <c r="A73" s="38" t="s">
        <v>356</v>
      </c>
      <c r="B73" s="38" t="s">
        <v>158</v>
      </c>
      <c r="C73" s="38" t="s">
        <v>159</v>
      </c>
      <c r="D73" s="39">
        <v>9.0</v>
      </c>
      <c r="E73" s="40">
        <v>1.0</v>
      </c>
      <c r="F73" s="40">
        <v>7.0</v>
      </c>
      <c r="G73" s="40">
        <v>8.0</v>
      </c>
      <c r="H73" s="40">
        <v>0.75</v>
      </c>
      <c r="I73" s="41" t="b">
        <v>1</v>
      </c>
      <c r="J73" s="12" t="s">
        <v>322</v>
      </c>
      <c r="K73" s="40" t="s">
        <v>369</v>
      </c>
    </row>
    <row r="74">
      <c r="A74" s="38" t="s">
        <v>345</v>
      </c>
      <c r="B74" s="38" t="s">
        <v>240</v>
      </c>
      <c r="C74" s="38" t="s">
        <v>241</v>
      </c>
      <c r="D74" s="39">
        <v>9.0</v>
      </c>
      <c r="E74" s="40">
        <v>1.0</v>
      </c>
      <c r="F74" s="40">
        <v>4.0</v>
      </c>
      <c r="G74" s="40">
        <v>5.0</v>
      </c>
      <c r="H74" s="40">
        <v>0.6</v>
      </c>
      <c r="I74" s="41" t="b">
        <v>1</v>
      </c>
      <c r="J74" s="12" t="s">
        <v>319</v>
      </c>
      <c r="K74" s="40" t="s">
        <v>369</v>
      </c>
    </row>
    <row r="75">
      <c r="A75" s="38" t="s">
        <v>323</v>
      </c>
      <c r="B75" s="38" t="s">
        <v>294</v>
      </c>
      <c r="C75" s="38" t="s">
        <v>295</v>
      </c>
      <c r="D75" s="39">
        <v>9.0</v>
      </c>
      <c r="E75" s="40">
        <v>2.0</v>
      </c>
      <c r="F75" s="40">
        <v>1.0</v>
      </c>
      <c r="G75" s="40">
        <v>3.0</v>
      </c>
      <c r="H75" s="40">
        <v>0.333333333333333</v>
      </c>
      <c r="I75" s="41" t="b">
        <v>0</v>
      </c>
      <c r="J75" s="12" t="s">
        <v>328</v>
      </c>
      <c r="K75" s="40" t="s">
        <v>369</v>
      </c>
    </row>
    <row r="76">
      <c r="A76" s="38" t="s">
        <v>370</v>
      </c>
      <c r="B76" s="38" t="s">
        <v>278</v>
      </c>
      <c r="C76" s="38" t="s">
        <v>279</v>
      </c>
      <c r="D76" s="39">
        <v>9.0</v>
      </c>
      <c r="E76" s="40">
        <v>4.0</v>
      </c>
      <c r="F76" s="40">
        <v>5.0</v>
      </c>
      <c r="G76" s="40">
        <v>9.0</v>
      </c>
      <c r="H76" s="40">
        <v>0.111111111111111</v>
      </c>
      <c r="I76" s="41" t="b">
        <v>1</v>
      </c>
      <c r="J76" s="12" t="s">
        <v>330</v>
      </c>
      <c r="K76" s="40" t="s">
        <v>369</v>
      </c>
    </row>
    <row r="77">
      <c r="A77" s="38" t="s">
        <v>371</v>
      </c>
      <c r="B77" s="38" t="s">
        <v>168</v>
      </c>
      <c r="C77" s="38" t="s">
        <v>169</v>
      </c>
      <c r="D77" s="39">
        <v>9.0</v>
      </c>
      <c r="E77" s="40">
        <v>0.0</v>
      </c>
      <c r="F77" s="40">
        <v>9.0</v>
      </c>
      <c r="G77" s="40">
        <v>9.0</v>
      </c>
      <c r="H77" s="40">
        <v>1.0</v>
      </c>
      <c r="I77" s="41" t="b">
        <v>1</v>
      </c>
      <c r="J77" s="12" t="s">
        <v>324</v>
      </c>
      <c r="K77" s="40" t="s">
        <v>372</v>
      </c>
    </row>
    <row r="78">
      <c r="A78" s="38" t="s">
        <v>334</v>
      </c>
      <c r="B78" s="38" t="s">
        <v>286</v>
      </c>
      <c r="C78" s="38" t="s">
        <v>287</v>
      </c>
      <c r="D78" s="39">
        <v>9.0</v>
      </c>
      <c r="E78" s="40">
        <v>1.0</v>
      </c>
      <c r="F78" s="40">
        <v>9.0</v>
      </c>
      <c r="G78" s="40">
        <v>10.0</v>
      </c>
      <c r="H78" s="40">
        <v>0.8</v>
      </c>
      <c r="I78" s="41" t="b">
        <v>1</v>
      </c>
      <c r="J78" s="12" t="s">
        <v>322</v>
      </c>
      <c r="K78" s="40" t="s">
        <v>372</v>
      </c>
    </row>
    <row r="79">
      <c r="A79" s="38" t="s">
        <v>344</v>
      </c>
      <c r="B79" s="38" t="s">
        <v>206</v>
      </c>
      <c r="C79" s="38" t="s">
        <v>207</v>
      </c>
      <c r="D79" s="39">
        <v>9.0</v>
      </c>
      <c r="E79" s="40">
        <v>3.0</v>
      </c>
      <c r="F79" s="40">
        <v>1.0</v>
      </c>
      <c r="G79" s="40">
        <v>4.0</v>
      </c>
      <c r="H79" s="40">
        <v>0.5</v>
      </c>
      <c r="I79" s="41" t="b">
        <v>0</v>
      </c>
      <c r="J79" s="12" t="s">
        <v>319</v>
      </c>
      <c r="K79" s="40" t="s">
        <v>372</v>
      </c>
    </row>
    <row r="80">
      <c r="A80" s="38" t="s">
        <v>331</v>
      </c>
      <c r="B80" s="38" t="s">
        <v>288</v>
      </c>
      <c r="C80" s="38" t="s">
        <v>289</v>
      </c>
      <c r="D80" s="39">
        <v>9.0</v>
      </c>
      <c r="E80" s="40">
        <v>3.0</v>
      </c>
      <c r="F80" s="40">
        <v>1.0</v>
      </c>
      <c r="G80" s="40">
        <v>4.0</v>
      </c>
      <c r="H80" s="40">
        <v>0.5</v>
      </c>
      <c r="I80" s="41" t="b">
        <v>0</v>
      </c>
      <c r="J80" s="12" t="s">
        <v>319</v>
      </c>
      <c r="K80" s="40" t="s">
        <v>372</v>
      </c>
    </row>
    <row r="81">
      <c r="A81" s="38" t="s">
        <v>373</v>
      </c>
      <c r="B81" s="38" t="s">
        <v>144</v>
      </c>
      <c r="C81" s="38" t="s">
        <v>145</v>
      </c>
      <c r="D81" s="39">
        <v>9.0</v>
      </c>
      <c r="E81" s="40">
        <v>5.0</v>
      </c>
      <c r="F81" s="40">
        <v>4.0</v>
      </c>
      <c r="G81" s="40">
        <v>9.0</v>
      </c>
      <c r="H81" s="40">
        <v>0.111111111111111</v>
      </c>
      <c r="I81" s="41" t="b">
        <v>0</v>
      </c>
      <c r="J81" s="12" t="s">
        <v>330</v>
      </c>
      <c r="K81" s="40" t="s">
        <v>372</v>
      </c>
    </row>
    <row r="82">
      <c r="A82" s="38" t="s">
        <v>360</v>
      </c>
      <c r="B82" s="38" t="s">
        <v>230</v>
      </c>
      <c r="C82" s="38" t="s">
        <v>231</v>
      </c>
      <c r="D82" s="39">
        <v>9.0</v>
      </c>
      <c r="E82" s="40">
        <v>4.0</v>
      </c>
      <c r="F82" s="40">
        <v>1.0</v>
      </c>
      <c r="G82" s="40">
        <v>5.0</v>
      </c>
      <c r="H82" s="40">
        <v>0.6</v>
      </c>
      <c r="I82" s="41" t="b">
        <v>0</v>
      </c>
      <c r="J82" s="12" t="s">
        <v>319</v>
      </c>
      <c r="K82" s="40" t="s">
        <v>180</v>
      </c>
    </row>
    <row r="83">
      <c r="A83" s="38" t="s">
        <v>326</v>
      </c>
      <c r="B83" s="38" t="s">
        <v>224</v>
      </c>
      <c r="C83" s="38" t="s">
        <v>225</v>
      </c>
      <c r="D83" s="39">
        <v>9.0</v>
      </c>
      <c r="E83" s="40">
        <v>2.0</v>
      </c>
      <c r="F83" s="40">
        <v>7.0</v>
      </c>
      <c r="G83" s="40">
        <v>9.0</v>
      </c>
      <c r="H83" s="40">
        <v>0.555555555555555</v>
      </c>
      <c r="I83" s="41" t="b">
        <v>1</v>
      </c>
      <c r="J83" s="12" t="s">
        <v>319</v>
      </c>
      <c r="K83" s="40" t="s">
        <v>180</v>
      </c>
    </row>
    <row r="84">
      <c r="A84" s="38" t="s">
        <v>374</v>
      </c>
      <c r="B84" s="38" t="s">
        <v>142</v>
      </c>
      <c r="C84" s="38" t="s">
        <v>143</v>
      </c>
      <c r="D84" s="39">
        <v>9.0</v>
      </c>
      <c r="E84" s="40">
        <v>3.0</v>
      </c>
      <c r="F84" s="40">
        <v>6.0</v>
      </c>
      <c r="G84" s="40">
        <v>9.0</v>
      </c>
      <c r="H84" s="40">
        <v>0.333333333333333</v>
      </c>
      <c r="I84" s="41" t="b">
        <v>1</v>
      </c>
      <c r="J84" s="12" t="s">
        <v>328</v>
      </c>
      <c r="K84" s="40" t="s">
        <v>180</v>
      </c>
    </row>
    <row r="85">
      <c r="A85" s="38" t="s">
        <v>337</v>
      </c>
      <c r="B85" s="38" t="s">
        <v>178</v>
      </c>
      <c r="C85" s="38" t="s">
        <v>179</v>
      </c>
      <c r="D85" s="39">
        <v>9.0</v>
      </c>
      <c r="E85" s="40">
        <v>6.0</v>
      </c>
      <c r="F85" s="40">
        <v>3.0</v>
      </c>
      <c r="G85" s="40">
        <v>9.0</v>
      </c>
      <c r="H85" s="40">
        <v>0.333333333333333</v>
      </c>
      <c r="I85" s="41" t="b">
        <v>0</v>
      </c>
      <c r="J85" s="12" t="s">
        <v>328</v>
      </c>
      <c r="K85" s="40" t="s">
        <v>180</v>
      </c>
    </row>
    <row r="86">
      <c r="A86" s="38" t="s">
        <v>375</v>
      </c>
      <c r="B86" s="38" t="s">
        <v>222</v>
      </c>
      <c r="C86" s="38" t="s">
        <v>223</v>
      </c>
      <c r="D86" s="39">
        <v>9.0</v>
      </c>
      <c r="E86" s="40">
        <v>4.0</v>
      </c>
      <c r="F86" s="40">
        <v>5.0</v>
      </c>
      <c r="G86" s="40">
        <v>9.0</v>
      </c>
      <c r="H86" s="40">
        <v>0.111111111111111</v>
      </c>
      <c r="I86" s="41" t="b">
        <v>1</v>
      </c>
      <c r="J86" s="12" t="s">
        <v>330</v>
      </c>
      <c r="K86" s="40" t="s">
        <v>180</v>
      </c>
    </row>
    <row r="87">
      <c r="A87" s="38" t="s">
        <v>356</v>
      </c>
      <c r="B87" s="38" t="s">
        <v>260</v>
      </c>
      <c r="C87" s="38" t="s">
        <v>261</v>
      </c>
      <c r="D87" s="39">
        <v>9.0</v>
      </c>
      <c r="E87" s="40">
        <v>1.0</v>
      </c>
      <c r="F87" s="40">
        <v>35.0</v>
      </c>
      <c r="G87" s="40">
        <v>36.0</v>
      </c>
      <c r="H87" s="40">
        <v>0.944444444444444</v>
      </c>
      <c r="I87" s="41" t="b">
        <v>1</v>
      </c>
      <c r="J87" s="12" t="s">
        <v>324</v>
      </c>
      <c r="K87" s="40" t="s">
        <v>376</v>
      </c>
    </row>
    <row r="88">
      <c r="A88" s="38" t="s">
        <v>377</v>
      </c>
      <c r="B88" s="38" t="s">
        <v>192</v>
      </c>
      <c r="C88" s="38" t="s">
        <v>193</v>
      </c>
      <c r="D88" s="39">
        <v>9.0</v>
      </c>
      <c r="E88" s="40">
        <v>1.0</v>
      </c>
      <c r="F88" s="40">
        <v>8.0</v>
      </c>
      <c r="G88" s="40">
        <v>9.0</v>
      </c>
      <c r="H88" s="40">
        <v>0.777777777777777</v>
      </c>
      <c r="I88" s="41" t="b">
        <v>1</v>
      </c>
      <c r="J88" s="12" t="s">
        <v>322</v>
      </c>
      <c r="K88" s="40" t="s">
        <v>376</v>
      </c>
    </row>
    <row r="89">
      <c r="A89" s="38" t="s">
        <v>345</v>
      </c>
      <c r="B89" s="38" t="s">
        <v>166</v>
      </c>
      <c r="C89" s="38" t="s">
        <v>167</v>
      </c>
      <c r="D89" s="39">
        <v>9.0</v>
      </c>
      <c r="E89" s="40">
        <v>7.0</v>
      </c>
      <c r="F89" s="40">
        <v>2.0</v>
      </c>
      <c r="G89" s="40">
        <v>9.0</v>
      </c>
      <c r="H89" s="40">
        <v>0.555555555555555</v>
      </c>
      <c r="I89" s="41" t="b">
        <v>0</v>
      </c>
      <c r="J89" s="12" t="s">
        <v>319</v>
      </c>
      <c r="K89" s="40" t="s">
        <v>376</v>
      </c>
    </row>
    <row r="90">
      <c r="A90" s="38" t="s">
        <v>331</v>
      </c>
      <c r="B90" s="38" t="s">
        <v>292</v>
      </c>
      <c r="C90" s="38" t="s">
        <v>293</v>
      </c>
      <c r="D90" s="39">
        <v>9.0</v>
      </c>
      <c r="E90" s="40">
        <v>6.0</v>
      </c>
      <c r="F90" s="40">
        <v>3.0</v>
      </c>
      <c r="G90" s="40">
        <v>9.0</v>
      </c>
      <c r="H90" s="40">
        <v>0.333333333333333</v>
      </c>
      <c r="I90" s="41" t="b">
        <v>0</v>
      </c>
      <c r="J90" s="12" t="s">
        <v>328</v>
      </c>
      <c r="K90" s="40" t="s">
        <v>376</v>
      </c>
    </row>
    <row r="91">
      <c r="A91" s="38" t="s">
        <v>338</v>
      </c>
      <c r="B91" s="38" t="s">
        <v>139</v>
      </c>
      <c r="C91" s="38" t="s">
        <v>140</v>
      </c>
      <c r="D91" s="39">
        <v>9.0</v>
      </c>
      <c r="E91" s="40">
        <v>5.0</v>
      </c>
      <c r="F91" s="40">
        <v>4.0</v>
      </c>
      <c r="G91" s="40">
        <v>9.0</v>
      </c>
      <c r="H91" s="40">
        <v>0.111111111111111</v>
      </c>
      <c r="I91" s="41" t="b">
        <v>0</v>
      </c>
      <c r="J91" s="12" t="s">
        <v>330</v>
      </c>
      <c r="K91" s="40" t="s">
        <v>376</v>
      </c>
    </row>
    <row r="92">
      <c r="A92" s="38" t="s">
        <v>331</v>
      </c>
      <c r="B92" s="38" t="s">
        <v>265</v>
      </c>
      <c r="C92" s="38" t="s">
        <v>266</v>
      </c>
      <c r="D92" s="39">
        <v>9.0</v>
      </c>
      <c r="E92" s="40">
        <v>0.0</v>
      </c>
      <c r="F92" s="40">
        <v>12.0</v>
      </c>
      <c r="G92" s="40">
        <v>12.0</v>
      </c>
      <c r="H92" s="40">
        <v>1.0</v>
      </c>
      <c r="I92" s="41" t="b">
        <v>1</v>
      </c>
      <c r="J92" s="12" t="s">
        <v>324</v>
      </c>
      <c r="K92" s="40" t="s">
        <v>378</v>
      </c>
    </row>
    <row r="93">
      <c r="A93" s="38" t="s">
        <v>343</v>
      </c>
      <c r="B93" s="38" t="s">
        <v>267</v>
      </c>
      <c r="C93" s="38" t="s">
        <v>268</v>
      </c>
      <c r="D93" s="39">
        <v>9.0</v>
      </c>
      <c r="E93" s="40">
        <v>1.0</v>
      </c>
      <c r="F93" s="40">
        <v>29.0</v>
      </c>
      <c r="G93" s="40">
        <v>30.0</v>
      </c>
      <c r="H93" s="40">
        <v>0.933333333333333</v>
      </c>
      <c r="I93" s="41" t="b">
        <v>1</v>
      </c>
      <c r="J93" s="12" t="s">
        <v>324</v>
      </c>
      <c r="K93" s="40" t="s">
        <v>378</v>
      </c>
    </row>
    <row r="94">
      <c r="A94" s="38" t="s">
        <v>345</v>
      </c>
      <c r="B94" s="38" t="s">
        <v>146</v>
      </c>
      <c r="C94" s="38" t="s">
        <v>147</v>
      </c>
      <c r="D94" s="39">
        <v>9.0</v>
      </c>
      <c r="E94" s="40">
        <v>6.0</v>
      </c>
      <c r="F94" s="40">
        <v>1.0</v>
      </c>
      <c r="G94" s="40">
        <v>7.0</v>
      </c>
      <c r="H94" s="40">
        <v>0.714285714285714</v>
      </c>
      <c r="I94" s="41" t="b">
        <v>0</v>
      </c>
      <c r="J94" s="12" t="s">
        <v>322</v>
      </c>
      <c r="K94" s="40" t="s">
        <v>378</v>
      </c>
    </row>
    <row r="95">
      <c r="A95" s="38" t="s">
        <v>331</v>
      </c>
      <c r="B95" s="38" t="s">
        <v>188</v>
      </c>
      <c r="C95" s="38" t="s">
        <v>189</v>
      </c>
      <c r="D95" s="39">
        <v>9.0</v>
      </c>
      <c r="E95" s="40">
        <v>5.0</v>
      </c>
      <c r="F95" s="40">
        <v>2.0</v>
      </c>
      <c r="G95" s="40">
        <v>7.0</v>
      </c>
      <c r="H95" s="40">
        <v>0.428571428571428</v>
      </c>
      <c r="I95" s="41" t="b">
        <v>0</v>
      </c>
      <c r="J95" s="12" t="s">
        <v>319</v>
      </c>
      <c r="K95" s="40" t="s">
        <v>378</v>
      </c>
    </row>
    <row r="96">
      <c r="A96" s="38" t="s">
        <v>351</v>
      </c>
      <c r="B96" s="38" t="s">
        <v>234</v>
      </c>
      <c r="C96" s="38" t="s">
        <v>235</v>
      </c>
      <c r="D96" s="39">
        <v>9.0</v>
      </c>
      <c r="E96" s="40">
        <v>4.0</v>
      </c>
      <c r="F96" s="40">
        <v>5.0</v>
      </c>
      <c r="G96" s="40">
        <v>9.0</v>
      </c>
      <c r="H96" s="40">
        <v>0.111111111111111</v>
      </c>
      <c r="I96" s="41" t="b">
        <v>1</v>
      </c>
      <c r="J96" s="12" t="s">
        <v>330</v>
      </c>
      <c r="K96" s="40" t="s">
        <v>378</v>
      </c>
    </row>
    <row r="97">
      <c r="A97" s="38" t="s">
        <v>331</v>
      </c>
      <c r="B97" s="38" t="s">
        <v>97</v>
      </c>
      <c r="C97" s="38" t="s">
        <v>98</v>
      </c>
      <c r="D97" s="39">
        <v>9.0</v>
      </c>
      <c r="E97" s="40">
        <v>1.0</v>
      </c>
      <c r="F97" s="40">
        <v>9.0</v>
      </c>
      <c r="G97" s="40">
        <v>10.0</v>
      </c>
      <c r="H97" s="40">
        <v>0.8</v>
      </c>
      <c r="I97" s="41" t="b">
        <v>1</v>
      </c>
      <c r="J97" s="12" t="s">
        <v>322</v>
      </c>
      <c r="K97" s="40" t="s">
        <v>134</v>
      </c>
    </row>
    <row r="98">
      <c r="A98" s="38" t="s">
        <v>379</v>
      </c>
      <c r="B98" s="38" t="s">
        <v>254</v>
      </c>
      <c r="C98" s="38" t="s">
        <v>255</v>
      </c>
      <c r="D98" s="39">
        <v>9.0</v>
      </c>
      <c r="E98" s="40">
        <v>1.0</v>
      </c>
      <c r="F98" s="40">
        <v>9.0</v>
      </c>
      <c r="G98" s="40">
        <v>10.0</v>
      </c>
      <c r="H98" s="40">
        <v>0.8</v>
      </c>
      <c r="I98" s="41" t="b">
        <v>1</v>
      </c>
      <c r="J98" s="12" t="s">
        <v>322</v>
      </c>
      <c r="K98" s="40" t="s">
        <v>134</v>
      </c>
    </row>
    <row r="99">
      <c r="A99" s="38" t="s">
        <v>323</v>
      </c>
      <c r="B99" s="38" t="s">
        <v>122</v>
      </c>
      <c r="C99" s="38" t="s">
        <v>123</v>
      </c>
      <c r="D99" s="39">
        <v>9.0</v>
      </c>
      <c r="E99" s="40">
        <v>6.0</v>
      </c>
      <c r="F99" s="40">
        <v>1.0</v>
      </c>
      <c r="G99" s="40">
        <v>7.0</v>
      </c>
      <c r="H99" s="40">
        <v>0.714285714285714</v>
      </c>
      <c r="I99" s="41" t="b">
        <v>0</v>
      </c>
      <c r="J99" s="12" t="s">
        <v>322</v>
      </c>
      <c r="K99" s="40" t="s">
        <v>134</v>
      </c>
    </row>
    <row r="100">
      <c r="A100" s="38" t="s">
        <v>334</v>
      </c>
      <c r="B100" s="38" t="s">
        <v>242</v>
      </c>
      <c r="C100" s="38" t="s">
        <v>243</v>
      </c>
      <c r="D100" s="39">
        <v>9.0</v>
      </c>
      <c r="E100" s="40">
        <v>2.0</v>
      </c>
      <c r="F100" s="40">
        <v>1.0</v>
      </c>
      <c r="G100" s="40">
        <v>3.0</v>
      </c>
      <c r="H100" s="40">
        <v>0.333333333333333</v>
      </c>
      <c r="I100" s="41" t="b">
        <v>0</v>
      </c>
      <c r="J100" s="12" t="s">
        <v>328</v>
      </c>
      <c r="K100" s="40" t="s">
        <v>134</v>
      </c>
    </row>
    <row r="101">
      <c r="A101" s="38" t="s">
        <v>380</v>
      </c>
      <c r="B101" s="38" t="s">
        <v>194</v>
      </c>
      <c r="C101" s="38" t="s">
        <v>195</v>
      </c>
      <c r="D101" s="39">
        <v>9.0</v>
      </c>
      <c r="E101" s="40">
        <v>5.0</v>
      </c>
      <c r="F101" s="40">
        <v>4.0</v>
      </c>
      <c r="G101" s="40">
        <v>9.0</v>
      </c>
      <c r="H101" s="40">
        <v>0.111111111111111</v>
      </c>
      <c r="I101" s="41" t="b">
        <v>0</v>
      </c>
      <c r="J101" s="12" t="s">
        <v>330</v>
      </c>
      <c r="K101" s="40" t="s">
        <v>134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7C3"/>
    <outlinePr summaryBelow="0" summaryRight="0"/>
  </sheetPr>
  <sheetViews>
    <sheetView workbookViewId="0"/>
  </sheetViews>
  <sheetFormatPr customHeight="1" defaultColWidth="12.63" defaultRowHeight="15.75"/>
  <cols>
    <col customWidth="1" min="2" max="2" width="53.13"/>
    <col customWidth="1" min="3" max="3" width="21.75"/>
    <col customWidth="1" min="6" max="6" width="14.38"/>
    <col customWidth="1" min="8" max="8" width="12.75"/>
    <col customWidth="1" hidden="1" min="10" max="10" width="7.5"/>
    <col customWidth="1" hidden="1" min="11" max="11" width="7.75"/>
    <col customWidth="1" hidden="1" min="12" max="12" width="7.25"/>
    <col customWidth="1" hidden="1" min="13" max="13" width="6.25"/>
    <col customWidth="1" hidden="1" min="14" max="14" width="8.38"/>
    <col customWidth="1" hidden="1" min="15" max="15" width="23.88"/>
    <col customWidth="1" min="16" max="16" width="39.75"/>
  </cols>
  <sheetData>
    <row r="1">
      <c r="A1" s="27" t="s">
        <v>81</v>
      </c>
      <c r="B1" s="28" t="s">
        <v>82</v>
      </c>
      <c r="C1" s="42" t="s">
        <v>381</v>
      </c>
      <c r="D1" s="43" t="s">
        <v>56</v>
      </c>
      <c r="E1" s="42" t="s">
        <v>57</v>
      </c>
      <c r="F1" s="42" t="s">
        <v>58</v>
      </c>
      <c r="G1" s="42" t="s">
        <v>59</v>
      </c>
      <c r="H1" s="43" t="s">
        <v>60</v>
      </c>
      <c r="I1" s="44" t="s">
        <v>382</v>
      </c>
      <c r="J1" s="43" t="s">
        <v>56</v>
      </c>
      <c r="K1" s="42" t="s">
        <v>57</v>
      </c>
      <c r="L1" s="42" t="s">
        <v>58</v>
      </c>
      <c r="M1" s="42" t="s">
        <v>59</v>
      </c>
      <c r="N1" s="43" t="s">
        <v>60</v>
      </c>
      <c r="O1" s="44" t="s">
        <v>383</v>
      </c>
      <c r="P1" s="44" t="s">
        <v>383</v>
      </c>
      <c r="Q1" s="45" t="s">
        <v>384</v>
      </c>
      <c r="R1" s="22" t="s">
        <v>385</v>
      </c>
      <c r="S1" s="22" t="s">
        <v>386</v>
      </c>
    </row>
    <row r="2">
      <c r="A2" s="12" t="s">
        <v>216</v>
      </c>
      <c r="B2" s="12" t="s">
        <v>217</v>
      </c>
      <c r="C2" s="7" t="s">
        <v>387</v>
      </c>
      <c r="D2" s="46" t="b">
        <v>0</v>
      </c>
      <c r="E2" s="46" t="s">
        <v>298</v>
      </c>
      <c r="F2" s="46" t="s">
        <v>298</v>
      </c>
      <c r="G2" s="46" t="b">
        <v>1</v>
      </c>
      <c r="H2" s="46" t="b">
        <v>0</v>
      </c>
      <c r="I2" s="47">
        <v>0.3333333333333333</v>
      </c>
      <c r="J2" s="48"/>
      <c r="K2" s="48"/>
      <c r="L2" s="48"/>
      <c r="M2" s="48"/>
      <c r="N2" s="48"/>
      <c r="O2" s="47" t="s">
        <v>388</v>
      </c>
      <c r="P2" s="47" t="s">
        <v>388</v>
      </c>
      <c r="Q2" s="49" t="s">
        <v>389</v>
      </c>
    </row>
    <row r="3">
      <c r="A3" s="12" t="s">
        <v>111</v>
      </c>
      <c r="B3" s="12" t="s">
        <v>112</v>
      </c>
      <c r="C3" s="7"/>
      <c r="D3" s="46" t="b">
        <v>0</v>
      </c>
      <c r="E3" s="46" t="s">
        <v>298</v>
      </c>
      <c r="F3" s="46" t="s">
        <v>298</v>
      </c>
      <c r="G3" s="46" t="b">
        <v>0</v>
      </c>
      <c r="H3" s="46" t="b">
        <v>0</v>
      </c>
      <c r="I3" s="47">
        <v>1.0</v>
      </c>
      <c r="J3" s="48"/>
      <c r="K3" s="48"/>
      <c r="L3" s="48"/>
      <c r="M3" s="48"/>
      <c r="N3" s="48"/>
      <c r="O3" s="47" t="s">
        <v>388</v>
      </c>
      <c r="P3" s="47" t="s">
        <v>388</v>
      </c>
      <c r="Q3" s="49" t="b">
        <v>0</v>
      </c>
    </row>
    <row r="4">
      <c r="A4" s="12" t="s">
        <v>93</v>
      </c>
      <c r="B4" s="12" t="s">
        <v>94</v>
      </c>
      <c r="C4" s="46"/>
      <c r="D4" s="46" t="b">
        <v>0</v>
      </c>
      <c r="E4" s="46" t="s">
        <v>298</v>
      </c>
      <c r="F4" s="46" t="s">
        <v>298</v>
      </c>
      <c r="G4" s="46" t="b">
        <v>0</v>
      </c>
      <c r="H4" s="46" t="b">
        <v>0</v>
      </c>
      <c r="I4" s="47">
        <v>1.0</v>
      </c>
      <c r="J4" s="48"/>
      <c r="K4" s="48"/>
      <c r="L4" s="48"/>
      <c r="M4" s="48"/>
      <c r="N4" s="48"/>
      <c r="O4" s="47" t="s">
        <v>388</v>
      </c>
      <c r="P4" s="47" t="s">
        <v>388</v>
      </c>
      <c r="Q4" s="49" t="b">
        <v>0</v>
      </c>
    </row>
    <row r="5">
      <c r="A5" s="12" t="s">
        <v>128</v>
      </c>
      <c r="B5" s="12" t="s">
        <v>129</v>
      </c>
      <c r="C5" s="7" t="s">
        <v>390</v>
      </c>
      <c r="D5" s="46" t="b">
        <v>1</v>
      </c>
      <c r="E5" s="46" t="s">
        <v>298</v>
      </c>
      <c r="F5" s="46" t="s">
        <v>298</v>
      </c>
      <c r="G5" s="46" t="b">
        <v>0</v>
      </c>
      <c r="H5" s="46" t="b">
        <v>1</v>
      </c>
      <c r="I5" s="47">
        <v>0.3333333333333333</v>
      </c>
      <c r="J5" s="48"/>
      <c r="K5" s="48"/>
      <c r="L5" s="48"/>
      <c r="M5" s="48"/>
      <c r="N5" s="48"/>
      <c r="O5" s="47" t="s">
        <v>388</v>
      </c>
      <c r="P5" s="47" t="s">
        <v>388</v>
      </c>
      <c r="Q5" s="49" t="s">
        <v>389</v>
      </c>
    </row>
    <row r="6">
      <c r="A6" s="12" t="s">
        <v>284</v>
      </c>
      <c r="B6" s="12" t="s">
        <v>285</v>
      </c>
      <c r="C6" s="7"/>
      <c r="D6" s="46" t="b">
        <v>0</v>
      </c>
      <c r="E6" s="46" t="s">
        <v>298</v>
      </c>
      <c r="F6" s="46" t="s">
        <v>298</v>
      </c>
      <c r="G6" s="46" t="b">
        <v>0</v>
      </c>
      <c r="H6" s="46" t="b">
        <v>0</v>
      </c>
      <c r="I6" s="47">
        <v>1.0</v>
      </c>
      <c r="J6" s="48"/>
      <c r="K6" s="48"/>
      <c r="L6" s="48"/>
      <c r="M6" s="48"/>
      <c r="N6" s="48"/>
      <c r="O6" s="47" t="s">
        <v>388</v>
      </c>
      <c r="P6" s="47" t="s">
        <v>388</v>
      </c>
      <c r="Q6" s="49" t="b">
        <v>0</v>
      </c>
    </row>
    <row r="7">
      <c r="A7" s="12" t="s">
        <v>156</v>
      </c>
      <c r="B7" s="12" t="s">
        <v>157</v>
      </c>
      <c r="C7" s="7"/>
      <c r="D7" s="46" t="b">
        <v>0</v>
      </c>
      <c r="E7" s="46" t="s">
        <v>298</v>
      </c>
      <c r="F7" s="46" t="s">
        <v>298</v>
      </c>
      <c r="G7" s="46" t="b">
        <v>0</v>
      </c>
      <c r="H7" s="46" t="b">
        <v>0</v>
      </c>
      <c r="I7" s="47">
        <v>1.0</v>
      </c>
      <c r="J7" s="48"/>
      <c r="K7" s="48"/>
      <c r="L7" s="48"/>
      <c r="M7" s="48"/>
      <c r="N7" s="48"/>
      <c r="O7" s="47" t="s">
        <v>388</v>
      </c>
      <c r="P7" s="47" t="s">
        <v>388</v>
      </c>
      <c r="Q7" s="49" t="b">
        <v>0</v>
      </c>
    </row>
    <row r="8">
      <c r="A8" s="12" t="s">
        <v>296</v>
      </c>
      <c r="B8" s="12" t="s">
        <v>297</v>
      </c>
      <c r="C8" s="7"/>
      <c r="D8" s="46" t="b">
        <v>0</v>
      </c>
      <c r="E8" s="46" t="s">
        <v>298</v>
      </c>
      <c r="F8" s="46" t="s">
        <v>298</v>
      </c>
      <c r="G8" s="46" t="b">
        <v>0</v>
      </c>
      <c r="H8" s="46" t="b">
        <v>0</v>
      </c>
      <c r="I8" s="47">
        <v>1.0</v>
      </c>
      <c r="J8" s="48"/>
      <c r="K8" s="48"/>
      <c r="L8" s="48"/>
      <c r="M8" s="48"/>
      <c r="N8" s="48"/>
      <c r="O8" s="47" t="s">
        <v>388</v>
      </c>
      <c r="P8" s="47" t="s">
        <v>388</v>
      </c>
      <c r="Q8" s="49" t="b">
        <v>0</v>
      </c>
    </row>
    <row r="9">
      <c r="A9" s="12" t="s">
        <v>220</v>
      </c>
      <c r="B9" s="12" t="s">
        <v>221</v>
      </c>
      <c r="C9" s="7" t="s">
        <v>390</v>
      </c>
      <c r="D9" s="46" t="b">
        <v>1</v>
      </c>
      <c r="E9" s="46" t="s">
        <v>298</v>
      </c>
      <c r="F9" s="46" t="s">
        <v>298</v>
      </c>
      <c r="G9" s="46" t="b">
        <v>1</v>
      </c>
      <c r="H9" s="46" t="b">
        <v>0</v>
      </c>
      <c r="I9" s="47">
        <v>0.3333333333333333</v>
      </c>
      <c r="J9" s="48"/>
      <c r="K9" s="48"/>
      <c r="L9" s="48"/>
      <c r="M9" s="48"/>
      <c r="N9" s="48" t="s">
        <v>306</v>
      </c>
      <c r="O9" s="47" t="s">
        <v>391</v>
      </c>
      <c r="P9" s="47" t="s">
        <v>391</v>
      </c>
      <c r="Q9" s="49" t="s">
        <v>389</v>
      </c>
    </row>
    <row r="10">
      <c r="A10" s="12" t="s">
        <v>152</v>
      </c>
      <c r="B10" s="12" t="s">
        <v>153</v>
      </c>
      <c r="C10" s="7" t="s">
        <v>392</v>
      </c>
      <c r="D10" s="46" t="b">
        <v>0</v>
      </c>
      <c r="E10" s="46" t="s">
        <v>298</v>
      </c>
      <c r="F10" s="46" t="s">
        <v>298</v>
      </c>
      <c r="G10" s="46" t="b">
        <v>1</v>
      </c>
      <c r="H10" s="46" t="b">
        <v>1</v>
      </c>
      <c r="I10" s="47">
        <v>0.3333333333333333</v>
      </c>
      <c r="J10" s="48"/>
      <c r="K10" s="48"/>
      <c r="L10" s="48"/>
      <c r="M10" s="48"/>
      <c r="N10" s="48"/>
      <c r="O10" s="47" t="s">
        <v>388</v>
      </c>
      <c r="P10" s="47" t="s">
        <v>388</v>
      </c>
      <c r="Q10" s="49" t="s">
        <v>389</v>
      </c>
    </row>
    <row r="11">
      <c r="A11" s="12" t="s">
        <v>104</v>
      </c>
      <c r="B11" s="12" t="s">
        <v>105</v>
      </c>
      <c r="C11" s="50"/>
      <c r="D11" s="46" t="b">
        <v>0</v>
      </c>
      <c r="E11" s="46" t="s">
        <v>298</v>
      </c>
      <c r="F11" s="46" t="s">
        <v>298</v>
      </c>
      <c r="G11" s="46" t="b">
        <v>0</v>
      </c>
      <c r="H11" s="46" t="b">
        <v>0</v>
      </c>
      <c r="I11" s="47">
        <v>1.0</v>
      </c>
      <c r="J11" s="48"/>
      <c r="K11" s="48"/>
      <c r="L11" s="48"/>
      <c r="M11" s="48"/>
      <c r="N11" s="48" t="s">
        <v>305</v>
      </c>
      <c r="O11" s="47" t="s">
        <v>393</v>
      </c>
      <c r="P11" s="47" t="s">
        <v>393</v>
      </c>
      <c r="Q11" s="49" t="b">
        <v>0</v>
      </c>
    </row>
    <row r="12">
      <c r="A12" s="12" t="s">
        <v>113</v>
      </c>
      <c r="B12" s="12" t="s">
        <v>114</v>
      </c>
      <c r="C12" s="51"/>
      <c r="D12" s="46" t="b">
        <v>0</v>
      </c>
      <c r="E12" s="46" t="s">
        <v>298</v>
      </c>
      <c r="F12" s="46" t="s">
        <v>298</v>
      </c>
      <c r="G12" s="46" t="b">
        <v>0</v>
      </c>
      <c r="H12" s="46" t="b">
        <v>0</v>
      </c>
      <c r="I12" s="47">
        <v>1.0</v>
      </c>
      <c r="J12" s="48"/>
      <c r="K12" s="48"/>
      <c r="L12" s="48"/>
      <c r="M12" s="48"/>
      <c r="N12" s="48"/>
      <c r="O12" s="47" t="s">
        <v>388</v>
      </c>
      <c r="P12" s="47" t="s">
        <v>388</v>
      </c>
      <c r="Q12" s="49" t="b">
        <v>0</v>
      </c>
    </row>
    <row r="13">
      <c r="A13" s="12" t="s">
        <v>91</v>
      </c>
      <c r="B13" s="12" t="s">
        <v>92</v>
      </c>
      <c r="C13" s="51" t="s">
        <v>390</v>
      </c>
      <c r="D13" s="46" t="b">
        <v>0</v>
      </c>
      <c r="E13" s="46" t="s">
        <v>298</v>
      </c>
      <c r="F13" s="46" t="s">
        <v>298</v>
      </c>
      <c r="G13" s="46" t="b">
        <v>1</v>
      </c>
      <c r="H13" s="46" t="b">
        <v>0</v>
      </c>
      <c r="I13" s="47">
        <v>0.3333333333333333</v>
      </c>
      <c r="J13" s="48"/>
      <c r="K13" s="48"/>
      <c r="L13" s="48"/>
      <c r="M13" s="48"/>
      <c r="N13" s="48"/>
      <c r="O13" s="47" t="s">
        <v>388</v>
      </c>
      <c r="P13" s="47" t="s">
        <v>388</v>
      </c>
      <c r="Q13" s="49" t="s">
        <v>389</v>
      </c>
    </row>
    <row r="14">
      <c r="A14" s="12" t="s">
        <v>282</v>
      </c>
      <c r="B14" s="12" t="s">
        <v>283</v>
      </c>
      <c r="C14" s="51" t="s">
        <v>394</v>
      </c>
      <c r="D14" s="46" t="b">
        <v>0</v>
      </c>
      <c r="E14" s="46" t="s">
        <v>298</v>
      </c>
      <c r="F14" s="46" t="s">
        <v>298</v>
      </c>
      <c r="G14" s="46" t="b">
        <v>1</v>
      </c>
      <c r="H14" s="46" t="b">
        <v>0</v>
      </c>
      <c r="I14" s="47">
        <v>0.3333333333333333</v>
      </c>
      <c r="J14" s="48"/>
      <c r="K14" s="48"/>
      <c r="L14" s="48"/>
      <c r="M14" s="48"/>
      <c r="N14" s="48"/>
      <c r="O14" s="47" t="s">
        <v>388</v>
      </c>
      <c r="P14" s="47" t="s">
        <v>388</v>
      </c>
      <c r="Q14" s="49" t="s">
        <v>389</v>
      </c>
    </row>
    <row r="15">
      <c r="A15" s="12" t="s">
        <v>106</v>
      </c>
      <c r="B15" s="12" t="s">
        <v>107</v>
      </c>
      <c r="C15" s="50"/>
      <c r="D15" s="46" t="b">
        <v>1</v>
      </c>
      <c r="E15" s="46" t="s">
        <v>298</v>
      </c>
      <c r="F15" s="46" t="s">
        <v>298</v>
      </c>
      <c r="G15" s="46" t="b">
        <v>1</v>
      </c>
      <c r="H15" s="46" t="b">
        <v>1</v>
      </c>
      <c r="I15" s="47">
        <v>1.0</v>
      </c>
      <c r="J15" s="48" t="s">
        <v>108</v>
      </c>
      <c r="K15" s="48"/>
      <c r="L15" s="48"/>
      <c r="M15" s="48"/>
      <c r="N15" s="48"/>
      <c r="O15" s="47" t="s">
        <v>395</v>
      </c>
      <c r="P15" s="47" t="s">
        <v>395</v>
      </c>
      <c r="Q15" s="49" t="b">
        <v>1</v>
      </c>
    </row>
    <row r="16">
      <c r="A16" s="12" t="s">
        <v>124</v>
      </c>
      <c r="B16" s="12" t="s">
        <v>125</v>
      </c>
      <c r="C16" s="50"/>
      <c r="D16" s="46" t="b">
        <v>0</v>
      </c>
      <c r="E16" s="46" t="s">
        <v>298</v>
      </c>
      <c r="F16" s="46" t="s">
        <v>298</v>
      </c>
      <c r="G16" s="46" t="b">
        <v>0</v>
      </c>
      <c r="H16" s="46" t="b">
        <v>0</v>
      </c>
      <c r="I16" s="47">
        <v>1.0</v>
      </c>
      <c r="J16" s="48"/>
      <c r="K16" s="48"/>
      <c r="L16" s="48"/>
      <c r="M16" s="48"/>
      <c r="N16" s="48"/>
      <c r="O16" s="47" t="s">
        <v>388</v>
      </c>
      <c r="P16" s="47" t="s">
        <v>388</v>
      </c>
      <c r="Q16" s="49" t="b">
        <v>0</v>
      </c>
    </row>
    <row r="17">
      <c r="A17" s="12" t="s">
        <v>202</v>
      </c>
      <c r="B17" s="12" t="s">
        <v>203</v>
      </c>
      <c r="C17" s="7"/>
      <c r="D17" s="46" t="b">
        <v>0</v>
      </c>
      <c r="E17" s="46" t="s">
        <v>298</v>
      </c>
      <c r="F17" s="46" t="s">
        <v>298</v>
      </c>
      <c r="G17" s="46" t="b">
        <v>0</v>
      </c>
      <c r="H17" s="46" t="b">
        <v>0</v>
      </c>
      <c r="I17" s="47">
        <v>1.0</v>
      </c>
      <c r="J17" s="48"/>
      <c r="K17" s="48"/>
      <c r="L17" s="48"/>
      <c r="M17" s="48"/>
      <c r="N17" s="48"/>
      <c r="O17" s="47" t="s">
        <v>388</v>
      </c>
      <c r="P17" s="47" t="s">
        <v>388</v>
      </c>
      <c r="Q17" s="49" t="b">
        <v>0</v>
      </c>
    </row>
    <row r="18">
      <c r="A18" s="12" t="s">
        <v>228</v>
      </c>
      <c r="B18" s="12" t="s">
        <v>229</v>
      </c>
      <c r="C18" s="7"/>
      <c r="D18" s="46" t="b">
        <v>0</v>
      </c>
      <c r="E18" s="46" t="s">
        <v>298</v>
      </c>
      <c r="F18" s="46" t="s">
        <v>298</v>
      </c>
      <c r="G18" s="46" t="b">
        <v>0</v>
      </c>
      <c r="H18" s="46" t="b">
        <v>0</v>
      </c>
      <c r="I18" s="47">
        <v>1.0</v>
      </c>
      <c r="J18" s="48"/>
      <c r="K18" s="48"/>
      <c r="L18" s="48"/>
      <c r="M18" s="48"/>
      <c r="N18" s="48"/>
      <c r="O18" s="47" t="s">
        <v>388</v>
      </c>
      <c r="P18" s="47" t="s">
        <v>388</v>
      </c>
      <c r="Q18" s="49" t="b">
        <v>0</v>
      </c>
    </row>
    <row r="19">
      <c r="A19" s="12" t="s">
        <v>204</v>
      </c>
      <c r="B19" s="12" t="s">
        <v>205</v>
      </c>
      <c r="C19" s="7" t="s">
        <v>394</v>
      </c>
      <c r="D19" s="46" t="b">
        <v>0</v>
      </c>
      <c r="E19" s="46" t="s">
        <v>298</v>
      </c>
      <c r="F19" s="46" t="s">
        <v>298</v>
      </c>
      <c r="G19" s="46" t="b">
        <v>1</v>
      </c>
      <c r="H19" s="46" t="b">
        <v>1</v>
      </c>
      <c r="I19" s="47">
        <v>0.3333333333333333</v>
      </c>
      <c r="J19" s="48"/>
      <c r="K19" s="48"/>
      <c r="L19" s="48"/>
      <c r="M19" s="48"/>
      <c r="N19" s="48" t="s">
        <v>303</v>
      </c>
      <c r="O19" s="47" t="s">
        <v>396</v>
      </c>
      <c r="P19" s="47" t="s">
        <v>396</v>
      </c>
      <c r="Q19" s="49" t="s">
        <v>389</v>
      </c>
    </row>
    <row r="20">
      <c r="A20" s="12" t="s">
        <v>236</v>
      </c>
      <c r="B20" s="12" t="s">
        <v>237</v>
      </c>
      <c r="C20" s="7" t="s">
        <v>394</v>
      </c>
      <c r="D20" s="46" t="b">
        <v>0</v>
      </c>
      <c r="E20" s="46" t="s">
        <v>298</v>
      </c>
      <c r="F20" s="46" t="s">
        <v>298</v>
      </c>
      <c r="G20" s="46" t="b">
        <v>1</v>
      </c>
      <c r="H20" s="46" t="b">
        <v>1</v>
      </c>
      <c r="I20" s="47">
        <v>0.3333333333333333</v>
      </c>
      <c r="J20" s="48"/>
      <c r="K20" s="48"/>
      <c r="L20" s="48"/>
      <c r="M20" s="48"/>
      <c r="N20" s="48"/>
      <c r="O20" s="47" t="s">
        <v>388</v>
      </c>
      <c r="P20" s="47" t="s">
        <v>388</v>
      </c>
      <c r="Q20" s="49" t="s">
        <v>389</v>
      </c>
    </row>
    <row r="21">
      <c r="A21" s="12" t="s">
        <v>269</v>
      </c>
      <c r="B21" s="12" t="s">
        <v>270</v>
      </c>
      <c r="C21" s="7"/>
      <c r="D21" s="46" t="b">
        <v>1</v>
      </c>
      <c r="E21" s="46" t="s">
        <v>298</v>
      </c>
      <c r="F21" s="46" t="s">
        <v>298</v>
      </c>
      <c r="G21" s="46" t="b">
        <v>1</v>
      </c>
      <c r="H21" s="46" t="b">
        <v>1</v>
      </c>
      <c r="I21" s="47">
        <v>1.0</v>
      </c>
      <c r="J21" s="48" t="s">
        <v>271</v>
      </c>
      <c r="K21" s="48"/>
      <c r="L21" s="48"/>
      <c r="M21" s="48"/>
      <c r="N21" s="48"/>
      <c r="O21" s="47" t="s">
        <v>397</v>
      </c>
      <c r="P21" s="47" t="s">
        <v>397</v>
      </c>
      <c r="Q21" s="49" t="b">
        <v>1</v>
      </c>
    </row>
    <row r="22">
      <c r="A22" s="12" t="s">
        <v>214</v>
      </c>
      <c r="B22" s="12" t="s">
        <v>215</v>
      </c>
      <c r="C22" s="51"/>
      <c r="D22" s="46" t="b">
        <v>1</v>
      </c>
      <c r="E22" s="46" t="s">
        <v>298</v>
      </c>
      <c r="F22" s="46" t="s">
        <v>298</v>
      </c>
      <c r="G22" s="46" t="b">
        <v>1</v>
      </c>
      <c r="H22" s="46" t="b">
        <v>1</v>
      </c>
      <c r="I22" s="47">
        <v>1.0</v>
      </c>
      <c r="J22" s="48"/>
      <c r="K22" s="48"/>
      <c r="L22" s="48"/>
      <c r="M22" s="48"/>
      <c r="N22" s="48"/>
      <c r="O22" s="47" t="s">
        <v>388</v>
      </c>
      <c r="P22" s="47" t="s">
        <v>388</v>
      </c>
      <c r="Q22" s="49" t="b">
        <v>1</v>
      </c>
    </row>
    <row r="23">
      <c r="A23" s="12" t="s">
        <v>120</v>
      </c>
      <c r="B23" s="12" t="s">
        <v>121</v>
      </c>
      <c r="C23" s="7" t="s">
        <v>398</v>
      </c>
      <c r="D23" s="46" t="b">
        <v>0</v>
      </c>
      <c r="E23" s="46" t="s">
        <v>298</v>
      </c>
      <c r="F23" s="46" t="s">
        <v>298</v>
      </c>
      <c r="G23" s="46" t="b">
        <v>1</v>
      </c>
      <c r="H23" s="46" t="b">
        <v>0</v>
      </c>
      <c r="I23" s="47">
        <v>0.3333333333333333</v>
      </c>
      <c r="J23" s="48"/>
      <c r="K23" s="48"/>
      <c r="L23" s="48"/>
      <c r="M23" s="48"/>
      <c r="N23" s="48"/>
      <c r="O23" s="47" t="s">
        <v>388</v>
      </c>
      <c r="P23" s="47" t="s">
        <v>388</v>
      </c>
      <c r="Q23" s="49" t="s">
        <v>389</v>
      </c>
    </row>
    <row r="24">
      <c r="A24" s="12" t="s">
        <v>238</v>
      </c>
      <c r="B24" s="52" t="s">
        <v>399</v>
      </c>
      <c r="C24" s="7" t="s">
        <v>387</v>
      </c>
      <c r="D24" s="46" t="b">
        <v>0</v>
      </c>
      <c r="E24" s="46" t="s">
        <v>298</v>
      </c>
      <c r="F24" s="46" t="s">
        <v>298</v>
      </c>
      <c r="G24" s="46" t="b">
        <v>1</v>
      </c>
      <c r="H24" s="46" t="b">
        <v>0</v>
      </c>
      <c r="I24" s="47">
        <v>0.3333333333333333</v>
      </c>
      <c r="J24" s="48"/>
      <c r="K24" s="48"/>
      <c r="L24" s="48"/>
      <c r="M24" s="48"/>
      <c r="N24" s="48" t="s">
        <v>300</v>
      </c>
      <c r="O24" s="47" t="s">
        <v>400</v>
      </c>
      <c r="P24" s="47" t="s">
        <v>400</v>
      </c>
      <c r="Q24" s="49" t="s">
        <v>389</v>
      </c>
    </row>
    <row r="25">
      <c r="A25" s="12" t="s">
        <v>132</v>
      </c>
      <c r="B25" s="12" t="s">
        <v>133</v>
      </c>
      <c r="C25" s="50"/>
      <c r="D25" s="46" t="b">
        <v>1</v>
      </c>
      <c r="E25" s="46" t="s">
        <v>298</v>
      </c>
      <c r="F25" s="46" t="s">
        <v>298</v>
      </c>
      <c r="G25" s="46" t="b">
        <v>1</v>
      </c>
      <c r="H25" s="46" t="b">
        <v>1</v>
      </c>
      <c r="I25" s="47">
        <v>1.0</v>
      </c>
      <c r="J25" s="48" t="s">
        <v>134</v>
      </c>
      <c r="K25" s="48"/>
      <c r="L25" s="48"/>
      <c r="M25" s="48"/>
      <c r="N25" s="48"/>
      <c r="O25" s="47" t="s">
        <v>401</v>
      </c>
      <c r="P25" s="47" t="s">
        <v>401</v>
      </c>
      <c r="Q25" s="49" t="b">
        <v>1</v>
      </c>
    </row>
    <row r="26">
      <c r="A26" s="12" t="s">
        <v>244</v>
      </c>
      <c r="B26" s="12" t="s">
        <v>245</v>
      </c>
      <c r="C26" s="7"/>
      <c r="D26" s="46" t="b">
        <v>1</v>
      </c>
      <c r="E26" s="46" t="s">
        <v>298</v>
      </c>
      <c r="F26" s="46" t="s">
        <v>298</v>
      </c>
      <c r="G26" s="46" t="b">
        <v>1</v>
      </c>
      <c r="H26" s="46" t="b">
        <v>1</v>
      </c>
      <c r="I26" s="47">
        <v>1.0</v>
      </c>
      <c r="J26" s="48"/>
      <c r="K26" s="48"/>
      <c r="L26" s="48"/>
      <c r="M26" s="48"/>
      <c r="N26" s="48"/>
      <c r="O26" s="47" t="s">
        <v>388</v>
      </c>
      <c r="P26" s="47" t="s">
        <v>388</v>
      </c>
      <c r="Q26" s="49" t="b">
        <v>1</v>
      </c>
    </row>
    <row r="27">
      <c r="A27" s="12" t="s">
        <v>85</v>
      </c>
      <c r="B27" s="52" t="s">
        <v>402</v>
      </c>
      <c r="C27" s="7" t="s">
        <v>392</v>
      </c>
      <c r="D27" s="46" t="b">
        <v>0</v>
      </c>
      <c r="E27" s="46" t="s">
        <v>298</v>
      </c>
      <c r="F27" s="46" t="s">
        <v>298</v>
      </c>
      <c r="G27" s="46" t="b">
        <v>0</v>
      </c>
      <c r="H27" s="46" t="b">
        <v>1</v>
      </c>
      <c r="I27" s="47">
        <v>0.3333333333333333</v>
      </c>
      <c r="J27" s="48" t="s">
        <v>87</v>
      </c>
      <c r="K27" s="48"/>
      <c r="L27" s="48"/>
      <c r="M27" s="48"/>
      <c r="N27" s="48"/>
      <c r="O27" s="47" t="s">
        <v>403</v>
      </c>
      <c r="P27" s="47" t="s">
        <v>403</v>
      </c>
      <c r="Q27" s="49" t="s">
        <v>389</v>
      </c>
    </row>
    <row r="28">
      <c r="A28" s="12" t="s">
        <v>172</v>
      </c>
      <c r="B28" s="12" t="s">
        <v>173</v>
      </c>
      <c r="C28" s="51" t="s">
        <v>404</v>
      </c>
      <c r="D28" s="46" t="b">
        <v>0</v>
      </c>
      <c r="E28" s="46" t="s">
        <v>298</v>
      </c>
      <c r="F28" s="46" t="s">
        <v>298</v>
      </c>
      <c r="G28" s="46" t="b">
        <v>0</v>
      </c>
      <c r="H28" s="46" t="b">
        <v>1</v>
      </c>
      <c r="I28" s="47">
        <v>0.3333333333333333</v>
      </c>
      <c r="J28" s="48"/>
      <c r="K28" s="48"/>
      <c r="L28" s="48"/>
      <c r="M28" s="48"/>
      <c r="N28" s="48"/>
      <c r="O28" s="47" t="s">
        <v>388</v>
      </c>
      <c r="P28" s="47" t="s">
        <v>388</v>
      </c>
      <c r="Q28" s="49" t="s">
        <v>389</v>
      </c>
    </row>
    <row r="29">
      <c r="A29" s="12" t="s">
        <v>198</v>
      </c>
      <c r="B29" s="12" t="s">
        <v>199</v>
      </c>
      <c r="C29" s="51" t="s">
        <v>392</v>
      </c>
      <c r="D29" s="46" t="b">
        <v>0</v>
      </c>
      <c r="E29" s="46" t="s">
        <v>298</v>
      </c>
      <c r="F29" s="46" t="s">
        <v>298</v>
      </c>
      <c r="G29" s="46" t="b">
        <v>1</v>
      </c>
      <c r="H29" s="46" t="b">
        <v>0</v>
      </c>
      <c r="I29" s="47">
        <v>0.3333333333333333</v>
      </c>
      <c r="J29" s="48"/>
      <c r="K29" s="48"/>
      <c r="L29" s="48"/>
      <c r="M29" s="48"/>
      <c r="N29" s="48"/>
      <c r="O29" s="47" t="s">
        <v>388</v>
      </c>
      <c r="P29" s="47" t="s">
        <v>388</v>
      </c>
      <c r="Q29" s="49" t="s">
        <v>389</v>
      </c>
    </row>
    <row r="30">
      <c r="A30" s="12" t="s">
        <v>160</v>
      </c>
      <c r="B30" s="12" t="s">
        <v>161</v>
      </c>
      <c r="C30" s="7"/>
      <c r="D30" s="46" t="b">
        <v>0</v>
      </c>
      <c r="E30" s="46" t="s">
        <v>298</v>
      </c>
      <c r="F30" s="46" t="s">
        <v>298</v>
      </c>
      <c r="G30" s="46" t="b">
        <v>0</v>
      </c>
      <c r="H30" s="46" t="b">
        <v>0</v>
      </c>
      <c r="I30" s="47">
        <v>1.0</v>
      </c>
      <c r="J30" s="48"/>
      <c r="K30" s="48"/>
      <c r="L30" s="48"/>
      <c r="M30" s="48"/>
      <c r="N30" s="48"/>
      <c r="O30" s="47" t="s">
        <v>388</v>
      </c>
      <c r="P30" s="47" t="s">
        <v>388</v>
      </c>
      <c r="Q30" s="49" t="b">
        <v>0</v>
      </c>
    </row>
    <row r="31">
      <c r="A31" s="12" t="s">
        <v>137</v>
      </c>
      <c r="B31" s="12" t="s">
        <v>138</v>
      </c>
      <c r="C31" s="7" t="s">
        <v>394</v>
      </c>
      <c r="D31" s="46" t="b">
        <v>0</v>
      </c>
      <c r="E31" s="46" t="s">
        <v>298</v>
      </c>
      <c r="F31" s="46" t="s">
        <v>298</v>
      </c>
      <c r="G31" s="46" t="b">
        <v>1</v>
      </c>
      <c r="H31" s="46" t="b">
        <v>0</v>
      </c>
      <c r="I31" s="47">
        <v>0.3333333333333333</v>
      </c>
      <c r="J31" s="48"/>
      <c r="K31" s="48"/>
      <c r="L31" s="48"/>
      <c r="M31" s="48"/>
      <c r="N31" s="48"/>
      <c r="O31" s="47" t="s">
        <v>388</v>
      </c>
      <c r="P31" s="47" t="s">
        <v>388</v>
      </c>
      <c r="Q31" s="49" t="s">
        <v>389</v>
      </c>
    </row>
    <row r="32">
      <c r="A32" s="12" t="s">
        <v>250</v>
      </c>
      <c r="B32" s="12" t="s">
        <v>251</v>
      </c>
      <c r="C32" s="50"/>
      <c r="D32" s="46" t="b">
        <v>1</v>
      </c>
      <c r="E32" s="46" t="s">
        <v>298</v>
      </c>
      <c r="F32" s="46" t="s">
        <v>298</v>
      </c>
      <c r="G32" s="46" t="b">
        <v>1</v>
      </c>
      <c r="H32" s="46" t="b">
        <v>1</v>
      </c>
      <c r="I32" s="47">
        <v>1.0</v>
      </c>
      <c r="J32" s="48"/>
      <c r="K32" s="48"/>
      <c r="L32" s="48"/>
      <c r="M32" s="48"/>
      <c r="N32" s="48"/>
      <c r="O32" s="47" t="s">
        <v>388</v>
      </c>
      <c r="P32" s="47" t="s">
        <v>388</v>
      </c>
      <c r="Q32" s="49" t="b">
        <v>1</v>
      </c>
    </row>
    <row r="33">
      <c r="A33" s="12" t="s">
        <v>252</v>
      </c>
      <c r="B33" s="12" t="s">
        <v>253</v>
      </c>
      <c r="C33" s="50"/>
      <c r="D33" s="46" t="b">
        <v>1</v>
      </c>
      <c r="E33" s="46" t="s">
        <v>298</v>
      </c>
      <c r="F33" s="46" t="s">
        <v>298</v>
      </c>
      <c r="G33" s="46" t="b">
        <v>1</v>
      </c>
      <c r="H33" s="46" t="b">
        <v>1</v>
      </c>
      <c r="I33" s="47">
        <v>1.0</v>
      </c>
      <c r="J33" s="48"/>
      <c r="K33" s="48"/>
      <c r="L33" s="48"/>
      <c r="M33" s="48"/>
      <c r="N33" s="48"/>
      <c r="O33" s="47" t="s">
        <v>388</v>
      </c>
      <c r="P33" s="47" t="s">
        <v>388</v>
      </c>
      <c r="Q33" s="49" t="b">
        <v>1</v>
      </c>
    </row>
    <row r="34">
      <c r="A34" s="12" t="s">
        <v>186</v>
      </c>
      <c r="B34" s="12" t="s">
        <v>187</v>
      </c>
      <c r="C34" s="7" t="s">
        <v>392</v>
      </c>
      <c r="D34" s="46" t="b">
        <v>0</v>
      </c>
      <c r="E34" s="46" t="s">
        <v>298</v>
      </c>
      <c r="F34" s="46" t="s">
        <v>298</v>
      </c>
      <c r="G34" s="46" t="b">
        <v>1</v>
      </c>
      <c r="H34" s="46" t="b">
        <v>0</v>
      </c>
      <c r="I34" s="47">
        <v>0.3333333333333333</v>
      </c>
      <c r="J34" s="48"/>
      <c r="K34" s="48"/>
      <c r="L34" s="48"/>
      <c r="M34" s="48"/>
      <c r="N34" s="48"/>
      <c r="O34" s="47" t="s">
        <v>388</v>
      </c>
      <c r="P34" s="47" t="s">
        <v>388</v>
      </c>
      <c r="Q34" s="49" t="s">
        <v>389</v>
      </c>
    </row>
    <row r="35">
      <c r="A35" s="12" t="s">
        <v>218</v>
      </c>
      <c r="B35" s="12" t="s">
        <v>219</v>
      </c>
      <c r="C35" s="51"/>
      <c r="D35" s="46" t="b">
        <v>1</v>
      </c>
      <c r="E35" s="46" t="s">
        <v>298</v>
      </c>
      <c r="F35" s="46" t="s">
        <v>298</v>
      </c>
      <c r="G35" s="46" t="b">
        <v>1</v>
      </c>
      <c r="H35" s="46" t="b">
        <v>1</v>
      </c>
      <c r="I35" s="47">
        <v>1.0</v>
      </c>
      <c r="J35" s="48"/>
      <c r="K35" s="48"/>
      <c r="L35" s="48"/>
      <c r="M35" s="48"/>
      <c r="N35" s="48"/>
      <c r="O35" s="47" t="s">
        <v>388</v>
      </c>
      <c r="P35" s="47" t="s">
        <v>388</v>
      </c>
      <c r="Q35" s="49" t="b">
        <v>1</v>
      </c>
    </row>
    <row r="36">
      <c r="A36" s="12" t="s">
        <v>263</v>
      </c>
      <c r="B36" s="12" t="s">
        <v>264</v>
      </c>
      <c r="C36" s="46"/>
      <c r="D36" s="46" t="b">
        <v>0</v>
      </c>
      <c r="E36" s="46" t="s">
        <v>298</v>
      </c>
      <c r="F36" s="46" t="s">
        <v>298</v>
      </c>
      <c r="G36" s="46" t="b">
        <v>0</v>
      </c>
      <c r="H36" s="46" t="b">
        <v>0</v>
      </c>
      <c r="I36" s="47">
        <v>1.0</v>
      </c>
      <c r="J36" s="48"/>
      <c r="K36" s="48"/>
      <c r="L36" s="48"/>
      <c r="M36" s="48"/>
      <c r="N36" s="48"/>
      <c r="O36" s="47" t="s">
        <v>388</v>
      </c>
      <c r="P36" s="47" t="s">
        <v>388</v>
      </c>
      <c r="Q36" s="49" t="b">
        <v>0</v>
      </c>
    </row>
    <row r="37">
      <c r="A37" s="12" t="s">
        <v>150</v>
      </c>
      <c r="B37" s="12" t="s">
        <v>151</v>
      </c>
      <c r="C37" s="7" t="s">
        <v>392</v>
      </c>
      <c r="D37" s="46" t="b">
        <v>0</v>
      </c>
      <c r="E37" s="46" t="s">
        <v>298</v>
      </c>
      <c r="F37" s="46" t="s">
        <v>298</v>
      </c>
      <c r="G37" s="46" t="b">
        <v>1</v>
      </c>
      <c r="H37" s="46" t="b">
        <v>0</v>
      </c>
      <c r="I37" s="47">
        <v>0.3333333333333333</v>
      </c>
      <c r="J37" s="48"/>
      <c r="K37" s="48"/>
      <c r="L37" s="48"/>
      <c r="M37" s="48"/>
      <c r="N37" s="48"/>
      <c r="O37" s="47" t="s">
        <v>388</v>
      </c>
      <c r="P37" s="47" t="s">
        <v>388</v>
      </c>
      <c r="Q37" s="49" t="s">
        <v>389</v>
      </c>
    </row>
    <row r="38">
      <c r="A38" s="12" t="s">
        <v>174</v>
      </c>
      <c r="B38" s="12" t="s">
        <v>175</v>
      </c>
      <c r="C38" s="7" t="s">
        <v>398</v>
      </c>
      <c r="D38" s="46" t="b">
        <v>0</v>
      </c>
      <c r="E38" s="46" t="s">
        <v>298</v>
      </c>
      <c r="F38" s="46" t="s">
        <v>298</v>
      </c>
      <c r="G38" s="46" t="b">
        <v>1</v>
      </c>
      <c r="H38" s="46" t="b">
        <v>0</v>
      </c>
      <c r="I38" s="47">
        <v>0.3333333333333333</v>
      </c>
      <c r="J38" s="48"/>
      <c r="K38" s="48"/>
      <c r="L38" s="48"/>
      <c r="M38" s="48"/>
      <c r="N38" s="48"/>
      <c r="O38" s="47" t="s">
        <v>388</v>
      </c>
      <c r="P38" s="47" t="s">
        <v>388</v>
      </c>
      <c r="Q38" s="49" t="s">
        <v>389</v>
      </c>
    </row>
    <row r="39">
      <c r="A39" s="12" t="s">
        <v>117</v>
      </c>
      <c r="B39" s="12" t="s">
        <v>118</v>
      </c>
      <c r="C39" s="51" t="s">
        <v>405</v>
      </c>
      <c r="D39" s="46" t="b">
        <v>1</v>
      </c>
      <c r="E39" s="46" t="s">
        <v>298</v>
      </c>
      <c r="F39" s="46" t="s">
        <v>298</v>
      </c>
      <c r="G39" s="46" t="b">
        <v>1</v>
      </c>
      <c r="H39" s="46" t="b">
        <v>0</v>
      </c>
      <c r="I39" s="47">
        <v>0.3333333333333333</v>
      </c>
      <c r="J39" s="48" t="s">
        <v>119</v>
      </c>
      <c r="K39" s="48"/>
      <c r="L39" s="48"/>
      <c r="M39" s="48"/>
      <c r="N39" s="48"/>
      <c r="O39" s="47" t="s">
        <v>406</v>
      </c>
      <c r="P39" s="47" t="s">
        <v>406</v>
      </c>
      <c r="Q39" s="49" t="b">
        <v>1</v>
      </c>
      <c r="R39" s="5" t="s">
        <v>407</v>
      </c>
    </row>
    <row r="40">
      <c r="A40" s="12" t="s">
        <v>164</v>
      </c>
      <c r="B40" s="12" t="s">
        <v>165</v>
      </c>
      <c r="C40" s="46"/>
      <c r="D40" s="46" t="b">
        <v>0</v>
      </c>
      <c r="E40" s="46" t="s">
        <v>298</v>
      </c>
      <c r="F40" s="46" t="s">
        <v>298</v>
      </c>
      <c r="G40" s="46" t="b">
        <v>0</v>
      </c>
      <c r="H40" s="46" t="b">
        <v>0</v>
      </c>
      <c r="I40" s="47">
        <v>1.0</v>
      </c>
      <c r="J40" s="48"/>
      <c r="K40" s="48"/>
      <c r="L40" s="48"/>
      <c r="M40" s="48"/>
      <c r="N40" s="48"/>
      <c r="O40" s="47" t="s">
        <v>388</v>
      </c>
      <c r="P40" s="47" t="s">
        <v>388</v>
      </c>
      <c r="Q40" s="49" t="b">
        <v>0</v>
      </c>
    </row>
    <row r="41">
      <c r="A41" s="12" t="s">
        <v>200</v>
      </c>
      <c r="B41" s="12" t="s">
        <v>201</v>
      </c>
      <c r="C41" s="51" t="s">
        <v>390</v>
      </c>
      <c r="D41" s="46" t="b">
        <v>1</v>
      </c>
      <c r="E41" s="46" t="s">
        <v>298</v>
      </c>
      <c r="F41" s="46" t="s">
        <v>298</v>
      </c>
      <c r="G41" s="46" t="b">
        <v>1</v>
      </c>
      <c r="H41" s="46" t="b">
        <v>0</v>
      </c>
      <c r="I41" s="47">
        <v>0.3333333333333333</v>
      </c>
      <c r="J41" s="48"/>
      <c r="K41" s="48"/>
      <c r="L41" s="48"/>
      <c r="M41" s="48"/>
      <c r="N41" s="48"/>
      <c r="O41" s="47" t="s">
        <v>388</v>
      </c>
      <c r="P41" s="47" t="s">
        <v>388</v>
      </c>
      <c r="Q41" s="49" t="s">
        <v>389</v>
      </c>
    </row>
    <row r="42">
      <c r="A42" s="12" t="s">
        <v>99</v>
      </c>
      <c r="B42" s="12" t="s">
        <v>100</v>
      </c>
      <c r="C42" s="50"/>
      <c r="D42" s="46" t="b">
        <v>0</v>
      </c>
      <c r="E42" s="46" t="s">
        <v>298</v>
      </c>
      <c r="F42" s="46" t="s">
        <v>298</v>
      </c>
      <c r="G42" s="46" t="b">
        <v>0</v>
      </c>
      <c r="H42" s="46" t="b">
        <v>0</v>
      </c>
      <c r="I42" s="47">
        <v>1.0</v>
      </c>
      <c r="J42" s="48" t="s">
        <v>101</v>
      </c>
      <c r="K42" s="48"/>
      <c r="L42" s="48"/>
      <c r="M42" s="48"/>
      <c r="N42" s="48"/>
      <c r="O42" s="47" t="s">
        <v>408</v>
      </c>
      <c r="P42" s="47" t="s">
        <v>408</v>
      </c>
      <c r="Q42" s="49" t="b">
        <v>0</v>
      </c>
    </row>
    <row r="43">
      <c r="A43" s="12" t="s">
        <v>212</v>
      </c>
      <c r="B43" s="12" t="s">
        <v>213</v>
      </c>
      <c r="C43" s="50"/>
      <c r="D43" s="46" t="b">
        <v>0</v>
      </c>
      <c r="E43" s="46" t="s">
        <v>298</v>
      </c>
      <c r="F43" s="46" t="s">
        <v>298</v>
      </c>
      <c r="G43" s="46" t="b">
        <v>0</v>
      </c>
      <c r="H43" s="46" t="b">
        <v>0</v>
      </c>
      <c r="I43" s="47">
        <v>1.0</v>
      </c>
      <c r="J43" s="48"/>
      <c r="K43" s="48"/>
      <c r="L43" s="48"/>
      <c r="M43" s="48"/>
      <c r="N43" s="48"/>
      <c r="O43" s="47" t="s">
        <v>388</v>
      </c>
      <c r="P43" s="47" t="s">
        <v>388</v>
      </c>
      <c r="Q43" s="49" t="b">
        <v>0</v>
      </c>
    </row>
    <row r="44">
      <c r="A44" s="12" t="s">
        <v>280</v>
      </c>
      <c r="B44" s="12" t="s">
        <v>281</v>
      </c>
      <c r="C44" s="7" t="s">
        <v>398</v>
      </c>
      <c r="D44" s="46" t="b">
        <v>0</v>
      </c>
      <c r="E44" s="46" t="s">
        <v>298</v>
      </c>
      <c r="F44" s="46" t="s">
        <v>298</v>
      </c>
      <c r="G44" s="46" t="b">
        <v>1</v>
      </c>
      <c r="H44" s="46" t="b">
        <v>0</v>
      </c>
      <c r="I44" s="47">
        <v>0.3333333333333333</v>
      </c>
      <c r="J44" s="48"/>
      <c r="K44" s="48"/>
      <c r="L44" s="48"/>
      <c r="M44" s="48"/>
      <c r="N44" s="48"/>
      <c r="O44" s="47" t="s">
        <v>388</v>
      </c>
      <c r="P44" s="47" t="s">
        <v>388</v>
      </c>
      <c r="Q44" s="49" t="s">
        <v>389</v>
      </c>
    </row>
    <row r="45">
      <c r="A45" s="12" t="s">
        <v>130</v>
      </c>
      <c r="B45" s="12" t="s">
        <v>131</v>
      </c>
      <c r="C45" s="51"/>
      <c r="D45" s="46" t="b">
        <v>0</v>
      </c>
      <c r="E45" s="46" t="s">
        <v>298</v>
      </c>
      <c r="F45" s="46" t="s">
        <v>298</v>
      </c>
      <c r="G45" s="46" t="b">
        <v>0</v>
      </c>
      <c r="H45" s="46" t="b">
        <v>0</v>
      </c>
      <c r="I45" s="47">
        <v>1.0</v>
      </c>
      <c r="J45" s="48"/>
      <c r="K45" s="48"/>
      <c r="L45" s="48"/>
      <c r="M45" s="48"/>
      <c r="N45" s="48"/>
      <c r="O45" s="47" t="s">
        <v>388</v>
      </c>
      <c r="P45" s="47" t="s">
        <v>388</v>
      </c>
      <c r="Q45" s="49" t="b">
        <v>0</v>
      </c>
    </row>
    <row r="46">
      <c r="A46" s="12" t="s">
        <v>209</v>
      </c>
      <c r="B46" s="12" t="s">
        <v>210</v>
      </c>
      <c r="C46" s="50"/>
      <c r="D46" s="46" t="b">
        <v>1</v>
      </c>
      <c r="E46" s="46" t="s">
        <v>298</v>
      </c>
      <c r="F46" s="46" t="s">
        <v>298</v>
      </c>
      <c r="G46" s="46" t="b">
        <v>1</v>
      </c>
      <c r="H46" s="46" t="b">
        <v>1</v>
      </c>
      <c r="I46" s="47">
        <v>1.0</v>
      </c>
      <c r="J46" s="48" t="s">
        <v>211</v>
      </c>
      <c r="K46" s="48"/>
      <c r="L46" s="48"/>
      <c r="M46" s="48"/>
      <c r="N46" s="48"/>
      <c r="O46" s="47" t="s">
        <v>409</v>
      </c>
      <c r="P46" s="47" t="s">
        <v>409</v>
      </c>
      <c r="Q46" s="49" t="b">
        <v>1</v>
      </c>
    </row>
    <row r="47">
      <c r="A47" s="12" t="s">
        <v>181</v>
      </c>
      <c r="B47" s="12" t="s">
        <v>182</v>
      </c>
      <c r="C47" s="7"/>
      <c r="D47" s="46" t="b">
        <v>0</v>
      </c>
      <c r="E47" s="46" t="s">
        <v>298</v>
      </c>
      <c r="F47" s="46" t="s">
        <v>298</v>
      </c>
      <c r="G47" s="46" t="b">
        <v>0</v>
      </c>
      <c r="H47" s="46" t="b">
        <v>0</v>
      </c>
      <c r="I47" s="47">
        <v>1.0</v>
      </c>
      <c r="J47" s="48" t="s">
        <v>183</v>
      </c>
      <c r="K47" s="48"/>
      <c r="L47" s="48"/>
      <c r="M47" s="48"/>
      <c r="N47" s="48"/>
      <c r="O47" s="47" t="s">
        <v>410</v>
      </c>
      <c r="P47" s="47" t="s">
        <v>410</v>
      </c>
      <c r="Q47" s="49" t="b">
        <v>0</v>
      </c>
    </row>
    <row r="48">
      <c r="A48" s="12" t="s">
        <v>184</v>
      </c>
      <c r="B48" s="12" t="s">
        <v>185</v>
      </c>
      <c r="C48" s="7"/>
      <c r="D48" s="46" t="b">
        <v>0</v>
      </c>
      <c r="E48" s="46" t="s">
        <v>298</v>
      </c>
      <c r="F48" s="46" t="s">
        <v>298</v>
      </c>
      <c r="G48" s="46" t="b">
        <v>0</v>
      </c>
      <c r="H48" s="46" t="b">
        <v>0</v>
      </c>
      <c r="I48" s="47">
        <v>1.0</v>
      </c>
      <c r="J48" s="48"/>
      <c r="K48" s="48"/>
      <c r="L48" s="48"/>
      <c r="M48" s="48"/>
      <c r="N48" s="48"/>
      <c r="O48" s="47" t="s">
        <v>388</v>
      </c>
      <c r="P48" s="47" t="s">
        <v>388</v>
      </c>
      <c r="Q48" s="49" t="b">
        <v>0</v>
      </c>
    </row>
    <row r="49">
      <c r="A49" s="12" t="s">
        <v>95</v>
      </c>
      <c r="B49" s="12" t="s">
        <v>96</v>
      </c>
      <c r="C49" s="7" t="s">
        <v>392</v>
      </c>
      <c r="D49" s="46" t="b">
        <v>0</v>
      </c>
      <c r="E49" s="46" t="s">
        <v>298</v>
      </c>
      <c r="F49" s="46" t="s">
        <v>298</v>
      </c>
      <c r="G49" s="46" t="b">
        <v>1</v>
      </c>
      <c r="H49" s="46" t="b">
        <v>1</v>
      </c>
      <c r="I49" s="47">
        <v>0.3333333333333333</v>
      </c>
      <c r="J49" s="48"/>
      <c r="K49" s="48"/>
      <c r="L49" s="48"/>
      <c r="M49" s="48"/>
      <c r="N49" s="48"/>
      <c r="O49" s="47" t="s">
        <v>388</v>
      </c>
      <c r="P49" s="47" t="s">
        <v>388</v>
      </c>
      <c r="Q49" s="49" t="s">
        <v>389</v>
      </c>
    </row>
    <row r="50">
      <c r="A50" s="12" t="s">
        <v>256</v>
      </c>
      <c r="B50" s="12" t="s">
        <v>257</v>
      </c>
      <c r="C50" s="50"/>
      <c r="D50" s="46" t="b">
        <v>0</v>
      </c>
      <c r="E50" s="46" t="s">
        <v>298</v>
      </c>
      <c r="F50" s="46" t="s">
        <v>298</v>
      </c>
      <c r="G50" s="46" t="b">
        <v>1</v>
      </c>
      <c r="H50" s="46" t="b">
        <v>0</v>
      </c>
      <c r="I50" s="47">
        <v>0.3333333333333333</v>
      </c>
      <c r="J50" s="48"/>
      <c r="K50" s="48"/>
      <c r="L50" s="48"/>
      <c r="M50" s="48"/>
      <c r="N50" s="48"/>
      <c r="O50" s="47" t="s">
        <v>388</v>
      </c>
      <c r="P50" s="47" t="s">
        <v>388</v>
      </c>
      <c r="Q50" s="49" t="s">
        <v>389</v>
      </c>
    </row>
    <row r="51">
      <c r="A51" s="12" t="s">
        <v>274</v>
      </c>
      <c r="B51" s="12" t="s">
        <v>275</v>
      </c>
      <c r="C51" s="51" t="s">
        <v>390</v>
      </c>
      <c r="D51" s="46" t="b">
        <v>0</v>
      </c>
      <c r="E51" s="46" t="s">
        <v>298</v>
      </c>
      <c r="F51" s="46" t="s">
        <v>298</v>
      </c>
      <c r="G51" s="46" t="b">
        <v>1</v>
      </c>
      <c r="H51" s="46" t="b">
        <v>1</v>
      </c>
      <c r="I51" s="47">
        <v>0.3333333333333333</v>
      </c>
      <c r="J51" s="48"/>
      <c r="K51" s="48"/>
      <c r="L51" s="48"/>
      <c r="M51" s="48"/>
      <c r="N51" s="48"/>
      <c r="O51" s="47" t="s">
        <v>388</v>
      </c>
      <c r="P51" s="47" t="s">
        <v>388</v>
      </c>
      <c r="Q51" s="49" t="s">
        <v>389</v>
      </c>
    </row>
    <row r="52">
      <c r="A52" s="12" t="s">
        <v>258</v>
      </c>
      <c r="B52" s="12" t="s">
        <v>259</v>
      </c>
      <c r="C52" s="50"/>
      <c r="D52" s="46" t="b">
        <v>0</v>
      </c>
      <c r="E52" s="46" t="s">
        <v>298</v>
      </c>
      <c r="F52" s="46" t="s">
        <v>298</v>
      </c>
      <c r="G52" s="46" t="b">
        <v>1</v>
      </c>
      <c r="H52" s="46" t="b">
        <v>0</v>
      </c>
      <c r="I52" s="47">
        <v>0.3333333333333333</v>
      </c>
      <c r="J52" s="48"/>
      <c r="K52" s="48"/>
      <c r="L52" s="48"/>
      <c r="M52" s="48"/>
      <c r="N52" s="48"/>
      <c r="O52" s="47" t="s">
        <v>388</v>
      </c>
      <c r="P52" s="47" t="s">
        <v>388</v>
      </c>
      <c r="Q52" s="49" t="s">
        <v>389</v>
      </c>
    </row>
    <row r="53">
      <c r="A53" s="12" t="s">
        <v>246</v>
      </c>
      <c r="B53" s="12" t="s">
        <v>247</v>
      </c>
      <c r="C53" s="7"/>
      <c r="D53" s="46" t="b">
        <v>0</v>
      </c>
      <c r="E53" s="46" t="s">
        <v>298</v>
      </c>
      <c r="F53" s="46" t="s">
        <v>298</v>
      </c>
      <c r="G53" s="46" t="b">
        <v>0</v>
      </c>
      <c r="H53" s="46" t="b">
        <v>0</v>
      </c>
      <c r="I53" s="47">
        <v>1.0</v>
      </c>
      <c r="J53" s="48"/>
      <c r="K53" s="48"/>
      <c r="L53" s="48"/>
      <c r="M53" s="48"/>
      <c r="N53" s="48"/>
      <c r="O53" s="47" t="s">
        <v>388</v>
      </c>
      <c r="P53" s="47" t="s">
        <v>388</v>
      </c>
      <c r="Q53" s="49" t="b">
        <v>0</v>
      </c>
    </row>
    <row r="54">
      <c r="A54" s="12" t="s">
        <v>109</v>
      </c>
      <c r="B54" s="12" t="s">
        <v>110</v>
      </c>
      <c r="C54" s="50"/>
      <c r="D54" s="46" t="b">
        <v>0</v>
      </c>
      <c r="E54" s="46" t="s">
        <v>298</v>
      </c>
      <c r="F54" s="46" t="s">
        <v>298</v>
      </c>
      <c r="G54" s="46" t="b">
        <v>0</v>
      </c>
      <c r="H54" s="46" t="b">
        <v>0</v>
      </c>
      <c r="I54" s="47">
        <v>1.0</v>
      </c>
      <c r="J54" s="48"/>
      <c r="K54" s="48"/>
      <c r="L54" s="48"/>
      <c r="M54" s="48"/>
      <c r="N54" s="48"/>
      <c r="O54" s="47" t="s">
        <v>388</v>
      </c>
      <c r="P54" s="47" t="s">
        <v>388</v>
      </c>
      <c r="Q54" s="49" t="b">
        <v>0</v>
      </c>
    </row>
    <row r="55">
      <c r="A55" s="12" t="s">
        <v>170</v>
      </c>
      <c r="B55" s="12" t="s">
        <v>171</v>
      </c>
      <c r="C55" s="51" t="s">
        <v>404</v>
      </c>
      <c r="D55" s="46" t="b">
        <v>1</v>
      </c>
      <c r="E55" s="46" t="s">
        <v>298</v>
      </c>
      <c r="F55" s="46" t="s">
        <v>298</v>
      </c>
      <c r="G55" s="46" t="b">
        <v>0</v>
      </c>
      <c r="H55" s="46" t="b">
        <v>1</v>
      </c>
      <c r="I55" s="47">
        <v>0.3333333333333333</v>
      </c>
      <c r="J55" s="48"/>
      <c r="K55" s="48"/>
      <c r="L55" s="48"/>
      <c r="M55" s="48"/>
      <c r="N55" s="48"/>
      <c r="O55" s="47" t="s">
        <v>388</v>
      </c>
      <c r="P55" s="47" t="s">
        <v>388</v>
      </c>
      <c r="Q55" s="49" t="s">
        <v>389</v>
      </c>
    </row>
    <row r="56">
      <c r="A56" s="12" t="s">
        <v>290</v>
      </c>
      <c r="B56" s="12" t="s">
        <v>291</v>
      </c>
      <c r="C56" s="51" t="s">
        <v>404</v>
      </c>
      <c r="D56" s="46" t="b">
        <v>1</v>
      </c>
      <c r="E56" s="46" t="s">
        <v>298</v>
      </c>
      <c r="F56" s="46" t="s">
        <v>298</v>
      </c>
      <c r="G56" s="46" t="b">
        <v>0</v>
      </c>
      <c r="H56" s="46" t="b">
        <v>1</v>
      </c>
      <c r="I56" s="47">
        <v>0.3333333333333333</v>
      </c>
      <c r="J56" s="48"/>
      <c r="K56" s="48"/>
      <c r="L56" s="48"/>
      <c r="M56" s="48"/>
      <c r="N56" s="48"/>
      <c r="O56" s="47" t="s">
        <v>388</v>
      </c>
      <c r="P56" s="47" t="s">
        <v>388</v>
      </c>
      <c r="Q56" s="49" t="s">
        <v>389</v>
      </c>
    </row>
    <row r="57">
      <c r="A57" s="12" t="s">
        <v>248</v>
      </c>
      <c r="B57" s="12" t="s">
        <v>249</v>
      </c>
      <c r="C57" s="46"/>
      <c r="D57" s="46" t="b">
        <v>0</v>
      </c>
      <c r="E57" s="46" t="s">
        <v>298</v>
      </c>
      <c r="F57" s="46" t="s">
        <v>298</v>
      </c>
      <c r="G57" s="46" t="b">
        <v>0</v>
      </c>
      <c r="H57" s="46" t="b">
        <v>0</v>
      </c>
      <c r="I57" s="47">
        <v>1.0</v>
      </c>
      <c r="J57" s="48"/>
      <c r="K57" s="48"/>
      <c r="L57" s="48"/>
      <c r="M57" s="48"/>
      <c r="N57" s="48"/>
      <c r="O57" s="47" t="s">
        <v>388</v>
      </c>
      <c r="P57" s="47" t="s">
        <v>388</v>
      </c>
      <c r="Q57" s="49" t="b">
        <v>0</v>
      </c>
    </row>
    <row r="58">
      <c r="A58" s="12" t="s">
        <v>115</v>
      </c>
      <c r="B58" s="12" t="s">
        <v>116</v>
      </c>
      <c r="C58" s="7"/>
      <c r="D58" s="46" t="b">
        <v>1</v>
      </c>
      <c r="E58" s="46" t="s">
        <v>298</v>
      </c>
      <c r="F58" s="46" t="s">
        <v>298</v>
      </c>
      <c r="G58" s="46" t="b">
        <v>1</v>
      </c>
      <c r="H58" s="46" t="b">
        <v>1</v>
      </c>
      <c r="I58" s="47">
        <v>1.0</v>
      </c>
      <c r="J58" s="48"/>
      <c r="K58" s="48"/>
      <c r="L58" s="48"/>
      <c r="M58" s="48"/>
      <c r="N58" s="48"/>
      <c r="O58" s="47" t="s">
        <v>388</v>
      </c>
      <c r="P58" s="47" t="s">
        <v>388</v>
      </c>
      <c r="Q58" s="49" t="b">
        <v>1</v>
      </c>
    </row>
    <row r="59">
      <c r="A59" s="12" t="s">
        <v>276</v>
      </c>
      <c r="B59" s="12" t="s">
        <v>277</v>
      </c>
      <c r="C59" s="51" t="s">
        <v>405</v>
      </c>
      <c r="D59" s="46" t="b">
        <v>0</v>
      </c>
      <c r="E59" s="46" t="s">
        <v>298</v>
      </c>
      <c r="F59" s="46" t="s">
        <v>298</v>
      </c>
      <c r="G59" s="46" t="b">
        <v>1</v>
      </c>
      <c r="H59" s="46" t="b">
        <v>1</v>
      </c>
      <c r="I59" s="47">
        <v>0.3333333333333333</v>
      </c>
      <c r="J59" s="48"/>
      <c r="K59" s="48"/>
      <c r="L59" s="48"/>
      <c r="M59" s="48"/>
      <c r="N59" s="48"/>
      <c r="O59" s="47" t="s">
        <v>388</v>
      </c>
      <c r="P59" s="47" t="s">
        <v>388</v>
      </c>
      <c r="Q59" s="49" t="s">
        <v>389</v>
      </c>
    </row>
    <row r="60">
      <c r="A60" s="12" t="s">
        <v>190</v>
      </c>
      <c r="B60" s="12" t="s">
        <v>191</v>
      </c>
      <c r="C60" s="51" t="s">
        <v>390</v>
      </c>
      <c r="D60" s="46" t="b">
        <v>1</v>
      </c>
      <c r="E60" s="46" t="s">
        <v>298</v>
      </c>
      <c r="F60" s="46" t="s">
        <v>298</v>
      </c>
      <c r="G60" s="46" t="b">
        <v>0</v>
      </c>
      <c r="H60" s="46" t="b">
        <v>1</v>
      </c>
      <c r="I60" s="47">
        <v>0.3333333333333333</v>
      </c>
      <c r="J60" s="48"/>
      <c r="K60" s="48"/>
      <c r="L60" s="48"/>
      <c r="M60" s="48"/>
      <c r="N60" s="48"/>
      <c r="O60" s="47" t="s">
        <v>388</v>
      </c>
      <c r="P60" s="47" t="s">
        <v>388</v>
      </c>
      <c r="Q60" s="49" t="s">
        <v>389</v>
      </c>
    </row>
    <row r="61">
      <c r="A61" s="12" t="s">
        <v>196</v>
      </c>
      <c r="B61" s="12" t="s">
        <v>197</v>
      </c>
      <c r="C61" s="7" t="s">
        <v>387</v>
      </c>
      <c r="D61" s="46" t="b">
        <v>1</v>
      </c>
      <c r="E61" s="46" t="s">
        <v>298</v>
      </c>
      <c r="F61" s="46" t="s">
        <v>298</v>
      </c>
      <c r="G61" s="46" t="b">
        <v>0</v>
      </c>
      <c r="H61" s="46" t="b">
        <v>1</v>
      </c>
      <c r="I61" s="47">
        <v>0.3333333333333333</v>
      </c>
      <c r="J61" s="48"/>
      <c r="K61" s="48"/>
      <c r="L61" s="48"/>
      <c r="M61" s="48"/>
      <c r="N61" s="48"/>
      <c r="O61" s="47" t="s">
        <v>388</v>
      </c>
      <c r="P61" s="47" t="s">
        <v>388</v>
      </c>
      <c r="Q61" s="49" t="s">
        <v>389</v>
      </c>
    </row>
    <row r="62">
      <c r="A62" s="12" t="s">
        <v>176</v>
      </c>
      <c r="B62" s="12" t="s">
        <v>177</v>
      </c>
      <c r="C62" s="50"/>
      <c r="D62" s="46" t="b">
        <v>1</v>
      </c>
      <c r="E62" s="46" t="s">
        <v>298</v>
      </c>
      <c r="F62" s="46" t="s">
        <v>298</v>
      </c>
      <c r="G62" s="46" t="b">
        <v>1</v>
      </c>
      <c r="H62" s="46" t="b">
        <v>1</v>
      </c>
      <c r="I62" s="47">
        <v>1.0</v>
      </c>
      <c r="J62" s="48"/>
      <c r="K62" s="48"/>
      <c r="L62" s="48"/>
      <c r="M62" s="48"/>
      <c r="N62" s="48"/>
      <c r="O62" s="47" t="s">
        <v>388</v>
      </c>
      <c r="P62" s="47" t="s">
        <v>388</v>
      </c>
      <c r="Q62" s="49" t="b">
        <v>1</v>
      </c>
    </row>
    <row r="63">
      <c r="A63" s="12" t="s">
        <v>154</v>
      </c>
      <c r="B63" s="12" t="s">
        <v>155</v>
      </c>
      <c r="C63" s="51" t="s">
        <v>405</v>
      </c>
      <c r="D63" s="46" t="b">
        <v>0</v>
      </c>
      <c r="E63" s="46" t="s">
        <v>298</v>
      </c>
      <c r="F63" s="46" t="s">
        <v>298</v>
      </c>
      <c r="G63" s="46" t="b">
        <v>1</v>
      </c>
      <c r="H63" s="46" t="b">
        <v>1</v>
      </c>
      <c r="I63" s="47">
        <v>0.3333333333333333</v>
      </c>
      <c r="J63" s="48"/>
      <c r="K63" s="48"/>
      <c r="L63" s="48"/>
      <c r="M63" s="48"/>
      <c r="N63" s="48"/>
      <c r="O63" s="47" t="s">
        <v>388</v>
      </c>
      <c r="P63" s="47" t="s">
        <v>388</v>
      </c>
      <c r="Q63" s="49" t="b">
        <v>1</v>
      </c>
      <c r="R63" s="5" t="s">
        <v>411</v>
      </c>
    </row>
    <row r="64">
      <c r="A64" s="12" t="s">
        <v>162</v>
      </c>
      <c r="B64" s="12" t="s">
        <v>163</v>
      </c>
      <c r="C64" s="46"/>
      <c r="D64" s="46" t="b">
        <v>1</v>
      </c>
      <c r="E64" s="46" t="s">
        <v>298</v>
      </c>
      <c r="F64" s="46" t="s">
        <v>298</v>
      </c>
      <c r="G64" s="46" t="b">
        <v>1</v>
      </c>
      <c r="H64" s="46" t="b">
        <v>1</v>
      </c>
      <c r="I64" s="47">
        <v>1.0</v>
      </c>
      <c r="J64" s="48"/>
      <c r="K64" s="48"/>
      <c r="L64" s="48"/>
      <c r="M64" s="48"/>
      <c r="N64" s="48"/>
      <c r="O64" s="47" t="s">
        <v>388</v>
      </c>
      <c r="P64" s="47" t="s">
        <v>388</v>
      </c>
      <c r="Q64" s="49" t="b">
        <v>1</v>
      </c>
    </row>
    <row r="65">
      <c r="A65" s="12" t="s">
        <v>232</v>
      </c>
      <c r="B65" s="12" t="s">
        <v>233</v>
      </c>
      <c r="C65" s="7" t="s">
        <v>398</v>
      </c>
      <c r="D65" s="46" t="b">
        <v>0</v>
      </c>
      <c r="E65" s="46" t="s">
        <v>298</v>
      </c>
      <c r="F65" s="46" t="s">
        <v>298</v>
      </c>
      <c r="G65" s="46" t="b">
        <v>1</v>
      </c>
      <c r="H65" s="46" t="b">
        <v>0</v>
      </c>
      <c r="I65" s="47">
        <v>0.3333333333333333</v>
      </c>
      <c r="J65" s="48"/>
      <c r="K65" s="48"/>
      <c r="L65" s="48"/>
      <c r="M65" s="48"/>
      <c r="N65" s="48"/>
      <c r="O65" s="47" t="s">
        <v>388</v>
      </c>
      <c r="P65" s="47" t="s">
        <v>388</v>
      </c>
      <c r="Q65" s="49" t="s">
        <v>389</v>
      </c>
    </row>
    <row r="66">
      <c r="A66" s="12" t="s">
        <v>148</v>
      </c>
      <c r="B66" s="12" t="s">
        <v>149</v>
      </c>
      <c r="C66" s="51" t="s">
        <v>405</v>
      </c>
      <c r="D66" s="46" t="b">
        <v>0</v>
      </c>
      <c r="E66" s="46" t="s">
        <v>298</v>
      </c>
      <c r="F66" s="46" t="s">
        <v>298</v>
      </c>
      <c r="G66" s="46" t="b">
        <v>1</v>
      </c>
      <c r="H66" s="46" t="b">
        <v>0</v>
      </c>
      <c r="I66" s="47">
        <v>0.3333333333333333</v>
      </c>
      <c r="J66" s="48"/>
      <c r="K66" s="48"/>
      <c r="L66" s="48"/>
      <c r="M66" s="48"/>
      <c r="N66" s="48" t="s">
        <v>304</v>
      </c>
      <c r="O66" s="47" t="s">
        <v>412</v>
      </c>
      <c r="P66" s="47" t="s">
        <v>412</v>
      </c>
      <c r="Q66" s="49" t="b">
        <v>0</v>
      </c>
      <c r="R66" s="5" t="s">
        <v>413</v>
      </c>
    </row>
    <row r="67">
      <c r="A67" s="12" t="s">
        <v>102</v>
      </c>
      <c r="B67" s="12" t="s">
        <v>103</v>
      </c>
      <c r="C67" s="50"/>
      <c r="D67" s="46" t="b">
        <v>1</v>
      </c>
      <c r="E67" s="46" t="s">
        <v>298</v>
      </c>
      <c r="F67" s="46" t="s">
        <v>298</v>
      </c>
      <c r="G67" s="46" t="b">
        <v>1</v>
      </c>
      <c r="H67" s="46" t="b">
        <v>1</v>
      </c>
      <c r="I67" s="47">
        <v>1.0</v>
      </c>
      <c r="J67" s="48"/>
      <c r="K67" s="48"/>
      <c r="L67" s="48"/>
      <c r="M67" s="48"/>
      <c r="N67" s="48"/>
      <c r="O67" s="47" t="s">
        <v>388</v>
      </c>
      <c r="P67" s="47" t="s">
        <v>388</v>
      </c>
      <c r="Q67" s="49" t="b">
        <v>1</v>
      </c>
    </row>
    <row r="68">
      <c r="A68" s="12" t="s">
        <v>88</v>
      </c>
      <c r="B68" s="12" t="s">
        <v>89</v>
      </c>
      <c r="C68" s="51" t="s">
        <v>390</v>
      </c>
      <c r="D68" s="46" t="b">
        <v>0</v>
      </c>
      <c r="E68" s="46" t="s">
        <v>298</v>
      </c>
      <c r="F68" s="46" t="s">
        <v>298</v>
      </c>
      <c r="G68" s="46" t="b">
        <v>1</v>
      </c>
      <c r="H68" s="46" t="b">
        <v>0</v>
      </c>
      <c r="I68" s="47">
        <v>0.3333333333333333</v>
      </c>
      <c r="J68" s="48" t="s">
        <v>90</v>
      </c>
      <c r="K68" s="48"/>
      <c r="L68" s="48"/>
      <c r="M68" s="48"/>
      <c r="N68" s="48"/>
      <c r="O68" s="47" t="s">
        <v>414</v>
      </c>
      <c r="P68" s="47" t="s">
        <v>414</v>
      </c>
      <c r="Q68" s="49" t="s">
        <v>389</v>
      </c>
    </row>
    <row r="69">
      <c r="A69" s="12" t="s">
        <v>135</v>
      </c>
      <c r="B69" s="12" t="s">
        <v>136</v>
      </c>
      <c r="C69" s="51"/>
      <c r="D69" s="46" t="b">
        <v>0</v>
      </c>
      <c r="E69" s="46" t="s">
        <v>298</v>
      </c>
      <c r="F69" s="46" t="s">
        <v>298</v>
      </c>
      <c r="G69" s="46" t="b">
        <v>0</v>
      </c>
      <c r="H69" s="46" t="b">
        <v>0</v>
      </c>
      <c r="I69" s="47">
        <v>1.0</v>
      </c>
      <c r="J69" s="48"/>
      <c r="K69" s="48"/>
      <c r="L69" s="48"/>
      <c r="M69" s="48"/>
      <c r="N69" s="48"/>
      <c r="O69" s="47" t="s">
        <v>388</v>
      </c>
      <c r="P69" s="47" t="s">
        <v>388</v>
      </c>
      <c r="Q69" s="49" t="b">
        <v>0</v>
      </c>
    </row>
    <row r="70">
      <c r="A70" s="12" t="s">
        <v>226</v>
      </c>
      <c r="B70" s="12" t="s">
        <v>227</v>
      </c>
      <c r="C70" s="7"/>
      <c r="D70" s="46" t="b">
        <v>0</v>
      </c>
      <c r="E70" s="46" t="s">
        <v>298</v>
      </c>
      <c r="F70" s="46" t="s">
        <v>298</v>
      </c>
      <c r="G70" s="46" t="b">
        <v>0</v>
      </c>
      <c r="H70" s="46" t="b">
        <v>0</v>
      </c>
      <c r="I70" s="47">
        <v>1.0</v>
      </c>
      <c r="J70" s="48"/>
      <c r="K70" s="48"/>
      <c r="L70" s="48"/>
      <c r="M70" s="48"/>
      <c r="N70" s="48"/>
      <c r="O70" s="47" t="s">
        <v>388</v>
      </c>
      <c r="P70" s="47" t="s">
        <v>388</v>
      </c>
      <c r="Q70" s="49" t="b">
        <v>0</v>
      </c>
    </row>
    <row r="71">
      <c r="A71" s="12" t="s">
        <v>272</v>
      </c>
      <c r="B71" s="12" t="s">
        <v>273</v>
      </c>
      <c r="C71" s="7" t="s">
        <v>387</v>
      </c>
      <c r="D71" s="46" t="b">
        <v>0</v>
      </c>
      <c r="E71" s="46" t="s">
        <v>298</v>
      </c>
      <c r="F71" s="46" t="s">
        <v>298</v>
      </c>
      <c r="G71" s="46" t="b">
        <v>1</v>
      </c>
      <c r="H71" s="46" t="b">
        <v>1</v>
      </c>
      <c r="I71" s="47">
        <v>0.3333333333333333</v>
      </c>
      <c r="J71" s="48"/>
      <c r="K71" s="48"/>
      <c r="L71" s="48"/>
      <c r="M71" s="48"/>
      <c r="N71" s="48"/>
      <c r="O71" s="47" t="s">
        <v>388</v>
      </c>
      <c r="P71" s="47" t="s">
        <v>388</v>
      </c>
      <c r="Q71" s="49" t="s">
        <v>389</v>
      </c>
    </row>
    <row r="72">
      <c r="A72" s="12" t="s">
        <v>126</v>
      </c>
      <c r="B72" s="12" t="s">
        <v>127</v>
      </c>
      <c r="C72" s="7" t="s">
        <v>387</v>
      </c>
      <c r="D72" s="46" t="b">
        <v>0</v>
      </c>
      <c r="E72" s="46" t="s">
        <v>298</v>
      </c>
      <c r="F72" s="46" t="s">
        <v>298</v>
      </c>
      <c r="G72" s="46" t="b">
        <v>1</v>
      </c>
      <c r="H72" s="46" t="b">
        <v>0</v>
      </c>
      <c r="I72" s="47">
        <v>0.3333333333333333</v>
      </c>
      <c r="J72" s="48"/>
      <c r="K72" s="48"/>
      <c r="L72" s="48"/>
      <c r="M72" s="48"/>
      <c r="N72" s="48"/>
      <c r="O72" s="47" t="s">
        <v>388</v>
      </c>
      <c r="P72" s="47" t="s">
        <v>388</v>
      </c>
      <c r="Q72" s="49" t="s">
        <v>389</v>
      </c>
    </row>
    <row r="73">
      <c r="A73" s="12" t="s">
        <v>158</v>
      </c>
      <c r="B73" s="52" t="s">
        <v>415</v>
      </c>
      <c r="C73" s="50"/>
      <c r="D73" s="46" t="b">
        <v>0</v>
      </c>
      <c r="E73" s="46" t="s">
        <v>298</v>
      </c>
      <c r="F73" s="46" t="s">
        <v>298</v>
      </c>
      <c r="G73" s="46" t="b">
        <v>0</v>
      </c>
      <c r="H73" s="46" t="b">
        <v>0</v>
      </c>
      <c r="I73" s="47">
        <v>1.0</v>
      </c>
      <c r="J73" s="48"/>
      <c r="K73" s="48"/>
      <c r="L73" s="48"/>
      <c r="M73" s="48"/>
      <c r="N73" s="48"/>
      <c r="O73" s="47" t="s">
        <v>388</v>
      </c>
      <c r="P73" s="47" t="s">
        <v>388</v>
      </c>
      <c r="Q73" s="49" t="b">
        <v>0</v>
      </c>
    </row>
    <row r="74">
      <c r="A74" s="12" t="s">
        <v>240</v>
      </c>
      <c r="B74" s="12" t="s">
        <v>241</v>
      </c>
      <c r="C74" s="51" t="s">
        <v>398</v>
      </c>
      <c r="D74" s="46" t="b">
        <v>0</v>
      </c>
      <c r="E74" s="46" t="s">
        <v>298</v>
      </c>
      <c r="F74" s="46" t="s">
        <v>298</v>
      </c>
      <c r="G74" s="46" t="b">
        <v>1</v>
      </c>
      <c r="H74" s="46" t="b">
        <v>0</v>
      </c>
      <c r="I74" s="47">
        <v>0.3333333333333333</v>
      </c>
      <c r="J74" s="48"/>
      <c r="K74" s="48"/>
      <c r="L74" s="48"/>
      <c r="M74" s="48"/>
      <c r="N74" s="48"/>
      <c r="O74" s="47" t="s">
        <v>388</v>
      </c>
      <c r="P74" s="47" t="s">
        <v>388</v>
      </c>
      <c r="Q74" s="49" t="s">
        <v>389</v>
      </c>
    </row>
    <row r="75">
      <c r="A75" s="12" t="s">
        <v>294</v>
      </c>
      <c r="B75" s="12" t="s">
        <v>295</v>
      </c>
      <c r="C75" s="51"/>
      <c r="D75" s="46" t="b">
        <v>0</v>
      </c>
      <c r="E75" s="46" t="s">
        <v>298</v>
      </c>
      <c r="F75" s="46" t="s">
        <v>298</v>
      </c>
      <c r="G75" s="46" t="b">
        <v>0</v>
      </c>
      <c r="H75" s="46" t="b">
        <v>0</v>
      </c>
      <c r="I75" s="47">
        <v>1.0</v>
      </c>
      <c r="J75" s="48"/>
      <c r="K75" s="48"/>
      <c r="L75" s="48"/>
      <c r="M75" s="48"/>
      <c r="N75" s="48"/>
      <c r="O75" s="47" t="s">
        <v>388</v>
      </c>
      <c r="P75" s="47" t="s">
        <v>388</v>
      </c>
      <c r="Q75" s="49" t="b">
        <v>0</v>
      </c>
    </row>
    <row r="76">
      <c r="A76" s="12" t="s">
        <v>278</v>
      </c>
      <c r="B76" s="12" t="s">
        <v>279</v>
      </c>
      <c r="C76" s="7" t="s">
        <v>398</v>
      </c>
      <c r="D76" s="46" t="b">
        <v>0</v>
      </c>
      <c r="E76" s="46" t="s">
        <v>298</v>
      </c>
      <c r="F76" s="46" t="s">
        <v>298</v>
      </c>
      <c r="G76" s="46" t="b">
        <v>1</v>
      </c>
      <c r="H76" s="46" t="b">
        <v>0</v>
      </c>
      <c r="I76" s="47">
        <v>0.3333333333333333</v>
      </c>
      <c r="J76" s="48"/>
      <c r="K76" s="48"/>
      <c r="L76" s="48"/>
      <c r="M76" s="48"/>
      <c r="N76" s="48"/>
      <c r="O76" s="47" t="s">
        <v>388</v>
      </c>
      <c r="P76" s="47" t="s">
        <v>388</v>
      </c>
      <c r="Q76" s="49" t="s">
        <v>389</v>
      </c>
    </row>
    <row r="77">
      <c r="A77" s="12" t="s">
        <v>168</v>
      </c>
      <c r="B77" s="12" t="s">
        <v>169</v>
      </c>
      <c r="C77" s="51"/>
      <c r="D77" s="46" t="b">
        <v>1</v>
      </c>
      <c r="E77" s="46" t="s">
        <v>298</v>
      </c>
      <c r="F77" s="46" t="s">
        <v>298</v>
      </c>
      <c r="G77" s="46" t="b">
        <v>1</v>
      </c>
      <c r="H77" s="46" t="b">
        <v>1</v>
      </c>
      <c r="I77" s="47">
        <v>1.0</v>
      </c>
      <c r="J77" s="48"/>
      <c r="K77" s="48"/>
      <c r="L77" s="48"/>
      <c r="M77" s="48"/>
      <c r="N77" s="48"/>
      <c r="O77" s="47" t="s">
        <v>388</v>
      </c>
      <c r="P77" s="47" t="s">
        <v>388</v>
      </c>
      <c r="Q77" s="49" t="b">
        <v>1</v>
      </c>
    </row>
    <row r="78">
      <c r="A78" s="12" t="s">
        <v>286</v>
      </c>
      <c r="B78" s="12" t="s">
        <v>287</v>
      </c>
      <c r="C78" s="51" t="s">
        <v>405</v>
      </c>
      <c r="D78" s="46" t="b">
        <v>0</v>
      </c>
      <c r="E78" s="46" t="s">
        <v>298</v>
      </c>
      <c r="F78" s="46" t="s">
        <v>298</v>
      </c>
      <c r="G78" s="46" t="b">
        <v>1</v>
      </c>
      <c r="H78" s="46" t="b">
        <v>1</v>
      </c>
      <c r="I78" s="47">
        <v>0.3333333333333333</v>
      </c>
      <c r="J78" s="48"/>
      <c r="K78" s="48"/>
      <c r="L78" s="48"/>
      <c r="M78" s="48"/>
      <c r="N78" s="48"/>
      <c r="O78" s="47" t="s">
        <v>388</v>
      </c>
      <c r="P78" s="47" t="s">
        <v>388</v>
      </c>
      <c r="Q78" s="49" t="b">
        <v>1</v>
      </c>
      <c r="R78" s="5" t="s">
        <v>416</v>
      </c>
    </row>
    <row r="79">
      <c r="A79" s="12" t="s">
        <v>206</v>
      </c>
      <c r="B79" s="12" t="s">
        <v>207</v>
      </c>
      <c r="C79" s="51" t="s">
        <v>405</v>
      </c>
      <c r="D79" s="46" t="b">
        <v>1</v>
      </c>
      <c r="E79" s="46" t="s">
        <v>298</v>
      </c>
      <c r="F79" s="46" t="s">
        <v>298</v>
      </c>
      <c r="G79" s="46" t="b">
        <v>0</v>
      </c>
      <c r="H79" s="46" t="b">
        <v>1</v>
      </c>
      <c r="I79" s="47">
        <v>0.3333333333333333</v>
      </c>
      <c r="J79" s="48" t="s">
        <v>208</v>
      </c>
      <c r="K79" s="48"/>
      <c r="L79" s="48"/>
      <c r="M79" s="48"/>
      <c r="N79" s="48" t="s">
        <v>302</v>
      </c>
      <c r="O79" s="47" t="s">
        <v>417</v>
      </c>
      <c r="P79" s="47" t="s">
        <v>417</v>
      </c>
      <c r="Q79" s="49" t="b">
        <v>1</v>
      </c>
      <c r="R79" s="5" t="s">
        <v>407</v>
      </c>
    </row>
    <row r="80">
      <c r="A80" s="12" t="s">
        <v>288</v>
      </c>
      <c r="B80" s="12" t="s">
        <v>289</v>
      </c>
      <c r="C80" s="50"/>
      <c r="D80" s="46" t="b">
        <v>1</v>
      </c>
      <c r="E80" s="46" t="s">
        <v>298</v>
      </c>
      <c r="F80" s="46" t="s">
        <v>298</v>
      </c>
      <c r="G80" s="46" t="b">
        <v>1</v>
      </c>
      <c r="H80" s="46" t="b">
        <v>1</v>
      </c>
      <c r="I80" s="47">
        <v>1.0</v>
      </c>
      <c r="J80" s="48"/>
      <c r="K80" s="48"/>
      <c r="L80" s="48"/>
      <c r="M80" s="48"/>
      <c r="N80" s="48"/>
      <c r="O80" s="47" t="s">
        <v>388</v>
      </c>
      <c r="P80" s="47" t="s">
        <v>388</v>
      </c>
      <c r="Q80" s="49" t="b">
        <v>1</v>
      </c>
    </row>
    <row r="81">
      <c r="A81" s="12" t="s">
        <v>144</v>
      </c>
      <c r="B81" s="12" t="s">
        <v>145</v>
      </c>
      <c r="C81" s="7"/>
      <c r="D81" s="46" t="b">
        <v>0</v>
      </c>
      <c r="E81" s="46" t="s">
        <v>298</v>
      </c>
      <c r="F81" s="46" t="s">
        <v>298</v>
      </c>
      <c r="G81" s="46" t="b">
        <v>1</v>
      </c>
      <c r="H81" s="46" t="b">
        <v>0</v>
      </c>
      <c r="I81" s="47">
        <v>0.3333333333333333</v>
      </c>
      <c r="J81" s="48"/>
      <c r="K81" s="48"/>
      <c r="L81" s="48"/>
      <c r="M81" s="48"/>
      <c r="N81" s="48"/>
      <c r="O81" s="47" t="s">
        <v>388</v>
      </c>
      <c r="P81" s="47" t="s">
        <v>388</v>
      </c>
      <c r="Q81" s="49" t="s">
        <v>389</v>
      </c>
    </row>
    <row r="82">
      <c r="A82" s="12" t="s">
        <v>230</v>
      </c>
      <c r="B82" s="12" t="s">
        <v>231</v>
      </c>
      <c r="C82" s="51" t="s">
        <v>404</v>
      </c>
      <c r="D82" s="46" t="b">
        <v>1</v>
      </c>
      <c r="E82" s="46" t="s">
        <v>298</v>
      </c>
      <c r="F82" s="46" t="s">
        <v>298</v>
      </c>
      <c r="G82" s="46" t="b">
        <v>0</v>
      </c>
      <c r="H82" s="46" t="b">
        <v>1</v>
      </c>
      <c r="I82" s="47">
        <v>0.3333333333333333</v>
      </c>
      <c r="J82" s="48"/>
      <c r="K82" s="48"/>
      <c r="L82" s="48"/>
      <c r="M82" s="48"/>
      <c r="N82" s="48"/>
      <c r="O82" s="47" t="s">
        <v>388</v>
      </c>
      <c r="P82" s="47" t="s">
        <v>388</v>
      </c>
      <c r="Q82" s="49" t="s">
        <v>389</v>
      </c>
    </row>
    <row r="83">
      <c r="A83" s="12" t="s">
        <v>224</v>
      </c>
      <c r="B83" s="12" t="s">
        <v>225</v>
      </c>
      <c r="C83" s="50"/>
      <c r="D83" s="46" t="b">
        <v>1</v>
      </c>
      <c r="E83" s="46" t="s">
        <v>298</v>
      </c>
      <c r="F83" s="46" t="s">
        <v>298</v>
      </c>
      <c r="G83" s="46" t="b">
        <v>1</v>
      </c>
      <c r="H83" s="46" t="b">
        <v>1</v>
      </c>
      <c r="I83" s="47">
        <v>1.0</v>
      </c>
      <c r="J83" s="48"/>
      <c r="K83" s="48"/>
      <c r="L83" s="48"/>
      <c r="M83" s="48"/>
      <c r="N83" s="48"/>
      <c r="O83" s="47" t="s">
        <v>388</v>
      </c>
      <c r="P83" s="47" t="s">
        <v>388</v>
      </c>
      <c r="Q83" s="49" t="b">
        <v>1</v>
      </c>
    </row>
    <row r="84">
      <c r="A84" s="12" t="s">
        <v>142</v>
      </c>
      <c r="B84" s="12" t="s">
        <v>143</v>
      </c>
      <c r="C84" s="51"/>
      <c r="D84" s="46" t="b">
        <v>1</v>
      </c>
      <c r="E84" s="46" t="s">
        <v>298</v>
      </c>
      <c r="F84" s="46" t="s">
        <v>298</v>
      </c>
      <c r="G84" s="46" t="b">
        <v>1</v>
      </c>
      <c r="H84" s="46" t="b">
        <v>1</v>
      </c>
      <c r="I84" s="47">
        <v>1.0</v>
      </c>
      <c r="J84" s="48"/>
      <c r="K84" s="48"/>
      <c r="L84" s="48"/>
      <c r="M84" s="48"/>
      <c r="N84" s="48"/>
      <c r="O84" s="47" t="s">
        <v>388</v>
      </c>
      <c r="P84" s="47" t="s">
        <v>388</v>
      </c>
      <c r="Q84" s="49" t="b">
        <v>1</v>
      </c>
    </row>
    <row r="85">
      <c r="A85" s="12" t="s">
        <v>178</v>
      </c>
      <c r="B85" s="12" t="s">
        <v>179</v>
      </c>
      <c r="C85" s="51" t="s">
        <v>404</v>
      </c>
      <c r="D85" s="46" t="b">
        <v>1</v>
      </c>
      <c r="E85" s="46" t="s">
        <v>298</v>
      </c>
      <c r="F85" s="46" t="s">
        <v>298</v>
      </c>
      <c r="G85" s="46" t="b">
        <v>0</v>
      </c>
      <c r="H85" s="46" t="b">
        <v>0</v>
      </c>
      <c r="I85" s="47">
        <v>0.3333333333333333</v>
      </c>
      <c r="J85" s="48" t="s">
        <v>180</v>
      </c>
      <c r="K85" s="48"/>
      <c r="L85" s="48"/>
      <c r="M85" s="48"/>
      <c r="N85" s="48"/>
      <c r="O85" s="47" t="s">
        <v>418</v>
      </c>
      <c r="P85" s="47" t="s">
        <v>418</v>
      </c>
      <c r="Q85" s="49" t="s">
        <v>389</v>
      </c>
    </row>
    <row r="86">
      <c r="A86" s="12" t="s">
        <v>222</v>
      </c>
      <c r="B86" s="12" t="s">
        <v>223</v>
      </c>
      <c r="C86" s="7"/>
      <c r="D86" s="46" t="b">
        <v>1</v>
      </c>
      <c r="E86" s="46" t="s">
        <v>298</v>
      </c>
      <c r="F86" s="46" t="s">
        <v>298</v>
      </c>
      <c r="G86" s="46" t="b">
        <v>1</v>
      </c>
      <c r="H86" s="46" t="b">
        <v>1</v>
      </c>
      <c r="I86" s="47">
        <v>1.0</v>
      </c>
      <c r="J86" s="48"/>
      <c r="K86" s="48"/>
      <c r="L86" s="48"/>
      <c r="M86" s="48"/>
      <c r="N86" s="48"/>
      <c r="O86" s="47" t="s">
        <v>388</v>
      </c>
      <c r="P86" s="47" t="s">
        <v>388</v>
      </c>
      <c r="Q86" s="49" t="b">
        <v>1</v>
      </c>
    </row>
    <row r="87">
      <c r="A87" s="12" t="s">
        <v>260</v>
      </c>
      <c r="B87" s="12" t="s">
        <v>261</v>
      </c>
      <c r="C87" s="7"/>
      <c r="D87" s="46" t="b">
        <v>1</v>
      </c>
      <c r="E87" s="46" t="s">
        <v>298</v>
      </c>
      <c r="F87" s="46" t="s">
        <v>298</v>
      </c>
      <c r="G87" s="46" t="b">
        <v>1</v>
      </c>
      <c r="H87" s="46" t="b">
        <v>1</v>
      </c>
      <c r="I87" s="47">
        <v>1.0</v>
      </c>
      <c r="J87" s="48" t="s">
        <v>262</v>
      </c>
      <c r="K87" s="48"/>
      <c r="L87" s="48"/>
      <c r="M87" s="48"/>
      <c r="N87" s="48"/>
      <c r="O87" s="47" t="s">
        <v>419</v>
      </c>
      <c r="P87" s="47" t="s">
        <v>419</v>
      </c>
      <c r="Q87" s="49" t="b">
        <v>1</v>
      </c>
    </row>
    <row r="88">
      <c r="A88" s="12" t="s">
        <v>192</v>
      </c>
      <c r="B88" s="12" t="s">
        <v>193</v>
      </c>
      <c r="C88" s="50"/>
      <c r="D88" s="46" t="b">
        <v>1</v>
      </c>
      <c r="E88" s="46" t="s">
        <v>298</v>
      </c>
      <c r="F88" s="46" t="s">
        <v>298</v>
      </c>
      <c r="G88" s="46" t="b">
        <v>1</v>
      </c>
      <c r="H88" s="46" t="b">
        <v>1</v>
      </c>
      <c r="I88" s="47">
        <v>1.0</v>
      </c>
      <c r="J88" s="48"/>
      <c r="K88" s="48"/>
      <c r="L88" s="48"/>
      <c r="M88" s="48"/>
      <c r="N88" s="48"/>
      <c r="O88" s="47" t="s">
        <v>388</v>
      </c>
      <c r="P88" s="47" t="s">
        <v>388</v>
      </c>
      <c r="Q88" s="49" t="b">
        <v>1</v>
      </c>
    </row>
    <row r="89">
      <c r="A89" s="12" t="s">
        <v>166</v>
      </c>
      <c r="B89" s="12" t="s">
        <v>167</v>
      </c>
      <c r="C89" s="51" t="s">
        <v>398</v>
      </c>
      <c r="D89" s="46" t="b">
        <v>0</v>
      </c>
      <c r="E89" s="46" t="s">
        <v>298</v>
      </c>
      <c r="F89" s="46" t="s">
        <v>298</v>
      </c>
      <c r="G89" s="46" t="b">
        <v>1</v>
      </c>
      <c r="H89" s="46" t="b">
        <v>0</v>
      </c>
      <c r="I89" s="47">
        <v>0.3333333333333333</v>
      </c>
      <c r="J89" s="48"/>
      <c r="K89" s="48"/>
      <c r="L89" s="48"/>
      <c r="M89" s="48"/>
      <c r="N89" s="48"/>
      <c r="O89" s="47" t="s">
        <v>388</v>
      </c>
      <c r="P89" s="47" t="s">
        <v>388</v>
      </c>
      <c r="Q89" s="49" t="s">
        <v>389</v>
      </c>
    </row>
    <row r="90">
      <c r="A90" s="12" t="s">
        <v>292</v>
      </c>
      <c r="B90" s="12" t="s">
        <v>293</v>
      </c>
      <c r="C90" s="51" t="s">
        <v>404</v>
      </c>
      <c r="D90" s="46" t="b">
        <v>0</v>
      </c>
      <c r="E90" s="46" t="s">
        <v>298</v>
      </c>
      <c r="F90" s="46" t="s">
        <v>298</v>
      </c>
      <c r="G90" s="46" t="b">
        <v>1</v>
      </c>
      <c r="H90" s="46" t="b">
        <v>0</v>
      </c>
      <c r="I90" s="47">
        <v>0.3333333333333333</v>
      </c>
      <c r="J90" s="48"/>
      <c r="K90" s="48"/>
      <c r="L90" s="48"/>
      <c r="M90" s="48"/>
      <c r="N90" s="48" t="s">
        <v>299</v>
      </c>
      <c r="O90" s="47" t="s">
        <v>420</v>
      </c>
      <c r="P90" s="47" t="s">
        <v>420</v>
      </c>
      <c r="Q90" s="49" t="s">
        <v>389</v>
      </c>
    </row>
    <row r="91">
      <c r="A91" s="12" t="s">
        <v>139</v>
      </c>
      <c r="B91" s="12" t="s">
        <v>140</v>
      </c>
      <c r="C91" s="51" t="s">
        <v>405</v>
      </c>
      <c r="D91" s="46" t="b">
        <v>0</v>
      </c>
      <c r="E91" s="46" t="s">
        <v>298</v>
      </c>
      <c r="F91" s="46" t="s">
        <v>298</v>
      </c>
      <c r="G91" s="46" t="b">
        <v>1</v>
      </c>
      <c r="H91" s="46" t="b">
        <v>1</v>
      </c>
      <c r="I91" s="47">
        <v>0.3333333333333333</v>
      </c>
      <c r="J91" s="48" t="s">
        <v>141</v>
      </c>
      <c r="K91" s="48"/>
      <c r="L91" s="48"/>
      <c r="M91" s="48"/>
      <c r="N91" s="48"/>
      <c r="O91" s="47" t="s">
        <v>421</v>
      </c>
      <c r="P91" s="47" t="s">
        <v>421</v>
      </c>
      <c r="Q91" s="49" t="b">
        <v>1</v>
      </c>
      <c r="R91" s="5" t="s">
        <v>422</v>
      </c>
    </row>
    <row r="92">
      <c r="A92" s="12" t="s">
        <v>265</v>
      </c>
      <c r="B92" s="12" t="s">
        <v>266</v>
      </c>
      <c r="C92" s="46"/>
      <c r="D92" s="46" t="b">
        <v>1</v>
      </c>
      <c r="E92" s="46" t="s">
        <v>298</v>
      </c>
      <c r="F92" s="46" t="s">
        <v>298</v>
      </c>
      <c r="G92" s="46" t="b">
        <v>1</v>
      </c>
      <c r="H92" s="46" t="b">
        <v>1</v>
      </c>
      <c r="I92" s="47">
        <v>1.0</v>
      </c>
      <c r="J92" s="48"/>
      <c r="K92" s="48"/>
      <c r="L92" s="48"/>
      <c r="M92" s="48"/>
      <c r="N92" s="48"/>
      <c r="O92" s="47" t="s">
        <v>388</v>
      </c>
      <c r="P92" s="47" t="s">
        <v>388</v>
      </c>
      <c r="Q92" s="49" t="b">
        <v>1</v>
      </c>
    </row>
    <row r="93">
      <c r="A93" s="12" t="s">
        <v>267</v>
      </c>
      <c r="B93" s="12" t="s">
        <v>268</v>
      </c>
      <c r="C93" s="7" t="s">
        <v>398</v>
      </c>
      <c r="D93" s="46" t="b">
        <v>0</v>
      </c>
      <c r="E93" s="46" t="s">
        <v>298</v>
      </c>
      <c r="F93" s="46" t="s">
        <v>298</v>
      </c>
      <c r="G93" s="46" t="b">
        <v>1</v>
      </c>
      <c r="H93" s="46" t="b">
        <v>0</v>
      </c>
      <c r="I93" s="47">
        <v>0.3333333333333333</v>
      </c>
      <c r="J93" s="48"/>
      <c r="K93" s="48"/>
      <c r="L93" s="48"/>
      <c r="M93" s="48"/>
      <c r="N93" s="48" t="s">
        <v>301</v>
      </c>
      <c r="O93" s="47" t="s">
        <v>423</v>
      </c>
      <c r="P93" s="47" t="s">
        <v>423</v>
      </c>
      <c r="Q93" s="49" t="s">
        <v>389</v>
      </c>
    </row>
    <row r="94">
      <c r="A94" s="12" t="s">
        <v>146</v>
      </c>
      <c r="B94" s="12" t="s">
        <v>147</v>
      </c>
      <c r="C94" s="7" t="s">
        <v>398</v>
      </c>
      <c r="D94" s="46" t="b">
        <v>0</v>
      </c>
      <c r="E94" s="46" t="s">
        <v>298</v>
      </c>
      <c r="F94" s="46" t="s">
        <v>298</v>
      </c>
      <c r="G94" s="46" t="b">
        <v>1</v>
      </c>
      <c r="H94" s="46" t="b">
        <v>0</v>
      </c>
      <c r="I94" s="47">
        <v>0.3333333333333333</v>
      </c>
      <c r="J94" s="48"/>
      <c r="K94" s="48"/>
      <c r="L94" s="48"/>
      <c r="M94" s="48"/>
      <c r="N94" s="48"/>
      <c r="O94" s="47" t="s">
        <v>388</v>
      </c>
      <c r="P94" s="47" t="s">
        <v>388</v>
      </c>
      <c r="Q94" s="49" t="s">
        <v>389</v>
      </c>
    </row>
    <row r="95">
      <c r="A95" s="12" t="s">
        <v>188</v>
      </c>
      <c r="B95" s="12" t="s">
        <v>189</v>
      </c>
      <c r="C95" s="7"/>
      <c r="D95" s="46" t="b">
        <v>0</v>
      </c>
      <c r="E95" s="46" t="s">
        <v>298</v>
      </c>
      <c r="F95" s="46" t="s">
        <v>298</v>
      </c>
      <c r="G95" s="46" t="b">
        <v>0</v>
      </c>
      <c r="H95" s="46" t="b">
        <v>0</v>
      </c>
      <c r="I95" s="47">
        <v>1.0</v>
      </c>
      <c r="J95" s="48"/>
      <c r="K95" s="48"/>
      <c r="L95" s="48"/>
      <c r="M95" s="48"/>
      <c r="N95" s="48"/>
      <c r="O95" s="47" t="s">
        <v>388</v>
      </c>
      <c r="P95" s="47" t="s">
        <v>388</v>
      </c>
      <c r="Q95" s="49" t="b">
        <v>0</v>
      </c>
    </row>
    <row r="96">
      <c r="A96" s="12" t="s">
        <v>234</v>
      </c>
      <c r="B96" s="12" t="s">
        <v>235</v>
      </c>
      <c r="C96" s="51"/>
      <c r="D96" s="46" t="b">
        <v>0</v>
      </c>
      <c r="E96" s="46" t="s">
        <v>298</v>
      </c>
      <c r="F96" s="46" t="s">
        <v>298</v>
      </c>
      <c r="G96" s="46" t="b">
        <v>1</v>
      </c>
      <c r="H96" s="46" t="b">
        <v>0</v>
      </c>
      <c r="I96" s="47">
        <v>0.3333333333333333</v>
      </c>
      <c r="J96" s="48"/>
      <c r="K96" s="48"/>
      <c r="L96" s="48"/>
      <c r="M96" s="48"/>
      <c r="N96" s="48"/>
      <c r="O96" s="47" t="s">
        <v>388</v>
      </c>
      <c r="P96" s="47" t="s">
        <v>388</v>
      </c>
      <c r="Q96" s="49" t="s">
        <v>389</v>
      </c>
    </row>
    <row r="97">
      <c r="A97" s="12" t="s">
        <v>97</v>
      </c>
      <c r="B97" s="12" t="s">
        <v>98</v>
      </c>
      <c r="C97" s="50"/>
      <c r="D97" s="46" t="b">
        <v>1</v>
      </c>
      <c r="E97" s="46" t="s">
        <v>298</v>
      </c>
      <c r="F97" s="46" t="s">
        <v>298</v>
      </c>
      <c r="G97" s="46" t="b">
        <v>1</v>
      </c>
      <c r="H97" s="46" t="b">
        <v>1</v>
      </c>
      <c r="I97" s="47">
        <v>1.0</v>
      </c>
      <c r="J97" s="48"/>
      <c r="K97" s="48"/>
      <c r="L97" s="48"/>
      <c r="M97" s="48"/>
      <c r="N97" s="48"/>
      <c r="O97" s="47" t="s">
        <v>388</v>
      </c>
      <c r="P97" s="47" t="s">
        <v>388</v>
      </c>
      <c r="Q97" s="49" t="b">
        <v>1</v>
      </c>
    </row>
    <row r="98">
      <c r="A98" s="12" t="s">
        <v>254</v>
      </c>
      <c r="B98" s="12" t="s">
        <v>255</v>
      </c>
      <c r="C98" s="51"/>
      <c r="D98" s="46" t="b">
        <v>1</v>
      </c>
      <c r="E98" s="46" t="s">
        <v>298</v>
      </c>
      <c r="F98" s="46" t="s">
        <v>298</v>
      </c>
      <c r="G98" s="46" t="b">
        <v>1</v>
      </c>
      <c r="H98" s="46" t="b">
        <v>1</v>
      </c>
      <c r="I98" s="47">
        <v>1.0</v>
      </c>
      <c r="J98" s="48"/>
      <c r="K98" s="48"/>
      <c r="L98" s="48"/>
      <c r="M98" s="48"/>
      <c r="N98" s="48"/>
      <c r="O98" s="47" t="s">
        <v>388</v>
      </c>
      <c r="P98" s="47" t="s">
        <v>388</v>
      </c>
      <c r="Q98" s="49" t="b">
        <v>1</v>
      </c>
    </row>
    <row r="99">
      <c r="A99" s="12" t="s">
        <v>122</v>
      </c>
      <c r="B99" s="12" t="s">
        <v>123</v>
      </c>
      <c r="C99" s="50"/>
      <c r="D99" s="46" t="b">
        <v>0</v>
      </c>
      <c r="E99" s="46" t="s">
        <v>298</v>
      </c>
      <c r="F99" s="46" t="s">
        <v>298</v>
      </c>
      <c r="G99" s="46" t="b">
        <v>0</v>
      </c>
      <c r="H99" s="46" t="b">
        <v>0</v>
      </c>
      <c r="I99" s="47">
        <v>1.0</v>
      </c>
      <c r="J99" s="48"/>
      <c r="K99" s="48"/>
      <c r="L99" s="48"/>
      <c r="M99" s="48"/>
      <c r="N99" s="48"/>
      <c r="O99" s="47" t="s">
        <v>388</v>
      </c>
      <c r="P99" s="47" t="s">
        <v>388</v>
      </c>
      <c r="Q99" s="49" t="b">
        <v>0</v>
      </c>
    </row>
    <row r="100">
      <c r="A100" s="12" t="s">
        <v>242</v>
      </c>
      <c r="B100" s="12" t="s">
        <v>243</v>
      </c>
      <c r="C100" s="7" t="s">
        <v>394</v>
      </c>
      <c r="D100" s="46" t="b">
        <v>0</v>
      </c>
      <c r="E100" s="46" t="s">
        <v>298</v>
      </c>
      <c r="F100" s="46" t="s">
        <v>298</v>
      </c>
      <c r="G100" s="46" t="b">
        <v>1</v>
      </c>
      <c r="H100" s="46" t="b">
        <v>1</v>
      </c>
      <c r="I100" s="47">
        <v>0.3333333333333333</v>
      </c>
      <c r="J100" s="48"/>
      <c r="K100" s="48"/>
      <c r="L100" s="48"/>
      <c r="M100" s="48"/>
      <c r="N100" s="48"/>
      <c r="O100" s="47" t="s">
        <v>388</v>
      </c>
      <c r="P100" s="47" t="s">
        <v>388</v>
      </c>
      <c r="Q100" s="49" t="s">
        <v>389</v>
      </c>
    </row>
    <row r="101">
      <c r="A101" s="12" t="s">
        <v>194</v>
      </c>
      <c r="B101" s="12" t="s">
        <v>195</v>
      </c>
      <c r="C101" s="51"/>
      <c r="D101" s="46" t="b">
        <v>0</v>
      </c>
      <c r="E101" s="46" t="s">
        <v>298</v>
      </c>
      <c r="F101" s="46" t="s">
        <v>298</v>
      </c>
      <c r="G101" s="46" t="b">
        <v>0</v>
      </c>
      <c r="H101" s="46" t="b">
        <v>0</v>
      </c>
      <c r="I101" s="47">
        <v>1.0</v>
      </c>
      <c r="J101" s="48"/>
      <c r="K101" s="48"/>
      <c r="L101" s="48"/>
      <c r="M101" s="48"/>
      <c r="N101" s="48"/>
      <c r="O101" s="47" t="s">
        <v>388</v>
      </c>
      <c r="P101" s="47" t="s">
        <v>388</v>
      </c>
      <c r="Q101" s="49" t="b">
        <v>0</v>
      </c>
    </row>
  </sheetData>
  <autoFilter ref="$A$1:$S$101"/>
  <conditionalFormatting sqref="C2:P101">
    <cfRule type="cellIs" dxfId="0" priority="1" operator="equal">
      <formula>"TRUE"</formula>
    </cfRule>
  </conditionalFormatting>
  <conditionalFormatting sqref="C2:P101">
    <cfRule type="beginsWith" dxfId="1" priority="2" operator="beginsWith" text="FALSE">
      <formula>LEFT((C2),LEN("FALSE"))=("FALSE")</formula>
    </cfRule>
  </conditionalFormatting>
  <conditionalFormatting sqref="C2:P101">
    <cfRule type="cellIs" dxfId="2" priority="3" operator="equal">
      <formula>"TO DO"</formula>
    </cfRule>
  </conditionalFormatting>
  <conditionalFormatting sqref="C2:P101">
    <cfRule type="cellIs" dxfId="3" priority="4" operator="equal">
      <formula>"SKIP"</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5" max="5" width="15.0"/>
    <col customWidth="1" min="6" max="6" width="26.38"/>
  </cols>
  <sheetData>
    <row r="1">
      <c r="A1" s="22" t="s">
        <v>424</v>
      </c>
      <c r="B1" s="22" t="s">
        <v>309</v>
      </c>
      <c r="C1" s="22" t="s">
        <v>310</v>
      </c>
      <c r="D1" s="22" t="s">
        <v>315</v>
      </c>
      <c r="E1" s="22" t="s">
        <v>425</v>
      </c>
      <c r="F1" s="22" t="s">
        <v>307</v>
      </c>
      <c r="G1" s="22" t="s">
        <v>426</v>
      </c>
    </row>
    <row r="2">
      <c r="A2" s="23" t="str">
        <f t="shared" ref="A2:A58" si="1">LEFT(MD5(B2), 7)</f>
        <v>#NAME?</v>
      </c>
      <c r="B2" s="12" t="s">
        <v>112</v>
      </c>
      <c r="C2" s="5">
        <v>9.0</v>
      </c>
      <c r="D2" s="5" t="b">
        <v>0</v>
      </c>
      <c r="E2" s="12" t="s">
        <v>111</v>
      </c>
      <c r="F2" s="23" t="str">
        <f t="array" ref="F2">VLOOKUP(E2,{Source!B:B,Source!A:A},2,FALSE)</f>
        <v>10.1787/0492621a-en</v>
      </c>
    </row>
    <row r="3">
      <c r="A3" s="23" t="str">
        <f t="shared" si="1"/>
        <v>#NAME?</v>
      </c>
      <c r="B3" s="52" t="s">
        <v>427</v>
      </c>
      <c r="C3" s="5">
        <v>9.0</v>
      </c>
      <c r="D3" s="5" t="b">
        <v>0</v>
      </c>
      <c r="E3" s="12" t="s">
        <v>93</v>
      </c>
      <c r="F3" s="23" t="str">
        <f t="array" ref="F3">VLOOKUP(E3,{Source!B:B,Source!A:A},2,FALSE)</f>
        <v>10.1787/a09a3a5d-en</v>
      </c>
      <c r="G3" s="5" t="s">
        <v>428</v>
      </c>
    </row>
    <row r="4">
      <c r="A4" s="23" t="str">
        <f t="shared" si="1"/>
        <v>#NAME?</v>
      </c>
      <c r="B4" s="12" t="s">
        <v>285</v>
      </c>
      <c r="C4" s="5">
        <v>9.0</v>
      </c>
      <c r="D4" s="5" t="b">
        <v>0</v>
      </c>
      <c r="E4" s="12" t="s">
        <v>284</v>
      </c>
      <c r="F4" s="23" t="str">
        <f t="array" ref="F4">VLOOKUP(E4,{Source!B:B,Source!A:A},2,FALSE)</f>
        <v>11.1002/pub/80c5340c-885a9460-en</v>
      </c>
    </row>
    <row r="5">
      <c r="A5" s="23" t="str">
        <f t="shared" si="1"/>
        <v>#NAME?</v>
      </c>
      <c r="B5" s="12" t="s">
        <v>157</v>
      </c>
      <c r="C5" s="5">
        <v>9.0</v>
      </c>
      <c r="D5" s="5" t="b">
        <v>0</v>
      </c>
      <c r="E5" s="12" t="s">
        <v>156</v>
      </c>
      <c r="F5" s="23" t="str">
        <f t="array" ref="F5">VLOOKUP(E5,{Source!B:B,Source!A:A},2,FALSE)</f>
        <v>10.1787/5k9fd0fg78bs-en</v>
      </c>
    </row>
    <row r="6">
      <c r="A6" s="23" t="str">
        <f t="shared" si="1"/>
        <v>#NAME?</v>
      </c>
      <c r="B6" s="12" t="s">
        <v>297</v>
      </c>
      <c r="C6" s="5">
        <v>9.0</v>
      </c>
      <c r="D6" s="5" t="b">
        <v>0</v>
      </c>
      <c r="E6" s="12" t="s">
        <v>296</v>
      </c>
      <c r="F6" s="23" t="str">
        <f t="array" ref="F6">VLOOKUP(E6,{Source!B:B,Source!A:A},2,FALSE)</f>
        <v>10.1787/sti/outlook-2010-6-en</v>
      </c>
    </row>
    <row r="7">
      <c r="A7" s="23" t="str">
        <f t="shared" si="1"/>
        <v>#NAME?</v>
      </c>
      <c r="B7" s="12" t="s">
        <v>105</v>
      </c>
      <c r="C7" s="5">
        <v>9.0</v>
      </c>
      <c r="D7" s="5" t="b">
        <v>0</v>
      </c>
      <c r="E7" s="12" t="s">
        <v>104</v>
      </c>
      <c r="F7" s="23" t="str">
        <f t="array" ref="F7">VLOOKUP(E7,{Source!B:B,Source!A:A},2,FALSE)</f>
        <v>10.1787/3726edff-en</v>
      </c>
    </row>
    <row r="8">
      <c r="A8" s="23" t="str">
        <f t="shared" si="1"/>
        <v>#NAME?</v>
      </c>
      <c r="B8" s="12" t="s">
        <v>114</v>
      </c>
      <c r="C8" s="5">
        <v>9.0</v>
      </c>
      <c r="D8" s="5" t="b">
        <v>0</v>
      </c>
      <c r="E8" s="12" t="s">
        <v>113</v>
      </c>
      <c r="F8" s="23" t="str">
        <f t="array" ref="F8">VLOOKUP(E8,{Source!B:B,Source!A:A},2,FALSE)</f>
        <v>10.1787/9789264229488-2-en</v>
      </c>
    </row>
    <row r="9">
      <c r="A9" s="23" t="str">
        <f t="shared" si="1"/>
        <v>#NAME?</v>
      </c>
      <c r="B9" s="12" t="s">
        <v>107</v>
      </c>
      <c r="C9" s="5">
        <v>9.0</v>
      </c>
      <c r="D9" s="5" t="b">
        <v>1</v>
      </c>
      <c r="E9" s="12" t="s">
        <v>106</v>
      </c>
      <c r="F9" s="23" t="str">
        <f t="array" ref="F9">VLOOKUP(E9,{Source!B:B,Source!A:A},2,FALSE)</f>
        <v>10.18356/2575b318-en</v>
      </c>
    </row>
    <row r="10">
      <c r="A10" s="23" t="str">
        <f t="shared" si="1"/>
        <v>#NAME?</v>
      </c>
      <c r="B10" s="12" t="s">
        <v>125</v>
      </c>
      <c r="C10" s="5">
        <v>9.0</v>
      </c>
      <c r="D10" s="5" t="b">
        <v>0</v>
      </c>
      <c r="E10" s="12" t="s">
        <v>124</v>
      </c>
      <c r="F10" s="23" t="str">
        <f t="array" ref="F10">VLOOKUP(E10,{Source!B:B,Source!A:A},2,FALSE)</f>
        <v>10.1787/a09a3a5d-en</v>
      </c>
    </row>
    <row r="11">
      <c r="A11" s="23" t="str">
        <f t="shared" si="1"/>
        <v>#NAME?</v>
      </c>
      <c r="B11" s="12" t="s">
        <v>203</v>
      </c>
      <c r="C11" s="5">
        <v>9.0</v>
      </c>
      <c r="D11" s="5" t="b">
        <v>0</v>
      </c>
      <c r="E11" s="12" t="s">
        <v>202</v>
      </c>
      <c r="F11" s="23" t="str">
        <f t="array" ref="F11">VLOOKUP(E11,{Source!B:B,Source!A:A},2,FALSE)</f>
        <v>10.18356/f501027d-en</v>
      </c>
    </row>
    <row r="12">
      <c r="A12" s="23" t="str">
        <f t="shared" si="1"/>
        <v>#NAME?</v>
      </c>
      <c r="B12" s="12" t="s">
        <v>229</v>
      </c>
      <c r="C12" s="5">
        <v>9.0</v>
      </c>
      <c r="D12" s="5" t="b">
        <v>0</v>
      </c>
      <c r="E12" s="12" t="s">
        <v>228</v>
      </c>
      <c r="F12" s="23" t="str">
        <f t="array" ref="F12">VLOOKUP(E12,{Source!B:B,Source!A:A},2,FALSE)</f>
        <v>10.1787/9789264167407-3-en</v>
      </c>
    </row>
    <row r="13">
      <c r="A13" s="23" t="str">
        <f t="shared" si="1"/>
        <v>#NAME?</v>
      </c>
      <c r="B13" s="52" t="s">
        <v>429</v>
      </c>
      <c r="C13" s="5">
        <v>9.0</v>
      </c>
      <c r="D13" s="5" t="b">
        <v>1</v>
      </c>
      <c r="E13" s="12" t="s">
        <v>269</v>
      </c>
      <c r="F13" s="23" t="str">
        <f t="array" ref="F13">VLOOKUP(E13,{Source!B:B,Source!A:A},2,FALSE)</f>
        <v>10.18356/74f4872a-en</v>
      </c>
      <c r="G13" s="5" t="s">
        <v>428</v>
      </c>
    </row>
    <row r="14">
      <c r="A14" s="23" t="str">
        <f t="shared" si="1"/>
        <v>#NAME?</v>
      </c>
      <c r="B14" s="12" t="s">
        <v>215</v>
      </c>
      <c r="C14" s="5">
        <v>9.0</v>
      </c>
      <c r="D14" s="5" t="b">
        <v>1</v>
      </c>
      <c r="E14" s="12" t="s">
        <v>214</v>
      </c>
      <c r="F14" s="23" t="str">
        <f t="array" ref="F14">VLOOKUP(E14,{Source!B:B,Source!A:A},2,FALSE)</f>
        <v>10.18356/3d4ceb23-en</v>
      </c>
    </row>
    <row r="15">
      <c r="A15" s="23" t="str">
        <f t="shared" si="1"/>
        <v>#NAME?</v>
      </c>
      <c r="B15" s="12" t="s">
        <v>133</v>
      </c>
      <c r="C15" s="5">
        <v>9.0</v>
      </c>
      <c r="D15" s="5" t="b">
        <v>1</v>
      </c>
      <c r="E15" s="12" t="s">
        <v>132</v>
      </c>
      <c r="F15" s="23" t="str">
        <f t="array" ref="F15">VLOOKUP(E15,{Source!B:B,Source!A:A},2,FALSE)</f>
        <v>10.1787/3726edff-en</v>
      </c>
    </row>
    <row r="16">
      <c r="A16" s="23" t="str">
        <f t="shared" si="1"/>
        <v>#NAME?</v>
      </c>
      <c r="B16" s="12" t="s">
        <v>245</v>
      </c>
      <c r="C16" s="5">
        <v>9.0</v>
      </c>
      <c r="D16" s="5" t="b">
        <v>1</v>
      </c>
      <c r="E16" s="12" t="s">
        <v>244</v>
      </c>
      <c r="F16" s="23" t="str">
        <f t="array" ref="F16">VLOOKUP(E16,{Source!B:B,Source!A:A},2,FALSE)</f>
        <v>10.1787/3726edff-en</v>
      </c>
    </row>
    <row r="17">
      <c r="A17" s="23" t="str">
        <f t="shared" si="1"/>
        <v>#NAME?</v>
      </c>
      <c r="B17" s="52" t="s">
        <v>430</v>
      </c>
      <c r="C17" s="5">
        <v>9.0</v>
      </c>
      <c r="D17" s="5" t="b">
        <v>0</v>
      </c>
      <c r="E17" s="12" t="s">
        <v>160</v>
      </c>
      <c r="F17" s="23" t="str">
        <f t="array" ref="F17">VLOOKUP(E17,{Source!B:B,Source!A:A},2,FALSE)</f>
        <v>10.1787/9789264252271-11-en</v>
      </c>
      <c r="G17" s="5" t="s">
        <v>431</v>
      </c>
    </row>
    <row r="18">
      <c r="A18" s="23" t="str">
        <f t="shared" si="1"/>
        <v>#NAME?</v>
      </c>
      <c r="B18" s="12" t="s">
        <v>251</v>
      </c>
      <c r="C18" s="5">
        <v>9.0</v>
      </c>
      <c r="D18" s="5" t="b">
        <v>1</v>
      </c>
      <c r="E18" s="12" t="s">
        <v>250</v>
      </c>
      <c r="F18" s="23" t="str">
        <f t="array" ref="F18">VLOOKUP(E18,{Source!B:B,Source!A:A},2,FALSE)</f>
        <v>11.1002/pub/8114a552-02ac2f7b-en</v>
      </c>
    </row>
    <row r="19">
      <c r="A19" s="23" t="str">
        <f t="shared" si="1"/>
        <v>#NAME?</v>
      </c>
      <c r="B19" s="12" t="s">
        <v>253</v>
      </c>
      <c r="C19" s="5">
        <v>9.0</v>
      </c>
      <c r="D19" s="5" t="b">
        <v>1</v>
      </c>
      <c r="E19" s="12" t="s">
        <v>252</v>
      </c>
      <c r="F19" s="23" t="str">
        <f t="array" ref="F19">VLOOKUP(E19,{Source!B:B,Source!A:A},2,FALSE)</f>
        <v>11.1002/pub/80f3623e-00dc42a3-en</v>
      </c>
    </row>
    <row r="20">
      <c r="A20" s="23" t="str">
        <f t="shared" si="1"/>
        <v>#NAME?</v>
      </c>
      <c r="B20" s="12" t="s">
        <v>219</v>
      </c>
      <c r="C20" s="5">
        <v>9.0</v>
      </c>
      <c r="D20" s="5" t="b">
        <v>1</v>
      </c>
      <c r="E20" s="12" t="s">
        <v>218</v>
      </c>
      <c r="F20" s="23" t="str">
        <f t="array" ref="F20">VLOOKUP(E20,{Source!B:B,Source!A:A},2,FALSE)</f>
        <v>10.1787/3726edff-en</v>
      </c>
    </row>
    <row r="21">
      <c r="A21" s="23" t="str">
        <f t="shared" si="1"/>
        <v>#NAME?</v>
      </c>
      <c r="B21" s="12" t="s">
        <v>264</v>
      </c>
      <c r="C21" s="5">
        <v>9.0</v>
      </c>
      <c r="D21" s="5" t="b">
        <v>0</v>
      </c>
      <c r="E21" s="12" t="s">
        <v>263</v>
      </c>
      <c r="F21" s="23" t="str">
        <f t="array" ref="F21">VLOOKUP(E21,{Source!B:B,Source!A:A},2,FALSE)</f>
        <v>10.1787/3726edff-en</v>
      </c>
    </row>
    <row r="22">
      <c r="A22" s="23" t="str">
        <f t="shared" si="1"/>
        <v>#NAME?</v>
      </c>
      <c r="B22" s="12" t="s">
        <v>118</v>
      </c>
      <c r="C22" s="5">
        <v>9.0</v>
      </c>
      <c r="D22" s="5" t="b">
        <v>1</v>
      </c>
      <c r="E22" s="12" t="s">
        <v>117</v>
      </c>
      <c r="F22" s="23" t="str">
        <f t="array" ref="F22">VLOOKUP(E22,{Source!B:B,Source!A:A},2,FALSE)</f>
        <v>11.1002/pub/80f4cf5d-a6903d66-en</v>
      </c>
    </row>
    <row r="23">
      <c r="A23" s="23" t="str">
        <f t="shared" si="1"/>
        <v>#NAME?</v>
      </c>
      <c r="B23" s="12" t="s">
        <v>165</v>
      </c>
      <c r="C23" s="5">
        <v>9.0</v>
      </c>
      <c r="D23" s="5" t="b">
        <v>0</v>
      </c>
      <c r="E23" s="12" t="s">
        <v>164</v>
      </c>
      <c r="F23" s="23" t="str">
        <f t="array" ref="F23">VLOOKUP(E23,{Source!B:B,Source!A:A},2,FALSE)</f>
        <v>10.1787/9789264167407-3-en</v>
      </c>
    </row>
    <row r="24">
      <c r="A24" s="23" t="str">
        <f t="shared" si="1"/>
        <v>#NAME?</v>
      </c>
      <c r="B24" s="52" t="s">
        <v>432</v>
      </c>
      <c r="C24" s="5">
        <v>9.0</v>
      </c>
      <c r="D24" s="5" t="b">
        <v>0</v>
      </c>
      <c r="E24" s="12" t="s">
        <v>99</v>
      </c>
      <c r="F24" s="23" t="str">
        <f t="array" ref="F24">VLOOKUP(E24,{Source!B:B,Source!A:A},2,FALSE)</f>
        <v>10.1787/9789264289925-6-en</v>
      </c>
      <c r="G24" s="5" t="s">
        <v>433</v>
      </c>
    </row>
    <row r="25">
      <c r="A25" s="23" t="str">
        <f t="shared" si="1"/>
        <v>#NAME?</v>
      </c>
      <c r="B25" s="12" t="s">
        <v>213</v>
      </c>
      <c r="C25" s="5">
        <v>9.0</v>
      </c>
      <c r="D25" s="5" t="b">
        <v>0</v>
      </c>
      <c r="E25" s="12" t="s">
        <v>212</v>
      </c>
      <c r="F25" s="23" t="str">
        <f t="array" ref="F25">VLOOKUP(E25,{Source!B:B,Source!A:A},2,FALSE)</f>
        <v>10.1787/9789264204362-8-en</v>
      </c>
    </row>
    <row r="26">
      <c r="A26" s="23" t="str">
        <f t="shared" si="1"/>
        <v>#NAME?</v>
      </c>
      <c r="B26" s="12" t="s">
        <v>131</v>
      </c>
      <c r="C26" s="5">
        <v>9.0</v>
      </c>
      <c r="D26" s="5" t="b">
        <v>0</v>
      </c>
      <c r="E26" s="12" t="s">
        <v>130</v>
      </c>
      <c r="F26" s="23" t="str">
        <f t="array" ref="F26">VLOOKUP(E26,{Source!B:B,Source!A:A},2,FALSE)</f>
        <v>10.18356/8d349bcd-en</v>
      </c>
    </row>
    <row r="27">
      <c r="A27" s="23" t="str">
        <f t="shared" si="1"/>
        <v>#NAME?</v>
      </c>
      <c r="B27" s="12" t="s">
        <v>210</v>
      </c>
      <c r="C27" s="5">
        <v>9.0</v>
      </c>
      <c r="D27" s="5" t="b">
        <v>1</v>
      </c>
      <c r="E27" s="12" t="s">
        <v>209</v>
      </c>
      <c r="F27" s="23" t="str">
        <f t="array" ref="F27">VLOOKUP(E27,{Source!B:B,Source!A:A},2,FALSE)</f>
        <v>11.1002/pub/80de56e8-cd56b92e-en</v>
      </c>
    </row>
    <row r="28">
      <c r="A28" s="23" t="str">
        <f t="shared" si="1"/>
        <v>#NAME?</v>
      </c>
      <c r="B28" s="52" t="s">
        <v>434</v>
      </c>
      <c r="C28" s="5">
        <v>9.0</v>
      </c>
      <c r="D28" s="5" t="b">
        <v>0</v>
      </c>
      <c r="E28" s="12" t="s">
        <v>181</v>
      </c>
      <c r="F28" s="23" t="str">
        <f t="array" ref="F28">VLOOKUP(E28,{Source!B:B,Source!A:A},2,FALSE)</f>
        <v>10.1787/9789264289925-6-en</v>
      </c>
      <c r="G28" s="5" t="s">
        <v>428</v>
      </c>
    </row>
    <row r="29">
      <c r="A29" s="23" t="str">
        <f t="shared" si="1"/>
        <v>#NAME?</v>
      </c>
      <c r="B29" s="12" t="s">
        <v>185</v>
      </c>
      <c r="C29" s="5">
        <v>9.0</v>
      </c>
      <c r="D29" s="5" t="b">
        <v>0</v>
      </c>
      <c r="E29" s="12" t="s">
        <v>184</v>
      </c>
      <c r="F29" s="23" t="str">
        <f t="array" ref="F29">VLOOKUP(E29,{Source!B:B,Source!A:A},2,FALSE)</f>
        <v>10.18356/d08a72ab-en</v>
      </c>
    </row>
    <row r="30">
      <c r="A30" s="23" t="str">
        <f t="shared" si="1"/>
        <v>#NAME?</v>
      </c>
      <c r="B30" s="12" t="s">
        <v>247</v>
      </c>
      <c r="C30" s="5">
        <v>9.0</v>
      </c>
      <c r="D30" s="5" t="b">
        <v>0</v>
      </c>
      <c r="E30" s="12" t="s">
        <v>246</v>
      </c>
      <c r="F30" s="23" t="str">
        <f t="array" ref="F30">VLOOKUP(E30,{Source!B:B,Source!A:A},2,FALSE)</f>
        <v>10.1787/5js0bslh9m25-en</v>
      </c>
    </row>
    <row r="31">
      <c r="A31" s="23" t="str">
        <f t="shared" si="1"/>
        <v>#NAME?</v>
      </c>
      <c r="B31" s="12" t="s">
        <v>110</v>
      </c>
      <c r="C31" s="5">
        <v>9.0</v>
      </c>
      <c r="D31" s="5" t="b">
        <v>0</v>
      </c>
      <c r="E31" s="12" t="s">
        <v>109</v>
      </c>
      <c r="F31" s="23" t="str">
        <f t="array" ref="F31">VLOOKUP(E31,{Source!B:B,Source!A:A},2,FALSE)</f>
        <v>10.1787/a09a3a5d-en</v>
      </c>
    </row>
    <row r="32">
      <c r="A32" s="23" t="str">
        <f t="shared" si="1"/>
        <v>#NAME?</v>
      </c>
      <c r="B32" s="12" t="s">
        <v>249</v>
      </c>
      <c r="C32" s="5">
        <v>9.0</v>
      </c>
      <c r="D32" s="5" t="b">
        <v>0</v>
      </c>
      <c r="E32" s="12" t="s">
        <v>248</v>
      </c>
      <c r="F32" s="23" t="str">
        <f t="array" ref="F32">VLOOKUP(E32,{Source!B:B,Source!A:A},2,FALSE)</f>
        <v>10.1787/5k4c1rq2bqvk-en</v>
      </c>
    </row>
    <row r="33">
      <c r="A33" s="23" t="str">
        <f t="shared" si="1"/>
        <v>#NAME?</v>
      </c>
      <c r="B33" s="12" t="s">
        <v>116</v>
      </c>
      <c r="C33" s="5">
        <v>9.0</v>
      </c>
      <c r="D33" s="5" t="b">
        <v>1</v>
      </c>
      <c r="E33" s="12" t="s">
        <v>115</v>
      </c>
      <c r="F33" s="23" t="str">
        <f t="array" ref="F33">VLOOKUP(E33,{Source!B:B,Source!A:A},2,FALSE)</f>
        <v>10.18356/f501027d-en</v>
      </c>
    </row>
    <row r="34">
      <c r="A34" s="23" t="str">
        <f t="shared" si="1"/>
        <v>#NAME?</v>
      </c>
      <c r="B34" s="52" t="s">
        <v>435</v>
      </c>
      <c r="C34" s="5">
        <v>9.0</v>
      </c>
      <c r="D34" s="5" t="b">
        <v>1</v>
      </c>
      <c r="E34" s="12" t="s">
        <v>176</v>
      </c>
      <c r="F34" s="23" t="str">
        <f t="array" ref="F34">VLOOKUP(E34,{Source!B:B,Source!A:A},2,FALSE)</f>
        <v>10.1787/a09a3a5d-en</v>
      </c>
      <c r="G34" s="5" t="s">
        <v>428</v>
      </c>
    </row>
    <row r="35">
      <c r="A35" s="23" t="str">
        <f t="shared" si="1"/>
        <v>#NAME?</v>
      </c>
      <c r="B35" s="12" t="s">
        <v>155</v>
      </c>
      <c r="C35" s="5">
        <v>9.0</v>
      </c>
      <c r="D35" s="5" t="b">
        <v>1</v>
      </c>
      <c r="E35" s="12" t="s">
        <v>154</v>
      </c>
      <c r="F35" s="23" t="str">
        <f t="array" ref="F35">VLOOKUP(E35,{Source!B:B,Source!A:A},2,FALSE)</f>
        <v>10.18356/7f55e015-en</v>
      </c>
      <c r="G35" s="5" t="s">
        <v>411</v>
      </c>
    </row>
    <row r="36">
      <c r="A36" s="23" t="str">
        <f t="shared" si="1"/>
        <v>#NAME?</v>
      </c>
      <c r="B36" s="12" t="s">
        <v>163</v>
      </c>
      <c r="C36" s="5">
        <v>9.0</v>
      </c>
      <c r="D36" s="5" t="b">
        <v>1</v>
      </c>
      <c r="E36" s="12" t="s">
        <v>162</v>
      </c>
      <c r="F36" s="23" t="str">
        <f t="array" ref="F36">VLOOKUP(E36,{Source!B:B,Source!A:A},2,FALSE)</f>
        <v>10.18356/d91c28bf-en</v>
      </c>
    </row>
    <row r="37">
      <c r="A37" s="23" t="str">
        <f t="shared" si="1"/>
        <v>#NAME?</v>
      </c>
      <c r="B37" s="12" t="s">
        <v>149</v>
      </c>
      <c r="C37" s="5">
        <v>9.0</v>
      </c>
      <c r="D37" s="5" t="b">
        <v>0</v>
      </c>
      <c r="E37" s="12" t="s">
        <v>148</v>
      </c>
      <c r="F37" s="23" t="str">
        <f t="array" ref="F37">VLOOKUP(E37,{Source!B:B,Source!A:A},2,FALSE)</f>
        <v>11.1002/pub/80f4cf5d-a6903d66-en</v>
      </c>
      <c r="G37" s="5" t="s">
        <v>413</v>
      </c>
    </row>
    <row r="38">
      <c r="A38" s="23" t="str">
        <f t="shared" si="1"/>
        <v>#NAME?</v>
      </c>
      <c r="B38" s="12" t="s">
        <v>103</v>
      </c>
      <c r="C38" s="5">
        <v>9.0</v>
      </c>
      <c r="D38" s="5" t="b">
        <v>1</v>
      </c>
      <c r="E38" s="12" t="s">
        <v>102</v>
      </c>
      <c r="F38" s="23" t="str">
        <f t="array" ref="F38">VLOOKUP(E38,{Source!B:B,Source!A:A},2,FALSE)</f>
        <v>11.1002/pub/8111ea61-c3a8a09b-en</v>
      </c>
    </row>
    <row r="39">
      <c r="A39" s="23" t="str">
        <f t="shared" si="1"/>
        <v>#NAME?</v>
      </c>
      <c r="B39" s="12" t="s">
        <v>136</v>
      </c>
      <c r="C39" s="5">
        <v>9.0</v>
      </c>
      <c r="D39" s="5" t="b">
        <v>0</v>
      </c>
      <c r="E39" s="12" t="s">
        <v>135</v>
      </c>
      <c r="F39" s="23" t="str">
        <f t="array" ref="F39">VLOOKUP(E39,{Source!B:B,Source!A:A},2,FALSE)</f>
        <v>10.1787/5js0bslh9m25-en</v>
      </c>
    </row>
    <row r="40">
      <c r="A40" s="23" t="str">
        <f t="shared" si="1"/>
        <v>#NAME?</v>
      </c>
      <c r="B40" s="12" t="s">
        <v>227</v>
      </c>
      <c r="C40" s="5">
        <v>9.0</v>
      </c>
      <c r="D40" s="5" t="b">
        <v>0</v>
      </c>
      <c r="E40" s="12" t="s">
        <v>226</v>
      </c>
      <c r="F40" s="23" t="str">
        <f t="array" ref="F40">VLOOKUP(E40,{Source!B:B,Source!A:A},2,FALSE)</f>
        <v>10.1787/9789264252271-11-en</v>
      </c>
    </row>
    <row r="41">
      <c r="A41" s="23" t="str">
        <f t="shared" si="1"/>
        <v>#NAME?</v>
      </c>
      <c r="B41" s="52" t="s">
        <v>415</v>
      </c>
      <c r="C41" s="5">
        <v>9.0</v>
      </c>
      <c r="D41" s="5" t="b">
        <v>0</v>
      </c>
      <c r="E41" s="12" t="s">
        <v>158</v>
      </c>
      <c r="F41" s="23" t="str">
        <f t="array" ref="F41">VLOOKUP(E41,{Source!B:B,Source!A:A},2,FALSE)</f>
        <v>10.18356/d08a72ab-en</v>
      </c>
    </row>
    <row r="42">
      <c r="A42" s="23" t="str">
        <f t="shared" si="1"/>
        <v>#NAME?</v>
      </c>
      <c r="B42" s="12" t="s">
        <v>295</v>
      </c>
      <c r="C42" s="5">
        <v>9.0</v>
      </c>
      <c r="D42" s="5" t="b">
        <v>0</v>
      </c>
      <c r="E42" s="12" t="s">
        <v>294</v>
      </c>
      <c r="F42" s="23" t="str">
        <f t="array" ref="F42">VLOOKUP(E42,{Source!B:B,Source!A:A},2,FALSE)</f>
        <v>10.1787/a09a3a5d-en</v>
      </c>
    </row>
    <row r="43">
      <c r="A43" s="23" t="str">
        <f t="shared" si="1"/>
        <v>#NAME?</v>
      </c>
      <c r="B43" s="12" t="s">
        <v>169</v>
      </c>
      <c r="C43" s="5">
        <v>9.0</v>
      </c>
      <c r="D43" s="5" t="b">
        <v>1</v>
      </c>
      <c r="E43" s="12" t="s">
        <v>168</v>
      </c>
      <c r="F43" s="23" t="str">
        <f t="array" ref="F43">VLOOKUP(E43,{Source!B:B,Source!A:A},2,FALSE)</f>
        <v>10.30875/c7f78275-en</v>
      </c>
    </row>
    <row r="44">
      <c r="A44" s="23" t="str">
        <f t="shared" si="1"/>
        <v>#NAME?</v>
      </c>
      <c r="B44" s="12" t="s">
        <v>287</v>
      </c>
      <c r="C44" s="5">
        <v>9.0</v>
      </c>
      <c r="D44" s="5" t="b">
        <v>1</v>
      </c>
      <c r="E44" s="12" t="s">
        <v>286</v>
      </c>
      <c r="F44" s="23" t="str">
        <f t="array" ref="F44">VLOOKUP(E44,{Source!B:B,Source!A:A},2,FALSE)</f>
        <v>10.30875/423532ad-en</v>
      </c>
      <c r="G44" s="5" t="s">
        <v>416</v>
      </c>
    </row>
    <row r="45">
      <c r="A45" s="23" t="str">
        <f t="shared" si="1"/>
        <v>#NAME?</v>
      </c>
      <c r="B45" s="12" t="s">
        <v>207</v>
      </c>
      <c r="C45" s="5">
        <v>9.0</v>
      </c>
      <c r="D45" s="5" t="b">
        <v>1</v>
      </c>
      <c r="E45" s="12" t="s">
        <v>206</v>
      </c>
      <c r="F45" s="23" t="str">
        <f t="array" ref="F45">VLOOKUP(E45,{Source!B:B,Source!A:A},2,FALSE)</f>
        <v>10.1787/9789264252271-11-en</v>
      </c>
    </row>
    <row r="46">
      <c r="A46" s="23" t="str">
        <f t="shared" si="1"/>
        <v>#NAME?</v>
      </c>
      <c r="B46" s="12" t="s">
        <v>289</v>
      </c>
      <c r="C46" s="5">
        <v>9.0</v>
      </c>
      <c r="D46" s="5" t="b">
        <v>1</v>
      </c>
      <c r="E46" s="12" t="s">
        <v>288</v>
      </c>
      <c r="F46" s="23" t="str">
        <f t="array" ref="F46">VLOOKUP(E46,{Source!B:B,Source!A:A},2,FALSE)</f>
        <v>10.1787/3726edff-en</v>
      </c>
    </row>
    <row r="47">
      <c r="A47" s="23" t="str">
        <f t="shared" si="1"/>
        <v>#NAME?</v>
      </c>
      <c r="B47" s="12" t="s">
        <v>225</v>
      </c>
      <c r="C47" s="5">
        <v>9.0</v>
      </c>
      <c r="D47" s="5" t="b">
        <v>1</v>
      </c>
      <c r="E47" s="12" t="s">
        <v>224</v>
      </c>
      <c r="F47" s="23" t="str">
        <f t="array" ref="F47">VLOOKUP(E47,{Source!B:B,Source!A:A},2,FALSE)</f>
        <v>11.1002/pub/80c5340c-885a9460-en</v>
      </c>
    </row>
    <row r="48">
      <c r="A48" s="23" t="str">
        <f t="shared" si="1"/>
        <v>#NAME?</v>
      </c>
      <c r="B48" s="12" t="s">
        <v>143</v>
      </c>
      <c r="C48" s="5">
        <v>9.0</v>
      </c>
      <c r="D48" s="5" t="b">
        <v>1</v>
      </c>
      <c r="E48" s="12" t="s">
        <v>142</v>
      </c>
      <c r="F48" s="23" t="str">
        <f t="array" ref="F48">VLOOKUP(E48,{Source!B:B,Source!A:A},2,FALSE)</f>
        <v>10.1787/sti/outlook-2014-5-en</v>
      </c>
    </row>
    <row r="49">
      <c r="A49" s="23" t="str">
        <f t="shared" si="1"/>
        <v>#NAME?</v>
      </c>
      <c r="B49" s="12" t="s">
        <v>223</v>
      </c>
      <c r="C49" s="5">
        <v>9.0</v>
      </c>
      <c r="D49" s="5" t="b">
        <v>1</v>
      </c>
      <c r="E49" s="12" t="s">
        <v>222</v>
      </c>
      <c r="F49" s="23" t="str">
        <f t="array" ref="F49">VLOOKUP(E49,{Source!B:B,Source!A:A},2,FALSE)</f>
        <v>10.1787/9789264276369-9-en</v>
      </c>
    </row>
    <row r="50">
      <c r="A50" s="23" t="str">
        <f t="shared" si="1"/>
        <v>#NAME?</v>
      </c>
      <c r="B50" s="12" t="s">
        <v>261</v>
      </c>
      <c r="C50" s="5">
        <v>9.0</v>
      </c>
      <c r="D50" s="5" t="b">
        <v>1</v>
      </c>
      <c r="E50" s="12" t="s">
        <v>260</v>
      </c>
      <c r="F50" s="23" t="str">
        <f t="array" ref="F50">VLOOKUP(E50,{Source!B:B,Source!A:A},2,FALSE)</f>
        <v>10.18356/d08a72ab-en</v>
      </c>
    </row>
    <row r="51">
      <c r="A51" s="23" t="str">
        <f t="shared" si="1"/>
        <v>#NAME?</v>
      </c>
      <c r="B51" s="12" t="s">
        <v>193</v>
      </c>
      <c r="C51" s="5">
        <v>9.0</v>
      </c>
      <c r="D51" s="5" t="b">
        <v>1</v>
      </c>
      <c r="E51" s="12" t="s">
        <v>192</v>
      </c>
      <c r="F51" s="23" t="str">
        <f t="array" ref="F51">VLOOKUP(E51,{Source!B:B,Source!A:A},2,FALSE)</f>
        <v>10.18356/9303a7a3-en</v>
      </c>
    </row>
    <row r="52">
      <c r="A52" s="23" t="str">
        <f t="shared" si="1"/>
        <v>#NAME?</v>
      </c>
      <c r="B52" s="12" t="s">
        <v>140</v>
      </c>
      <c r="C52" s="5">
        <v>9.0</v>
      </c>
      <c r="D52" s="5" t="b">
        <v>1</v>
      </c>
      <c r="E52" s="12" t="s">
        <v>139</v>
      </c>
      <c r="F52" s="23" t="str">
        <f t="array" ref="F52">VLOOKUP(E52,{Source!B:B,Source!A:A},2,FALSE)</f>
        <v>10.18356/74f4872a-en</v>
      </c>
      <c r="G52" s="5" t="s">
        <v>422</v>
      </c>
    </row>
    <row r="53">
      <c r="A53" s="23" t="str">
        <f t="shared" si="1"/>
        <v>#NAME?</v>
      </c>
      <c r="B53" s="52" t="s">
        <v>436</v>
      </c>
      <c r="C53" s="5">
        <v>9.0</v>
      </c>
      <c r="D53" s="5" t="b">
        <v>1</v>
      </c>
      <c r="E53" s="12" t="s">
        <v>265</v>
      </c>
      <c r="F53" s="23" t="str">
        <f t="array" ref="F53">VLOOKUP(E53,{Source!B:B,Source!A:A},2,FALSE)</f>
        <v>10.1787/3726edff-en</v>
      </c>
      <c r="G53" s="5" t="s">
        <v>428</v>
      </c>
    </row>
    <row r="54">
      <c r="A54" s="23" t="str">
        <f t="shared" si="1"/>
        <v>#NAME?</v>
      </c>
      <c r="B54" s="12" t="s">
        <v>189</v>
      </c>
      <c r="C54" s="5">
        <v>9.0</v>
      </c>
      <c r="D54" s="5" t="b">
        <v>0</v>
      </c>
      <c r="E54" s="12" t="s">
        <v>188</v>
      </c>
      <c r="F54" s="23" t="str">
        <f t="array" ref="F54">VLOOKUP(E54,{Source!B:B,Source!A:A},2,FALSE)</f>
        <v>10.1787/3726edff-en</v>
      </c>
    </row>
    <row r="55">
      <c r="A55" s="23" t="str">
        <f t="shared" si="1"/>
        <v>#NAME?</v>
      </c>
      <c r="B55" s="12" t="s">
        <v>98</v>
      </c>
      <c r="C55" s="5">
        <v>9.0</v>
      </c>
      <c r="D55" s="5" t="b">
        <v>1</v>
      </c>
      <c r="E55" s="12" t="s">
        <v>97</v>
      </c>
      <c r="F55" s="23" t="str">
        <f t="array" ref="F55">VLOOKUP(E55,{Source!B:B,Source!A:A},2,FALSE)</f>
        <v>10.1787/3726edff-en</v>
      </c>
    </row>
    <row r="56">
      <c r="A56" s="23" t="str">
        <f t="shared" si="1"/>
        <v>#NAME?</v>
      </c>
      <c r="B56" s="12" t="s">
        <v>255</v>
      </c>
      <c r="C56" s="5">
        <v>9.0</v>
      </c>
      <c r="D56" s="5" t="b">
        <v>1</v>
      </c>
      <c r="E56" s="12" t="s">
        <v>254</v>
      </c>
      <c r="F56" s="23" t="str">
        <f t="array" ref="F56">VLOOKUP(E56,{Source!B:B,Source!A:A},2,FALSE)</f>
        <v>10.1787/785f021c-en</v>
      </c>
    </row>
    <row r="57">
      <c r="A57" s="23" t="str">
        <f t="shared" si="1"/>
        <v>#NAME?</v>
      </c>
      <c r="B57" s="12" t="s">
        <v>123</v>
      </c>
      <c r="C57" s="5">
        <v>9.0</v>
      </c>
      <c r="D57" s="5" t="b">
        <v>0</v>
      </c>
      <c r="E57" s="12" t="s">
        <v>122</v>
      </c>
      <c r="F57" s="23" t="str">
        <f t="array" ref="F57">VLOOKUP(E57,{Source!B:B,Source!A:A},2,FALSE)</f>
        <v>10.1787/a09a3a5d-en</v>
      </c>
    </row>
    <row r="58">
      <c r="A58" s="23" t="str">
        <f t="shared" si="1"/>
        <v>#NAME?</v>
      </c>
      <c r="B58" s="12" t="s">
        <v>195</v>
      </c>
      <c r="C58" s="5">
        <v>9.0</v>
      </c>
      <c r="D58" s="5" t="b">
        <v>0</v>
      </c>
      <c r="E58" s="12" t="s">
        <v>194</v>
      </c>
      <c r="F58" s="23" t="str">
        <f t="array" ref="F58">VLOOKUP(E58,{Source!B:B,Source!A:A},2,FALSE)</f>
        <v>10.18356/2c363e4e-en</v>
      </c>
    </row>
    <row r="59">
      <c r="B59" s="12"/>
      <c r="E59" s="12"/>
    </row>
    <row r="60">
      <c r="B60" s="12"/>
      <c r="E60" s="12"/>
    </row>
    <row r="61">
      <c r="B61" s="52"/>
      <c r="E61" s="12"/>
    </row>
    <row r="62">
      <c r="B62" s="12"/>
      <c r="E62" s="12"/>
    </row>
    <row r="63">
      <c r="B63" s="12"/>
      <c r="E63" s="12"/>
    </row>
    <row r="64">
      <c r="B64" s="12"/>
      <c r="E64" s="12"/>
    </row>
    <row r="65">
      <c r="B65" s="12"/>
      <c r="E65" s="12"/>
    </row>
    <row r="66">
      <c r="B66" s="52"/>
      <c r="E66" s="12"/>
    </row>
    <row r="67">
      <c r="B67" s="12"/>
      <c r="E67" s="12"/>
    </row>
    <row r="68">
      <c r="B68" s="12"/>
      <c r="E68" s="12"/>
    </row>
    <row r="69">
      <c r="B69" s="12"/>
      <c r="E69" s="12"/>
    </row>
    <row r="70">
      <c r="B70" s="12"/>
      <c r="E70" s="12"/>
    </row>
    <row r="71">
      <c r="B71" s="52"/>
      <c r="E71" s="12"/>
    </row>
    <row r="72">
      <c r="B72" s="12"/>
      <c r="E72" s="12"/>
    </row>
    <row r="73">
      <c r="B73" s="12"/>
      <c r="E73" s="12"/>
    </row>
    <row r="74">
      <c r="B74" s="12"/>
      <c r="E74" s="12"/>
    </row>
    <row r="75">
      <c r="B75" s="52"/>
      <c r="E75" s="12"/>
    </row>
    <row r="76">
      <c r="B76" s="12"/>
      <c r="E76" s="12"/>
    </row>
    <row r="77">
      <c r="B77" s="12"/>
      <c r="E77" s="12"/>
    </row>
    <row r="78">
      <c r="B78" s="52"/>
      <c r="E78" s="12"/>
    </row>
    <row r="79">
      <c r="B79" s="12"/>
      <c r="E79" s="12"/>
    </row>
    <row r="80">
      <c r="B80" s="12"/>
      <c r="E80" s="12"/>
    </row>
    <row r="81">
      <c r="B81" s="12"/>
      <c r="E81" s="12"/>
    </row>
    <row r="82">
      <c r="B82" s="12"/>
      <c r="E82" s="12"/>
    </row>
    <row r="83">
      <c r="B83" s="52"/>
      <c r="E83" s="12"/>
    </row>
    <row r="84">
      <c r="B84" s="12"/>
      <c r="E84" s="12"/>
    </row>
    <row r="85">
      <c r="B85" s="12"/>
      <c r="E85" s="12"/>
    </row>
    <row r="86">
      <c r="B86" s="52"/>
      <c r="E86" s="12"/>
    </row>
  </sheetData>
  <autoFilter ref="$A$1:$G$961"/>
  <drawing r:id="rId1"/>
</worksheet>
</file>