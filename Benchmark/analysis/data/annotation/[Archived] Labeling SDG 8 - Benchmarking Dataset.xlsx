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s>
  <definedNames>
    <definedName hidden="1" localSheetId="6" name="_xlnm._FilterDatabase">Source!$A$1:$K$101</definedName>
    <definedName hidden="1" localSheetId="7" name="_xlnm._FilterDatabase">'Final Review'!$A$1:$S$101</definedName>
    <definedName hidden="1" localSheetId="8" name="_xlnm._FilterDatabase">Output!$A$1:$G$950</definedName>
  </definedNames>
  <calcPr/>
</workbook>
</file>

<file path=xl/sharedStrings.xml><?xml version="1.0" encoding="utf-8"?>
<sst xmlns="http://schemas.openxmlformats.org/spreadsheetml/2006/main" count="2506" uniqueCount="462">
  <si>
    <t>Hello 👋</t>
  </si>
  <si>
    <t>Welcome to the labeling exercise for SDG 8.</t>
  </si>
  <si>
    <t>The objective of this exercise is to label 100 texts in terms of their relevance to SDG 8.</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</si>
  <si>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</si>
  <si>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</si>
  <si>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</si>
  <si>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</si>
  <si>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</si>
  <si>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</si>
  <si>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</si>
  <si>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B.</t>
  </si>
  <si>
    <t>Column C contains a drop-down for picking the appropriate label. The options are:</t>
  </si>
  <si>
    <t>This text is relevant to SDG 8</t>
  </si>
  <si>
    <t>This text is not relevant to SDG 8</t>
  </si>
  <si>
    <t>SKIP</t>
  </si>
  <si>
    <t>You can use this if you are not sure about the label</t>
  </si>
  <si>
    <t>If you want, you can put any comments in column D.</t>
  </si>
  <si>
    <t>Instructions for Labeling</t>
  </si>
  <si>
    <t>The text should be annotated as SDG 8 only if:</t>
  </si>
  <si>
    <r>
      <rPr>
        <rFont val="Arial"/>
        <color theme="1"/>
        <u/>
      </rPr>
      <t xml:space="preserve">1. The text addresses </t>
    </r>
    <r>
      <rPr>
        <rFont val="Arial"/>
        <b/>
        <color theme="1"/>
        <u/>
      </rPr>
      <t>SDG 8 or one of its targets</t>
    </r>
  </si>
  <si>
    <t>See the official definitions of SDG 8 and its targets below ("SDG 8 Description &amp; Targets").</t>
  </si>
  <si>
    <t>AND</t>
  </si>
  <si>
    <r>
      <rPr>
        <rFont val="Arial"/>
        <color theme="1"/>
        <u/>
      </rPr>
      <t xml:space="preserve">2. The text addresses SDG 8 or its targets </t>
    </r>
    <r>
      <rPr>
        <rFont val="Arial"/>
        <b/>
        <color theme="1"/>
        <u/>
      </rPr>
      <t>directly</t>
    </r>
    <r>
      <rPr>
        <rFont val="Arial"/>
        <color theme="1"/>
        <u/>
      </rPr>
      <t>:</t>
    </r>
  </si>
  <si>
    <t>- the text should be directly relevant to SDG 8 or to achieving SDG 8</t>
  </si>
  <si>
    <t>- if a text only has an indirect or implicit relevance, it should not be labeled SDG 8</t>
  </si>
  <si>
    <r>
      <rPr>
        <rFont val="Arial"/>
        <color theme="1"/>
        <u/>
      </rPr>
      <t xml:space="preserve">3. The text addresses SDG 8 or its targets </t>
    </r>
    <r>
      <rPr>
        <rFont val="Arial"/>
        <b/>
        <color theme="1"/>
        <u/>
      </rPr>
      <t>specifically</t>
    </r>
    <r>
      <rPr>
        <rFont val="Arial"/>
        <color theme="1"/>
        <u/>
      </rPr>
      <t>:</t>
    </r>
  </si>
  <si>
    <t>- the text should be specific to SDG 8 and its targets</t>
  </si>
  <si>
    <t>- if fact stating, the text should contain value-laden words (e.g. renewable energy instead of energy, drug abuse instead of drugs, infant mortality instead of premature deaths)</t>
  </si>
  <si>
    <r>
      <rPr>
        <rFont val="Arial"/>
        <color theme="1"/>
        <u/>
      </rPr>
      <t xml:space="preserve">4. Annotate as SDG 8 regardless of </t>
    </r>
    <r>
      <rPr>
        <rFont val="Arial"/>
        <b/>
        <color theme="1"/>
        <u/>
      </rPr>
      <t>valence</t>
    </r>
    <r>
      <rPr>
        <rFont val="Arial"/>
        <color theme="1"/>
        <u/>
      </rPr>
      <t xml:space="preserve"> and </t>
    </r>
    <r>
      <rPr>
        <rFont val="Arial"/>
        <b/>
        <color theme="1"/>
        <u/>
      </rPr>
      <t>other SDGs</t>
    </r>
    <r>
      <rPr>
        <rFont val="Arial"/>
        <color theme="1"/>
        <u/>
      </rPr>
      <t>:</t>
    </r>
  </si>
  <si>
    <t>- annotate as SDG 8 regardless of whether the content is discussed in a positive or negative light. We ignore valence (sentiment) for now.</t>
  </si>
  <si>
    <t>- annotate as SDG 8 even if other SDGs are mentioned and annotate as SDG 8 even if SDG 8 is not the "most important" SDG in the text</t>
  </si>
  <si>
    <t>- wrt 8: only if about economic growth, sustainable growth, inclusive growth but not just about economic impact.</t>
  </si>
  <si>
    <t>when the target is at the heart of another SDG, it seems problematic:</t>
  </si>
  <si>
    <t xml:space="preserve">note: 8.4 was overlapping with many other sdgs, like climate action and 8.5 with reduced inequalities/gender equality </t>
  </si>
  <si>
    <t>With all that said, please do trust your judgment! I am sure we will have important discussions about these issues next time — which is exactly what we want 😊</t>
  </si>
  <si>
    <t>SDG 8 Description &amp; Targets</t>
  </si>
  <si>
    <t>SDG 8</t>
  </si>
  <si>
    <t>Promote sustained, inclusive and sustainable economic growth, full and productive employment and decent work for all</t>
  </si>
  <si>
    <t>Target 8.1</t>
  </si>
  <si>
    <t>Sustain per capita economic growth in accordance with national circumstances and, in particular, at least 7 per cent gross domestic product growth per annum in the least developed countries</t>
  </si>
  <si>
    <t>Target 8.2</t>
  </si>
  <si>
    <t>Achieve higher levels of economic productivity through diversification, technological upgrading and innovation, including through a focus on high-value added and labour-intensive sectors</t>
  </si>
  <si>
    <t>Target 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</si>
  <si>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</si>
  <si>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Target 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</si>
  <si>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</si>
  <si>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Target 8.5</t>
  </si>
  <si>
    <t>By 2030, achieve full and productive employment and decent work for all women and men, including for young people and persons with disabilities, and equal pay for work of equal value</t>
  </si>
  <si>
    <t>Target 8.6</t>
  </si>
  <si>
    <t>By 2020, substantially reduce the proportion of youth not in employment, education or training</t>
  </si>
  <si>
    <t>Target 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</si>
  <si>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</si>
  <si>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Target 8.8</t>
  </si>
  <si>
    <t>Protect labour rights and promote safe and secure working environments for all workers, including migrant workers, in particular women migrants, and those in precarious employment</t>
  </si>
  <si>
    <t>Target 8.9</t>
  </si>
  <si>
    <t>By 2030, devise and implement policies to promote sustainable tourism that creates jobs and promotes local culture and products</t>
  </si>
  <si>
    <t>Target 8.10</t>
  </si>
  <si>
    <t>Strengthen the capacity of domestic financial institutions to encourage and expand access to banking, insurance and financial services for all</t>
  </si>
  <si>
    <t>Target 8.a</t>
  </si>
  <si>
    <t>Increase Aid for Trade support for developing countries, in particular least developed countries, including through the Enhanced Integrated Framework for Trade-Related Technical Assistance to Least Developed Countries</t>
  </si>
  <si>
    <t>Target 8.b</t>
  </si>
  <si>
    <t>By 2020, develop and operationalize a global strategy for youth employment and implement the Global Jobs Pact of the International Labour Organization</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</si>
  <si>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</si>
  <si>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</si>
  <si>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</si>
  <si>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</si>
  <si>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</si>
  <si>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</si>
  <si>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</si>
  <si>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</si>
  <si>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</si>
  <si>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</si>
  <si>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</si>
  <si>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</si>
  <si>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</si>
  <si>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8. The reason for selecting each text is documented in the "Source" sheet.</t>
  </si>
  <si>
    <t>Automatic Selection (50 texts)</t>
  </si>
  <si>
    <t>50 texts were selected automatically</t>
  </si>
  <si>
    <t>- 25 texts that OSDG community labeled as "SDG 8"</t>
  </si>
  <si>
    <t>- 25 texts that OSDG community labeled as "not SDG 8"</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</si>
  <si>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</si>
  <si>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</si>
  <si>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</si>
  <si>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</si>
  <si>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</si>
  <si>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</si>
  <si>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</si>
  <si>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For each permutation (label + agreement level), the five texts with the largest number of annotators were selected.</t>
  </si>
  <si>
    <t>Manual Selection (50 texts)</t>
  </si>
  <si>
    <t>24 texts were selected manually to try to cover the 8 targets of SDG 8.</t>
  </si>
  <si>
    <t>24 texts were selected manually to try to cover words used in the 8 targets of SDG 8 (but are not about SDG 8 according to the OSDG community "vote")</t>
  </si>
  <si>
    <t>For each target, 2 positive and 2 negative texts were selected.</t>
  </si>
  <si>
    <t>In addition, 1 positive and 1 negative text was selected for the SDG as a whole.</t>
  </si>
  <si>
    <t>Text ID</t>
  </si>
  <si>
    <t>Text</t>
  </si>
  <si>
    <t>SDG 8 Label</t>
  </si>
  <si>
    <t>Comments (optional)</t>
  </si>
  <si>
    <t>4108465598301e37074576a8c5d2e746</t>
  </si>
  <si>
    <t>The examples of the United States (section 7.10), Finland (section 7.11), and Switzerland (section 7.12) discuss survey issues summarised below. The last example of Mexico (section 7.13) provides experience with connections between satellite accounts. United States, Finland and Switzerland provide a number of country-specific examples regarding the collection of time-use information.</t>
  </si>
  <si>
    <t>f3e80fc85cf7b4a468a62ff28ca4efbb</t>
  </si>
  <si>
    <t>Such measures include regular workshops, conferences and publications developed in close cooperation with the ministries responsible for transport and for the environment, and the Austrian Rail Company (OBB). Actions are carried out with a view to inform and sensitise stakeholders (tourism, transport, and environment) at national, regional and local levels, concerning sustainable forms of tourism mobility and successful initiatives and projects in this area. This conference was organised as a networking platform to give an overview of the needs and challenges of future tourism mobility. Discussions focussed around the importance of cooperation of the various actors in the fields of tourism, transport and the environment, in order to create mobility solutions to and within tourism destinations that are customer friendly, simple, affordable and sustainable.</t>
  </si>
  <si>
    <t>target 8.9</t>
  </si>
  <si>
    <t>9e7c2cd092ddc6db227df4349ba76c2f</t>
  </si>
  <si>
    <t>It is part of a joint project between EC and OECD (VS/2016/0005 (DI150038), Cooperation with the OECD on Assessing Activating and Enabling Benefits and Services in the EU) covering six countries: Estonia, Ireland, Italy, Lithuania, Portugal and Spain. The results are published in six separate papers and are also available through the project website: http://www.oecd.org/social/faces-of-ioblessness.htm. Herwig Immervoll coordinated the project and the preparation of this report. All views and any errors are the responsibility of the authors.</t>
  </si>
  <si>
    <t>0ab51b386c517254fac97c5d81f6a17a</t>
  </si>
  <si>
    <t>Two thirds of this support went towards reducing emissions from and improving the resilience of energy, transport and water infrastructure. In support of this, a Climate Change Financing Framework was developed in 2014 to outline the government's plans for mobilising resources to support its NDC. Much of the international climate finance received by Cambodia has focused on providing project level support. The limitations of such approaches include a disaggregation of support across various areas, especially in areas where donor coordination and harmonisation are poor, and reduced alignment with national priorities.</t>
  </si>
  <si>
    <t>b93792a22229288e77161b757828f3f5</t>
  </si>
  <si>
    <t>It concludes by analysing performance indicators, which measure the degree of protection that exists against the risks described. These are the attributes on which the ILO bases its definition of decent work, and they serve as a reference for establishing international standards in this area. Unpaid work —in other words, the production of goods and services by household members, for which there is no market valuation but which contributes to family and social welfare— is excluded from the analysis.</t>
  </si>
  <si>
    <t>e951ced7d2846fbef85d18a9bd2409f9</t>
  </si>
  <si>
    <t>In particular, assessing the impact of job quality on labour productivity based on firm-level data, as well as exploring the role of institutions, labour market policies, firm type and management practices in generating a virtuous cycle of higher quality jobs, better health and higher productivity would provide further critical evidence for giving job quality the place it deserves in the policy recommendations on labour market performances. There is no single authority representing both Turkish and Greek Cypriot people on the Island. Turkey recognises the Turkish Republic of Northern Cyprus (TRNC).</t>
  </si>
  <si>
    <t>b09a5f74943ea36273379121d4516b4c</t>
  </si>
  <si>
    <t>This leaves Denmark among the OECD countries with the most favourable tax treatment of interest expenses (OECD, 2018(27)), higher than in both Norway and Sweden. Denmark is among only three OECD countries (Australia and Estonia in addition) with a pure land tax, considered one of the most efficient taxes. In addition, the recent property tax reform will ensure valuations are updated every second year and maintains an element of progressive taxation.</t>
  </si>
  <si>
    <t>9ee9395745e5fe3f5833113e7ef7cb33</t>
  </si>
  <si>
    <t>To align with policy discussions, ‘emergency management’ is the term adopted in this discussion paper. Leveraging these synergies requires building awareness of tourism’s potential role in assisting and enhancing emergency management and how emergency management policies can assist tourism agencies (e.g. to reduce the potential negative impacts of misinformation on the recovery of affected destinations/attractions and other destinations within affected countries) in all PPRR phases, and particularly the destination recovery process. In practice, integration between tourism and emergency management policies has been very limited and quite narrow in focus in most countries. This is partly because the focus of tourism agencies has traditionally been on implementing specific actions to mitigate the effects of a disaster or event on tourism businesses (i.e. managing the reputational effects on the destination) and restoring the capacity of tourism businesses (i.e. recovery of markets and profitability).</t>
  </si>
  <si>
    <t>4c84f94c7b79d0cb33f2aacf79ab0779</t>
  </si>
  <si>
    <t>Entire population, excluding capital gains. Source: OECD, Income Distribution and Poverty Database-, Swedish Ministry of Finance, OECD calculations. For instance in Sweden, the Gini coefficient was reduced through taxes and transfers from 0.44 to 0.21 (hence by 0.23) in the mid-1990s and from 0.43 to 0.26 (hence by 0.17) in the late 2000s. In addition, capital gains have contributed to the increase in inequalities.</t>
  </si>
  <si>
    <t>15480549dcb28f3891b2ed47c1b1a8c2</t>
  </si>
  <si>
    <t>Our recent efforts have included the OECD Recommendation of the Council on Gender Equality in Education, Employment and Entrepreneurship, the OECD Recommendation of the Council on Gender Equality in Public Life, and the report Closing the Gender Gap: Act Now. An overview of our data and ongoing work can be found online at the OECD “Gender Data Portal”. The OECD also recently contributed to the G7 “Guiding Principles for Capacity Building of Women and Girls: Towards Sustainable, Inclusive and Equitable Growth and Peace”. We are indebted to the President of Chile, Michelle Bachelet and the Ambassador of Chile to the OECD, Claudia Serrano, who were instrumental in supporting this project and to Maria de la Paz Lopez Barajas of INMUJERES in Mexico, who offered feedback on this report.</t>
  </si>
  <si>
    <t>1aff7c615f36a532b9ffca0e2c45b655</t>
  </si>
  <si>
    <t>Some states such as Jalisco were already undertaking similar activity but now all of these local initiatives are grouped under the umbrella of this programme. The Ministry of Education will need to work with the Ministry of Economy on this as the school curriculum is decided at national level. Ernst and Young (2011) reported that a failure to integrate women fully into the workforce is costly in terms of GDP, arguing that it is clear that women can add incrementally into a developing nation’s economy. This is also being recognised in the UK, for example the University of East London in 2011 established the Centre of Excellence for Women’s Entrepreneurship. Although Mexico has no exclusive programmes for women in the national system of employment, it is beginning to happen, for example in Queretaro. In 2008, the incubator of the Autonomous University of Queretaro (UAQ) worked with a group of women identifying demand with the department of sustainable development for the local municipality.</t>
  </si>
  <si>
    <t>d93f9d40cdc411ab25e2da1bcb4120ba</t>
  </si>
  <si>
    <t>Such changes have several implications for regional trading partners. Analysis using the OECD-WTO Trade in Value Added database reveals that for every $10 the region exports to China, $8 is the domestic value-added component (the rest are foreign inputs), of which $6 caters to Chinese final demand (the rest are re-exported to third markets) (figure 1.9). Nevertheless, China is now on par with the United States as a source of final demand for several countries, especially in South-East Asia.</t>
  </si>
  <si>
    <t>d4ca9b3c5310bcc08d6e6e9263fa798b</t>
  </si>
  <si>
    <t>The experience of the networks showed that for an effective co-operation it is crucial to identify the right partners, win them over for an active co-operation and embed the resulting network in the existing support structures of the regioa An important learning of the programme was that it takes time to develop these structures. However, such structures are the prerequisite for developing specific support services and embed those in needs-oriented “service chains”. The accompanying monitoring of the programme found that most networks devoted themselves to linking up service chains and optimising interfaces.</t>
  </si>
  <si>
    <t>typo</t>
  </si>
  <si>
    <t>12b367a42b926bb2a628783c4b013b32</t>
  </si>
  <si>
    <t>The group described as developed middle class and above encompasses workers in developing countries who are equivalent to the lower end of the middle class in the United States and who are able to afford most international consumer goods (Kapsos and Bourmpoula, 2013). Based on the data presented, there is little evidence of a large or substantial employed middle class in the LDCs, which may have negative implications for wider economic growth, investment and employment generation. However, other evidence suggests that in sub-Saharan Africa and Asia, over the past 20 years the middle class has been growing quite rapidly (African Development Bank, 2011, Ravallion, 2009a). The ODC sample comprises 32 developing countries.</t>
  </si>
  <si>
    <t>f5bc533f22c0d96db907a4faa9509f34</t>
  </si>
  <si>
    <t>Backward and forward linkages should also be reinforced, in particular by creating natural resource-based production clusters. These are sectoral and/or geographical concentrations of enterprises engaged in interlinked activities based on the exploitation and processing of natural resources and their supporting industries (UNECA, 2013). The data in annex table 4, show that the resource gap of fuel-exporting LDCs is positive, which means that their savings rate is higher than their investment rate.</t>
  </si>
  <si>
    <t>5d3c7ac8b055f76f57399a9f40c929cf</t>
  </si>
  <si>
    <t>It also holds for poverty: relative poverty is well below the OECD average and material deprivation is low (Nolan and Whelan, 2010). The OECD has recently mapped inequalities across a large number of dimensions and virtually all indicators point in the same direction (Box 1). While this has been true in most OECD countries, the increase in Sweden has been among the steepest (OECD, 201 la). As in most countries, household incomes increased faster at the top of the distribution, but the contrast was particularly stark in Sweden (Table 1).</t>
  </si>
  <si>
    <t>32b6f5f77f4e502087c070df109239d3</t>
  </si>
  <si>
    <t>Employment legislation in universities falls within the remit of the federal government even for state universities which are still funded at the federal level. The consequence is that often academics are only offered an acknowledgement as co-workers for a project. An alternative model considered in the incubator in the state university of Morelos is for a university to pay the teachers to incubate innovation-based projects to provide incentives for academics to get involved in translate ideas from the universities into profitable businesses as part of developing an entrepreneurial culture.</t>
  </si>
  <si>
    <t>indirect link to entrepreneurship</t>
  </si>
  <si>
    <t>f93f5e6bf2a33f85a00866d38c5d8eef</t>
  </si>
  <si>
    <t>Understanding these differences could help low- and middle-income countries formulate immigration and integration policies that maximise the development potential of immigration. They were selected based on their interest in the project, a substantial (but varying) share of immigrants and a relatively low share of humanitarian immigrants. By working with a diverse group of countries in terms of their geographic location and economic and immigration history and characteristics, the project aimed to provide an indication of the range of possible economic impacts of immigration in developing countries. It therefore addressed not only stakeholders in the ten partner countries, but equally policy makers and other interested parties in other low- and middle-income countries with mid-sized to large immigrant populations.</t>
  </si>
  <si>
    <t>indirect link to economy</t>
  </si>
  <si>
    <t>ef72caccd35744ff833d0880bdbabe4e</t>
  </si>
  <si>
    <t>Green Care is a nature-based concept that has evolved especially in the last decade. The development of the concept started especially in The Netherlands, Norway, Great Britain and Italy. It includes a broad array of activities that promotes both physical and mental well-being using nature and natural environments as means to achieve the intended benefits.</t>
  </si>
  <si>
    <t>3bbba711ce5a3a1441210e8527d193ae</t>
  </si>
  <si>
    <t>Second, clearly specified service level contracts were agreed between the GORs and their central government departments. These contracts established output and expenditure targets by programme for each region. First, between 1994 and 2000, the Regional Directors leading each GOR reported directly to individual Ministers in their 9 sponsor departments.</t>
  </si>
  <si>
    <t>54ea1a17294068beedbd2b0050a6c3b6</t>
  </si>
  <si>
    <t>These, however, also constitute opportunities for those responsible for tourism and water policy to work closely together. In the future, tourism-related water use intensities are expected to increase, while water availability in many regions will become more restricted due to competing uses and climate change leading to lower precipitation levels in many regions. In order to adapt to inevitable changes in water availability, as well as to mitigate its own contribution to climate change and its pressure on limited water resources, tourism needs to engage with policy areas responsible for energy- and water management, with a clear focus on policy making, including compliance with national greenhouse gas reduction goals, building codes, measurement and charging of water consumption, compliance with water benchmarks, and, possibly, mandatory education for staff in accommodation to engage in water saving measures.</t>
  </si>
  <si>
    <t>39a59e8f9083e888578e96eba2d44f1d</t>
  </si>
  <si>
    <t>The analysis presented in this section therefore calculates receipt rates of SA, HB and FB as the share of individuals living in households that receive benefits as a share of all youth. On average, slightly above 7% of all youth aged 16-29 years receive UB. Receipt rates are particularly low on the American continent except for Canada (Chile, Mexico, United States) and in some Southern and Eastern European countries (Slovak Republic, Slovenia, Greece, Portugal), all of which have receipt rates of below 3%.</t>
  </si>
  <si>
    <t>- SA: Social Assistance
- HB: Housing Benefit
- FB: Family Benefit</t>
  </si>
  <si>
    <t>a2a1406ca4e1c582fd4b56ba0e361c57</t>
  </si>
  <si>
    <t>The government has made efforts to improve the legal and regulatory framework for addressing these crimes, but capacity issues remain a persistent challenge in enforcing the existing laws. The legal framework could be further aligned with international norms. In November 2015, all ASEAN member states signed the ASEAN Convention against Trafficking in Persons, Especially Women and Children. In December 2015, the Lao National Assembly approved the first trafficking-specific law, promulgated in February 2016 (US Department of State, 2016).</t>
  </si>
  <si>
    <t>ff6e8263918b87f60949c6be4ba8b40a</t>
  </si>
  <si>
    <t>Informality is considered to result from the heterogeneity of the productive structure, which can be seen schematically as two sectors: one which is formal, has a medium to high production level, greater levels of investment, relatively high growth potential and effective social protection, and the other informal, with low levels of productivity, growth potential and social protection. Consequently, unskilled own-account workers, unpaid family workers or apprentices, owners and employees of micro-enterprises and domestic workers are all considered informal. This is related to the introduction of the concept of decent work. In order to focus the discussion on the job rather than the company, the new conceptual framework of the “informal economy" has been proposed in order to complement that of the informal sector, given that informal activities are found in both low- and high-productivity sectors.</t>
  </si>
  <si>
    <t>50762cb2b7c8d0b98000826c332c40f4</t>
  </si>
  <si>
    <t>Strict employment protection rules are also likely to encourage the use of forms of employment that are not subject to these regulations or lead to lack of enforcement of the rules. Concerning youth employment, Cazes and Tonin (2010) find that the decline in the average job tenure of young workers (15-24) in the European Union between 1999 and 2006 is associated with weaker employment protection provided by law and trade unions. Their results suggest that young workers are particularly exposed to more unstable labour markets through the risk of job loss and dismissal (as captured by the EPL index for regular contracts), whereas legislation on hiring (EPL index for temporary contracts) does not seem to have a significant impact.</t>
  </si>
  <si>
    <t>00318d358a0c012f7d22cc91cfc5ab65</t>
  </si>
  <si>
    <t>These signs are topped with a distinctive yellow beacon cap and walking person icon. These features makes the signs easy to spot within the urban environment and when viewed from a distance. Each monolith has two maps, a finder map which displays a 5-minute walking circle, and a planner map which displays a 15-minute walking circle. The maps illustrate significant landmarks in 3D, helping users identify the urban environment and also serving as 'mental navigational tools’.</t>
  </si>
  <si>
    <t>51d56e590b8a4431622ec9c98a303516</t>
  </si>
  <si>
    <t>Similarly, there is no policy framework in place to support energy efficiency. Revising the Investment Law is an opportunity to include incentives for green investment, in line with efforts by other ASEAN countries Viet Nam, Malaysia and Thailand. Viet Nam's investment policy includes incentives1 for investment in environmentally friendly areas such as renewable energy, afforestation and recycling.</t>
  </si>
  <si>
    <t>1eb8f57cbc0f3c5efbf6ecb80704e369</t>
  </si>
  <si>
    <t>Education levels are defined as follows: ‘low-educated’: at most lower-secondary education (ISCED levels 0-2), 'medium-educated': upper- or post-secondary education (3-4), ‘highly-educated’: tertiary education (5-6). Due to missing information on educational attainment for some individuals, there are disparities between the total change in the number of employed youth (diamonds) and the variation aggregated across levels of education for Denmark, Estonia, Finland, Ireland, New Zealand, Norway and Turkey. Information on the level of education of employed youth is missing or incomplete for Chile, Japan and Korea.</t>
  </si>
  <si>
    <t>874bc10fde20e0756f5f4cfaf24c8db0</t>
  </si>
  <si>
    <t>This is particularly important in an LDC context, since a large proportion of time spent at work is devoted to subsistence activities, and since a large number of people are engaged in such activities, particularly agriculture. Broadly speaking, agriculture in LDCs comprises both subsistence activities and commercial agriculture.11 Agricultural development policies are likely to benefit both types of activities. In the case of subsistence agriculture, they are expected to have an impact on earnings, on poverty, but also on output levels.</t>
  </si>
  <si>
    <t>1ac056ed22c254cb835015a454f5b359</t>
  </si>
  <si>
    <t>Opioid overdoses accounted for around one-fifth of these hospitalisations and one-quarter of these emergency room visits. Medicare and Medicaid are the primary' payers in around two-thirds of opioid poisoning cases. Public outlays are also incurred through costs for policing, law enforcement and other public services in dealing with drug overdoses. In addition, the treatment of addiction represents another cost often borne by public authorities. On the other side of the ledger, lost productivity also has effects on tax revenue. Estimates of this suggest that in 2016 the combined impact would reduce Federal, State and local tax revenue by almost $16 billion, or around 3/ percentage point of current receipts.</t>
  </si>
  <si>
    <t>cbc788c78b9886366b0521094a2edf33</t>
  </si>
  <si>
    <t>However, women in skill cells with a higher share of foreign-bom women do appear to earn higher incomes at the national level. This could be due to the increased participation of native-born women in the labour market due to immigrant women taking over childcare and household services (Furtado, 2015, Peri, 2014, see also Chapters 3 and 5). Furthermore, a significant and positive regional effect is observed when considering the impact on real wages of South African-bom workers - a one percentage point increase in the share of immigrants is associated with an almost 1% increase in the real wages of the native-born workers (Table 4.A2.1). By 2011, foreign-bom employment in agriculture and even more so in industry (including mining) decreased, and more foreign-bom workers became employed in the growing service sectors of the economy.</t>
  </si>
  <si>
    <t>related to inclusive and decent work</t>
  </si>
  <si>
    <t>e2aaf76565083f6a4f0e54209e8ce46d</t>
  </si>
  <si>
    <t>The cases of El Salvador, Guatemala and Honduras confirm this: up until 2000, young adults (aged 30-44) displayed a slightly higher level of participation, although the difference was not statistically significant (Figure 3.32). In the last decade, as general violence has been increasing, rates of participation for some segments of the youth population have increased in tandem. Mass media most often highlight organised forms of urban violence among the young (usually males) in gangs by the name of pandillas, maras, clicas or combos, depending on the country.</t>
  </si>
  <si>
    <t>76aaab5887c56c3f6d2c97e741eaa1c4</t>
  </si>
  <si>
    <t>Far more low-skilled immigrant workers enter the country through other channels: nationality verification, Memorandum of Understanding (MOU), One Stop Service Centre (OSSC), or as border/seasonal workers. The majority of low-skilled immigrants obtain regular status through the nationality verification and OSSC channels, jointly totalling approximately 2.6 million workers. These immigrant workers originate from Cambodia, the Lao People’s Democratic Republic (Lao PDR) and Myanmar. Immigration policies in Thailand have been criticised for “lagging behind reality", and policy makers appear to be struggling to develop an adequate framework for the governance of migration flows. This is in part due to the diverging perceptions of immigration by employers and workers, while at the same time policy makers aim to govern migration flows in such a way that the economy benefits.</t>
  </si>
  <si>
    <t>last sentence is tricky</t>
  </si>
  <si>
    <t>810bc3a6e3eb8645e93f5ba9f742e3a0</t>
  </si>
  <si>
    <t>This outlines a simple set of steps on how to build a workforce plan for a business. It includes leading practice techniques, tools and case studies to support businesses in workforce planning and ensure they have the right workers and skills to meet their needs. For more information on Australia’s labour and skills initiatives please visit www.tourism.gov.au/labour.</t>
  </si>
  <si>
    <t>labour and skills initiatives -&gt; target 8.3</t>
  </si>
  <si>
    <t>10f97ba0ebc1aa3b3cdbad3eeebd9af3</t>
  </si>
  <si>
    <t>The A start an Opportunity programme targets NEET youth aged 16-25 who have completed compulsory education and hold at most an upper secondary qualification. The programme allows youth to choose among the following options: fully subsidised work experience for five months, training in information and communication skills and integrated counselling including vocational guidance and job-search training. Notably, the conversion of unemployment benefit payments into wage subsidies launched in 2004 was extended to public sector employment in order to offset very weak job creation in the private sector in the context of the economic slowdown.</t>
  </si>
  <si>
    <t>ceca1a25230442cdf238d3dc258c47b4</t>
  </si>
  <si>
    <t>Additionally, training and awareness-raising with business leaders could also be useful in promoting a wider understanding and recognition of the importance of RBC. Educational institutions such as business schools can be important platforms. Adoption of the Guidelines and the UN Guiding Principles should be actively encouraged, as promoting local capacity and adopting practices that permit the transfer and rapid diffusion of technologies and know-how is encouraged under the Guidelines.</t>
  </si>
  <si>
    <t>RBC = Responsible Business Conduct</t>
  </si>
  <si>
    <t>b5031e53be4d5997576c11ca86133ec5</t>
  </si>
  <si>
    <t>Second-chance schools should contact school drop-outs as early as possible and encourage them to enrol. These schools cater for students who have become disaffected with mainstream education by providing essential basic skills through interdisciplinary and more practical learning methods, but enrolments need to be encouraged and early action is key. One way to do so would be to offer youth without qualifications who have been NEET for some time a small allowance in exchange for the commitment to attend education, training or some form of work-based learning. A scheme along these lines - the Activity Agreement - is currently being piloted in the United Kingdom and this could serve as a model for Greece.</t>
  </si>
  <si>
    <t>81f8351fa76a5ab86e6b49055f025557</t>
  </si>
  <si>
    <t>While not available as a benefit on the federal level, three of Germany’s 16 federal states continue paying a comparable benefit on a state level. Provision for this age group is dominated by the comprehensive ecole maternelle (preschool) system - public, centre-based services that, like the Swedish preschools, are considered a core part of the national education system. Already in the early 1960s the system catered for almost two-thirds of children aged 3-5 years and since 1989, all 3-5 year-olds have been entitled to a place in the local ecole maternelle, with participation effectively at 100% ever since. Public nurseries are complemented by a system of private qualified childminders and in-home nannies, whose cost are partly subsidised.</t>
  </si>
  <si>
    <t>78f3ebf3e5f7694cd87c11451a733149</t>
  </si>
  <si>
    <t>It strives to ensure that individual, short-term planning decisions support strategic, long-term goals. To be sustainable, tourism transport must be resource efficient, sensitive to cultural and environmental impacts, and benefit (or at least avoid harming) disadvantaged groups. For example, it allows resources currently dedicated to roads and parking facilities to be used to improve alternative modes or implement transportation demand management programs if they are most cost effective overall.</t>
  </si>
  <si>
    <t>5338694dabbc4ef634243c37cb24fb6d</t>
  </si>
  <si>
    <t>There is a need for a clear target and policy for renewable energy and for these to be reflected clearly in the national power development plan. In places where houses or companies do have solar installed, they are not actively encouraged or compensated to feed excess energy back into the grid. Despite the lack of incentives, a fledgling solar industry' has developed in Cambodia w'ith the Solar Energy Association of Cambodia, mostly providing off-grid solutions targeting communities not connected to the grid. Support to government institutions, through multi-donor initiatives such as the Cambodia Climate Change Alliance, have enabled the development and roll-out of important environmental policies including climate change policies and action plans.</t>
  </si>
  <si>
    <t>5c05f6f3cf09a303171bfba3e3e4be07</t>
  </si>
  <si>
    <t>Local officers can in some cases collaborate without altering the delivery' of policies and programmes, and flexibility in outsourcing is often restricted through national contracting regulations (Giguere and Froy, 2009). Developed by the U.S. Green Building Council (USGBC), LEED provides building owners and operators a concise framework for identifying and implementing practical and measurable green building design, construction, operations and maintenance solutions. Since its launch in 2005, the PCI has been widely utilised by' provincial governments to inform their economic governance reforms and has served to set a standard, represented by “star performer” provinces. The index has also been used for private businesses to advocate for local initiatives intended to foster an enabling environment for enterprises. The Pact addresses the social and employment impact of the international financial crisis and economic crisis. It promotes productive recovery centred on investments, employment and social protection.</t>
  </si>
  <si>
    <t>16587dd69394c5473c5638236360eb22</t>
  </si>
  <si>
    <t>Lending activities through the Development Bank of Japan began in 1995 and continued throughout a period of at least ten years, during which time it is reported (Relecura, 2015) that 260 companies benefitted from IP-backed loans totaling JPY 16 billion. Its primary target could therefore be said to be addressing information asymmetry, though this form of support also has the effect of driving down transaction costs associated with the assessment of intangible assets. The scheme is led by the Japan Patent Office (JPO) and was developed in discussion with the country’s Financial Service Agency, and is targeted specifically at SMEs as defined in Japanese law.</t>
  </si>
  <si>
    <t>6c4062172a1deba762d46991ddae0ac6</t>
  </si>
  <si>
    <t>Implemented initially in 200 districts across the country, the act was notified to another 200 districts in 2008 and it now operates in all of rural India accounting for a total expenditure equivalent to 0.3 of the national GNR NREGA is now the world’s biggest “right to work” programme and providing work opportunities for some 45 million poor rural households. In the wake of the global economic crisis, the number of days of work to which beneficiaries are entitled was increased from 100 to 200. By this token, NREGA contributed to buffer the effects of slower economic growth on the poorest households, in particular for those workers returning to rural areas after they lost their jobs in the cities. The scheme had an influence in providing “livelihood security” for large numbers of people and in ensuring that minimum wages are actually paid for unskilled, casual agricultural work - by far the primary source of earnings for poor households.</t>
  </si>
  <si>
    <t>6514e2ec414dee5c4e735ae7ee853163</t>
  </si>
  <si>
    <t>Setting clear, long term, and legally binding frameworks to mainstream and encourage green growth are also key to attracting private investment. It also signed the Convention on International Trade in Endangered Species in 1997. On commitments related to climate change, Cambodia ratified the Kyoto Protocol on greenhouse gas emissions in 2002. More recently, the country submitted a Nationally Determined Contribution (NDC) to the UNFCCC in 2015 and signed the Paris Agreement in 2016.</t>
  </si>
  <si>
    <t>green growth -&gt; target 8.4</t>
  </si>
  <si>
    <t>24274309f50d0fb2a90cf25ca20f7f8a</t>
  </si>
  <si>
    <t>When using establishment survey data, due care should be taken to ensure adequate geographic and industry coverage. Administrative record data from medical insurance schemes can provide up-to-date and comprehensive information to calculate the numerator for this indicator. However, the availability and quality of such data vary across countries, and across schemes within countries.</t>
  </si>
  <si>
    <t>cb53b41786f142323863008e58735b71</t>
  </si>
  <si>
    <t>The centres co-operate closely with the educational institutions and the municipal job centre, for which young people are also a target group. The guidance centres have access to a database with a full overview of the education and training of each person under age 25 within the municipality who has not finished upper secondary education. This enables a quicker identification of vulnerable youth. Planning involves meeting pupils and parents and building on pupils’ school records, which provide information on their achievements, interests, expectations for the future, and how they wish to develop.</t>
  </si>
  <si>
    <t>030d5f61f288404bc82d3a9106e7ae9d</t>
  </si>
  <si>
    <t>The deteriorating current account situation has left the countries with lower reserves to fall back on in the event of additional external shocks to exports and capital inflows. Owing to global uncertainties, exports contracted in 2012. Weak external demand affected exports of engineering goods, gems and jewellery, textiles and petroleum products, while imports continued to remain at a high level due to high prices for crude oil, gold and silver.</t>
  </si>
  <si>
    <t>1d2811c85968a7c6a2b056b9cbe04d1d</t>
  </si>
  <si>
    <t>Available evidence also suggests that unemployed youth in South Africa are at higher risk of contracting HIV than employed youth (UNAIDS, 2004). Even for non-infected youth, HIV infection of other household members may bring onerous care burdens, either of the sick individual themselves or their children who require care, sometimes requiring the healthy individual to withdraw from the labour market. Such care burdens may also constrain the amount of time available for employment or job search activities. Over the past decade there has been a substantial expansion in three main categories of social grant: the pension grant, the disability grant and the child support grant.</t>
  </si>
  <si>
    <t>not inclusive</t>
  </si>
  <si>
    <t>f550d577560074d0d2f4eb65f39397cc</t>
  </si>
  <si>
    <t>Festivals and events of this type often provide opportunities to showcase sectors such as culture, music, gastronomy, and the arts. In addition, the economic impact of urban tourism more generally can extend to surrounding rural areas through supply chains to meet growing demand for locally produced food, wine, arts and crafts. It thus presents important economic benefits to rural areas and constitutes an increasingly important market segment, providing significant opportunities for rural businesses to diversify income opportunities (e.g. farm stays) and participate in local supply chains.</t>
  </si>
  <si>
    <t>diversify income -&gt; target 8.2</t>
  </si>
  <si>
    <t>0e822f75a67a049253d6f37d471cd21e</t>
  </si>
  <si>
    <t>The Council is under the direct leadership of Japan’s Prime Minister (ESCAR 2016b). Strong political support for innovation can ensure access to and use of technologies. In the region, there is room for countries to improve their ICT infrastructure, such as availability, access and affordability of broadband, Wi-Fi and mobile data-intensive services.</t>
  </si>
  <si>
    <t>c58b769ff76ac1b3a1542efc5d687112</t>
  </si>
  <si>
    <t>Some European countries have schemes allowing naloxone to be taken home by the drug user (EMCDDA, 2017(48)). A few countries have drug consumption rooms, where death from overdose is much less likely. Almost all countries have needle and syringe programmes, which can prevent the spread of infectious diseases, which can be very expensive to treat (such as hepatitis C).</t>
  </si>
  <si>
    <t>e2804f2d25629ff8797c49c0505133e9</t>
  </si>
  <si>
    <t>Chile and Colombia’s gender gaps in LFP are around 22 percentage points, which is still worse than the OECD average but closer to the estimated average of about 25 percentage points across the Latin America and Caribbean (LAC) region (ILO 2016). Recent improvements in female labour market participation (and reductions in gender gaps) in the LAC region have been tied to greater female education, decreasing fertility and increases in the provision of subsidised childcare (ILO 2016). Data from Peru come from selected urban areas. Other countries’ samples are nationally representative.</t>
  </si>
  <si>
    <t>target 8.5</t>
  </si>
  <si>
    <t>8dbf999b85b45c12a96b9122f3092ceb</t>
  </si>
  <si>
    <t>Comparisons are made between the human capital of native-born and foreign-bom workers, including with regard to skills mismatch. This chapter aims to conduct an empirical investigation of the labour market position of immigrants in Ghana based on a review of labour market indicators regarding migrant workers in comparison with native-bom workers. The review will be complemented in Chapter 4 by a formal econometric examination of the labour market impact of immigration.</t>
  </si>
  <si>
    <t>target 8.8?</t>
  </si>
  <si>
    <t>6d7357321eceb54a94bbd6eaa5ef2fcd</t>
  </si>
  <si>
    <t>These unemployment queues are lengthening and the pool of the unemployed is getting deeper. Available data show that the widening “earnings gap” does not merely reflect differences in productivity (or investment in human capital), but is more closely associated with better access to highly paid jobs and positions through family connections and institutional factors (for example, endowment of “symbolic capital” a la Bourdieu), which make the labour market highly segmented. High job turnover and more irregular earnings are leading to a large section of the workforce in the ESCWA region falling into the secondary labour market, with low, irregular income and weak social protection.</t>
  </si>
  <si>
    <t>b84d08223323e7afafc5f48d8e17ac0b</t>
  </si>
  <si>
    <t>The most advanced of these is the US Small Business Administration (SBA) in co-operation with the SBA Office of Advocacy (which actually sets legal quotas for the proportion of federal government contracts to be awarded to small businesses). Good practice measures also exist in Canada, Denmark, Korea, the United Kingdom, Romania and others. A number of European good practices are noted in the “SMEs’ access to public procurement” section of the European Commission 2009 document, “European Charter for Small Enterprises: 2009 Good Practice Selection” (European Commission, 2009).</t>
  </si>
  <si>
    <t>target 8.3</t>
  </si>
  <si>
    <t>c8cb91133a135516b76270236ca35601</t>
  </si>
  <si>
    <t>The new fit2worfc service, fully implemented in 2013, seeks to avert job losses and long-term unemployment. Health insurance contacts sick-listed employees after around 40 days of absence, offering general information (on possible treatment, for example), counselling and retum-to-work support by a network of counselling firms. Waiting times for health services (e.g. psychotherapy) can also be reduced.</t>
  </si>
  <si>
    <t>2823c7315893445db7f684b8b3d67319</t>
  </si>
  <si>
    <t>The SNA data on household income are first divided by the population size. They are then multiplied by the ratio of the average household income of each decile to the average household income in the IDD, to give an estimate of an average household income by decile that is consistent with the SNA totals. Unemployed persons are defined as those who are currently not working but are willing to do so and actively searching for work.</t>
  </si>
  <si>
    <t>84bdc7174a9e2949e354a93b486c15d4</t>
  </si>
  <si>
    <t>In addition to operating as independent non-banking financial institutions, SOFOLES and SOFOMES have received rising funding from SPYME and NAFINSA to deliver programmes at the local level, which has enabled them to develop also at a period of general crisis. The reverse side is that, in spite of their original objective to encourage SME development, the range of loan size in which these institutions operate suggests that they are rather more active in the consumer credit market and that, as a result, business credit is still concentrated in a few traditional large banks. At present, there are seven large banks in Mexico, six of which are foreign-owned, that accounts for 84% of the total assets in the banking sector.</t>
  </si>
  <si>
    <t>b891a504421aa53f5f0faa8d9bec1b27</t>
  </si>
  <si>
    <t>While conclusive data is not available on whether these deportations amount to “revolving door” movements (i.e. the same person being deported several times in a year) there are strong indications that this is the case. ( This Green Paper is the result of a long consultation process, first announced in 2008, and involving a broad spectrum of South African, regional and international stakeholders starting in 2013. The process culminated in December 2015 with a colloquium called for by the minister in order to compile all contributions into a final document which was subsequently turned into the Green Paper submitted to public comments between June and September 2016. This is a particularly innovative process for the DHA since 1996 (the previous consultation for the 1997 Green Paper) as most channels of communication between the DHA, other spheres of government, and South African social partners and civil society have been intermittent.</t>
  </si>
  <si>
    <t>ea4eb2b359abca16cbf72e813662f74b</t>
  </si>
  <si>
    <t>The very low level of agricultural productivity is apparent not only within individual LDC economies, but also when compared internationally. Not only is there an agricultural productivity gap between LDCs and ODCs, but that gap has been widening. In 1990, the LDCs’ cereal yield per hectare was only 61 per cent of that of ODCs. Two decades later, the proportion was just 37 per cent (chart 40). These very low levels of productivity, combined with the strong rural concentration of the population in rural areas, are the main explanation for the pervasive poverty in these countries (UNCTAD, 2004). That pattern is driven more by expulsion forces (i.e., the dearth of gainful employment in rural areas) than by attraction forces (because of the lack of decently paid jobs in urban areas).</t>
  </si>
  <si>
    <t>d6be2bc73389f0a8a1848d7015ee1c2d</t>
  </si>
  <si>
    <t>Trajectories are clustered using Ward’s (1963) hierarchical agglomerative algorithm (cf. Quintini and Manfredi, 2009). A number of seven different clusters per data source is imposed, resulting from a trade-off between the greatest possible homogeneity of trajectories within the cluster and the desired differentiability between clusters. Clustered trajectories are matched with information on individual and household characteristics used for the analyses.</t>
  </si>
  <si>
    <t>d3c32872426594d3153da2b2e5e2c5e0</t>
  </si>
  <si>
    <t>Employed persons (age 15+): Employment is defined according to the resolution of the 19th ICLS in 2013 (see glossary). In the absence of Labour Force Survey records, some of the data can also be obtained from the administrative data on child care. Data from labour force surveys should be used for the denominator of the indicator.</t>
  </si>
  <si>
    <t>58fe33eed0a880dafe2c002db1a681ff</t>
  </si>
  <si>
    <t>For example, the son bias, which seems important in India (see Figure 2.10), can be influenced by the tradition of Dowry payments for girls, which continues despite the Dowry Prohibition Act of 1961 abolishing it. Another area of weak implementation is inheritance laws (World Bank, 2012), while the equal pay laws were already mentioned above. The monitoring of the implementation of many existing laws on gender equality should be reinforced.</t>
  </si>
  <si>
    <t>a65550c4354fb837b83e7b7efff5f998</t>
  </si>
  <si>
    <t>The overwhelming perception is not that the employment subsidy component of the learnerships is necessarily ineffective, but rather that the administrative requirements around the learning component of the programme are excessive. Many firms indicate a willingness to expand enrolment of learners and/or trainees if the administrative burden were reduced. An expanded wage subsidy could in fact build on the leamerships, with simplified administration. Another way of addressing the substitution problem would be to apply the wage subsidy to net rather than gross hires (perhaps limited to workers below an age ceiling), although this would require a monitoring mechanism, which would add complexity.</t>
  </si>
  <si>
    <t>a1cf7a7f2528d4cff76e4b4998502715</t>
  </si>
  <si>
    <t>Growing pressures on the environment from mass tourism are already forcing some countries to shut some tourism destinations, at least temporarily. To raise the sustainability of the sector, medium-term planning should gradually refocus on increasing yield rather than numbers of tourists. That also means improving the availability and quality of data to allow accurately gauging such targets.</t>
  </si>
  <si>
    <t>f60033c993d8a8e89a912b5da7307e39</t>
  </si>
  <si>
    <t>The underlying measurement framework should be clearly specified. Note: Based on national circumstances, countries may also wish to collect data on activities by children which are outside the general production boundary, such as begging and stealing, and which may need to be considered in the context of the worst forms of child labour. All persons in the age group from 5 to 17 years, where age is measured as the number of completed years at the child's latest birthday (see glossary). It may be designed either as a stand-alone survey or as a module attached to another household-based survey.</t>
  </si>
  <si>
    <t>879a07bbae36346e63a564b567a55880</t>
  </si>
  <si>
    <t>For instance, combined education and health expenditures remain at below 5 per cent of GDP in such countries as Cambodia, Bangladesh and Pakistan (table 1.7). Governments could increase expenditure efficiency and ensure equal access to basic public services. Without such efforts, additional spending may not translate into better development outcomes. For instance, compared with regional peers at the frontier of expenditure efficiency, Pakistan could decrease its public expenditures by some 33 per cent in education and 17 per cent in health to produce the same level of education and health outcomes (figure 1.14, ESCAR 2017a).</t>
  </si>
  <si>
    <t>f51d3f2361dd6141776af4da82c9c942</t>
  </si>
  <si>
    <t>In the Philippines, the central bank redefined real estate activities to lessen the bank’s exposure to the sector. In Indonesia, a more stringent rule on down payments was announced in mid-2012 to slow credit growth for the purchase of housing and automobiles. Similarly in Malaysia, asset price build-ups in certain sectors have been dealt with by using macroprudential measures rather than changes in the policy rate. In this regard, low interest rates helped not only to sustain the growth of bank loans but also to slow potential capital inflows.</t>
  </si>
  <si>
    <t>04d5aa63e162edb60068f70e6a218df0</t>
  </si>
  <si>
    <t>Learnfare closed the enrolment gap between baseline dropouts and school attendees by 41%. Currently, 38 states have similar policies that link school attendance and welfare receipt. Similarly, in Mexico the conditional cash transfer programme Progressa, created in 1997 (and replaced by Oportunidades in 2002), significantly increased the number of years of education of children among poor households (by about 10%, Schultz, 2004).</t>
  </si>
  <si>
    <t>0cde87f09ab47803b0cc35b0497a50d6</t>
  </si>
  <si>
    <t>If credit is intended to increase the value of women’s work time, it seems it is not access to loans but use of loans matters. Ensuring women’s control over loan-created assets by law can also be a critical policy objective (Garikipati, 2011). Access to credit for women for productive projects can also be improved by measures enabling collateralisation of loans with cash flow or equipment.</t>
  </si>
  <si>
    <t>2fceff92708c0b6f4104b8082e25a737</t>
  </si>
  <si>
    <t>Where data are insufficient or differences small, lower and upper middle-income countries will be looked at as a single middle-income country (MIC) category. Then the definitions are detailed for each labour market concept used in this report, which concludes with an explanation of the data used. Young people under 15 fall under the ILO’s child labour convention and should not be working.</t>
  </si>
  <si>
    <t>child labor -&gt; target 8.7</t>
  </si>
  <si>
    <t>5fbf82649dde260ce32f5f0e6684c40e</t>
  </si>
  <si>
    <t>India has also pioneered in introducing a Gender Budget statement as part of the Union Budget, which can be an important tool for reporting allocations for women. It is to be supported by Gender Budgeting Cells (GBCs) in all Ministries/Departments, which serve as focal points for coordinating Gender Budgeting initiatives, both intra and inter -ministerial. India has pioneered affirmative action and quotas in political representation. Amendments (1992) to the Constitution provided for reservation of one-third seats in the local bodies of Panchayats and Municipalities for women laying a strong foundation for their participation in decision making at the local levels.</t>
  </si>
  <si>
    <t>b12a55fd325e2ea4f89e28f4e0d1034a</t>
  </si>
  <si>
    <t>This work is contributing to SDG target 16.1, aimed at significantly reducing all forms ofviolence. Citizens are encouraged to keep active and healthy through the Play for Life programme, which also aims to help keep some of Sierra Leone's traditional sports alive and pass them on to future generations.</t>
  </si>
  <si>
    <t>3899bd899382564e073059b53cfc1183</t>
  </si>
  <si>
    <t>Support here rightly focuses upon the creation of new activities in innovative intermediate and high-tech areas and upgrading amongst existing businesses. There is evidence that support is being taken up by individuals and businesses on upward development trajectories. This initiating and stimulating effect of public funds is welcome and positive. However, such successful recipients have sometimes continued to receive further and ongoing support.</t>
  </si>
  <si>
    <t>target 8.2</t>
  </si>
  <si>
    <t>8c7dd5a2d1743241f75d244ed39892ab</t>
  </si>
  <si>
    <t>These figures assume that families register for a place at a municipality-run kindergarten. However, some parents may prefer to use privately-run day care centres if they require longer hours or childcare outside of normal working hours, which are significantly more expensive. The Unemployment Insurance Fund is able to give a childcare allowance of up to €352 per month to those returning to work for the first three months, and then local authorities make a contribution towards the cost (in Tallinn, the municipal contribution is €150 per month).</t>
  </si>
  <si>
    <t>a16fd3eb571bfa4eae01a4de150d19ee</t>
  </si>
  <si>
    <t>Cambodia has a high potential for renewable energy and a fledgling solar industry, spurred in part by donor financed programmes over the past decade. Despite this, no renewable energy policy exists and no incentives are in place to spur the uptake of grid-connected renewables, and power development plans do not reflect the potential for green energy in the country. Similarly, there is no policy framew'ork in place to support energy efficiency.</t>
  </si>
  <si>
    <t>1bd98670a1d3281b4006674e0e36e402</t>
  </si>
  <si>
    <t>This structure can be observed for most tourism industry branches. One can state that tourism products and services in the destination area are traditionally delivered primarily by local SMEs, while intermediate organisations are usually either international or located in the tourists’ home country and of bigger size. However, location characteristics do affect industries’ structures.</t>
  </si>
  <si>
    <t>4024ea4317dd9589d846a4fb88d68423</t>
  </si>
  <si>
    <t>Naloxone and similar drugs have proven efficacy in reversing the effects of opioid overdoses and thereby saving lives. Making these drugs more widely available would help reduce deaths from overdose. Some European countries have schemes allowing naloxone to be taken home by the drug user (EMCDDA, 2017(48)). A few countries have drug consumption rooms, where death from overdose is much less likely.</t>
  </si>
  <si>
    <t>425826a425166947a2d472957ec774d0</t>
  </si>
  <si>
    <t>For example, in such countries as Tunisia, the implementation of these programmes, which are seen as a new form of public jobs, has created a serious burden on the budget. In addition, analysis suggests that while the mentioned reform programmes have generated “islands of excellence”, they have failed to initiate broader systemic changes.41 Systemic changes in terms of a structural transformation of Arab economies, diversification away from rents and a move into other technologically advanced sectors, have been on the Arab agenda for a while, and in some aspects the process is on an encouraging path. The share of the manufacturing sector, as well as of services such as telecommunications, trade and tourism, are increasing rapidly. Manufacturing is now the second largest sector in Egypt and Jordan.42 However, many manufacturing enterprises continue the low-skilled, low-value-added and low-productivity trend in the region, often using foreign migrant labour, thereby further emphasizing the comparatively low knowledge content of the economy.</t>
  </si>
  <si>
    <t>75e8092566e48db1537bbf36581750ac</t>
  </si>
  <si>
    <t>Also, several illnesses other than cancer should be looked at simultaneously, which would be very data demanding. As an alternative, life expectancy can be selected as the health variable. It could be argued that life expectancy variables show little variation among OECD countries and over time (and thus do not help discriminating between policy effects). However, weak variability among countries does not seem to be borne out by the data, even if only OECD countries are considered11.</t>
  </si>
  <si>
    <t>25911ca0ddc7c5c23f6e6455993643bc</t>
  </si>
  <si>
    <t>Differences are lowest in the public sector, and the rural employment programme provides equal pay for both genders. The differences in wages can partly reflect overall education levels and the types of sectors where women work (World Bank, 2012) but discrimination by gender is also likely to contribute. The legal framework for equal pay is not always enforced (Equal Remuneration Act of 1976), partly reflecting the large share of the informal sector (about 95% of employment). Unpaid family workers do not report wages therefore they are not included.</t>
  </si>
  <si>
    <t>38431ba7efcdf732aaa4d6ec535054dd</t>
  </si>
  <si>
    <t>Nevertheless, the Danish financial sector remains large by international standards, with a total-assets-to-GDP ratio of more than 500%, and is dominated by a few very large banks and highly interconnected. As discussed in the previous Survey, this poses a systemic risk and potentially creates important implicit liabilities for the public sector. At the same time, household gross debt continues to be the highest across OECD countries (Figure 9), albeit large pension savings counterbalances this (see below).</t>
  </si>
  <si>
    <t>5290acf5bdcc7180e801f5994912d620</t>
  </si>
  <si>
    <t>But in many cases, the requirements for faculty are primarily to teach, advise, publish and administer - not to be involved in knowledge dissemination to industry and the outside world. The situation could be improved with the establishment of clear rules of the game that provide appropriate stimulus to this sort of collaboration, along with a concerted effort to shift the culture to value such work. Some progress appears to have been made with the amendment to the Science and Technology law in 2009 to prioritize university-industry linkages (chapter 1, article 5) as a means of developing the Mexican innovation system.</t>
  </si>
  <si>
    <t>bf0a2fd9c30889ecb91814fc294cd77d</t>
  </si>
  <si>
    <t>In the absence of the above, some of the data can also be obtained from the administrative data on child care. The existence of national legislation that supports external child care or even gives the right for child care to parents should be documented. Breakdowns of the indicator by component groups such as sex, industries, occupational group, and status in employment should be added.</t>
  </si>
  <si>
    <t>38a14701b37191a1236dc67f217872cc</t>
  </si>
  <si>
    <t>This requires a dialogue about mutual interests and joint values and not, as in many cases today, simply an information mode. The Nordic countries have an extensive occupational health and safety and environmental legislation in place and the mining companies' operations are controlled by permits. Our view is that respect for the rule of laws is already a prioritised area in the Nordic mining industry.</t>
  </si>
  <si>
    <t>e07e43fb14f69b6f88c290042b3d58b8</t>
  </si>
  <si>
    <t>However, concerns with regard to labour rights and migration within the sport industry means that attention must also be given to SDG targets 8.7 and 8.8. Sport-based approaches to employment training, entrepreneurship and enterprise have emerged and need to take account of opportunities within the broader economy to maximise their potential. The complexities associated with the collection of such data are magnified when recognition is given to the diverse range of economic activities that are directly and indirectly associated with sport. In countries where there are expertise and available data to undertake such economic analysis, findings have pointed to the growing economic value of sport while also indicating the financial value derived from sport-based interventions that deliver social benefit (Crabbe 2013, Fujiwara et al.</t>
  </si>
  <si>
    <t>8197b49ab42e89f2cb179df344d1e54d</t>
  </si>
  <si>
    <t>Leading migration researchers provided their perspectives on suitable methodologies at an international expert meeting that took place at the OECD in Paris on 23-24 February 2015.a Data constraints sometimes made it impossible to analyse all aspects in every partner country. Each country report and the integrated report provide detailed descriptions of their methodologies. What is the added value of the project? ( The contribution of the foreign-bom employed to GDP in 2010 (1.5%) was just below the commensurate share in employment (1.6%).</t>
  </si>
  <si>
    <t>be9cb61d3d8f89ee5bda2ece2bd52e38</t>
  </si>
  <si>
    <t>Neudeli is a one-stop-shop that offers the following types of assistance: Raising public awareness (entrepreneurship education, idea scouting, consulting service, organisation of competitions and events etc.), The annual budget of approx. Main partners include the Friedrich-Schiller-University in Jena, the Microsoft Deutschland GmbH, the Hochschule fiir Film und Fernsehen Konrad Wolf Pots-dam/Babelsberg, the City of Weimar, and several regional companies.</t>
  </si>
  <si>
    <t>40ec0d6b63db138b45793d89a691a975</t>
  </si>
  <si>
    <t>The Department of Labour is planning to introduce an electronic system whereby vacancies registered with them by employers are disseminated to all labour offices more rapidly, and this would be a useful step. The UYF was created in January 2001, and reports to the Ministry of Labour while maintaining its own independent status. The UYF functions as a development finance agency and is tasked with promoting entrepreneurship, job creation, skills development and skills transfer among South Africans between the ages of 18 and 35.</t>
  </si>
  <si>
    <t>1f3464de53fc2029469a776c7bdf6787</t>
  </si>
  <si>
    <t>This suggests that descriptive representation can actually translate into substantive representation for women. There are multiple causal pathways: elected women pay more attention to women’s needs, they are more effective in bringing these bills on the agenda and they can indirectly (or directly) influence male legislators’ priorities (Schwindt-Bayer, 2007). In Latin America, the presence of female legislators lias helped prioritise children and family affairs, as well as on sexual abuse and family violence issues in Argentina, Colombia and Costa Rica (Schwindt-Bayer, 2007).</t>
  </si>
  <si>
    <t>f58f34e665ab2dfd90e6d42a346f9a57</t>
  </si>
  <si>
    <t>Removing critical supply bottlenecks through ongoing improvement in electricity, gas and transport infrastructure is also vital to mitigate cost-push inflation. The upward revision of administered energy prices, rise in food prices due to drought conditions, depreciation of the domestic currency as well as increase in import duties on several food items contributed to upward pressure on prices. Inflation in Maldives has been on the rise and reached double-digit levels in 2011 and 2012. About two thirds of the total trade of Nepal takes place with India only. Inflation in Nepal remained high but came down from 9.6% in 2011 to 8.3% in 2012. A weak supply of food items kept inflation high.</t>
  </si>
  <si>
    <t>78369a424e5022f76239fb52faeca561</t>
  </si>
  <si>
    <t>Finally, employers in some countries appear to be showing a greater propensity to hoard labour than in past recessions.78 By reducing the increase in unemployment, greater reliance on hours adjustment may tend to reduce the build-up of the number of long-term unemployed during the recession and the number of workers withdrawing from the labour force (or postponing labour market entry) due to poor job-search prospects, indirectly reducing hysteresis effects. However, that need not be the case. Labour market segmentation could be further heightened by increased labour hoarding, if the resulting reduction in labour turnover rates places unemployed job seekers at a heightened risk of long-term unemployment, even though there are fewer of them.</t>
  </si>
  <si>
    <t>f9e4d77c718f1e97f7b6ca8f6183b75d</t>
  </si>
  <si>
    <t>This is further elaborated by commitments made by Cambodia in its NDC under the Paris Agreement on Climate Change where it identifies rural development and agriculture as key focus areas for adaptation, and renewable energy and energy efficiency as target areas for mitigation, but with no explicit target for renewable energy penetration. As part of the Strategic Plan, line ministries have started to develop sector level strategic plans and action plans. Efforts have also been made to estimate and mobilise financing for these action plans. Given its geography, available land area, irradiation, large concentrations of agricultural residues and animal manure, Cambodia has considerable potential for the uptake of solar, biomass, biofuel and biogas options.</t>
  </si>
  <si>
    <t>0b9408bcfcce31690d4527a8af815615</t>
  </si>
  <si>
    <t>The regression analysis shows that labour regulations have reduced female labour force participation and that recent reforms to liberalise them have mostly benefitted male employment (Daymard and Sorsa,2015). This can reflect the fact that the regulations remain rigid and affect negatively formal job creation (Dougherty, 2008). With sufficient reforms more flexible labour markets are likely to benefit job creation for women as well. In this context the proposed amendment to the Factories Bill in 2014 to relax female night work are welcome.</t>
  </si>
  <si>
    <t>d819bb65d9d289d8876432acaa1195db</t>
  </si>
  <si>
    <t>The tax rates are adjusted for country-specific average annual inflation rates over the period 2011-16. A low-rate (high-rate) taxpayer lias relatively low (high) income and wealth. Savings in private pensions are assumed not to give rise to reductions in means-tested public pensions, which can raise marginal taxes substantially.</t>
  </si>
  <si>
    <t>1f64a5cba022521e7f2ece697db488b4</t>
  </si>
  <si>
    <t>All regressions are based on the same 36 observations at the national level and 360 observations at the sub-national level per year and are weighted by the sample size of the education’experience’year cell. All regression models include education, experience, and period fixed effects, and a full set of two-way interactions. In this context, the educational attainment of foreign- and native-born workers is also taken into account. Thereafter, the chapter looks at factors that help explain why the contribution of foreign-born workers may be different from native-born workers based on qualitative studies of selected sectors.</t>
  </si>
  <si>
    <t>199188668494aed7d1b78e01d1bb0097</t>
  </si>
  <si>
    <t>The main issue remains that once on disability benefits or sick the likelihood to re-enter the labour force is limited. But it may also just reflect the fact that inactive people have lower income, hence live in more crowded houses or in cheaper areas far away from job centres. This could be interpreted as suggesting that decisions to enter or leave the labour force tend to be more permanent under these circumstances. No significant relations could be found with the other variables. The difference on the lagged coefficient would imply that a 10 percentage points increase in the share long-term unemployment could lead to a decline in participation 0.6 percentage point lower in the healthiest state than in the least healthy state. S + 5i(GDPls-GDPl-i,s) + 82(LTU,.5) + p (Xs)* (LTU,,S) +8,,s * Xs set of time unvarying structural indicators Results displayed in Table 2.3 show that long-term unemployment increases tend to lead to faster and stronger declines in participation where the share of disability recipients and the health of the population is w'eaker.22 On the other hand, higher educational attainment of the labour force tends to reduce this discouraged worker effect.</t>
  </si>
  <si>
    <t>69b9b9ed677e2a780b473808670fbb03</t>
  </si>
  <si>
    <t>While common factors help determine labour market participation for both women and men, women often face a far more restrictive range of such factors compared with men. Household and social norms in the subregion assume that women take the vast majority of responsibility for domestic work and caregiving and are sometimes restricted from labour market participation altogether if household income levels are sufficiently high. Labour market segmentation and economic decision-making norms restrict the range of possible jobs in which women can participate. Low incomes and high informality in segmented occupations and economic activity create significant gender gaps in participation in premium-level formal employment.</t>
  </si>
  <si>
    <t>c9708376b78f0cf88395f99c6ecf5f1c</t>
  </si>
  <si>
    <t>Every employer is required to apply the measures needed to effectively protect the life, safety and health of its workers, for which it must provide suitable premises, provide work equipment and adopt methods aimed at reducing and eliminating occupational hazards in the workplace. Specifies the just causes that allow the worker to terminate the employment relationship, with entitlement to compensation for unfair dismissal. The wage is unattachable up to the amount of the legal minimum wage. Also unattachable, among other things, is the full amount of the sums received by the worker in respect of retirement and pensions.</t>
  </si>
  <si>
    <t>adb4df3b201490f65aeb45aafbdc8ca7</t>
  </si>
  <si>
    <t>The Socio-Cultural Blueprint builds on the idea of multistakeholder and multi-sectoral engagement and calls for promotion and integration of Sustainable Consumption and Production Strategy and best practices into national and regional policies or as part of CSR activities (ASEAN, 2016b). The Political-Security7 Blueprint calls for strengthening collaboration with the private sector and other relevant stakeholders to instil CSR (ASEAN, 2016c). Notably, at the 24* ASEAN Labour Ministerial Meeting on 15 May 2016 in Vientiane, ASEAN labour ministers adopted the Guidelines for Corporate Social Responsibility on Labour to provide broad guidance to governments, enterprises, employers’ and workers’ organisations on raising awareness, proactively encouraging engagement, and promoting social dialogue and compliance with core labour standards (ASEAN, 2016d).</t>
  </si>
  <si>
    <t>TO DO</t>
  </si>
  <si>
    <t>linking to economic productivity</t>
  </si>
  <si>
    <t>no link to sustainable tourism practices</t>
  </si>
  <si>
    <t>weakly linked though</t>
  </si>
  <si>
    <t>somehow linked to 8.4</t>
  </si>
  <si>
    <t>weakly linked to 8.4</t>
  </si>
  <si>
    <t>more SDG 9</t>
  </si>
  <si>
    <t>linked to employment but no call to action/value or link to specific target objectives</t>
  </si>
  <si>
    <t>on econjomic productivity in labor-intensive sectors</t>
  </si>
  <si>
    <t>no direct link to SDG 8 objectives</t>
  </si>
  <si>
    <t>support to SMEs</t>
  </si>
  <si>
    <t>no direct link to sustainable tourism or SME support</t>
  </si>
  <si>
    <t>8.7 child trafficking</t>
  </si>
  <si>
    <t>Link to 8.5</t>
  </si>
  <si>
    <t>doi</t>
  </si>
  <si>
    <t>text_id</t>
  </si>
  <si>
    <t>text</t>
  </si>
  <si>
    <t>sdg</t>
  </si>
  <si>
    <t>labels_negative</t>
  </si>
  <si>
    <t>labels_positive</t>
  </si>
  <si>
    <t>labels_total</t>
  </si>
  <si>
    <t>agreement</t>
  </si>
  <si>
    <t>label</t>
  </si>
  <si>
    <t>difficulty</t>
  </si>
  <si>
    <t>selection reason</t>
  </si>
  <si>
    <t>10.1787/9789264302037-en</t>
  </si>
  <si>
    <t>very easy</t>
  </si>
  <si>
    <t>automated selection</t>
  </si>
  <si>
    <t>10.1787/5jrqppxjqhg4-en</t>
  </si>
  <si>
    <t>10.1787/eco/surveys-dnk-2019-3-en</t>
  </si>
  <si>
    <t>10.1787/5js4vmp5n5r8-en</t>
  </si>
  <si>
    <t>10.1787/9789264085398-en</t>
  </si>
  <si>
    <t>10.1787/9789264310278-en</t>
  </si>
  <si>
    <t>10.18356/68bdcb6f-en</t>
  </si>
  <si>
    <t>10.1787/9789264276055-11-en</t>
  </si>
  <si>
    <t>10.1787/9789264309074-14-en</t>
  </si>
  <si>
    <t>10.18356/3fe10a08-en</t>
  </si>
  <si>
    <t>10.1787/empl/outlook-2010-2-en</t>
  </si>
  <si>
    <t>easy</t>
  </si>
  <si>
    <t>10.1787/9789264081918-5-en</t>
  </si>
  <si>
    <t>10.1787/5jrp02kjw1mr-en</t>
  </si>
  <si>
    <t>10.18356/6546680a-en</t>
  </si>
  <si>
    <t>10.1787/e309eca0-en</t>
  </si>
  <si>
    <t>10.18356/a2a72b74-en</t>
  </si>
  <si>
    <t>10.1787/9789264262959-en</t>
  </si>
  <si>
    <t>medium</t>
  </si>
  <si>
    <t>10.18356/3a7787dd-en</t>
  </si>
  <si>
    <t>10.1787/5k4c0vtwpttj-en</t>
  </si>
  <si>
    <t>10.18356/584f8730-en</t>
  </si>
  <si>
    <t>10.1787/5js6363503f6-en</t>
  </si>
  <si>
    <t>10.1787/5js4rv0g7szr-en</t>
  </si>
  <si>
    <t>10.1787/6d9cd656-en</t>
  </si>
  <si>
    <t>10.1787/9789264269637-6-en</t>
  </si>
  <si>
    <t>hard</t>
  </si>
  <si>
    <t>10.1787/5js6g5kvpd6j-en</t>
  </si>
  <si>
    <t>10.1787/5k3xn24zbqr4-en</t>
  </si>
  <si>
    <t>10.1787/eco/surveys-zaf-2010-6-en</t>
  </si>
  <si>
    <t>10.14217/9781848599598-12-en</t>
  </si>
  <si>
    <t>10.6027/9789289349437-7-en</t>
  </si>
  <si>
    <t>very hard</t>
  </si>
  <si>
    <t>10.18356/46a5795c-en</t>
  </si>
  <si>
    <t>10.6027/9789289347945-5-en</t>
  </si>
  <si>
    <t>10.18356/9f796186-en</t>
  </si>
  <si>
    <t>10.18356/eb61760a-en</t>
  </si>
  <si>
    <t>SDG overall</t>
  </si>
  <si>
    <t>target 8.1</t>
  </si>
  <si>
    <t>10.1787/9789264110984-6-en</t>
  </si>
  <si>
    <t>target 8.10</t>
  </si>
  <si>
    <t>10.1787/729bf864-en</t>
  </si>
  <si>
    <t>10.18356/a25027f3-en</t>
  </si>
  <si>
    <t>10.18356/5e7c1b09-en</t>
  </si>
  <si>
    <t>10.1787/9789264082106-1-en</t>
  </si>
  <si>
    <t>10.1787/5km7rq0pq00q-en</t>
  </si>
  <si>
    <t>target 8.4</t>
  </si>
  <si>
    <t>10.18356/1fe990fb-en</t>
  </si>
  <si>
    <t>10.1787/9789264309074-5-en</t>
  </si>
  <si>
    <t>target 8.6</t>
  </si>
  <si>
    <t>10.1787/leo-2017-7-en</t>
  </si>
  <si>
    <t>10.1787/aeo-2012-8-en</t>
  </si>
  <si>
    <t>target 8.7</t>
  </si>
  <si>
    <t>target 8.8</t>
  </si>
  <si>
    <t>10.1787/9789264287747-en</t>
  </si>
  <si>
    <t>10.1787/c73325d9-en</t>
  </si>
  <si>
    <t>10.18356/0ac071e9-en</t>
  </si>
  <si>
    <t>target 8.a</t>
  </si>
  <si>
    <t>10.1787/9789264096127-9-en</t>
  </si>
  <si>
    <t>target 8.b</t>
  </si>
  <si>
    <t>Group</t>
  </si>
  <si>
    <t>Alignment</t>
  </si>
  <si>
    <t>Comments</t>
  </si>
  <si>
    <t>Consensus</t>
  </si>
  <si>
    <t>Rationale</t>
  </si>
  <si>
    <t>Notes</t>
  </si>
  <si>
    <t/>
  </si>
  <si>
    <t>not specific to working conditions of migrant workers</t>
  </si>
  <si>
    <t>reference to unemployment is purely descriptive</t>
  </si>
  <si>
    <t>- Steve: no direct link to SDG 8 objectives</t>
  </si>
  <si>
    <t>UNDECIDED</t>
  </si>
  <si>
    <t>skip for now; systemic risk for economy -&gt; what do we do with that?</t>
  </si>
  <si>
    <t>- Finn: target 8.9
- Steve: weakly linked though</t>
  </si>
  <si>
    <t>- Finn: RBC = Responsible Business Conduct
- Steve: more SDG 9</t>
  </si>
  <si>
    <t>- Finn: target 8.3
- Steve: support to SMEs</t>
  </si>
  <si>
    <t>- Steve: on econjomic productivity in labor-intensive sectors</t>
  </si>
  <si>
    <t>- Finn: green growth -&gt; target 8.4</t>
  </si>
  <si>
    <t>- Finn: target 8.8?
- Steve: 8.8</t>
  </si>
  <si>
    <t>- Steve: linking to economic productivity</t>
  </si>
  <si>
    <t>- Finn: labour and skills initiatives -&gt; target 8.3</t>
  </si>
  <si>
    <t>- Finn: typo</t>
  </si>
  <si>
    <t>- Steve: linked to employment but no call to action/value or link to specific target objectives</t>
  </si>
  <si>
    <t>- Steve: 8.8</t>
  </si>
  <si>
    <t>- Steve: somehow linked to 8.4</t>
  </si>
  <si>
    <t>- Steve: no link to sustainable tourism practices</t>
  </si>
  <si>
    <t>- Finn: target 8.5</t>
  </si>
  <si>
    <t>- Finn: target 8.3</t>
  </si>
  <si>
    <t>- Steve: Link to 8.5</t>
  </si>
  <si>
    <t>- Finn: child labor -&gt; target 8.7</t>
  </si>
  <si>
    <t>- Steve: weakly linked to 8.4</t>
  </si>
  <si>
    <t>- Steve: 8.7 child trafficking</t>
  </si>
  <si>
    <t>- Finn: related to inclusive and decent work</t>
  </si>
  <si>
    <t>- Finn: last sentence is tricky</t>
  </si>
  <si>
    <t>focused on general migration policy (such as target 10.7) rather than ensuring safe working environment for migrants</t>
  </si>
  <si>
    <t>- Finn: target 8.2</t>
  </si>
  <si>
    <t>- Finn: diversify income -&gt; target 8.2</t>
  </si>
  <si>
    <t>- Steve: no direct link to sustainable tourism or SME support</t>
  </si>
  <si>
    <t>- Finn: target 8.9</t>
  </si>
  <si>
    <t>- Finn: indirect link to economy</t>
  </si>
  <si>
    <t>link to "economic impacts" is not specific to sustainable / inclusive economy</t>
  </si>
  <si>
    <t>- Finn: indirect link to entrepreneurship</t>
  </si>
  <si>
    <t>- Finn: - SA: Social Assistance
- HB: Housing Benefit
- FB: Family Benefit</t>
  </si>
  <si>
    <t>- Finn: not inclusive</t>
  </si>
  <si>
    <t>id</t>
  </si>
  <si>
    <t>osdg_text_id</t>
  </si>
  <si>
    <t>comment</t>
  </si>
  <si>
    <t>All regressions are based on the same 36 observations at the national level and 360 observations at the sub-national level per year and are weighted by the sample size of the education-experience-year cell. All regression models include education, experience, and period fixed effects, and a full set of two-way interactions. In this context, the educational attainment of foreign- and native-born workers is also taken into account. Thereafter, the chapter looks at factors that help explain why the contribution of foreign-born workers may be different from native-born workers based on qualitative studies of selected sectors.</t>
  </si>
  <si>
    <t>not specific to working conditions of migrant workers; fixed formatting</t>
  </si>
  <si>
    <t>The experience of the networks showed that for an effective co-operation it is crucial to identify the right partners, win them over for an active co-operation and embed the resulting network in the existing support structures of the region. An important learning of the programme was that it takes time to develop these structures. However, such structures are the prerequisite for developing specific support services and embed those in needs-oriented “service chains”. The accompanying monitoring of the programme found that most networks devoted themselves to linking up service chains and optimising interfaces.</t>
  </si>
  <si>
    <t>fixed typo</t>
  </si>
  <si>
    <t>There is a need for a clear target and policy for renewable energy and for these to be reflected clearly in the national power development plan. In places where houses or companies do have solar installed, they are not actively encouraged or compensated to feed excess energy back into the grid. Despite the lack of incentives, a fledgling solar industry has developed in Cambodia with the Solar Energy Association of Cambodia, mostly providing off-grid solutions targeting communities not connected to the grid. Support to government institutions, through multi-donor initiatives such as the Cambodia Climate Change Alliance, have enabled the development and roll-out of important environmental policies including climate change policies and action plans.</t>
  </si>
  <si>
    <t>fixed typos</t>
  </si>
  <si>
    <t>This work is contributing to SDG target 16.1, aimed at significantly reducing all forms of violence. Citizens are encouraged to keep active and healthy through the Play for Life programme, which also aims to help keep some of Sierra Leone's traditional sports alive and pass them on to future generations.</t>
  </si>
  <si>
    <t>added missing space</t>
  </si>
  <si>
    <t>The main issue remains that once on disability benefits or sick the likelihood to re-enter the labour force is limited. But it may also just reflect the fact that inactive people have lower income, hence live in more crowded houses or in cheaper areas far away from job centres. This could be interpreted as suggesting that decisions to enter or leave the labour force tend to be more permanent under these circumstances. No significant relations could be found with the other variables. The difference on the lagged coefficient would imply that a 10 percentage points increase in the share long-term unemployment could lead to a decline in participation 0.6 percentage point lower in the healthiest state than in the least healthy state. S + 5i(GDPls-GDPl-i,s) + 82(LTU,.5) + p (Xs)* (LTU,,S) +8,,s * Xs set of time unvarying structural indicators Results displayed in Table 2.3 show that long-term unemployment increases tend to lead to faster and stronger declines in participation where the share of disability recipients and the health of the population is weaker. On the other hand, higher educational attainment of the labour force tends to reduce this discouraged worker effect.</t>
  </si>
  <si>
    <t>fixed typo; removed footnote number</t>
  </si>
  <si>
    <t>The new fit2work service, fully implemented in 2013, seeks to avert job losses and long-term unemployment. Health insurance contacts sick-listed employees after around 40 days of absence, offering general information (on possible treatment, for example), counselling and return-to-work support by a network of counselling firms. Waiting times for health services (e.g. psychotherapy) can also be reduced.</t>
  </si>
  <si>
    <t>The Socio-Cultural Blueprint builds on the idea of multistakeholder and multi-sectoral engagement and calls for promotion and integration of Sustainable Consumption and Production Strategy and best practices into national and regional policies or as part of CSR activities (ASEAN, 2016b). The Political-Security Blueprint calls for strengthening collaboration with the private sector and other relevant stakeholders to instil CSR (ASEAN, 2016c). Notably, at the 24* ASEAN Labour Ministerial Meeting on 15 May 2016 in Vientiane, ASEAN labour ministers adopted the Guidelines for Corporate Social Responsibility on Labour to provide broad guidance to governments, enterprises, employers’ and workers’ organisations on raising awareness, proactively encouraging engagement, and promoting social dialogue and compliance with core labour standards (ASEAN, 2016d).</t>
  </si>
  <si>
    <t>removed footnote number</t>
  </si>
  <si>
    <t>Cambodia has a high potential for renewable energy and a fledgling solar industry, spurred in part by donor financed programmes over the past decade. Despite this, no renewable energy policy exists and no incentives are in place to spur the uptake of grid-connected renewables, and power development plans do not reflect the potential for green energy in the country. Similarly, there is no policy framework in place to support energy efficiency.</t>
  </si>
  <si>
    <t>The tax rates are adjusted for country-specific average annual inflation rates over the period 2011-16. A low-rate (high-rate) taxpayer has relatively low (high) income and wealth. Savings in private pensions are assumed not to give rise to reductions in means-tested public pensions, which can raise marginal taxes substantially.</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</si>
</sst>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color theme="1"/>
      <name val="Arial"/>
    </font>
    <font>
      <b/>
      <color rgb="FF000000"/>
      <name val="&quot;Arial&quot;"/>
    </font>
    <font>
      <b/>
      <i/>
      <color rgb="FF000000"/>
      <name val="&quot;Arial&quot;"/>
    </font>
    <font>
      <b/>
      <sz val="10.0"/>
      <color theme="0"/>
      <name val="Arial"/>
      <scheme val="minor"/>
    </font>
    <font>
      <b/>
      <sz val="10.0"/>
      <color theme="1"/>
      <name val="Arial"/>
      <scheme val="minor"/>
    </font>
    <font>
      <b/>
      <color theme="0"/>
      <name val="Arial"/>
      <scheme val="minor"/>
    </font>
    <font>
      <u/>
      <color rgb="FF0000FF"/>
    </font>
    <font>
      <b/>
      <color theme="1"/>
      <name val="Arial"/>
      <scheme val="minor"/>
    </font>
    <font>
      <sz val="13.0"/>
      <color theme="1"/>
      <name val="Arial"/>
      <scheme val="minor"/>
    </font>
    <font>
      <b/>
      <u/>
      <color theme="1"/>
      <name val="Arial"/>
      <scheme val="minor"/>
    </font>
    <font>
      <b/>
      <color theme="1"/>
      <name val="Calibri"/>
    </font>
    <font>
      <color theme="1"/>
      <name val="Calibri"/>
    </font>
    <font>
      <sz val="11.0"/>
      <color theme="1"/>
      <name val="Arial"/>
      <scheme val="minor"/>
    </font>
    <font>
      <b/>
      <color theme="1"/>
      <name val="Arial"/>
    </font>
    <font>
      <b/>
      <sz val="10.0"/>
      <color theme="1"/>
      <name val="Arial"/>
    </font>
    <font>
      <sz val="10.0"/>
      <color theme="1"/>
      <name val="Arial"/>
      <scheme val="minor"/>
    </font>
    <font>
      <sz val="9.0"/>
      <color theme="1"/>
      <name val="Arial"/>
      <scheme val="minor"/>
    </font>
  </fonts>
  <fills count="6">
    <fill>
      <patternFill patternType="none"/>
    </fill>
    <fill>
      <patternFill patternType="lightGray"/>
    </fill>
    <fill>
      <patternFill patternType="solid">
        <fgColor rgb="FF901135"/>
        <bgColor rgb="FF901135"/>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s>
  <borders count="3">
    <border/>
    <border>
      <left style="thin">
        <color rgb="FF999999"/>
      </left>
      <right style="thin">
        <color rgb="FF999999"/>
      </right>
      <top style="thin">
        <color rgb="FF999999"/>
      </top>
      <bottom style="thin">
        <color rgb="FF999999"/>
      </bottom>
    </border>
    <border>
      <left style="thick">
        <color rgb="FF000000"/>
      </lef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shrinkToFit="0" vertical="bottom" wrapText="0"/>
    </xf>
    <xf borderId="0" fillId="0" fontId="9" numFmtId="0" xfId="0" applyFont="1"/>
    <xf borderId="0" fillId="0" fontId="5" numFmtId="0" xfId="0" applyAlignment="1" applyFont="1">
      <alignment readingOrder="0" shrinkToFit="0" wrapText="1"/>
    </xf>
    <xf borderId="0" fillId="0" fontId="10" numFmtId="0" xfId="0" applyAlignment="1" applyFont="1">
      <alignment readingOrder="0"/>
    </xf>
    <xf borderId="0" fillId="0" fontId="8" numFmtId="0" xfId="0" applyFont="1"/>
    <xf borderId="0" fillId="0" fontId="11" numFmtId="0" xfId="0" applyAlignment="1" applyFont="1">
      <alignment readingOrder="0"/>
    </xf>
    <xf borderId="0" fillId="0" fontId="5" numFmtId="0" xfId="0" applyAlignment="1" applyFont="1">
      <alignment vertical="center"/>
    </xf>
    <xf borderId="1" fillId="2" fontId="12" numFmtId="0" xfId="0" applyAlignment="1" applyBorder="1" applyFill="1" applyFont="1">
      <alignment horizontal="center" readingOrder="0" vertical="center"/>
    </xf>
    <xf borderId="1" fillId="0" fontId="13" numFmtId="0" xfId="0" applyAlignment="1" applyBorder="1" applyFont="1">
      <alignment readingOrder="0" shrinkToFit="0" vertical="center" wrapText="0"/>
    </xf>
    <xf borderId="0" fillId="0" fontId="5" numFmtId="0" xfId="0" applyAlignment="1" applyFont="1">
      <alignment shrinkToFit="0" vertical="center" wrapText="1"/>
    </xf>
    <xf borderId="1" fillId="2" fontId="1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0" fillId="0" fontId="15" numFmtId="0" xfId="0" applyAlignment="1" applyFont="1">
      <alignment readingOrder="0"/>
    </xf>
    <xf borderId="0" fillId="0" fontId="16" numFmtId="0" xfId="0" applyAlignment="1" applyFont="1">
      <alignment readingOrder="0"/>
    </xf>
    <xf borderId="0" fillId="0" fontId="5" numFmtId="0" xfId="0" applyFont="1"/>
    <xf borderId="0" fillId="0" fontId="0" numFmtId="0" xfId="0" applyAlignment="1" applyFont="1">
      <alignment horizontal="right"/>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readingOrder="0" vertical="bottom"/>
    </xf>
    <xf borderId="0" fillId="0" fontId="19" numFmtId="0" xfId="0" applyAlignment="1" applyFont="1">
      <alignment readingOrder="0" shrinkToFit="0" vertical="bottom" wrapText="1"/>
    </xf>
    <xf borderId="0" fillId="0" fontId="13" numFmtId="0" xfId="0" applyAlignment="1" applyFont="1">
      <alignment horizontal="center" readingOrder="0" vertical="bottom"/>
    </xf>
    <xf borderId="0" fillId="0" fontId="20" numFmtId="0" xfId="0" applyAlignment="1" applyFont="1">
      <alignment vertical="bottom"/>
    </xf>
    <xf borderId="0" fillId="0" fontId="20" numFmtId="0" xfId="0" applyAlignment="1" applyFont="1">
      <alignment shrinkToFit="0" vertical="bottom" wrapText="1"/>
    </xf>
    <xf borderId="0" fillId="0" fontId="21" numFmtId="0" xfId="0" applyAlignment="1" applyFont="1">
      <alignment horizontal="center" readingOrder="0" vertical="center"/>
    </xf>
    <xf borderId="0" fillId="3" fontId="20" numFmtId="0" xfId="0" applyAlignment="1" applyFill="1" applyFont="1">
      <alignment shrinkToFit="0" vertical="bottom" wrapText="1"/>
    </xf>
    <xf borderId="0" fillId="4" fontId="20" numFmtId="0" xfId="0" applyAlignment="1" applyFill="1" applyFont="1">
      <alignment shrinkToFit="0" vertical="bottom" wrapText="1"/>
    </xf>
    <xf borderId="0" fillId="5" fontId="20" numFmtId="0" xfId="0" applyAlignment="1" applyFill="1" applyFont="1">
      <alignment shrinkToFit="0" vertical="bottom" wrapText="1"/>
    </xf>
    <xf borderId="0" fillId="0" fontId="22" numFmtId="0" xfId="0" applyAlignment="1" applyFont="1">
      <alignment vertical="bottom"/>
    </xf>
    <xf borderId="0" fillId="0" fontId="22" numFmtId="2" xfId="0" applyAlignment="1" applyFont="1" applyNumberFormat="1">
      <alignment vertical="bottom"/>
    </xf>
    <xf borderId="0" fillId="0" fontId="22" numFmtId="0" xfId="0" applyAlignment="1" applyFont="1">
      <alignment vertical="bottom"/>
    </xf>
    <xf borderId="0" fillId="0" fontId="22" numFmtId="0" xfId="0" applyAlignment="1" applyFont="1">
      <alignment horizontal="right" readingOrder="0" vertical="bottom"/>
    </xf>
    <xf borderId="0" fillId="0" fontId="9" numFmtId="0" xfId="0" applyAlignment="1" applyFont="1">
      <alignment vertical="bottom"/>
    </xf>
    <xf borderId="0" fillId="0" fontId="9" numFmtId="0" xfId="0" applyAlignment="1" applyFont="1">
      <alignment horizontal="right" vertical="bottom"/>
    </xf>
    <xf borderId="0" fillId="0" fontId="9" numFmtId="0" xfId="0" applyAlignment="1" applyFont="1">
      <alignment horizontal="right" vertical="bottom"/>
    </xf>
    <xf borderId="0" fillId="0" fontId="9" numFmtId="2" xfId="0" applyAlignment="1" applyFont="1" applyNumberFormat="1">
      <alignment horizontal="right" vertical="bottom"/>
    </xf>
    <xf borderId="0" fillId="0" fontId="9" numFmtId="0" xfId="0" applyAlignment="1" applyFont="1">
      <alignment horizontal="center" vertical="bottom"/>
    </xf>
    <xf borderId="0" fillId="0" fontId="22" numFmtId="0" xfId="0" applyAlignment="1" applyFont="1">
      <alignment horizontal="center" readingOrder="0" vertical="bottom"/>
    </xf>
    <xf borderId="0" fillId="0" fontId="22" numFmtId="0" xfId="0" applyAlignment="1" applyFont="1">
      <alignment horizontal="center" vertical="bottom"/>
    </xf>
    <xf borderId="0" fillId="0" fontId="23" numFmtId="0" xfId="0" applyAlignment="1" applyFont="1">
      <alignment readingOrder="0" vertical="bottom"/>
    </xf>
    <xf borderId="2" fillId="0" fontId="16" numFmtId="0" xfId="0" applyAlignment="1" applyBorder="1" applyFont="1">
      <alignment horizontal="center" readingOrder="0"/>
    </xf>
    <xf borderId="0" fillId="0" fontId="5" numFmtId="0" xfId="0" applyAlignment="1" applyFont="1">
      <alignment horizontal="center"/>
    </xf>
    <xf borderId="0" fillId="0" fontId="24" numFmtId="10" xfId="0" applyFont="1" applyNumberFormat="1"/>
    <xf borderId="0" fillId="0" fontId="25" numFmtId="10" xfId="0" applyFont="1" applyNumberFormat="1"/>
    <xf borderId="2" fillId="0" fontId="5" numFmtId="0" xfId="0" applyAlignment="1" applyBorder="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9" numFmtId="0" xfId="0" applyAlignment="1" applyFont="1">
      <alignment readingOrder="0" vertical="bottom"/>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12.63"/>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A40" s="12"/>
      <c r="B40" s="13" t="s">
        <v>27</v>
      </c>
      <c r="C40" s="14"/>
      <c r="D40" s="12"/>
      <c r="E40" s="12"/>
      <c r="F40" s="12"/>
      <c r="G40" s="12"/>
      <c r="H40" s="12"/>
      <c r="I40" s="12"/>
      <c r="J40" s="12"/>
      <c r="K40" s="12"/>
      <c r="L40" s="12"/>
      <c r="M40" s="12"/>
      <c r="N40" s="12"/>
      <c r="O40" s="12"/>
      <c r="P40" s="12"/>
      <c r="Q40" s="12"/>
      <c r="R40" s="12"/>
      <c r="S40" s="12"/>
      <c r="T40" s="12"/>
      <c r="U40" s="12"/>
      <c r="V40" s="12"/>
      <c r="W40" s="12"/>
      <c r="X40" s="12"/>
      <c r="Y40" s="12"/>
      <c r="Z40" s="12"/>
    </row>
    <row r="41">
      <c r="C41" s="8"/>
    </row>
    <row r="42">
      <c r="B42" s="9" t="s">
        <v>28</v>
      </c>
      <c r="C42" s="15"/>
    </row>
    <row r="43">
      <c r="B43" s="5" t="s">
        <v>29</v>
      </c>
    </row>
    <row r="44">
      <c r="B44" s="5" t="s">
        <v>30</v>
      </c>
    </row>
    <row r="45">
      <c r="B45" s="16" t="s">
        <v>31</v>
      </c>
    </row>
    <row r="46">
      <c r="A46" s="17"/>
      <c r="B46" s="18" t="s">
        <v>32</v>
      </c>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8" t="s">
        <v>33</v>
      </c>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B48" s="3" t="s">
        <v>34</v>
      </c>
    </row>
    <row r="50">
      <c r="B50" s="6" t="s">
        <v>35</v>
      </c>
    </row>
    <row r="51" ht="22.5" customHeight="1">
      <c r="A51" s="19"/>
      <c r="B51" s="20" t="s">
        <v>36</v>
      </c>
      <c r="C51" s="21" t="s">
        <v>37</v>
      </c>
      <c r="D51" s="19"/>
      <c r="E51" s="19"/>
      <c r="F51" s="19"/>
      <c r="G51" s="19"/>
      <c r="H51" s="19"/>
      <c r="I51" s="19"/>
      <c r="J51" s="19"/>
      <c r="K51" s="19"/>
      <c r="L51" s="19"/>
      <c r="M51" s="19"/>
      <c r="N51" s="19"/>
      <c r="O51" s="19"/>
      <c r="P51" s="19"/>
      <c r="Q51" s="19"/>
      <c r="R51" s="19"/>
      <c r="S51" s="19"/>
      <c r="T51" s="19"/>
      <c r="U51" s="19"/>
      <c r="V51" s="19"/>
      <c r="W51" s="19"/>
      <c r="X51" s="19"/>
      <c r="Y51" s="19"/>
      <c r="Z51" s="19"/>
    </row>
    <row r="52">
      <c r="A52" s="22"/>
      <c r="B52" s="23" t="s">
        <v>38</v>
      </c>
      <c r="C52" s="24" t="s">
        <v>39</v>
      </c>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3" t="s">
        <v>40</v>
      </c>
      <c r="C53" s="24" t="s">
        <v>41</v>
      </c>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3" t="s">
        <v>42</v>
      </c>
      <c r="C54" s="24" t="s">
        <v>43</v>
      </c>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3" t="s">
        <v>44</v>
      </c>
      <c r="C55" s="24" t="s">
        <v>45</v>
      </c>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3" t="s">
        <v>46</v>
      </c>
      <c r="C56" s="24" t="s">
        <v>47</v>
      </c>
      <c r="D56" s="22"/>
      <c r="E56" s="22"/>
      <c r="F56" s="22"/>
      <c r="G56" s="22"/>
      <c r="H56" s="22"/>
      <c r="I56" s="22"/>
      <c r="J56" s="22"/>
      <c r="K56" s="22"/>
      <c r="L56" s="22"/>
      <c r="M56" s="22"/>
      <c r="N56" s="22"/>
      <c r="O56" s="22"/>
      <c r="P56" s="22"/>
      <c r="Q56" s="22"/>
      <c r="R56" s="22"/>
      <c r="S56" s="22"/>
      <c r="T56" s="22"/>
      <c r="U56" s="22"/>
      <c r="V56" s="22"/>
      <c r="W56" s="22"/>
      <c r="X56" s="22"/>
      <c r="Y56" s="22"/>
      <c r="Z56" s="22"/>
    </row>
    <row r="57" ht="22.5" customHeight="1">
      <c r="A57" s="22"/>
      <c r="B57" s="23" t="s">
        <v>48</v>
      </c>
      <c r="C57" s="24" t="s">
        <v>49</v>
      </c>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3" t="s">
        <v>50</v>
      </c>
      <c r="C58" s="24" t="s">
        <v>51</v>
      </c>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3" t="s">
        <v>52</v>
      </c>
      <c r="C59" s="24" t="s">
        <v>53</v>
      </c>
      <c r="D59" s="22"/>
      <c r="E59" s="22"/>
      <c r="F59" s="22"/>
      <c r="G59" s="22"/>
      <c r="H59" s="22"/>
      <c r="I59" s="22"/>
      <c r="J59" s="22"/>
      <c r="K59" s="22"/>
      <c r="L59" s="22"/>
      <c r="M59" s="22"/>
      <c r="N59" s="22"/>
      <c r="O59" s="22"/>
      <c r="P59" s="22"/>
      <c r="Q59" s="22"/>
      <c r="R59" s="22"/>
      <c r="S59" s="22"/>
      <c r="T59" s="22"/>
      <c r="U59" s="22"/>
      <c r="V59" s="22"/>
      <c r="W59" s="22"/>
      <c r="X59" s="22"/>
      <c r="Y59" s="22"/>
      <c r="Z59" s="22"/>
    </row>
    <row r="60" ht="22.5" customHeight="1">
      <c r="A60" s="22"/>
      <c r="B60" s="23" t="s">
        <v>54</v>
      </c>
      <c r="C60" s="24" t="s">
        <v>55</v>
      </c>
      <c r="D60" s="22"/>
      <c r="E60" s="22"/>
      <c r="F60" s="22"/>
      <c r="G60" s="22"/>
      <c r="H60" s="22"/>
      <c r="I60" s="22"/>
      <c r="J60" s="22"/>
      <c r="K60" s="22"/>
      <c r="L60" s="22"/>
      <c r="M60" s="22"/>
      <c r="N60" s="22"/>
      <c r="O60" s="22"/>
      <c r="P60" s="22"/>
      <c r="Q60" s="22"/>
      <c r="R60" s="22"/>
      <c r="S60" s="22"/>
      <c r="T60" s="22"/>
      <c r="U60" s="22"/>
      <c r="V60" s="22"/>
      <c r="W60" s="22"/>
      <c r="X60" s="22"/>
      <c r="Y60" s="22"/>
      <c r="Z60" s="22"/>
    </row>
    <row r="61" ht="22.5" customHeight="1">
      <c r="A61" s="22"/>
      <c r="B61" s="23" t="s">
        <v>56</v>
      </c>
      <c r="C61" s="24" t="s">
        <v>57</v>
      </c>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3" t="s">
        <v>58</v>
      </c>
      <c r="C62" s="24" t="s">
        <v>59</v>
      </c>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3" t="s">
        <v>60</v>
      </c>
      <c r="C63" s="24" t="s">
        <v>61</v>
      </c>
      <c r="D63" s="22"/>
      <c r="E63" s="22"/>
      <c r="F63" s="22"/>
      <c r="G63" s="22"/>
      <c r="H63" s="22"/>
      <c r="I63" s="22"/>
      <c r="J63" s="22"/>
      <c r="K63" s="22"/>
      <c r="L63" s="22"/>
      <c r="M63" s="22"/>
      <c r="N63" s="22"/>
      <c r="O63" s="22"/>
      <c r="P63" s="22"/>
      <c r="Q63" s="22"/>
      <c r="R63" s="22"/>
      <c r="S63" s="22"/>
      <c r="T63" s="22"/>
      <c r="U63" s="22"/>
      <c r="V63" s="22"/>
      <c r="W63" s="22"/>
      <c r="X63" s="22"/>
      <c r="Y63" s="22"/>
      <c r="Z63" s="22"/>
    </row>
    <row r="64">
      <c r="B64" s="25" t="s">
        <v>62</v>
      </c>
    </row>
    <row r="66">
      <c r="B66" s="6" t="s">
        <v>63</v>
      </c>
    </row>
    <row r="67">
      <c r="B67" s="5" t="s">
        <v>64</v>
      </c>
    </row>
    <row r="68">
      <c r="B68" s="5"/>
    </row>
    <row r="69">
      <c r="B69" s="26" t="s">
        <v>65</v>
      </c>
      <c r="C69" s="26" t="s">
        <v>66</v>
      </c>
    </row>
    <row r="70">
      <c r="B70" s="25" t="s">
        <v>67</v>
      </c>
      <c r="C70" s="27" t="str">
        <f>IFERROR(__xludf.DUMMYFUNCTION("SPARKLINE((100-COUNTIF(INDIRECT(B70&amp;""!C:C""), ""TO DO""))/100+0.01,{""charttype"",""bar"";""max"",1.01;""min"",0; ""color1"", ""#4285f4""})"),"")</f>
        <v/>
      </c>
      <c r="D70" s="28" t="str">
        <f t="shared" ref="D70:D74" si="1">(100-COUNTIF(INDIRECT(B70&amp;"!C:C"), "TO DO")) &amp; " / 100"</f>
        <v>100 / 100</v>
      </c>
    </row>
    <row r="71">
      <c r="B71" s="25" t="s">
        <v>68</v>
      </c>
      <c r="C71" s="27" t="str">
        <f>IFERROR(__xludf.DUMMYFUNCTION("SPARKLINE((100-COUNTIF(INDIRECT(B71&amp;""!C:C""), ""TO DO""))/100+0.01,{""charttype"",""bar"";""max"",1.01;""min"",0; ""color1"", ""#4285f4""})"),"")</f>
        <v/>
      </c>
      <c r="D71" s="28" t="str">
        <f t="shared" si="1"/>
        <v>0 / 100</v>
      </c>
    </row>
    <row r="72">
      <c r="B72" s="25" t="s">
        <v>69</v>
      </c>
      <c r="C72" s="27" t="str">
        <f>IFERROR(__xludf.DUMMYFUNCTION("SPARKLINE((100-COUNTIF(INDIRECT(B72&amp;""!C:C""), ""TO DO""))/100+0.01,{""charttype"",""bar"";""max"",1.01;""min"",0; ""color1"", ""#4285f4""})"),"")</f>
        <v/>
      </c>
      <c r="D72" s="28" t="str">
        <f t="shared" si="1"/>
        <v>0 / 100</v>
      </c>
    </row>
    <row r="73">
      <c r="B73" s="25" t="s">
        <v>70</v>
      </c>
      <c r="C73" s="27" t="str">
        <f>IFERROR(__xludf.DUMMYFUNCTION("SPARKLINE((100-COUNTIF(INDIRECT(B73&amp;""!C:C""), ""TO DO""))/100+0.01,{""charttype"",""bar"";""max"",1.01;""min"",0; ""color1"", ""#4285f4""})"),"")</f>
        <v/>
      </c>
      <c r="D73" s="28" t="str">
        <f t="shared" si="1"/>
        <v>100 / 100</v>
      </c>
    </row>
    <row r="74">
      <c r="B74" s="25" t="s">
        <v>71</v>
      </c>
      <c r="C74" s="27" t="str">
        <f>IFERROR(__xludf.DUMMYFUNCTION("SPARKLINE((100-COUNTIF(INDIRECT(B74&amp;""!C:C""), ""TO DO""))/100+0.01,{""charttype"",""bar"";""max"",1.01;""min"",0; ""color1"", ""#4285f4""})"),"")</f>
        <v/>
      </c>
      <c r="D74" s="28" t="str">
        <f t="shared" si="1"/>
        <v>100 / 100</v>
      </c>
    </row>
    <row r="76">
      <c r="B76" s="29" t="s">
        <v>72</v>
      </c>
    </row>
    <row r="78">
      <c r="B78" s="6" t="s">
        <v>73</v>
      </c>
    </row>
    <row r="79">
      <c r="B79" s="5" t="s">
        <v>74</v>
      </c>
    </row>
    <row r="80">
      <c r="B80" s="5"/>
    </row>
    <row r="81">
      <c r="B81" s="5" t="s">
        <v>75</v>
      </c>
    </row>
    <row r="82">
      <c r="B82" s="5"/>
    </row>
    <row r="83">
      <c r="B83" s="30" t="s">
        <v>76</v>
      </c>
    </row>
    <row r="84">
      <c r="B84" s="5" t="s">
        <v>77</v>
      </c>
    </row>
    <row r="85">
      <c r="B85" s="5" t="s">
        <v>78</v>
      </c>
    </row>
    <row r="86">
      <c r="B86" s="5" t="s">
        <v>79</v>
      </c>
    </row>
    <row r="87">
      <c r="B87" s="5" t="s">
        <v>80</v>
      </c>
    </row>
    <row r="88">
      <c r="B88" s="5" t="s">
        <v>81</v>
      </c>
    </row>
    <row r="89">
      <c r="B89" s="5" t="s">
        <v>82</v>
      </c>
    </row>
    <row r="90">
      <c r="B90" s="5" t="s">
        <v>83</v>
      </c>
    </row>
    <row r="91">
      <c r="B91" s="5" t="s">
        <v>84</v>
      </c>
    </row>
    <row r="92">
      <c r="B92" s="5" t="s">
        <v>85</v>
      </c>
    </row>
    <row r="93">
      <c r="B93" s="5" t="s">
        <v>86</v>
      </c>
    </row>
    <row r="94">
      <c r="B94" s="5" t="s">
        <v>87</v>
      </c>
    </row>
    <row r="96">
      <c r="B96" s="30" t="s">
        <v>88</v>
      </c>
    </row>
    <row r="97">
      <c r="B97" s="5" t="s">
        <v>89</v>
      </c>
    </row>
    <row r="98">
      <c r="B98" s="5" t="s">
        <v>90</v>
      </c>
    </row>
    <row r="99">
      <c r="B99" s="5" t="s">
        <v>91</v>
      </c>
    </row>
    <row r="100">
      <c r="B100" s="5" t="s">
        <v>92</v>
      </c>
    </row>
    <row r="104">
      <c r="B104" s="13"/>
    </row>
    <row r="105">
      <c r="B105" s="13"/>
    </row>
    <row r="106">
      <c r="B106" s="13"/>
    </row>
    <row r="107">
      <c r="B107" s="13"/>
    </row>
    <row r="108">
      <c r="B108" s="13"/>
    </row>
  </sheetData>
  <dataValidations>
    <dataValidation type="list" allowBlank="1" showErrorMessage="1" sqref="B18:B20">
      <formula1>"TRUE,FALSE,SKIP"</formula1>
    </dataValidation>
  </dataValidations>
  <hyperlinks>
    <hyperlink r:id="rId1" ref="B64"/>
    <hyperlink display="Finn" location="Finn!A1" ref="B70"/>
    <hyperlink display="Gib" location="Gib!A1" ref="B71"/>
    <hyperlink display="Jean-Baptiste" location="'Jean-Baptiste'!A1" ref="B72"/>
    <hyperlink display="Meike" location="Meike!A1" ref="B73"/>
    <hyperlink display="Steve" location="Steve!A1" ref="B7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34.63"/>
  </cols>
  <sheetData>
    <row r="1">
      <c r="A1" s="31" t="s">
        <v>93</v>
      </c>
      <c r="B1" s="32" t="s">
        <v>94</v>
      </c>
      <c r="C1" s="33" t="s">
        <v>95</v>
      </c>
      <c r="D1" s="26" t="s">
        <v>96</v>
      </c>
    </row>
    <row r="2">
      <c r="A2" s="34" t="s">
        <v>97</v>
      </c>
      <c r="B2" s="35" t="s">
        <v>98</v>
      </c>
      <c r="C2" s="36" t="b">
        <v>0</v>
      </c>
    </row>
    <row r="3">
      <c r="A3" s="34" t="s">
        <v>99</v>
      </c>
      <c r="B3" s="35" t="s">
        <v>100</v>
      </c>
      <c r="C3" s="36" t="b">
        <v>1</v>
      </c>
      <c r="D3" s="5" t="s">
        <v>101</v>
      </c>
    </row>
    <row r="4">
      <c r="A4" s="34" t="s">
        <v>102</v>
      </c>
      <c r="B4" s="35" t="s">
        <v>103</v>
      </c>
      <c r="C4" s="36" t="b">
        <v>0</v>
      </c>
    </row>
    <row r="5">
      <c r="A5" s="34" t="s">
        <v>104</v>
      </c>
      <c r="B5" s="35" t="s">
        <v>105</v>
      </c>
      <c r="C5" s="36" t="b">
        <v>0</v>
      </c>
    </row>
    <row r="6">
      <c r="A6" s="34" t="s">
        <v>106</v>
      </c>
      <c r="B6" s="35" t="s">
        <v>107</v>
      </c>
      <c r="C6" s="36" t="b">
        <v>1</v>
      </c>
    </row>
    <row r="7">
      <c r="A7" s="34" t="s">
        <v>108</v>
      </c>
      <c r="B7" s="35" t="s">
        <v>109</v>
      </c>
      <c r="C7" s="36" t="b">
        <v>1</v>
      </c>
    </row>
    <row r="8">
      <c r="A8" s="34" t="s">
        <v>110</v>
      </c>
      <c r="B8" s="35" t="s">
        <v>111</v>
      </c>
      <c r="C8" s="36" t="b">
        <v>0</v>
      </c>
    </row>
    <row r="9">
      <c r="A9" s="34" t="s">
        <v>112</v>
      </c>
      <c r="B9" s="35" t="s">
        <v>113</v>
      </c>
      <c r="C9" s="36" t="b">
        <v>0</v>
      </c>
    </row>
    <row r="10">
      <c r="A10" s="34" t="s">
        <v>114</v>
      </c>
      <c r="B10" s="35" t="s">
        <v>115</v>
      </c>
      <c r="C10" s="36" t="b">
        <v>0</v>
      </c>
    </row>
    <row r="11">
      <c r="A11" s="34" t="s">
        <v>116</v>
      </c>
      <c r="B11" s="35" t="s">
        <v>117</v>
      </c>
      <c r="C11" s="36" t="b">
        <v>0</v>
      </c>
    </row>
    <row r="12">
      <c r="A12" s="34" t="s">
        <v>118</v>
      </c>
      <c r="B12" s="35" t="s">
        <v>119</v>
      </c>
      <c r="C12" s="36" t="b">
        <v>1</v>
      </c>
    </row>
    <row r="13">
      <c r="A13" s="34" t="s">
        <v>120</v>
      </c>
      <c r="B13" s="35" t="s">
        <v>121</v>
      </c>
      <c r="C13" s="36" t="b">
        <v>0</v>
      </c>
    </row>
    <row r="14">
      <c r="A14" s="34" t="s">
        <v>122</v>
      </c>
      <c r="B14" s="35" t="s">
        <v>123</v>
      </c>
      <c r="C14" s="36" t="b">
        <v>0</v>
      </c>
      <c r="D14" s="5" t="s">
        <v>124</v>
      </c>
    </row>
    <row r="15">
      <c r="A15" s="34" t="s">
        <v>125</v>
      </c>
      <c r="B15" s="35" t="s">
        <v>126</v>
      </c>
      <c r="C15" s="36" t="b">
        <v>1</v>
      </c>
    </row>
    <row r="16">
      <c r="A16" s="34" t="s">
        <v>127</v>
      </c>
      <c r="B16" s="35" t="s">
        <v>128</v>
      </c>
      <c r="C16" s="36" t="b">
        <v>0</v>
      </c>
    </row>
    <row r="17">
      <c r="A17" s="34" t="s">
        <v>129</v>
      </c>
      <c r="B17" s="35" t="s">
        <v>130</v>
      </c>
      <c r="C17" s="36" t="b">
        <v>0</v>
      </c>
    </row>
    <row r="18">
      <c r="A18" s="34" t="s">
        <v>131</v>
      </c>
      <c r="B18" s="35" t="s">
        <v>132</v>
      </c>
      <c r="C18" s="36" t="b">
        <v>0</v>
      </c>
      <c r="D18" s="5" t="s">
        <v>133</v>
      </c>
    </row>
    <row r="19">
      <c r="A19" s="34" t="s">
        <v>134</v>
      </c>
      <c r="B19" s="35" t="s">
        <v>135</v>
      </c>
      <c r="C19" s="36" t="b">
        <v>0</v>
      </c>
      <c r="D19" s="5" t="s">
        <v>136</v>
      </c>
    </row>
    <row r="20">
      <c r="A20" s="34" t="s">
        <v>137</v>
      </c>
      <c r="B20" s="35" t="s">
        <v>138</v>
      </c>
      <c r="C20" s="36" t="b">
        <v>0</v>
      </c>
    </row>
    <row r="21">
      <c r="A21" s="34" t="s">
        <v>139</v>
      </c>
      <c r="B21" s="35" t="s">
        <v>140</v>
      </c>
      <c r="C21" s="36" t="b">
        <v>0</v>
      </c>
    </row>
    <row r="22">
      <c r="A22" s="34" t="s">
        <v>141</v>
      </c>
      <c r="B22" s="35" t="s">
        <v>142</v>
      </c>
      <c r="C22" s="36" t="b">
        <v>1</v>
      </c>
      <c r="D22" s="5" t="s">
        <v>101</v>
      </c>
    </row>
    <row r="23">
      <c r="A23" s="34" t="s">
        <v>143</v>
      </c>
      <c r="B23" s="35" t="s">
        <v>144</v>
      </c>
      <c r="C23" s="36" t="b">
        <v>0</v>
      </c>
      <c r="D23" s="5" t="s">
        <v>145</v>
      </c>
    </row>
    <row r="24">
      <c r="A24" s="34" t="s">
        <v>146</v>
      </c>
      <c r="B24" s="35" t="s">
        <v>147</v>
      </c>
      <c r="C24" s="36" t="b">
        <v>1</v>
      </c>
    </row>
    <row r="25">
      <c r="A25" s="34" t="s">
        <v>148</v>
      </c>
      <c r="B25" s="35" t="s">
        <v>149</v>
      </c>
      <c r="C25" s="36" t="b">
        <v>1</v>
      </c>
    </row>
    <row r="26">
      <c r="A26" s="34" t="s">
        <v>150</v>
      </c>
      <c r="B26" s="35" t="s">
        <v>151</v>
      </c>
      <c r="C26" s="36" t="b">
        <v>1</v>
      </c>
    </row>
    <row r="27">
      <c r="A27" s="34" t="s">
        <v>152</v>
      </c>
      <c r="B27" s="35" t="s">
        <v>153</v>
      </c>
      <c r="C27" s="36" t="b">
        <v>0</v>
      </c>
    </row>
    <row r="28">
      <c r="A28" s="34" t="s">
        <v>154</v>
      </c>
      <c r="B28" s="35" t="s">
        <v>155</v>
      </c>
      <c r="C28" s="36" t="b">
        <v>0</v>
      </c>
    </row>
    <row r="29">
      <c r="A29" s="34" t="s">
        <v>156</v>
      </c>
      <c r="B29" s="35" t="s">
        <v>157</v>
      </c>
      <c r="C29" s="36" t="b">
        <v>0</v>
      </c>
    </row>
    <row r="30">
      <c r="A30" s="34" t="s">
        <v>158</v>
      </c>
      <c r="B30" s="35" t="s">
        <v>159</v>
      </c>
      <c r="C30" s="36" t="b">
        <v>0</v>
      </c>
    </row>
    <row r="31">
      <c r="A31" s="34" t="s">
        <v>160</v>
      </c>
      <c r="B31" s="35" t="s">
        <v>161</v>
      </c>
      <c r="C31" s="36" t="b">
        <v>0</v>
      </c>
    </row>
    <row r="32">
      <c r="A32" s="34" t="s">
        <v>162</v>
      </c>
      <c r="B32" s="35" t="s">
        <v>163</v>
      </c>
      <c r="C32" s="36" t="b">
        <v>1</v>
      </c>
      <c r="D32" s="5" t="s">
        <v>164</v>
      </c>
    </row>
    <row r="33">
      <c r="A33" s="34" t="s">
        <v>165</v>
      </c>
      <c r="B33" s="35" t="s">
        <v>166</v>
      </c>
      <c r="C33" s="36" t="b">
        <v>0</v>
      </c>
    </row>
    <row r="34">
      <c r="A34" s="34" t="s">
        <v>167</v>
      </c>
      <c r="B34" s="35" t="s">
        <v>168</v>
      </c>
      <c r="C34" s="36" t="b">
        <v>0</v>
      </c>
      <c r="D34" s="5" t="s">
        <v>169</v>
      </c>
    </row>
    <row r="35">
      <c r="A35" s="34" t="s">
        <v>170</v>
      </c>
      <c r="B35" s="35" t="s">
        <v>171</v>
      </c>
      <c r="C35" s="36" t="b">
        <v>1</v>
      </c>
      <c r="D35" s="5" t="s">
        <v>172</v>
      </c>
    </row>
    <row r="36">
      <c r="A36" s="34" t="s">
        <v>173</v>
      </c>
      <c r="B36" s="35" t="s">
        <v>174</v>
      </c>
      <c r="C36" s="36" t="b">
        <v>1</v>
      </c>
    </row>
    <row r="37">
      <c r="A37" s="34" t="s">
        <v>175</v>
      </c>
      <c r="B37" s="35" t="s">
        <v>176</v>
      </c>
      <c r="C37" s="36" t="b">
        <v>0</v>
      </c>
      <c r="D37" s="5" t="s">
        <v>177</v>
      </c>
    </row>
    <row r="38">
      <c r="A38" s="34" t="s">
        <v>178</v>
      </c>
      <c r="B38" s="35" t="s">
        <v>179</v>
      </c>
      <c r="C38" s="36" t="b">
        <v>1</v>
      </c>
    </row>
    <row r="39">
      <c r="A39" s="34" t="s">
        <v>180</v>
      </c>
      <c r="B39" s="35" t="s">
        <v>181</v>
      </c>
      <c r="C39" s="36" t="b">
        <v>0</v>
      </c>
    </row>
    <row r="40">
      <c r="A40" s="34" t="s">
        <v>182</v>
      </c>
      <c r="B40" s="35" t="s">
        <v>183</v>
      </c>
      <c r="C40" s="36" t="b">
        <v>1</v>
      </c>
    </row>
    <row r="41">
      <c r="A41" s="34" t="s">
        <v>184</v>
      </c>
      <c r="B41" s="35" t="s">
        <v>185</v>
      </c>
      <c r="C41" s="36" t="b">
        <v>0</v>
      </c>
    </row>
    <row r="42">
      <c r="A42" s="34" t="s">
        <v>186</v>
      </c>
      <c r="B42" s="35" t="s">
        <v>187</v>
      </c>
      <c r="C42" s="36" t="b">
        <v>1</v>
      </c>
    </row>
    <row r="43">
      <c r="A43" s="34" t="s">
        <v>188</v>
      </c>
      <c r="B43" s="35" t="s">
        <v>189</v>
      </c>
      <c r="C43" s="36" t="b">
        <v>0</v>
      </c>
    </row>
    <row r="44">
      <c r="A44" s="34" t="s">
        <v>190</v>
      </c>
      <c r="B44" s="35" t="s">
        <v>191</v>
      </c>
      <c r="C44" s="36" t="b">
        <v>1</v>
      </c>
    </row>
    <row r="45">
      <c r="A45" s="34" t="s">
        <v>192</v>
      </c>
      <c r="B45" s="35" t="s">
        <v>193</v>
      </c>
      <c r="C45" s="36" t="b">
        <v>1</v>
      </c>
      <c r="D45" s="5" t="s">
        <v>194</v>
      </c>
    </row>
    <row r="46">
      <c r="A46" s="34" t="s">
        <v>195</v>
      </c>
      <c r="B46" s="35" t="s">
        <v>196</v>
      </c>
      <c r="C46" s="36" t="b">
        <v>0</v>
      </c>
    </row>
    <row r="47">
      <c r="A47" s="34" t="s">
        <v>197</v>
      </c>
      <c r="B47" s="35" t="s">
        <v>198</v>
      </c>
      <c r="C47" s="36" t="b">
        <v>0</v>
      </c>
    </row>
    <row r="48">
      <c r="A48" s="34" t="s">
        <v>199</v>
      </c>
      <c r="B48" s="35" t="s">
        <v>200</v>
      </c>
      <c r="C48" s="36" t="b">
        <v>0</v>
      </c>
    </row>
    <row r="49">
      <c r="A49" s="34" t="s">
        <v>201</v>
      </c>
      <c r="B49" s="35" t="s">
        <v>202</v>
      </c>
      <c r="C49" s="36" t="b">
        <v>1</v>
      </c>
      <c r="D49" s="5" t="s">
        <v>203</v>
      </c>
    </row>
    <row r="50">
      <c r="A50" s="34" t="s">
        <v>204</v>
      </c>
      <c r="B50" s="35" t="s">
        <v>205</v>
      </c>
      <c r="C50" s="36" t="b">
        <v>1</v>
      </c>
      <c r="D50" s="5" t="s">
        <v>206</v>
      </c>
    </row>
    <row r="51">
      <c r="A51" s="34" t="s">
        <v>207</v>
      </c>
      <c r="B51" s="35" t="s">
        <v>208</v>
      </c>
      <c r="C51" s="36" t="b">
        <v>0</v>
      </c>
    </row>
    <row r="52">
      <c r="A52" s="34" t="s">
        <v>209</v>
      </c>
      <c r="B52" s="35" t="s">
        <v>210</v>
      </c>
      <c r="C52" s="36" t="b">
        <v>0</v>
      </c>
    </row>
    <row r="53">
      <c r="A53" s="34" t="s">
        <v>211</v>
      </c>
      <c r="B53" s="35" t="s">
        <v>212</v>
      </c>
      <c r="C53" s="36" t="b">
        <v>1</v>
      </c>
      <c r="D53" s="5" t="s">
        <v>213</v>
      </c>
    </row>
    <row r="54">
      <c r="A54" s="34" t="s">
        <v>214</v>
      </c>
      <c r="B54" s="35" t="s">
        <v>215</v>
      </c>
      <c r="C54" s="36" t="b">
        <v>1</v>
      </c>
      <c r="D54" s="5" t="s">
        <v>216</v>
      </c>
    </row>
    <row r="55">
      <c r="A55" s="34" t="s">
        <v>217</v>
      </c>
      <c r="B55" s="35" t="s">
        <v>218</v>
      </c>
      <c r="C55" s="36" t="b">
        <v>1</v>
      </c>
    </row>
    <row r="56">
      <c r="A56" s="34" t="s">
        <v>219</v>
      </c>
      <c r="B56" s="35" t="s">
        <v>220</v>
      </c>
      <c r="C56" s="36" t="b">
        <v>1</v>
      </c>
      <c r="D56" s="5" t="s">
        <v>221</v>
      </c>
    </row>
    <row r="57">
      <c r="A57" s="34" t="s">
        <v>222</v>
      </c>
      <c r="B57" s="35" t="s">
        <v>223</v>
      </c>
      <c r="C57" s="36" t="b">
        <v>1</v>
      </c>
    </row>
    <row r="58">
      <c r="A58" s="34" t="s">
        <v>224</v>
      </c>
      <c r="B58" s="35" t="s">
        <v>225</v>
      </c>
      <c r="C58" s="36" t="b">
        <v>0</v>
      </c>
    </row>
    <row r="59">
      <c r="A59" s="34" t="s">
        <v>226</v>
      </c>
      <c r="B59" s="35" t="s">
        <v>227</v>
      </c>
      <c r="C59" s="36" t="b">
        <v>1</v>
      </c>
      <c r="D59" s="5" t="s">
        <v>221</v>
      </c>
    </row>
    <row r="60">
      <c r="A60" s="34" t="s">
        <v>228</v>
      </c>
      <c r="B60" s="35" t="s">
        <v>229</v>
      </c>
      <c r="C60" s="36" t="b">
        <v>0</v>
      </c>
    </row>
    <row r="61">
      <c r="A61" s="34" t="s">
        <v>230</v>
      </c>
      <c r="B61" s="35" t="s">
        <v>231</v>
      </c>
      <c r="C61" s="36" t="b">
        <v>1</v>
      </c>
    </row>
    <row r="62">
      <c r="A62" s="34" t="s">
        <v>232</v>
      </c>
      <c r="B62" s="35" t="s">
        <v>233</v>
      </c>
      <c r="C62" s="36" t="b">
        <v>0</v>
      </c>
    </row>
    <row r="63">
      <c r="A63" s="34" t="s">
        <v>234</v>
      </c>
      <c r="B63" s="35" t="s">
        <v>235</v>
      </c>
      <c r="C63" s="36" t="b">
        <v>0</v>
      </c>
    </row>
    <row r="64">
      <c r="A64" s="34" t="s">
        <v>236</v>
      </c>
      <c r="B64" s="35" t="s">
        <v>237</v>
      </c>
      <c r="C64" s="36" t="b">
        <v>0</v>
      </c>
    </row>
    <row r="65">
      <c r="A65" s="34" t="s">
        <v>238</v>
      </c>
      <c r="B65" s="35" t="s">
        <v>239</v>
      </c>
      <c r="C65" s="36" t="b">
        <v>0</v>
      </c>
    </row>
    <row r="66">
      <c r="A66" s="34" t="s">
        <v>240</v>
      </c>
      <c r="B66" s="35" t="s">
        <v>241</v>
      </c>
      <c r="C66" s="36" t="b">
        <v>1</v>
      </c>
    </row>
    <row r="67">
      <c r="A67" s="34" t="s">
        <v>242</v>
      </c>
      <c r="B67" s="35" t="s">
        <v>243</v>
      </c>
      <c r="C67" s="36" t="b">
        <v>1</v>
      </c>
    </row>
    <row r="68">
      <c r="A68" s="34" t="s">
        <v>244</v>
      </c>
      <c r="B68" s="35" t="s">
        <v>245</v>
      </c>
      <c r="C68" s="36" t="b">
        <v>0</v>
      </c>
    </row>
    <row r="69">
      <c r="A69" s="34" t="s">
        <v>246</v>
      </c>
      <c r="B69" s="35" t="s">
        <v>247</v>
      </c>
      <c r="C69" s="36" t="b">
        <v>0</v>
      </c>
    </row>
    <row r="70">
      <c r="A70" s="34" t="s">
        <v>248</v>
      </c>
      <c r="B70" s="35" t="s">
        <v>249</v>
      </c>
      <c r="C70" s="36" t="b">
        <v>0</v>
      </c>
    </row>
    <row r="71">
      <c r="A71" s="34" t="s">
        <v>250</v>
      </c>
      <c r="B71" s="35" t="s">
        <v>251</v>
      </c>
      <c r="C71" s="36" t="b">
        <v>1</v>
      </c>
    </row>
    <row r="72">
      <c r="A72" s="34" t="s">
        <v>252</v>
      </c>
      <c r="B72" s="35" t="s">
        <v>253</v>
      </c>
      <c r="C72" s="36" t="b">
        <v>1</v>
      </c>
      <c r="D72" s="5" t="s">
        <v>254</v>
      </c>
    </row>
    <row r="73">
      <c r="A73" s="34" t="s">
        <v>255</v>
      </c>
      <c r="B73" s="35" t="s">
        <v>256</v>
      </c>
      <c r="C73" s="36" t="b">
        <v>0</v>
      </c>
    </row>
    <row r="74">
      <c r="A74" s="34" t="s">
        <v>257</v>
      </c>
      <c r="B74" s="35" t="s">
        <v>258</v>
      </c>
      <c r="C74" s="36" t="b">
        <v>0</v>
      </c>
    </row>
    <row r="75">
      <c r="A75" s="34" t="s">
        <v>259</v>
      </c>
      <c r="B75" s="35" t="s">
        <v>260</v>
      </c>
      <c r="C75" s="36" t="b">
        <v>1</v>
      </c>
      <c r="D75" s="5" t="s">
        <v>261</v>
      </c>
    </row>
    <row r="76">
      <c r="A76" s="34" t="s">
        <v>262</v>
      </c>
      <c r="B76" s="35" t="s">
        <v>263</v>
      </c>
      <c r="C76" s="36" t="b">
        <v>0</v>
      </c>
    </row>
    <row r="77">
      <c r="A77" s="34" t="s">
        <v>264</v>
      </c>
      <c r="B77" s="35" t="s">
        <v>265</v>
      </c>
      <c r="C77" s="36" t="b">
        <v>0</v>
      </c>
    </row>
    <row r="78">
      <c r="A78" s="34" t="s">
        <v>266</v>
      </c>
      <c r="B78" s="35" t="s">
        <v>267</v>
      </c>
      <c r="C78" s="36" t="b">
        <v>0</v>
      </c>
    </row>
    <row r="79">
      <c r="A79" s="34" t="s">
        <v>268</v>
      </c>
      <c r="B79" s="35" t="s">
        <v>269</v>
      </c>
      <c r="C79" s="36" t="b">
        <v>0</v>
      </c>
    </row>
    <row r="80">
      <c r="A80" s="34" t="s">
        <v>270</v>
      </c>
      <c r="B80" s="35" t="s">
        <v>271</v>
      </c>
      <c r="C80" s="36" t="b">
        <v>1</v>
      </c>
    </row>
    <row r="81">
      <c r="A81" s="34" t="s">
        <v>272</v>
      </c>
      <c r="B81" s="35" t="s">
        <v>273</v>
      </c>
      <c r="C81" s="36" t="b">
        <v>0</v>
      </c>
    </row>
    <row r="82">
      <c r="A82" s="34" t="s">
        <v>274</v>
      </c>
      <c r="B82" s="35" t="s">
        <v>275</v>
      </c>
      <c r="C82" s="36" t="b">
        <v>1</v>
      </c>
    </row>
    <row r="83">
      <c r="A83" s="34" t="s">
        <v>276</v>
      </c>
      <c r="B83" s="35" t="s">
        <v>277</v>
      </c>
      <c r="C83" s="36" t="b">
        <v>0</v>
      </c>
    </row>
    <row r="84">
      <c r="A84" s="34" t="s">
        <v>278</v>
      </c>
      <c r="B84" s="35" t="s">
        <v>279</v>
      </c>
      <c r="C84" s="36" t="b">
        <v>0</v>
      </c>
    </row>
    <row r="85">
      <c r="A85" s="34" t="s">
        <v>280</v>
      </c>
      <c r="B85" s="35" t="s">
        <v>281</v>
      </c>
      <c r="C85" s="36" t="b">
        <v>0</v>
      </c>
    </row>
    <row r="86">
      <c r="A86" s="34" t="s">
        <v>282</v>
      </c>
      <c r="B86" s="35" t="s">
        <v>283</v>
      </c>
      <c r="C86" s="36" t="b">
        <v>0</v>
      </c>
    </row>
    <row r="87">
      <c r="A87" s="34" t="s">
        <v>284</v>
      </c>
      <c r="B87" s="35" t="s">
        <v>285</v>
      </c>
      <c r="C87" s="36" t="b">
        <v>1</v>
      </c>
    </row>
    <row r="88">
      <c r="A88" s="34" t="s">
        <v>286</v>
      </c>
      <c r="B88" s="35" t="s">
        <v>287</v>
      </c>
      <c r="C88" s="36" t="b">
        <v>0</v>
      </c>
    </row>
    <row r="89">
      <c r="A89" s="34" t="s">
        <v>288</v>
      </c>
      <c r="B89" s="35" t="s">
        <v>289</v>
      </c>
      <c r="C89" s="36" t="b">
        <v>0</v>
      </c>
    </row>
    <row r="90">
      <c r="A90" s="34" t="s">
        <v>290</v>
      </c>
      <c r="B90" s="35" t="s">
        <v>291</v>
      </c>
      <c r="C90" s="36" t="b">
        <v>1</v>
      </c>
    </row>
    <row r="91">
      <c r="A91" s="34" t="s">
        <v>292</v>
      </c>
      <c r="B91" s="35" t="s">
        <v>293</v>
      </c>
      <c r="C91" s="36" t="b">
        <v>0</v>
      </c>
    </row>
    <row r="92">
      <c r="A92" s="34" t="s">
        <v>294</v>
      </c>
      <c r="B92" s="35" t="s">
        <v>295</v>
      </c>
      <c r="C92" s="36" t="b">
        <v>0</v>
      </c>
    </row>
    <row r="93">
      <c r="A93" s="34" t="s">
        <v>296</v>
      </c>
      <c r="B93" s="35" t="s">
        <v>297</v>
      </c>
      <c r="C93" s="36" t="b">
        <v>1</v>
      </c>
    </row>
    <row r="94">
      <c r="A94" s="34" t="s">
        <v>298</v>
      </c>
      <c r="B94" s="35" t="s">
        <v>299</v>
      </c>
      <c r="C94" s="36" t="b">
        <v>0</v>
      </c>
    </row>
    <row r="95">
      <c r="A95" s="34" t="s">
        <v>300</v>
      </c>
      <c r="B95" s="35" t="s">
        <v>301</v>
      </c>
      <c r="C95" s="36" t="b">
        <v>1</v>
      </c>
    </row>
    <row r="96">
      <c r="A96" s="34" t="s">
        <v>302</v>
      </c>
      <c r="B96" s="35" t="s">
        <v>303</v>
      </c>
      <c r="C96" s="36" t="b">
        <v>0</v>
      </c>
    </row>
    <row r="97">
      <c r="A97" s="34" t="s">
        <v>304</v>
      </c>
      <c r="B97" s="35" t="s">
        <v>305</v>
      </c>
      <c r="C97" s="36" t="b">
        <v>0</v>
      </c>
    </row>
    <row r="98">
      <c r="A98" s="34" t="s">
        <v>306</v>
      </c>
      <c r="B98" s="35" t="s">
        <v>307</v>
      </c>
      <c r="C98" s="36" t="b">
        <v>1</v>
      </c>
    </row>
    <row r="99">
      <c r="A99" s="34" t="s">
        <v>308</v>
      </c>
      <c r="B99" s="35" t="s">
        <v>309</v>
      </c>
      <c r="C99" s="36" t="b">
        <v>1</v>
      </c>
    </row>
    <row r="100">
      <c r="A100" s="34" t="s">
        <v>310</v>
      </c>
      <c r="B100" s="35" t="s">
        <v>311</v>
      </c>
      <c r="C100" s="36" t="b">
        <v>1</v>
      </c>
    </row>
    <row r="101">
      <c r="A101" s="34" t="s">
        <v>312</v>
      </c>
      <c r="B101" s="35" t="s">
        <v>313</v>
      </c>
      <c r="C101" s="36" t="b">
        <v>1</v>
      </c>
    </row>
  </sheetData>
  <dataValidations>
    <dataValidation type="list" allowBlank="1" showErrorMessage="1" sqref="C2:C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31" t="s">
        <v>93</v>
      </c>
      <c r="B1" s="32" t="s">
        <v>94</v>
      </c>
      <c r="C1" s="33" t="s">
        <v>95</v>
      </c>
      <c r="D1" s="26" t="s">
        <v>96</v>
      </c>
    </row>
    <row r="2">
      <c r="A2" s="34" t="s">
        <v>242</v>
      </c>
      <c r="B2" s="35" t="s">
        <v>243</v>
      </c>
      <c r="C2" s="36" t="s">
        <v>314</v>
      </c>
    </row>
    <row r="3">
      <c r="A3" s="34" t="s">
        <v>199</v>
      </c>
      <c r="B3" s="35" t="s">
        <v>200</v>
      </c>
      <c r="C3" s="36" t="s">
        <v>314</v>
      </c>
    </row>
    <row r="4">
      <c r="A4" s="34" t="s">
        <v>192</v>
      </c>
      <c r="B4" s="35" t="s">
        <v>193</v>
      </c>
      <c r="C4" s="36" t="s">
        <v>314</v>
      </c>
    </row>
    <row r="5">
      <c r="A5" s="34" t="s">
        <v>246</v>
      </c>
      <c r="B5" s="35" t="s">
        <v>247</v>
      </c>
      <c r="C5" s="36" t="s">
        <v>314</v>
      </c>
    </row>
    <row r="6">
      <c r="A6" s="34" t="s">
        <v>116</v>
      </c>
      <c r="B6" s="35" t="s">
        <v>117</v>
      </c>
      <c r="C6" s="36" t="s">
        <v>314</v>
      </c>
    </row>
    <row r="7">
      <c r="A7" s="34" t="s">
        <v>276</v>
      </c>
      <c r="B7" s="35" t="s">
        <v>277</v>
      </c>
      <c r="C7" s="36" t="s">
        <v>314</v>
      </c>
    </row>
    <row r="8">
      <c r="A8" s="34" t="s">
        <v>175</v>
      </c>
      <c r="B8" s="35" t="s">
        <v>176</v>
      </c>
      <c r="C8" s="36" t="s">
        <v>314</v>
      </c>
    </row>
    <row r="9">
      <c r="A9" s="34" t="s">
        <v>143</v>
      </c>
      <c r="B9" s="35" t="s">
        <v>144</v>
      </c>
      <c r="C9" s="36" t="s">
        <v>314</v>
      </c>
    </row>
    <row r="10">
      <c r="A10" s="34" t="s">
        <v>304</v>
      </c>
      <c r="B10" s="35" t="s">
        <v>305</v>
      </c>
      <c r="C10" s="36" t="s">
        <v>314</v>
      </c>
    </row>
    <row r="11">
      <c r="A11" s="34" t="s">
        <v>165</v>
      </c>
      <c r="B11" s="35" t="s">
        <v>166</v>
      </c>
      <c r="C11" s="36" t="s">
        <v>314</v>
      </c>
    </row>
    <row r="12">
      <c r="A12" s="34" t="s">
        <v>108</v>
      </c>
      <c r="B12" s="35" t="s">
        <v>109</v>
      </c>
      <c r="C12" s="36" t="s">
        <v>314</v>
      </c>
    </row>
    <row r="13">
      <c r="A13" s="34" t="s">
        <v>139</v>
      </c>
      <c r="B13" s="35" t="s">
        <v>140</v>
      </c>
      <c r="C13" s="36" t="s">
        <v>314</v>
      </c>
    </row>
    <row r="14">
      <c r="A14" s="34" t="s">
        <v>160</v>
      </c>
      <c r="B14" s="35" t="s">
        <v>161</v>
      </c>
      <c r="C14" s="36" t="s">
        <v>314</v>
      </c>
    </row>
    <row r="15">
      <c r="A15" s="34" t="s">
        <v>255</v>
      </c>
      <c r="B15" s="35" t="s">
        <v>256</v>
      </c>
      <c r="C15" s="36" t="s">
        <v>314</v>
      </c>
    </row>
    <row r="16">
      <c r="A16" s="34" t="s">
        <v>257</v>
      </c>
      <c r="B16" s="35" t="s">
        <v>258</v>
      </c>
      <c r="C16" s="36" t="s">
        <v>314</v>
      </c>
    </row>
    <row r="17">
      <c r="A17" s="34" t="s">
        <v>173</v>
      </c>
      <c r="B17" s="35" t="s">
        <v>174</v>
      </c>
      <c r="C17" s="36" t="s">
        <v>314</v>
      </c>
    </row>
    <row r="18">
      <c r="A18" s="34" t="s">
        <v>294</v>
      </c>
      <c r="B18" s="35" t="s">
        <v>295</v>
      </c>
      <c r="C18" s="36" t="s">
        <v>314</v>
      </c>
    </row>
    <row r="19">
      <c r="A19" s="34" t="s">
        <v>184</v>
      </c>
      <c r="B19" s="35" t="s">
        <v>185</v>
      </c>
      <c r="C19" s="36" t="s">
        <v>314</v>
      </c>
    </row>
    <row r="20">
      <c r="A20" s="34" t="s">
        <v>268</v>
      </c>
      <c r="B20" s="35" t="s">
        <v>269</v>
      </c>
      <c r="C20" s="36" t="s">
        <v>314</v>
      </c>
    </row>
    <row r="21">
      <c r="A21" s="34" t="s">
        <v>226</v>
      </c>
      <c r="B21" s="35" t="s">
        <v>227</v>
      </c>
      <c r="C21" s="36" t="s">
        <v>314</v>
      </c>
    </row>
    <row r="22">
      <c r="A22" s="34" t="s">
        <v>300</v>
      </c>
      <c r="B22" s="35" t="s">
        <v>301</v>
      </c>
      <c r="C22" s="36" t="s">
        <v>314</v>
      </c>
    </row>
    <row r="23">
      <c r="A23" s="34" t="s">
        <v>232</v>
      </c>
      <c r="B23" s="35" t="s">
        <v>233</v>
      </c>
      <c r="C23" s="36" t="s">
        <v>314</v>
      </c>
    </row>
    <row r="24">
      <c r="A24" s="34" t="s">
        <v>97</v>
      </c>
      <c r="B24" s="35" t="s">
        <v>98</v>
      </c>
      <c r="C24" s="36" t="s">
        <v>314</v>
      </c>
    </row>
    <row r="25">
      <c r="A25" s="34" t="s">
        <v>278</v>
      </c>
      <c r="B25" s="35" t="s">
        <v>279</v>
      </c>
      <c r="C25" s="36" t="s">
        <v>314</v>
      </c>
    </row>
    <row r="26">
      <c r="A26" s="34" t="s">
        <v>308</v>
      </c>
      <c r="B26" s="35" t="s">
        <v>309</v>
      </c>
      <c r="C26" s="36" t="s">
        <v>314</v>
      </c>
    </row>
    <row r="27">
      <c r="A27" s="34" t="s">
        <v>158</v>
      </c>
      <c r="B27" s="35" t="s">
        <v>159</v>
      </c>
      <c r="C27" s="36" t="s">
        <v>314</v>
      </c>
    </row>
    <row r="28">
      <c r="A28" s="34" t="s">
        <v>296</v>
      </c>
      <c r="B28" s="35" t="s">
        <v>297</v>
      </c>
      <c r="C28" s="36" t="s">
        <v>314</v>
      </c>
    </row>
    <row r="29">
      <c r="A29" s="34" t="s">
        <v>110</v>
      </c>
      <c r="B29" s="35" t="s">
        <v>111</v>
      </c>
      <c r="C29" s="36" t="s">
        <v>314</v>
      </c>
    </row>
    <row r="30">
      <c r="A30" s="34" t="s">
        <v>162</v>
      </c>
      <c r="B30" s="35" t="s">
        <v>163</v>
      </c>
      <c r="C30" s="36" t="s">
        <v>314</v>
      </c>
    </row>
    <row r="31">
      <c r="A31" s="34" t="s">
        <v>266</v>
      </c>
      <c r="B31" s="35" t="s">
        <v>267</v>
      </c>
      <c r="C31" s="36" t="s">
        <v>314</v>
      </c>
    </row>
    <row r="32">
      <c r="A32" s="34" t="s">
        <v>156</v>
      </c>
      <c r="B32" s="35" t="s">
        <v>157</v>
      </c>
      <c r="C32" s="36" t="s">
        <v>314</v>
      </c>
    </row>
    <row r="33">
      <c r="A33" s="34" t="s">
        <v>127</v>
      </c>
      <c r="B33" s="35" t="s">
        <v>128</v>
      </c>
      <c r="C33" s="36" t="s">
        <v>314</v>
      </c>
    </row>
    <row r="34">
      <c r="A34" s="34" t="s">
        <v>186</v>
      </c>
      <c r="B34" s="35" t="s">
        <v>187</v>
      </c>
      <c r="C34" s="36" t="s">
        <v>314</v>
      </c>
    </row>
    <row r="35">
      <c r="A35" s="34" t="s">
        <v>312</v>
      </c>
      <c r="B35" s="35" t="s">
        <v>313</v>
      </c>
      <c r="C35" s="36" t="s">
        <v>314</v>
      </c>
    </row>
    <row r="36">
      <c r="A36" s="34" t="s">
        <v>259</v>
      </c>
      <c r="B36" s="35" t="s">
        <v>260</v>
      </c>
      <c r="C36" s="36" t="s">
        <v>314</v>
      </c>
    </row>
    <row r="37">
      <c r="A37" s="34" t="s">
        <v>217</v>
      </c>
      <c r="B37" s="35" t="s">
        <v>218</v>
      </c>
      <c r="C37" s="36" t="s">
        <v>314</v>
      </c>
    </row>
    <row r="38">
      <c r="A38" s="34" t="s">
        <v>129</v>
      </c>
      <c r="B38" s="35" t="s">
        <v>130</v>
      </c>
      <c r="C38" s="36" t="s">
        <v>314</v>
      </c>
    </row>
    <row r="39">
      <c r="A39" s="34" t="s">
        <v>178</v>
      </c>
      <c r="B39" s="35" t="s">
        <v>179</v>
      </c>
      <c r="C39" s="36" t="s">
        <v>314</v>
      </c>
    </row>
    <row r="40">
      <c r="A40" s="34" t="s">
        <v>209</v>
      </c>
      <c r="B40" s="35" t="s">
        <v>210</v>
      </c>
      <c r="C40" s="36" t="s">
        <v>314</v>
      </c>
    </row>
    <row r="41">
      <c r="A41" s="34" t="s">
        <v>170</v>
      </c>
      <c r="B41" s="35" t="s">
        <v>171</v>
      </c>
      <c r="C41" s="36" t="s">
        <v>314</v>
      </c>
    </row>
    <row r="42">
      <c r="A42" s="34" t="s">
        <v>272</v>
      </c>
      <c r="B42" s="35" t="s">
        <v>273</v>
      </c>
      <c r="C42" s="36" t="s">
        <v>314</v>
      </c>
    </row>
    <row r="43">
      <c r="A43" s="34" t="s">
        <v>248</v>
      </c>
      <c r="B43" s="35" t="s">
        <v>249</v>
      </c>
      <c r="C43" s="36" t="s">
        <v>314</v>
      </c>
    </row>
    <row r="44">
      <c r="A44" s="34" t="s">
        <v>230</v>
      </c>
      <c r="B44" s="35" t="s">
        <v>231</v>
      </c>
      <c r="C44" s="36" t="s">
        <v>314</v>
      </c>
    </row>
    <row r="45">
      <c r="A45" s="34" t="s">
        <v>244</v>
      </c>
      <c r="B45" s="35" t="s">
        <v>245</v>
      </c>
      <c r="C45" s="36" t="s">
        <v>314</v>
      </c>
    </row>
    <row r="46">
      <c r="A46" s="34" t="s">
        <v>118</v>
      </c>
      <c r="B46" s="35" t="s">
        <v>119</v>
      </c>
      <c r="C46" s="36" t="s">
        <v>314</v>
      </c>
    </row>
    <row r="47">
      <c r="A47" s="34" t="s">
        <v>252</v>
      </c>
      <c r="B47" s="35" t="s">
        <v>253</v>
      </c>
      <c r="C47" s="36" t="s">
        <v>314</v>
      </c>
    </row>
    <row r="48">
      <c r="A48" s="34" t="s">
        <v>150</v>
      </c>
      <c r="B48" s="35" t="s">
        <v>151</v>
      </c>
      <c r="C48" s="36" t="s">
        <v>314</v>
      </c>
    </row>
    <row r="49">
      <c r="A49" s="34" t="s">
        <v>204</v>
      </c>
      <c r="B49" s="35" t="s">
        <v>205</v>
      </c>
      <c r="C49" s="36" t="s">
        <v>314</v>
      </c>
    </row>
    <row r="50">
      <c r="A50" s="34" t="s">
        <v>182</v>
      </c>
      <c r="B50" s="35" t="s">
        <v>183</v>
      </c>
      <c r="C50" s="36" t="s">
        <v>314</v>
      </c>
    </row>
    <row r="51">
      <c r="A51" s="34" t="s">
        <v>264</v>
      </c>
      <c r="B51" s="35" t="s">
        <v>265</v>
      </c>
      <c r="C51" s="36" t="s">
        <v>314</v>
      </c>
    </row>
    <row r="52">
      <c r="A52" s="34" t="s">
        <v>270</v>
      </c>
      <c r="B52" s="35" t="s">
        <v>271</v>
      </c>
      <c r="C52" s="36" t="s">
        <v>314</v>
      </c>
    </row>
    <row r="53">
      <c r="A53" s="34" t="s">
        <v>102</v>
      </c>
      <c r="B53" s="35" t="s">
        <v>103</v>
      </c>
      <c r="C53" s="36" t="s">
        <v>314</v>
      </c>
    </row>
    <row r="54">
      <c r="A54" s="34" t="s">
        <v>228</v>
      </c>
      <c r="B54" s="35" t="s">
        <v>229</v>
      </c>
      <c r="C54" s="36" t="s">
        <v>314</v>
      </c>
    </row>
    <row r="55">
      <c r="A55" s="34" t="s">
        <v>141</v>
      </c>
      <c r="B55" s="35" t="s">
        <v>142</v>
      </c>
      <c r="C55" s="36" t="s">
        <v>314</v>
      </c>
    </row>
    <row r="56">
      <c r="A56" s="34" t="s">
        <v>148</v>
      </c>
      <c r="B56" s="35" t="s">
        <v>149</v>
      </c>
      <c r="C56" s="36" t="s">
        <v>314</v>
      </c>
    </row>
    <row r="57">
      <c r="A57" s="34" t="s">
        <v>236</v>
      </c>
      <c r="B57" s="35" t="s">
        <v>237</v>
      </c>
      <c r="C57" s="36" t="s">
        <v>314</v>
      </c>
    </row>
    <row r="58">
      <c r="A58" s="34" t="s">
        <v>134</v>
      </c>
      <c r="B58" s="35" t="s">
        <v>135</v>
      </c>
      <c r="C58" s="36" t="s">
        <v>314</v>
      </c>
    </row>
    <row r="59">
      <c r="A59" s="34" t="s">
        <v>120</v>
      </c>
      <c r="B59" s="35" t="s">
        <v>121</v>
      </c>
      <c r="C59" s="36" t="s">
        <v>314</v>
      </c>
    </row>
    <row r="60">
      <c r="A60" s="34" t="s">
        <v>274</v>
      </c>
      <c r="B60" s="35" t="s">
        <v>275</v>
      </c>
      <c r="C60" s="36" t="s">
        <v>314</v>
      </c>
    </row>
    <row r="61">
      <c r="A61" s="34" t="s">
        <v>137</v>
      </c>
      <c r="B61" s="35" t="s">
        <v>138</v>
      </c>
      <c r="C61" s="36" t="s">
        <v>314</v>
      </c>
    </row>
    <row r="62">
      <c r="A62" s="34" t="s">
        <v>238</v>
      </c>
      <c r="B62" s="35" t="s">
        <v>239</v>
      </c>
      <c r="C62" s="36" t="s">
        <v>314</v>
      </c>
    </row>
    <row r="63">
      <c r="A63" s="34" t="s">
        <v>292</v>
      </c>
      <c r="B63" s="35" t="s">
        <v>293</v>
      </c>
      <c r="C63" s="36" t="s">
        <v>314</v>
      </c>
    </row>
    <row r="64">
      <c r="A64" s="34" t="s">
        <v>112</v>
      </c>
      <c r="B64" s="35" t="s">
        <v>113</v>
      </c>
      <c r="C64" s="36" t="s">
        <v>314</v>
      </c>
    </row>
    <row r="65">
      <c r="A65" s="34" t="s">
        <v>262</v>
      </c>
      <c r="B65" s="35" t="s">
        <v>263</v>
      </c>
      <c r="C65" s="36" t="s">
        <v>314</v>
      </c>
    </row>
    <row r="66">
      <c r="A66" s="34" t="s">
        <v>310</v>
      </c>
      <c r="B66" s="35" t="s">
        <v>311</v>
      </c>
      <c r="C66" s="36" t="s">
        <v>314</v>
      </c>
    </row>
    <row r="67">
      <c r="A67" s="34" t="s">
        <v>114</v>
      </c>
      <c r="B67" s="35" t="s">
        <v>115</v>
      </c>
      <c r="C67" s="36" t="s">
        <v>314</v>
      </c>
    </row>
    <row r="68">
      <c r="A68" s="34" t="s">
        <v>152</v>
      </c>
      <c r="B68" s="35" t="s">
        <v>153</v>
      </c>
      <c r="C68" s="36" t="s">
        <v>314</v>
      </c>
    </row>
    <row r="69">
      <c r="A69" s="34" t="s">
        <v>167</v>
      </c>
      <c r="B69" s="35" t="s">
        <v>168</v>
      </c>
      <c r="C69" s="36" t="s">
        <v>314</v>
      </c>
    </row>
    <row r="70">
      <c r="A70" s="34" t="s">
        <v>188</v>
      </c>
      <c r="B70" s="35" t="s">
        <v>189</v>
      </c>
      <c r="C70" s="36" t="s">
        <v>314</v>
      </c>
    </row>
    <row r="71">
      <c r="A71" s="34" t="s">
        <v>286</v>
      </c>
      <c r="B71" s="35" t="s">
        <v>287</v>
      </c>
      <c r="C71" s="36" t="s">
        <v>314</v>
      </c>
    </row>
    <row r="72">
      <c r="A72" s="34" t="s">
        <v>207</v>
      </c>
      <c r="B72" s="35" t="s">
        <v>208</v>
      </c>
      <c r="C72" s="36" t="s">
        <v>314</v>
      </c>
    </row>
    <row r="73">
      <c r="A73" s="34" t="s">
        <v>280</v>
      </c>
      <c r="B73" s="35" t="s">
        <v>281</v>
      </c>
      <c r="C73" s="36" t="s">
        <v>314</v>
      </c>
    </row>
    <row r="74">
      <c r="A74" s="34" t="s">
        <v>224</v>
      </c>
      <c r="B74" s="35" t="s">
        <v>225</v>
      </c>
      <c r="C74" s="36" t="s">
        <v>314</v>
      </c>
    </row>
    <row r="75">
      <c r="A75" s="34" t="s">
        <v>125</v>
      </c>
      <c r="B75" s="35" t="s">
        <v>126</v>
      </c>
      <c r="C75" s="36" t="s">
        <v>314</v>
      </c>
    </row>
    <row r="76">
      <c r="A76" s="34" t="s">
        <v>211</v>
      </c>
      <c r="B76" s="35" t="s">
        <v>212</v>
      </c>
      <c r="C76" s="36" t="s">
        <v>314</v>
      </c>
    </row>
    <row r="77">
      <c r="A77" s="34" t="s">
        <v>99</v>
      </c>
      <c r="B77" s="35" t="s">
        <v>100</v>
      </c>
      <c r="C77" s="36" t="s">
        <v>314</v>
      </c>
    </row>
    <row r="78">
      <c r="A78" s="34" t="s">
        <v>197</v>
      </c>
      <c r="B78" s="35" t="s">
        <v>198</v>
      </c>
      <c r="C78" s="36" t="s">
        <v>314</v>
      </c>
    </row>
    <row r="79">
      <c r="A79" s="34" t="s">
        <v>284</v>
      </c>
      <c r="B79" s="35" t="s">
        <v>285</v>
      </c>
      <c r="C79" s="36" t="s">
        <v>314</v>
      </c>
    </row>
    <row r="80">
      <c r="A80" s="34" t="s">
        <v>201</v>
      </c>
      <c r="B80" s="35" t="s">
        <v>202</v>
      </c>
      <c r="C80" s="36" t="s">
        <v>314</v>
      </c>
    </row>
    <row r="81">
      <c r="A81" s="34" t="s">
        <v>214</v>
      </c>
      <c r="B81" s="35" t="s">
        <v>215</v>
      </c>
      <c r="C81" s="36" t="s">
        <v>314</v>
      </c>
    </row>
    <row r="82">
      <c r="A82" s="34" t="s">
        <v>131</v>
      </c>
      <c r="B82" s="35" t="s">
        <v>132</v>
      </c>
      <c r="C82" s="36" t="s">
        <v>314</v>
      </c>
    </row>
    <row r="83">
      <c r="A83" s="34" t="s">
        <v>288</v>
      </c>
      <c r="B83" s="35" t="s">
        <v>289</v>
      </c>
      <c r="C83" s="36" t="s">
        <v>314</v>
      </c>
    </row>
    <row r="84">
      <c r="A84" s="34" t="s">
        <v>302</v>
      </c>
      <c r="B84" s="35" t="s">
        <v>303</v>
      </c>
      <c r="C84" s="36" t="s">
        <v>314</v>
      </c>
    </row>
    <row r="85">
      <c r="A85" s="34" t="s">
        <v>290</v>
      </c>
      <c r="B85" s="35" t="s">
        <v>291</v>
      </c>
      <c r="C85" s="36" t="s">
        <v>314</v>
      </c>
    </row>
    <row r="86">
      <c r="A86" s="34" t="s">
        <v>250</v>
      </c>
      <c r="B86" s="35" t="s">
        <v>251</v>
      </c>
      <c r="C86" s="36" t="s">
        <v>314</v>
      </c>
    </row>
    <row r="87">
      <c r="A87" s="34" t="s">
        <v>306</v>
      </c>
      <c r="B87" s="35" t="s">
        <v>307</v>
      </c>
      <c r="C87" s="36" t="s">
        <v>314</v>
      </c>
    </row>
    <row r="88">
      <c r="A88" s="34" t="s">
        <v>240</v>
      </c>
      <c r="B88" s="35" t="s">
        <v>241</v>
      </c>
      <c r="C88" s="36" t="s">
        <v>314</v>
      </c>
    </row>
    <row r="89">
      <c r="A89" s="34" t="s">
        <v>104</v>
      </c>
      <c r="B89" s="35" t="s">
        <v>105</v>
      </c>
      <c r="C89" s="36" t="s">
        <v>314</v>
      </c>
    </row>
    <row r="90">
      <c r="A90" s="34" t="s">
        <v>106</v>
      </c>
      <c r="B90" s="35" t="s">
        <v>107</v>
      </c>
      <c r="C90" s="36" t="s">
        <v>314</v>
      </c>
    </row>
    <row r="91">
      <c r="A91" s="34" t="s">
        <v>298</v>
      </c>
      <c r="B91" s="35" t="s">
        <v>299</v>
      </c>
      <c r="C91" s="36" t="s">
        <v>314</v>
      </c>
    </row>
    <row r="92">
      <c r="A92" s="34" t="s">
        <v>282</v>
      </c>
      <c r="B92" s="35" t="s">
        <v>283</v>
      </c>
      <c r="C92" s="36" t="s">
        <v>314</v>
      </c>
    </row>
    <row r="93">
      <c r="A93" s="34" t="s">
        <v>146</v>
      </c>
      <c r="B93" s="35" t="s">
        <v>147</v>
      </c>
      <c r="C93" s="36" t="s">
        <v>314</v>
      </c>
    </row>
    <row r="94">
      <c r="A94" s="34" t="s">
        <v>234</v>
      </c>
      <c r="B94" s="35" t="s">
        <v>235</v>
      </c>
      <c r="C94" s="36" t="s">
        <v>314</v>
      </c>
    </row>
    <row r="95">
      <c r="A95" s="34" t="s">
        <v>222</v>
      </c>
      <c r="B95" s="35" t="s">
        <v>223</v>
      </c>
      <c r="C95" s="36" t="s">
        <v>314</v>
      </c>
    </row>
    <row r="96">
      <c r="A96" s="34" t="s">
        <v>190</v>
      </c>
      <c r="B96" s="35" t="s">
        <v>191</v>
      </c>
      <c r="C96" s="36" t="s">
        <v>314</v>
      </c>
    </row>
    <row r="97">
      <c r="A97" s="34" t="s">
        <v>219</v>
      </c>
      <c r="B97" s="35" t="s">
        <v>220</v>
      </c>
      <c r="C97" s="36" t="s">
        <v>314</v>
      </c>
    </row>
    <row r="98">
      <c r="A98" s="34" t="s">
        <v>180</v>
      </c>
      <c r="B98" s="35" t="s">
        <v>181</v>
      </c>
      <c r="C98" s="36" t="s">
        <v>314</v>
      </c>
    </row>
    <row r="99">
      <c r="A99" s="34" t="s">
        <v>154</v>
      </c>
      <c r="B99" s="35" t="s">
        <v>155</v>
      </c>
      <c r="C99" s="36" t="s">
        <v>314</v>
      </c>
    </row>
    <row r="100">
      <c r="A100" s="34" t="s">
        <v>122</v>
      </c>
      <c r="B100" s="35" t="s">
        <v>123</v>
      </c>
      <c r="C100" s="36" t="s">
        <v>314</v>
      </c>
    </row>
    <row r="101">
      <c r="A101" s="34" t="s">
        <v>195</v>
      </c>
      <c r="B101" s="35" t="s">
        <v>196</v>
      </c>
      <c r="C101" s="36" t="s">
        <v>314</v>
      </c>
    </row>
  </sheetData>
  <dataValidations>
    <dataValidation type="list" allowBlank="1" showErrorMessage="1" sqref="C2:C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1.75"/>
    <col customWidth="1" min="3" max="3" width="19.75"/>
    <col customWidth="1" min="4" max="4" width="60.63"/>
  </cols>
  <sheetData>
    <row r="1">
      <c r="A1" s="31" t="s">
        <v>93</v>
      </c>
      <c r="B1" s="32" t="s">
        <v>94</v>
      </c>
      <c r="C1" s="33" t="s">
        <v>95</v>
      </c>
      <c r="D1" s="26" t="s">
        <v>96</v>
      </c>
    </row>
    <row r="2">
      <c r="A2" s="34" t="s">
        <v>226</v>
      </c>
      <c r="B2" s="35" t="s">
        <v>227</v>
      </c>
      <c r="C2" s="36" t="s">
        <v>314</v>
      </c>
    </row>
    <row r="3">
      <c r="A3" s="34" t="s">
        <v>118</v>
      </c>
      <c r="B3" s="35" t="s">
        <v>119</v>
      </c>
      <c r="C3" s="36" t="s">
        <v>314</v>
      </c>
    </row>
    <row r="4">
      <c r="A4" s="34" t="s">
        <v>224</v>
      </c>
      <c r="B4" s="35" t="s">
        <v>225</v>
      </c>
      <c r="C4" s="36" t="s">
        <v>314</v>
      </c>
    </row>
    <row r="5">
      <c r="A5" s="34" t="s">
        <v>236</v>
      </c>
      <c r="B5" s="35" t="s">
        <v>237</v>
      </c>
      <c r="C5" s="36" t="s">
        <v>314</v>
      </c>
    </row>
    <row r="6">
      <c r="A6" s="34" t="s">
        <v>108</v>
      </c>
      <c r="B6" s="35" t="s">
        <v>109</v>
      </c>
      <c r="C6" s="36" t="s">
        <v>314</v>
      </c>
    </row>
    <row r="7">
      <c r="A7" s="34" t="s">
        <v>266</v>
      </c>
      <c r="B7" s="35" t="s">
        <v>267</v>
      </c>
      <c r="C7" s="36" t="s">
        <v>314</v>
      </c>
    </row>
    <row r="8">
      <c r="A8" s="34" t="s">
        <v>173</v>
      </c>
      <c r="B8" s="35" t="s">
        <v>174</v>
      </c>
      <c r="C8" s="36" t="s">
        <v>314</v>
      </c>
    </row>
    <row r="9">
      <c r="A9" s="34" t="s">
        <v>182</v>
      </c>
      <c r="B9" s="35" t="s">
        <v>183</v>
      </c>
      <c r="C9" s="36" t="s">
        <v>314</v>
      </c>
    </row>
    <row r="10">
      <c r="A10" s="34" t="s">
        <v>274</v>
      </c>
      <c r="B10" s="35" t="s">
        <v>275</v>
      </c>
      <c r="C10" s="36" t="s">
        <v>314</v>
      </c>
    </row>
    <row r="11">
      <c r="A11" s="34" t="s">
        <v>264</v>
      </c>
      <c r="B11" s="35" t="s">
        <v>265</v>
      </c>
      <c r="C11" s="36" t="s">
        <v>314</v>
      </c>
    </row>
    <row r="12">
      <c r="A12" s="34" t="s">
        <v>228</v>
      </c>
      <c r="B12" s="35" t="s">
        <v>229</v>
      </c>
      <c r="C12" s="36" t="s">
        <v>314</v>
      </c>
    </row>
    <row r="13">
      <c r="A13" s="34" t="s">
        <v>246</v>
      </c>
      <c r="B13" s="35" t="s">
        <v>247</v>
      </c>
      <c r="C13" s="36" t="s">
        <v>314</v>
      </c>
    </row>
    <row r="14">
      <c r="A14" s="34" t="s">
        <v>306</v>
      </c>
      <c r="B14" s="35" t="s">
        <v>307</v>
      </c>
      <c r="C14" s="36" t="s">
        <v>314</v>
      </c>
    </row>
    <row r="15">
      <c r="A15" s="34" t="s">
        <v>257</v>
      </c>
      <c r="B15" s="35" t="s">
        <v>258</v>
      </c>
      <c r="C15" s="36" t="s">
        <v>314</v>
      </c>
    </row>
    <row r="16">
      <c r="A16" s="34" t="s">
        <v>180</v>
      </c>
      <c r="B16" s="35" t="s">
        <v>181</v>
      </c>
      <c r="C16" s="36" t="s">
        <v>314</v>
      </c>
    </row>
    <row r="17">
      <c r="A17" s="34" t="s">
        <v>259</v>
      </c>
      <c r="B17" s="35" t="s">
        <v>260</v>
      </c>
      <c r="C17" s="36" t="s">
        <v>314</v>
      </c>
    </row>
    <row r="18">
      <c r="A18" s="34" t="s">
        <v>242</v>
      </c>
      <c r="B18" s="35" t="s">
        <v>243</v>
      </c>
      <c r="C18" s="36" t="s">
        <v>314</v>
      </c>
    </row>
    <row r="19">
      <c r="A19" s="34" t="s">
        <v>290</v>
      </c>
      <c r="B19" s="35" t="s">
        <v>291</v>
      </c>
      <c r="C19" s="36" t="s">
        <v>314</v>
      </c>
    </row>
    <row r="20">
      <c r="A20" s="34" t="s">
        <v>308</v>
      </c>
      <c r="B20" s="35" t="s">
        <v>309</v>
      </c>
      <c r="C20" s="36" t="s">
        <v>314</v>
      </c>
    </row>
    <row r="21">
      <c r="A21" s="34" t="s">
        <v>158</v>
      </c>
      <c r="B21" s="35" t="s">
        <v>159</v>
      </c>
      <c r="C21" s="36" t="s">
        <v>314</v>
      </c>
    </row>
    <row r="22">
      <c r="A22" s="34" t="s">
        <v>112</v>
      </c>
      <c r="B22" s="35" t="s">
        <v>113</v>
      </c>
      <c r="C22" s="36" t="s">
        <v>314</v>
      </c>
    </row>
    <row r="23">
      <c r="A23" s="34" t="s">
        <v>170</v>
      </c>
      <c r="B23" s="35" t="s">
        <v>171</v>
      </c>
      <c r="C23" s="36" t="s">
        <v>314</v>
      </c>
    </row>
    <row r="24">
      <c r="A24" s="34" t="s">
        <v>127</v>
      </c>
      <c r="B24" s="35" t="s">
        <v>128</v>
      </c>
      <c r="C24" s="36" t="s">
        <v>314</v>
      </c>
    </row>
    <row r="25">
      <c r="A25" s="34" t="s">
        <v>248</v>
      </c>
      <c r="B25" s="35" t="s">
        <v>249</v>
      </c>
      <c r="C25" s="36" t="s">
        <v>314</v>
      </c>
    </row>
    <row r="26">
      <c r="A26" s="34" t="s">
        <v>160</v>
      </c>
      <c r="B26" s="35" t="s">
        <v>161</v>
      </c>
      <c r="C26" s="36" t="s">
        <v>314</v>
      </c>
    </row>
    <row r="27">
      <c r="A27" s="34" t="s">
        <v>214</v>
      </c>
      <c r="B27" s="35" t="s">
        <v>215</v>
      </c>
      <c r="C27" s="36" t="s">
        <v>314</v>
      </c>
    </row>
    <row r="28">
      <c r="A28" s="34" t="s">
        <v>139</v>
      </c>
      <c r="B28" s="35" t="s">
        <v>140</v>
      </c>
      <c r="C28" s="36" t="s">
        <v>314</v>
      </c>
    </row>
    <row r="29">
      <c r="A29" s="34" t="s">
        <v>102</v>
      </c>
      <c r="B29" s="35" t="s">
        <v>103</v>
      </c>
      <c r="C29" s="36" t="s">
        <v>314</v>
      </c>
    </row>
    <row r="30">
      <c r="A30" s="34" t="s">
        <v>106</v>
      </c>
      <c r="B30" s="35" t="s">
        <v>107</v>
      </c>
      <c r="C30" s="36" t="s">
        <v>314</v>
      </c>
    </row>
    <row r="31">
      <c r="A31" s="34" t="s">
        <v>125</v>
      </c>
      <c r="B31" s="35" t="s">
        <v>126</v>
      </c>
      <c r="C31" s="36" t="s">
        <v>314</v>
      </c>
    </row>
    <row r="32">
      <c r="A32" s="34" t="s">
        <v>238</v>
      </c>
      <c r="B32" s="35" t="s">
        <v>239</v>
      </c>
      <c r="C32" s="36" t="s">
        <v>314</v>
      </c>
    </row>
    <row r="33">
      <c r="A33" s="34" t="s">
        <v>268</v>
      </c>
      <c r="B33" s="35" t="s">
        <v>269</v>
      </c>
      <c r="C33" s="36" t="s">
        <v>314</v>
      </c>
    </row>
    <row r="34">
      <c r="A34" s="34" t="s">
        <v>300</v>
      </c>
      <c r="B34" s="35" t="s">
        <v>301</v>
      </c>
      <c r="C34" s="36" t="s">
        <v>314</v>
      </c>
    </row>
    <row r="35">
      <c r="A35" s="34" t="s">
        <v>276</v>
      </c>
      <c r="B35" s="35" t="s">
        <v>277</v>
      </c>
      <c r="C35" s="36" t="s">
        <v>314</v>
      </c>
    </row>
    <row r="36">
      <c r="A36" s="34" t="s">
        <v>188</v>
      </c>
      <c r="B36" s="35" t="s">
        <v>189</v>
      </c>
      <c r="C36" s="36" t="s">
        <v>314</v>
      </c>
    </row>
    <row r="37">
      <c r="A37" s="34" t="s">
        <v>278</v>
      </c>
      <c r="B37" s="35" t="s">
        <v>279</v>
      </c>
      <c r="C37" s="36" t="s">
        <v>314</v>
      </c>
    </row>
    <row r="38">
      <c r="A38" s="34" t="s">
        <v>294</v>
      </c>
      <c r="B38" s="35" t="s">
        <v>295</v>
      </c>
      <c r="C38" s="36" t="s">
        <v>314</v>
      </c>
    </row>
    <row r="39">
      <c r="A39" s="34" t="s">
        <v>186</v>
      </c>
      <c r="B39" s="35" t="s">
        <v>187</v>
      </c>
      <c r="C39" s="36" t="s">
        <v>314</v>
      </c>
    </row>
    <row r="40">
      <c r="A40" s="34" t="s">
        <v>129</v>
      </c>
      <c r="B40" s="35" t="s">
        <v>130</v>
      </c>
      <c r="C40" s="36" t="s">
        <v>314</v>
      </c>
    </row>
    <row r="41">
      <c r="A41" s="34" t="s">
        <v>280</v>
      </c>
      <c r="B41" s="35" t="s">
        <v>281</v>
      </c>
      <c r="C41" s="36" t="s">
        <v>314</v>
      </c>
    </row>
    <row r="42">
      <c r="A42" s="34" t="s">
        <v>312</v>
      </c>
      <c r="B42" s="35" t="s">
        <v>313</v>
      </c>
      <c r="C42" s="36" t="s">
        <v>314</v>
      </c>
    </row>
    <row r="43">
      <c r="A43" s="34" t="s">
        <v>252</v>
      </c>
      <c r="B43" s="35" t="s">
        <v>253</v>
      </c>
      <c r="C43" s="36" t="s">
        <v>314</v>
      </c>
    </row>
    <row r="44">
      <c r="A44" s="34" t="s">
        <v>120</v>
      </c>
      <c r="B44" s="35" t="s">
        <v>121</v>
      </c>
      <c r="C44" s="36" t="s">
        <v>314</v>
      </c>
    </row>
    <row r="45">
      <c r="A45" s="34" t="s">
        <v>97</v>
      </c>
      <c r="B45" s="35" t="s">
        <v>98</v>
      </c>
      <c r="C45" s="36" t="s">
        <v>314</v>
      </c>
    </row>
    <row r="46">
      <c r="A46" s="34" t="s">
        <v>143</v>
      </c>
      <c r="B46" s="35" t="s">
        <v>144</v>
      </c>
      <c r="C46" s="36" t="s">
        <v>314</v>
      </c>
    </row>
    <row r="47">
      <c r="A47" s="34" t="s">
        <v>284</v>
      </c>
      <c r="B47" s="35" t="s">
        <v>285</v>
      </c>
      <c r="C47" s="36" t="s">
        <v>314</v>
      </c>
    </row>
    <row r="48">
      <c r="A48" s="34" t="s">
        <v>211</v>
      </c>
      <c r="B48" s="35" t="s">
        <v>212</v>
      </c>
      <c r="C48" s="36" t="s">
        <v>314</v>
      </c>
    </row>
    <row r="49">
      <c r="A49" s="34" t="s">
        <v>104</v>
      </c>
      <c r="B49" s="35" t="s">
        <v>105</v>
      </c>
      <c r="C49" s="36" t="s">
        <v>314</v>
      </c>
    </row>
    <row r="50">
      <c r="A50" s="34" t="s">
        <v>152</v>
      </c>
      <c r="B50" s="35" t="s">
        <v>153</v>
      </c>
      <c r="C50" s="36" t="s">
        <v>314</v>
      </c>
    </row>
    <row r="51">
      <c r="A51" s="34" t="s">
        <v>190</v>
      </c>
      <c r="B51" s="35" t="s">
        <v>191</v>
      </c>
      <c r="C51" s="36" t="s">
        <v>314</v>
      </c>
    </row>
    <row r="52">
      <c r="A52" s="34" t="s">
        <v>99</v>
      </c>
      <c r="B52" s="35" t="s">
        <v>100</v>
      </c>
      <c r="C52" s="36" t="s">
        <v>314</v>
      </c>
    </row>
    <row r="53">
      <c r="A53" s="34" t="s">
        <v>250</v>
      </c>
      <c r="B53" s="35" t="s">
        <v>251</v>
      </c>
      <c r="C53" s="36" t="s">
        <v>314</v>
      </c>
    </row>
    <row r="54">
      <c r="A54" s="34" t="s">
        <v>165</v>
      </c>
      <c r="B54" s="35" t="s">
        <v>166</v>
      </c>
      <c r="C54" s="36" t="s">
        <v>314</v>
      </c>
    </row>
    <row r="55">
      <c r="A55" s="34" t="s">
        <v>298</v>
      </c>
      <c r="B55" s="35" t="s">
        <v>299</v>
      </c>
      <c r="C55" s="36" t="s">
        <v>314</v>
      </c>
    </row>
    <row r="56">
      <c r="A56" s="34" t="s">
        <v>288</v>
      </c>
      <c r="B56" s="35" t="s">
        <v>289</v>
      </c>
      <c r="C56" s="36" t="s">
        <v>314</v>
      </c>
    </row>
    <row r="57">
      <c r="A57" s="34" t="s">
        <v>141</v>
      </c>
      <c r="B57" s="35" t="s">
        <v>142</v>
      </c>
      <c r="C57" s="36" t="s">
        <v>314</v>
      </c>
    </row>
    <row r="58">
      <c r="A58" s="34" t="s">
        <v>304</v>
      </c>
      <c r="B58" s="35" t="s">
        <v>305</v>
      </c>
      <c r="C58" s="36" t="s">
        <v>314</v>
      </c>
    </row>
    <row r="59">
      <c r="A59" s="34" t="s">
        <v>184</v>
      </c>
      <c r="B59" s="35" t="s">
        <v>185</v>
      </c>
      <c r="C59" s="36" t="s">
        <v>314</v>
      </c>
    </row>
    <row r="60">
      <c r="A60" s="34" t="s">
        <v>178</v>
      </c>
      <c r="B60" s="35" t="s">
        <v>179</v>
      </c>
      <c r="C60" s="36" t="s">
        <v>314</v>
      </c>
    </row>
    <row r="61">
      <c r="A61" s="34" t="s">
        <v>197</v>
      </c>
      <c r="B61" s="35" t="s">
        <v>198</v>
      </c>
      <c r="C61" s="36" t="s">
        <v>314</v>
      </c>
    </row>
    <row r="62">
      <c r="A62" s="34" t="s">
        <v>122</v>
      </c>
      <c r="B62" s="35" t="s">
        <v>123</v>
      </c>
      <c r="C62" s="36" t="s">
        <v>314</v>
      </c>
    </row>
    <row r="63">
      <c r="A63" s="34" t="s">
        <v>154</v>
      </c>
      <c r="B63" s="35" t="s">
        <v>155</v>
      </c>
      <c r="C63" s="36" t="s">
        <v>314</v>
      </c>
    </row>
    <row r="64">
      <c r="A64" s="34" t="s">
        <v>150</v>
      </c>
      <c r="B64" s="35" t="s">
        <v>151</v>
      </c>
      <c r="C64" s="36" t="s">
        <v>314</v>
      </c>
    </row>
    <row r="65">
      <c r="A65" s="34" t="s">
        <v>207</v>
      </c>
      <c r="B65" s="35" t="s">
        <v>208</v>
      </c>
      <c r="C65" s="36" t="s">
        <v>314</v>
      </c>
    </row>
    <row r="66">
      <c r="A66" s="34" t="s">
        <v>219</v>
      </c>
      <c r="B66" s="35" t="s">
        <v>220</v>
      </c>
      <c r="C66" s="36" t="s">
        <v>314</v>
      </c>
    </row>
    <row r="67">
      <c r="A67" s="34" t="s">
        <v>270</v>
      </c>
      <c r="B67" s="35" t="s">
        <v>271</v>
      </c>
      <c r="C67" s="36" t="s">
        <v>314</v>
      </c>
    </row>
    <row r="68">
      <c r="A68" s="34" t="s">
        <v>110</v>
      </c>
      <c r="B68" s="35" t="s">
        <v>111</v>
      </c>
      <c r="C68" s="36" t="s">
        <v>314</v>
      </c>
    </row>
    <row r="69">
      <c r="A69" s="34" t="s">
        <v>286</v>
      </c>
      <c r="B69" s="35" t="s">
        <v>287</v>
      </c>
      <c r="C69" s="36" t="s">
        <v>314</v>
      </c>
    </row>
    <row r="70">
      <c r="A70" s="34" t="s">
        <v>134</v>
      </c>
      <c r="B70" s="35" t="s">
        <v>135</v>
      </c>
      <c r="C70" s="36" t="s">
        <v>314</v>
      </c>
    </row>
    <row r="71">
      <c r="A71" s="34" t="s">
        <v>195</v>
      </c>
      <c r="B71" s="35" t="s">
        <v>196</v>
      </c>
      <c r="C71" s="36" t="s">
        <v>314</v>
      </c>
    </row>
    <row r="72">
      <c r="A72" s="34" t="s">
        <v>209</v>
      </c>
      <c r="B72" s="35" t="s">
        <v>210</v>
      </c>
      <c r="C72" s="36" t="s">
        <v>314</v>
      </c>
    </row>
    <row r="73">
      <c r="A73" s="34" t="s">
        <v>131</v>
      </c>
      <c r="B73" s="35" t="s">
        <v>132</v>
      </c>
      <c r="C73" s="36" t="s">
        <v>314</v>
      </c>
    </row>
    <row r="74">
      <c r="A74" s="34" t="s">
        <v>167</v>
      </c>
      <c r="B74" s="35" t="s">
        <v>168</v>
      </c>
      <c r="C74" s="36" t="s">
        <v>314</v>
      </c>
    </row>
    <row r="75">
      <c r="A75" s="34" t="s">
        <v>175</v>
      </c>
      <c r="B75" s="35" t="s">
        <v>176</v>
      </c>
      <c r="C75" s="36" t="s">
        <v>314</v>
      </c>
    </row>
    <row r="76">
      <c r="A76" s="34" t="s">
        <v>222</v>
      </c>
      <c r="B76" s="35" t="s">
        <v>223</v>
      </c>
      <c r="C76" s="36" t="s">
        <v>314</v>
      </c>
    </row>
    <row r="77">
      <c r="A77" s="34" t="s">
        <v>232</v>
      </c>
      <c r="B77" s="35" t="s">
        <v>233</v>
      </c>
      <c r="C77" s="36" t="s">
        <v>314</v>
      </c>
    </row>
    <row r="78">
      <c r="A78" s="34" t="s">
        <v>116</v>
      </c>
      <c r="B78" s="35" t="s">
        <v>117</v>
      </c>
      <c r="C78" s="36" t="s">
        <v>314</v>
      </c>
    </row>
    <row r="79">
      <c r="A79" s="34" t="s">
        <v>204</v>
      </c>
      <c r="B79" s="35" t="s">
        <v>205</v>
      </c>
      <c r="C79" s="36" t="s">
        <v>314</v>
      </c>
    </row>
    <row r="80">
      <c r="A80" s="34" t="s">
        <v>302</v>
      </c>
      <c r="B80" s="35" t="s">
        <v>303</v>
      </c>
      <c r="C80" s="36" t="s">
        <v>314</v>
      </c>
    </row>
    <row r="81">
      <c r="A81" s="34" t="s">
        <v>240</v>
      </c>
      <c r="B81" s="35" t="s">
        <v>241</v>
      </c>
      <c r="C81" s="36" t="s">
        <v>314</v>
      </c>
    </row>
    <row r="82">
      <c r="A82" s="34" t="s">
        <v>296</v>
      </c>
      <c r="B82" s="35" t="s">
        <v>297</v>
      </c>
      <c r="C82" s="36" t="s">
        <v>314</v>
      </c>
    </row>
    <row r="83">
      <c r="A83" s="34" t="s">
        <v>199</v>
      </c>
      <c r="B83" s="35" t="s">
        <v>200</v>
      </c>
      <c r="C83" s="36" t="s">
        <v>314</v>
      </c>
    </row>
    <row r="84">
      <c r="A84" s="34" t="s">
        <v>255</v>
      </c>
      <c r="B84" s="35" t="s">
        <v>256</v>
      </c>
      <c r="C84" s="36" t="s">
        <v>314</v>
      </c>
    </row>
    <row r="85">
      <c r="A85" s="34" t="s">
        <v>234</v>
      </c>
      <c r="B85" s="35" t="s">
        <v>235</v>
      </c>
      <c r="C85" s="36" t="s">
        <v>314</v>
      </c>
    </row>
    <row r="86">
      <c r="A86" s="34" t="s">
        <v>201</v>
      </c>
      <c r="B86" s="35" t="s">
        <v>202</v>
      </c>
      <c r="C86" s="36" t="s">
        <v>314</v>
      </c>
    </row>
    <row r="87">
      <c r="A87" s="34" t="s">
        <v>282</v>
      </c>
      <c r="B87" s="35" t="s">
        <v>283</v>
      </c>
      <c r="C87" s="36" t="s">
        <v>314</v>
      </c>
    </row>
    <row r="88">
      <c r="A88" s="34" t="s">
        <v>230</v>
      </c>
      <c r="B88" s="35" t="s">
        <v>231</v>
      </c>
      <c r="C88" s="36" t="s">
        <v>314</v>
      </c>
    </row>
    <row r="89">
      <c r="A89" s="34" t="s">
        <v>156</v>
      </c>
      <c r="B89" s="35" t="s">
        <v>157</v>
      </c>
      <c r="C89" s="36" t="s">
        <v>314</v>
      </c>
    </row>
    <row r="90">
      <c r="A90" s="34" t="s">
        <v>272</v>
      </c>
      <c r="B90" s="35" t="s">
        <v>273</v>
      </c>
      <c r="C90" s="36" t="s">
        <v>314</v>
      </c>
    </row>
    <row r="91">
      <c r="A91" s="34" t="s">
        <v>162</v>
      </c>
      <c r="B91" s="35" t="s">
        <v>163</v>
      </c>
      <c r="C91" s="36" t="s">
        <v>314</v>
      </c>
    </row>
    <row r="92">
      <c r="A92" s="34" t="s">
        <v>292</v>
      </c>
      <c r="B92" s="35" t="s">
        <v>293</v>
      </c>
      <c r="C92" s="36" t="s">
        <v>314</v>
      </c>
    </row>
    <row r="93">
      <c r="A93" s="34" t="s">
        <v>148</v>
      </c>
      <c r="B93" s="35" t="s">
        <v>149</v>
      </c>
      <c r="C93" s="36" t="s">
        <v>314</v>
      </c>
    </row>
    <row r="94">
      <c r="A94" s="34" t="s">
        <v>244</v>
      </c>
      <c r="B94" s="35" t="s">
        <v>245</v>
      </c>
      <c r="C94" s="36" t="s">
        <v>314</v>
      </c>
    </row>
    <row r="95">
      <c r="A95" s="34" t="s">
        <v>217</v>
      </c>
      <c r="B95" s="35" t="s">
        <v>218</v>
      </c>
      <c r="C95" s="36" t="s">
        <v>314</v>
      </c>
    </row>
    <row r="96">
      <c r="A96" s="34" t="s">
        <v>192</v>
      </c>
      <c r="B96" s="35" t="s">
        <v>193</v>
      </c>
      <c r="C96" s="36" t="s">
        <v>314</v>
      </c>
    </row>
    <row r="97">
      <c r="A97" s="34" t="s">
        <v>146</v>
      </c>
      <c r="B97" s="35" t="s">
        <v>147</v>
      </c>
      <c r="C97" s="36" t="s">
        <v>314</v>
      </c>
    </row>
    <row r="98">
      <c r="A98" s="34" t="s">
        <v>310</v>
      </c>
      <c r="B98" s="35" t="s">
        <v>311</v>
      </c>
      <c r="C98" s="36" t="s">
        <v>314</v>
      </c>
    </row>
    <row r="99">
      <c r="A99" s="34" t="s">
        <v>262</v>
      </c>
      <c r="B99" s="35" t="s">
        <v>263</v>
      </c>
      <c r="C99" s="36" t="s">
        <v>314</v>
      </c>
    </row>
    <row r="100">
      <c r="A100" s="34" t="s">
        <v>114</v>
      </c>
      <c r="B100" s="35" t="s">
        <v>115</v>
      </c>
      <c r="C100" s="36" t="s">
        <v>314</v>
      </c>
    </row>
    <row r="101">
      <c r="A101" s="34" t="s">
        <v>137</v>
      </c>
      <c r="B101" s="35" t="s">
        <v>138</v>
      </c>
      <c r="C101" s="36" t="s">
        <v>314</v>
      </c>
    </row>
  </sheetData>
  <dataValidations>
    <dataValidation type="list" allowBlank="1" showErrorMessage="1" sqref="C2:C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97.0"/>
    <col customWidth="1" min="3" max="4" width="19.75"/>
  </cols>
  <sheetData>
    <row r="1">
      <c r="A1" s="31" t="s">
        <v>93</v>
      </c>
      <c r="B1" s="32" t="s">
        <v>94</v>
      </c>
      <c r="C1" s="33" t="s">
        <v>95</v>
      </c>
      <c r="D1" s="26" t="s">
        <v>96</v>
      </c>
    </row>
    <row r="2">
      <c r="A2" s="34" t="s">
        <v>122</v>
      </c>
      <c r="B2" s="35" t="s">
        <v>123</v>
      </c>
      <c r="C2" s="36" t="b">
        <v>0</v>
      </c>
    </row>
    <row r="3">
      <c r="A3" s="34" t="s">
        <v>310</v>
      </c>
      <c r="B3" s="35" t="s">
        <v>311</v>
      </c>
      <c r="C3" s="36" t="b">
        <v>1</v>
      </c>
    </row>
    <row r="4">
      <c r="A4" s="34" t="s">
        <v>296</v>
      </c>
      <c r="B4" s="35" t="s">
        <v>297</v>
      </c>
      <c r="C4" s="36" t="b">
        <v>1</v>
      </c>
    </row>
    <row r="5">
      <c r="A5" s="34" t="s">
        <v>282</v>
      </c>
      <c r="B5" s="35" t="s">
        <v>283</v>
      </c>
      <c r="C5" s="36" t="b">
        <v>1</v>
      </c>
    </row>
    <row r="6">
      <c r="A6" s="34" t="s">
        <v>288</v>
      </c>
      <c r="B6" s="35" t="s">
        <v>289</v>
      </c>
      <c r="C6" s="36" t="b">
        <v>1</v>
      </c>
    </row>
    <row r="7">
      <c r="A7" s="34" t="s">
        <v>165</v>
      </c>
      <c r="B7" s="35" t="s">
        <v>166</v>
      </c>
      <c r="C7" s="36" t="b">
        <v>0</v>
      </c>
    </row>
    <row r="8">
      <c r="A8" s="34" t="s">
        <v>112</v>
      </c>
      <c r="B8" s="35" t="s">
        <v>113</v>
      </c>
      <c r="C8" s="36" t="b">
        <v>0</v>
      </c>
    </row>
    <row r="9">
      <c r="A9" s="34" t="s">
        <v>204</v>
      </c>
      <c r="B9" s="35" t="s">
        <v>205</v>
      </c>
      <c r="C9" s="36" t="b">
        <v>1</v>
      </c>
    </row>
    <row r="10">
      <c r="A10" s="34" t="s">
        <v>248</v>
      </c>
      <c r="B10" s="35" t="s">
        <v>249</v>
      </c>
      <c r="C10" s="36" t="b">
        <v>1</v>
      </c>
    </row>
    <row r="11">
      <c r="A11" s="34" t="s">
        <v>139</v>
      </c>
      <c r="B11" s="35" t="s">
        <v>140</v>
      </c>
      <c r="C11" s="36" t="b">
        <v>0</v>
      </c>
    </row>
    <row r="12">
      <c r="A12" s="34" t="s">
        <v>230</v>
      </c>
      <c r="B12" s="35" t="s">
        <v>231</v>
      </c>
      <c r="C12" s="36" t="b">
        <v>0</v>
      </c>
    </row>
    <row r="13">
      <c r="A13" s="34" t="s">
        <v>108</v>
      </c>
      <c r="B13" s="35" t="s">
        <v>109</v>
      </c>
      <c r="C13" s="36" t="b">
        <v>1</v>
      </c>
    </row>
    <row r="14">
      <c r="A14" s="34" t="s">
        <v>134</v>
      </c>
      <c r="B14" s="35" t="s">
        <v>135</v>
      </c>
      <c r="C14" s="36" t="b">
        <v>1</v>
      </c>
    </row>
    <row r="15">
      <c r="A15" s="34" t="s">
        <v>211</v>
      </c>
      <c r="B15" s="35" t="s">
        <v>212</v>
      </c>
      <c r="C15" s="36" t="b">
        <v>1</v>
      </c>
    </row>
    <row r="16">
      <c r="A16" s="34" t="s">
        <v>236</v>
      </c>
      <c r="B16" s="35" t="s">
        <v>237</v>
      </c>
      <c r="C16" s="36" t="b">
        <v>0</v>
      </c>
    </row>
    <row r="17">
      <c r="A17" s="34" t="s">
        <v>167</v>
      </c>
      <c r="B17" s="35" t="s">
        <v>168</v>
      </c>
      <c r="C17" s="36" t="b">
        <v>1</v>
      </c>
    </row>
    <row r="18">
      <c r="A18" s="34" t="s">
        <v>272</v>
      </c>
      <c r="B18" s="35" t="s">
        <v>273</v>
      </c>
      <c r="C18" s="36" t="b">
        <v>0</v>
      </c>
    </row>
    <row r="19">
      <c r="A19" s="34" t="s">
        <v>312</v>
      </c>
      <c r="B19" s="35" t="s">
        <v>313</v>
      </c>
      <c r="C19" s="36" t="b">
        <v>1</v>
      </c>
    </row>
    <row r="20">
      <c r="A20" s="34" t="s">
        <v>250</v>
      </c>
      <c r="B20" s="35" t="s">
        <v>251</v>
      </c>
      <c r="C20" s="36" t="b">
        <v>1</v>
      </c>
    </row>
    <row r="21">
      <c r="A21" s="34" t="s">
        <v>266</v>
      </c>
      <c r="B21" s="35" t="s">
        <v>267</v>
      </c>
      <c r="C21" s="36" t="b">
        <v>1</v>
      </c>
    </row>
    <row r="22">
      <c r="A22" s="34" t="s">
        <v>188</v>
      </c>
      <c r="B22" s="35" t="s">
        <v>189</v>
      </c>
      <c r="C22" s="36" t="b">
        <v>1</v>
      </c>
    </row>
    <row r="23">
      <c r="A23" s="34" t="s">
        <v>175</v>
      </c>
      <c r="B23" s="35" t="s">
        <v>176</v>
      </c>
      <c r="C23" s="36" t="b">
        <v>0</v>
      </c>
    </row>
    <row r="24">
      <c r="A24" s="34" t="s">
        <v>280</v>
      </c>
      <c r="B24" s="35" t="s">
        <v>281</v>
      </c>
      <c r="C24" s="36" t="b">
        <v>0</v>
      </c>
    </row>
    <row r="25">
      <c r="A25" s="34" t="s">
        <v>214</v>
      </c>
      <c r="B25" s="35" t="s">
        <v>215</v>
      </c>
      <c r="C25" s="36" t="b">
        <v>1</v>
      </c>
    </row>
    <row r="26">
      <c r="A26" s="34" t="s">
        <v>184</v>
      </c>
      <c r="B26" s="35" t="s">
        <v>185</v>
      </c>
      <c r="C26" s="36" t="b">
        <v>0</v>
      </c>
    </row>
    <row r="27">
      <c r="A27" s="34" t="s">
        <v>110</v>
      </c>
      <c r="B27" s="35" t="s">
        <v>111</v>
      </c>
      <c r="C27" s="36" t="b">
        <v>0</v>
      </c>
    </row>
    <row r="28">
      <c r="A28" s="34" t="s">
        <v>240</v>
      </c>
      <c r="B28" s="35" t="s">
        <v>241</v>
      </c>
      <c r="C28" s="36" t="b">
        <v>1</v>
      </c>
    </row>
    <row r="29">
      <c r="A29" s="34" t="s">
        <v>242</v>
      </c>
      <c r="B29" s="35" t="s">
        <v>243</v>
      </c>
      <c r="C29" s="36" t="b">
        <v>1</v>
      </c>
    </row>
    <row r="30">
      <c r="A30" s="34" t="s">
        <v>302</v>
      </c>
      <c r="B30" s="35" t="s">
        <v>303</v>
      </c>
      <c r="C30" s="36" t="b">
        <v>0</v>
      </c>
    </row>
    <row r="31">
      <c r="A31" s="34" t="s">
        <v>201</v>
      </c>
      <c r="B31" s="35" t="s">
        <v>202</v>
      </c>
      <c r="C31" s="36" t="b">
        <v>1</v>
      </c>
    </row>
    <row r="32">
      <c r="A32" s="34" t="s">
        <v>97</v>
      </c>
      <c r="B32" s="35" t="s">
        <v>98</v>
      </c>
      <c r="C32" s="36" t="b">
        <v>0</v>
      </c>
    </row>
    <row r="33">
      <c r="A33" s="34" t="s">
        <v>116</v>
      </c>
      <c r="B33" s="37" t="s">
        <v>117</v>
      </c>
      <c r="C33" s="36" t="b">
        <v>1</v>
      </c>
    </row>
    <row r="34">
      <c r="A34" s="34" t="s">
        <v>127</v>
      </c>
      <c r="B34" s="35" t="s">
        <v>128</v>
      </c>
      <c r="C34" s="36" t="b">
        <v>1</v>
      </c>
    </row>
    <row r="35">
      <c r="A35" s="34" t="s">
        <v>217</v>
      </c>
      <c r="B35" s="35" t="s">
        <v>218</v>
      </c>
      <c r="C35" s="36" t="b">
        <v>1</v>
      </c>
    </row>
    <row r="36">
      <c r="A36" s="34" t="s">
        <v>125</v>
      </c>
      <c r="B36" s="35" t="s">
        <v>126</v>
      </c>
      <c r="C36" s="36" t="b">
        <v>1</v>
      </c>
    </row>
    <row r="37">
      <c r="A37" s="34" t="s">
        <v>207</v>
      </c>
      <c r="B37" s="35" t="s">
        <v>208</v>
      </c>
      <c r="C37" s="36" t="b">
        <v>1</v>
      </c>
    </row>
    <row r="38">
      <c r="A38" s="34" t="s">
        <v>284</v>
      </c>
      <c r="B38" s="35" t="s">
        <v>285</v>
      </c>
      <c r="C38" s="36" t="b">
        <v>1</v>
      </c>
    </row>
    <row r="39">
      <c r="A39" s="34" t="s">
        <v>156</v>
      </c>
      <c r="B39" s="38" t="s">
        <v>157</v>
      </c>
      <c r="C39" s="36" t="b">
        <v>0</v>
      </c>
    </row>
    <row r="40">
      <c r="A40" s="34" t="s">
        <v>292</v>
      </c>
      <c r="B40" s="35" t="s">
        <v>293</v>
      </c>
      <c r="C40" s="36" t="b">
        <v>0</v>
      </c>
    </row>
    <row r="41">
      <c r="A41" s="34" t="s">
        <v>104</v>
      </c>
      <c r="B41" s="35" t="s">
        <v>105</v>
      </c>
      <c r="C41" s="36" t="b">
        <v>0</v>
      </c>
    </row>
    <row r="42">
      <c r="A42" s="34" t="s">
        <v>148</v>
      </c>
      <c r="B42" s="35" t="s">
        <v>149</v>
      </c>
      <c r="C42" s="36" t="b">
        <v>1</v>
      </c>
    </row>
    <row r="43">
      <c r="A43" s="34" t="s">
        <v>222</v>
      </c>
      <c r="B43" s="35" t="s">
        <v>223</v>
      </c>
      <c r="C43" s="36" t="b">
        <v>1</v>
      </c>
    </row>
    <row r="44">
      <c r="A44" s="34" t="s">
        <v>234</v>
      </c>
      <c r="B44" s="35" t="s">
        <v>235</v>
      </c>
      <c r="C44" s="36" t="b">
        <v>1</v>
      </c>
    </row>
    <row r="45">
      <c r="A45" s="34" t="s">
        <v>146</v>
      </c>
      <c r="B45" s="35" t="s">
        <v>147</v>
      </c>
      <c r="C45" s="36" t="b">
        <v>1</v>
      </c>
    </row>
    <row r="46">
      <c r="A46" s="34" t="s">
        <v>129</v>
      </c>
      <c r="B46" s="35" t="s">
        <v>130</v>
      </c>
      <c r="C46" s="36" t="b">
        <v>0</v>
      </c>
    </row>
    <row r="47">
      <c r="A47" s="34" t="s">
        <v>209</v>
      </c>
      <c r="B47" s="35" t="s">
        <v>210</v>
      </c>
      <c r="C47" s="36" t="b">
        <v>0</v>
      </c>
    </row>
    <row r="48">
      <c r="A48" s="34" t="s">
        <v>150</v>
      </c>
      <c r="B48" s="35" t="s">
        <v>151</v>
      </c>
      <c r="C48" s="36" t="b">
        <v>1</v>
      </c>
    </row>
    <row r="49">
      <c r="A49" s="34" t="s">
        <v>224</v>
      </c>
      <c r="B49" s="35" t="s">
        <v>225</v>
      </c>
      <c r="C49" s="36" t="b">
        <v>0</v>
      </c>
    </row>
    <row r="50">
      <c r="A50" s="34" t="s">
        <v>246</v>
      </c>
      <c r="B50" s="35" t="s">
        <v>247</v>
      </c>
      <c r="C50" s="36" t="b">
        <v>0</v>
      </c>
    </row>
    <row r="51">
      <c r="A51" s="34" t="s">
        <v>276</v>
      </c>
      <c r="B51" s="35" t="s">
        <v>277</v>
      </c>
      <c r="C51" s="36" t="b">
        <v>1</v>
      </c>
    </row>
    <row r="52">
      <c r="A52" s="34" t="s">
        <v>154</v>
      </c>
      <c r="B52" s="35" t="s">
        <v>155</v>
      </c>
      <c r="C52" s="36" t="b">
        <v>0</v>
      </c>
    </row>
    <row r="53">
      <c r="A53" s="34" t="s">
        <v>308</v>
      </c>
      <c r="B53" s="35" t="s">
        <v>309</v>
      </c>
      <c r="C53" s="36" t="b">
        <v>1</v>
      </c>
    </row>
    <row r="54">
      <c r="A54" s="34" t="s">
        <v>182</v>
      </c>
      <c r="B54" s="35" t="s">
        <v>183</v>
      </c>
      <c r="C54" s="36" t="b">
        <v>1</v>
      </c>
    </row>
    <row r="55">
      <c r="A55" s="34" t="s">
        <v>270</v>
      </c>
      <c r="B55" s="35" t="s">
        <v>271</v>
      </c>
      <c r="C55" s="36" t="b">
        <v>1</v>
      </c>
    </row>
    <row r="56">
      <c r="A56" s="34" t="s">
        <v>102</v>
      </c>
      <c r="B56" s="35" t="s">
        <v>103</v>
      </c>
      <c r="C56" s="36" t="b">
        <v>0</v>
      </c>
    </row>
    <row r="57">
      <c r="A57" s="34" t="s">
        <v>186</v>
      </c>
      <c r="B57" s="35" t="s">
        <v>187</v>
      </c>
      <c r="C57" s="36" t="b">
        <v>1</v>
      </c>
    </row>
    <row r="58">
      <c r="A58" s="34" t="s">
        <v>304</v>
      </c>
      <c r="B58" s="35" t="s">
        <v>305</v>
      </c>
      <c r="C58" s="36" t="b">
        <v>1</v>
      </c>
    </row>
    <row r="59">
      <c r="A59" s="34" t="s">
        <v>195</v>
      </c>
      <c r="B59" s="35" t="s">
        <v>196</v>
      </c>
      <c r="C59" s="36" t="b">
        <v>0</v>
      </c>
    </row>
    <row r="60">
      <c r="A60" s="34" t="s">
        <v>120</v>
      </c>
      <c r="B60" s="39" t="s">
        <v>121</v>
      </c>
      <c r="C60" s="36" t="b">
        <v>0</v>
      </c>
    </row>
    <row r="61">
      <c r="A61" s="34" t="s">
        <v>199</v>
      </c>
      <c r="B61" s="35" t="s">
        <v>200</v>
      </c>
      <c r="C61" s="36" t="b">
        <v>0</v>
      </c>
    </row>
    <row r="62">
      <c r="A62" s="34" t="s">
        <v>141</v>
      </c>
      <c r="B62" s="35" t="s">
        <v>142</v>
      </c>
      <c r="C62" s="36" t="b">
        <v>1</v>
      </c>
    </row>
    <row r="63">
      <c r="A63" s="34" t="s">
        <v>192</v>
      </c>
      <c r="B63" s="35" t="s">
        <v>193</v>
      </c>
      <c r="C63" s="36" t="b">
        <v>1</v>
      </c>
    </row>
    <row r="64">
      <c r="A64" s="34" t="s">
        <v>162</v>
      </c>
      <c r="B64" s="35" t="s">
        <v>163</v>
      </c>
      <c r="C64" s="36" t="b">
        <v>1</v>
      </c>
    </row>
    <row r="65">
      <c r="A65" s="34" t="s">
        <v>137</v>
      </c>
      <c r="B65" s="35" t="s">
        <v>138</v>
      </c>
      <c r="C65" s="36" t="b">
        <v>0</v>
      </c>
    </row>
    <row r="66">
      <c r="A66" s="34" t="s">
        <v>274</v>
      </c>
      <c r="B66" s="35" t="s">
        <v>275</v>
      </c>
      <c r="C66" s="36" t="b">
        <v>1</v>
      </c>
    </row>
    <row r="67">
      <c r="A67" s="34" t="s">
        <v>300</v>
      </c>
      <c r="B67" s="35" t="s">
        <v>301</v>
      </c>
      <c r="C67" s="36" t="b">
        <v>1</v>
      </c>
    </row>
    <row r="68">
      <c r="A68" s="34" t="s">
        <v>298</v>
      </c>
      <c r="B68" s="35" t="s">
        <v>299</v>
      </c>
      <c r="C68" s="36" t="b">
        <v>1</v>
      </c>
    </row>
    <row r="69">
      <c r="A69" s="34" t="s">
        <v>131</v>
      </c>
      <c r="B69" s="35" t="s">
        <v>132</v>
      </c>
      <c r="C69" s="36" t="b">
        <v>1</v>
      </c>
    </row>
    <row r="70">
      <c r="A70" s="34" t="s">
        <v>173</v>
      </c>
      <c r="B70" s="35" t="s">
        <v>174</v>
      </c>
      <c r="C70" s="36" t="b">
        <v>1</v>
      </c>
    </row>
    <row r="71">
      <c r="A71" s="34" t="s">
        <v>190</v>
      </c>
      <c r="B71" s="35" t="s">
        <v>191</v>
      </c>
      <c r="C71" s="36" t="b">
        <v>1</v>
      </c>
    </row>
    <row r="72">
      <c r="A72" s="34" t="s">
        <v>219</v>
      </c>
      <c r="B72" s="35" t="s">
        <v>220</v>
      </c>
      <c r="C72" s="36" t="b">
        <v>1</v>
      </c>
    </row>
    <row r="73">
      <c r="A73" s="34" t="s">
        <v>197</v>
      </c>
      <c r="B73" s="35" t="s">
        <v>198</v>
      </c>
      <c r="C73" s="36" t="b">
        <v>1</v>
      </c>
    </row>
    <row r="74">
      <c r="A74" s="34" t="s">
        <v>170</v>
      </c>
      <c r="B74" s="35" t="s">
        <v>171</v>
      </c>
      <c r="C74" s="36" t="b">
        <v>1</v>
      </c>
    </row>
    <row r="75">
      <c r="A75" s="34" t="s">
        <v>278</v>
      </c>
      <c r="B75" s="35" t="s">
        <v>279</v>
      </c>
      <c r="C75" s="36" t="b">
        <v>1</v>
      </c>
    </row>
    <row r="76">
      <c r="A76" s="34" t="s">
        <v>294</v>
      </c>
      <c r="B76" s="35" t="s">
        <v>295</v>
      </c>
      <c r="C76" s="36" t="b">
        <v>1</v>
      </c>
    </row>
    <row r="77">
      <c r="A77" s="34" t="s">
        <v>178</v>
      </c>
      <c r="B77" s="35" t="s">
        <v>179</v>
      </c>
      <c r="C77" s="36" t="b">
        <v>1</v>
      </c>
    </row>
    <row r="78">
      <c r="A78" s="34" t="s">
        <v>143</v>
      </c>
      <c r="B78" s="35" t="s">
        <v>144</v>
      </c>
      <c r="C78" s="36" t="b">
        <v>1</v>
      </c>
    </row>
    <row r="79">
      <c r="A79" s="34" t="s">
        <v>257</v>
      </c>
      <c r="B79" s="35" t="s">
        <v>258</v>
      </c>
      <c r="C79" s="36" t="b">
        <v>0</v>
      </c>
    </row>
    <row r="80">
      <c r="A80" s="34" t="s">
        <v>114</v>
      </c>
      <c r="B80" s="35" t="s">
        <v>115</v>
      </c>
      <c r="C80" s="36" t="b">
        <v>1</v>
      </c>
    </row>
    <row r="81">
      <c r="A81" s="34" t="s">
        <v>264</v>
      </c>
      <c r="B81" s="35" t="s">
        <v>265</v>
      </c>
      <c r="C81" s="36" t="b">
        <v>0</v>
      </c>
    </row>
    <row r="82">
      <c r="A82" s="34" t="s">
        <v>226</v>
      </c>
      <c r="B82" s="35" t="s">
        <v>227</v>
      </c>
      <c r="C82" s="36" t="b">
        <v>1</v>
      </c>
    </row>
    <row r="83">
      <c r="A83" s="34" t="s">
        <v>118</v>
      </c>
      <c r="B83" s="35" t="s">
        <v>119</v>
      </c>
      <c r="C83" s="36" t="b">
        <v>1</v>
      </c>
    </row>
    <row r="84">
      <c r="A84" s="34" t="s">
        <v>180</v>
      </c>
      <c r="B84" s="35" t="s">
        <v>181</v>
      </c>
      <c r="C84" s="36" t="b">
        <v>0</v>
      </c>
    </row>
    <row r="85">
      <c r="A85" s="34" t="s">
        <v>158</v>
      </c>
      <c r="B85" s="35" t="s">
        <v>159</v>
      </c>
      <c r="C85" s="36" t="b">
        <v>1</v>
      </c>
    </row>
    <row r="86">
      <c r="A86" s="34" t="s">
        <v>252</v>
      </c>
      <c r="B86" s="35" t="s">
        <v>253</v>
      </c>
      <c r="C86" s="36" t="b">
        <v>1</v>
      </c>
    </row>
    <row r="87">
      <c r="A87" s="34" t="s">
        <v>160</v>
      </c>
      <c r="B87" s="35" t="s">
        <v>161</v>
      </c>
      <c r="C87" s="36" t="b">
        <v>0</v>
      </c>
    </row>
    <row r="88">
      <c r="A88" s="34" t="s">
        <v>259</v>
      </c>
      <c r="B88" s="35" t="s">
        <v>260</v>
      </c>
      <c r="C88" s="36" t="b">
        <v>1</v>
      </c>
    </row>
    <row r="89">
      <c r="A89" s="34" t="s">
        <v>238</v>
      </c>
      <c r="B89" s="35" t="s">
        <v>239</v>
      </c>
      <c r="C89" s="36" t="b">
        <v>1</v>
      </c>
    </row>
    <row r="90">
      <c r="A90" s="34" t="s">
        <v>286</v>
      </c>
      <c r="B90" s="39" t="s">
        <v>287</v>
      </c>
      <c r="C90" s="36" t="b">
        <v>0</v>
      </c>
    </row>
    <row r="91">
      <c r="A91" s="34" t="s">
        <v>306</v>
      </c>
      <c r="B91" s="35" t="s">
        <v>307</v>
      </c>
      <c r="C91" s="36" t="b">
        <v>1</v>
      </c>
    </row>
    <row r="92">
      <c r="A92" s="34" t="s">
        <v>228</v>
      </c>
      <c r="B92" s="35" t="s">
        <v>229</v>
      </c>
      <c r="C92" s="36" t="b">
        <v>0</v>
      </c>
    </row>
    <row r="93">
      <c r="A93" s="34" t="s">
        <v>268</v>
      </c>
      <c r="B93" s="35" t="s">
        <v>269</v>
      </c>
      <c r="C93" s="36" t="b">
        <v>0</v>
      </c>
    </row>
    <row r="94">
      <c r="A94" s="34" t="s">
        <v>152</v>
      </c>
      <c r="B94" s="35" t="s">
        <v>153</v>
      </c>
      <c r="C94" s="36" t="b">
        <v>0</v>
      </c>
    </row>
    <row r="95">
      <c r="A95" s="34" t="s">
        <v>290</v>
      </c>
      <c r="B95" s="35" t="s">
        <v>291</v>
      </c>
      <c r="C95" s="36" t="b">
        <v>1</v>
      </c>
    </row>
    <row r="96">
      <c r="A96" s="34" t="s">
        <v>262</v>
      </c>
      <c r="B96" s="35" t="s">
        <v>263</v>
      </c>
      <c r="C96" s="36" t="b">
        <v>1</v>
      </c>
    </row>
    <row r="97">
      <c r="A97" s="34" t="s">
        <v>99</v>
      </c>
      <c r="B97" s="35" t="s">
        <v>100</v>
      </c>
      <c r="C97" s="36" t="b">
        <v>1</v>
      </c>
    </row>
    <row r="98">
      <c r="A98" s="34" t="s">
        <v>244</v>
      </c>
      <c r="B98" s="35" t="s">
        <v>245</v>
      </c>
      <c r="C98" s="36" t="b">
        <v>0</v>
      </c>
    </row>
    <row r="99">
      <c r="A99" s="34" t="s">
        <v>106</v>
      </c>
      <c r="B99" s="35" t="s">
        <v>107</v>
      </c>
      <c r="C99" s="36" t="b">
        <v>1</v>
      </c>
    </row>
    <row r="100">
      <c r="A100" s="34" t="s">
        <v>255</v>
      </c>
      <c r="B100" s="35" t="s">
        <v>256</v>
      </c>
      <c r="C100" s="36" t="b">
        <v>0</v>
      </c>
    </row>
    <row r="101">
      <c r="A101" s="34" t="s">
        <v>232</v>
      </c>
      <c r="B101" s="35" t="s">
        <v>233</v>
      </c>
      <c r="C101" s="36" t="b">
        <v>0</v>
      </c>
    </row>
  </sheetData>
  <dataValidations>
    <dataValidation type="list" allowBlank="1" showErrorMessage="1" sqref="C2:C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 customWidth="1" min="3" max="3" width="19.75"/>
    <col customWidth="1" min="4" max="4" width="60.63"/>
  </cols>
  <sheetData>
    <row r="1">
      <c r="A1" s="31" t="s">
        <v>93</v>
      </c>
      <c r="B1" s="32" t="s">
        <v>94</v>
      </c>
      <c r="C1" s="33" t="s">
        <v>95</v>
      </c>
      <c r="D1" s="26" t="s">
        <v>96</v>
      </c>
    </row>
    <row r="2">
      <c r="A2" s="34" t="s">
        <v>278</v>
      </c>
      <c r="B2" s="35" t="s">
        <v>279</v>
      </c>
      <c r="C2" s="36" t="b">
        <v>0</v>
      </c>
    </row>
    <row r="3">
      <c r="A3" s="34" t="s">
        <v>104</v>
      </c>
      <c r="B3" s="35" t="s">
        <v>105</v>
      </c>
      <c r="C3" s="36" t="b">
        <v>0</v>
      </c>
    </row>
    <row r="4">
      <c r="A4" s="34" t="s">
        <v>180</v>
      </c>
      <c r="B4" s="35" t="s">
        <v>181</v>
      </c>
      <c r="C4" s="36" t="b">
        <v>0</v>
      </c>
    </row>
    <row r="5">
      <c r="A5" s="34" t="s">
        <v>131</v>
      </c>
      <c r="B5" s="35" t="s">
        <v>132</v>
      </c>
      <c r="C5" s="36" t="b">
        <v>1</v>
      </c>
    </row>
    <row r="6">
      <c r="A6" s="34" t="s">
        <v>182</v>
      </c>
      <c r="B6" s="35" t="s">
        <v>183</v>
      </c>
      <c r="C6" s="36" t="b">
        <v>1</v>
      </c>
    </row>
    <row r="7">
      <c r="A7" s="34" t="s">
        <v>160</v>
      </c>
      <c r="B7" s="35" t="s">
        <v>161</v>
      </c>
      <c r="C7" s="36" t="b">
        <v>1</v>
      </c>
      <c r="D7" s="5" t="s">
        <v>315</v>
      </c>
    </row>
    <row r="8">
      <c r="A8" s="34" t="s">
        <v>184</v>
      </c>
      <c r="B8" s="35" t="s">
        <v>185</v>
      </c>
      <c r="C8" s="36" t="b">
        <v>0</v>
      </c>
    </row>
    <row r="9">
      <c r="A9" s="34" t="s">
        <v>162</v>
      </c>
      <c r="B9" s="35" t="s">
        <v>163</v>
      </c>
      <c r="C9" s="36" t="b">
        <v>1</v>
      </c>
    </row>
    <row r="10">
      <c r="A10" s="34" t="s">
        <v>134</v>
      </c>
      <c r="B10" s="35" t="s">
        <v>135</v>
      </c>
      <c r="C10" s="36" t="b">
        <v>0</v>
      </c>
    </row>
    <row r="11">
      <c r="A11" s="34" t="s">
        <v>217</v>
      </c>
      <c r="B11" s="35" t="s">
        <v>218</v>
      </c>
      <c r="C11" s="36" t="b">
        <v>1</v>
      </c>
    </row>
    <row r="12">
      <c r="A12" s="34" t="s">
        <v>302</v>
      </c>
      <c r="B12" s="35" t="s">
        <v>303</v>
      </c>
      <c r="C12" s="36" t="b">
        <v>0</v>
      </c>
    </row>
    <row r="13">
      <c r="A13" s="34" t="s">
        <v>300</v>
      </c>
      <c r="B13" s="35" t="s">
        <v>301</v>
      </c>
      <c r="C13" s="36" t="b">
        <v>1</v>
      </c>
    </row>
    <row r="14">
      <c r="A14" s="34" t="s">
        <v>114</v>
      </c>
      <c r="B14" s="35" t="s">
        <v>115</v>
      </c>
      <c r="C14" s="36" t="b">
        <v>0</v>
      </c>
    </row>
    <row r="15">
      <c r="A15" s="34" t="s">
        <v>252</v>
      </c>
      <c r="B15" s="35" t="s">
        <v>253</v>
      </c>
      <c r="C15" s="36" t="b">
        <v>1</v>
      </c>
    </row>
    <row r="16">
      <c r="A16" s="34" t="s">
        <v>186</v>
      </c>
      <c r="B16" s="35" t="s">
        <v>187</v>
      </c>
      <c r="C16" s="36" t="b">
        <v>1</v>
      </c>
    </row>
    <row r="17">
      <c r="A17" s="34" t="s">
        <v>112</v>
      </c>
      <c r="B17" s="35" t="s">
        <v>113</v>
      </c>
      <c r="C17" s="36" t="b">
        <v>0</v>
      </c>
      <c r="D17" s="5" t="s">
        <v>316</v>
      </c>
    </row>
    <row r="18">
      <c r="A18" s="34" t="s">
        <v>170</v>
      </c>
      <c r="B18" s="35" t="s">
        <v>171</v>
      </c>
      <c r="C18" s="36" t="b">
        <v>1</v>
      </c>
    </row>
    <row r="19">
      <c r="A19" s="34" t="s">
        <v>246</v>
      </c>
      <c r="B19" s="35" t="s">
        <v>247</v>
      </c>
      <c r="C19" s="36" t="b">
        <v>1</v>
      </c>
    </row>
    <row r="20">
      <c r="A20" s="34" t="s">
        <v>259</v>
      </c>
      <c r="B20" s="35" t="s">
        <v>260</v>
      </c>
      <c r="C20" s="36" t="b">
        <v>1</v>
      </c>
    </row>
    <row r="21">
      <c r="A21" s="34" t="s">
        <v>211</v>
      </c>
      <c r="B21" s="35" t="s">
        <v>212</v>
      </c>
      <c r="C21" s="36" t="b">
        <v>1</v>
      </c>
    </row>
    <row r="22">
      <c r="A22" s="34" t="s">
        <v>228</v>
      </c>
      <c r="B22" s="35" t="s">
        <v>229</v>
      </c>
      <c r="C22" s="36" t="b">
        <v>0</v>
      </c>
    </row>
    <row r="23">
      <c r="A23" s="34" t="s">
        <v>224</v>
      </c>
      <c r="B23" s="35" t="s">
        <v>225</v>
      </c>
      <c r="C23" s="36" t="b">
        <v>1</v>
      </c>
    </row>
    <row r="24">
      <c r="A24" s="34" t="s">
        <v>274</v>
      </c>
      <c r="B24" s="35" t="s">
        <v>275</v>
      </c>
      <c r="C24" s="36" t="b">
        <v>1</v>
      </c>
    </row>
    <row r="25">
      <c r="A25" s="34" t="s">
        <v>156</v>
      </c>
      <c r="B25" s="35" t="s">
        <v>157</v>
      </c>
      <c r="C25" s="36" t="b">
        <v>0</v>
      </c>
    </row>
    <row r="26">
      <c r="A26" s="34" t="s">
        <v>284</v>
      </c>
      <c r="B26" s="35" t="s">
        <v>285</v>
      </c>
      <c r="C26" s="36" t="b">
        <v>1</v>
      </c>
    </row>
    <row r="27">
      <c r="A27" s="34" t="s">
        <v>125</v>
      </c>
      <c r="B27" s="35" t="s">
        <v>126</v>
      </c>
      <c r="C27" s="36" t="b">
        <v>1</v>
      </c>
    </row>
    <row r="28">
      <c r="A28" s="34" t="s">
        <v>116</v>
      </c>
      <c r="B28" s="35" t="s">
        <v>117</v>
      </c>
      <c r="C28" s="36" t="b">
        <v>1</v>
      </c>
    </row>
    <row r="29">
      <c r="A29" s="34" t="s">
        <v>282</v>
      </c>
      <c r="B29" s="35" t="s">
        <v>283</v>
      </c>
      <c r="C29" s="36" t="b">
        <v>1</v>
      </c>
      <c r="D29" s="5">
        <v>8.8</v>
      </c>
    </row>
    <row r="30">
      <c r="A30" s="34" t="s">
        <v>148</v>
      </c>
      <c r="B30" s="35" t="s">
        <v>149</v>
      </c>
      <c r="C30" s="36" t="b">
        <v>1</v>
      </c>
    </row>
    <row r="31">
      <c r="A31" s="34" t="s">
        <v>312</v>
      </c>
      <c r="B31" s="35" t="s">
        <v>313</v>
      </c>
      <c r="C31" s="36" t="b">
        <v>1</v>
      </c>
    </row>
    <row r="32">
      <c r="A32" s="34" t="s">
        <v>236</v>
      </c>
      <c r="B32" s="35" t="s">
        <v>237</v>
      </c>
      <c r="C32" s="36" t="b">
        <v>0</v>
      </c>
    </row>
    <row r="33">
      <c r="A33" s="34" t="s">
        <v>141</v>
      </c>
      <c r="B33" s="35" t="s">
        <v>142</v>
      </c>
      <c r="C33" s="36" t="b">
        <v>1</v>
      </c>
      <c r="D33" s="5" t="s">
        <v>317</v>
      </c>
    </row>
    <row r="34">
      <c r="A34" s="34" t="s">
        <v>310</v>
      </c>
      <c r="B34" s="35" t="s">
        <v>311</v>
      </c>
      <c r="C34" s="36" t="b">
        <v>1</v>
      </c>
    </row>
    <row r="35">
      <c r="A35" s="34" t="s">
        <v>143</v>
      </c>
      <c r="B35" s="35" t="s">
        <v>144</v>
      </c>
      <c r="C35" s="36" t="b">
        <v>0</v>
      </c>
    </row>
    <row r="36">
      <c r="A36" s="34" t="s">
        <v>165</v>
      </c>
      <c r="B36" s="35" t="s">
        <v>166</v>
      </c>
      <c r="C36" s="36" t="b">
        <v>0</v>
      </c>
    </row>
    <row r="37">
      <c r="A37" s="34" t="s">
        <v>178</v>
      </c>
      <c r="B37" s="35" t="s">
        <v>179</v>
      </c>
      <c r="C37" s="36" t="b">
        <v>0</v>
      </c>
    </row>
    <row r="38">
      <c r="A38" s="34" t="s">
        <v>308</v>
      </c>
      <c r="B38" s="35" t="s">
        <v>309</v>
      </c>
      <c r="C38" s="36" t="b">
        <v>1</v>
      </c>
    </row>
    <row r="39">
      <c r="A39" s="34" t="s">
        <v>197</v>
      </c>
      <c r="B39" s="35" t="s">
        <v>198</v>
      </c>
      <c r="C39" s="36" t="b">
        <v>0</v>
      </c>
    </row>
    <row r="40">
      <c r="A40" s="34" t="s">
        <v>226</v>
      </c>
      <c r="B40" s="35" t="s">
        <v>227</v>
      </c>
      <c r="C40" s="36" t="b">
        <v>1</v>
      </c>
    </row>
    <row r="41">
      <c r="A41" s="34" t="s">
        <v>298</v>
      </c>
      <c r="B41" s="35" t="s">
        <v>299</v>
      </c>
      <c r="C41" s="36" t="b">
        <v>0</v>
      </c>
    </row>
    <row r="42">
      <c r="A42" s="34" t="s">
        <v>240</v>
      </c>
      <c r="B42" s="35" t="s">
        <v>241</v>
      </c>
      <c r="C42" s="36" t="b">
        <v>1</v>
      </c>
    </row>
    <row r="43">
      <c r="A43" s="34" t="s">
        <v>108</v>
      </c>
      <c r="B43" s="35" t="s">
        <v>109</v>
      </c>
      <c r="C43" s="36" t="b">
        <v>1</v>
      </c>
    </row>
    <row r="44">
      <c r="A44" s="34" t="s">
        <v>120</v>
      </c>
      <c r="B44" s="35" t="s">
        <v>121</v>
      </c>
      <c r="C44" s="36" t="b">
        <v>0</v>
      </c>
    </row>
    <row r="45">
      <c r="A45" s="34" t="s">
        <v>150</v>
      </c>
      <c r="B45" s="35" t="s">
        <v>151</v>
      </c>
      <c r="C45" s="36" t="b">
        <v>1</v>
      </c>
    </row>
    <row r="46">
      <c r="A46" s="34" t="s">
        <v>201</v>
      </c>
      <c r="B46" s="35" t="s">
        <v>202</v>
      </c>
      <c r="C46" s="36" t="b">
        <v>1</v>
      </c>
    </row>
    <row r="47">
      <c r="A47" s="34" t="s">
        <v>232</v>
      </c>
      <c r="B47" s="35" t="s">
        <v>233</v>
      </c>
      <c r="C47" s="36" t="b">
        <v>0</v>
      </c>
    </row>
    <row r="48">
      <c r="A48" s="34" t="s">
        <v>154</v>
      </c>
      <c r="B48" s="35" t="s">
        <v>155</v>
      </c>
      <c r="C48" s="36" t="b">
        <v>1</v>
      </c>
      <c r="D48" s="5" t="s">
        <v>318</v>
      </c>
    </row>
    <row r="49">
      <c r="A49" s="34" t="s">
        <v>214</v>
      </c>
      <c r="B49" s="35" t="s">
        <v>215</v>
      </c>
      <c r="C49" s="36" t="b">
        <v>1</v>
      </c>
      <c r="D49" s="5">
        <v>8.8</v>
      </c>
    </row>
    <row r="50">
      <c r="A50" s="34" t="s">
        <v>304</v>
      </c>
      <c r="B50" s="35" t="s">
        <v>305</v>
      </c>
      <c r="C50" s="36" t="b">
        <v>0</v>
      </c>
    </row>
    <row r="51">
      <c r="A51" s="34" t="s">
        <v>127</v>
      </c>
      <c r="B51" s="35" t="s">
        <v>128</v>
      </c>
      <c r="C51" s="36" t="b">
        <v>0</v>
      </c>
      <c r="D51" s="5" t="s">
        <v>319</v>
      </c>
    </row>
    <row r="52">
      <c r="A52" s="34" t="s">
        <v>255</v>
      </c>
      <c r="B52" s="35" t="s">
        <v>256</v>
      </c>
      <c r="C52" s="36" t="b">
        <v>0</v>
      </c>
    </row>
    <row r="53">
      <c r="A53" s="34" t="s">
        <v>294</v>
      </c>
      <c r="B53" s="35" t="s">
        <v>295</v>
      </c>
      <c r="C53" s="36" t="b">
        <v>0</v>
      </c>
    </row>
    <row r="54">
      <c r="A54" s="34" t="s">
        <v>175</v>
      </c>
      <c r="B54" s="35" t="s">
        <v>176</v>
      </c>
      <c r="C54" s="36" t="b">
        <v>0</v>
      </c>
      <c r="D54" s="5" t="s">
        <v>320</v>
      </c>
    </row>
    <row r="55">
      <c r="A55" s="34" t="s">
        <v>234</v>
      </c>
      <c r="B55" s="35" t="s">
        <v>235</v>
      </c>
      <c r="C55" s="36" t="b">
        <v>0</v>
      </c>
      <c r="D55" s="5" t="s">
        <v>321</v>
      </c>
    </row>
    <row r="56">
      <c r="A56" s="34" t="s">
        <v>118</v>
      </c>
      <c r="B56" s="35" t="s">
        <v>119</v>
      </c>
      <c r="C56" s="36" t="b">
        <v>1</v>
      </c>
    </row>
    <row r="57">
      <c r="A57" s="34" t="s">
        <v>129</v>
      </c>
      <c r="B57" s="35" t="s">
        <v>130</v>
      </c>
      <c r="C57" s="36" t="b">
        <v>0</v>
      </c>
    </row>
    <row r="58">
      <c r="A58" s="34" t="s">
        <v>102</v>
      </c>
      <c r="B58" s="35" t="s">
        <v>103</v>
      </c>
      <c r="C58" s="36" t="b">
        <v>0</v>
      </c>
    </row>
    <row r="59">
      <c r="A59" s="34" t="s">
        <v>230</v>
      </c>
      <c r="B59" s="35" t="s">
        <v>231</v>
      </c>
      <c r="C59" s="36" t="b">
        <v>1</v>
      </c>
      <c r="D59" s="5" t="s">
        <v>322</v>
      </c>
    </row>
    <row r="60">
      <c r="A60" s="34" t="s">
        <v>280</v>
      </c>
      <c r="B60" s="35" t="s">
        <v>281</v>
      </c>
      <c r="C60" s="36" t="b">
        <v>0</v>
      </c>
    </row>
    <row r="61">
      <c r="A61" s="34" t="s">
        <v>306</v>
      </c>
      <c r="B61" s="35" t="s">
        <v>307</v>
      </c>
      <c r="C61" s="36" t="b">
        <v>1</v>
      </c>
    </row>
    <row r="62">
      <c r="A62" s="34" t="s">
        <v>257</v>
      </c>
      <c r="B62" s="35" t="s">
        <v>258</v>
      </c>
      <c r="C62" s="36" t="b">
        <v>0</v>
      </c>
    </row>
    <row r="63">
      <c r="A63" s="34" t="s">
        <v>195</v>
      </c>
      <c r="B63" s="35" t="s">
        <v>196</v>
      </c>
      <c r="C63" s="36" t="b">
        <v>0</v>
      </c>
    </row>
    <row r="64">
      <c r="A64" s="34" t="s">
        <v>276</v>
      </c>
      <c r="B64" s="35" t="s">
        <v>277</v>
      </c>
      <c r="C64" s="36" t="b">
        <v>0</v>
      </c>
      <c r="D64" s="5" t="s">
        <v>323</v>
      </c>
    </row>
    <row r="65">
      <c r="A65" s="34" t="s">
        <v>204</v>
      </c>
      <c r="B65" s="35" t="s">
        <v>205</v>
      </c>
      <c r="C65" s="36" t="b">
        <v>1</v>
      </c>
    </row>
    <row r="66">
      <c r="A66" s="34" t="s">
        <v>173</v>
      </c>
      <c r="B66" s="35" t="s">
        <v>174</v>
      </c>
      <c r="C66" s="36" t="b">
        <v>1</v>
      </c>
    </row>
    <row r="67">
      <c r="A67" s="34" t="s">
        <v>97</v>
      </c>
      <c r="B67" s="35" t="s">
        <v>98</v>
      </c>
      <c r="C67" s="36" t="b">
        <v>0</v>
      </c>
    </row>
    <row r="68">
      <c r="A68" s="34" t="s">
        <v>110</v>
      </c>
      <c r="B68" s="35" t="s">
        <v>111</v>
      </c>
      <c r="C68" s="36" t="b">
        <v>0</v>
      </c>
    </row>
    <row r="69">
      <c r="A69" s="34" t="s">
        <v>192</v>
      </c>
      <c r="B69" s="35" t="s">
        <v>193</v>
      </c>
      <c r="C69" s="36" t="b">
        <v>1</v>
      </c>
    </row>
    <row r="70">
      <c r="A70" s="34" t="s">
        <v>99</v>
      </c>
      <c r="B70" s="35" t="s">
        <v>100</v>
      </c>
      <c r="C70" s="36" t="b">
        <v>1</v>
      </c>
    </row>
    <row r="71">
      <c r="A71" s="34" t="s">
        <v>272</v>
      </c>
      <c r="B71" s="35" t="s">
        <v>273</v>
      </c>
      <c r="C71" s="36" t="b">
        <v>0</v>
      </c>
    </row>
    <row r="72">
      <c r="A72" s="34" t="s">
        <v>296</v>
      </c>
      <c r="B72" s="35" t="s">
        <v>297</v>
      </c>
      <c r="C72" s="36" t="b">
        <v>1</v>
      </c>
    </row>
    <row r="73">
      <c r="A73" s="34" t="s">
        <v>242</v>
      </c>
      <c r="B73" s="35" t="s">
        <v>243</v>
      </c>
      <c r="C73" s="36" t="b">
        <v>1</v>
      </c>
    </row>
    <row r="74">
      <c r="A74" s="34" t="s">
        <v>199</v>
      </c>
      <c r="B74" s="35" t="s">
        <v>200</v>
      </c>
      <c r="C74" s="36" t="b">
        <v>0</v>
      </c>
    </row>
    <row r="75">
      <c r="A75" s="34" t="s">
        <v>106</v>
      </c>
      <c r="B75" s="35" t="s">
        <v>107</v>
      </c>
      <c r="C75" s="36" t="b">
        <v>1</v>
      </c>
    </row>
    <row r="76">
      <c r="A76" s="34" t="s">
        <v>152</v>
      </c>
      <c r="B76" s="35" t="s">
        <v>153</v>
      </c>
      <c r="C76" s="36" t="b">
        <v>0</v>
      </c>
    </row>
    <row r="77">
      <c r="A77" s="34" t="s">
        <v>188</v>
      </c>
      <c r="B77" s="35" t="s">
        <v>189</v>
      </c>
      <c r="C77" s="36" t="b">
        <v>1</v>
      </c>
    </row>
    <row r="78">
      <c r="A78" s="34" t="s">
        <v>122</v>
      </c>
      <c r="B78" s="35" t="s">
        <v>123</v>
      </c>
      <c r="C78" s="36" t="b">
        <v>0</v>
      </c>
    </row>
    <row r="79">
      <c r="A79" s="34" t="s">
        <v>167</v>
      </c>
      <c r="B79" s="35" t="s">
        <v>168</v>
      </c>
      <c r="C79" s="36" t="b">
        <v>1</v>
      </c>
    </row>
    <row r="80">
      <c r="A80" s="34" t="s">
        <v>219</v>
      </c>
      <c r="B80" s="35" t="s">
        <v>220</v>
      </c>
      <c r="C80" s="36" t="b">
        <v>1</v>
      </c>
      <c r="D80" s="5" t="s">
        <v>324</v>
      </c>
    </row>
    <row r="81">
      <c r="A81" s="34" t="s">
        <v>190</v>
      </c>
      <c r="B81" s="35" t="s">
        <v>191</v>
      </c>
      <c r="C81" s="36" t="b">
        <v>1</v>
      </c>
    </row>
    <row r="82">
      <c r="A82" s="34" t="s">
        <v>266</v>
      </c>
      <c r="B82" s="35" t="s">
        <v>267</v>
      </c>
      <c r="C82" s="36" t="b">
        <v>0</v>
      </c>
      <c r="D82" s="5" t="s">
        <v>325</v>
      </c>
    </row>
    <row r="83">
      <c r="A83" s="34" t="s">
        <v>248</v>
      </c>
      <c r="B83" s="35" t="s">
        <v>249</v>
      </c>
      <c r="C83" s="36" t="b">
        <v>0</v>
      </c>
    </row>
    <row r="84">
      <c r="A84" s="34" t="s">
        <v>207</v>
      </c>
      <c r="B84" s="35" t="s">
        <v>208</v>
      </c>
      <c r="C84" s="36" t="b">
        <v>1</v>
      </c>
    </row>
    <row r="85">
      <c r="A85" s="34" t="s">
        <v>209</v>
      </c>
      <c r="B85" s="35" t="s">
        <v>210</v>
      </c>
      <c r="C85" s="36" t="b">
        <v>0</v>
      </c>
    </row>
    <row r="86">
      <c r="A86" s="34" t="s">
        <v>290</v>
      </c>
      <c r="B86" s="35" t="s">
        <v>291</v>
      </c>
      <c r="C86" s="36" t="b">
        <v>1</v>
      </c>
    </row>
    <row r="87">
      <c r="A87" s="34" t="s">
        <v>264</v>
      </c>
      <c r="B87" s="35" t="s">
        <v>265</v>
      </c>
      <c r="C87" s="36" t="b">
        <v>0</v>
      </c>
    </row>
    <row r="88">
      <c r="A88" s="34" t="s">
        <v>288</v>
      </c>
      <c r="B88" s="35" t="s">
        <v>289</v>
      </c>
      <c r="C88" s="36" t="b">
        <v>0</v>
      </c>
    </row>
    <row r="89">
      <c r="A89" s="34" t="s">
        <v>222</v>
      </c>
      <c r="B89" s="35" t="s">
        <v>223</v>
      </c>
      <c r="C89" s="36" t="b">
        <v>1</v>
      </c>
    </row>
    <row r="90">
      <c r="A90" s="34" t="s">
        <v>146</v>
      </c>
      <c r="B90" s="35" t="s">
        <v>147</v>
      </c>
      <c r="C90" s="36" t="b">
        <v>1</v>
      </c>
      <c r="D90" s="5" t="s">
        <v>326</v>
      </c>
    </row>
    <row r="91">
      <c r="A91" s="34" t="s">
        <v>139</v>
      </c>
      <c r="B91" s="35" t="s">
        <v>140</v>
      </c>
      <c r="C91" s="36" t="b">
        <v>0</v>
      </c>
    </row>
    <row r="92">
      <c r="A92" s="34" t="s">
        <v>262</v>
      </c>
      <c r="B92" s="35" t="s">
        <v>263</v>
      </c>
      <c r="C92" s="36" t="b">
        <v>1</v>
      </c>
      <c r="D92" s="5" t="s">
        <v>327</v>
      </c>
    </row>
    <row r="93">
      <c r="A93" s="34" t="s">
        <v>250</v>
      </c>
      <c r="B93" s="35" t="s">
        <v>251</v>
      </c>
      <c r="C93" s="36" t="b">
        <v>0</v>
      </c>
    </row>
    <row r="94">
      <c r="A94" s="34" t="s">
        <v>268</v>
      </c>
      <c r="B94" s="35" t="s">
        <v>269</v>
      </c>
      <c r="C94" s="36" t="b">
        <v>0</v>
      </c>
    </row>
    <row r="95">
      <c r="A95" s="34" t="s">
        <v>238</v>
      </c>
      <c r="B95" s="35" t="s">
        <v>239</v>
      </c>
      <c r="C95" s="36" t="b">
        <v>1</v>
      </c>
    </row>
    <row r="96">
      <c r="A96" s="34" t="s">
        <v>270</v>
      </c>
      <c r="B96" s="35" t="s">
        <v>271</v>
      </c>
      <c r="C96" s="36" t="b">
        <v>1</v>
      </c>
    </row>
    <row r="97">
      <c r="A97" s="34" t="s">
        <v>244</v>
      </c>
      <c r="B97" s="35" t="s">
        <v>245</v>
      </c>
      <c r="C97" s="36" t="b">
        <v>0</v>
      </c>
    </row>
    <row r="98">
      <c r="A98" s="34" t="s">
        <v>292</v>
      </c>
      <c r="B98" s="35" t="s">
        <v>293</v>
      </c>
      <c r="C98" s="36" t="b">
        <v>0</v>
      </c>
    </row>
    <row r="99">
      <c r="A99" s="34" t="s">
        <v>158</v>
      </c>
      <c r="B99" s="35" t="s">
        <v>159</v>
      </c>
      <c r="C99" s="36" t="b">
        <v>0</v>
      </c>
    </row>
    <row r="100">
      <c r="A100" s="34" t="s">
        <v>137</v>
      </c>
      <c r="B100" s="35" t="s">
        <v>138</v>
      </c>
      <c r="C100" s="36" t="b">
        <v>0</v>
      </c>
    </row>
    <row r="101">
      <c r="A101" s="34" t="s">
        <v>286</v>
      </c>
      <c r="B101" s="35" t="s">
        <v>287</v>
      </c>
      <c r="C101" s="36" t="b">
        <v>0</v>
      </c>
    </row>
  </sheetData>
  <dataValidations>
    <dataValidation type="list" allowBlank="1" showErrorMessage="1" sqref="C2:C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40" t="s">
        <v>328</v>
      </c>
      <c r="B1" s="40" t="s">
        <v>329</v>
      </c>
      <c r="C1" s="40" t="s">
        <v>330</v>
      </c>
      <c r="D1" s="40" t="s">
        <v>331</v>
      </c>
      <c r="E1" s="40" t="s">
        <v>332</v>
      </c>
      <c r="F1" s="40" t="s">
        <v>333</v>
      </c>
      <c r="G1" s="40" t="s">
        <v>334</v>
      </c>
      <c r="H1" s="41" t="s">
        <v>335</v>
      </c>
      <c r="I1" s="42" t="s">
        <v>336</v>
      </c>
      <c r="J1" s="40" t="s">
        <v>337</v>
      </c>
      <c r="K1" s="43" t="s">
        <v>338</v>
      </c>
    </row>
    <row r="2">
      <c r="A2" s="44" t="s">
        <v>339</v>
      </c>
      <c r="B2" s="44" t="s">
        <v>304</v>
      </c>
      <c r="C2" s="44" t="s">
        <v>305</v>
      </c>
      <c r="D2" s="45">
        <v>8.0</v>
      </c>
      <c r="E2" s="46">
        <v>3.0</v>
      </c>
      <c r="F2" s="46">
        <v>0.0</v>
      </c>
      <c r="G2" s="46">
        <v>3.0</v>
      </c>
      <c r="H2" s="47">
        <v>1.0</v>
      </c>
      <c r="I2" s="48" t="b">
        <v>0</v>
      </c>
      <c r="J2" s="12" t="s">
        <v>340</v>
      </c>
      <c r="K2" s="46" t="s">
        <v>341</v>
      </c>
    </row>
    <row r="3">
      <c r="A3" s="44" t="s">
        <v>342</v>
      </c>
      <c r="B3" s="44" t="s">
        <v>224</v>
      </c>
      <c r="C3" s="44" t="s">
        <v>225</v>
      </c>
      <c r="D3" s="45">
        <v>8.0</v>
      </c>
      <c r="E3" s="46">
        <v>0.0</v>
      </c>
      <c r="F3" s="46">
        <v>11.0</v>
      </c>
      <c r="G3" s="46">
        <v>11.0</v>
      </c>
      <c r="H3" s="47">
        <v>1.0</v>
      </c>
      <c r="I3" s="48" t="b">
        <v>1</v>
      </c>
      <c r="J3" s="12" t="s">
        <v>340</v>
      </c>
      <c r="K3" s="46" t="s">
        <v>341</v>
      </c>
    </row>
    <row r="4">
      <c r="A4" s="44" t="s">
        <v>343</v>
      </c>
      <c r="B4" s="44" t="s">
        <v>276</v>
      </c>
      <c r="C4" s="44" t="s">
        <v>277</v>
      </c>
      <c r="D4" s="45">
        <v>8.0</v>
      </c>
      <c r="E4" s="46">
        <v>0.0</v>
      </c>
      <c r="F4" s="46">
        <v>12.0</v>
      </c>
      <c r="G4" s="46">
        <v>12.0</v>
      </c>
      <c r="H4" s="47">
        <v>1.0</v>
      </c>
      <c r="I4" s="48" t="b">
        <v>1</v>
      </c>
      <c r="J4" s="12" t="s">
        <v>340</v>
      </c>
      <c r="K4" s="46" t="s">
        <v>341</v>
      </c>
    </row>
    <row r="5">
      <c r="A5" s="44" t="s">
        <v>344</v>
      </c>
      <c r="B5" s="44" t="s">
        <v>141</v>
      </c>
      <c r="C5" s="44" t="s">
        <v>142</v>
      </c>
      <c r="D5" s="45">
        <v>8.0</v>
      </c>
      <c r="E5" s="46">
        <v>4.0</v>
      </c>
      <c r="F5" s="46">
        <v>0.0</v>
      </c>
      <c r="G5" s="46">
        <v>4.0</v>
      </c>
      <c r="H5" s="47">
        <v>1.0</v>
      </c>
      <c r="I5" s="48" t="b">
        <v>0</v>
      </c>
      <c r="J5" s="12" t="s">
        <v>340</v>
      </c>
      <c r="K5" s="46" t="s">
        <v>341</v>
      </c>
    </row>
    <row r="6">
      <c r="A6" s="44" t="s">
        <v>342</v>
      </c>
      <c r="B6" s="44" t="s">
        <v>272</v>
      </c>
      <c r="C6" s="44" t="s">
        <v>273</v>
      </c>
      <c r="D6" s="45">
        <v>8.0</v>
      </c>
      <c r="E6" s="46">
        <v>3.0</v>
      </c>
      <c r="F6" s="46">
        <v>0.0</v>
      </c>
      <c r="G6" s="46">
        <v>3.0</v>
      </c>
      <c r="H6" s="47">
        <v>1.0</v>
      </c>
      <c r="I6" s="48" t="b">
        <v>0</v>
      </c>
      <c r="J6" s="12" t="s">
        <v>340</v>
      </c>
      <c r="K6" s="46" t="s">
        <v>341</v>
      </c>
    </row>
    <row r="7">
      <c r="A7" s="44" t="s">
        <v>345</v>
      </c>
      <c r="B7" s="44" t="s">
        <v>228</v>
      </c>
      <c r="C7" s="44" t="s">
        <v>229</v>
      </c>
      <c r="D7" s="45">
        <v>8.0</v>
      </c>
      <c r="E7" s="46">
        <v>4.0</v>
      </c>
      <c r="F7" s="46">
        <v>0.0</v>
      </c>
      <c r="G7" s="46">
        <v>4.0</v>
      </c>
      <c r="H7" s="47">
        <v>1.0</v>
      </c>
      <c r="I7" s="48" t="b">
        <v>0</v>
      </c>
      <c r="J7" s="12" t="s">
        <v>340</v>
      </c>
      <c r="K7" s="46" t="s">
        <v>341</v>
      </c>
    </row>
    <row r="8">
      <c r="A8" s="44" t="s">
        <v>346</v>
      </c>
      <c r="B8" s="44" t="s">
        <v>209</v>
      </c>
      <c r="C8" s="44" t="s">
        <v>210</v>
      </c>
      <c r="D8" s="45">
        <v>8.0</v>
      </c>
      <c r="E8" s="46">
        <v>4.0</v>
      </c>
      <c r="F8" s="46">
        <v>0.0</v>
      </c>
      <c r="G8" s="46">
        <v>4.0</v>
      </c>
      <c r="H8" s="47">
        <v>1.0</v>
      </c>
      <c r="I8" s="48" t="b">
        <v>0</v>
      </c>
      <c r="J8" s="12" t="s">
        <v>340</v>
      </c>
      <c r="K8" s="46" t="s">
        <v>341</v>
      </c>
    </row>
    <row r="9">
      <c r="A9" s="44" t="s">
        <v>347</v>
      </c>
      <c r="B9" s="44" t="s">
        <v>310</v>
      </c>
      <c r="C9" s="44" t="s">
        <v>311</v>
      </c>
      <c r="D9" s="45">
        <v>8.0</v>
      </c>
      <c r="E9" s="46">
        <v>0.0</v>
      </c>
      <c r="F9" s="46">
        <v>11.0</v>
      </c>
      <c r="G9" s="46">
        <v>11.0</v>
      </c>
      <c r="H9" s="47">
        <v>1.0</v>
      </c>
      <c r="I9" s="48" t="b">
        <v>1</v>
      </c>
      <c r="J9" s="12" t="s">
        <v>340</v>
      </c>
      <c r="K9" s="46" t="s">
        <v>341</v>
      </c>
    </row>
    <row r="10">
      <c r="A10" s="44" t="s">
        <v>348</v>
      </c>
      <c r="B10" s="44" t="s">
        <v>175</v>
      </c>
      <c r="C10" s="44" t="s">
        <v>176</v>
      </c>
      <c r="D10" s="45">
        <v>8.0</v>
      </c>
      <c r="E10" s="46">
        <v>0.0</v>
      </c>
      <c r="F10" s="46">
        <v>13.0</v>
      </c>
      <c r="G10" s="46">
        <v>13.0</v>
      </c>
      <c r="H10" s="47">
        <v>1.0</v>
      </c>
      <c r="I10" s="48" t="b">
        <v>1</v>
      </c>
      <c r="J10" s="12" t="s">
        <v>340</v>
      </c>
      <c r="K10" s="46" t="s">
        <v>341</v>
      </c>
    </row>
    <row r="11">
      <c r="A11" s="44" t="s">
        <v>349</v>
      </c>
      <c r="B11" s="44" t="s">
        <v>298</v>
      </c>
      <c r="C11" s="44" t="s">
        <v>299</v>
      </c>
      <c r="D11" s="45">
        <v>8.0</v>
      </c>
      <c r="E11" s="46">
        <v>6.0</v>
      </c>
      <c r="F11" s="46">
        <v>0.0</v>
      </c>
      <c r="G11" s="46">
        <v>6.0</v>
      </c>
      <c r="H11" s="47">
        <v>1.0</v>
      </c>
      <c r="I11" s="48" t="b">
        <v>0</v>
      </c>
      <c r="J11" s="12" t="s">
        <v>340</v>
      </c>
      <c r="K11" s="46" t="s">
        <v>341</v>
      </c>
    </row>
    <row r="12">
      <c r="A12" s="44" t="s">
        <v>350</v>
      </c>
      <c r="B12" s="44" t="s">
        <v>246</v>
      </c>
      <c r="C12" s="44" t="s">
        <v>247</v>
      </c>
      <c r="D12" s="45">
        <v>8.0</v>
      </c>
      <c r="E12" s="46">
        <v>1.0</v>
      </c>
      <c r="F12" s="46">
        <v>10.0</v>
      </c>
      <c r="G12" s="46">
        <v>11.0</v>
      </c>
      <c r="H12" s="47">
        <v>0.818181818181818</v>
      </c>
      <c r="I12" s="48" t="b">
        <v>1</v>
      </c>
      <c r="J12" s="12" t="s">
        <v>340</v>
      </c>
      <c r="K12" s="46" t="s">
        <v>341</v>
      </c>
    </row>
    <row r="13">
      <c r="A13" s="44" t="s">
        <v>351</v>
      </c>
      <c r="B13" s="44" t="s">
        <v>296</v>
      </c>
      <c r="C13" s="44" t="s">
        <v>297</v>
      </c>
      <c r="D13" s="45">
        <v>8.0</v>
      </c>
      <c r="E13" s="46">
        <v>1.0</v>
      </c>
      <c r="F13" s="46">
        <v>9.0</v>
      </c>
      <c r="G13" s="46">
        <v>10.0</v>
      </c>
      <c r="H13" s="47">
        <v>0.8</v>
      </c>
      <c r="I13" s="48" t="b">
        <v>1</v>
      </c>
      <c r="J13" s="12" t="s">
        <v>352</v>
      </c>
      <c r="K13" s="46" t="s">
        <v>341</v>
      </c>
    </row>
    <row r="14">
      <c r="A14" s="44" t="s">
        <v>353</v>
      </c>
      <c r="B14" s="44" t="s">
        <v>219</v>
      </c>
      <c r="C14" s="44" t="s">
        <v>220</v>
      </c>
      <c r="D14" s="45">
        <v>8.0</v>
      </c>
      <c r="E14" s="46">
        <v>1.0</v>
      </c>
      <c r="F14" s="46">
        <v>9.0</v>
      </c>
      <c r="G14" s="46">
        <v>10.0</v>
      </c>
      <c r="H14" s="47">
        <v>0.8</v>
      </c>
      <c r="I14" s="48" t="b">
        <v>1</v>
      </c>
      <c r="J14" s="12" t="s">
        <v>352</v>
      </c>
      <c r="K14" s="46" t="s">
        <v>341</v>
      </c>
    </row>
    <row r="15">
      <c r="A15" s="44" t="s">
        <v>354</v>
      </c>
      <c r="B15" s="44" t="s">
        <v>108</v>
      </c>
      <c r="C15" s="44" t="s">
        <v>109</v>
      </c>
      <c r="D15" s="45">
        <v>8.0</v>
      </c>
      <c r="E15" s="46">
        <v>1.0</v>
      </c>
      <c r="F15" s="46">
        <v>9.0</v>
      </c>
      <c r="G15" s="46">
        <v>10.0</v>
      </c>
      <c r="H15" s="47">
        <v>0.8</v>
      </c>
      <c r="I15" s="48" t="b">
        <v>1</v>
      </c>
      <c r="J15" s="12" t="s">
        <v>352</v>
      </c>
      <c r="K15" s="46" t="s">
        <v>341</v>
      </c>
    </row>
    <row r="16">
      <c r="A16" s="44" t="s">
        <v>355</v>
      </c>
      <c r="B16" s="44" t="s">
        <v>230</v>
      </c>
      <c r="C16" s="44" t="s">
        <v>231</v>
      </c>
      <c r="D16" s="45">
        <v>8.0</v>
      </c>
      <c r="E16" s="46">
        <v>1.0</v>
      </c>
      <c r="F16" s="46">
        <v>9.0</v>
      </c>
      <c r="G16" s="46">
        <v>10.0</v>
      </c>
      <c r="H16" s="47">
        <v>0.8</v>
      </c>
      <c r="I16" s="48" t="b">
        <v>1</v>
      </c>
      <c r="J16" s="12" t="s">
        <v>352</v>
      </c>
      <c r="K16" s="46" t="s">
        <v>341</v>
      </c>
    </row>
    <row r="17">
      <c r="A17" s="44" t="s">
        <v>356</v>
      </c>
      <c r="B17" s="44" t="s">
        <v>268</v>
      </c>
      <c r="C17" s="44" t="s">
        <v>269</v>
      </c>
      <c r="D17" s="45">
        <v>8.0</v>
      </c>
      <c r="E17" s="46">
        <v>8.0</v>
      </c>
      <c r="F17" s="46">
        <v>1.0</v>
      </c>
      <c r="G17" s="46">
        <v>9.0</v>
      </c>
      <c r="H17" s="47">
        <v>0.777777777777777</v>
      </c>
      <c r="I17" s="48" t="b">
        <v>0</v>
      </c>
      <c r="J17" s="12" t="s">
        <v>352</v>
      </c>
      <c r="K17" s="46" t="s">
        <v>341</v>
      </c>
    </row>
    <row r="18">
      <c r="A18" s="44" t="s">
        <v>357</v>
      </c>
      <c r="B18" s="44" t="s">
        <v>280</v>
      </c>
      <c r="C18" s="44" t="s">
        <v>281</v>
      </c>
      <c r="D18" s="45">
        <v>8.0</v>
      </c>
      <c r="E18" s="46">
        <v>6.0</v>
      </c>
      <c r="F18" s="46">
        <v>1.0</v>
      </c>
      <c r="G18" s="46">
        <v>7.0</v>
      </c>
      <c r="H18" s="47">
        <v>0.714285714285714</v>
      </c>
      <c r="I18" s="48" t="b">
        <v>0</v>
      </c>
      <c r="J18" s="12" t="s">
        <v>352</v>
      </c>
      <c r="K18" s="46" t="s">
        <v>341</v>
      </c>
    </row>
    <row r="19">
      <c r="A19" s="44" t="s">
        <v>349</v>
      </c>
      <c r="B19" s="44" t="s">
        <v>192</v>
      </c>
      <c r="C19" s="44" t="s">
        <v>193</v>
      </c>
      <c r="D19" s="45">
        <v>8.0</v>
      </c>
      <c r="E19" s="46">
        <v>2.0</v>
      </c>
      <c r="F19" s="46">
        <v>11.0</v>
      </c>
      <c r="G19" s="46">
        <v>13.0</v>
      </c>
      <c r="H19" s="47">
        <v>0.692307692307692</v>
      </c>
      <c r="I19" s="48" t="b">
        <v>1</v>
      </c>
      <c r="J19" s="12" t="s">
        <v>352</v>
      </c>
      <c r="K19" s="46" t="s">
        <v>341</v>
      </c>
    </row>
    <row r="20">
      <c r="A20" s="44" t="s">
        <v>358</v>
      </c>
      <c r="B20" s="44" t="s">
        <v>292</v>
      </c>
      <c r="C20" s="44" t="s">
        <v>293</v>
      </c>
      <c r="D20" s="45">
        <v>8.0</v>
      </c>
      <c r="E20" s="46">
        <v>5.0</v>
      </c>
      <c r="F20" s="46">
        <v>1.0</v>
      </c>
      <c r="G20" s="46">
        <v>6.0</v>
      </c>
      <c r="H20" s="47">
        <v>0.666666666666666</v>
      </c>
      <c r="I20" s="48" t="b">
        <v>0</v>
      </c>
      <c r="J20" s="12" t="s">
        <v>352</v>
      </c>
      <c r="K20" s="46" t="s">
        <v>341</v>
      </c>
    </row>
    <row r="21">
      <c r="A21" s="44" t="s">
        <v>344</v>
      </c>
      <c r="B21" s="44" t="s">
        <v>152</v>
      </c>
      <c r="C21" s="44" t="s">
        <v>153</v>
      </c>
      <c r="D21" s="45">
        <v>8.0</v>
      </c>
      <c r="E21" s="46">
        <v>4.0</v>
      </c>
      <c r="F21" s="46">
        <v>1.0</v>
      </c>
      <c r="G21" s="46">
        <v>5.0</v>
      </c>
      <c r="H21" s="47">
        <v>0.6</v>
      </c>
      <c r="I21" s="48" t="b">
        <v>0</v>
      </c>
      <c r="J21" s="12" t="s">
        <v>359</v>
      </c>
      <c r="K21" s="46" t="s">
        <v>341</v>
      </c>
    </row>
    <row r="22">
      <c r="A22" s="44" t="s">
        <v>360</v>
      </c>
      <c r="B22" s="44" t="s">
        <v>97</v>
      </c>
      <c r="C22" s="44" t="s">
        <v>98</v>
      </c>
      <c r="D22" s="45">
        <v>8.0</v>
      </c>
      <c r="E22" s="46">
        <v>4.0</v>
      </c>
      <c r="F22" s="46">
        <v>1.0</v>
      </c>
      <c r="G22" s="46">
        <v>5.0</v>
      </c>
      <c r="H22" s="47">
        <v>0.6</v>
      </c>
      <c r="I22" s="48" t="b">
        <v>0</v>
      </c>
      <c r="J22" s="12" t="s">
        <v>359</v>
      </c>
      <c r="K22" s="46" t="s">
        <v>341</v>
      </c>
    </row>
    <row r="23">
      <c r="A23" s="44" t="s">
        <v>361</v>
      </c>
      <c r="B23" s="44" t="s">
        <v>114</v>
      </c>
      <c r="C23" s="44" t="s">
        <v>115</v>
      </c>
      <c r="D23" s="45">
        <v>8.0</v>
      </c>
      <c r="E23" s="46">
        <v>2.0</v>
      </c>
      <c r="F23" s="46">
        <v>8.0</v>
      </c>
      <c r="G23" s="46">
        <v>10.0</v>
      </c>
      <c r="H23" s="47">
        <v>0.6</v>
      </c>
      <c r="I23" s="48" t="b">
        <v>1</v>
      </c>
      <c r="J23" s="12" t="s">
        <v>359</v>
      </c>
      <c r="K23" s="46" t="s">
        <v>341</v>
      </c>
    </row>
    <row r="24">
      <c r="A24" s="44" t="s">
        <v>362</v>
      </c>
      <c r="B24" s="44" t="s">
        <v>308</v>
      </c>
      <c r="C24" s="44" t="s">
        <v>309</v>
      </c>
      <c r="D24" s="45">
        <v>8.0</v>
      </c>
      <c r="E24" s="46">
        <v>2.0</v>
      </c>
      <c r="F24" s="46">
        <v>8.0</v>
      </c>
      <c r="G24" s="46">
        <v>10.0</v>
      </c>
      <c r="H24" s="47">
        <v>0.6</v>
      </c>
      <c r="I24" s="48" t="b">
        <v>1</v>
      </c>
      <c r="J24" s="12" t="s">
        <v>359</v>
      </c>
      <c r="K24" s="46" t="s">
        <v>341</v>
      </c>
    </row>
    <row r="25">
      <c r="A25" s="44" t="s">
        <v>355</v>
      </c>
      <c r="B25" s="44" t="s">
        <v>158</v>
      </c>
      <c r="C25" s="44" t="s">
        <v>159</v>
      </c>
      <c r="D25" s="45">
        <v>8.0</v>
      </c>
      <c r="E25" s="46">
        <v>2.0</v>
      </c>
      <c r="F25" s="46">
        <v>8.0</v>
      </c>
      <c r="G25" s="46">
        <v>10.0</v>
      </c>
      <c r="H25" s="47">
        <v>0.6</v>
      </c>
      <c r="I25" s="48" t="b">
        <v>1</v>
      </c>
      <c r="J25" s="12" t="s">
        <v>359</v>
      </c>
      <c r="K25" s="46" t="s">
        <v>341</v>
      </c>
    </row>
    <row r="26">
      <c r="A26" s="44" t="s">
        <v>339</v>
      </c>
      <c r="B26" s="44" t="s">
        <v>214</v>
      </c>
      <c r="C26" s="44" t="s">
        <v>215</v>
      </c>
      <c r="D26" s="45">
        <v>8.0</v>
      </c>
      <c r="E26" s="46">
        <v>2.0</v>
      </c>
      <c r="F26" s="46">
        <v>8.0</v>
      </c>
      <c r="G26" s="46">
        <v>10.0</v>
      </c>
      <c r="H26" s="47">
        <v>0.6</v>
      </c>
      <c r="I26" s="48" t="b">
        <v>1</v>
      </c>
      <c r="J26" s="12" t="s">
        <v>359</v>
      </c>
      <c r="K26" s="46" t="s">
        <v>341</v>
      </c>
    </row>
    <row r="27">
      <c r="A27" s="44" t="s">
        <v>363</v>
      </c>
      <c r="B27" s="44" t="s">
        <v>248</v>
      </c>
      <c r="C27" s="44" t="s">
        <v>249</v>
      </c>
      <c r="D27" s="45">
        <v>8.0</v>
      </c>
      <c r="E27" s="46">
        <v>7.0</v>
      </c>
      <c r="F27" s="46">
        <v>2.0</v>
      </c>
      <c r="G27" s="46">
        <v>9.0</v>
      </c>
      <c r="H27" s="47">
        <v>0.555555555555555</v>
      </c>
      <c r="I27" s="48" t="b">
        <v>0</v>
      </c>
      <c r="J27" s="12" t="s">
        <v>359</v>
      </c>
      <c r="K27" s="46" t="s">
        <v>341</v>
      </c>
    </row>
    <row r="28">
      <c r="A28" s="44" t="s">
        <v>356</v>
      </c>
      <c r="B28" s="44" t="s">
        <v>160</v>
      </c>
      <c r="C28" s="44" t="s">
        <v>161</v>
      </c>
      <c r="D28" s="45">
        <v>8.0</v>
      </c>
      <c r="E28" s="46">
        <v>7.0</v>
      </c>
      <c r="F28" s="46">
        <v>2.0</v>
      </c>
      <c r="G28" s="46">
        <v>9.0</v>
      </c>
      <c r="H28" s="47">
        <v>0.555555555555555</v>
      </c>
      <c r="I28" s="48" t="b">
        <v>0</v>
      </c>
      <c r="J28" s="12" t="s">
        <v>359</v>
      </c>
      <c r="K28" s="46" t="s">
        <v>341</v>
      </c>
    </row>
    <row r="29">
      <c r="A29" s="44" t="s">
        <v>364</v>
      </c>
      <c r="B29" s="44" t="s">
        <v>170</v>
      </c>
      <c r="C29" s="44" t="s">
        <v>171</v>
      </c>
      <c r="D29" s="45">
        <v>8.0</v>
      </c>
      <c r="E29" s="46">
        <v>2.0</v>
      </c>
      <c r="F29" s="46">
        <v>7.0</v>
      </c>
      <c r="G29" s="46">
        <v>9.0</v>
      </c>
      <c r="H29" s="47">
        <v>0.555555555555555</v>
      </c>
      <c r="I29" s="48" t="b">
        <v>1</v>
      </c>
      <c r="J29" s="12" t="s">
        <v>359</v>
      </c>
      <c r="K29" s="46" t="s">
        <v>341</v>
      </c>
    </row>
    <row r="30">
      <c r="A30" s="44" t="s">
        <v>365</v>
      </c>
      <c r="B30" s="44" t="s">
        <v>102</v>
      </c>
      <c r="C30" s="44" t="s">
        <v>103</v>
      </c>
      <c r="D30" s="45">
        <v>8.0</v>
      </c>
      <c r="E30" s="46">
        <v>7.0</v>
      </c>
      <c r="F30" s="46">
        <v>2.0</v>
      </c>
      <c r="G30" s="46">
        <v>9.0</v>
      </c>
      <c r="H30" s="47">
        <v>0.555555555555555</v>
      </c>
      <c r="I30" s="48" t="b">
        <v>0</v>
      </c>
      <c r="J30" s="12" t="s">
        <v>359</v>
      </c>
      <c r="K30" s="46" t="s">
        <v>341</v>
      </c>
    </row>
    <row r="31">
      <c r="A31" s="44" t="s">
        <v>366</v>
      </c>
      <c r="B31" s="44" t="s">
        <v>122</v>
      </c>
      <c r="C31" s="44" t="s">
        <v>123</v>
      </c>
      <c r="D31" s="45">
        <v>8.0</v>
      </c>
      <c r="E31" s="46">
        <v>7.0</v>
      </c>
      <c r="F31" s="46">
        <v>2.0</v>
      </c>
      <c r="G31" s="46">
        <v>9.0</v>
      </c>
      <c r="H31" s="47">
        <v>0.555555555555555</v>
      </c>
      <c r="I31" s="48" t="b">
        <v>0</v>
      </c>
      <c r="J31" s="12" t="s">
        <v>359</v>
      </c>
      <c r="K31" s="46" t="s">
        <v>341</v>
      </c>
    </row>
    <row r="32">
      <c r="A32" s="44" t="s">
        <v>349</v>
      </c>
      <c r="B32" s="44" t="s">
        <v>104</v>
      </c>
      <c r="C32" s="44" t="s">
        <v>105</v>
      </c>
      <c r="D32" s="45">
        <v>8.0</v>
      </c>
      <c r="E32" s="46">
        <v>7.0</v>
      </c>
      <c r="F32" s="46">
        <v>3.0</v>
      </c>
      <c r="G32" s="46">
        <v>10.0</v>
      </c>
      <c r="H32" s="47">
        <v>0.4</v>
      </c>
      <c r="I32" s="48" t="b">
        <v>0</v>
      </c>
      <c r="J32" s="12" t="s">
        <v>367</v>
      </c>
      <c r="K32" s="46" t="s">
        <v>341</v>
      </c>
    </row>
    <row r="33">
      <c r="A33" s="44" t="s">
        <v>368</v>
      </c>
      <c r="B33" s="44" t="s">
        <v>255</v>
      </c>
      <c r="C33" s="44" t="s">
        <v>256</v>
      </c>
      <c r="D33" s="45">
        <v>8.0</v>
      </c>
      <c r="E33" s="46">
        <v>3.0</v>
      </c>
      <c r="F33" s="46">
        <v>7.0</v>
      </c>
      <c r="G33" s="46">
        <v>10.0</v>
      </c>
      <c r="H33" s="47">
        <v>0.4</v>
      </c>
      <c r="I33" s="48" t="b">
        <v>1</v>
      </c>
      <c r="J33" s="12" t="s">
        <v>367</v>
      </c>
      <c r="K33" s="46" t="s">
        <v>341</v>
      </c>
    </row>
    <row r="34">
      <c r="A34" s="44" t="s">
        <v>350</v>
      </c>
      <c r="B34" s="44" t="s">
        <v>294</v>
      </c>
      <c r="C34" s="44" t="s">
        <v>295</v>
      </c>
      <c r="D34" s="45">
        <v>8.0</v>
      </c>
      <c r="E34" s="46">
        <v>3.0</v>
      </c>
      <c r="F34" s="46">
        <v>7.0</v>
      </c>
      <c r="G34" s="46">
        <v>10.0</v>
      </c>
      <c r="H34" s="47">
        <v>0.4</v>
      </c>
      <c r="I34" s="48" t="b">
        <v>1</v>
      </c>
      <c r="J34" s="12" t="s">
        <v>367</v>
      </c>
      <c r="K34" s="46" t="s">
        <v>341</v>
      </c>
    </row>
    <row r="35">
      <c r="A35" s="44" t="s">
        <v>358</v>
      </c>
      <c r="B35" s="44" t="s">
        <v>116</v>
      </c>
      <c r="C35" s="44" t="s">
        <v>117</v>
      </c>
      <c r="D35" s="45">
        <v>8.0</v>
      </c>
      <c r="E35" s="46">
        <v>6.0</v>
      </c>
      <c r="F35" s="46">
        <v>3.0</v>
      </c>
      <c r="G35" s="46">
        <v>9.0</v>
      </c>
      <c r="H35" s="47">
        <v>0.333333333333333</v>
      </c>
      <c r="I35" s="48" t="b">
        <v>0</v>
      </c>
      <c r="J35" s="12" t="s">
        <v>367</v>
      </c>
      <c r="K35" s="46" t="s">
        <v>341</v>
      </c>
    </row>
    <row r="36">
      <c r="A36" s="44" t="s">
        <v>369</v>
      </c>
      <c r="B36" s="44" t="s">
        <v>139</v>
      </c>
      <c r="C36" s="44" t="s">
        <v>140</v>
      </c>
      <c r="D36" s="45">
        <v>8.0</v>
      </c>
      <c r="E36" s="46">
        <v>3.0</v>
      </c>
      <c r="F36" s="46">
        <v>6.0</v>
      </c>
      <c r="G36" s="46">
        <v>9.0</v>
      </c>
      <c r="H36" s="47">
        <v>0.333333333333333</v>
      </c>
      <c r="I36" s="48" t="b">
        <v>1</v>
      </c>
      <c r="J36" s="12" t="s">
        <v>367</v>
      </c>
      <c r="K36" s="46" t="s">
        <v>341</v>
      </c>
    </row>
    <row r="37">
      <c r="A37" s="44" t="s">
        <v>349</v>
      </c>
      <c r="B37" s="44" t="s">
        <v>184</v>
      </c>
      <c r="C37" s="44" t="s">
        <v>185</v>
      </c>
      <c r="D37" s="45">
        <v>8.0</v>
      </c>
      <c r="E37" s="46">
        <v>6.0</v>
      </c>
      <c r="F37" s="46">
        <v>3.0</v>
      </c>
      <c r="G37" s="46">
        <v>9.0</v>
      </c>
      <c r="H37" s="47">
        <v>0.333333333333333</v>
      </c>
      <c r="I37" s="48" t="b">
        <v>0</v>
      </c>
      <c r="J37" s="12" t="s">
        <v>367</v>
      </c>
      <c r="K37" s="46" t="s">
        <v>341</v>
      </c>
    </row>
    <row r="38">
      <c r="A38" s="44" t="s">
        <v>370</v>
      </c>
      <c r="B38" s="44" t="s">
        <v>238</v>
      </c>
      <c r="C38" s="44" t="s">
        <v>239</v>
      </c>
      <c r="D38" s="45">
        <v>8.0</v>
      </c>
      <c r="E38" s="46">
        <v>4.0</v>
      </c>
      <c r="F38" s="46">
        <v>8.0</v>
      </c>
      <c r="G38" s="46">
        <v>12.0</v>
      </c>
      <c r="H38" s="47">
        <v>0.333333333333333</v>
      </c>
      <c r="I38" s="48" t="b">
        <v>1</v>
      </c>
      <c r="J38" s="12" t="s">
        <v>367</v>
      </c>
      <c r="K38" s="46" t="s">
        <v>341</v>
      </c>
    </row>
    <row r="39">
      <c r="A39" s="44" t="s">
        <v>371</v>
      </c>
      <c r="B39" s="44" t="s">
        <v>257</v>
      </c>
      <c r="C39" s="44" t="s">
        <v>258</v>
      </c>
      <c r="D39" s="45">
        <v>8.0</v>
      </c>
      <c r="E39" s="46">
        <v>6.0</v>
      </c>
      <c r="F39" s="46">
        <v>3.0</v>
      </c>
      <c r="G39" s="46">
        <v>9.0</v>
      </c>
      <c r="H39" s="47">
        <v>0.333333333333333</v>
      </c>
      <c r="I39" s="48" t="b">
        <v>0</v>
      </c>
      <c r="J39" s="12" t="s">
        <v>367</v>
      </c>
      <c r="K39" s="46" t="s">
        <v>341</v>
      </c>
    </row>
    <row r="40">
      <c r="A40" s="44" t="s">
        <v>357</v>
      </c>
      <c r="B40" s="44" t="s">
        <v>234</v>
      </c>
      <c r="C40" s="44" t="s">
        <v>235</v>
      </c>
      <c r="D40" s="45">
        <v>8.0</v>
      </c>
      <c r="E40" s="46">
        <v>3.0</v>
      </c>
      <c r="F40" s="46">
        <v>6.0</v>
      </c>
      <c r="G40" s="46">
        <v>9.0</v>
      </c>
      <c r="H40" s="47">
        <v>0.333333333333333</v>
      </c>
      <c r="I40" s="48" t="b">
        <v>1</v>
      </c>
      <c r="J40" s="12" t="s">
        <v>367</v>
      </c>
      <c r="K40" s="46" t="s">
        <v>341</v>
      </c>
    </row>
    <row r="41">
      <c r="A41" s="44" t="s">
        <v>372</v>
      </c>
      <c r="B41" s="44" t="s">
        <v>137</v>
      </c>
      <c r="C41" s="44" t="s">
        <v>138</v>
      </c>
      <c r="D41" s="45">
        <v>8.0</v>
      </c>
      <c r="E41" s="46">
        <v>6.0</v>
      </c>
      <c r="F41" s="46">
        <v>3.0</v>
      </c>
      <c r="G41" s="46">
        <v>9.0</v>
      </c>
      <c r="H41" s="47">
        <v>0.333333333333333</v>
      </c>
      <c r="I41" s="48" t="b">
        <v>0</v>
      </c>
      <c r="J41" s="12" t="s">
        <v>367</v>
      </c>
      <c r="K41" s="46" t="s">
        <v>341</v>
      </c>
    </row>
    <row r="42">
      <c r="A42" s="44" t="s">
        <v>350</v>
      </c>
      <c r="B42" s="44" t="s">
        <v>199</v>
      </c>
      <c r="C42" s="44" t="s">
        <v>200</v>
      </c>
      <c r="D42" s="45">
        <v>8.0</v>
      </c>
      <c r="E42" s="46">
        <v>5.0</v>
      </c>
      <c r="F42" s="46">
        <v>4.0</v>
      </c>
      <c r="G42" s="46">
        <v>9.0</v>
      </c>
      <c r="H42" s="47">
        <v>0.111111111111111</v>
      </c>
      <c r="I42" s="48" t="b">
        <v>0</v>
      </c>
      <c r="J42" s="12" t="s">
        <v>373</v>
      </c>
      <c r="K42" s="46" t="s">
        <v>341</v>
      </c>
    </row>
    <row r="43">
      <c r="A43" s="44" t="s">
        <v>374</v>
      </c>
      <c r="B43" s="44" t="s">
        <v>195</v>
      </c>
      <c r="C43" s="44" t="s">
        <v>196</v>
      </c>
      <c r="D43" s="45">
        <v>8.0</v>
      </c>
      <c r="E43" s="46">
        <v>5.0</v>
      </c>
      <c r="F43" s="46">
        <v>4.0</v>
      </c>
      <c r="G43" s="46">
        <v>9.0</v>
      </c>
      <c r="H43" s="47">
        <v>0.111111111111111</v>
      </c>
      <c r="I43" s="48" t="b">
        <v>0</v>
      </c>
      <c r="J43" s="12" t="s">
        <v>373</v>
      </c>
      <c r="K43" s="46" t="s">
        <v>341</v>
      </c>
    </row>
    <row r="44">
      <c r="A44" s="44" t="s">
        <v>375</v>
      </c>
      <c r="B44" s="44" t="s">
        <v>282</v>
      </c>
      <c r="C44" s="44" t="s">
        <v>283</v>
      </c>
      <c r="D44" s="45">
        <v>8.0</v>
      </c>
      <c r="E44" s="46">
        <v>4.0</v>
      </c>
      <c r="F44" s="46">
        <v>5.0</v>
      </c>
      <c r="G44" s="46">
        <v>9.0</v>
      </c>
      <c r="H44" s="47">
        <v>0.111111111111111</v>
      </c>
      <c r="I44" s="48" t="b">
        <v>1</v>
      </c>
      <c r="J44" s="12" t="s">
        <v>373</v>
      </c>
      <c r="K44" s="46" t="s">
        <v>341</v>
      </c>
    </row>
    <row r="45">
      <c r="A45" s="44" t="s">
        <v>349</v>
      </c>
      <c r="B45" s="44" t="s">
        <v>154</v>
      </c>
      <c r="C45" s="44" t="s">
        <v>155</v>
      </c>
      <c r="D45" s="45">
        <v>8.0</v>
      </c>
      <c r="E45" s="46">
        <v>4.0</v>
      </c>
      <c r="F45" s="46">
        <v>5.0</v>
      </c>
      <c r="G45" s="46">
        <v>9.0</v>
      </c>
      <c r="H45" s="47">
        <v>0.111111111111111</v>
      </c>
      <c r="I45" s="48" t="b">
        <v>1</v>
      </c>
      <c r="J45" s="12" t="s">
        <v>373</v>
      </c>
      <c r="K45" s="46" t="s">
        <v>341</v>
      </c>
    </row>
    <row r="46">
      <c r="A46" s="44" t="s">
        <v>361</v>
      </c>
      <c r="B46" s="44" t="s">
        <v>129</v>
      </c>
      <c r="C46" s="44" t="s">
        <v>130</v>
      </c>
      <c r="D46" s="45">
        <v>8.0</v>
      </c>
      <c r="E46" s="46">
        <v>5.0</v>
      </c>
      <c r="F46" s="46">
        <v>4.0</v>
      </c>
      <c r="G46" s="46">
        <v>9.0</v>
      </c>
      <c r="H46" s="47">
        <v>0.111111111111111</v>
      </c>
      <c r="I46" s="48" t="b">
        <v>0</v>
      </c>
      <c r="J46" s="12" t="s">
        <v>373</v>
      </c>
      <c r="K46" s="46" t="s">
        <v>341</v>
      </c>
    </row>
    <row r="47">
      <c r="A47" s="44" t="s">
        <v>376</v>
      </c>
      <c r="B47" s="44" t="s">
        <v>244</v>
      </c>
      <c r="C47" s="44" t="s">
        <v>245</v>
      </c>
      <c r="D47" s="45">
        <v>8.0</v>
      </c>
      <c r="E47" s="46">
        <v>4.0</v>
      </c>
      <c r="F47" s="46">
        <v>5.0</v>
      </c>
      <c r="G47" s="46">
        <v>9.0</v>
      </c>
      <c r="H47" s="47">
        <v>0.111111111111111</v>
      </c>
      <c r="I47" s="48" t="b">
        <v>1</v>
      </c>
      <c r="J47" s="12" t="s">
        <v>373</v>
      </c>
      <c r="K47" s="46" t="s">
        <v>341</v>
      </c>
    </row>
    <row r="48">
      <c r="A48" s="44" t="s">
        <v>344</v>
      </c>
      <c r="B48" s="44" t="s">
        <v>112</v>
      </c>
      <c r="C48" s="44" t="s">
        <v>113</v>
      </c>
      <c r="D48" s="45">
        <v>8.0</v>
      </c>
      <c r="E48" s="46">
        <v>4.0</v>
      </c>
      <c r="F48" s="46">
        <v>5.0</v>
      </c>
      <c r="G48" s="46">
        <v>9.0</v>
      </c>
      <c r="H48" s="47">
        <v>0.111111111111111</v>
      </c>
      <c r="I48" s="48" t="b">
        <v>1</v>
      </c>
      <c r="J48" s="12" t="s">
        <v>373</v>
      </c>
      <c r="K48" s="46" t="s">
        <v>341</v>
      </c>
    </row>
    <row r="49">
      <c r="A49" s="44" t="s">
        <v>343</v>
      </c>
      <c r="B49" s="44" t="s">
        <v>110</v>
      </c>
      <c r="C49" s="44" t="s">
        <v>111</v>
      </c>
      <c r="D49" s="45">
        <v>8.0</v>
      </c>
      <c r="E49" s="46">
        <v>4.0</v>
      </c>
      <c r="F49" s="46">
        <v>5.0</v>
      </c>
      <c r="G49" s="46">
        <v>9.0</v>
      </c>
      <c r="H49" s="47">
        <v>0.111111111111111</v>
      </c>
      <c r="I49" s="48" t="b">
        <v>1</v>
      </c>
      <c r="J49" s="12" t="s">
        <v>373</v>
      </c>
      <c r="K49" s="46" t="s">
        <v>341</v>
      </c>
    </row>
    <row r="50">
      <c r="A50" s="44" t="s">
        <v>363</v>
      </c>
      <c r="B50" s="44" t="s">
        <v>232</v>
      </c>
      <c r="C50" s="44" t="s">
        <v>233</v>
      </c>
      <c r="D50" s="45">
        <v>8.0</v>
      </c>
      <c r="E50" s="46">
        <v>5.0</v>
      </c>
      <c r="F50" s="46">
        <v>4.0</v>
      </c>
      <c r="G50" s="46">
        <v>9.0</v>
      </c>
      <c r="H50" s="47">
        <v>0.111111111111111</v>
      </c>
      <c r="I50" s="48" t="b">
        <v>0</v>
      </c>
      <c r="J50" s="12" t="s">
        <v>373</v>
      </c>
      <c r="K50" s="46" t="s">
        <v>341</v>
      </c>
    </row>
    <row r="51">
      <c r="A51" s="44" t="s">
        <v>358</v>
      </c>
      <c r="B51" s="44" t="s">
        <v>211</v>
      </c>
      <c r="C51" s="44" t="s">
        <v>212</v>
      </c>
      <c r="D51" s="45">
        <v>8.0</v>
      </c>
      <c r="E51" s="46">
        <v>5.0</v>
      </c>
      <c r="F51" s="46">
        <v>4.0</v>
      </c>
      <c r="G51" s="46">
        <v>9.0</v>
      </c>
      <c r="H51" s="47">
        <v>0.111111111111111</v>
      </c>
      <c r="I51" s="48" t="b">
        <v>0</v>
      </c>
      <c r="J51" s="12" t="s">
        <v>373</v>
      </c>
      <c r="K51" s="46" t="s">
        <v>341</v>
      </c>
    </row>
    <row r="52">
      <c r="A52" s="44" t="s">
        <v>377</v>
      </c>
      <c r="B52" s="44" t="s">
        <v>148</v>
      </c>
      <c r="C52" s="44" t="s">
        <v>149</v>
      </c>
      <c r="D52" s="45">
        <v>8.0</v>
      </c>
      <c r="E52" s="46">
        <v>0.0</v>
      </c>
      <c r="F52" s="46">
        <v>3.0</v>
      </c>
      <c r="G52" s="46">
        <v>3.0</v>
      </c>
      <c r="H52" s="47">
        <v>1.0</v>
      </c>
      <c r="I52" s="48" t="b">
        <v>1</v>
      </c>
      <c r="J52" s="12" t="s">
        <v>340</v>
      </c>
      <c r="K52" s="46" t="s">
        <v>36</v>
      </c>
    </row>
    <row r="53">
      <c r="A53" s="44" t="s">
        <v>368</v>
      </c>
      <c r="B53" s="44" t="s">
        <v>250</v>
      </c>
      <c r="C53" s="44" t="s">
        <v>251</v>
      </c>
      <c r="D53" s="45">
        <v>8.0</v>
      </c>
      <c r="E53" s="46">
        <v>3.0</v>
      </c>
      <c r="F53" s="46">
        <v>0.0</v>
      </c>
      <c r="G53" s="46">
        <v>3.0</v>
      </c>
      <c r="H53" s="47">
        <v>1.0</v>
      </c>
      <c r="I53" s="48" t="b">
        <v>0</v>
      </c>
      <c r="J53" s="12" t="s">
        <v>340</v>
      </c>
      <c r="K53" s="46" t="s">
        <v>378</v>
      </c>
    </row>
    <row r="54">
      <c r="A54" s="44" t="s">
        <v>369</v>
      </c>
      <c r="B54" s="44" t="s">
        <v>118</v>
      </c>
      <c r="C54" s="44" t="s">
        <v>119</v>
      </c>
      <c r="D54" s="45">
        <v>8.0</v>
      </c>
      <c r="E54" s="46">
        <v>3.0</v>
      </c>
      <c r="F54" s="46">
        <v>0.0</v>
      </c>
      <c r="G54" s="46">
        <v>3.0</v>
      </c>
      <c r="H54" s="47">
        <v>1.0</v>
      </c>
      <c r="I54" s="48" t="b">
        <v>0</v>
      </c>
      <c r="J54" s="12" t="s">
        <v>340</v>
      </c>
      <c r="K54" s="46" t="s">
        <v>379</v>
      </c>
    </row>
    <row r="55">
      <c r="A55" s="44" t="s">
        <v>346</v>
      </c>
      <c r="B55" s="44" t="s">
        <v>306</v>
      </c>
      <c r="C55" s="44" t="s">
        <v>307</v>
      </c>
      <c r="D55" s="45">
        <v>8.0</v>
      </c>
      <c r="E55" s="46">
        <v>1.0</v>
      </c>
      <c r="F55" s="46">
        <v>7.0</v>
      </c>
      <c r="G55" s="46">
        <v>8.0</v>
      </c>
      <c r="H55" s="47">
        <v>0.75</v>
      </c>
      <c r="I55" s="48" t="b">
        <v>1</v>
      </c>
      <c r="J55" s="12" t="s">
        <v>352</v>
      </c>
      <c r="K55" s="46" t="s">
        <v>379</v>
      </c>
    </row>
    <row r="56">
      <c r="A56" s="44" t="s">
        <v>380</v>
      </c>
      <c r="B56" s="44" t="s">
        <v>190</v>
      </c>
      <c r="C56" s="44" t="s">
        <v>191</v>
      </c>
      <c r="D56" s="45">
        <v>8.0</v>
      </c>
      <c r="E56" s="46">
        <v>1.0</v>
      </c>
      <c r="F56" s="46">
        <v>2.0</v>
      </c>
      <c r="G56" s="46">
        <v>3.0</v>
      </c>
      <c r="H56" s="47">
        <v>0.333333333333333</v>
      </c>
      <c r="I56" s="48" t="b">
        <v>1</v>
      </c>
      <c r="J56" s="12" t="s">
        <v>367</v>
      </c>
      <c r="K56" s="46" t="s">
        <v>379</v>
      </c>
    </row>
    <row r="57">
      <c r="A57" s="44" t="s">
        <v>339</v>
      </c>
      <c r="B57" s="44" t="s">
        <v>286</v>
      </c>
      <c r="C57" s="44" t="s">
        <v>287</v>
      </c>
      <c r="D57" s="45">
        <v>8.0</v>
      </c>
      <c r="E57" s="46">
        <v>2.0</v>
      </c>
      <c r="F57" s="46">
        <v>1.0</v>
      </c>
      <c r="G57" s="46">
        <v>3.0</v>
      </c>
      <c r="H57" s="47">
        <v>0.333333333333333</v>
      </c>
      <c r="I57" s="48" t="b">
        <v>0</v>
      </c>
      <c r="J57" s="12" t="s">
        <v>367</v>
      </c>
      <c r="K57" s="46" t="s">
        <v>379</v>
      </c>
    </row>
    <row r="58">
      <c r="A58" s="44" t="s">
        <v>369</v>
      </c>
      <c r="B58" s="44" t="s">
        <v>226</v>
      </c>
      <c r="C58" s="44" t="s">
        <v>227</v>
      </c>
      <c r="D58" s="45">
        <v>8.0</v>
      </c>
      <c r="E58" s="46">
        <v>1.0</v>
      </c>
      <c r="F58" s="46">
        <v>3.0</v>
      </c>
      <c r="G58" s="46">
        <v>4.0</v>
      </c>
      <c r="H58" s="47">
        <v>0.5</v>
      </c>
      <c r="I58" s="48" t="b">
        <v>1</v>
      </c>
      <c r="J58" s="12" t="s">
        <v>359</v>
      </c>
      <c r="K58" s="46" t="s">
        <v>381</v>
      </c>
    </row>
    <row r="59">
      <c r="A59" s="44" t="s">
        <v>382</v>
      </c>
      <c r="B59" s="44" t="s">
        <v>188</v>
      </c>
      <c r="C59" s="44" t="s">
        <v>189</v>
      </c>
      <c r="D59" s="45">
        <v>8.0</v>
      </c>
      <c r="E59" s="46">
        <v>3.0</v>
      </c>
      <c r="F59" s="46">
        <v>6.0</v>
      </c>
      <c r="G59" s="46">
        <v>9.0</v>
      </c>
      <c r="H59" s="47">
        <v>0.333333333333333</v>
      </c>
      <c r="I59" s="48" t="b">
        <v>1</v>
      </c>
      <c r="J59" s="12" t="s">
        <v>367</v>
      </c>
      <c r="K59" s="46" t="s">
        <v>381</v>
      </c>
    </row>
    <row r="60">
      <c r="A60" s="44" t="s">
        <v>366</v>
      </c>
      <c r="B60" s="44" t="s">
        <v>222</v>
      </c>
      <c r="C60" s="44" t="s">
        <v>223</v>
      </c>
      <c r="D60" s="45">
        <v>8.0</v>
      </c>
      <c r="E60" s="46">
        <v>2.0</v>
      </c>
      <c r="F60" s="46">
        <v>1.0</v>
      </c>
      <c r="G60" s="46">
        <v>3.0</v>
      </c>
      <c r="H60" s="47">
        <v>0.333333333333333</v>
      </c>
      <c r="I60" s="48" t="b">
        <v>0</v>
      </c>
      <c r="J60" s="12" t="s">
        <v>367</v>
      </c>
      <c r="K60" s="46" t="s">
        <v>381</v>
      </c>
    </row>
    <row r="61">
      <c r="A61" s="44" t="s">
        <v>365</v>
      </c>
      <c r="B61" s="44" t="s">
        <v>262</v>
      </c>
      <c r="C61" s="44" t="s">
        <v>263</v>
      </c>
      <c r="D61" s="45">
        <v>8.0</v>
      </c>
      <c r="E61" s="46">
        <v>5.0</v>
      </c>
      <c r="F61" s="46">
        <v>4.0</v>
      </c>
      <c r="G61" s="46">
        <v>9.0</v>
      </c>
      <c r="H61" s="47">
        <v>0.111111111111111</v>
      </c>
      <c r="I61" s="48" t="b">
        <v>0</v>
      </c>
      <c r="J61" s="12" t="s">
        <v>373</v>
      </c>
      <c r="K61" s="46" t="s">
        <v>381</v>
      </c>
    </row>
    <row r="62">
      <c r="A62" s="44" t="s">
        <v>383</v>
      </c>
      <c r="B62" s="44" t="s">
        <v>217</v>
      </c>
      <c r="C62" s="44" t="s">
        <v>218</v>
      </c>
      <c r="D62" s="45">
        <v>8.0</v>
      </c>
      <c r="E62" s="46">
        <v>1.0</v>
      </c>
      <c r="F62" s="46">
        <v>4.0</v>
      </c>
      <c r="G62" s="46">
        <v>5.0</v>
      </c>
      <c r="H62" s="47">
        <v>0.6</v>
      </c>
      <c r="I62" s="48" t="b">
        <v>1</v>
      </c>
      <c r="J62" s="12" t="s">
        <v>359</v>
      </c>
      <c r="K62" s="46" t="s">
        <v>261</v>
      </c>
    </row>
    <row r="63">
      <c r="A63" s="44" t="s">
        <v>376</v>
      </c>
      <c r="B63" s="44" t="s">
        <v>207</v>
      </c>
      <c r="C63" s="44" t="s">
        <v>208</v>
      </c>
      <c r="D63" s="45">
        <v>8.0</v>
      </c>
      <c r="E63" s="46">
        <v>2.0</v>
      </c>
      <c r="F63" s="46">
        <v>1.0</v>
      </c>
      <c r="G63" s="46">
        <v>3.0</v>
      </c>
      <c r="H63" s="47">
        <v>0.333333333333333</v>
      </c>
      <c r="I63" s="48" t="b">
        <v>0</v>
      </c>
      <c r="J63" s="12" t="s">
        <v>367</v>
      </c>
      <c r="K63" s="46" t="s">
        <v>261</v>
      </c>
    </row>
    <row r="64">
      <c r="A64" s="44" t="s">
        <v>384</v>
      </c>
      <c r="B64" s="44" t="s">
        <v>270</v>
      </c>
      <c r="C64" s="44" t="s">
        <v>271</v>
      </c>
      <c r="D64" s="45">
        <v>8.0</v>
      </c>
      <c r="E64" s="46">
        <v>2.0</v>
      </c>
      <c r="F64" s="46">
        <v>1.0</v>
      </c>
      <c r="G64" s="46">
        <v>3.0</v>
      </c>
      <c r="H64" s="47">
        <v>0.333333333333333</v>
      </c>
      <c r="I64" s="48" t="b">
        <v>0</v>
      </c>
      <c r="J64" s="12" t="s">
        <v>367</v>
      </c>
      <c r="K64" s="46" t="s">
        <v>261</v>
      </c>
    </row>
    <row r="65">
      <c r="A65" s="44" t="s">
        <v>369</v>
      </c>
      <c r="B65" s="44" t="s">
        <v>278</v>
      </c>
      <c r="C65" s="44" t="s">
        <v>279</v>
      </c>
      <c r="D65" s="45">
        <v>8.0</v>
      </c>
      <c r="E65" s="46">
        <v>2.0</v>
      </c>
      <c r="F65" s="46">
        <v>3.0</v>
      </c>
      <c r="G65" s="46">
        <v>5.0</v>
      </c>
      <c r="H65" s="47">
        <v>0.2</v>
      </c>
      <c r="I65" s="48" t="b">
        <v>1</v>
      </c>
      <c r="J65" s="12" t="s">
        <v>373</v>
      </c>
      <c r="K65" s="46" t="s">
        <v>261</v>
      </c>
    </row>
    <row r="66">
      <c r="A66" s="44" t="s">
        <v>368</v>
      </c>
      <c r="B66" s="44" t="s">
        <v>300</v>
      </c>
      <c r="C66" s="44" t="s">
        <v>301</v>
      </c>
      <c r="D66" s="45">
        <v>8.0</v>
      </c>
      <c r="E66" s="46">
        <v>1.0</v>
      </c>
      <c r="F66" s="46">
        <v>8.0</v>
      </c>
      <c r="G66" s="46">
        <v>9.0</v>
      </c>
      <c r="H66" s="47">
        <v>0.777777777777777</v>
      </c>
      <c r="I66" s="48" t="b">
        <v>1</v>
      </c>
      <c r="J66" s="12" t="s">
        <v>352</v>
      </c>
      <c r="K66" s="46" t="s">
        <v>221</v>
      </c>
    </row>
    <row r="67">
      <c r="A67" s="44" t="s">
        <v>370</v>
      </c>
      <c r="B67" s="44" t="s">
        <v>290</v>
      </c>
      <c r="C67" s="44" t="s">
        <v>291</v>
      </c>
      <c r="D67" s="45">
        <v>8.0</v>
      </c>
      <c r="E67" s="46">
        <v>2.0</v>
      </c>
      <c r="F67" s="46">
        <v>7.0</v>
      </c>
      <c r="G67" s="46">
        <v>9.0</v>
      </c>
      <c r="H67" s="47">
        <v>0.555555555555555</v>
      </c>
      <c r="I67" s="48" t="b">
        <v>1</v>
      </c>
      <c r="J67" s="12" t="s">
        <v>359</v>
      </c>
      <c r="K67" s="46" t="s">
        <v>221</v>
      </c>
    </row>
    <row r="68">
      <c r="A68" s="44" t="s">
        <v>385</v>
      </c>
      <c r="B68" s="44" t="s">
        <v>173</v>
      </c>
      <c r="C68" s="44" t="s">
        <v>174</v>
      </c>
      <c r="D68" s="45">
        <v>8.0</v>
      </c>
      <c r="E68" s="46">
        <v>2.0</v>
      </c>
      <c r="F68" s="46">
        <v>1.0</v>
      </c>
      <c r="G68" s="46">
        <v>3.0</v>
      </c>
      <c r="H68" s="47">
        <v>0.333333333333333</v>
      </c>
      <c r="I68" s="48" t="b">
        <v>0</v>
      </c>
      <c r="J68" s="12" t="s">
        <v>367</v>
      </c>
      <c r="K68" s="46" t="s">
        <v>221</v>
      </c>
    </row>
    <row r="69">
      <c r="A69" s="44" t="s">
        <v>386</v>
      </c>
      <c r="B69" s="44" t="s">
        <v>288</v>
      </c>
      <c r="C69" s="44" t="s">
        <v>289</v>
      </c>
      <c r="D69" s="45">
        <v>8.0</v>
      </c>
      <c r="E69" s="46">
        <v>5.0</v>
      </c>
      <c r="F69" s="46">
        <v>4.0</v>
      </c>
      <c r="G69" s="46">
        <v>9.0</v>
      </c>
      <c r="H69" s="47">
        <v>0.111111111111111</v>
      </c>
      <c r="I69" s="48" t="b">
        <v>0</v>
      </c>
      <c r="J69" s="12" t="s">
        <v>373</v>
      </c>
      <c r="K69" s="46" t="s">
        <v>221</v>
      </c>
    </row>
    <row r="70">
      <c r="A70" s="44" t="s">
        <v>348</v>
      </c>
      <c r="B70" s="44" t="s">
        <v>312</v>
      </c>
      <c r="C70" s="44" t="s">
        <v>313</v>
      </c>
      <c r="D70" s="45">
        <v>8.0</v>
      </c>
      <c r="E70" s="46">
        <v>0.0</v>
      </c>
      <c r="F70" s="46">
        <v>4.0</v>
      </c>
      <c r="G70" s="46">
        <v>4.0</v>
      </c>
      <c r="H70" s="47">
        <v>1.0</v>
      </c>
      <c r="I70" s="48" t="b">
        <v>1</v>
      </c>
      <c r="J70" s="12" t="s">
        <v>340</v>
      </c>
      <c r="K70" s="46" t="s">
        <v>387</v>
      </c>
    </row>
    <row r="71">
      <c r="A71" s="44" t="s">
        <v>388</v>
      </c>
      <c r="B71" s="44" t="s">
        <v>242</v>
      </c>
      <c r="C71" s="44" t="s">
        <v>243</v>
      </c>
      <c r="D71" s="45">
        <v>8.0</v>
      </c>
      <c r="E71" s="46">
        <v>3.0</v>
      </c>
      <c r="F71" s="46">
        <v>0.0</v>
      </c>
      <c r="G71" s="46">
        <v>3.0</v>
      </c>
      <c r="H71" s="47">
        <v>1.0</v>
      </c>
      <c r="I71" s="48" t="b">
        <v>0</v>
      </c>
      <c r="J71" s="12" t="s">
        <v>340</v>
      </c>
      <c r="K71" s="46" t="s">
        <v>387</v>
      </c>
    </row>
    <row r="72">
      <c r="A72" s="44" t="s">
        <v>389</v>
      </c>
      <c r="B72" s="44" t="s">
        <v>264</v>
      </c>
      <c r="C72" s="44" t="s">
        <v>265</v>
      </c>
      <c r="D72" s="45">
        <v>8.0</v>
      </c>
      <c r="E72" s="46">
        <v>3.0</v>
      </c>
      <c r="F72" s="46">
        <v>1.0</v>
      </c>
      <c r="G72" s="46">
        <v>4.0</v>
      </c>
      <c r="H72" s="47">
        <v>0.5</v>
      </c>
      <c r="I72" s="48" t="b">
        <v>0</v>
      </c>
      <c r="J72" s="12" t="s">
        <v>359</v>
      </c>
      <c r="K72" s="46" t="s">
        <v>387</v>
      </c>
    </row>
    <row r="73">
      <c r="A73" s="44" t="s">
        <v>344</v>
      </c>
      <c r="B73" s="44" t="s">
        <v>182</v>
      </c>
      <c r="C73" s="44" t="s">
        <v>183</v>
      </c>
      <c r="D73" s="45">
        <v>8.0</v>
      </c>
      <c r="E73" s="46">
        <v>2.0</v>
      </c>
      <c r="F73" s="46">
        <v>3.0</v>
      </c>
      <c r="G73" s="46">
        <v>5.0</v>
      </c>
      <c r="H73" s="47">
        <v>0.2</v>
      </c>
      <c r="I73" s="48" t="b">
        <v>1</v>
      </c>
      <c r="J73" s="12" t="s">
        <v>373</v>
      </c>
      <c r="K73" s="46" t="s">
        <v>387</v>
      </c>
    </row>
    <row r="74">
      <c r="A74" s="44" t="s">
        <v>368</v>
      </c>
      <c r="B74" s="44" t="s">
        <v>274</v>
      </c>
      <c r="C74" s="44" t="s">
        <v>275</v>
      </c>
      <c r="D74" s="45">
        <v>8.0</v>
      </c>
      <c r="E74" s="46">
        <v>0.0</v>
      </c>
      <c r="F74" s="46">
        <v>5.0</v>
      </c>
      <c r="G74" s="46">
        <v>5.0</v>
      </c>
      <c r="H74" s="47">
        <v>1.0</v>
      </c>
      <c r="I74" s="48" t="b">
        <v>1</v>
      </c>
      <c r="J74" s="12" t="s">
        <v>340</v>
      </c>
      <c r="K74" s="46" t="s">
        <v>213</v>
      </c>
    </row>
    <row r="75">
      <c r="A75" s="44" t="s">
        <v>366</v>
      </c>
      <c r="B75" s="44" t="s">
        <v>180</v>
      </c>
      <c r="C75" s="44" t="s">
        <v>181</v>
      </c>
      <c r="D75" s="45">
        <v>8.0</v>
      </c>
      <c r="E75" s="46">
        <v>3.0</v>
      </c>
      <c r="F75" s="46">
        <v>1.0</v>
      </c>
      <c r="G75" s="46">
        <v>4.0</v>
      </c>
      <c r="H75" s="47">
        <v>0.5</v>
      </c>
      <c r="I75" s="48" t="b">
        <v>0</v>
      </c>
      <c r="J75" s="12" t="s">
        <v>359</v>
      </c>
      <c r="K75" s="46" t="s">
        <v>213</v>
      </c>
    </row>
    <row r="76">
      <c r="A76" s="44" t="s">
        <v>347</v>
      </c>
      <c r="B76" s="44" t="s">
        <v>106</v>
      </c>
      <c r="C76" s="44" t="s">
        <v>107</v>
      </c>
      <c r="D76" s="45">
        <v>8.0</v>
      </c>
      <c r="E76" s="46">
        <v>1.0</v>
      </c>
      <c r="F76" s="46">
        <v>3.0</v>
      </c>
      <c r="G76" s="46">
        <v>4.0</v>
      </c>
      <c r="H76" s="47">
        <v>0.5</v>
      </c>
      <c r="I76" s="48" t="b">
        <v>1</v>
      </c>
      <c r="J76" s="12" t="s">
        <v>359</v>
      </c>
      <c r="K76" s="46" t="s">
        <v>213</v>
      </c>
    </row>
    <row r="77">
      <c r="A77" s="44" t="s">
        <v>343</v>
      </c>
      <c r="B77" s="44" t="s">
        <v>302</v>
      </c>
      <c r="C77" s="44" t="s">
        <v>303</v>
      </c>
      <c r="D77" s="45">
        <v>8.0</v>
      </c>
      <c r="E77" s="46">
        <v>3.0</v>
      </c>
      <c r="F77" s="46">
        <v>1.0</v>
      </c>
      <c r="G77" s="46">
        <v>4.0</v>
      </c>
      <c r="H77" s="47">
        <v>0.5</v>
      </c>
      <c r="I77" s="48" t="b">
        <v>0</v>
      </c>
      <c r="J77" s="12" t="s">
        <v>359</v>
      </c>
      <c r="K77" s="46" t="s">
        <v>213</v>
      </c>
    </row>
    <row r="78">
      <c r="A78" s="44" t="s">
        <v>363</v>
      </c>
      <c r="B78" s="44" t="s">
        <v>156</v>
      </c>
      <c r="C78" s="44" t="s">
        <v>157</v>
      </c>
      <c r="D78" s="45">
        <v>8.0</v>
      </c>
      <c r="E78" s="46">
        <v>3.0</v>
      </c>
      <c r="F78" s="46">
        <v>0.0</v>
      </c>
      <c r="G78" s="46">
        <v>3.0</v>
      </c>
      <c r="H78" s="47">
        <v>1.0</v>
      </c>
      <c r="I78" s="48" t="b">
        <v>0</v>
      </c>
      <c r="J78" s="12" t="s">
        <v>340</v>
      </c>
      <c r="K78" s="46" t="s">
        <v>390</v>
      </c>
    </row>
    <row r="79">
      <c r="A79" s="44" t="s">
        <v>391</v>
      </c>
      <c r="B79" s="44" t="s">
        <v>165</v>
      </c>
      <c r="C79" s="44" t="s">
        <v>166</v>
      </c>
      <c r="D79" s="45">
        <v>8.0</v>
      </c>
      <c r="E79" s="46">
        <v>3.0</v>
      </c>
      <c r="F79" s="46">
        <v>0.0</v>
      </c>
      <c r="G79" s="46">
        <v>3.0</v>
      </c>
      <c r="H79" s="47">
        <v>1.0</v>
      </c>
      <c r="I79" s="48" t="b">
        <v>0</v>
      </c>
      <c r="J79" s="12" t="s">
        <v>340</v>
      </c>
      <c r="K79" s="46" t="s">
        <v>390</v>
      </c>
    </row>
    <row r="80">
      <c r="A80" s="44" t="s">
        <v>366</v>
      </c>
      <c r="B80" s="44" t="s">
        <v>197</v>
      </c>
      <c r="C80" s="44" t="s">
        <v>198</v>
      </c>
      <c r="D80" s="45">
        <v>8.0</v>
      </c>
      <c r="E80" s="46">
        <v>3.0</v>
      </c>
      <c r="F80" s="46">
        <v>5.0</v>
      </c>
      <c r="G80" s="46">
        <v>8.0</v>
      </c>
      <c r="H80" s="47">
        <v>0.25</v>
      </c>
      <c r="I80" s="48" t="b">
        <v>1</v>
      </c>
      <c r="J80" s="12" t="s">
        <v>367</v>
      </c>
      <c r="K80" s="46" t="s">
        <v>390</v>
      </c>
    </row>
    <row r="81">
      <c r="A81" s="44" t="s">
        <v>385</v>
      </c>
      <c r="B81" s="44" t="s">
        <v>178</v>
      </c>
      <c r="C81" s="44" t="s">
        <v>179</v>
      </c>
      <c r="D81" s="45">
        <v>8.0</v>
      </c>
      <c r="E81" s="46">
        <v>2.0</v>
      </c>
      <c r="F81" s="46">
        <v>3.0</v>
      </c>
      <c r="G81" s="46">
        <v>5.0</v>
      </c>
      <c r="H81" s="47">
        <v>0.2</v>
      </c>
      <c r="I81" s="48" t="b">
        <v>1</v>
      </c>
      <c r="J81" s="12" t="s">
        <v>373</v>
      </c>
      <c r="K81" s="46" t="s">
        <v>390</v>
      </c>
    </row>
    <row r="82">
      <c r="A82" s="44" t="s">
        <v>392</v>
      </c>
      <c r="B82" s="44" t="s">
        <v>252</v>
      </c>
      <c r="C82" s="44" t="s">
        <v>253</v>
      </c>
      <c r="D82" s="45">
        <v>8.0</v>
      </c>
      <c r="E82" s="46">
        <v>0.0</v>
      </c>
      <c r="F82" s="46">
        <v>4.0</v>
      </c>
      <c r="G82" s="46">
        <v>4.0</v>
      </c>
      <c r="H82" s="47">
        <v>1.0</v>
      </c>
      <c r="I82" s="48" t="b">
        <v>1</v>
      </c>
      <c r="J82" s="12" t="s">
        <v>340</v>
      </c>
      <c r="K82" s="46" t="s">
        <v>393</v>
      </c>
    </row>
    <row r="83">
      <c r="A83" s="44" t="s">
        <v>355</v>
      </c>
      <c r="B83" s="44" t="s">
        <v>127</v>
      </c>
      <c r="C83" s="44" t="s">
        <v>128</v>
      </c>
      <c r="D83" s="45">
        <v>8.0</v>
      </c>
      <c r="E83" s="46">
        <v>1.0</v>
      </c>
      <c r="F83" s="46">
        <v>2.0</v>
      </c>
      <c r="G83" s="46">
        <v>3.0</v>
      </c>
      <c r="H83" s="47">
        <v>0.333333333333333</v>
      </c>
      <c r="I83" s="48" t="b">
        <v>1</v>
      </c>
      <c r="J83" s="12" t="s">
        <v>367</v>
      </c>
      <c r="K83" s="46" t="s">
        <v>393</v>
      </c>
    </row>
    <row r="84">
      <c r="A84" s="44" t="s">
        <v>348</v>
      </c>
      <c r="B84" s="44" t="s">
        <v>146</v>
      </c>
      <c r="C84" s="44" t="s">
        <v>147</v>
      </c>
      <c r="D84" s="45">
        <v>8.0</v>
      </c>
      <c r="E84" s="46">
        <v>3.0</v>
      </c>
      <c r="F84" s="46">
        <v>2.0</v>
      </c>
      <c r="G84" s="46">
        <v>5.0</v>
      </c>
      <c r="H84" s="47">
        <v>0.2</v>
      </c>
      <c r="I84" s="48" t="b">
        <v>0</v>
      </c>
      <c r="J84" s="12" t="s">
        <v>373</v>
      </c>
      <c r="K84" s="46" t="s">
        <v>393</v>
      </c>
    </row>
    <row r="85">
      <c r="A85" s="44" t="s">
        <v>368</v>
      </c>
      <c r="B85" s="44" t="s">
        <v>236</v>
      </c>
      <c r="C85" s="44" t="s">
        <v>237</v>
      </c>
      <c r="D85" s="45">
        <v>8.0</v>
      </c>
      <c r="E85" s="46">
        <v>5.0</v>
      </c>
      <c r="F85" s="46">
        <v>4.0</v>
      </c>
      <c r="G85" s="46">
        <v>9.0</v>
      </c>
      <c r="H85" s="47">
        <v>0.111111111111111</v>
      </c>
      <c r="I85" s="48" t="b">
        <v>0</v>
      </c>
      <c r="J85" s="12" t="s">
        <v>373</v>
      </c>
      <c r="K85" s="46" t="s">
        <v>393</v>
      </c>
    </row>
    <row r="86">
      <c r="A86" s="44" t="s">
        <v>345</v>
      </c>
      <c r="B86" s="44" t="s">
        <v>162</v>
      </c>
      <c r="C86" s="44" t="s">
        <v>163</v>
      </c>
      <c r="D86" s="45">
        <v>8.0</v>
      </c>
      <c r="E86" s="46">
        <v>3.0</v>
      </c>
      <c r="F86" s="46">
        <v>0.0</v>
      </c>
      <c r="G86" s="46">
        <v>3.0</v>
      </c>
      <c r="H86" s="47">
        <v>1.0</v>
      </c>
      <c r="I86" s="48" t="b">
        <v>0</v>
      </c>
      <c r="J86" s="12" t="s">
        <v>340</v>
      </c>
      <c r="K86" s="46" t="s">
        <v>394</v>
      </c>
    </row>
    <row r="87">
      <c r="A87" s="44" t="s">
        <v>371</v>
      </c>
      <c r="B87" s="44" t="s">
        <v>284</v>
      </c>
      <c r="C87" s="44" t="s">
        <v>285</v>
      </c>
      <c r="D87" s="45">
        <v>8.0</v>
      </c>
      <c r="E87" s="46">
        <v>0.0</v>
      </c>
      <c r="F87" s="46">
        <v>3.0</v>
      </c>
      <c r="G87" s="46">
        <v>3.0</v>
      </c>
      <c r="H87" s="47">
        <v>1.0</v>
      </c>
      <c r="I87" s="48" t="b">
        <v>1</v>
      </c>
      <c r="J87" s="12" t="s">
        <v>340</v>
      </c>
      <c r="K87" s="46" t="s">
        <v>394</v>
      </c>
    </row>
    <row r="88">
      <c r="A88" s="44" t="s">
        <v>395</v>
      </c>
      <c r="B88" s="44" t="s">
        <v>167</v>
      </c>
      <c r="C88" s="44" t="s">
        <v>168</v>
      </c>
      <c r="D88" s="45">
        <v>8.0</v>
      </c>
      <c r="E88" s="46">
        <v>1.0</v>
      </c>
      <c r="F88" s="46">
        <v>5.0</v>
      </c>
      <c r="G88" s="46">
        <v>6.0</v>
      </c>
      <c r="H88" s="47">
        <v>0.666666666666666</v>
      </c>
      <c r="I88" s="48" t="b">
        <v>1</v>
      </c>
      <c r="J88" s="12" t="s">
        <v>352</v>
      </c>
      <c r="K88" s="46" t="s">
        <v>394</v>
      </c>
    </row>
    <row r="89">
      <c r="A89" s="44" t="s">
        <v>369</v>
      </c>
      <c r="B89" s="44" t="s">
        <v>259</v>
      </c>
      <c r="C89" s="44" t="s">
        <v>260</v>
      </c>
      <c r="D89" s="45">
        <v>8.0</v>
      </c>
      <c r="E89" s="46">
        <v>3.0</v>
      </c>
      <c r="F89" s="46">
        <v>1.0</v>
      </c>
      <c r="G89" s="46">
        <v>4.0</v>
      </c>
      <c r="H89" s="47">
        <v>0.5</v>
      </c>
      <c r="I89" s="48" t="b">
        <v>0</v>
      </c>
      <c r="J89" s="12" t="s">
        <v>359</v>
      </c>
      <c r="K89" s="46" t="s">
        <v>394</v>
      </c>
    </row>
    <row r="90">
      <c r="A90" s="44" t="s">
        <v>344</v>
      </c>
      <c r="B90" s="44" t="s">
        <v>204</v>
      </c>
      <c r="C90" s="44" t="s">
        <v>205</v>
      </c>
      <c r="D90" s="45">
        <v>8.0</v>
      </c>
      <c r="E90" s="46">
        <v>1.0</v>
      </c>
      <c r="F90" s="46">
        <v>8.0</v>
      </c>
      <c r="G90" s="46">
        <v>9.0</v>
      </c>
      <c r="H90" s="47">
        <v>0.777777777777777</v>
      </c>
      <c r="I90" s="48" t="b">
        <v>1</v>
      </c>
      <c r="J90" s="12" t="s">
        <v>352</v>
      </c>
      <c r="K90" s="46" t="s">
        <v>101</v>
      </c>
    </row>
    <row r="91">
      <c r="A91" s="44" t="s">
        <v>344</v>
      </c>
      <c r="B91" s="44" t="s">
        <v>266</v>
      </c>
      <c r="C91" s="44" t="s">
        <v>267</v>
      </c>
      <c r="D91" s="45">
        <v>8.0</v>
      </c>
      <c r="E91" s="46">
        <v>6.0</v>
      </c>
      <c r="F91" s="46">
        <v>3.0</v>
      </c>
      <c r="G91" s="46">
        <v>9.0</v>
      </c>
      <c r="H91" s="47">
        <v>0.333333333333333</v>
      </c>
      <c r="I91" s="48" t="b">
        <v>0</v>
      </c>
      <c r="J91" s="12" t="s">
        <v>367</v>
      </c>
      <c r="K91" s="46" t="s">
        <v>101</v>
      </c>
    </row>
    <row r="92">
      <c r="A92" s="44" t="s">
        <v>396</v>
      </c>
      <c r="B92" s="44" t="s">
        <v>240</v>
      </c>
      <c r="C92" s="44" t="s">
        <v>241</v>
      </c>
      <c r="D92" s="45">
        <v>8.0</v>
      </c>
      <c r="E92" s="46">
        <v>2.0</v>
      </c>
      <c r="F92" s="46">
        <v>1.0</v>
      </c>
      <c r="G92" s="46">
        <v>3.0</v>
      </c>
      <c r="H92" s="47">
        <v>0.333333333333333</v>
      </c>
      <c r="I92" s="48" t="b">
        <v>0</v>
      </c>
      <c r="J92" s="12" t="s">
        <v>367</v>
      </c>
      <c r="K92" s="46" t="s">
        <v>101</v>
      </c>
    </row>
    <row r="93">
      <c r="A93" s="44" t="s">
        <v>344</v>
      </c>
      <c r="B93" s="44" t="s">
        <v>99</v>
      </c>
      <c r="C93" s="44" t="s">
        <v>100</v>
      </c>
      <c r="D93" s="45">
        <v>8.0</v>
      </c>
      <c r="E93" s="46">
        <v>1.0</v>
      </c>
      <c r="F93" s="46">
        <v>2.0</v>
      </c>
      <c r="G93" s="46">
        <v>3.0</v>
      </c>
      <c r="H93" s="47">
        <v>0.333333333333333</v>
      </c>
      <c r="I93" s="48" t="b">
        <v>1</v>
      </c>
      <c r="J93" s="12" t="s">
        <v>367</v>
      </c>
      <c r="K93" s="46" t="s">
        <v>101</v>
      </c>
    </row>
    <row r="94">
      <c r="A94" s="44" t="s">
        <v>397</v>
      </c>
      <c r="B94" s="44" t="s">
        <v>125</v>
      </c>
      <c r="C94" s="44" t="s">
        <v>126</v>
      </c>
      <c r="D94" s="45">
        <v>8.0</v>
      </c>
      <c r="E94" s="46">
        <v>0.0</v>
      </c>
      <c r="F94" s="46">
        <v>3.0</v>
      </c>
      <c r="G94" s="46">
        <v>3.0</v>
      </c>
      <c r="H94" s="47">
        <v>1.0</v>
      </c>
      <c r="I94" s="48" t="b">
        <v>1</v>
      </c>
      <c r="J94" s="12" t="s">
        <v>340</v>
      </c>
      <c r="K94" s="46" t="s">
        <v>398</v>
      </c>
    </row>
    <row r="95">
      <c r="A95" s="44" t="s">
        <v>376</v>
      </c>
      <c r="B95" s="44" t="s">
        <v>120</v>
      </c>
      <c r="C95" s="44" t="s">
        <v>121</v>
      </c>
      <c r="D95" s="45">
        <v>8.0</v>
      </c>
      <c r="E95" s="46">
        <v>3.0</v>
      </c>
      <c r="F95" s="46">
        <v>0.0</v>
      </c>
      <c r="G95" s="46">
        <v>3.0</v>
      </c>
      <c r="H95" s="47">
        <v>1.0</v>
      </c>
      <c r="I95" s="48" t="b">
        <v>0</v>
      </c>
      <c r="J95" s="12" t="s">
        <v>340</v>
      </c>
      <c r="K95" s="46" t="s">
        <v>398</v>
      </c>
    </row>
    <row r="96">
      <c r="A96" s="44" t="s">
        <v>395</v>
      </c>
      <c r="B96" s="44" t="s">
        <v>134</v>
      </c>
      <c r="C96" s="44" t="s">
        <v>135</v>
      </c>
      <c r="D96" s="45">
        <v>8.0</v>
      </c>
      <c r="E96" s="46">
        <v>1.0</v>
      </c>
      <c r="F96" s="46">
        <v>4.0</v>
      </c>
      <c r="G96" s="46">
        <v>5.0</v>
      </c>
      <c r="H96" s="47">
        <v>0.6</v>
      </c>
      <c r="I96" s="48" t="b">
        <v>1</v>
      </c>
      <c r="J96" s="12" t="s">
        <v>359</v>
      </c>
      <c r="K96" s="46" t="s">
        <v>398</v>
      </c>
    </row>
    <row r="97">
      <c r="A97" s="44" t="s">
        <v>369</v>
      </c>
      <c r="B97" s="44" t="s">
        <v>131</v>
      </c>
      <c r="C97" s="44" t="s">
        <v>132</v>
      </c>
      <c r="D97" s="45">
        <v>8.0</v>
      </c>
      <c r="E97" s="46">
        <v>2.0</v>
      </c>
      <c r="F97" s="46">
        <v>1.0</v>
      </c>
      <c r="G97" s="46">
        <v>3.0</v>
      </c>
      <c r="H97" s="47">
        <v>0.333333333333333</v>
      </c>
      <c r="I97" s="48" t="b">
        <v>0</v>
      </c>
      <c r="J97" s="12" t="s">
        <v>367</v>
      </c>
      <c r="K97" s="46" t="s">
        <v>398</v>
      </c>
    </row>
    <row r="98">
      <c r="A98" s="44" t="s">
        <v>399</v>
      </c>
      <c r="B98" s="44" t="s">
        <v>150</v>
      </c>
      <c r="C98" s="44" t="s">
        <v>151</v>
      </c>
      <c r="D98" s="45">
        <v>8.0</v>
      </c>
      <c r="E98" s="46">
        <v>1.0</v>
      </c>
      <c r="F98" s="46">
        <v>8.0</v>
      </c>
      <c r="G98" s="46">
        <v>9.0</v>
      </c>
      <c r="H98" s="47">
        <v>0.777777777777777</v>
      </c>
      <c r="I98" s="48" t="b">
        <v>1</v>
      </c>
      <c r="J98" s="12" t="s">
        <v>352</v>
      </c>
      <c r="K98" s="46" t="s">
        <v>400</v>
      </c>
    </row>
    <row r="99">
      <c r="A99" s="44" t="s">
        <v>363</v>
      </c>
      <c r="B99" s="44" t="s">
        <v>143</v>
      </c>
      <c r="C99" s="44" t="s">
        <v>144</v>
      </c>
      <c r="D99" s="45">
        <v>8.0</v>
      </c>
      <c r="E99" s="46">
        <v>3.0</v>
      </c>
      <c r="F99" s="46">
        <v>1.0</v>
      </c>
      <c r="G99" s="46">
        <v>4.0</v>
      </c>
      <c r="H99" s="47">
        <v>0.5</v>
      </c>
      <c r="I99" s="48" t="b">
        <v>0</v>
      </c>
      <c r="J99" s="12" t="s">
        <v>359</v>
      </c>
      <c r="K99" s="46" t="s">
        <v>400</v>
      </c>
    </row>
    <row r="100">
      <c r="A100" s="44" t="s">
        <v>370</v>
      </c>
      <c r="B100" s="44" t="s">
        <v>201</v>
      </c>
      <c r="C100" s="44" t="s">
        <v>202</v>
      </c>
      <c r="D100" s="45">
        <v>8.0</v>
      </c>
      <c r="E100" s="46">
        <v>2.0</v>
      </c>
      <c r="F100" s="46">
        <v>1.0</v>
      </c>
      <c r="G100" s="46">
        <v>3.0</v>
      </c>
      <c r="H100" s="47">
        <v>0.333333333333333</v>
      </c>
      <c r="I100" s="48" t="b">
        <v>0</v>
      </c>
      <c r="J100" s="12" t="s">
        <v>367</v>
      </c>
      <c r="K100" s="46" t="s">
        <v>400</v>
      </c>
    </row>
    <row r="101">
      <c r="A101" s="44" t="s">
        <v>380</v>
      </c>
      <c r="B101" s="44" t="s">
        <v>186</v>
      </c>
      <c r="C101" s="44" t="s">
        <v>187</v>
      </c>
      <c r="D101" s="45">
        <v>8.0</v>
      </c>
      <c r="E101" s="46">
        <v>2.0</v>
      </c>
      <c r="F101" s="46">
        <v>4.0</v>
      </c>
      <c r="G101" s="46">
        <v>6.0</v>
      </c>
      <c r="H101" s="47">
        <v>0.333333333333333</v>
      </c>
      <c r="I101" s="48" t="b">
        <v>1</v>
      </c>
      <c r="J101" s="12" t="s">
        <v>367</v>
      </c>
      <c r="K101" s="46" t="s">
        <v>400</v>
      </c>
    </row>
  </sheetData>
  <autoFilter ref="$A$1:$K$101">
    <sortState ref="A1:K101">
      <sortCondition ref="K1:K101"/>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39.75"/>
  </cols>
  <sheetData>
    <row r="1">
      <c r="A1" s="31" t="s">
        <v>93</v>
      </c>
      <c r="B1" s="32" t="s">
        <v>94</v>
      </c>
      <c r="C1" s="49" t="s">
        <v>401</v>
      </c>
      <c r="D1" s="50" t="s">
        <v>67</v>
      </c>
      <c r="E1" s="49" t="s">
        <v>68</v>
      </c>
      <c r="F1" s="49" t="s">
        <v>69</v>
      </c>
      <c r="G1" s="49" t="s">
        <v>70</v>
      </c>
      <c r="H1" s="50" t="s">
        <v>71</v>
      </c>
      <c r="I1" s="51" t="s">
        <v>402</v>
      </c>
      <c r="J1" s="50" t="s">
        <v>67</v>
      </c>
      <c r="K1" s="49" t="s">
        <v>68</v>
      </c>
      <c r="L1" s="49" t="s">
        <v>69</v>
      </c>
      <c r="M1" s="49" t="s">
        <v>70</v>
      </c>
      <c r="N1" s="50" t="s">
        <v>71</v>
      </c>
      <c r="O1" s="51" t="s">
        <v>403</v>
      </c>
      <c r="P1" s="51" t="s">
        <v>403</v>
      </c>
      <c r="Q1" s="52" t="s">
        <v>404</v>
      </c>
      <c r="R1" s="26" t="s">
        <v>405</v>
      </c>
      <c r="S1" s="26" t="s">
        <v>406</v>
      </c>
    </row>
    <row r="2">
      <c r="A2" s="12" t="str">
        <f>IFERROR(__xludf.DUMMYFUNCTION("QUERY(Source!B2:C101,""SELECT B, C"", 1)"),"1f64a5cba022521e7f2ece697db488b4")</f>
        <v>1f64a5cba022521e7f2ece697db488b4</v>
      </c>
      <c r="B2" s="12" t="str">
        <f>IFERROR(__xludf.DUMMYFUNCTION("""COMPUTED_VALUE"""),"All regressions are based on the same 36 observations at the national level and 360 observations at the sub-national level per year and are weighted by the sample size of the education’experience’year cell. All regression models include education, experie"&amp;"nce, and period fixed effects, and a full set of two-way interactions. In this context, the educational attainment of foreign- and native-born workers is also taken into account. Thereafter, the chapter looks at factors that help explain why the contribut"&amp;"ion of foreign-born workers may be different from native-born workers based on qualitative studies of selected sectors.")</f>
        <v>All regressions are based on the same 36 observations at the national level and 360 observations at the sub-national level per year and are weighted by the sample size of the education’experience’year cell. All regression models include education, experience, and period fixed effects, and a full set of two-way interactions. In this context, the educational attainment of foreign- and native-born workers is also taken into account. Thereafter, the chapter looks at factors that help explain why the contribution of foreign-born workers may be different from native-born workers based on qualitative studies of selected sectors.</v>
      </c>
      <c r="C2" s="53"/>
      <c r="D2" s="53" t="b">
        <v>0</v>
      </c>
      <c r="E2" s="53" t="s">
        <v>314</v>
      </c>
      <c r="F2" s="53" t="s">
        <v>314</v>
      </c>
      <c r="G2" s="53" t="b">
        <v>1</v>
      </c>
      <c r="H2" s="53" t="b">
        <v>0</v>
      </c>
      <c r="I2" s="54">
        <v>0.3333333333333333</v>
      </c>
      <c r="J2" s="55"/>
      <c r="K2" s="55"/>
      <c r="L2" s="55"/>
      <c r="M2" s="55"/>
      <c r="N2" s="55"/>
      <c r="O2" s="54" t="s">
        <v>407</v>
      </c>
      <c r="P2" s="54" t="s">
        <v>407</v>
      </c>
      <c r="Q2" s="56" t="b">
        <v>0</v>
      </c>
      <c r="R2" s="5" t="s">
        <v>408</v>
      </c>
    </row>
    <row r="3">
      <c r="A3" s="12" t="str">
        <f>IFERROR(__xludf.DUMMYFUNCTION("""COMPUTED_VALUE"""),"2823c7315893445db7f684b8b3d67319")</f>
        <v>2823c7315893445db7f684b8b3d67319</v>
      </c>
      <c r="B3" s="12" t="str">
        <f>IFERROR(__xludf.DUMMYFUNCTION("""COMPUTED_VALUE"""),"The SNA data on household income are first divided by the population size. They are then multiplied by the ratio of the average household income of each decile to the average household income in the IDD, to give an estimate of an average household income "&amp;"by decile that is consistent with the SNA totals. Unemployed persons are defined as those who are currently not working but are willing to do so and actively searching for work.")</f>
        <v>The SNA data on household income are first divided by the population size. They are then multiplied by the ratio of the average household income of each decile to the average household income in the IDD, to give an estimate of an average household income by decile that is consistent with the SNA totals. Unemployed persons are defined as those who are currently not working but are willing to do so and actively searching for work.</v>
      </c>
      <c r="C3" s="7"/>
      <c r="D3" s="53" t="b">
        <v>0</v>
      </c>
      <c r="E3" s="53" t="s">
        <v>314</v>
      </c>
      <c r="F3" s="53" t="s">
        <v>314</v>
      </c>
      <c r="G3" s="53" t="b">
        <v>0</v>
      </c>
      <c r="H3" s="53" t="b">
        <v>1</v>
      </c>
      <c r="I3" s="54">
        <v>0.3333333333333333</v>
      </c>
      <c r="J3" s="55"/>
      <c r="K3" s="55"/>
      <c r="L3" s="55"/>
      <c r="M3" s="55"/>
      <c r="N3" s="55"/>
      <c r="O3" s="54" t="s">
        <v>407</v>
      </c>
      <c r="P3" s="54" t="s">
        <v>407</v>
      </c>
      <c r="Q3" s="56" t="b">
        <v>0</v>
      </c>
      <c r="R3" s="5" t="s">
        <v>409</v>
      </c>
    </row>
    <row r="4" hidden="1">
      <c r="A4" s="12" t="str">
        <f>IFERROR(__xludf.DUMMYFUNCTION("""COMPUTED_VALUE"""),"38431ba7efcdf732aaa4d6ec535054dd")</f>
        <v>38431ba7efcdf732aaa4d6ec535054dd</v>
      </c>
      <c r="B4" s="12" t="str">
        <f>IFERROR(__xludf.DUMMYFUNCTION("""COMPUTED_VALUE"""),"Nevertheless, the Danish financial sector remains large by international standards, with a total-assets-to-GDP ratio of more than 500%, and is dominated by a few very large banks and highly interconnected. As discussed in the previous Survey, this poses a"&amp;" systemic risk and potentially creates important implicit liabilities for the public sector. At the same time, household gross debt continues to be the highest across OECD countries (Figure 9), albeit large pension savings counterbalances this (see below)"&amp;".")</f>
        <v>Nevertheless, the Danish financial sector remains large by international standards, with a total-assets-to-GDP ratio of more than 500%, and is dominated by a few very large banks and highly interconnected. As discussed in the previous Survey, this poses a systemic risk and potentially creates important implicit liabilities for the public sector. At the same time, household gross debt continues to be the highest across OECD countries (Figure 9), albeit large pension savings counterbalances this (see below).</v>
      </c>
      <c r="C4" s="53"/>
      <c r="D4" s="53" t="b">
        <v>0</v>
      </c>
      <c r="E4" s="53" t="s">
        <v>314</v>
      </c>
      <c r="F4" s="53" t="s">
        <v>314</v>
      </c>
      <c r="G4" s="53" t="b">
        <v>1</v>
      </c>
      <c r="H4" s="53" t="b">
        <v>0</v>
      </c>
      <c r="I4" s="54">
        <v>0.3333333333333333</v>
      </c>
      <c r="J4" s="55"/>
      <c r="K4" s="55"/>
      <c r="L4" s="55"/>
      <c r="M4" s="55"/>
      <c r="N4" s="55" t="s">
        <v>323</v>
      </c>
      <c r="O4" s="54" t="s">
        <v>410</v>
      </c>
      <c r="P4" s="54" t="s">
        <v>410</v>
      </c>
      <c r="Q4" s="56" t="s">
        <v>411</v>
      </c>
      <c r="S4" s="5" t="s">
        <v>412</v>
      </c>
    </row>
    <row r="5">
      <c r="A5" s="12" t="str">
        <f>IFERROR(__xludf.DUMMYFUNCTION("""COMPUTED_VALUE"""),"54ea1a17294068beedbd2b0050a6c3b6")</f>
        <v>54ea1a17294068beedbd2b0050a6c3b6</v>
      </c>
      <c r="B5" s="12" t="str">
        <f>IFERROR(__xludf.DUMMYFUNCTION("""COMPUTED_VALUE"""),"These, however, also constitute opportunities for those responsible for tourism and water policy to work closely together. In the future, tourism-related water use intensities are expected to increase, while water availability in many regions will become "&amp;"more restricted due to competing uses and climate change leading to lower precipitation levels in many regions. In order to adapt to inevitable changes in water availability, as well as to mitigate its own contribution to climate change and its pressure o"&amp;"n limited water resources, tourism needs to engage with policy areas responsible for energy- and water management, with a clear focus on policy making, including compliance with national greenhouse gas reduction goals, building codes, measurement and char"&amp;"ging of water consumption, compliance with water benchmarks, and, possibly, mandatory education for staff in accommodation to engage in water saving measures.")</f>
        <v>These, however, also constitute opportunities for those responsible for tourism and water policy to work closely together. In the future, tourism-related water use intensities are expected to increase, while water availability in many regions will become more restricted due to competing uses and climate change leading to lower precipitation levels in many regions. In order to adapt to inevitable changes in water availability, as well as to mitigate its own contribution to climate change and its pressure on limited water resources, tourism needs to engage with policy areas responsible for energy- and water management, with a clear focus on policy making, including compliance with national greenhouse gas reduction goals, building codes, measurement and charging of water consumption, compliance with water benchmarks, and, possibly, mandatory education for staff in accommodation to engage in water saving measures.</v>
      </c>
      <c r="C5" s="7"/>
      <c r="D5" s="53" t="b">
        <v>1</v>
      </c>
      <c r="E5" s="53" t="s">
        <v>314</v>
      </c>
      <c r="F5" s="53" t="s">
        <v>314</v>
      </c>
      <c r="G5" s="53" t="b">
        <v>1</v>
      </c>
      <c r="H5" s="53" t="b">
        <v>1</v>
      </c>
      <c r="I5" s="54">
        <v>1.0</v>
      </c>
      <c r="J5" s="55" t="s">
        <v>101</v>
      </c>
      <c r="K5" s="55"/>
      <c r="L5" s="55"/>
      <c r="M5" s="55"/>
      <c r="N5" s="55" t="s">
        <v>317</v>
      </c>
      <c r="O5" s="54" t="s">
        <v>413</v>
      </c>
      <c r="P5" s="54" t="s">
        <v>413</v>
      </c>
      <c r="Q5" s="56" t="b">
        <v>1</v>
      </c>
    </row>
    <row r="6">
      <c r="A6" s="12" t="str">
        <f>IFERROR(__xludf.DUMMYFUNCTION("""COMPUTED_VALUE"""),"75e8092566e48db1537bbf36581750ac")</f>
        <v>75e8092566e48db1537bbf36581750ac</v>
      </c>
      <c r="B6" s="12" t="str">
        <f>IFERROR(__xludf.DUMMYFUNCTION("""COMPUTED_VALUE"""),"Also, several illnesses other than cancer should be looked at simultaneously, which would be very data demanding. As an alternative, life expectancy can be selected as the health variable. It could be argued that life expectancy variables show little vari"&amp;"ation among OECD countries and over time (and thus do not help discriminating between policy effects). However, weak variability among countries does not seem to be borne out by the data, even if only OECD countries are considered11.")</f>
        <v>Also, several illnesses other than cancer should be looked at simultaneously, which would be very data demanding. As an alternative, life expectancy can be selected as the health variable. It could be argued that life expectancy variables show little variation among OECD countries and over time (and thus do not help discriminating between policy effects). However, weak variability among countries does not seem to be borne out by the data, even if only OECD countries are considered11.</v>
      </c>
      <c r="C6" s="7"/>
      <c r="D6" s="53" t="b">
        <v>0</v>
      </c>
      <c r="E6" s="53" t="s">
        <v>314</v>
      </c>
      <c r="F6" s="53" t="s">
        <v>314</v>
      </c>
      <c r="G6" s="53" t="b">
        <v>0</v>
      </c>
      <c r="H6" s="53" t="b">
        <v>0</v>
      </c>
      <c r="I6" s="54">
        <v>1.0</v>
      </c>
      <c r="J6" s="55"/>
      <c r="K6" s="55"/>
      <c r="L6" s="55"/>
      <c r="M6" s="55"/>
      <c r="N6" s="55"/>
      <c r="O6" s="54" t="s">
        <v>407</v>
      </c>
      <c r="P6" s="54" t="s">
        <v>407</v>
      </c>
      <c r="Q6" s="56" t="b">
        <v>0</v>
      </c>
    </row>
    <row r="7">
      <c r="A7" s="12" t="str">
        <f>IFERROR(__xludf.DUMMYFUNCTION("""COMPUTED_VALUE"""),"b891a504421aa53f5f0faa8d9bec1b27")</f>
        <v>b891a504421aa53f5f0faa8d9bec1b27</v>
      </c>
      <c r="B7" s="12" t="str">
        <f>IFERROR(__xludf.DUMMYFUNCTION("""COMPUTED_VALUE"""),"While conclusive data is not available on whether these deportations amount to “revolving door” movements (i.e. the same person being deported several times in a year) there are strong indications that this is the case. ( This Green Paper is the result of"&amp;" a long consultation process, first announced in 2008, and involving a broad spectrum of South African, regional and international stakeholders starting in 2013. The process culminated in December 2015 with a colloquium called for by the minister in order"&amp;" to compile all contributions into a final document which was subsequently turned into the Green Paper submitted to public comments between June and September 2016. This is a particularly innovative process for the DHA since 1996 (the previous consultatio"&amp;"n for the 1997 Green Paper) as most channels of communication between the DHA, other spheres of government, and South African social partners and civil society have been intermittent.")</f>
        <v>While conclusive data is not available on whether these deportations amount to “revolving door” movements (i.e. the same person being deported several times in a year) there are strong indications that this is the case. ( This Green Paper is the result of a long consultation process, first announced in 2008, and involving a broad spectrum of South African, regional and international stakeholders starting in 2013. The process culminated in December 2015 with a colloquium called for by the minister in order to compile all contributions into a final document which was subsequently turned into the Green Paper submitted to public comments between June and September 2016. This is a particularly innovative process for the DHA since 1996 (the previous consultation for the 1997 Green Paper) as most channels of communication between the DHA, other spheres of government, and South African social partners and civil society have been intermittent.</v>
      </c>
      <c r="C7" s="7"/>
      <c r="D7" s="53" t="b">
        <v>0</v>
      </c>
      <c r="E7" s="53" t="s">
        <v>314</v>
      </c>
      <c r="F7" s="53" t="s">
        <v>314</v>
      </c>
      <c r="G7" s="53" t="b">
        <v>0</v>
      </c>
      <c r="H7" s="53" t="b">
        <v>0</v>
      </c>
      <c r="I7" s="54">
        <v>1.0</v>
      </c>
      <c r="J7" s="55"/>
      <c r="K7" s="55"/>
      <c r="L7" s="55"/>
      <c r="M7" s="55"/>
      <c r="N7" s="55"/>
      <c r="O7" s="54" t="s">
        <v>407</v>
      </c>
      <c r="P7" s="54" t="s">
        <v>407</v>
      </c>
      <c r="Q7" s="56" t="b">
        <v>0</v>
      </c>
    </row>
    <row r="8">
      <c r="A8" s="12" t="str">
        <f>IFERROR(__xludf.DUMMYFUNCTION("""COMPUTED_VALUE"""),"c58b769ff76ac1b3a1542efc5d687112")</f>
        <v>c58b769ff76ac1b3a1542efc5d687112</v>
      </c>
      <c r="B8" s="12" t="str">
        <f>IFERROR(__xludf.DUMMYFUNCTION("""COMPUTED_VALUE"""),"Some European countries have schemes allowing naloxone to be taken home by the drug user (EMCDDA, 2017(48)). A few countries have drug consumption rooms, where death from overdose is much less likely. Almost all countries have needle and syringe programme"&amp;"s, which can prevent the spread of infectious diseases, which can be very expensive to treat (such as hepatitis C).")</f>
        <v>Some European countries have schemes allowing naloxone to be taken home by the drug user (EMCDDA, 2017(48)). A few countries have drug consumption rooms, where death from overdose is much less likely. Almost all countries have needle and syringe programmes, which can prevent the spread of infectious diseases, which can be very expensive to treat (such as hepatitis C).</v>
      </c>
      <c r="C8" s="7"/>
      <c r="D8" s="53" t="b">
        <v>0</v>
      </c>
      <c r="E8" s="53" t="s">
        <v>314</v>
      </c>
      <c r="F8" s="53" t="s">
        <v>314</v>
      </c>
      <c r="G8" s="53" t="b">
        <v>0</v>
      </c>
      <c r="H8" s="53" t="b">
        <v>0</v>
      </c>
      <c r="I8" s="54">
        <v>1.0</v>
      </c>
      <c r="J8" s="55"/>
      <c r="K8" s="55"/>
      <c r="L8" s="55"/>
      <c r="M8" s="55"/>
      <c r="N8" s="55"/>
      <c r="O8" s="54" t="s">
        <v>407</v>
      </c>
      <c r="P8" s="54" t="s">
        <v>407</v>
      </c>
      <c r="Q8" s="56" t="b">
        <v>0</v>
      </c>
    </row>
    <row r="9">
      <c r="A9" s="12" t="str">
        <f>IFERROR(__xludf.DUMMYFUNCTION("""COMPUTED_VALUE"""),"c9708376b78f0cf88395f99c6ecf5f1c")</f>
        <v>c9708376b78f0cf88395f99c6ecf5f1c</v>
      </c>
      <c r="B9" s="12" t="str">
        <f>IFERROR(__xludf.DUMMYFUNCTION("""COMPUTED_VALUE"""),"Every employer is required to apply the measures needed to effectively protect the life, safety and health of its workers, for which it must provide suitable premises, provide work equipment and adopt methods aimed at reducing and eliminating occupational"&amp;" hazards in the workplace. Specifies the just causes that allow the worker to terminate the employment relationship, with entitlement to compensation for unfair dismissal. The wage is unattachable up to the amount of the legal minimum wage. Also unattacha"&amp;"ble, among other things, is the full amount of the sums received by the worker in respect of retirement and pensions.")</f>
        <v>Every employer is required to apply the measures needed to effectively protect the life, safety and health of its workers, for which it must provide suitable premises, provide work equipment and adopt methods aimed at reducing and eliminating occupational hazards in the workplace. Specifies the just causes that allow the worker to terminate the employment relationship, with entitlement to compensation for unfair dismissal. The wage is unattachable up to the amount of the legal minimum wage. Also unattachable, among other things, is the full amount of the sums received by the worker in respect of retirement and pensions.</v>
      </c>
      <c r="C9" s="7"/>
      <c r="D9" s="53" t="b">
        <v>1</v>
      </c>
      <c r="E9" s="53" t="s">
        <v>314</v>
      </c>
      <c r="F9" s="53" t="s">
        <v>314</v>
      </c>
      <c r="G9" s="53" t="b">
        <v>1</v>
      </c>
      <c r="H9" s="53" t="b">
        <v>1</v>
      </c>
      <c r="I9" s="54">
        <v>1.0</v>
      </c>
      <c r="J9" s="55"/>
      <c r="K9" s="55"/>
      <c r="L9" s="55"/>
      <c r="M9" s="55"/>
      <c r="N9" s="55"/>
      <c r="O9" s="54" t="s">
        <v>407</v>
      </c>
      <c r="P9" s="54" t="s">
        <v>407</v>
      </c>
      <c r="Q9" s="56" t="b">
        <v>1</v>
      </c>
    </row>
    <row r="10">
      <c r="A10" s="12" t="str">
        <f>IFERROR(__xludf.DUMMYFUNCTION("""COMPUTED_VALUE"""),"ceca1a25230442cdf238d3dc258c47b4")</f>
        <v>ceca1a25230442cdf238d3dc258c47b4</v>
      </c>
      <c r="B10" s="12" t="str">
        <f>IFERROR(__xludf.DUMMYFUNCTION("""COMPUTED_VALUE"""),"Additionally, training and awareness-raising with business leaders could also be useful in promoting a wider understanding and recognition of the importance of RBC. Educational institutions such as business schools can be important platforms. Adoption of "&amp;"the Guidelines and the UN Guiding Principles should be actively encouraged, as promoting local capacity and adopting practices that permit the transfer and rapid diffusion of technologies and know-how is encouraged under the Guidelines.")</f>
        <v>Additionally, training and awareness-raising with business leaders could also be useful in promoting a wider understanding and recognition of the importance of RBC. Educational institutions such as business schools can be important platforms. Adoption of the Guidelines and the UN Guiding Principles should be actively encouraged, as promoting local capacity and adopting practices that permit the transfer and rapid diffusion of technologies and know-how is encouraged under the Guidelines.</v>
      </c>
      <c r="C10" s="53"/>
      <c r="D10" s="53" t="b">
        <v>0</v>
      </c>
      <c r="E10" s="53" t="s">
        <v>314</v>
      </c>
      <c r="F10" s="53" t="s">
        <v>314</v>
      </c>
      <c r="G10" s="53" t="b">
        <v>0</v>
      </c>
      <c r="H10" s="53" t="b">
        <v>0</v>
      </c>
      <c r="I10" s="54">
        <v>1.0</v>
      </c>
      <c r="J10" s="55" t="s">
        <v>177</v>
      </c>
      <c r="K10" s="55"/>
      <c r="L10" s="55"/>
      <c r="M10" s="55"/>
      <c r="N10" s="55" t="s">
        <v>320</v>
      </c>
      <c r="O10" s="54" t="s">
        <v>414</v>
      </c>
      <c r="P10" s="54" t="s">
        <v>414</v>
      </c>
      <c r="Q10" s="56" t="b">
        <v>0</v>
      </c>
    </row>
    <row r="11" hidden="1">
      <c r="A11" s="12" t="str">
        <f>IFERROR(__xludf.DUMMYFUNCTION("""COMPUTED_VALUE"""),"f9e4d77c718f1e97f7b6ca8f6183b75d")</f>
        <v>f9e4d77c718f1e97f7b6ca8f6183b75d</v>
      </c>
      <c r="B11" s="12" t="str">
        <f>IFERROR(__xludf.DUMMYFUNCTION("""COMPUTED_VALUE"""),"This is further elaborated by commitments made by Cambodia in its NDC under the Paris Agreement on Climate Change where it identifies rural development and agriculture as key focus areas for adaptation, and renewable energy and energy efficiency as target"&amp;" areas for mitigation, but with no explicit target for renewable energy penetration. As part of the Strategic Plan, line ministries have started to develop sector level strategic plans and action plans. Efforts have also been made to estimate and mobilise"&amp;" financing for these action plans. Given its geography, available land area, irradiation, large concentrations of agricultural residues and animal manure, Cambodia has considerable potential for the uptake of solar, biomass, biofuel and biogas options.")</f>
        <v>This is further elaborated by commitments made by Cambodia in its NDC under the Paris Agreement on Climate Change where it identifies rural development and agriculture as key focus areas for adaptation, and renewable energy and energy efficiency as target areas for mitigation, but with no explicit target for renewable energy penetration. As part of the Strategic Plan, line ministries have started to develop sector level strategic plans and action plans. Efforts have also been made to estimate and mobilise financing for these action plans. Given its geography, available land area, irradiation, large concentrations of agricultural residues and animal manure, Cambodia has considerable potential for the uptake of solar, biomass, biofuel and biogas options.</v>
      </c>
      <c r="C11" s="57"/>
      <c r="D11" s="53" t="b">
        <v>0</v>
      </c>
      <c r="E11" s="53" t="s">
        <v>314</v>
      </c>
      <c r="F11" s="53" t="s">
        <v>314</v>
      </c>
      <c r="G11" s="53" t="b">
        <v>1</v>
      </c>
      <c r="H11" s="53" t="b">
        <v>0</v>
      </c>
      <c r="I11" s="54">
        <v>0.3333333333333333</v>
      </c>
      <c r="J11" s="55"/>
      <c r="K11" s="55"/>
      <c r="L11" s="55"/>
      <c r="M11" s="55"/>
      <c r="N11" s="55"/>
      <c r="O11" s="54" t="s">
        <v>407</v>
      </c>
      <c r="P11" s="54" t="s">
        <v>407</v>
      </c>
      <c r="Q11" s="56" t="s">
        <v>411</v>
      </c>
    </row>
    <row r="12" hidden="1">
      <c r="A12" s="12" t="str">
        <f>IFERROR(__xludf.DUMMYFUNCTION("""COMPUTED_VALUE"""),"f51d3f2361dd6141776af4da82c9c942")</f>
        <v>f51d3f2361dd6141776af4da82c9c942</v>
      </c>
      <c r="B12" s="12" t="str">
        <f>IFERROR(__xludf.DUMMYFUNCTION("""COMPUTED_VALUE"""),"In the Philippines, the central bank redefined real estate activities to lessen the bank’s exposure to the sector. In Indonesia, a more stringent rule on down payments was announced in mid-2012 to slow credit growth for the purchase of housing and automob"&amp;"iles. Similarly in Malaysia, asset price build-ups in certain sectors have been dealt with by using macroprudential measures rather than changes in the policy rate. In this regard, low interest rates helped not only to sustain the growth of bank loans but"&amp;" also to slow potential capital inflows.")</f>
        <v>In the Philippines, the central bank redefined real estate activities to lessen the bank’s exposure to the sector. In Indonesia, a more stringent rule on down payments was announced in mid-2012 to slow credit growth for the purchase of housing and automobiles. Similarly in Malaysia, asset price build-ups in certain sectors have been dealt with by using macroprudential measures rather than changes in the policy rate. In this regard, low interest rates helped not only to sustain the growth of bank loans but also to slow potential capital inflows.</v>
      </c>
      <c r="C12" s="58"/>
      <c r="D12" s="53" t="b">
        <v>0</v>
      </c>
      <c r="E12" s="53" t="s">
        <v>314</v>
      </c>
      <c r="F12" s="53" t="s">
        <v>314</v>
      </c>
      <c r="G12" s="53" t="b">
        <v>0</v>
      </c>
      <c r="H12" s="53" t="b">
        <v>1</v>
      </c>
      <c r="I12" s="54">
        <v>0.3333333333333333</v>
      </c>
      <c r="J12" s="55"/>
      <c r="K12" s="55"/>
      <c r="L12" s="55"/>
      <c r="M12" s="55"/>
      <c r="N12" s="55"/>
      <c r="O12" s="54" t="s">
        <v>407</v>
      </c>
      <c r="P12" s="54" t="s">
        <v>407</v>
      </c>
      <c r="Q12" s="56" t="s">
        <v>411</v>
      </c>
    </row>
    <row r="13">
      <c r="A13" s="12" t="str">
        <f>IFERROR(__xludf.DUMMYFUNCTION("""COMPUTED_VALUE"""),"78369a424e5022f76239fb52faeca561")</f>
        <v>78369a424e5022f76239fb52faeca561</v>
      </c>
      <c r="B13" s="12" t="str">
        <f>IFERROR(__xludf.DUMMYFUNCTION("""COMPUTED_VALUE"""),"Finally, employers in some countries appear to be showing a greater propensity to hoard labour than in past recessions.78 By reducing the increase in unemployment, greater reliance on hours adjustment may tend to reduce the build-up of the number of long-"&amp;"term unemployed during the recession and the number of workers withdrawing from the labour force (or postponing labour market entry) due to poor job-search prospects, indirectly reducing hysteresis effects. However, that need not be the case. Labour marke"&amp;"t segmentation could be further heightened by increased labour hoarding, if the resulting reduction in labour turnover rates places unemployed job seekers at a heightened risk of long-term unemployment, even though there are fewer of them.")</f>
        <v>Finally, employers in some countries appear to be showing a greater propensity to hoard labour than in past recessions.78 By reducing the increase in unemployment, greater reliance on hours adjustment may tend to reduce the build-up of the number of long-term unemployed during the recession and the number of workers withdrawing from the labour force (or postponing labour market entry) due to poor job-search prospects, indirectly reducing hysteresis effects. However, that need not be the case. Labour market segmentation could be further heightened by increased labour hoarding, if the resulting reduction in labour turnover rates places unemployed job seekers at a heightened risk of long-term unemployment, even though there are fewer of them.</v>
      </c>
      <c r="C13" s="57"/>
      <c r="D13" s="53" t="b">
        <v>1</v>
      </c>
      <c r="E13" s="53" t="s">
        <v>314</v>
      </c>
      <c r="F13" s="53" t="s">
        <v>314</v>
      </c>
      <c r="G13" s="53" t="b">
        <v>1</v>
      </c>
      <c r="H13" s="53" t="b">
        <v>1</v>
      </c>
      <c r="I13" s="54">
        <v>1.0</v>
      </c>
      <c r="J13" s="55"/>
      <c r="K13" s="55"/>
      <c r="L13" s="55"/>
      <c r="M13" s="55"/>
      <c r="N13" s="55"/>
      <c r="O13" s="54" t="s">
        <v>407</v>
      </c>
      <c r="P13" s="54" t="s">
        <v>407</v>
      </c>
      <c r="Q13" s="56" t="b">
        <v>1</v>
      </c>
    </row>
    <row r="14">
      <c r="A14" s="12" t="str">
        <f>IFERROR(__xludf.DUMMYFUNCTION("""COMPUTED_VALUE"""),"b84d08223323e7afafc5f48d8e17ac0b")</f>
        <v>b84d08223323e7afafc5f48d8e17ac0b</v>
      </c>
      <c r="B14" s="12" t="str">
        <f>IFERROR(__xludf.DUMMYFUNCTION("""COMPUTED_VALUE"""),"The most advanced of these is the US Small Business Administration (SBA) in co-operation with the SBA Office of Advocacy (which actually sets legal quotas for the proportion of federal government contracts to be awarded to small businesses). Good practice"&amp;" measures also exist in Canada, Denmark, Korea, the United Kingdom, Romania and others. A number of European good practices are noted in the “SMEs’ access to public procurement” section of the European Commission 2009 document, “European Charter for Small"&amp;" Enterprises: 2009 Good Practice Selection” (European Commission, 2009).")</f>
        <v>The most advanced of these is the US Small Business Administration (SBA) in co-operation with the SBA Office of Advocacy (which actually sets legal quotas for the proportion of federal government contracts to be awarded to small businesses). Good practice measures also exist in Canada, Denmark, Korea, the United Kingdom, Romania and others. A number of European good practices are noted in the “SMEs’ access to public procurement” section of the European Commission 2009 document, “European Charter for Small Enterprises: 2009 Good Practice Selection” (European Commission, 2009).</v>
      </c>
      <c r="C14" s="57"/>
      <c r="D14" s="53" t="b">
        <v>1</v>
      </c>
      <c r="E14" s="53" t="s">
        <v>314</v>
      </c>
      <c r="F14" s="53" t="s">
        <v>314</v>
      </c>
      <c r="G14" s="53" t="b">
        <v>1</v>
      </c>
      <c r="H14" s="53" t="b">
        <v>1</v>
      </c>
      <c r="I14" s="54">
        <v>1.0</v>
      </c>
      <c r="J14" s="55" t="s">
        <v>221</v>
      </c>
      <c r="K14" s="55"/>
      <c r="L14" s="55"/>
      <c r="M14" s="55"/>
      <c r="N14" s="55" t="s">
        <v>324</v>
      </c>
      <c r="O14" s="54" t="s">
        <v>415</v>
      </c>
      <c r="P14" s="54" t="s">
        <v>415</v>
      </c>
      <c r="Q14" s="56" t="b">
        <v>1</v>
      </c>
    </row>
    <row r="15">
      <c r="A15" s="12" t="str">
        <f>IFERROR(__xludf.DUMMYFUNCTION("""COMPUTED_VALUE"""),"e951ced7d2846fbef85d18a9bd2409f9")</f>
        <v>e951ced7d2846fbef85d18a9bd2409f9</v>
      </c>
      <c r="B15" s="12" t="str">
        <f>IFERROR(__xludf.DUMMYFUNCTION("""COMPUTED_VALUE"""),"In particular, assessing the impact of job quality on labour productivity based on firm-level data, as well as exploring the role of institutions, labour market policies, firm type and management practices in generating a virtuous cycle of higher quality "&amp;"jobs, better health and higher productivity would provide further critical evidence for giving job quality the place it deserves in the policy recommendations on labour market performances. There is no single authority representing both Turkish and Greek "&amp;"Cypriot people on the Island. Turkey recognises the Turkish Republic of Northern Cyprus (TRNC).")</f>
        <v>In particular, assessing the impact of job quality on labour productivity based on firm-level data, as well as exploring the role of institutions, labour market policies, firm type and management practices in generating a virtuous cycle of higher quality jobs, better health and higher productivity would provide further critical evidence for giving job quality the place it deserves in the policy recommendations on labour market performances. There is no single authority representing both Turkish and Greek Cypriot people on the Island. Turkey recognises the Turkish Republic of Northern Cyprus (TRNC).</v>
      </c>
      <c r="C15" s="57"/>
      <c r="D15" s="53" t="b">
        <v>1</v>
      </c>
      <c r="E15" s="53" t="s">
        <v>314</v>
      </c>
      <c r="F15" s="53" t="s">
        <v>314</v>
      </c>
      <c r="G15" s="53" t="b">
        <v>1</v>
      </c>
      <c r="H15" s="53" t="b">
        <v>1</v>
      </c>
      <c r="I15" s="54">
        <v>1.0</v>
      </c>
      <c r="J15" s="55"/>
      <c r="K15" s="55"/>
      <c r="L15" s="55"/>
      <c r="M15" s="55"/>
      <c r="N15" s="55"/>
      <c r="O15" s="54" t="s">
        <v>407</v>
      </c>
      <c r="P15" s="54" t="s">
        <v>407</v>
      </c>
      <c r="Q15" s="56" t="b">
        <v>1</v>
      </c>
    </row>
    <row r="16" hidden="1">
      <c r="A16" s="12" t="str">
        <f>IFERROR(__xludf.DUMMYFUNCTION("""COMPUTED_VALUE"""),"ea4eb2b359abca16cbf72e813662f74b")</f>
        <v>ea4eb2b359abca16cbf72e813662f74b</v>
      </c>
      <c r="B16" s="12" t="str">
        <f>IFERROR(__xludf.DUMMYFUNCTION("""COMPUTED_VALUE"""),"The very low level of agricultural productivity is apparent not only within individual LDC economies, but also when compared internationally. Not only is there an agricultural productivity gap between LDCs and ODCs, but that gap has been widening. In 1990"&amp;", the LDCs’ cereal yield per hectare was only 61 per cent of that of ODCs. Two decades later, the proportion was just 37 per cent (chart 40). These very low levels of productivity, combined with the strong rural concentration of the population in rural ar"&amp;"eas, are the main explanation for the pervasive poverty in these countries (UNCTAD, 2004). That pattern is driven more by expulsion forces (i.e., the dearth of gainful employment in rural areas) than by attraction forces (because of the lack of decently p"&amp;"aid jobs in urban areas).")</f>
        <v>The very low level of agricultural productivity is apparent not only within individual LDC economies, but also when compared internationally. Not only is there an agricultural productivity gap between LDCs and ODCs, but that gap has been widening. In 1990, the LDCs’ cereal yield per hectare was only 61 per cent of that of ODCs. Two decades later, the proportion was just 37 per cent (chart 40). These very low levels of productivity, combined with the strong rural concentration of the population in rural areas, are the main explanation for the pervasive poverty in these countries (UNCTAD, 2004). That pattern is driven more by expulsion forces (i.e., the dearth of gainful employment in rural areas) than by attraction forces (because of the lack of decently paid jobs in urban areas).</v>
      </c>
      <c r="C16" s="57"/>
      <c r="D16" s="53" t="b">
        <v>1</v>
      </c>
      <c r="E16" s="53" t="s">
        <v>314</v>
      </c>
      <c r="F16" s="53" t="s">
        <v>314</v>
      </c>
      <c r="G16" s="53" t="b">
        <v>0</v>
      </c>
      <c r="H16" s="53" t="b">
        <v>1</v>
      </c>
      <c r="I16" s="54">
        <v>0.3333333333333333</v>
      </c>
      <c r="J16" s="55"/>
      <c r="K16" s="55"/>
      <c r="L16" s="55"/>
      <c r="M16" s="55"/>
      <c r="N16" s="55" t="s">
        <v>322</v>
      </c>
      <c r="O16" s="54" t="s">
        <v>416</v>
      </c>
      <c r="P16" s="54" t="s">
        <v>416</v>
      </c>
      <c r="Q16" s="56" t="s">
        <v>411</v>
      </c>
    </row>
    <row r="17">
      <c r="A17" s="12" t="str">
        <f>IFERROR(__xludf.DUMMYFUNCTION("""COMPUTED_VALUE"""),"4024ea4317dd9589d846a4fb88d68423")</f>
        <v>4024ea4317dd9589d846a4fb88d68423</v>
      </c>
      <c r="B17" s="12" t="str">
        <f>IFERROR(__xludf.DUMMYFUNCTION("""COMPUTED_VALUE"""),"Naloxone and similar drugs have proven efficacy in reversing the effects of opioid overdoses and thereby saving lives. Making these drugs more widely available would help reduce deaths from overdose. Some European countries have schemes allowing naloxone "&amp;"to be taken home by the drug user (EMCDDA, 2017(48)). A few countries have drug consumption rooms, where death from overdose is much less likely.")</f>
        <v>Naloxone and similar drugs have proven efficacy in reversing the effects of opioid overdoses and thereby saving lives. Making these drugs more widely available would help reduce deaths from overdose. Some European countries have schemes allowing naloxone to be taken home by the drug user (EMCDDA, 2017(48)). A few countries have drug consumption rooms, where death from overdose is much less likely.</v>
      </c>
      <c r="C17" s="7"/>
      <c r="D17" s="53" t="b">
        <v>0</v>
      </c>
      <c r="E17" s="53" t="s">
        <v>314</v>
      </c>
      <c r="F17" s="53" t="s">
        <v>314</v>
      </c>
      <c r="G17" s="53" t="b">
        <v>0</v>
      </c>
      <c r="H17" s="53" t="b">
        <v>0</v>
      </c>
      <c r="I17" s="54">
        <v>1.0</v>
      </c>
      <c r="J17" s="55"/>
      <c r="K17" s="55"/>
      <c r="L17" s="55"/>
      <c r="M17" s="55"/>
      <c r="N17" s="55"/>
      <c r="O17" s="54" t="s">
        <v>407</v>
      </c>
      <c r="P17" s="54" t="s">
        <v>407</v>
      </c>
      <c r="Q17" s="56" t="b">
        <v>0</v>
      </c>
    </row>
    <row r="18">
      <c r="A18" s="12" t="str">
        <f>IFERROR(__xludf.DUMMYFUNCTION("""COMPUTED_VALUE"""),"bf0a2fd9c30889ecb91814fc294cd77d")</f>
        <v>bf0a2fd9c30889ecb91814fc294cd77d</v>
      </c>
      <c r="B18" s="12" t="str">
        <f>IFERROR(__xludf.DUMMYFUNCTION("""COMPUTED_VALUE"""),"In the absence of the above, some of the data can also be obtained from the administrative data on child care. The existence of national legislation that supports external child care or even gives the right for child care to parents should be documented. "&amp;"Breakdowns of the indicator by component groups such as sex, industries, occupational group, and status in employment should be added.")</f>
        <v>In the absence of the above, some of the data can also be obtained from the administrative data on child care. The existence of national legislation that supports external child care or even gives the right for child care to parents should be documented. Breakdowns of the indicator by component groups such as sex, industries, occupational group, and status in employment should be added.</v>
      </c>
      <c r="C18" s="7"/>
      <c r="D18" s="53" t="b">
        <v>0</v>
      </c>
      <c r="E18" s="53" t="s">
        <v>314</v>
      </c>
      <c r="F18" s="53" t="s">
        <v>314</v>
      </c>
      <c r="G18" s="53" t="b">
        <v>0</v>
      </c>
      <c r="H18" s="53" t="b">
        <v>0</v>
      </c>
      <c r="I18" s="54">
        <v>1.0</v>
      </c>
      <c r="J18" s="55"/>
      <c r="K18" s="55"/>
      <c r="L18" s="55"/>
      <c r="M18" s="55"/>
      <c r="N18" s="55"/>
      <c r="O18" s="54" t="s">
        <v>407</v>
      </c>
      <c r="P18" s="54" t="s">
        <v>407</v>
      </c>
      <c r="Q18" s="56" t="b">
        <v>0</v>
      </c>
    </row>
    <row r="19">
      <c r="A19" s="12" t="str">
        <f>IFERROR(__xludf.DUMMYFUNCTION("""COMPUTED_VALUE"""),"6514e2ec414dee5c4e735ae7ee853163")</f>
        <v>6514e2ec414dee5c4e735ae7ee853163</v>
      </c>
      <c r="B19" s="12" t="str">
        <f>IFERROR(__xludf.DUMMYFUNCTION("""COMPUTED_VALUE"""),"Setting clear, long term, and legally binding frameworks to mainstream and encourage green growth are also key to attracting private investment. It also signed the Convention on International Trade in Endangered Species in 1997. On commitments related to "&amp;"climate change, Cambodia ratified the Kyoto Protocol on greenhouse gas emissions in 2002. More recently, the country submitted a Nationally Determined Contribution (NDC) to the UNFCCC in 2015 and signed the Paris Agreement in 2016.")</f>
        <v>Setting clear, long term, and legally binding frameworks to mainstream and encourage green growth are also key to attracting private investment. It also signed the Convention on International Trade in Endangered Species in 1997. On commitments related to climate change, Cambodia ratified the Kyoto Protocol on greenhouse gas emissions in 2002. More recently, the country submitted a Nationally Determined Contribution (NDC) to the UNFCCC in 2015 and signed the Paris Agreement in 2016.</v>
      </c>
      <c r="C19" s="7"/>
      <c r="D19" s="53" t="b">
        <v>1</v>
      </c>
      <c r="E19" s="53" t="s">
        <v>314</v>
      </c>
      <c r="F19" s="53" t="s">
        <v>314</v>
      </c>
      <c r="G19" s="53" t="b">
        <v>1</v>
      </c>
      <c r="H19" s="53" t="b">
        <v>1</v>
      </c>
      <c r="I19" s="54">
        <v>1.0</v>
      </c>
      <c r="J19" s="55" t="s">
        <v>194</v>
      </c>
      <c r="K19" s="55"/>
      <c r="L19" s="55"/>
      <c r="M19" s="55"/>
      <c r="N19" s="55"/>
      <c r="O19" s="54" t="s">
        <v>417</v>
      </c>
      <c r="P19" s="54" t="s">
        <v>417</v>
      </c>
      <c r="Q19" s="56" t="b">
        <v>1</v>
      </c>
    </row>
    <row r="20">
      <c r="A20" s="12" t="str">
        <f>IFERROR(__xludf.DUMMYFUNCTION("""COMPUTED_VALUE"""),"1f3464de53fc2029469a776c7bdf6787")</f>
        <v>1f3464de53fc2029469a776c7bdf6787</v>
      </c>
      <c r="B20" s="12" t="str">
        <f>IFERROR(__xludf.DUMMYFUNCTION("""COMPUTED_VALUE"""),"This suggests that descriptive representation can actually translate into substantive representation for women. There are multiple causal pathways: elected women pay more attention to women’s needs, they are more effective in bringing these bills on the a"&amp;"genda and they can indirectly (or directly) influence male legislators’ priorities (Schwindt-Bayer, 2007). In Latin America, the presence of female legislators lias helped prioritise children and family affairs, as well as on sexual abuse and family viole"&amp;"nce issues in Argentina, Colombia and Costa Rica (Schwindt-Bayer, 2007).")</f>
        <v>This suggests that descriptive representation can actually translate into substantive representation for women. There are multiple causal pathways: elected women pay more attention to women’s needs, they are more effective in bringing these bills on the agenda and they can indirectly (or directly) influence male legislators’ priorities (Schwindt-Bayer, 2007). In Latin America, the presence of female legislators lias helped prioritise children and family affairs, as well as on sexual abuse and family violence issues in Argentina, Colombia and Costa Rica (Schwindt-Bayer, 2007).</v>
      </c>
      <c r="C20" s="7"/>
      <c r="D20" s="53" t="b">
        <v>0</v>
      </c>
      <c r="E20" s="53" t="s">
        <v>314</v>
      </c>
      <c r="F20" s="53" t="s">
        <v>314</v>
      </c>
      <c r="G20" s="53" t="b">
        <v>0</v>
      </c>
      <c r="H20" s="53" t="b">
        <v>0</v>
      </c>
      <c r="I20" s="54">
        <v>1.0</v>
      </c>
      <c r="J20" s="55"/>
      <c r="K20" s="55"/>
      <c r="L20" s="55"/>
      <c r="M20" s="55"/>
      <c r="N20" s="55"/>
      <c r="O20" s="54" t="s">
        <v>407</v>
      </c>
      <c r="P20" s="54" t="s">
        <v>407</v>
      </c>
      <c r="Q20" s="56" t="b">
        <v>0</v>
      </c>
    </row>
    <row r="21">
      <c r="A21" s="12" t="str">
        <f>IFERROR(__xludf.DUMMYFUNCTION("""COMPUTED_VALUE"""),"00318d358a0c012f7d22cc91cfc5ab65")</f>
        <v>00318d358a0c012f7d22cc91cfc5ab65</v>
      </c>
      <c r="B21" s="12" t="str">
        <f>IFERROR(__xludf.DUMMYFUNCTION("""COMPUTED_VALUE"""),"These signs are topped with a distinctive yellow beacon cap and walking person icon. These features makes the signs easy to spot within the urban environment and when viewed from a distance. Each monolith has two maps, a finder map which displays a 5-minu"&amp;"te walking circle, and a planner map which displays a 15-minute walking circle. The maps illustrate significant landmarks in 3D, helping users identify the urban environment and also serving as 'mental navigational tools’.")</f>
        <v>These signs are topped with a distinctive yellow beacon cap and walking person icon. These features makes the signs easy to spot within the urban environment and when viewed from a distance. Each monolith has two maps, a finder map which displays a 5-minute walking circle, and a planner map which displays a 15-minute walking circle. The maps illustrate significant landmarks in 3D, helping users identify the urban environment and also serving as 'mental navigational tools’.</v>
      </c>
      <c r="C21" s="7"/>
      <c r="D21" s="53" t="b">
        <v>0</v>
      </c>
      <c r="E21" s="53" t="s">
        <v>314</v>
      </c>
      <c r="F21" s="53" t="s">
        <v>314</v>
      </c>
      <c r="G21" s="53" t="b">
        <v>0</v>
      </c>
      <c r="H21" s="53" t="b">
        <v>0</v>
      </c>
      <c r="I21" s="54">
        <v>1.0</v>
      </c>
      <c r="J21" s="55"/>
      <c r="K21" s="55"/>
      <c r="L21" s="55"/>
      <c r="M21" s="55"/>
      <c r="N21" s="55"/>
      <c r="O21" s="54" t="s">
        <v>407</v>
      </c>
      <c r="P21" s="54" t="s">
        <v>407</v>
      </c>
      <c r="Q21" s="56" t="b">
        <v>0</v>
      </c>
    </row>
    <row r="22">
      <c r="A22" s="12" t="str">
        <f>IFERROR(__xludf.DUMMYFUNCTION("""COMPUTED_VALUE"""),"4108465598301e37074576a8c5d2e746")</f>
        <v>4108465598301e37074576a8c5d2e746</v>
      </c>
      <c r="B22" s="12" t="str">
        <f>IFERROR(__xludf.DUMMYFUNCTION("""COMPUTED_VALUE"""),"The examples of the United States (section 7.10), Finland (section 7.11), and Switzerland (section 7.12) discuss survey issues summarised below. The last example of Mexico (section 7.13) provides experience with connections between satellite accounts. Uni"&amp;"ted States, Finland and Switzerland provide a number of country-specific examples regarding the collection of time-use information.")</f>
        <v>The examples of the United States (section 7.10), Finland (section 7.11), and Switzerland (section 7.12) discuss survey issues summarised below. The last example of Mexico (section 7.13) provides experience with connections between satellite accounts. United States, Finland and Switzerland provide a number of country-specific examples regarding the collection of time-use information.</v>
      </c>
      <c r="C22" s="58"/>
      <c r="D22" s="53" t="b">
        <v>0</v>
      </c>
      <c r="E22" s="53" t="s">
        <v>314</v>
      </c>
      <c r="F22" s="53" t="s">
        <v>314</v>
      </c>
      <c r="G22" s="53" t="b">
        <v>0</v>
      </c>
      <c r="H22" s="53" t="b">
        <v>0</v>
      </c>
      <c r="I22" s="54">
        <v>1.0</v>
      </c>
      <c r="J22" s="55"/>
      <c r="K22" s="55"/>
      <c r="L22" s="55"/>
      <c r="M22" s="55"/>
      <c r="N22" s="55"/>
      <c r="O22" s="54" t="s">
        <v>407</v>
      </c>
      <c r="P22" s="54" t="s">
        <v>407</v>
      </c>
      <c r="Q22" s="56" t="b">
        <v>0</v>
      </c>
    </row>
    <row r="23" hidden="1">
      <c r="A23" s="12" t="str">
        <f>IFERROR(__xludf.DUMMYFUNCTION("""COMPUTED_VALUE"""),"4c84f94c7b79d0cb33f2aacf79ab0779")</f>
        <v>4c84f94c7b79d0cb33f2aacf79ab0779</v>
      </c>
      <c r="B23" s="12" t="str">
        <f>IFERROR(__xludf.DUMMYFUNCTION("""COMPUTED_VALUE"""),"Entire population, excluding capital gains. Source: OECD, Income Distribution and Poverty Database-, Swedish Ministry of Finance, OECD calculations. For instance in Sweden, the Gini coefficient was reduced through taxes and transfers from 0.44 to 0.21 (he"&amp;"nce by 0.23) in the mid-1990s and from 0.43 to 0.26 (hence by 0.17) in the late 2000s. In addition, capital gains have contributed to the increase in inequalities.")</f>
        <v>Entire population, excluding capital gains. Source: OECD, Income Distribution and Poverty Database-, Swedish Ministry of Finance, OECD calculations. For instance in Sweden, the Gini coefficient was reduced through taxes and transfers from 0.44 to 0.21 (hence by 0.23) in the mid-1990s and from 0.43 to 0.26 (hence by 0.17) in the late 2000s. In addition, capital gains have contributed to the increase in inequalities.</v>
      </c>
      <c r="C23" s="53"/>
      <c r="D23" s="53" t="b">
        <v>0</v>
      </c>
      <c r="E23" s="53" t="s">
        <v>314</v>
      </c>
      <c r="F23" s="53" t="s">
        <v>314</v>
      </c>
      <c r="G23" s="53" t="b">
        <v>1</v>
      </c>
      <c r="H23" s="53" t="b">
        <v>0</v>
      </c>
      <c r="I23" s="54">
        <v>0.3333333333333333</v>
      </c>
      <c r="J23" s="55"/>
      <c r="K23" s="55"/>
      <c r="L23" s="55"/>
      <c r="M23" s="55"/>
      <c r="N23" s="55"/>
      <c r="O23" s="54" t="s">
        <v>407</v>
      </c>
      <c r="P23" s="54" t="s">
        <v>407</v>
      </c>
      <c r="Q23" s="56" t="s">
        <v>411</v>
      </c>
    </row>
    <row r="24">
      <c r="A24" s="12" t="str">
        <f>IFERROR(__xludf.DUMMYFUNCTION("""COMPUTED_VALUE"""),"69b9b9ed677e2a780b473808670fbb03")</f>
        <v>69b9b9ed677e2a780b473808670fbb03</v>
      </c>
      <c r="B24" s="12" t="str">
        <f>IFERROR(__xludf.DUMMYFUNCTION("""COMPUTED_VALUE"""),"While common factors help determine labour market participation for both women and men, women often face a far more restrictive range of such factors compared with men. Household and social norms in the subregion assume that women take the vast majority o"&amp;"f responsibility for domestic work and caregiving and are sometimes restricted from labour market participation altogether if household income levels are sufficiently high. Labour market segmentation and economic decision-making norms restrict the range o"&amp;"f possible jobs in which women can participate. Low incomes and high informality in segmented occupations and economic activity create significant gender gaps in participation in premium-level formal employment.")</f>
        <v>While common factors help determine labour market participation for both women and men, women often face a far more restrictive range of such factors compared with men. Household and social norms in the subregion assume that women take the vast majority of responsibility for domestic work and caregiving and are sometimes restricted from labour market participation altogether if household income levels are sufficiently high. Labour market segmentation and economic decision-making norms restrict the range of possible jobs in which women can participate. Low incomes and high informality in segmented occupations and economic activity create significant gender gaps in participation in premium-level formal employment.</v>
      </c>
      <c r="C24" s="53"/>
      <c r="D24" s="53" t="b">
        <v>1</v>
      </c>
      <c r="E24" s="53" t="s">
        <v>314</v>
      </c>
      <c r="F24" s="53" t="s">
        <v>314</v>
      </c>
      <c r="G24" s="53" t="b">
        <v>1</v>
      </c>
      <c r="H24" s="53" t="b">
        <v>1</v>
      </c>
      <c r="I24" s="54">
        <v>1.0</v>
      </c>
      <c r="J24" s="55"/>
      <c r="K24" s="55"/>
      <c r="L24" s="55"/>
      <c r="M24" s="55"/>
      <c r="N24" s="55"/>
      <c r="O24" s="54" t="s">
        <v>407</v>
      </c>
      <c r="P24" s="54" t="s">
        <v>407</v>
      </c>
      <c r="Q24" s="56" t="b">
        <v>1</v>
      </c>
    </row>
    <row r="25" hidden="1">
      <c r="A25" s="12" t="str">
        <f>IFERROR(__xludf.DUMMYFUNCTION("""COMPUTED_VALUE"""),"874bc10fde20e0756f5f4cfaf24c8db0")</f>
        <v>874bc10fde20e0756f5f4cfaf24c8db0</v>
      </c>
      <c r="B25" s="12" t="str">
        <f>IFERROR(__xludf.DUMMYFUNCTION("""COMPUTED_VALUE"""),"This is particularly important in an LDC context, since a large proportion of time spent at work is devoted to subsistence activities, and since a large number of people are engaged in such activities, particularly agriculture. Broadly speaking, agricultu"&amp;"re in LDCs comprises both subsistence activities and commercial agriculture.11 Agricultural development policies are likely to benefit both types of activities. In the case of subsistence agriculture, they are expected to have an impact on earnings, on po"&amp;"verty, but also on output levels.")</f>
        <v>This is particularly important in an LDC context, since a large proportion of time spent at work is devoted to subsistence activities, and since a large number of people are engaged in such activities, particularly agriculture. Broadly speaking, agriculture in LDCs comprises both subsistence activities and commercial agriculture.11 Agricultural development policies are likely to benefit both types of activities. In the case of subsistence agriculture, they are expected to have an impact on earnings, on poverty, but also on output levels.</v>
      </c>
      <c r="C25" s="57"/>
      <c r="D25" s="53" t="b">
        <v>0</v>
      </c>
      <c r="E25" s="53" t="s">
        <v>314</v>
      </c>
      <c r="F25" s="53" t="s">
        <v>314</v>
      </c>
      <c r="G25" s="53" t="b">
        <v>1</v>
      </c>
      <c r="H25" s="53" t="b">
        <v>0</v>
      </c>
      <c r="I25" s="54">
        <v>0.3333333333333333</v>
      </c>
      <c r="J25" s="55"/>
      <c r="K25" s="55"/>
      <c r="L25" s="55"/>
      <c r="M25" s="55"/>
      <c r="N25" s="55"/>
      <c r="O25" s="54" t="s">
        <v>407</v>
      </c>
      <c r="P25" s="54" t="s">
        <v>407</v>
      </c>
      <c r="Q25" s="56" t="s">
        <v>411</v>
      </c>
    </row>
    <row r="26">
      <c r="A26" s="12" t="str">
        <f>IFERROR(__xludf.DUMMYFUNCTION("""COMPUTED_VALUE"""),"8dbf999b85b45c12a96b9122f3092ceb")</f>
        <v>8dbf999b85b45c12a96b9122f3092ceb</v>
      </c>
      <c r="B26" s="12" t="str">
        <f>IFERROR(__xludf.DUMMYFUNCTION("""COMPUTED_VALUE"""),"Comparisons are made between the human capital of native-born and foreign-bom workers, including with regard to skills mismatch. This chapter aims to conduct an empirical investigation of the labour market position of immigrants in Ghana based on a review"&amp;" of labour market indicators regarding migrant workers in comparison with native-bom workers. The review will be complemented in Chapter 4 by a formal econometric examination of the labour market impact of immigration.")</f>
        <v>Comparisons are made between the human capital of native-born and foreign-bom workers, including with regard to skills mismatch. This chapter aims to conduct an empirical investigation of the labour market position of immigrants in Ghana based on a review of labour market indicators regarding migrant workers in comparison with native-bom workers. The review will be complemented in Chapter 4 by a formal econometric examination of the labour market impact of immigration.</v>
      </c>
      <c r="C26" s="7"/>
      <c r="D26" s="53" t="b">
        <v>1</v>
      </c>
      <c r="E26" s="53" t="s">
        <v>314</v>
      </c>
      <c r="F26" s="53" t="s">
        <v>314</v>
      </c>
      <c r="G26" s="53" t="b">
        <v>1</v>
      </c>
      <c r="H26" s="53" t="b">
        <v>1</v>
      </c>
      <c r="I26" s="54">
        <v>1.0</v>
      </c>
      <c r="J26" s="55" t="s">
        <v>216</v>
      </c>
      <c r="K26" s="55"/>
      <c r="L26" s="55"/>
      <c r="M26" s="55"/>
      <c r="N26" s="55">
        <v>8.8</v>
      </c>
      <c r="O26" s="54" t="s">
        <v>418</v>
      </c>
      <c r="P26" s="54" t="s">
        <v>418</v>
      </c>
      <c r="Q26" s="56" t="b">
        <v>1</v>
      </c>
    </row>
    <row r="27" hidden="1">
      <c r="A27" s="12" t="str">
        <f>IFERROR(__xludf.DUMMYFUNCTION("""COMPUTED_VALUE"""),"04d5aa63e162edb60068f70e6a218df0")</f>
        <v>04d5aa63e162edb60068f70e6a218df0</v>
      </c>
      <c r="B27" s="12" t="str">
        <f>IFERROR(__xludf.DUMMYFUNCTION("""COMPUTED_VALUE"""),"Learnfare closed the enrolment gap between baseline dropouts and school attendees by 41%. Currently, 38 states have similar policies that link school attendance and welfare receipt. Similarly, in Mexico the conditional cash transfer programme Progressa, c"&amp;"reated in 1997 (and replaced by Oportunidades in 2002), significantly increased the number of years of education of children among poor households (by about 10%, Schultz, 2004).")</f>
        <v>Learnfare closed the enrolment gap between baseline dropouts and school attendees by 41%. Currently, 38 states have similar policies that link school attendance and welfare receipt. Similarly, in Mexico the conditional cash transfer programme Progressa, created in 1997 (and replaced by Oportunidades in 2002), significantly increased the number of years of education of children among poor households (by about 10%, Schultz, 2004).</v>
      </c>
      <c r="C27" s="53"/>
      <c r="D27" s="53" t="b">
        <v>0</v>
      </c>
      <c r="E27" s="53" t="s">
        <v>314</v>
      </c>
      <c r="F27" s="53" t="s">
        <v>314</v>
      </c>
      <c r="G27" s="53" t="b">
        <v>1</v>
      </c>
      <c r="H27" s="53" t="b">
        <v>0</v>
      </c>
      <c r="I27" s="54">
        <v>0.3333333333333333</v>
      </c>
      <c r="J27" s="55"/>
      <c r="K27" s="55"/>
      <c r="L27" s="55"/>
      <c r="M27" s="55"/>
      <c r="N27" s="55"/>
      <c r="O27" s="54" t="s">
        <v>407</v>
      </c>
      <c r="P27" s="54" t="s">
        <v>407</v>
      </c>
      <c r="Q27" s="56" t="s">
        <v>411</v>
      </c>
    </row>
    <row r="28" hidden="1">
      <c r="A28" s="12" t="str">
        <f>IFERROR(__xludf.DUMMYFUNCTION("""COMPUTED_VALUE"""),"1ac056ed22c254cb835015a454f5b359")</f>
        <v>1ac056ed22c254cb835015a454f5b359</v>
      </c>
      <c r="B28" s="12" t="str">
        <f>IFERROR(__xludf.DUMMYFUNCTION("""COMPUTED_VALUE"""),"Opioid overdoses accounted for around one-fifth of these hospitalisations and one-quarter of these emergency room visits. Medicare and Medicaid are the primary' payers in around two-thirds of opioid poisoning cases. Public outlays are also incurred throug"&amp;"h costs for policing, law enforcement and other public services in dealing with drug overdoses. In addition, the treatment of addiction represents another cost often borne by public authorities. On the other side of the ledger, lost productivity also has "&amp;"effects on tax revenue. Estimates of this suggest that in 2016 the combined impact would reduce Federal, State and local tax revenue by almost $16 billion, or around 3/ percentage point of current receipts.")</f>
        <v>Opioid overdoses accounted for around one-fifth of these hospitalisations and one-quarter of these emergency room visits. Medicare and Medicaid are the primary' payers in around two-thirds of opioid poisoning cases. Public outlays are also incurred through costs for policing, law enforcement and other public services in dealing with drug overdoses. In addition, the treatment of addiction represents another cost often borne by public authorities. On the other side of the ledger, lost productivity also has effects on tax revenue. Estimates of this suggest that in 2016 the combined impact would reduce Federal, State and local tax revenue by almost $16 billion, or around 3/ percentage point of current receipts.</v>
      </c>
      <c r="C28" s="57"/>
      <c r="D28" s="53" t="b">
        <v>0</v>
      </c>
      <c r="E28" s="53" t="s">
        <v>314</v>
      </c>
      <c r="F28" s="53" t="s">
        <v>314</v>
      </c>
      <c r="G28" s="53" t="b">
        <v>0</v>
      </c>
      <c r="H28" s="53" t="b">
        <v>1</v>
      </c>
      <c r="I28" s="54">
        <v>0.3333333333333333</v>
      </c>
      <c r="J28" s="55"/>
      <c r="K28" s="55"/>
      <c r="L28" s="55"/>
      <c r="M28" s="55"/>
      <c r="N28" s="55" t="s">
        <v>315</v>
      </c>
      <c r="O28" s="54" t="s">
        <v>419</v>
      </c>
      <c r="P28" s="54" t="s">
        <v>419</v>
      </c>
      <c r="Q28" s="56" t="s">
        <v>411</v>
      </c>
    </row>
    <row r="29">
      <c r="A29" s="12" t="str">
        <f>IFERROR(__xludf.DUMMYFUNCTION("""COMPUTED_VALUE"""),"810bc3a6e3eb8645e93f5ba9f742e3a0")</f>
        <v>810bc3a6e3eb8645e93f5ba9f742e3a0</v>
      </c>
      <c r="B29" s="12" t="str">
        <f>IFERROR(__xludf.DUMMYFUNCTION("""COMPUTED_VALUE"""),"This outlines a simple set of steps on how to build a workforce plan for a business. It includes leading practice techniques, tools and case studies to support businesses in workforce planning and ensure they have the right workers and skills to meet thei"&amp;"r needs. For more information on Australia’s labour and skills initiatives please visit www.tourism.gov.au/labour.")</f>
        <v>This outlines a simple set of steps on how to build a workforce plan for a business. It includes leading practice techniques, tools and case studies to support businesses in workforce planning and ensure they have the right workers and skills to meet their needs. For more information on Australia’s labour and skills initiatives please visit www.tourism.gov.au/labour.</v>
      </c>
      <c r="C29" s="57"/>
      <c r="D29" s="53" t="b">
        <v>1</v>
      </c>
      <c r="E29" s="53" t="s">
        <v>314</v>
      </c>
      <c r="F29" s="53" t="s">
        <v>314</v>
      </c>
      <c r="G29" s="53" t="b">
        <v>1</v>
      </c>
      <c r="H29" s="53" t="b">
        <v>1</v>
      </c>
      <c r="I29" s="54">
        <v>1.0</v>
      </c>
      <c r="J29" s="55" t="s">
        <v>172</v>
      </c>
      <c r="K29" s="55"/>
      <c r="L29" s="55"/>
      <c r="M29" s="55"/>
      <c r="N29" s="55"/>
      <c r="O29" s="54" t="s">
        <v>420</v>
      </c>
      <c r="P29" s="54" t="s">
        <v>420</v>
      </c>
      <c r="Q29" s="56" t="b">
        <v>1</v>
      </c>
    </row>
    <row r="30">
      <c r="A30" s="12" t="str">
        <f>IFERROR(__xludf.DUMMYFUNCTION("""COMPUTED_VALUE"""),"9e7c2cd092ddc6db227df4349ba76c2f")</f>
        <v>9e7c2cd092ddc6db227df4349ba76c2f</v>
      </c>
      <c r="B30" s="12" t="str">
        <f>IFERROR(__xludf.DUMMYFUNCTION("""COMPUTED_VALUE"""),"It is part of a joint project between EC and OECD (VS/2016/0005 (DI150038), Cooperation with the OECD on Assessing Activating and Enabling Benefits and Services in the EU) covering six countries: Estonia, Ireland, Italy, Lithuania, Portugal and Spain. The"&amp;" results are published in six separate papers and are also available through the project website: http://www.oecd.org/social/faces-of-ioblessness.htm. Herwig Immervoll coordinated the project and the preparation of this report. All views and any errors ar"&amp;"e the responsibility of the authors.")</f>
        <v>It is part of a joint project between EC and OECD (VS/2016/0005 (DI150038), Cooperation with the OECD on Assessing Activating and Enabling Benefits and Services in the EU) covering six countries: Estonia, Ireland, Italy, Lithuania, Portugal and Spain. The results are published in six separate papers and are also available through the project website: http://www.oecd.org/social/faces-of-ioblessness.htm. Herwig Immervoll coordinated the project and the preparation of this report. All views and any errors are the responsibility of the authors.</v>
      </c>
      <c r="C30" s="7"/>
      <c r="D30" s="53" t="b">
        <v>0</v>
      </c>
      <c r="E30" s="53" t="s">
        <v>314</v>
      </c>
      <c r="F30" s="53" t="s">
        <v>314</v>
      </c>
      <c r="G30" s="53" t="b">
        <v>0</v>
      </c>
      <c r="H30" s="53" t="b">
        <v>0</v>
      </c>
      <c r="I30" s="54">
        <v>1.0</v>
      </c>
      <c r="J30" s="55"/>
      <c r="K30" s="55"/>
      <c r="L30" s="55"/>
      <c r="M30" s="55"/>
      <c r="N30" s="55"/>
      <c r="O30" s="54" t="s">
        <v>407</v>
      </c>
      <c r="P30" s="54" t="s">
        <v>407</v>
      </c>
      <c r="Q30" s="56" t="b">
        <v>0</v>
      </c>
    </row>
    <row r="31">
      <c r="A31" s="12" t="str">
        <f>IFERROR(__xludf.DUMMYFUNCTION("""COMPUTED_VALUE"""),"d4ca9b3c5310bcc08d6e6e9263fa798b")</f>
        <v>d4ca9b3c5310bcc08d6e6e9263fa798b</v>
      </c>
      <c r="B31" s="12" t="str">
        <f>IFERROR(__xludf.DUMMYFUNCTION("""COMPUTED_VALUE"""),"The experience of the networks showed that for an effective co-operation it is crucial to identify the right partners, win them over for an active co-operation and embed the resulting network in the existing support structures of the regioa An important l"&amp;"earning of the programme was that it takes time to develop these structures. However, such structures are the prerequisite for developing specific support services and embed those in needs-oriented “service chains”. The accompanying monitoring of the prog"&amp;"ramme found that most networks devoted themselves to linking up service chains and optimising interfaces.")</f>
        <v>The experience of the networks showed that for an effective co-operation it is crucial to identify the right partners, win them over for an active co-operation and embed the resulting network in the existing support structures of the regioa An important learning of the programme was that it takes time to develop these structures. However, such structures are the prerequisite for developing specific support services and embed those in needs-oriented “service chains”. The accompanying monitoring of the programme found that most networks devoted themselves to linking up service chains and optimising interfaces.</v>
      </c>
      <c r="C31" s="53"/>
      <c r="D31" s="53" t="b">
        <v>0</v>
      </c>
      <c r="E31" s="53" t="s">
        <v>314</v>
      </c>
      <c r="F31" s="53" t="s">
        <v>314</v>
      </c>
      <c r="G31" s="53" t="b">
        <v>0</v>
      </c>
      <c r="H31" s="53" t="b">
        <v>0</v>
      </c>
      <c r="I31" s="54">
        <v>1.0</v>
      </c>
      <c r="J31" s="55" t="s">
        <v>124</v>
      </c>
      <c r="K31" s="55"/>
      <c r="L31" s="55"/>
      <c r="M31" s="55"/>
      <c r="N31" s="55"/>
      <c r="O31" s="54" t="s">
        <v>421</v>
      </c>
      <c r="P31" s="54" t="s">
        <v>421</v>
      </c>
      <c r="Q31" s="56" t="b">
        <v>0</v>
      </c>
    </row>
    <row r="32">
      <c r="A32" s="12" t="str">
        <f>IFERROR(__xludf.DUMMYFUNCTION("""COMPUTED_VALUE"""),"0ab51b386c517254fac97c5d81f6a17a")</f>
        <v>0ab51b386c517254fac97c5d81f6a17a</v>
      </c>
      <c r="B32" s="12" t="str">
        <f>IFERROR(__xludf.DUMMYFUNCTION("""COMPUTED_VALUE"""),"Two thirds of this support went towards reducing emissions from and improving the resilience of energy, transport and water infrastructure. In support of this, a Climate Change Financing Framework was developed in 2014 to outline the government's plans fo"&amp;"r mobilising resources to support its NDC. Much of the international climate finance received by Cambodia has focused on providing project level support. The limitations of such approaches include a disaggregation of support across various areas, especial"&amp;"ly in areas where donor coordination and harmonisation are poor, and reduced alignment with national priorities.")</f>
        <v>Two thirds of this support went towards reducing emissions from and improving the resilience of energy, transport and water infrastructure. In support of this, a Climate Change Financing Framework was developed in 2014 to outline the government's plans for mobilising resources to support its NDC. Much of the international climate finance received by Cambodia has focused on providing project level support. The limitations of such approaches include a disaggregation of support across various areas, especially in areas where donor coordination and harmonisation are poor, and reduced alignment with national priorities.</v>
      </c>
      <c r="C32" s="57"/>
      <c r="D32" s="53" t="b">
        <v>0</v>
      </c>
      <c r="E32" s="53" t="s">
        <v>314</v>
      </c>
      <c r="F32" s="53" t="s">
        <v>314</v>
      </c>
      <c r="G32" s="53" t="b">
        <v>0</v>
      </c>
      <c r="H32" s="53" t="b">
        <v>0</v>
      </c>
      <c r="I32" s="54">
        <v>1.0</v>
      </c>
      <c r="J32" s="55"/>
      <c r="K32" s="55"/>
      <c r="L32" s="55"/>
      <c r="M32" s="55"/>
      <c r="N32" s="55"/>
      <c r="O32" s="54" t="s">
        <v>407</v>
      </c>
      <c r="P32" s="54" t="s">
        <v>407</v>
      </c>
      <c r="Q32" s="56" t="b">
        <v>0</v>
      </c>
    </row>
    <row r="33">
      <c r="A33" s="12" t="str">
        <f>IFERROR(__xludf.DUMMYFUNCTION("""COMPUTED_VALUE"""),"5fbf82649dde260ce32f5f0e6684c40e")</f>
        <v>5fbf82649dde260ce32f5f0e6684c40e</v>
      </c>
      <c r="B33" s="12" t="str">
        <f>IFERROR(__xludf.DUMMYFUNCTION("""COMPUTED_VALUE"""),"India has also pioneered in introducing a Gender Budget statement as part of the Union Budget, which can be an important tool for reporting allocations for women. It is to be supported by Gender Budgeting Cells (GBCs) in all Ministries/Departments, which "&amp;"serve as focal points for coordinating Gender Budgeting initiatives, both intra and inter -ministerial. India has pioneered affirmative action and quotas in political representation. Amendments (1992) to the Constitution provided for reservation of one-th"&amp;"ird seats in the local bodies of Panchayats and Municipalities for women laying a strong foundation for their participation in decision making at the local levels.")</f>
        <v>India has also pioneered in introducing a Gender Budget statement as part of the Union Budget, which can be an important tool for reporting allocations for women. It is to be supported by Gender Budgeting Cells (GBCs) in all Ministries/Departments, which serve as focal points for coordinating Gender Budgeting initiatives, both intra and inter -ministerial. India has pioneered affirmative action and quotas in political representation. Amendments (1992) to the Constitution provided for reservation of one-third seats in the local bodies of Panchayats and Municipalities for women laying a strong foundation for their participation in decision making at the local levels.</v>
      </c>
      <c r="C33" s="57"/>
      <c r="D33" s="53" t="b">
        <v>0</v>
      </c>
      <c r="E33" s="53" t="s">
        <v>314</v>
      </c>
      <c r="F33" s="53" t="s">
        <v>314</v>
      </c>
      <c r="G33" s="53" t="b">
        <v>0</v>
      </c>
      <c r="H33" s="53" t="b">
        <v>0</v>
      </c>
      <c r="I33" s="54">
        <v>1.0</v>
      </c>
      <c r="J33" s="55"/>
      <c r="K33" s="55"/>
      <c r="L33" s="55"/>
      <c r="M33" s="55"/>
      <c r="N33" s="55"/>
      <c r="O33" s="54" t="s">
        <v>407</v>
      </c>
      <c r="P33" s="54" t="s">
        <v>407</v>
      </c>
      <c r="Q33" s="56" t="b">
        <v>0</v>
      </c>
    </row>
    <row r="34" hidden="1">
      <c r="A34" s="12" t="str">
        <f>IFERROR(__xludf.DUMMYFUNCTION("""COMPUTED_VALUE"""),"f58f34e665ab2dfd90e6d42a346f9a57")</f>
        <v>f58f34e665ab2dfd90e6d42a346f9a57</v>
      </c>
      <c r="B34" s="12" t="str">
        <f>IFERROR(__xludf.DUMMYFUNCTION("""COMPUTED_VALUE"""),"Removing critical supply bottlenecks through ongoing improvement in electricity, gas and transport infrastructure is also vital to mitigate cost-push inflation. The upward revision of administered energy prices, rise in food prices due to drought conditio"&amp;"ns, depreciation of the domestic currency as well as increase in import duties on several food items contributed to upward pressure on prices. Inflation in Maldives has been on the rise and reached double-digit levels in 2011 and 2012. About two thirds of"&amp;" the total trade of Nepal takes place with India only. Inflation in Nepal remained high but came down from 9.6% in 2011 to 8.3% in 2012. A weak supply of food items kept inflation high.")</f>
        <v>Removing critical supply bottlenecks through ongoing improvement in electricity, gas and transport infrastructure is also vital to mitigate cost-push inflation. The upward revision of administered energy prices, rise in food prices due to drought conditions, depreciation of the domestic currency as well as increase in import duties on several food items contributed to upward pressure on prices. Inflation in Maldives has been on the rise and reached double-digit levels in 2011 and 2012. About two thirds of the total trade of Nepal takes place with India only. Inflation in Nepal remained high but came down from 9.6% in 2011 to 8.3% in 2012. A weak supply of food items kept inflation high.</v>
      </c>
      <c r="C34" s="57"/>
      <c r="D34" s="53" t="b">
        <v>0</v>
      </c>
      <c r="E34" s="53" t="s">
        <v>314</v>
      </c>
      <c r="F34" s="53" t="s">
        <v>314</v>
      </c>
      <c r="G34" s="53" t="b">
        <v>1</v>
      </c>
      <c r="H34" s="53" t="b">
        <v>0</v>
      </c>
      <c r="I34" s="54">
        <v>0.3333333333333333</v>
      </c>
      <c r="J34" s="55"/>
      <c r="K34" s="55"/>
      <c r="L34" s="55"/>
      <c r="M34" s="55"/>
      <c r="N34" s="55"/>
      <c r="O34" s="54" t="s">
        <v>407</v>
      </c>
      <c r="P34" s="54" t="s">
        <v>407</v>
      </c>
      <c r="Q34" s="56" t="s">
        <v>411</v>
      </c>
    </row>
    <row r="35" hidden="1">
      <c r="A35" s="12" t="str">
        <f>IFERROR(__xludf.DUMMYFUNCTION("""COMPUTED_VALUE"""),"15480549dcb28f3891b2ed47c1b1a8c2")</f>
        <v>15480549dcb28f3891b2ed47c1b1a8c2</v>
      </c>
      <c r="B35" s="12" t="str">
        <f>IFERROR(__xludf.DUMMYFUNCTION("""COMPUTED_VALUE"""),"Our recent efforts have included the OECD Recommendation of the Council on Gender Equality in Education, Employment and Entrepreneurship, the OECD Recommendation of the Council on Gender Equality in Public Life, and the report Closing the Gender Gap: Act "&amp;"Now. An overview of our data and ongoing work can be found online at the OECD “Gender Data Portal”. The OECD also recently contributed to the G7 “Guiding Principles for Capacity Building of Women and Girls: Towards Sustainable, Inclusive and Equitable Gro"&amp;"wth and Peace”. We are indebted to the President of Chile, Michelle Bachelet and the Ambassador of Chile to the OECD, Claudia Serrano, who were instrumental in supporting this project and to Maria de la Paz Lopez Barajas of INMUJERES in Mexico, who offere"&amp;"d feedback on this report.")</f>
        <v>Our recent efforts have included the OECD Recommendation of the Council on Gender Equality in Education, Employment and Entrepreneurship, the OECD Recommendation of the Council on Gender Equality in Public Life, and the report Closing the Gender Gap: Act Now. An overview of our data and ongoing work can be found online at the OECD “Gender Data Portal”. The OECD also recently contributed to the G7 “Guiding Principles for Capacity Building of Women and Girls: Towards Sustainable, Inclusive and Equitable Growth and Peace”. We are indebted to the President of Chile, Michelle Bachelet and the Ambassador of Chile to the OECD, Claudia Serrano, who were instrumental in supporting this project and to Maria de la Paz Lopez Barajas of INMUJERES in Mexico, who offered feedback on this report.</v>
      </c>
      <c r="C35" s="58"/>
      <c r="D35" s="53" t="b">
        <v>0</v>
      </c>
      <c r="E35" s="53" t="s">
        <v>314</v>
      </c>
      <c r="F35" s="53" t="s">
        <v>314</v>
      </c>
      <c r="G35" s="53" t="b">
        <v>1</v>
      </c>
      <c r="H35" s="53" t="b">
        <v>1</v>
      </c>
      <c r="I35" s="54">
        <v>0.3333333333333333</v>
      </c>
      <c r="J35" s="55"/>
      <c r="K35" s="55"/>
      <c r="L35" s="55"/>
      <c r="M35" s="55"/>
      <c r="N35" s="55"/>
      <c r="O35" s="54" t="s">
        <v>407</v>
      </c>
      <c r="P35" s="54" t="s">
        <v>407</v>
      </c>
      <c r="Q35" s="56" t="s">
        <v>411</v>
      </c>
    </row>
    <row r="36">
      <c r="A36" s="12" t="str">
        <f>IFERROR(__xludf.DUMMYFUNCTION("""COMPUTED_VALUE"""),"3bbba711ce5a3a1441210e8527d193ae")</f>
        <v>3bbba711ce5a3a1441210e8527d193ae</v>
      </c>
      <c r="B36" s="12" t="str">
        <f>IFERROR(__xludf.DUMMYFUNCTION("""COMPUTED_VALUE"""),"Second, clearly specified service level contracts were agreed between the GORs and their central government departments. These contracts established output and expenditure targets by programme for each region. First, between 1994 and 2000, the Regional Di"&amp;"rectors leading each GOR reported directly to individual Ministers in their 9 sponsor departments.")</f>
        <v>Second, clearly specified service level contracts were agreed between the GORs and their central government departments. These contracts established output and expenditure targets by programme for each region. First, between 1994 and 2000, the Regional Directors leading each GOR reported directly to individual Ministers in their 9 sponsor departments.</v>
      </c>
      <c r="C36" s="53"/>
      <c r="D36" s="53" t="b">
        <v>0</v>
      </c>
      <c r="E36" s="53" t="s">
        <v>314</v>
      </c>
      <c r="F36" s="53" t="s">
        <v>314</v>
      </c>
      <c r="G36" s="53" t="b">
        <v>0</v>
      </c>
      <c r="H36" s="53" t="b">
        <v>0</v>
      </c>
      <c r="I36" s="54">
        <v>1.0</v>
      </c>
      <c r="J36" s="55"/>
      <c r="K36" s="55"/>
      <c r="L36" s="55"/>
      <c r="M36" s="55"/>
      <c r="N36" s="55"/>
      <c r="O36" s="54" t="s">
        <v>407</v>
      </c>
      <c r="P36" s="54" t="s">
        <v>407</v>
      </c>
      <c r="Q36" s="56" t="b">
        <v>0</v>
      </c>
    </row>
    <row r="37">
      <c r="A37" s="12" t="str">
        <f>IFERROR(__xludf.DUMMYFUNCTION("""COMPUTED_VALUE"""),"5338694dabbc4ef634243c37cb24fb6d")</f>
        <v>5338694dabbc4ef634243c37cb24fb6d</v>
      </c>
      <c r="B37" s="12" t="str">
        <f>IFERROR(__xludf.DUMMYFUNCTION("""COMPUTED_VALUE"""),"There is a need for a clear target and policy for renewable energy and for these to be reflected clearly in the national power development plan. In places where houses or companies do have solar installed, they are not actively encouraged or compensated t"&amp;"o feed excess energy back into the grid. Despite the lack of incentives, a fledgling solar industry' has developed in Cambodia w'ith the Solar Energy Association of Cambodia, mostly providing off-grid solutions targeting communities not connected to the g"&amp;"rid. Support to government institutions, through multi-donor initiatives such as the Cambodia Climate Change Alliance, have enabled the development and roll-out of important environmental policies including climate change policies and action plans.")</f>
        <v>There is a need for a clear target and policy for renewable energy and for these to be reflected clearly in the national power development plan. In places where houses or companies do have solar installed, they are not actively encouraged or compensated to feed excess energy back into the grid. Despite the lack of incentives, a fledgling solar industry' has developed in Cambodia w'ith the Solar Energy Association of Cambodia, mostly providing off-grid solutions targeting communities not connected to the grid. Support to government institutions, through multi-donor initiatives such as the Cambodia Climate Change Alliance, have enabled the development and roll-out of important environmental policies including climate change policies and action plans.</v>
      </c>
      <c r="C37" s="53"/>
      <c r="D37" s="53" t="b">
        <v>0</v>
      </c>
      <c r="E37" s="53" t="s">
        <v>314</v>
      </c>
      <c r="F37" s="53" t="s">
        <v>314</v>
      </c>
      <c r="G37" s="53" t="b">
        <v>0</v>
      </c>
      <c r="H37" s="53" t="b">
        <v>0</v>
      </c>
      <c r="I37" s="54">
        <v>1.0</v>
      </c>
      <c r="J37" s="55"/>
      <c r="K37" s="55"/>
      <c r="L37" s="55"/>
      <c r="M37" s="55"/>
      <c r="N37" s="55"/>
      <c r="O37" s="54" t="s">
        <v>407</v>
      </c>
      <c r="P37" s="54" t="s">
        <v>407</v>
      </c>
      <c r="Q37" s="56" t="b">
        <v>0</v>
      </c>
    </row>
    <row r="38" hidden="1">
      <c r="A38" s="12" t="str">
        <f>IFERROR(__xludf.DUMMYFUNCTION("""COMPUTED_VALUE"""),"a65550c4354fb837b83e7b7efff5f998")</f>
        <v>a65550c4354fb837b83e7b7efff5f998</v>
      </c>
      <c r="B38" s="12" t="str">
        <f>IFERROR(__xludf.DUMMYFUNCTION("""COMPUTED_VALUE"""),"The overwhelming perception is not that the employment subsidy component of the learnerships is necessarily ineffective, but rather that the administrative requirements around the learning component of the programme are excessive. Many firms indicate a wi"&amp;"llingness to expand enrolment of learners and/or trainees if the administrative burden were reduced. An expanded wage subsidy could in fact build on the leamerships, with simplified administration. Another way of addressing the substitution problem would "&amp;"be to apply the wage subsidy to net rather than gross hires (perhaps limited to workers below an age ceiling), although this would require a monitoring mechanism, which would add complexity.")</f>
        <v>The overwhelming perception is not that the employment subsidy component of the learnerships is necessarily ineffective, but rather that the administrative requirements around the learning component of the programme are excessive. Many firms indicate a willingness to expand enrolment of learners and/or trainees if the administrative burden were reduced. An expanded wage subsidy could in fact build on the leamerships, with simplified administration. Another way of addressing the substitution problem would be to apply the wage subsidy to net rather than gross hires (perhaps limited to workers below an age ceiling), although this would require a monitoring mechanism, which would add complexity.</v>
      </c>
      <c r="C38" s="7"/>
      <c r="D38" s="53" t="b">
        <v>0</v>
      </c>
      <c r="E38" s="53" t="s">
        <v>314</v>
      </c>
      <c r="F38" s="53" t="s">
        <v>314</v>
      </c>
      <c r="G38" s="53" t="b">
        <v>1</v>
      </c>
      <c r="H38" s="53" t="b">
        <v>1</v>
      </c>
      <c r="I38" s="54">
        <v>0.3333333333333333</v>
      </c>
      <c r="J38" s="55"/>
      <c r="K38" s="55"/>
      <c r="L38" s="55"/>
      <c r="M38" s="55"/>
      <c r="N38" s="55"/>
      <c r="O38" s="54" t="s">
        <v>407</v>
      </c>
      <c r="P38" s="54" t="s">
        <v>407</v>
      </c>
      <c r="Q38" s="56" t="s">
        <v>411</v>
      </c>
    </row>
    <row r="39">
      <c r="A39" s="12" t="str">
        <f>IFERROR(__xludf.DUMMYFUNCTION("""COMPUTED_VALUE"""),"b12a55fd325e2ea4f89e28f4e0d1034a")</f>
        <v>b12a55fd325e2ea4f89e28f4e0d1034a</v>
      </c>
      <c r="B39" s="12" t="str">
        <f>IFERROR(__xludf.DUMMYFUNCTION("""COMPUTED_VALUE"""),"This work is contributing to SDG target 16.1, aimed at significantly reducing all forms ofviolence. Citizens are encouraged to keep active and healthy through the Play for Life programme, which also aims to help keep some of Sierra Leone's traditional spo"&amp;"rts alive and pass them on to future generations.")</f>
        <v>This work is contributing to SDG target 16.1, aimed at significantly reducing all forms ofviolence. Citizens are encouraged to keep active and healthy through the Play for Life programme, which also aims to help keep some of Sierra Leone's traditional sports alive and pass them on to future generations.</v>
      </c>
      <c r="C39" s="57"/>
      <c r="D39" s="53" t="b">
        <v>0</v>
      </c>
      <c r="E39" s="53" t="s">
        <v>314</v>
      </c>
      <c r="F39" s="53" t="s">
        <v>314</v>
      </c>
      <c r="G39" s="53" t="b">
        <v>0</v>
      </c>
      <c r="H39" s="53" t="b">
        <v>0</v>
      </c>
      <c r="I39" s="54">
        <v>1.0</v>
      </c>
      <c r="J39" s="55"/>
      <c r="K39" s="55"/>
      <c r="L39" s="55"/>
      <c r="M39" s="55"/>
      <c r="N39" s="55"/>
      <c r="O39" s="54" t="s">
        <v>407</v>
      </c>
      <c r="P39" s="54" t="s">
        <v>407</v>
      </c>
      <c r="Q39" s="56" t="b">
        <v>0</v>
      </c>
    </row>
    <row r="40" hidden="1">
      <c r="A40" s="12" t="str">
        <f>IFERROR(__xludf.DUMMYFUNCTION("""COMPUTED_VALUE"""),"d3c32872426594d3153da2b2e5e2c5e0")</f>
        <v>d3c32872426594d3153da2b2e5e2c5e0</v>
      </c>
      <c r="B40" s="12" t="str">
        <f>IFERROR(__xludf.DUMMYFUNCTION("""COMPUTED_VALUE"""),"Employed persons (age 15+): Employment is defined according to the resolution of the 19th ICLS in 2013 (see glossary). In the absence of Labour Force Survey records, some of the data can also be obtained from the administrative data on child care. Data fr"&amp;"om labour force surveys should be used for the denominator of the indicator.")</f>
        <v>Employed persons (age 15+): Employment is defined according to the resolution of the 19th ICLS in 2013 (see glossary). In the absence of Labour Force Survey records, some of the data can also be obtained from the administrative data on child care. Data from labour force surveys should be used for the denominator of the indicator.</v>
      </c>
      <c r="C40" s="53"/>
      <c r="D40" s="53" t="b">
        <v>0</v>
      </c>
      <c r="E40" s="53" t="s">
        <v>314</v>
      </c>
      <c r="F40" s="53" t="s">
        <v>314</v>
      </c>
      <c r="G40" s="53" t="b">
        <v>1</v>
      </c>
      <c r="H40" s="53" t="b">
        <v>0</v>
      </c>
      <c r="I40" s="54">
        <v>0.3333333333333333</v>
      </c>
      <c r="J40" s="55"/>
      <c r="K40" s="55"/>
      <c r="L40" s="55"/>
      <c r="M40" s="55"/>
      <c r="N40" s="55" t="s">
        <v>321</v>
      </c>
      <c r="O40" s="54" t="s">
        <v>422</v>
      </c>
      <c r="P40" s="54" t="s">
        <v>422</v>
      </c>
      <c r="Q40" s="56" t="s">
        <v>411</v>
      </c>
    </row>
    <row r="41">
      <c r="A41" s="12" t="str">
        <f>IFERROR(__xludf.DUMMYFUNCTION("""COMPUTED_VALUE"""),"ef72caccd35744ff833d0880bdbabe4e")</f>
        <v>ef72caccd35744ff833d0880bdbabe4e</v>
      </c>
      <c r="B41" s="12" t="str">
        <f>IFERROR(__xludf.DUMMYFUNCTION("""COMPUTED_VALUE"""),"Green Care is a nature-based concept that has evolved especially in the last decade. The development of the concept started especially in The Netherlands, Norway, Great Britain and Italy. It includes a broad array of activities that promotes both physical"&amp;" and mental well-being using nature and natural environments as means to achieve the intended benefits.")</f>
        <v>Green Care is a nature-based concept that has evolved especially in the last decade. The development of the concept started especially in The Netherlands, Norway, Great Britain and Italy. It includes a broad array of activities that promotes both physical and mental well-being using nature and natural environments as means to achieve the intended benefits.</v>
      </c>
      <c r="C41" s="7"/>
      <c r="D41" s="53" t="b">
        <v>0</v>
      </c>
      <c r="E41" s="53" t="s">
        <v>314</v>
      </c>
      <c r="F41" s="53" t="s">
        <v>314</v>
      </c>
      <c r="G41" s="53" t="b">
        <v>0</v>
      </c>
      <c r="H41" s="53" t="b">
        <v>0</v>
      </c>
      <c r="I41" s="54">
        <v>1.0</v>
      </c>
      <c r="J41" s="55"/>
      <c r="K41" s="55"/>
      <c r="L41" s="55"/>
      <c r="M41" s="55"/>
      <c r="N41" s="55"/>
      <c r="O41" s="54" t="s">
        <v>407</v>
      </c>
      <c r="P41" s="54" t="s">
        <v>407</v>
      </c>
      <c r="Q41" s="56" t="b">
        <v>0</v>
      </c>
    </row>
    <row r="42">
      <c r="A42" s="12" t="str">
        <f>IFERROR(__xludf.DUMMYFUNCTION("""COMPUTED_VALUE"""),"030d5f61f288404bc82d3a9106e7ae9d")</f>
        <v>030d5f61f288404bc82d3a9106e7ae9d</v>
      </c>
      <c r="B42" s="12" t="str">
        <f>IFERROR(__xludf.DUMMYFUNCTION("""COMPUTED_VALUE"""),"The deteriorating current account situation has left the countries with lower reserves to fall back on in the event of additional external shocks to exports and capital inflows. Owing to global uncertainties, exports contracted in 2012. Weak external dema"&amp;"nd affected exports of engineering goods, gems and jewellery, textiles and petroleum products, while imports continued to remain at a high level due to high prices for crude oil, gold and silver.")</f>
        <v>The deteriorating current account situation has left the countries with lower reserves to fall back on in the event of additional external shocks to exports and capital inflows. Owing to global uncertainties, exports contracted in 2012. Weak external demand affected exports of engineering goods, gems and jewellery, textiles and petroleum products, while imports continued to remain at a high level due to high prices for crude oil, gold and silver.</v>
      </c>
      <c r="C42" s="57"/>
      <c r="D42" s="53" t="b">
        <v>0</v>
      </c>
      <c r="E42" s="53" t="s">
        <v>314</v>
      </c>
      <c r="F42" s="53" t="s">
        <v>314</v>
      </c>
      <c r="G42" s="53" t="b">
        <v>0</v>
      </c>
      <c r="H42" s="53" t="b">
        <v>0</v>
      </c>
      <c r="I42" s="54">
        <v>1.0</v>
      </c>
      <c r="J42" s="55"/>
      <c r="K42" s="55"/>
      <c r="L42" s="55"/>
      <c r="M42" s="55"/>
      <c r="N42" s="55"/>
      <c r="O42" s="54" t="s">
        <v>407</v>
      </c>
      <c r="P42" s="54" t="s">
        <v>407</v>
      </c>
      <c r="Q42" s="56" t="b">
        <v>0</v>
      </c>
    </row>
    <row r="43">
      <c r="A43" s="12" t="str">
        <f>IFERROR(__xludf.DUMMYFUNCTION("""COMPUTED_VALUE"""),"24274309f50d0fb2a90cf25ca20f7f8a")</f>
        <v>24274309f50d0fb2a90cf25ca20f7f8a</v>
      </c>
      <c r="B43" s="12" t="str">
        <f>IFERROR(__xludf.DUMMYFUNCTION("""COMPUTED_VALUE"""),"When using establishment survey data, due care should be taken to ensure adequate geographic and industry coverage. Administrative record data from medical insurance schemes can provide up-to-date and comprehensive information to calculate the numerator f"&amp;"or this indicator. However, the availability and quality of such data vary across countries, and across schemes within countries.")</f>
        <v>When using establishment survey data, due care should be taken to ensure adequate geographic and industry coverage. Administrative record data from medical insurance schemes can provide up-to-date and comprehensive information to calculate the numerator for this indicator. However, the availability and quality of such data vary across countries, and across schemes within countries.</v>
      </c>
      <c r="C43" s="57"/>
      <c r="D43" s="53" t="b">
        <v>0</v>
      </c>
      <c r="E43" s="53" t="s">
        <v>314</v>
      </c>
      <c r="F43" s="53" t="s">
        <v>314</v>
      </c>
      <c r="G43" s="53" t="b">
        <v>0</v>
      </c>
      <c r="H43" s="53" t="b">
        <v>0</v>
      </c>
      <c r="I43" s="54">
        <v>1.0</v>
      </c>
      <c r="J43" s="55"/>
      <c r="K43" s="55"/>
      <c r="L43" s="55"/>
      <c r="M43" s="55"/>
      <c r="N43" s="55"/>
      <c r="O43" s="54" t="s">
        <v>407</v>
      </c>
      <c r="P43" s="54" t="s">
        <v>407</v>
      </c>
      <c r="Q43" s="56" t="b">
        <v>0</v>
      </c>
    </row>
    <row r="44" hidden="1">
      <c r="A44" s="12" t="str">
        <f>IFERROR(__xludf.DUMMYFUNCTION("""COMPUTED_VALUE"""),"38a14701b37191a1236dc67f217872cc")</f>
        <v>38a14701b37191a1236dc67f217872cc</v>
      </c>
      <c r="B44" s="12" t="str">
        <f>IFERROR(__xludf.DUMMYFUNCTION("""COMPUTED_VALUE"""),"This requires a dialogue about mutual interests and joint values and not, as in many cases today, simply an information mode. The Nordic countries have an extensive occupational health and safety and environmental legislation in place and the mining compa"&amp;"nies' operations are controlled by permits. Our view is that respect for the rule of laws is already a prioritised area in the Nordic mining industry.")</f>
        <v>This requires a dialogue about mutual interests and joint values and not, as in many cases today, simply an information mode. The Nordic countries have an extensive occupational health and safety and environmental legislation in place and the mining companies' operations are controlled by permits. Our view is that respect for the rule of laws is already a prioritised area in the Nordic mining industry.</v>
      </c>
      <c r="C44" s="53"/>
      <c r="D44" s="53" t="b">
        <v>0</v>
      </c>
      <c r="E44" s="53" t="s">
        <v>314</v>
      </c>
      <c r="F44" s="53" t="s">
        <v>314</v>
      </c>
      <c r="G44" s="53" t="b">
        <v>1</v>
      </c>
      <c r="H44" s="53" t="b">
        <v>1</v>
      </c>
      <c r="I44" s="54">
        <v>0.3333333333333333</v>
      </c>
      <c r="J44" s="55"/>
      <c r="K44" s="55"/>
      <c r="L44" s="55"/>
      <c r="M44" s="55"/>
      <c r="N44" s="55">
        <v>8.8</v>
      </c>
      <c r="O44" s="54" t="s">
        <v>423</v>
      </c>
      <c r="P44" s="54" t="s">
        <v>423</v>
      </c>
      <c r="Q44" s="56" t="s">
        <v>411</v>
      </c>
    </row>
    <row r="45" hidden="1">
      <c r="A45" s="12" t="str">
        <f>IFERROR(__xludf.DUMMYFUNCTION("""COMPUTED_VALUE"""),"51d56e590b8a4431622ec9c98a303516")</f>
        <v>51d56e590b8a4431622ec9c98a303516</v>
      </c>
      <c r="B45" s="12" t="str">
        <f>IFERROR(__xludf.DUMMYFUNCTION("""COMPUTED_VALUE"""),"Similarly, there is no policy framework in place to support energy efficiency. Revising the Investment Law is an opportunity to include incentives for green investment, in line with efforts by other ASEAN countries Viet Nam, Malaysia and Thailand. Viet Na"&amp;"m's investment policy includes incentives1 for investment in environmentally friendly areas such as renewable energy, afforestation and recycling.")</f>
        <v>Similarly, there is no policy framework in place to support energy efficiency. Revising the Investment Law is an opportunity to include incentives for green investment, in line with efforts by other ASEAN countries Viet Nam, Malaysia and Thailand. Viet Nam's investment policy includes incentives1 for investment in environmentally friendly areas such as renewable energy, afforestation and recycling.</v>
      </c>
      <c r="C45" s="58"/>
      <c r="D45" s="53" t="b">
        <v>0</v>
      </c>
      <c r="E45" s="53" t="s">
        <v>314</v>
      </c>
      <c r="F45" s="53" t="s">
        <v>314</v>
      </c>
      <c r="G45" s="53" t="b">
        <v>0</v>
      </c>
      <c r="H45" s="53" t="b">
        <v>1</v>
      </c>
      <c r="I45" s="54">
        <v>0.3333333333333333</v>
      </c>
      <c r="J45" s="55"/>
      <c r="K45" s="55"/>
      <c r="L45" s="55"/>
      <c r="M45" s="55"/>
      <c r="N45" s="55" t="s">
        <v>318</v>
      </c>
      <c r="O45" s="54" t="s">
        <v>424</v>
      </c>
      <c r="P45" s="54" t="s">
        <v>424</v>
      </c>
      <c r="Q45" s="56" t="s">
        <v>411</v>
      </c>
    </row>
    <row r="46">
      <c r="A46" s="12" t="str">
        <f>IFERROR(__xludf.DUMMYFUNCTION("""COMPUTED_VALUE"""),"5d3c7ac8b055f76f57399a9f40c929cf")</f>
        <v>5d3c7ac8b055f76f57399a9f40c929cf</v>
      </c>
      <c r="B46" s="12" t="str">
        <f>IFERROR(__xludf.DUMMYFUNCTION("""COMPUTED_VALUE"""),"It also holds for poverty: relative poverty is well below the OECD average and material deprivation is low (Nolan and Whelan, 2010). The OECD has recently mapped inequalities across a large number of dimensions and virtually all indicators point in the sa"&amp;"me direction (Box 1). While this has been true in most OECD countries, the increase in Sweden has been among the steepest (OECD, 201 la). As in most countries, household incomes increased faster at the top of the distribution, but the contrast was particu"&amp;"larly stark in Sweden (Table 1).")</f>
        <v>It also holds for poverty: relative poverty is well below the OECD average and material deprivation is low (Nolan and Whelan, 2010). The OECD has recently mapped inequalities across a large number of dimensions and virtually all indicators point in the same direction (Box 1). While this has been true in most OECD countries, the increase in Sweden has been among the steepest (OECD, 201 la). As in most countries, household incomes increased faster at the top of the distribution, but the contrast was particularly stark in Sweden (Table 1).</v>
      </c>
      <c r="C46" s="57"/>
      <c r="D46" s="53" t="b">
        <v>0</v>
      </c>
      <c r="E46" s="53" t="s">
        <v>314</v>
      </c>
      <c r="F46" s="53" t="s">
        <v>314</v>
      </c>
      <c r="G46" s="53" t="b">
        <v>0</v>
      </c>
      <c r="H46" s="53" t="b">
        <v>0</v>
      </c>
      <c r="I46" s="54">
        <v>1.0</v>
      </c>
      <c r="J46" s="55"/>
      <c r="K46" s="55"/>
      <c r="L46" s="55"/>
      <c r="M46" s="55"/>
      <c r="N46" s="55"/>
      <c r="O46" s="54" t="s">
        <v>407</v>
      </c>
      <c r="P46" s="54" t="s">
        <v>407</v>
      </c>
      <c r="Q46" s="56" t="b">
        <v>0</v>
      </c>
    </row>
    <row r="47">
      <c r="A47" s="12" t="str">
        <f>IFERROR(__xludf.DUMMYFUNCTION("""COMPUTED_VALUE"""),"879a07bbae36346e63a564b567a55880")</f>
        <v>879a07bbae36346e63a564b567a55880</v>
      </c>
      <c r="B47" s="12" t="str">
        <f>IFERROR(__xludf.DUMMYFUNCTION("""COMPUTED_VALUE"""),"For instance, combined education and health expenditures remain at below 5 per cent of GDP in such countries as Cambodia, Bangladesh and Pakistan (table 1.7). Governments could increase expenditure efficiency and ensure equal access to basic public servic"&amp;"es. Without such efforts, additional spending may not translate into better development outcomes. For instance, compared with regional peers at the frontier of expenditure efficiency, Pakistan could decrease its public expenditures by some 33 per cent in "&amp;"education and 17 per cent in health to produce the same level of education and health outcomes (figure 1.14, ESCAR 2017a).")</f>
        <v>For instance, combined education and health expenditures remain at below 5 per cent of GDP in such countries as Cambodia, Bangladesh and Pakistan (table 1.7). Governments could increase expenditure efficiency and ensure equal access to basic public services. Without such efforts, additional spending may not translate into better development outcomes. For instance, compared with regional peers at the frontier of expenditure efficiency, Pakistan could decrease its public expenditures by some 33 per cent in education and 17 per cent in health to produce the same level of education and health outcomes (figure 1.14, ESCAR 2017a).</v>
      </c>
      <c r="C47" s="7"/>
      <c r="D47" s="53" t="b">
        <v>0</v>
      </c>
      <c r="E47" s="53" t="s">
        <v>314</v>
      </c>
      <c r="F47" s="53" t="s">
        <v>314</v>
      </c>
      <c r="G47" s="53" t="b">
        <v>0</v>
      </c>
      <c r="H47" s="53" t="b">
        <v>0</v>
      </c>
      <c r="I47" s="54">
        <v>1.0</v>
      </c>
      <c r="J47" s="55"/>
      <c r="K47" s="55"/>
      <c r="L47" s="55"/>
      <c r="M47" s="55"/>
      <c r="N47" s="55"/>
      <c r="O47" s="54" t="s">
        <v>407</v>
      </c>
      <c r="P47" s="54" t="s">
        <v>407</v>
      </c>
      <c r="Q47" s="56" t="b">
        <v>0</v>
      </c>
    </row>
    <row r="48">
      <c r="A48" s="12" t="str">
        <f>IFERROR(__xludf.DUMMYFUNCTION("""COMPUTED_VALUE"""),"9ee9395745e5fe3f5833113e7ef7cb33")</f>
        <v>9ee9395745e5fe3f5833113e7ef7cb33</v>
      </c>
      <c r="B48" s="12" t="str">
        <f>IFERROR(__xludf.DUMMYFUNCTION("""COMPUTED_VALUE"""),"To align with policy discussions, ‘emergency management’ is the term adopted in this discussion paper. Leveraging these synergies requires building awareness of tourism’s potential role in assisting and enhancing emergency management and how emergency man"&amp;"agement policies can assist tourism agencies (e.g. to reduce the potential negative impacts of misinformation on the recovery of affected destinations/attractions and other destinations within affected countries) in all PPRR phases, and particularly the d"&amp;"estination recovery process. In practice, integration between tourism and emergency management policies has been very limited and quite narrow in focus in most countries. This is partly because the focus of tourism agencies has traditionally been on imple"&amp;"menting specific actions to mitigate the effects of a disaster or event on tourism businesses (i.e. managing the reputational effects on the destination) and restoring the capacity of tourism businesses (i.e. recovery of markets and profitability).")</f>
        <v>To align with policy discussions, ‘emergency management’ is the term adopted in this discussion paper. Leveraging these synergies requires building awareness of tourism’s potential role in assisting and enhancing emergency management and how emergency management policies can assist tourism agencies (e.g. to reduce the potential negative impacts of misinformation on the recovery of affected destinations/attractions and other destinations within affected countries) in all PPRR phases, and particularly the destination recovery process. In practice, integration between tourism and emergency management policies has been very limited and quite narrow in focus in most countries. This is partly because the focus of tourism agencies has traditionally been on implementing specific actions to mitigate the effects of a disaster or event on tourism businesses (i.e. managing the reputational effects on the destination) and restoring the capacity of tourism businesses (i.e. recovery of markets and profitability).</v>
      </c>
      <c r="C48" s="7"/>
      <c r="D48" s="53" t="b">
        <v>0</v>
      </c>
      <c r="E48" s="53" t="s">
        <v>314</v>
      </c>
      <c r="F48" s="53" t="s">
        <v>314</v>
      </c>
      <c r="G48" s="53" t="b">
        <v>0</v>
      </c>
      <c r="H48" s="53" t="b">
        <v>0</v>
      </c>
      <c r="I48" s="54">
        <v>1.0</v>
      </c>
      <c r="J48" s="55"/>
      <c r="K48" s="55"/>
      <c r="L48" s="55"/>
      <c r="M48" s="55"/>
      <c r="N48" s="55" t="s">
        <v>316</v>
      </c>
      <c r="O48" s="54" t="s">
        <v>425</v>
      </c>
      <c r="P48" s="54" t="s">
        <v>425</v>
      </c>
      <c r="Q48" s="56" t="b">
        <v>0</v>
      </c>
    </row>
    <row r="49">
      <c r="A49" s="12" t="str">
        <f>IFERROR(__xludf.DUMMYFUNCTION("""COMPUTED_VALUE"""),"b09a5f74943ea36273379121d4516b4c")</f>
        <v>b09a5f74943ea36273379121d4516b4c</v>
      </c>
      <c r="B49" s="12" t="str">
        <f>IFERROR(__xludf.DUMMYFUNCTION("""COMPUTED_VALUE"""),"This leaves Denmark among the OECD countries with the most favourable tax treatment of interest expenses (OECD, 2018(27)), higher than in both Norway and Sweden. Denmark is among only three OECD countries (Australia and Estonia in addition) with a pure la"&amp;"nd tax, considered one of the most efficient taxes. In addition, the recent property tax reform will ensure valuations are updated every second year and maintains an element of progressive taxation.")</f>
        <v>This leaves Denmark among the OECD countries with the most favourable tax treatment of interest expenses (OECD, 2018(27)), higher than in both Norway and Sweden. Denmark is among only three OECD countries (Australia and Estonia in addition) with a pure land tax, considered one of the most efficient taxes. In addition, the recent property tax reform will ensure valuations are updated every second year and maintains an element of progressive taxation.</v>
      </c>
      <c r="C49" s="7"/>
      <c r="D49" s="53" t="b">
        <v>0</v>
      </c>
      <c r="E49" s="53" t="s">
        <v>314</v>
      </c>
      <c r="F49" s="53" t="s">
        <v>314</v>
      </c>
      <c r="G49" s="53" t="b">
        <v>0</v>
      </c>
      <c r="H49" s="53" t="b">
        <v>0</v>
      </c>
      <c r="I49" s="54">
        <v>1.0</v>
      </c>
      <c r="J49" s="55"/>
      <c r="K49" s="55"/>
      <c r="L49" s="55"/>
      <c r="M49" s="55"/>
      <c r="N49" s="55"/>
      <c r="O49" s="54" t="s">
        <v>407</v>
      </c>
      <c r="P49" s="54" t="s">
        <v>407</v>
      </c>
      <c r="Q49" s="56" t="b">
        <v>0</v>
      </c>
    </row>
    <row r="50">
      <c r="A50" s="12" t="str">
        <f>IFERROR(__xludf.DUMMYFUNCTION("""COMPUTED_VALUE"""),"d6be2bc73389f0a8a1848d7015ee1c2d")</f>
        <v>d6be2bc73389f0a8a1848d7015ee1c2d</v>
      </c>
      <c r="B50" s="12" t="str">
        <f>IFERROR(__xludf.DUMMYFUNCTION("""COMPUTED_VALUE"""),"Trajectories are clustered using Ward’s (1963) hierarchical agglomerative algorithm (cf. Quintini and Manfredi, 2009). A number of seven different clusters per data source is imposed, resulting from a trade-off between the greatest possible homogeneity of"&amp;" trajectories within the cluster and the desired differentiability between clusters. Clustered trajectories are matched with information on individual and household characteristics used for the analyses.")</f>
        <v>Trajectories are clustered using Ward’s (1963) hierarchical agglomerative algorithm (cf. Quintini and Manfredi, 2009). A number of seven different clusters per data source is imposed, resulting from a trade-off between the greatest possible homogeneity of trajectories within the cluster and the desired differentiability between clusters. Clustered trajectories are matched with information on individual and household characteristics used for the analyses.</v>
      </c>
      <c r="C50" s="57"/>
      <c r="D50" s="53" t="b">
        <v>0</v>
      </c>
      <c r="E50" s="53" t="s">
        <v>314</v>
      </c>
      <c r="F50" s="53" t="s">
        <v>314</v>
      </c>
      <c r="G50" s="53" t="b">
        <v>0</v>
      </c>
      <c r="H50" s="53" t="b">
        <v>0</v>
      </c>
      <c r="I50" s="54">
        <v>1.0</v>
      </c>
      <c r="J50" s="55"/>
      <c r="K50" s="55"/>
      <c r="L50" s="55"/>
      <c r="M50" s="55"/>
      <c r="N50" s="55"/>
      <c r="O50" s="54" t="s">
        <v>407</v>
      </c>
      <c r="P50" s="54" t="s">
        <v>407</v>
      </c>
      <c r="Q50" s="56" t="b">
        <v>0</v>
      </c>
    </row>
    <row r="51">
      <c r="A51" s="12" t="str">
        <f>IFERROR(__xludf.DUMMYFUNCTION("""COMPUTED_VALUE"""),"e2804f2d25629ff8797c49c0505133e9")</f>
        <v>e2804f2d25629ff8797c49c0505133e9</v>
      </c>
      <c r="B51" s="12" t="str">
        <f>IFERROR(__xludf.DUMMYFUNCTION("""COMPUTED_VALUE"""),"Chile and Colombia’s gender gaps in LFP are around 22 percentage points, which is still worse than the OECD average but closer to the estimated average of about 25 percentage points across the Latin America and Caribbean (LAC) region (ILO 2016). Recent im"&amp;"provements in female labour market participation (and reductions in gender gaps) in the LAC region have been tied to greater female education, decreasing fertility and increases in the provision of subsidised childcare (ILO 2016). Data from Peru come from"&amp;" selected urban areas. Other countries’ samples are nationally representative.")</f>
        <v>Chile and Colombia’s gender gaps in LFP are around 22 percentage points, which is still worse than the OECD average but closer to the estimated average of about 25 percentage points across the Latin America and Caribbean (LAC) region (ILO 2016). Recent improvements in female labour market participation (and reductions in gender gaps) in the LAC region have been tied to greater female education, decreasing fertility and increases in the provision of subsidised childcare (ILO 2016). Data from Peru come from selected urban areas. Other countries’ samples are nationally representative.</v>
      </c>
      <c r="C51" s="53"/>
      <c r="D51" s="53" t="b">
        <v>1</v>
      </c>
      <c r="E51" s="53" t="s">
        <v>314</v>
      </c>
      <c r="F51" s="53" t="s">
        <v>314</v>
      </c>
      <c r="G51" s="53" t="b">
        <v>1</v>
      </c>
      <c r="H51" s="53" t="b">
        <v>1</v>
      </c>
      <c r="I51" s="54">
        <v>1.0</v>
      </c>
      <c r="J51" s="55" t="s">
        <v>213</v>
      </c>
      <c r="K51" s="55"/>
      <c r="L51" s="55"/>
      <c r="M51" s="55"/>
      <c r="N51" s="55"/>
      <c r="O51" s="54" t="s">
        <v>426</v>
      </c>
      <c r="P51" s="54" t="s">
        <v>426</v>
      </c>
      <c r="Q51" s="56" t="b">
        <v>1</v>
      </c>
    </row>
    <row r="52">
      <c r="A52" s="12" t="str">
        <f>IFERROR(__xludf.DUMMYFUNCTION("""COMPUTED_VALUE"""),"ff6e8263918b87f60949c6be4ba8b40a")</f>
        <v>ff6e8263918b87f60949c6be4ba8b40a</v>
      </c>
      <c r="B52" s="12" t="str">
        <f>IFERROR(__xludf.DUMMYFUNCTION("""COMPUTED_VALUE"""),"Informality is considered to result from the heterogeneity of the productive structure, which can be seen schematically as two sectors: one which is formal, has a medium to high production level, greater levels of investment, relatively high growth potent"&amp;"ial and effective social protection, and the other informal, with low levels of productivity, growth potential and social protection. Consequently, unskilled own-account workers, unpaid family workers or apprentices, owners and employees of micro-enterpri"&amp;"ses and domestic workers are all considered informal. This is related to the introduction of the concept of decent work. In order to focus the discussion on the job rather than the company, the new conceptual framework of the “informal economy"" has been "&amp;"proposed in order to complement that of the informal sector, given that informal activities are found in both low- and high-productivity sectors.")</f>
        <v>Informality is considered to result from the heterogeneity of the productive structure, which can be seen schematically as two sectors: one which is formal, has a medium to high production level, greater levels of investment, relatively high growth potential and effective social protection, and the other informal, with low levels of productivity, growth potential and social protection. Consequently, unskilled own-account workers, unpaid family workers or apprentices, owners and employees of micro-enterprises and domestic workers are all considered informal. This is related to the introduction of the concept of decent work. In order to focus the discussion on the job rather than the company, the new conceptual framework of the “informal economy" has been proposed in order to complement that of the informal sector, given that informal activities are found in both low- and high-productivity sectors.</v>
      </c>
      <c r="C52" s="57"/>
      <c r="D52" s="53" t="b">
        <v>1</v>
      </c>
      <c r="E52" s="53" t="s">
        <v>314</v>
      </c>
      <c r="F52" s="53" t="s">
        <v>314</v>
      </c>
      <c r="G52" s="53" t="b">
        <v>1</v>
      </c>
      <c r="H52" s="53" t="b">
        <v>1</v>
      </c>
      <c r="I52" s="54">
        <v>1.0</v>
      </c>
      <c r="J52" s="55"/>
      <c r="K52" s="55"/>
      <c r="L52" s="55"/>
      <c r="M52" s="55"/>
      <c r="N52" s="55"/>
      <c r="O52" s="54" t="s">
        <v>407</v>
      </c>
      <c r="P52" s="54" t="s">
        <v>407</v>
      </c>
      <c r="Q52" s="56" t="b">
        <v>1</v>
      </c>
    </row>
    <row r="53" hidden="1">
      <c r="A53" s="12" t="str">
        <f>IFERROR(__xludf.DUMMYFUNCTION("""COMPUTED_VALUE"""),"0cde87f09ab47803b0cc35b0497a50d6")</f>
        <v>0cde87f09ab47803b0cc35b0497a50d6</v>
      </c>
      <c r="B53" s="12" t="str">
        <f>IFERROR(__xludf.DUMMYFUNCTION("""COMPUTED_VALUE"""),"If credit is intended to increase the value of women’s work time, it seems it is not access to loans but use of loans matters. Ensuring women’s control over loan-created assets by law can also be a critical policy objective (Garikipati, 2011). Access to c"&amp;"redit for women for productive projects can also be improved by measures enabling collateralisation of loans with cash flow or equipment.")</f>
        <v>If credit is intended to increase the value of women’s work time, it seems it is not access to loans but use of loans matters. Ensuring women’s control over loan-created assets by law can also be a critical policy objective (Garikipati, 2011). Access to credit for women for productive projects can also be improved by measures enabling collateralisation of loans with cash flow or equipment.</v>
      </c>
      <c r="C53" s="7"/>
      <c r="D53" s="53" t="b">
        <v>1</v>
      </c>
      <c r="E53" s="53" t="s">
        <v>314</v>
      </c>
      <c r="F53" s="53" t="s">
        <v>314</v>
      </c>
      <c r="G53" s="53" t="b">
        <v>1</v>
      </c>
      <c r="H53" s="53" t="b">
        <v>0</v>
      </c>
      <c r="I53" s="54">
        <v>0.3333333333333333</v>
      </c>
      <c r="J53" s="55"/>
      <c r="K53" s="55"/>
      <c r="L53" s="55"/>
      <c r="M53" s="55"/>
      <c r="N53" s="55"/>
      <c r="O53" s="54" t="s">
        <v>407</v>
      </c>
      <c r="P53" s="54" t="s">
        <v>407</v>
      </c>
      <c r="Q53" s="56" t="s">
        <v>411</v>
      </c>
    </row>
    <row r="54">
      <c r="A54" s="12" t="str">
        <f>IFERROR(__xludf.DUMMYFUNCTION("""COMPUTED_VALUE"""),"1aff7c615f36a532b9ffca0e2c45b655")</f>
        <v>1aff7c615f36a532b9ffca0e2c45b655</v>
      </c>
      <c r="B54" s="12" t="str">
        <f>IFERROR(__xludf.DUMMYFUNCTION("""COMPUTED_VALUE"""),"Some states such as Jalisco were already undertaking similar activity but now all of these local initiatives are grouped under the umbrella of this programme. The Ministry of Education will need to work with the Ministry of Economy on this as the school c"&amp;"urriculum is decided at national level. Ernst and Young (2011) reported that a failure to integrate women fully into the workforce is costly in terms of GDP, arguing that it is clear that women can add incrementally into a developing nation’s economy. Thi"&amp;"s is also being recognised in the UK, for example the University of East London in 2011 established the Centre of Excellence for Women’s Entrepreneurship. Although Mexico has no exclusive programmes for women in the national system of employment, it is be"&amp;"ginning to happen, for example in Queretaro. In 2008, the incubator of the Autonomous University of Queretaro (UAQ) worked with a group of women identifying demand with the department of sustainable development for the local municipality.")</f>
        <v>Some states such as Jalisco were already undertaking similar activity but now all of these local initiatives are grouped under the umbrella of this programme. The Ministry of Education will need to work with the Ministry of Economy on this as the school curriculum is decided at national level. Ernst and Young (2011) reported that a failure to integrate women fully into the workforce is costly in terms of GDP, arguing that it is clear that women can add incrementally into a developing nation’s economy. This is also being recognised in the UK, for example the University of East London in 2011 established the Centre of Excellence for Women’s Entrepreneurship. Although Mexico has no exclusive programmes for women in the national system of employment, it is beginning to happen, for example in Queretaro. In 2008, the incubator of the Autonomous University of Queretaro (UAQ) worked with a group of women identifying demand with the department of sustainable development for the local municipality.</v>
      </c>
      <c r="C54" s="57"/>
      <c r="D54" s="53" t="b">
        <v>1</v>
      </c>
      <c r="E54" s="53" t="s">
        <v>314</v>
      </c>
      <c r="F54" s="53" t="s">
        <v>314</v>
      </c>
      <c r="G54" s="53" t="b">
        <v>1</v>
      </c>
      <c r="H54" s="53" t="b">
        <v>1</v>
      </c>
      <c r="I54" s="54">
        <v>1.0</v>
      </c>
      <c r="J54" s="55"/>
      <c r="K54" s="55"/>
      <c r="L54" s="55"/>
      <c r="M54" s="55"/>
      <c r="N54" s="55"/>
      <c r="O54" s="54" t="s">
        <v>407</v>
      </c>
      <c r="P54" s="54" t="s">
        <v>407</v>
      </c>
      <c r="Q54" s="56" t="b">
        <v>1</v>
      </c>
    </row>
    <row r="55">
      <c r="A55" s="12" t="str">
        <f>IFERROR(__xludf.DUMMYFUNCTION("""COMPUTED_VALUE"""),"199188668494aed7d1b78e01d1bb0097")</f>
        <v>199188668494aed7d1b78e01d1bb0097</v>
      </c>
      <c r="B55" s="12" t="str">
        <f>IFERROR(__xludf.DUMMYFUNCTION("""COMPUTED_VALUE"""),"The main issue remains that once on disability benefits or sick the likelihood to re-enter the labour force is limited. But it may also just reflect the fact that inactive people have lower income, hence live in more crowded houses or in cheaper areas far"&amp;" away from job centres. This could be interpreted as suggesting that decisions to enter or leave the labour force tend to be more permanent under these circumstances. No significant relations could be found with the other variables. The difference on the "&amp;"lagged coefficient would imply that a 10 percentage points increase in the share long-term unemployment could lead to a decline in participation 0.6 percentage point lower in the healthiest state than in the least healthy state. S + 5i(GDPls-GDPl-i,s) + 8"&amp;"2(LTU,.5) + p (Xs)* (LTU,,S) +8,,s * Xs set of time unvarying structural indicators Results displayed in Table 2.3 show that long-term unemployment increases tend to lead to faster and stronger declines in participation where the share of disability recip"&amp;"ients and the health of the population is w'eaker.22 On the other hand, higher educational attainment of the labour force tends to reduce this discouraged worker effect.")</f>
        <v>The main issue remains that once on disability benefits or sick the likelihood to re-enter the labour force is limited. But it may also just reflect the fact that inactive people have lower income, hence live in more crowded houses or in cheaper areas far away from job centres. This could be interpreted as suggesting that decisions to enter or leave the labour force tend to be more permanent under these circumstances. No significant relations could be found with the other variables. The difference on the lagged coefficient would imply that a 10 percentage points increase in the share long-term unemployment could lead to a decline in participation 0.6 percentage point lower in the healthiest state than in the least healthy state. S + 5i(GDPls-GDPl-i,s) + 82(LTU,.5) + p (Xs)* (LTU,,S) +8,,s * Xs set of time unvarying structural indicators Results displayed in Table 2.3 show that long-term unemployment increases tend to lead to faster and stronger declines in participation where the share of disability recipients and the health of the population is w'eaker.22 On the other hand, higher educational attainment of the labour force tends to reduce this discouraged worker effect.</v>
      </c>
      <c r="C55" s="57"/>
      <c r="D55" s="53" t="b">
        <v>1</v>
      </c>
      <c r="E55" s="53" t="s">
        <v>314</v>
      </c>
      <c r="F55" s="53" t="s">
        <v>314</v>
      </c>
      <c r="G55" s="53" t="b">
        <v>1</v>
      </c>
      <c r="H55" s="53" t="b">
        <v>1</v>
      </c>
      <c r="I55" s="54">
        <v>1.0</v>
      </c>
      <c r="J55" s="55"/>
      <c r="K55" s="55"/>
      <c r="L55" s="55"/>
      <c r="M55" s="55"/>
      <c r="N55" s="55"/>
      <c r="O55" s="54" t="s">
        <v>407</v>
      </c>
      <c r="P55" s="54" t="s">
        <v>407</v>
      </c>
      <c r="Q55" s="56" t="b">
        <v>1</v>
      </c>
    </row>
    <row r="56">
      <c r="A56" s="12" t="str">
        <f>IFERROR(__xludf.DUMMYFUNCTION("""COMPUTED_VALUE"""),"6c4062172a1deba762d46991ddae0ac6")</f>
        <v>6c4062172a1deba762d46991ddae0ac6</v>
      </c>
      <c r="B56" s="12" t="str">
        <f>IFERROR(__xludf.DUMMYFUNCTION("""COMPUTED_VALUE"""),"Implemented initially in 200 districts across the country, the act was notified to another 200 districts in 2008 and it now operates in all of rural India accounting for a total expenditure equivalent to 0.3 of the national GNR NREGA is now the world’s bi"&amp;"ggest “right to work” programme and providing work opportunities for some 45 million poor rural households. In the wake of the global economic crisis, the number of days of work to which beneficiaries are entitled was increased from 100 to 200. By this to"&amp;"ken, NREGA contributed to buffer the effects of slower economic growth on the poorest households, in particular for those workers returning to rural areas after they lost their jobs in the cities. The scheme had an influence in providing “livelihood secur"&amp;"ity” for large numbers of people and in ensuring that minimum wages are actually paid for unskilled, casual agricultural work - by far the primary source of earnings for poor households.")</f>
        <v>Implemented initially in 200 districts across the country, the act was notified to another 200 districts in 2008 and it now operates in all of rural India accounting for a total expenditure equivalent to 0.3 of the national GNR NREGA is now the world’s biggest “right to work” programme and providing work opportunities for some 45 million poor rural households. In the wake of the global economic crisis, the number of days of work to which beneficiaries are entitled was increased from 100 to 200. By this token, NREGA contributed to buffer the effects of slower economic growth on the poorest households, in particular for those workers returning to rural areas after they lost their jobs in the cities. The scheme had an influence in providing “livelihood security” for large numbers of people and in ensuring that minimum wages are actually paid for unskilled, casual agricultural work - by far the primary source of earnings for poor households.</v>
      </c>
      <c r="C56" s="53"/>
      <c r="D56" s="53" t="b">
        <v>1</v>
      </c>
      <c r="E56" s="53" t="s">
        <v>314</v>
      </c>
      <c r="F56" s="53" t="s">
        <v>314</v>
      </c>
      <c r="G56" s="53" t="b">
        <v>1</v>
      </c>
      <c r="H56" s="53" t="b">
        <v>1</v>
      </c>
      <c r="I56" s="54">
        <v>1.0</v>
      </c>
      <c r="J56" s="55"/>
      <c r="K56" s="55"/>
      <c r="L56" s="55"/>
      <c r="M56" s="55"/>
      <c r="N56" s="55"/>
      <c r="O56" s="54" t="s">
        <v>407</v>
      </c>
      <c r="P56" s="54" t="s">
        <v>407</v>
      </c>
      <c r="Q56" s="56" t="b">
        <v>1</v>
      </c>
    </row>
    <row r="57">
      <c r="A57" s="12" t="str">
        <f>IFERROR(__xludf.DUMMYFUNCTION("""COMPUTED_VALUE"""),"8197b49ab42e89f2cb179df344d1e54d")</f>
        <v>8197b49ab42e89f2cb179df344d1e54d</v>
      </c>
      <c r="B57" s="12" t="str">
        <f>IFERROR(__xludf.DUMMYFUNCTION("""COMPUTED_VALUE"""),"Leading migration researchers provided their perspectives on suitable methodologies at an international expert meeting that took place at the OECD in Paris on 23-24 February 2015.a Data constraints sometimes made it impossible to analyse all aspects in ev"&amp;"ery partner country. Each country report and the integrated report provide detailed descriptions of their methodologies. What is the added value of the project? ( The contribution of the foreign-bom employed to GDP in 2010 (1.5%) was just below the commen"&amp;"surate share in employment (1.6%).")</f>
        <v>Leading migration researchers provided their perspectives on suitable methodologies at an international expert meeting that took place at the OECD in Paris on 23-24 February 2015.a Data constraints sometimes made it impossible to analyse all aspects in every partner country. Each country report and the integrated report provide detailed descriptions of their methodologies. What is the added value of the project? ( The contribution of the foreign-bom employed to GDP in 2010 (1.5%) was just below the commensurate share in employment (1.6%).</v>
      </c>
      <c r="C57" s="53"/>
      <c r="D57" s="53" t="b">
        <v>0</v>
      </c>
      <c r="E57" s="53" t="s">
        <v>314</v>
      </c>
      <c r="F57" s="53" t="s">
        <v>314</v>
      </c>
      <c r="G57" s="53" t="b">
        <v>0</v>
      </c>
      <c r="H57" s="53" t="b">
        <v>0</v>
      </c>
      <c r="I57" s="54">
        <v>1.0</v>
      </c>
      <c r="J57" s="55"/>
      <c r="K57" s="55"/>
      <c r="L57" s="55"/>
      <c r="M57" s="55"/>
      <c r="N57" s="55"/>
      <c r="O57" s="54" t="s">
        <v>407</v>
      </c>
      <c r="P57" s="54" t="s">
        <v>407</v>
      </c>
      <c r="Q57" s="56" t="b">
        <v>0</v>
      </c>
    </row>
    <row r="58">
      <c r="A58" s="12" t="str">
        <f>IFERROR(__xludf.DUMMYFUNCTION("""COMPUTED_VALUE"""),"84bdc7174a9e2949e354a93b486c15d4")</f>
        <v>84bdc7174a9e2949e354a93b486c15d4</v>
      </c>
      <c r="B58" s="12" t="str">
        <f>IFERROR(__xludf.DUMMYFUNCTION("""COMPUTED_VALUE"""),"In addition to operating as independent non-banking financial institutions, SOFOLES and SOFOMES have received rising funding from SPYME and NAFINSA to deliver programmes at the local level, which has enabled them to develop also at a period of general cri"&amp;"sis. The reverse side is that, in spite of their original objective to encourage SME development, the range of loan size in which these institutions operate suggests that they are rather more active in the consumer credit market and that, as a result, bus"&amp;"iness credit is still concentrated in a few traditional large banks. At present, there are seven large banks in Mexico, six of which are foreign-owned, that accounts for 84% of the total assets in the banking sector.")</f>
        <v>In addition to operating as independent non-banking financial institutions, SOFOLES and SOFOMES have received rising funding from SPYME and NAFINSA to deliver programmes at the local level, which has enabled them to develop also at a period of general crisis. The reverse side is that, in spite of their original objective to encourage SME development, the range of loan size in which these institutions operate suggests that they are rather more active in the consumer credit market and that, as a result, business credit is still concentrated in a few traditional large banks. At present, there are seven large banks in Mexico, six of which are foreign-owned, that accounts for 84% of the total assets in the banking sector.</v>
      </c>
      <c r="C58" s="7"/>
      <c r="D58" s="53" t="b">
        <v>1</v>
      </c>
      <c r="E58" s="53" t="s">
        <v>314</v>
      </c>
      <c r="F58" s="53" t="s">
        <v>314</v>
      </c>
      <c r="G58" s="53" t="b">
        <v>1</v>
      </c>
      <c r="H58" s="53" t="b">
        <v>1</v>
      </c>
      <c r="I58" s="54">
        <v>1.0</v>
      </c>
      <c r="J58" s="55" t="s">
        <v>221</v>
      </c>
      <c r="K58" s="55"/>
      <c r="L58" s="55"/>
      <c r="M58" s="55"/>
      <c r="N58" s="55"/>
      <c r="O58" s="54" t="s">
        <v>427</v>
      </c>
      <c r="P58" s="54" t="s">
        <v>427</v>
      </c>
      <c r="Q58" s="56" t="b">
        <v>1</v>
      </c>
    </row>
    <row r="59" hidden="1">
      <c r="A59" s="12" t="str">
        <f>IFERROR(__xludf.DUMMYFUNCTION("""COMPUTED_VALUE"""),"16587dd69394c5473c5638236360eb22")</f>
        <v>16587dd69394c5473c5638236360eb22</v>
      </c>
      <c r="B59" s="12" t="str">
        <f>IFERROR(__xludf.DUMMYFUNCTION("""COMPUTED_VALUE"""),"Lending activities through the Development Bank of Japan began in 1995 and continued throughout a period of at least ten years, during which time it is reported (Relecura, 2015) that 260 companies benefitted from IP-backed loans totaling JPY 16 billion. I"&amp;"ts primary target could therefore be said to be addressing information asymmetry, though this form of support also has the effect of driving down transaction costs associated with the assessment of intangible assets. The scheme is led by the Japan Patent "&amp;"Office (JPO) and was developed in discussion with the country’s Financial Service Agency, and is targeted specifically at SMEs as defined in Japanese law.")</f>
        <v>Lending activities through the Development Bank of Japan began in 1995 and continued throughout a period of at least ten years, during which time it is reported (Relecura, 2015) that 260 companies benefitted from IP-backed loans totaling JPY 16 billion. Its primary target could therefore be said to be addressing information asymmetry, though this form of support also has the effect of driving down transaction costs associated with the assessment of intangible assets. The scheme is led by the Japan Patent Office (JPO) and was developed in discussion with the country’s Financial Service Agency, and is targeted specifically at SMEs as defined in Japanese law.</v>
      </c>
      <c r="C59" s="57"/>
      <c r="D59" s="53" t="b">
        <v>0</v>
      </c>
      <c r="E59" s="53" t="s">
        <v>314</v>
      </c>
      <c r="F59" s="53" t="s">
        <v>314</v>
      </c>
      <c r="G59" s="53" t="b">
        <v>1</v>
      </c>
      <c r="H59" s="53" t="b">
        <v>1</v>
      </c>
      <c r="I59" s="54">
        <v>0.3333333333333333</v>
      </c>
      <c r="J59" s="55"/>
      <c r="K59" s="55"/>
      <c r="L59" s="55"/>
      <c r="M59" s="55"/>
      <c r="N59" s="55"/>
      <c r="O59" s="54" t="s">
        <v>407</v>
      </c>
      <c r="P59" s="54" t="s">
        <v>407</v>
      </c>
      <c r="Q59" s="56" t="s">
        <v>411</v>
      </c>
    </row>
    <row r="60">
      <c r="A60" s="12" t="str">
        <f>IFERROR(__xludf.DUMMYFUNCTION("""COMPUTED_VALUE"""),"c8cb91133a135516b76270236ca35601")</f>
        <v>c8cb91133a135516b76270236ca35601</v>
      </c>
      <c r="B60" s="12" t="str">
        <f>IFERROR(__xludf.DUMMYFUNCTION("""COMPUTED_VALUE"""),"The new fit2worfc service, fully implemented in 2013, seeks to avert job losses and long-term unemployment. Health insurance contacts sick-listed employees after around 40 days of absence, offering general information (on possible treatment, for example),"&amp;" counselling and retum-to-work support by a network of counselling firms. Waiting times for health services (e.g. psychotherapy) can also be reduced.")</f>
        <v>The new fit2worfc service, fully implemented in 2013, seeks to avert job losses and long-term unemployment. Health insurance contacts sick-listed employees after around 40 days of absence, offering general information (on possible treatment, for example), counselling and retum-to-work support by a network of counselling firms. Waiting times for health services (e.g. psychotherapy) can also be reduced.</v>
      </c>
      <c r="C60" s="7"/>
      <c r="D60" s="53" t="b">
        <v>1</v>
      </c>
      <c r="E60" s="53" t="s">
        <v>314</v>
      </c>
      <c r="F60" s="53" t="s">
        <v>314</v>
      </c>
      <c r="G60" s="53" t="b">
        <v>1</v>
      </c>
      <c r="H60" s="53" t="b">
        <v>1</v>
      </c>
      <c r="I60" s="54">
        <v>1.0</v>
      </c>
      <c r="J60" s="55"/>
      <c r="K60" s="55"/>
      <c r="L60" s="55"/>
      <c r="M60" s="55"/>
      <c r="N60" s="55"/>
      <c r="O60" s="54" t="s">
        <v>407</v>
      </c>
      <c r="P60" s="54" t="s">
        <v>407</v>
      </c>
      <c r="Q60" s="56" t="b">
        <v>1</v>
      </c>
    </row>
    <row r="61" hidden="1">
      <c r="A61" s="12" t="str">
        <f>IFERROR(__xludf.DUMMYFUNCTION("""COMPUTED_VALUE"""),"8c7dd5a2d1743241f75d244ed39892ab")</f>
        <v>8c7dd5a2d1743241f75d244ed39892ab</v>
      </c>
      <c r="B61" s="12" t="str">
        <f>IFERROR(__xludf.DUMMYFUNCTION("""COMPUTED_VALUE"""),"These figures assume that families register for a place at a municipality-run kindergarten. However, some parents may prefer to use privately-run day care centres if they require longer hours or childcare outside of normal working hours, which are signifi"&amp;"cantly more expensive. The Unemployment Insurance Fund is able to give a childcare allowance of up to €352 per month to those returning to work for the first three months, and then local authorities make a contribution towards the cost (in Tallinn, the mu"&amp;"nicipal contribution is €150 per month).")</f>
        <v>These figures assume that families register for a place at a municipality-run kindergarten. However, some parents may prefer to use privately-run day care centres if they require longer hours or childcare outside of normal working hours, which are significantly more expensive. The Unemployment Insurance Fund is able to give a childcare allowance of up to €352 per month to those returning to work for the first three months, and then local authorities make a contribution towards the cost (in Tallinn, the municipal contribution is €150 per month).</v>
      </c>
      <c r="C61" s="57"/>
      <c r="D61" s="53" t="b">
        <v>0</v>
      </c>
      <c r="E61" s="53" t="s">
        <v>314</v>
      </c>
      <c r="F61" s="53" t="s">
        <v>314</v>
      </c>
      <c r="G61" s="53" t="b">
        <v>1</v>
      </c>
      <c r="H61" s="53" t="b">
        <v>1</v>
      </c>
      <c r="I61" s="54">
        <v>0.3333333333333333</v>
      </c>
      <c r="J61" s="55"/>
      <c r="K61" s="55"/>
      <c r="L61" s="55"/>
      <c r="M61" s="55"/>
      <c r="N61" s="55" t="s">
        <v>327</v>
      </c>
      <c r="O61" s="54" t="s">
        <v>428</v>
      </c>
      <c r="P61" s="54" t="s">
        <v>428</v>
      </c>
      <c r="Q61" s="56" t="s">
        <v>411</v>
      </c>
    </row>
    <row r="62">
      <c r="A62" s="12" t="str">
        <f>IFERROR(__xludf.DUMMYFUNCTION("""COMPUTED_VALUE"""),"6d7357321eceb54a94bbd6eaa5ef2fcd")</f>
        <v>6d7357321eceb54a94bbd6eaa5ef2fcd</v>
      </c>
      <c r="B62" s="12" t="str">
        <f>IFERROR(__xludf.DUMMYFUNCTION("""COMPUTED_VALUE"""),"These unemployment queues are lengthening and the pool of the unemployed is getting deeper. Available data show that the widening “earnings gap” does not merely reflect differences in productivity (or investment in human capital), but is more closely asso"&amp;"ciated with better access to highly paid jobs and positions through family connections and institutional factors (for example, endowment of “symbolic capital” a la Bourdieu), which make the labour market highly segmented. High job turnover and more irregu"&amp;"lar earnings are leading to a large section of the workforce in the ESCWA region falling into the secondary labour market, with low, irregular income and weak social protection.")</f>
        <v>These unemployment queues are lengthening and the pool of the unemployed is getting deeper. Available data show that the widening “earnings gap” does not merely reflect differences in productivity (or investment in human capital), but is more closely associated with better access to highly paid jobs and positions through family connections and institutional factors (for example, endowment of “symbolic capital” a la Bourdieu), which make the labour market highly segmented. High job turnover and more irregular earnings are leading to a large section of the workforce in the ESCWA region falling into the secondary labour market, with low, irregular income and weak social protection.</v>
      </c>
      <c r="C62" s="57"/>
      <c r="D62" s="53" t="b">
        <v>1</v>
      </c>
      <c r="E62" s="53" t="s">
        <v>314</v>
      </c>
      <c r="F62" s="53" t="s">
        <v>314</v>
      </c>
      <c r="G62" s="53" t="b">
        <v>1</v>
      </c>
      <c r="H62" s="53" t="b">
        <v>1</v>
      </c>
      <c r="I62" s="54">
        <v>1.0</v>
      </c>
      <c r="J62" s="55"/>
      <c r="K62" s="55"/>
      <c r="L62" s="55"/>
      <c r="M62" s="55"/>
      <c r="N62" s="55"/>
      <c r="O62" s="54" t="s">
        <v>407</v>
      </c>
      <c r="P62" s="54" t="s">
        <v>407</v>
      </c>
      <c r="Q62" s="56" t="b">
        <v>1</v>
      </c>
    </row>
    <row r="63" hidden="1">
      <c r="A63" s="12" t="str">
        <f>IFERROR(__xludf.DUMMYFUNCTION("""COMPUTED_VALUE"""),"0e822f75a67a049253d6f37d471cd21e")</f>
        <v>0e822f75a67a049253d6f37d471cd21e</v>
      </c>
      <c r="B63" s="12" t="str">
        <f>IFERROR(__xludf.DUMMYFUNCTION("""COMPUTED_VALUE"""),"The Council is under the direct leadership of Japan’s Prime Minister (ESCAR 2016b). Strong political support for innovation can ensure access to and use of technologies. In the region, there is room for countries to improve their ICT infrastructure, such "&amp;"as availability, access and affordability of broadband, Wi-Fi and mobile data-intensive services.")</f>
        <v>The Council is under the direct leadership of Japan’s Prime Minister (ESCAR 2016b). Strong political support for innovation can ensure access to and use of technologies. In the region, there is room for countries to improve their ICT infrastructure, such as availability, access and affordability of broadband, Wi-Fi and mobile data-intensive services.</v>
      </c>
      <c r="C63" s="57"/>
      <c r="D63" s="53" t="b">
        <v>0</v>
      </c>
      <c r="E63" s="53" t="s">
        <v>314</v>
      </c>
      <c r="F63" s="53" t="s">
        <v>314</v>
      </c>
      <c r="G63" s="53" t="b">
        <v>1</v>
      </c>
      <c r="H63" s="53" t="b">
        <v>1</v>
      </c>
      <c r="I63" s="54">
        <v>0.3333333333333333</v>
      </c>
      <c r="J63" s="55"/>
      <c r="K63" s="55"/>
      <c r="L63" s="55"/>
      <c r="M63" s="55"/>
      <c r="N63" s="55"/>
      <c r="O63" s="54" t="s">
        <v>407</v>
      </c>
      <c r="P63" s="54" t="s">
        <v>407</v>
      </c>
      <c r="Q63" s="56" t="s">
        <v>411</v>
      </c>
    </row>
    <row r="64">
      <c r="A64" s="12" t="str">
        <f>IFERROR(__xludf.DUMMYFUNCTION("""COMPUTED_VALUE"""),"425826a425166947a2d472957ec774d0")</f>
        <v>425826a425166947a2d472957ec774d0</v>
      </c>
      <c r="B64" s="12" t="str">
        <f>IFERROR(__xludf.DUMMYFUNCTION("""COMPUTED_VALUE"""),"For example, in such countries as Tunisia, the implementation of these programmes, which are seen as a new form of public jobs, has created a serious burden on the budget. In addition, analysis suggests that while the mentioned reform programmes have gene"&amp;"rated “islands of excellence”, they have failed to initiate broader systemic changes.41 Systemic changes in terms of a structural transformation of Arab economies, diversification away from rents and a move into other technologically advanced sectors, hav"&amp;"e been on the Arab agenda for a while, and in some aspects the process is on an encouraging path. The share of the manufacturing sector, as well as of services such as telecommunications, trade and tourism, are increasing rapidly. Manufacturing is now the"&amp;" second largest sector in Egypt and Jordan.42 However, many manufacturing enterprises continue the low-skilled, low-value-added and low-productivity trend in the region, often using foreign migrant labour, thereby further emphasizing the comparatively low"&amp;" knowledge content of the economy.")</f>
        <v>For example, in such countries as Tunisia, the implementation of these programmes, which are seen as a new form of public jobs, has created a serious burden on the budget. In addition, analysis suggests that while the mentioned reform programmes have generated “islands of excellence”, they have failed to initiate broader systemic changes.41 Systemic changes in terms of a structural transformation of Arab economies, diversification away from rents and a move into other technologically advanced sectors, have been on the Arab agenda for a while, and in some aspects the process is on an encouraging path. The share of the manufacturing sector, as well as of services such as telecommunications, trade and tourism, are increasing rapidly. Manufacturing is now the second largest sector in Egypt and Jordan.42 However, many manufacturing enterprises continue the low-skilled, low-value-added and low-productivity trend in the region, often using foreign migrant labour, thereby further emphasizing the comparatively low knowledge content of the economy.</v>
      </c>
      <c r="C64" s="53"/>
      <c r="D64" s="53" t="b">
        <v>1</v>
      </c>
      <c r="E64" s="53" t="s">
        <v>314</v>
      </c>
      <c r="F64" s="53" t="s">
        <v>314</v>
      </c>
      <c r="G64" s="53" t="b">
        <v>1</v>
      </c>
      <c r="H64" s="53" t="b">
        <v>1</v>
      </c>
      <c r="I64" s="54">
        <v>1.0</v>
      </c>
      <c r="J64" s="55"/>
      <c r="K64" s="55"/>
      <c r="L64" s="55"/>
      <c r="M64" s="55"/>
      <c r="N64" s="55"/>
      <c r="O64" s="54" t="s">
        <v>407</v>
      </c>
      <c r="P64" s="54" t="s">
        <v>407</v>
      </c>
      <c r="Q64" s="56" t="b">
        <v>1</v>
      </c>
    </row>
    <row r="65" hidden="1">
      <c r="A65" s="12" t="str">
        <f>IFERROR(__xludf.DUMMYFUNCTION("""COMPUTED_VALUE"""),"5290acf5bdcc7180e801f5994912d620")</f>
        <v>5290acf5bdcc7180e801f5994912d620</v>
      </c>
      <c r="B65" s="12" t="str">
        <f>IFERROR(__xludf.DUMMYFUNCTION("""COMPUTED_VALUE"""),"But in many cases, the requirements for faculty are primarily to teach, advise, publish and administer - not to be involved in knowledge dissemination to industry and the outside world. The situation could be improved with the establishment of clear rules"&amp;" of the game that provide appropriate stimulus to this sort of collaboration, along with a concerted effort to shift the culture to value such work. Some progress appears to have been made with the amendment to the Science and Technology law in 2009 to pr"&amp;"ioritize university-industry linkages (chapter 1, article 5) as a means of developing the Mexican innovation system.")</f>
        <v>But in many cases, the requirements for faculty are primarily to teach, advise, publish and administer - not to be involved in knowledge dissemination to industry and the outside world. The situation could be improved with the establishment of clear rules of the game that provide appropriate stimulus to this sort of collaboration, along with a concerted effort to shift the culture to value such work. Some progress appears to have been made with the amendment to the Science and Technology law in 2009 to prioritize university-industry linkages (chapter 1, article 5) as a means of developing the Mexican innovation system.</v>
      </c>
      <c r="C65" s="7"/>
      <c r="D65" s="53" t="b">
        <v>0</v>
      </c>
      <c r="E65" s="53" t="s">
        <v>314</v>
      </c>
      <c r="F65" s="53" t="s">
        <v>314</v>
      </c>
      <c r="G65" s="53" t="b">
        <v>1</v>
      </c>
      <c r="H65" s="53" t="b">
        <v>0</v>
      </c>
      <c r="I65" s="54">
        <v>0.3333333333333333</v>
      </c>
      <c r="J65" s="55"/>
      <c r="K65" s="55"/>
      <c r="L65" s="55"/>
      <c r="M65" s="55"/>
      <c r="N65" s="55"/>
      <c r="O65" s="54" t="s">
        <v>407</v>
      </c>
      <c r="P65" s="54" t="s">
        <v>407</v>
      </c>
      <c r="Q65" s="56" t="s">
        <v>411</v>
      </c>
    </row>
    <row r="66">
      <c r="A66" s="12" t="str">
        <f>IFERROR(__xludf.DUMMYFUNCTION("""COMPUTED_VALUE"""),"0b9408bcfcce31690d4527a8af815615")</f>
        <v>0b9408bcfcce31690d4527a8af815615</v>
      </c>
      <c r="B66" s="12" t="str">
        <f>IFERROR(__xludf.DUMMYFUNCTION("""COMPUTED_VALUE"""),"The regression analysis shows that labour regulations have reduced female labour force participation and that recent reforms to liberalise them have mostly benefitted male employment (Daymard and Sorsa,2015). This can reflect the fact that the regulations"&amp;" remain rigid and affect negatively formal job creation (Dougherty, 2008). With sufficient reforms more flexible labour markets are likely to benefit job creation for women as well. In this context the proposed amendment to the Factories Bill in 2014 to r"&amp;"elax female night work are welcome.")</f>
        <v>The regression analysis shows that labour regulations have reduced female labour force participation and that recent reforms to liberalise them have mostly benefitted male employment (Daymard and Sorsa,2015). This can reflect the fact that the regulations remain rigid and affect negatively formal job creation (Dougherty, 2008). With sufficient reforms more flexible labour markets are likely to benefit job creation for women as well. In this context the proposed amendment to the Factories Bill in 2014 to relax female night work are welcome.</v>
      </c>
      <c r="C66" s="58"/>
      <c r="D66" s="53" t="b">
        <v>1</v>
      </c>
      <c r="E66" s="53" t="s">
        <v>314</v>
      </c>
      <c r="F66" s="53" t="s">
        <v>314</v>
      </c>
      <c r="G66" s="53" t="b">
        <v>1</v>
      </c>
      <c r="H66" s="53" t="b">
        <v>1</v>
      </c>
      <c r="I66" s="54">
        <v>1.0</v>
      </c>
      <c r="J66" s="55"/>
      <c r="K66" s="55"/>
      <c r="L66" s="55"/>
      <c r="M66" s="55"/>
      <c r="N66" s="55"/>
      <c r="O66" s="54" t="s">
        <v>407</v>
      </c>
      <c r="P66" s="54" t="s">
        <v>407</v>
      </c>
      <c r="Q66" s="56" t="b">
        <v>1</v>
      </c>
    </row>
    <row r="67">
      <c r="A67" s="12" t="str">
        <f>IFERROR(__xludf.DUMMYFUNCTION("""COMPUTED_VALUE"""),"40ec0d6b63db138b45793d89a691a975")</f>
        <v>40ec0d6b63db138b45793d89a691a975</v>
      </c>
      <c r="B67" s="12" t="str">
        <f>IFERROR(__xludf.DUMMYFUNCTION("""COMPUTED_VALUE"""),"The Department of Labour is planning to introduce an electronic system whereby vacancies registered with them by employers are disseminated to all labour offices more rapidly, and this would be a useful step. The UYF was created in January 2001, and repor"&amp;"ts to the Ministry of Labour while maintaining its own independent status. The UYF functions as a development finance agency and is tasked with promoting entrepreneurship, job creation, skills development and skills transfer among South Africans between t"&amp;"he ages of 18 and 35.")</f>
        <v>The Department of Labour is planning to introduce an electronic system whereby vacancies registered with them by employers are disseminated to all labour offices more rapidly, and this would be a useful step. The UYF was created in January 2001, and reports to the Ministry of Labour while maintaining its own independent status. The UYF functions as a development finance agency and is tasked with promoting entrepreneurship, job creation, skills development and skills transfer among South Africans between the ages of 18 and 35.</v>
      </c>
      <c r="C67" s="57"/>
      <c r="D67" s="53" t="b">
        <v>1</v>
      </c>
      <c r="E67" s="53" t="s">
        <v>314</v>
      </c>
      <c r="F67" s="53" t="s">
        <v>314</v>
      </c>
      <c r="G67" s="53" t="b">
        <v>1</v>
      </c>
      <c r="H67" s="53" t="b">
        <v>1</v>
      </c>
      <c r="I67" s="54">
        <v>1.0</v>
      </c>
      <c r="J67" s="55"/>
      <c r="K67" s="55"/>
      <c r="L67" s="55"/>
      <c r="M67" s="55"/>
      <c r="N67" s="55"/>
      <c r="O67" s="54" t="s">
        <v>407</v>
      </c>
      <c r="P67" s="54" t="s">
        <v>407</v>
      </c>
      <c r="Q67" s="56" t="b">
        <v>1</v>
      </c>
    </row>
    <row r="68">
      <c r="A68" s="12" t="str">
        <f>IFERROR(__xludf.DUMMYFUNCTION("""COMPUTED_VALUE"""),"10f97ba0ebc1aa3b3cdbad3eeebd9af3")</f>
        <v>10f97ba0ebc1aa3b3cdbad3eeebd9af3</v>
      </c>
      <c r="B68" s="12" t="str">
        <f>IFERROR(__xludf.DUMMYFUNCTION("""COMPUTED_VALUE"""),"The A start an Opportunity programme targets NEET youth aged 16-25 who have completed compulsory education and hold at most an upper secondary qualification. The programme allows youth to choose among the following options: fully subsidised work experienc"&amp;"e for five months, training in information and communication skills and integrated counselling including vocational guidance and job-search training. Notably, the conversion of unemployment benefit payments into wage subsidies launched in 2004 was extende"&amp;"d to public sector employment in order to offset very weak job creation in the private sector in the context of the economic slowdown.")</f>
        <v>The A start an Opportunity programme targets NEET youth aged 16-25 who have completed compulsory education and hold at most an upper secondary qualification. The programme allows youth to choose among the following options: fully subsidised work experience for five months, training in information and communication skills and integrated counselling including vocational guidance and job-search training. Notably, the conversion of unemployment benefit payments into wage subsidies launched in 2004 was extended to public sector employment in order to offset very weak job creation in the private sector in the context of the economic slowdown.</v>
      </c>
      <c r="C68" s="7"/>
      <c r="D68" s="53" t="b">
        <v>1</v>
      </c>
      <c r="E68" s="53" t="s">
        <v>314</v>
      </c>
      <c r="F68" s="53" t="s">
        <v>314</v>
      </c>
      <c r="G68" s="53" t="b">
        <v>1</v>
      </c>
      <c r="H68" s="53" t="b">
        <v>1</v>
      </c>
      <c r="I68" s="54">
        <v>1.0</v>
      </c>
      <c r="J68" s="55"/>
      <c r="K68" s="55"/>
      <c r="L68" s="55"/>
      <c r="M68" s="55"/>
      <c r="N68" s="55"/>
      <c r="O68" s="54" t="s">
        <v>407</v>
      </c>
      <c r="P68" s="54" t="s">
        <v>407</v>
      </c>
      <c r="Q68" s="56" t="b">
        <v>1</v>
      </c>
    </row>
    <row r="69" hidden="1">
      <c r="A69" s="12" t="str">
        <f>IFERROR(__xludf.DUMMYFUNCTION("""COMPUTED_VALUE"""),"be9cb61d3d8f89ee5bda2ece2bd52e38")</f>
        <v>be9cb61d3d8f89ee5bda2ece2bd52e38</v>
      </c>
      <c r="B69" s="12" t="str">
        <f>IFERROR(__xludf.DUMMYFUNCTION("""COMPUTED_VALUE"""),"Neudeli is a one-stop-shop that offers the following types of assistance: Raising public awareness (entrepreneurship education, idea scouting, consulting service, organisation of competitions and events etc.), The annual budget of approx. Main partners in"&amp;"clude the Friedrich-Schiller-University in Jena, the Microsoft Deutschland GmbH, the Hochschule fiir Film und Fernsehen Konrad Wolf Pots-dam/Babelsberg, the City of Weimar, and several regional companies.")</f>
        <v>Neudeli is a one-stop-shop that offers the following types of assistance: Raising public awareness (entrepreneurship education, idea scouting, consulting service, organisation of competitions and events etc.), The annual budget of approx. Main partners include the Friedrich-Schiller-University in Jena, the Microsoft Deutschland GmbH, the Hochschule fiir Film und Fernsehen Konrad Wolf Pots-dam/Babelsberg, the City of Weimar, and several regional companies.</v>
      </c>
      <c r="C69" s="58"/>
      <c r="D69" s="53" t="b">
        <v>0</v>
      </c>
      <c r="E69" s="53" t="s">
        <v>314</v>
      </c>
      <c r="F69" s="53" t="s">
        <v>314</v>
      </c>
      <c r="G69" s="53" t="b">
        <v>1</v>
      </c>
      <c r="H69" s="53" t="b">
        <v>0</v>
      </c>
      <c r="I69" s="54">
        <v>0.3333333333333333</v>
      </c>
      <c r="J69" s="55"/>
      <c r="K69" s="55"/>
      <c r="L69" s="55"/>
      <c r="M69" s="55"/>
      <c r="N69" s="55"/>
      <c r="O69" s="54" t="s">
        <v>407</v>
      </c>
      <c r="P69" s="54" t="s">
        <v>407</v>
      </c>
      <c r="Q69" s="56" t="s">
        <v>411</v>
      </c>
    </row>
    <row r="70">
      <c r="A70" s="12" t="str">
        <f>IFERROR(__xludf.DUMMYFUNCTION("""COMPUTED_VALUE"""),"adb4df3b201490f65aeb45aafbdc8ca7")</f>
        <v>adb4df3b201490f65aeb45aafbdc8ca7</v>
      </c>
      <c r="B70" s="12" t="str">
        <f>IFERROR(__xludf.DUMMYFUNCTION("""COMPUTED_VALUE"""),"The Socio-Cultural Blueprint builds on the idea of multistakeholder and multi-sectoral engagement and calls for promotion and integration of Sustainable Consumption and Production Strategy and best practices into national and regional policies or as part "&amp;"of CSR activities (ASEAN, 2016b). The Political-Security7 Blueprint calls for strengthening collaboration with the private sector and other relevant stakeholders to instil CSR (ASEAN, 2016c). Notably, at the 24* ASEAN Labour Ministerial Meeting on 15 May "&amp;"2016 in Vientiane, ASEAN labour ministers adopted the Guidelines for Corporate Social Responsibility on Labour to provide broad guidance to governments, enterprises, employers’ and workers’ organisations on raising awareness, proactively encouraging engag"&amp;"ement, and promoting social dialogue and compliance with core labour standards (ASEAN, 2016d).")</f>
        <v>The Socio-Cultural Blueprint builds on the idea of multistakeholder and multi-sectoral engagement and calls for promotion and integration of Sustainable Consumption and Production Strategy and best practices into national and regional policies or as part of CSR activities (ASEAN, 2016b). The Political-Security7 Blueprint calls for strengthening collaboration with the private sector and other relevant stakeholders to instil CSR (ASEAN, 2016c). Notably, at the 24* ASEAN Labour Ministerial Meeting on 15 May 2016 in Vientiane, ASEAN labour ministers adopted the Guidelines for Corporate Social Responsibility on Labour to provide broad guidance to governments, enterprises, employers’ and workers’ organisations on raising awareness, proactively encouraging engagement, and promoting social dialogue and compliance with core labour standards (ASEAN, 2016d).</v>
      </c>
      <c r="C70" s="7"/>
      <c r="D70" s="53" t="b">
        <v>1</v>
      </c>
      <c r="E70" s="53" t="s">
        <v>314</v>
      </c>
      <c r="F70" s="53" t="s">
        <v>314</v>
      </c>
      <c r="G70" s="53" t="b">
        <v>1</v>
      </c>
      <c r="H70" s="53" t="b">
        <v>1</v>
      </c>
      <c r="I70" s="54">
        <v>1.0</v>
      </c>
      <c r="J70" s="55"/>
      <c r="K70" s="55"/>
      <c r="L70" s="55"/>
      <c r="M70" s="55"/>
      <c r="N70" s="55"/>
      <c r="O70" s="54" t="s">
        <v>407</v>
      </c>
      <c r="P70" s="54" t="s">
        <v>407</v>
      </c>
      <c r="Q70" s="56" t="b">
        <v>1</v>
      </c>
    </row>
    <row r="71">
      <c r="A71" s="12" t="str">
        <f>IFERROR(__xludf.DUMMYFUNCTION("""COMPUTED_VALUE"""),"f60033c993d8a8e89a912b5da7307e39")</f>
        <v>f60033c993d8a8e89a912b5da7307e39</v>
      </c>
      <c r="B71" s="12" t="str">
        <f>IFERROR(__xludf.DUMMYFUNCTION("""COMPUTED_VALUE"""),"The underlying measurement framework should be clearly specified. Note: Based on national circumstances, countries may also wish to collect data on activities by children which are outside the general production boundary, such as begging and stealing, and"&amp;" which may need to be considered in the context of the worst forms of child labour. All persons in the age group from 5 to 17 years, where age is measured as the number of completed years at the child's latest birthday (see glossary). It may be designed e"&amp;"ither as a stand-alone survey or as a module attached to another household-based survey.")</f>
        <v>The underlying measurement framework should be clearly specified. Note: Based on national circumstances, countries may also wish to collect data on activities by children which are outside the general production boundary, such as begging and stealing, and which may need to be considered in the context of the worst forms of child labour. All persons in the age group from 5 to 17 years, where age is measured as the number of completed years at the child's latest birthday (see glossary). It may be designed either as a stand-alone survey or as a module attached to another household-based survey.</v>
      </c>
      <c r="C71" s="57"/>
      <c r="D71" s="53" t="b">
        <v>1</v>
      </c>
      <c r="E71" s="53" t="s">
        <v>314</v>
      </c>
      <c r="F71" s="53" t="s">
        <v>314</v>
      </c>
      <c r="G71" s="53" t="b">
        <v>1</v>
      </c>
      <c r="H71" s="53" t="b">
        <v>1</v>
      </c>
      <c r="I71" s="54">
        <v>1.0</v>
      </c>
      <c r="J71" s="55"/>
      <c r="K71" s="55"/>
      <c r="L71" s="55"/>
      <c r="M71" s="55"/>
      <c r="N71" s="55"/>
      <c r="O71" s="54" t="s">
        <v>407</v>
      </c>
      <c r="P71" s="54" t="s">
        <v>407</v>
      </c>
      <c r="Q71" s="56" t="b">
        <v>1</v>
      </c>
    </row>
    <row r="72">
      <c r="A72" s="12" t="str">
        <f>IFERROR(__xludf.DUMMYFUNCTION("""COMPUTED_VALUE"""),"a16fd3eb571bfa4eae01a4de150d19ee")</f>
        <v>a16fd3eb571bfa4eae01a4de150d19ee</v>
      </c>
      <c r="B72" s="12" t="str">
        <f>IFERROR(__xludf.DUMMYFUNCTION("""COMPUTED_VALUE"""),"Cambodia has a high potential for renewable energy and a fledgling solar industry, spurred in part by donor financed programmes over the past decade. Despite this, no renewable energy policy exists and no incentives are in place to spur the uptake of grid"&amp;"-connected renewables, and power development plans do not reflect the potential for green energy in the country. Similarly, there is no policy framew'ork in place to support energy efficiency.")</f>
        <v>Cambodia has a high potential for renewable energy and a fledgling solar industry, spurred in part by donor financed programmes over the past decade. Despite this, no renewable energy policy exists and no incentives are in place to spur the uptake of grid-connected renewables, and power development plans do not reflect the potential for green energy in the country. Similarly, there is no policy framew'ork in place to support energy efficiency.</v>
      </c>
      <c r="C72" s="58"/>
      <c r="D72" s="53" t="b">
        <v>0</v>
      </c>
      <c r="E72" s="53" t="s">
        <v>314</v>
      </c>
      <c r="F72" s="53" t="s">
        <v>314</v>
      </c>
      <c r="G72" s="53" t="b">
        <v>0</v>
      </c>
      <c r="H72" s="53" t="b">
        <v>0</v>
      </c>
      <c r="I72" s="54">
        <v>1.0</v>
      </c>
      <c r="J72" s="55"/>
      <c r="K72" s="55"/>
      <c r="L72" s="55"/>
      <c r="M72" s="55"/>
      <c r="N72" s="55"/>
      <c r="O72" s="54" t="s">
        <v>407</v>
      </c>
      <c r="P72" s="54" t="s">
        <v>407</v>
      </c>
      <c r="Q72" s="56" t="b">
        <v>0</v>
      </c>
    </row>
    <row r="73">
      <c r="A73" s="12" t="str">
        <f>IFERROR(__xludf.DUMMYFUNCTION("""COMPUTED_VALUE"""),"78f3ebf3e5f7694cd87c11451a733149")</f>
        <v>78f3ebf3e5f7694cd87c11451a733149</v>
      </c>
      <c r="B73" s="12" t="str">
        <f>IFERROR(__xludf.DUMMYFUNCTION("""COMPUTED_VALUE"""),"It strives to ensure that individual, short-term planning decisions support strategic, long-term goals. To be sustainable, tourism transport must be resource efficient, sensitive to cultural and environmental impacts, and benefit (or at least avoid harmin"&amp;"g) disadvantaged groups. For example, it allows resources currently dedicated to roads and parking facilities to be used to improve alternative modes or implement transportation demand management programs if they are most cost effective overall.")</f>
        <v>It strives to ensure that individual, short-term planning decisions support strategic, long-term goals. To be sustainable, tourism transport must be resource efficient, sensitive to cultural and environmental impacts, and benefit (or at least avoid harming) disadvantaged groups. For example, it allows resources currently dedicated to roads and parking facilities to be used to improve alternative modes or implement transportation demand management programs if they are most cost effective overall.</v>
      </c>
      <c r="C73" s="57"/>
      <c r="D73" s="53" t="b">
        <v>1</v>
      </c>
      <c r="E73" s="53" t="s">
        <v>314</v>
      </c>
      <c r="F73" s="53" t="s">
        <v>314</v>
      </c>
      <c r="G73" s="53" t="b">
        <v>1</v>
      </c>
      <c r="H73" s="53" t="b">
        <v>1</v>
      </c>
      <c r="I73" s="54">
        <v>1.0</v>
      </c>
      <c r="J73" s="55"/>
      <c r="K73" s="55"/>
      <c r="L73" s="55"/>
      <c r="M73" s="55"/>
      <c r="N73" s="55"/>
      <c r="O73" s="54" t="s">
        <v>407</v>
      </c>
      <c r="P73" s="54" t="s">
        <v>407</v>
      </c>
      <c r="Q73" s="56" t="b">
        <v>1</v>
      </c>
    </row>
    <row r="74">
      <c r="A74" s="12" t="str">
        <f>IFERROR(__xludf.DUMMYFUNCTION("""COMPUTED_VALUE"""),"25911ca0ddc7c5c23f6e6455993643bc")</f>
        <v>25911ca0ddc7c5c23f6e6455993643bc</v>
      </c>
      <c r="B74" s="12" t="str">
        <f>IFERROR(__xludf.DUMMYFUNCTION("""COMPUTED_VALUE"""),"Differences are lowest in the public sector, and the rural employment programme provides equal pay for both genders. The differences in wages can partly reflect overall education levels and the types of sectors where women work (World Bank, 2012) but disc"&amp;"rimination by gender is also likely to contribute. The legal framework for equal pay is not always enforced (Equal Remuneration Act of 1976), partly reflecting the large share of the informal sector (about 95% of employment). Unpaid family workers do not "&amp;"report wages therefore they are not included.")</f>
        <v>Differences are lowest in the public sector, and the rural employment programme provides equal pay for both genders. The differences in wages can partly reflect overall education levels and the types of sectors where women work (World Bank, 2012) but discrimination by gender is also likely to contribute. The legal framework for equal pay is not always enforced (Equal Remuneration Act of 1976), partly reflecting the large share of the informal sector (about 95% of employment). Unpaid family workers do not report wages therefore they are not included.</v>
      </c>
      <c r="C74" s="57"/>
      <c r="D74" s="53" t="b">
        <v>1</v>
      </c>
      <c r="E74" s="53" t="s">
        <v>314</v>
      </c>
      <c r="F74" s="53" t="s">
        <v>314</v>
      </c>
      <c r="G74" s="53" t="b">
        <v>1</v>
      </c>
      <c r="H74" s="53" t="b">
        <v>1</v>
      </c>
      <c r="I74" s="54">
        <v>1.0</v>
      </c>
      <c r="J74" s="55"/>
      <c r="K74" s="55"/>
      <c r="L74" s="55"/>
      <c r="M74" s="55"/>
      <c r="N74" s="55"/>
      <c r="O74" s="54" t="s">
        <v>407</v>
      </c>
      <c r="P74" s="54" t="s">
        <v>407</v>
      </c>
      <c r="Q74" s="56" t="b">
        <v>1</v>
      </c>
    </row>
    <row r="75">
      <c r="A75" s="12" t="str">
        <f>IFERROR(__xludf.DUMMYFUNCTION("""COMPUTED_VALUE"""),"81f8351fa76a5ab86e6b49055f025557")</f>
        <v>81f8351fa76a5ab86e6b49055f025557</v>
      </c>
      <c r="B75" s="12" t="str">
        <f>IFERROR(__xludf.DUMMYFUNCTION("""COMPUTED_VALUE"""),"While not available as a benefit on the federal level, three of Germany’s 16 federal states continue paying a comparable benefit on a state level. Provision for this age group is dominated by the comprehensive ecole maternelle (preschool) system - public,"&amp;" centre-based services that, like the Swedish preschools, are considered a core part of the national education system. Already in the early 1960s the system catered for almost two-thirds of children aged 3-5 years and since 1989, all 3-5 year-olds have be"&amp;"en entitled to a place in the local ecole maternelle, with participation effectively at 100% ever since. Public nurseries are complemented by a system of private qualified childminders and in-home nannies, whose cost are partly subsidised.")</f>
        <v>While not available as a benefit on the federal level, three of Germany’s 16 federal states continue paying a comparable benefit on a state level. Provision for this age group is dominated by the comprehensive ecole maternelle (preschool) system - public, centre-based services that, like the Swedish preschools, are considered a core part of the national education system. Already in the early 1960s the system catered for almost two-thirds of children aged 3-5 years and since 1989, all 3-5 year-olds have been entitled to a place in the local ecole maternelle, with participation effectively at 100% ever since. Public nurseries are complemented by a system of private qualified childminders and in-home nannies, whose cost are partly subsidised.</v>
      </c>
      <c r="C75" s="58"/>
      <c r="D75" s="53" t="b">
        <v>0</v>
      </c>
      <c r="E75" s="53" t="s">
        <v>314</v>
      </c>
      <c r="F75" s="53" t="s">
        <v>314</v>
      </c>
      <c r="G75" s="53" t="b">
        <v>0</v>
      </c>
      <c r="H75" s="53" t="b">
        <v>0</v>
      </c>
      <c r="I75" s="54">
        <v>1.0</v>
      </c>
      <c r="J75" s="55"/>
      <c r="K75" s="55"/>
      <c r="L75" s="55"/>
      <c r="M75" s="55"/>
      <c r="N75" s="55"/>
      <c r="O75" s="54" t="s">
        <v>407</v>
      </c>
      <c r="P75" s="54" t="s">
        <v>407</v>
      </c>
      <c r="Q75" s="56" t="b">
        <v>0</v>
      </c>
    </row>
    <row r="76">
      <c r="A76" s="12" t="str">
        <f>IFERROR(__xludf.DUMMYFUNCTION("""COMPUTED_VALUE"""),"b93792a22229288e77161b757828f3f5")</f>
        <v>b93792a22229288e77161b757828f3f5</v>
      </c>
      <c r="B76" s="12" t="str">
        <f>IFERROR(__xludf.DUMMYFUNCTION("""COMPUTED_VALUE"""),"It concludes by analysing performance indicators, which measure the degree of protection that exists against the risks described. These are the attributes on which the ILO bases its definition of decent work, and they serve as a reference for establishing"&amp;" international standards in this area. Unpaid work —in other words, the production of goods and services by household members, for which there is no market valuation but which contributes to family and social welfare— is excluded from the analysis.")</f>
        <v>It concludes by analysing performance indicators, which measure the degree of protection that exists against the risks described. These are the attributes on which the ILO bases its definition of decent work, and they serve as a reference for establishing international standards in this area. Unpaid work —in other words, the production of goods and services by household members, for which there is no market valuation but which contributes to family and social welfare— is excluded from the analysis.</v>
      </c>
      <c r="C76" s="53"/>
      <c r="D76" s="53" t="b">
        <v>1</v>
      </c>
      <c r="E76" s="53" t="s">
        <v>314</v>
      </c>
      <c r="F76" s="53" t="s">
        <v>314</v>
      </c>
      <c r="G76" s="53" t="b">
        <v>1</v>
      </c>
      <c r="H76" s="53" t="b">
        <v>1</v>
      </c>
      <c r="I76" s="54">
        <v>1.0</v>
      </c>
      <c r="J76" s="55"/>
      <c r="K76" s="55"/>
      <c r="L76" s="55"/>
      <c r="M76" s="55"/>
      <c r="N76" s="55"/>
      <c r="O76" s="54" t="s">
        <v>407</v>
      </c>
      <c r="P76" s="54" t="s">
        <v>407</v>
      </c>
      <c r="Q76" s="56" t="b">
        <v>1</v>
      </c>
    </row>
    <row r="77">
      <c r="A77" s="12" t="str">
        <f>IFERROR(__xludf.DUMMYFUNCTION("""COMPUTED_VALUE"""),"d819bb65d9d289d8876432acaa1195db")</f>
        <v>d819bb65d9d289d8876432acaa1195db</v>
      </c>
      <c r="B77" s="12" t="str">
        <f>IFERROR(__xludf.DUMMYFUNCTION("""COMPUTED_VALUE"""),"The tax rates are adjusted for country-specific average annual inflation rates over the period 2011-16. A low-rate (high-rate) taxpayer lias relatively low (high) income and wealth. Savings in private pensions are assumed not to give rise to reductions in"&amp;" means-tested public pensions, which can raise marginal taxes substantially.")</f>
        <v>The tax rates are adjusted for country-specific average annual inflation rates over the period 2011-16. A low-rate (high-rate) taxpayer lias relatively low (high) income and wealth. Savings in private pensions are assumed not to give rise to reductions in means-tested public pensions, which can raise marginal taxes substantially.</v>
      </c>
      <c r="C77" s="58"/>
      <c r="D77" s="53" t="b">
        <v>0</v>
      </c>
      <c r="E77" s="53" t="s">
        <v>314</v>
      </c>
      <c r="F77" s="53" t="s">
        <v>314</v>
      </c>
      <c r="G77" s="53" t="b">
        <v>0</v>
      </c>
      <c r="H77" s="53" t="b">
        <v>0</v>
      </c>
      <c r="I77" s="54">
        <v>1.0</v>
      </c>
      <c r="J77" s="55"/>
      <c r="K77" s="55"/>
      <c r="L77" s="55"/>
      <c r="M77" s="55"/>
      <c r="N77" s="55"/>
      <c r="O77" s="54" t="s">
        <v>407</v>
      </c>
      <c r="P77" s="54" t="s">
        <v>407</v>
      </c>
      <c r="Q77" s="56" t="b">
        <v>0</v>
      </c>
    </row>
    <row r="78">
      <c r="A78" s="12" t="str">
        <f>IFERROR(__xludf.DUMMYFUNCTION("""COMPUTED_VALUE"""),"1eb8f57cbc0f3c5efbf6ecb80704e369")</f>
        <v>1eb8f57cbc0f3c5efbf6ecb80704e369</v>
      </c>
      <c r="B78" s="12" t="str">
        <f>IFERROR(__xludf.DUMMYFUNCTION("""COMPUTED_VALUE"""),"Education levels are defined as follows: ‘low-educated’: at most lower-secondary education (ISCED levels 0-2), 'medium-educated': upper- or post-secondary education (3-4), ‘highly-educated’: tertiary education (5-6). Due to missing information on educatio"&amp;"nal attainment for some individuals, there are disparities between the total change in the number of employed youth (diamonds) and the variation aggregated across levels of education for Denmark, Estonia, Finland, Ireland, New Zealand, Norway and Turkey. "&amp;"Information on the level of education of employed youth is missing or incomplete for Chile, Japan and Korea.")</f>
        <v>Education levels are defined as follows: ‘low-educated’: at most lower-secondary education (ISCED levels 0-2), 'medium-educated': upper- or post-secondary education (3-4), ‘highly-educated’: tertiary education (5-6). Due to missing information on educational attainment for some individuals, there are disparities between the total change in the number of employed youth (diamonds) and the variation aggregated across levels of education for Denmark, Estonia, Finland, Ireland, New Zealand, Norway and Turkey. Information on the level of education of employed youth is missing or incomplete for Chile, Japan and Korea.</v>
      </c>
      <c r="C78" s="58"/>
      <c r="D78" s="53" t="b">
        <v>0</v>
      </c>
      <c r="E78" s="53" t="s">
        <v>314</v>
      </c>
      <c r="F78" s="53" t="s">
        <v>314</v>
      </c>
      <c r="G78" s="53" t="b">
        <v>0</v>
      </c>
      <c r="H78" s="53" t="b">
        <v>0</v>
      </c>
      <c r="I78" s="54">
        <v>1.0</v>
      </c>
      <c r="J78" s="55"/>
      <c r="K78" s="55"/>
      <c r="L78" s="55"/>
      <c r="M78" s="55"/>
      <c r="N78" s="55"/>
      <c r="O78" s="54" t="s">
        <v>407</v>
      </c>
      <c r="P78" s="54" t="s">
        <v>407</v>
      </c>
      <c r="Q78" s="56" t="b">
        <v>0</v>
      </c>
    </row>
    <row r="79">
      <c r="A79" s="12" t="str">
        <f>IFERROR(__xludf.DUMMYFUNCTION("""COMPUTED_VALUE"""),"e2aaf76565083f6a4f0e54209e8ce46d")</f>
        <v>e2aaf76565083f6a4f0e54209e8ce46d</v>
      </c>
      <c r="B79" s="12" t="str">
        <f>IFERROR(__xludf.DUMMYFUNCTION("""COMPUTED_VALUE"""),"The cases of El Salvador, Guatemala and Honduras confirm this: up until 2000, young adults (aged 30-44) displayed a slightly higher level of participation, although the difference was not statistically significant (Figure 3.32). In the last decade, as gen"&amp;"eral violence has been increasing, rates of participation for some segments of the youth population have increased in tandem. Mass media most often highlight organised forms of urban violence among the young (usually males) in gangs by the name of pandill"&amp;"as, maras, clicas or combos, depending on the country.")</f>
        <v>The cases of El Salvador, Guatemala and Honduras confirm this: up until 2000, young adults (aged 30-44) displayed a slightly higher level of participation, although the difference was not statistically significant (Figure 3.32). In the last decade, as general violence has been increasing, rates of participation for some segments of the youth population have increased in tandem. Mass media most often highlight organised forms of urban violence among the young (usually males) in gangs by the name of pandillas, maras, clicas or combos, depending on the country.</v>
      </c>
      <c r="C79" s="57"/>
      <c r="D79" s="53" t="b">
        <v>0</v>
      </c>
      <c r="E79" s="53" t="s">
        <v>314</v>
      </c>
      <c r="F79" s="53" t="s">
        <v>314</v>
      </c>
      <c r="G79" s="53" t="b">
        <v>0</v>
      </c>
      <c r="H79" s="53" t="b">
        <v>0</v>
      </c>
      <c r="I79" s="54">
        <v>1.0</v>
      </c>
      <c r="J79" s="55"/>
      <c r="K79" s="55"/>
      <c r="L79" s="55"/>
      <c r="M79" s="55"/>
      <c r="N79" s="55"/>
      <c r="O79" s="54" t="s">
        <v>407</v>
      </c>
      <c r="P79" s="54" t="s">
        <v>407</v>
      </c>
      <c r="Q79" s="56" t="b">
        <v>0</v>
      </c>
    </row>
    <row r="80" hidden="1">
      <c r="A80" s="12" t="str">
        <f>IFERROR(__xludf.DUMMYFUNCTION("""COMPUTED_VALUE"""),"cb53b41786f142323863008e58735b71")</f>
        <v>cb53b41786f142323863008e58735b71</v>
      </c>
      <c r="B80" s="12" t="str">
        <f>IFERROR(__xludf.DUMMYFUNCTION("""COMPUTED_VALUE"""),"The centres co-operate closely with the educational institutions and the municipal job centre, for which young people are also a target group. The guidance centres have access to a database with a full overview of the education and training of each person"&amp;" under age 25 within the municipality who has not finished upper secondary education. This enables a quicker identification of vulnerable youth. Planning involves meeting pupils and parents and building on pupils’ school records, which provide information"&amp;" on their achievements, interests, expectations for the future, and how they wish to develop.")</f>
        <v>The centres co-operate closely with the educational institutions and the municipal job centre, for which young people are also a target group. The guidance centres have access to a database with a full overview of the education and training of each person under age 25 within the municipality who has not finished upper secondary education. This enables a quicker identification of vulnerable youth. Planning involves meeting pupils and parents and building on pupils’ school records, which provide information on their achievements, interests, expectations for the future, and how they wish to develop.</v>
      </c>
      <c r="C80" s="57"/>
      <c r="D80" s="53" t="b">
        <v>0</v>
      </c>
      <c r="E80" s="53" t="s">
        <v>314</v>
      </c>
      <c r="F80" s="53" t="s">
        <v>314</v>
      </c>
      <c r="G80" s="53" t="b">
        <v>1</v>
      </c>
      <c r="H80" s="53" t="b">
        <v>0</v>
      </c>
      <c r="I80" s="54">
        <v>0.3333333333333333</v>
      </c>
      <c r="J80" s="55"/>
      <c r="K80" s="55"/>
      <c r="L80" s="55"/>
      <c r="M80" s="55"/>
      <c r="N80" s="55"/>
      <c r="O80" s="54" t="s">
        <v>407</v>
      </c>
      <c r="P80" s="54" t="s">
        <v>407</v>
      </c>
      <c r="Q80" s="56" t="s">
        <v>411</v>
      </c>
    </row>
    <row r="81" hidden="1">
      <c r="A81" s="12" t="str">
        <f>IFERROR(__xludf.DUMMYFUNCTION("""COMPUTED_VALUE"""),"b5031e53be4d5997576c11ca86133ec5")</f>
        <v>b5031e53be4d5997576c11ca86133ec5</v>
      </c>
      <c r="B81" s="12" t="str">
        <f>IFERROR(__xludf.DUMMYFUNCTION("""COMPUTED_VALUE"""),"Second-chance schools should contact school drop-outs as early as possible and encourage them to enrol. These schools cater for students who have become disaffected with mainstream education by providing essential basic skills through interdisciplinary an"&amp;"d more practical learning methods, but enrolments need to be encouraged and early action is key. One way to do so would be to offer youth without qualifications who have been NEET for some time a small allowance in exchange for the commitment to attend ed"&amp;"ucation, training or some form of work-based learning. A scheme along these lines - the Activity Agreement - is currently being piloted in the United Kingdom and this could serve as a model for Greece.")</f>
        <v>Second-chance schools should contact school drop-outs as early as possible and encourage them to enrol. These schools cater for students who have become disaffected with mainstream education by providing essential basic skills through interdisciplinary and more practical learning methods, but enrolments need to be encouraged and early action is key. One way to do so would be to offer youth without qualifications who have been NEET for some time a small allowance in exchange for the commitment to attend education, training or some form of work-based learning. A scheme along these lines - the Activity Agreement - is currently being piloted in the United Kingdom and this could serve as a model for Greece.</v>
      </c>
      <c r="C81" s="7"/>
      <c r="D81" s="53" t="b">
        <v>1</v>
      </c>
      <c r="E81" s="53" t="s">
        <v>314</v>
      </c>
      <c r="F81" s="53" t="s">
        <v>314</v>
      </c>
      <c r="G81" s="53" t="b">
        <v>1</v>
      </c>
      <c r="H81" s="53" t="b">
        <v>0</v>
      </c>
      <c r="I81" s="54">
        <v>0.3333333333333333</v>
      </c>
      <c r="J81" s="55"/>
      <c r="K81" s="55"/>
      <c r="L81" s="55"/>
      <c r="M81" s="55"/>
      <c r="N81" s="55"/>
      <c r="O81" s="54" t="s">
        <v>407</v>
      </c>
      <c r="P81" s="54" t="s">
        <v>407</v>
      </c>
      <c r="Q81" s="56" t="s">
        <v>411</v>
      </c>
    </row>
    <row r="82">
      <c r="A82" s="12" t="str">
        <f>IFERROR(__xludf.DUMMYFUNCTION("""COMPUTED_VALUE"""),"2fceff92708c0b6f4104b8082e25a737")</f>
        <v>2fceff92708c0b6f4104b8082e25a737</v>
      </c>
      <c r="B82" s="12" t="str">
        <f>IFERROR(__xludf.DUMMYFUNCTION("""COMPUTED_VALUE"""),"Where data are insufficient or differences small, lower and upper middle-income countries will be looked at as a single middle-income country (MIC) category. Then the definitions are detailed for each labour market concept used in this report, which concl"&amp;"udes with an explanation of the data used. Young people under 15 fall under the ILO’s child labour convention and should not be working.")</f>
        <v>Where data are insufficient or differences small, lower and upper middle-income countries will be looked at as a single middle-income country (MIC) category. Then the definitions are detailed for each labour market concept used in this report, which concludes with an explanation of the data used. Young people under 15 fall under the ILO’s child labour convention and should not be working.</v>
      </c>
      <c r="C82" s="57"/>
      <c r="D82" s="53" t="b">
        <v>1</v>
      </c>
      <c r="E82" s="53" t="s">
        <v>314</v>
      </c>
      <c r="F82" s="53" t="s">
        <v>314</v>
      </c>
      <c r="G82" s="53" t="b">
        <v>1</v>
      </c>
      <c r="H82" s="53" t="b">
        <v>1</v>
      </c>
      <c r="I82" s="54">
        <v>1.0</v>
      </c>
      <c r="J82" s="55" t="s">
        <v>254</v>
      </c>
      <c r="K82" s="55"/>
      <c r="L82" s="55"/>
      <c r="M82" s="55"/>
      <c r="N82" s="55"/>
      <c r="O82" s="54" t="s">
        <v>429</v>
      </c>
      <c r="P82" s="54" t="s">
        <v>429</v>
      </c>
      <c r="Q82" s="56" t="b">
        <v>1</v>
      </c>
    </row>
    <row r="83" hidden="1">
      <c r="A83" s="12" t="str">
        <f>IFERROR(__xludf.DUMMYFUNCTION("""COMPUTED_VALUE"""),"f5bc533f22c0d96db907a4faa9509f34")</f>
        <v>f5bc533f22c0d96db907a4faa9509f34</v>
      </c>
      <c r="B83" s="12" t="str">
        <f>IFERROR(__xludf.DUMMYFUNCTION("""COMPUTED_VALUE"""),"Backward and forward linkages should also be reinforced, in particular by creating natural resource-based production clusters. These are sectoral and/or geographical concentrations of enterprises engaged in interlinked activities based on the exploitation"&amp;" and processing of natural resources and their supporting industries (UNECA, 2013). The data in annex table 4, show that the resource gap of fuel-exporting LDCs is positive, which means that their savings rate is higher than their investment rate.")</f>
        <v>Backward and forward linkages should also be reinforced, in particular by creating natural resource-based production clusters. These are sectoral and/or geographical concentrations of enterprises engaged in interlinked activities based on the exploitation and processing of natural resources and their supporting industries (UNECA, 2013). The data in annex table 4, show that the resource gap of fuel-exporting LDCs is positive, which means that their savings rate is higher than their investment rate.</v>
      </c>
      <c r="C83" s="57"/>
      <c r="D83" s="53" t="b">
        <v>0</v>
      </c>
      <c r="E83" s="53" t="s">
        <v>314</v>
      </c>
      <c r="F83" s="53" t="s">
        <v>314</v>
      </c>
      <c r="G83" s="53" t="b">
        <v>1</v>
      </c>
      <c r="H83" s="53" t="b">
        <v>0</v>
      </c>
      <c r="I83" s="54">
        <v>0.3333333333333333</v>
      </c>
      <c r="J83" s="55"/>
      <c r="K83" s="55"/>
      <c r="L83" s="55"/>
      <c r="M83" s="55"/>
      <c r="N83" s="55" t="s">
        <v>319</v>
      </c>
      <c r="O83" s="54" t="s">
        <v>430</v>
      </c>
      <c r="P83" s="54" t="s">
        <v>430</v>
      </c>
      <c r="Q83" s="56" t="s">
        <v>411</v>
      </c>
    </row>
    <row r="84">
      <c r="A84" s="12" t="str">
        <f>IFERROR(__xludf.DUMMYFUNCTION("""COMPUTED_VALUE"""),"a2a1406ca4e1c582fd4b56ba0e361c57")</f>
        <v>a2a1406ca4e1c582fd4b56ba0e361c57</v>
      </c>
      <c r="B84" s="12" t="str">
        <f>IFERROR(__xludf.DUMMYFUNCTION("""COMPUTED_VALUE"""),"The government has made efforts to improve the legal and regulatory framework for addressing these crimes, but capacity issues remain a persistent challenge in enforcing the existing laws. The legal framework could be further aligned with international no"&amp;"rms. In November 2015, all ASEAN member states signed the ASEAN Convention against Trafficking in Persons, Especially Women and Children. In December 2015, the Lao National Assembly approved the first trafficking-specific law, promulgated in February 2016"&amp;" (US Department of State, 2016).")</f>
        <v>The government has made efforts to improve the legal and regulatory framework for addressing these crimes, but capacity issues remain a persistent challenge in enforcing the existing laws. The legal framework could be further aligned with international norms. In November 2015, all ASEAN member states signed the ASEAN Convention against Trafficking in Persons, Especially Women and Children. In December 2015, the Lao National Assembly approved the first trafficking-specific law, promulgated in February 2016 (US Department of State, 2016).</v>
      </c>
      <c r="C84" s="58"/>
      <c r="D84" s="53" t="b">
        <v>1</v>
      </c>
      <c r="E84" s="53" t="s">
        <v>314</v>
      </c>
      <c r="F84" s="53" t="s">
        <v>314</v>
      </c>
      <c r="G84" s="53" t="b">
        <v>1</v>
      </c>
      <c r="H84" s="53" t="b">
        <v>1</v>
      </c>
      <c r="I84" s="54">
        <v>1.0</v>
      </c>
      <c r="J84" s="55"/>
      <c r="K84" s="55"/>
      <c r="L84" s="55"/>
      <c r="M84" s="55"/>
      <c r="N84" s="55" t="s">
        <v>326</v>
      </c>
      <c r="O84" s="54" t="s">
        <v>431</v>
      </c>
      <c r="P84" s="54" t="s">
        <v>431</v>
      </c>
      <c r="Q84" s="56" t="b">
        <v>1</v>
      </c>
    </row>
    <row r="85">
      <c r="A85" s="12" t="str">
        <f>IFERROR(__xludf.DUMMYFUNCTION("""COMPUTED_VALUE"""),"58fe33eed0a880dafe2c002db1a681ff")</f>
        <v>58fe33eed0a880dafe2c002db1a681ff</v>
      </c>
      <c r="B85" s="12" t="str">
        <f>IFERROR(__xludf.DUMMYFUNCTION("""COMPUTED_VALUE"""),"For example, the son bias, which seems important in India (see Figure 2.10), can be influenced by the tradition of Dowry payments for girls, which continues despite the Dowry Prohibition Act of 1961 abolishing it. Another area of weak implementation is in"&amp;"heritance laws (World Bank, 2012), while the equal pay laws were already mentioned above. The monitoring of the implementation of many existing laws on gender equality should be reinforced.")</f>
        <v>For example, the son bias, which seems important in India (see Figure 2.10), can be influenced by the tradition of Dowry payments for girls, which continues despite the Dowry Prohibition Act of 1961 abolishing it. Another area of weak implementation is inheritance laws (World Bank, 2012), while the equal pay laws were already mentioned above. The monitoring of the implementation of many existing laws on gender equality should be reinforced.</v>
      </c>
      <c r="C85" s="58"/>
      <c r="D85" s="53" t="b">
        <v>0</v>
      </c>
      <c r="E85" s="53" t="s">
        <v>314</v>
      </c>
      <c r="F85" s="53" t="s">
        <v>314</v>
      </c>
      <c r="G85" s="53" t="b">
        <v>0</v>
      </c>
      <c r="H85" s="53" t="b">
        <v>0</v>
      </c>
      <c r="I85" s="54">
        <v>1.0</v>
      </c>
      <c r="J85" s="55"/>
      <c r="K85" s="55"/>
      <c r="L85" s="55"/>
      <c r="M85" s="55"/>
      <c r="N85" s="55"/>
      <c r="O85" s="54" t="s">
        <v>407</v>
      </c>
      <c r="P85" s="54" t="s">
        <v>407</v>
      </c>
      <c r="Q85" s="56" t="b">
        <v>0</v>
      </c>
    </row>
    <row r="86">
      <c r="A86" s="12" t="str">
        <f>IFERROR(__xludf.DUMMYFUNCTION("""COMPUTED_VALUE"""),"cbc788c78b9886366b0521094a2edf33")</f>
        <v>cbc788c78b9886366b0521094a2edf33</v>
      </c>
      <c r="B86" s="12" t="str">
        <f>IFERROR(__xludf.DUMMYFUNCTION("""COMPUTED_VALUE"""),"However, women in skill cells with a higher share of foreign-bom women do appear to earn higher incomes at the national level. This could be due to the increased participation of native-born women in the labour market due to immigrant women taking over ch"&amp;"ildcare and household services (Furtado, 2015, Peri, 2014, see also Chapters 3 and 5). Furthermore, a significant and positive regional effect is observed when considering the impact on real wages of South African-bom workers - a one percentage point incr"&amp;"ease in the share of immigrants is associated with an almost 1% increase in the real wages of the native-born workers (Table 4.A2.1). By 2011, foreign-bom employment in agriculture and even more so in industry (including mining) decreased, and more foreig"&amp;"n-bom workers became employed in the growing service sectors of the economy.")</f>
        <v>However, women in skill cells with a higher share of foreign-bom women do appear to earn higher incomes at the national level. This could be due to the increased participation of native-born women in the labour market due to immigrant women taking over childcare and household services (Furtado, 2015, Peri, 2014, see also Chapters 3 and 5). Furthermore, a significant and positive regional effect is observed when considering the impact on real wages of South African-bom workers - a one percentage point increase in the share of immigrants is associated with an almost 1% increase in the real wages of the native-born workers (Table 4.A2.1). By 2011, foreign-bom employment in agriculture and even more so in industry (including mining) decreased, and more foreign-bom workers became employed in the growing service sectors of the economy.</v>
      </c>
      <c r="C86" s="7"/>
      <c r="D86" s="53" t="b">
        <v>1</v>
      </c>
      <c r="E86" s="53" t="s">
        <v>314</v>
      </c>
      <c r="F86" s="53" t="s">
        <v>314</v>
      </c>
      <c r="G86" s="53" t="b">
        <v>1</v>
      </c>
      <c r="H86" s="53" t="b">
        <v>1</v>
      </c>
      <c r="I86" s="54">
        <v>1.0</v>
      </c>
      <c r="J86" s="55" t="s">
        <v>164</v>
      </c>
      <c r="K86" s="55"/>
      <c r="L86" s="55"/>
      <c r="M86" s="55"/>
      <c r="N86" s="55"/>
      <c r="O86" s="54" t="s">
        <v>432</v>
      </c>
      <c r="P86" s="54" t="s">
        <v>432</v>
      </c>
      <c r="Q86" s="56" t="b">
        <v>1</v>
      </c>
    </row>
    <row r="87">
      <c r="A87" s="12" t="str">
        <f>IFERROR(__xludf.DUMMYFUNCTION("""COMPUTED_VALUE"""),"e07e43fb14f69b6f88c290042b3d58b8")</f>
        <v>e07e43fb14f69b6f88c290042b3d58b8</v>
      </c>
      <c r="B87" s="12" t="str">
        <f>IFERROR(__xludf.DUMMYFUNCTION("""COMPUTED_VALUE"""),"However, concerns with regard to labour rights and migration within the sport industry means that attention must also be given to SDG targets 8.7 and 8.8. Sport-based approaches to employment training, entrepreneurship and enterprise have emerged and need"&amp;" to take account of opportunities within the broader economy to maximise their potential. The complexities associated with the collection of such data are magnified when recognition is given to the diverse range of economic activities that are directly an"&amp;"d indirectly associated with sport. In countries where there are expertise and available data to undertake such economic analysis, findings have pointed to the growing economic value of sport while also indicating the financial value derived from sport-ba"&amp;"sed interventions that deliver social benefit (Crabbe 2013, Fujiwara et al.")</f>
        <v>However, concerns with regard to labour rights and migration within the sport industry means that attention must also be given to SDG targets 8.7 and 8.8. Sport-based approaches to employment training, entrepreneurship and enterprise have emerged and need to take account of opportunities within the broader economy to maximise their potential. The complexities associated with the collection of such data are magnified when recognition is given to the diverse range of economic activities that are directly and indirectly associated with sport. In countries where there are expertise and available data to undertake such economic analysis, findings have pointed to the growing economic value of sport while also indicating the financial value derived from sport-based interventions that deliver social benefit (Crabbe 2013, Fujiwara et al.</v>
      </c>
      <c r="C87" s="7"/>
      <c r="D87" s="53" t="b">
        <v>1</v>
      </c>
      <c r="E87" s="53" t="s">
        <v>314</v>
      </c>
      <c r="F87" s="53" t="s">
        <v>314</v>
      </c>
      <c r="G87" s="53" t="b">
        <v>1</v>
      </c>
      <c r="H87" s="53" t="b">
        <v>1</v>
      </c>
      <c r="I87" s="54">
        <v>1.0</v>
      </c>
      <c r="J87" s="55"/>
      <c r="K87" s="55"/>
      <c r="L87" s="55"/>
      <c r="M87" s="55"/>
      <c r="N87" s="55"/>
      <c r="O87" s="54" t="s">
        <v>407</v>
      </c>
      <c r="P87" s="54" t="s">
        <v>407</v>
      </c>
      <c r="Q87" s="56" t="b">
        <v>1</v>
      </c>
    </row>
    <row r="88">
      <c r="A88" s="12" t="str">
        <f>IFERROR(__xludf.DUMMYFUNCTION("""COMPUTED_VALUE"""),"76aaab5887c56c3f6d2c97e741eaa1c4")</f>
        <v>76aaab5887c56c3f6d2c97e741eaa1c4</v>
      </c>
      <c r="B88" s="12" t="str">
        <f>IFERROR(__xludf.DUMMYFUNCTION("""COMPUTED_VALUE"""),"Far more low-skilled immigrant workers enter the country through other channels: nationality verification, Memorandum of Understanding (MOU), One Stop Service Centre (OSSC), or as border/seasonal workers. The majority of low-skilled immigrants obtain regu"&amp;"lar status through the nationality verification and OSSC channels, jointly totalling approximately 2.6 million workers. These immigrant workers originate from Cambodia, the Lao People’s Democratic Republic (Lao PDR) and Myanmar. Immigration policies in Th"&amp;"ailand have been criticised for “lagging behind reality"", and policy makers appear to be struggling to develop an adequate framework for the governance of migration flows. This is in part due to the diverging perceptions of immigration by employers and w"&amp;"orkers, while at the same time policy makers aim to govern migration flows in such a way that the economy benefits.")</f>
        <v>Far more low-skilled immigrant workers enter the country through other channels: nationality verification, Memorandum of Understanding (MOU), One Stop Service Centre (OSSC), or as border/seasonal workers. The majority of low-skilled immigrants obtain regular status through the nationality verification and OSSC channels, jointly totalling approximately 2.6 million workers. These immigrant workers originate from Cambodia, the Lao People’s Democratic Republic (Lao PDR) and Myanmar. Immigration policies in Thailand have been criticised for “lagging behind reality", and policy makers appear to be struggling to develop an adequate framework for the governance of migration flows. This is in part due to the diverging perceptions of immigration by employers and workers, while at the same time policy makers aim to govern migration flows in such a way that the economy benefits.</v>
      </c>
      <c r="C88" s="57"/>
      <c r="D88" s="53" t="b">
        <v>0</v>
      </c>
      <c r="E88" s="53" t="s">
        <v>314</v>
      </c>
      <c r="F88" s="53" t="s">
        <v>314</v>
      </c>
      <c r="G88" s="53" t="b">
        <v>1</v>
      </c>
      <c r="H88" s="53" t="b">
        <v>1</v>
      </c>
      <c r="I88" s="54">
        <v>0.3333333333333333</v>
      </c>
      <c r="J88" s="55" t="s">
        <v>169</v>
      </c>
      <c r="K88" s="55"/>
      <c r="L88" s="55"/>
      <c r="M88" s="55"/>
      <c r="N88" s="55"/>
      <c r="O88" s="54" t="s">
        <v>433</v>
      </c>
      <c r="P88" s="54" t="s">
        <v>433</v>
      </c>
      <c r="Q88" s="56" t="b">
        <v>0</v>
      </c>
      <c r="R88" s="5" t="s">
        <v>434</v>
      </c>
    </row>
    <row r="89">
      <c r="A89" s="12" t="str">
        <f>IFERROR(__xludf.DUMMYFUNCTION("""COMPUTED_VALUE"""),"3899bd899382564e073059b53cfc1183")</f>
        <v>3899bd899382564e073059b53cfc1183</v>
      </c>
      <c r="B89" s="12" t="str">
        <f>IFERROR(__xludf.DUMMYFUNCTION("""COMPUTED_VALUE"""),"Support here rightly focuses upon the creation of new activities in innovative intermediate and high-tech areas and upgrading amongst existing businesses. There is evidence that support is being taken up by individuals and businesses on upward development"&amp;" trajectories. This initiating and stimulating effect of public funds is welcome and positive. However, such successful recipients have sometimes continued to receive further and ongoing support.")</f>
        <v>Support here rightly focuses upon the creation of new activities in innovative intermediate and high-tech areas and upgrading amongst existing businesses. There is evidence that support is being taken up by individuals and businesses on upward development trajectories. This initiating and stimulating effect of public funds is welcome and positive. However, such successful recipients have sometimes continued to receive further and ongoing support.</v>
      </c>
      <c r="C89" s="57"/>
      <c r="D89" s="53" t="b">
        <v>1</v>
      </c>
      <c r="E89" s="53" t="s">
        <v>314</v>
      </c>
      <c r="F89" s="53" t="s">
        <v>314</v>
      </c>
      <c r="G89" s="53" t="b">
        <v>1</v>
      </c>
      <c r="H89" s="53" t="b">
        <v>1</v>
      </c>
      <c r="I89" s="54">
        <v>1.0</v>
      </c>
      <c r="J89" s="55" t="s">
        <v>261</v>
      </c>
      <c r="K89" s="55"/>
      <c r="L89" s="55"/>
      <c r="M89" s="55"/>
      <c r="N89" s="55"/>
      <c r="O89" s="54" t="s">
        <v>435</v>
      </c>
      <c r="P89" s="54" t="s">
        <v>435</v>
      </c>
      <c r="Q89" s="56" t="b">
        <v>1</v>
      </c>
    </row>
    <row r="90">
      <c r="A90" s="12" t="str">
        <f>IFERROR(__xludf.DUMMYFUNCTION("""COMPUTED_VALUE"""),"f550d577560074d0d2f4eb65f39397cc")</f>
        <v>f550d577560074d0d2f4eb65f39397cc</v>
      </c>
      <c r="B90" s="12" t="str">
        <f>IFERROR(__xludf.DUMMYFUNCTION("""COMPUTED_VALUE"""),"Festivals and events of this type often provide opportunities to showcase sectors such as culture, music, gastronomy, and the arts. In addition, the economic impact of urban tourism more generally can extend to surrounding rural areas through supply chain"&amp;"s to meet growing demand for locally produced food, wine, arts and crafts. It thus presents important economic benefits to rural areas and constitutes an increasingly important market segment, providing significant opportunities for rural businesses to di"&amp;"versify income opportunities (e.g. farm stays) and participate in local supply chains.")</f>
        <v>Festivals and events of this type often provide opportunities to showcase sectors such as culture, music, gastronomy, and the arts. In addition, the economic impact of urban tourism more generally can extend to surrounding rural areas through supply chains to meet growing demand for locally produced food, wine, arts and crafts. It thus presents important economic benefits to rural areas and constitutes an increasingly important market segment, providing significant opportunities for rural businesses to diversify income opportunities (e.g. farm stays) and participate in local supply chains.</v>
      </c>
      <c r="C90" s="58"/>
      <c r="D90" s="53" t="b">
        <v>1</v>
      </c>
      <c r="E90" s="53" t="s">
        <v>314</v>
      </c>
      <c r="F90" s="53" t="s">
        <v>314</v>
      </c>
      <c r="G90" s="53" t="b">
        <v>1</v>
      </c>
      <c r="H90" s="53" t="b">
        <v>1</v>
      </c>
      <c r="I90" s="54">
        <v>1.0</v>
      </c>
      <c r="J90" s="55" t="s">
        <v>206</v>
      </c>
      <c r="K90" s="55"/>
      <c r="L90" s="55"/>
      <c r="M90" s="55"/>
      <c r="N90" s="55"/>
      <c r="O90" s="54" t="s">
        <v>436</v>
      </c>
      <c r="P90" s="54" t="s">
        <v>436</v>
      </c>
      <c r="Q90" s="56" t="b">
        <v>1</v>
      </c>
    </row>
    <row r="91" hidden="1">
      <c r="A91" s="12" t="str">
        <f>IFERROR(__xludf.DUMMYFUNCTION("""COMPUTED_VALUE"""),"1bd98670a1d3281b4006674e0e36e402")</f>
        <v>1bd98670a1d3281b4006674e0e36e402</v>
      </c>
      <c r="B91" s="12" t="str">
        <f>IFERROR(__xludf.DUMMYFUNCTION("""COMPUTED_VALUE"""),"This structure can be observed for most tourism industry branches. One can state that tourism products and services in the destination area are traditionally delivered primarily by local SMEs, while intermediate organisations are usually either internatio"&amp;"nal or located in the tourists’ home country and of bigger size. However, location characteristics do affect industries’ structures.")</f>
        <v>This structure can be observed for most tourism industry branches. One can state that tourism products and services in the destination area are traditionally delivered primarily by local SMEs, while intermediate organisations are usually either international or located in the tourists’ home country and of bigger size. However, location characteristics do affect industries’ structures.</v>
      </c>
      <c r="C91" s="58"/>
      <c r="D91" s="53" t="b">
        <v>0</v>
      </c>
      <c r="E91" s="53" t="s">
        <v>314</v>
      </c>
      <c r="F91" s="53" t="s">
        <v>314</v>
      </c>
      <c r="G91" s="53" t="b">
        <v>1</v>
      </c>
      <c r="H91" s="53" t="b">
        <v>0</v>
      </c>
      <c r="I91" s="54">
        <v>0.3333333333333333</v>
      </c>
      <c r="J91" s="55"/>
      <c r="K91" s="55"/>
      <c r="L91" s="55"/>
      <c r="M91" s="55"/>
      <c r="N91" s="55" t="s">
        <v>325</v>
      </c>
      <c r="O91" s="54" t="s">
        <v>437</v>
      </c>
      <c r="P91" s="54" t="s">
        <v>437</v>
      </c>
      <c r="Q91" s="56" t="s">
        <v>411</v>
      </c>
    </row>
    <row r="92">
      <c r="A92" s="12" t="str">
        <f>IFERROR(__xludf.DUMMYFUNCTION("""COMPUTED_VALUE"""),"a1cf7a7f2528d4cff76e4b4998502715")</f>
        <v>a1cf7a7f2528d4cff76e4b4998502715</v>
      </c>
      <c r="B92" s="12" t="str">
        <f>IFERROR(__xludf.DUMMYFUNCTION("""COMPUTED_VALUE"""),"Growing pressures on the environment from mass tourism are already forcing some countries to shut some tourism destinations, at least temporarily. To raise the sustainability of the sector, medium-term planning should gradually refocus on increasing yield"&amp;" rather than numbers of tourists. That also means improving the availability and quality of data to allow accurately gauging such targets.")</f>
        <v>Growing pressures on the environment from mass tourism are already forcing some countries to shut some tourism destinations, at least temporarily. To raise the sustainability of the sector, medium-term planning should gradually refocus on increasing yield rather than numbers of tourists. That also means improving the availability and quality of data to allow accurately gauging such targets.</v>
      </c>
      <c r="C92" s="53"/>
      <c r="D92" s="53" t="b">
        <v>1</v>
      </c>
      <c r="E92" s="53" t="s">
        <v>314</v>
      </c>
      <c r="F92" s="53" t="s">
        <v>314</v>
      </c>
      <c r="G92" s="53" t="b">
        <v>1</v>
      </c>
      <c r="H92" s="53" t="b">
        <v>1</v>
      </c>
      <c r="I92" s="54">
        <v>1.0</v>
      </c>
      <c r="J92" s="55"/>
      <c r="K92" s="55"/>
      <c r="L92" s="55"/>
      <c r="M92" s="55"/>
      <c r="N92" s="55"/>
      <c r="O92" s="54" t="s">
        <v>407</v>
      </c>
      <c r="P92" s="54" t="s">
        <v>407</v>
      </c>
      <c r="Q92" s="56" t="b">
        <v>1</v>
      </c>
    </row>
    <row r="93">
      <c r="A93" s="12" t="str">
        <f>IFERROR(__xludf.DUMMYFUNCTION("""COMPUTED_VALUE"""),"f3e80fc85cf7b4a468a62ff28ca4efbb")</f>
        <v>f3e80fc85cf7b4a468a62ff28ca4efbb</v>
      </c>
      <c r="B93" s="12" t="str">
        <f>IFERROR(__xludf.DUMMYFUNCTION("""COMPUTED_VALUE"""),"Such measures include regular workshops, conferences and publications developed in close cooperation with the ministries responsible for transport and for the environment, and the Austrian Rail Company (OBB). Actions are carried out with a view to inform "&amp;"and sensitise stakeholders (tourism, transport, and environment) at national, regional and local levels, concerning sustainable forms of tourism mobility and successful initiatives and projects in this area. This conference was organised as a networking p"&amp;"latform to give an overview of the needs and challenges of future tourism mobility. Discussions focussed around the importance of cooperation of the various actors in the fields of tourism, transport and the environment, in order to create mobility soluti"&amp;"ons to and within tourism destinations that are customer friendly, simple, affordable and sustainable.")</f>
        <v>Such measures include regular workshops, conferences and publications developed in close cooperation with the ministries responsible for transport and for the environment, and the Austrian Rail Company (OBB). Actions are carried out with a view to inform and sensitise stakeholders (tourism, transport, and environment) at national, regional and local levels, concerning sustainable forms of tourism mobility and successful initiatives and projects in this area. This conference was organised as a networking platform to give an overview of the needs and challenges of future tourism mobility. Discussions focussed around the importance of cooperation of the various actors in the fields of tourism, transport and the environment, in order to create mobility solutions to and within tourism destinations that are customer friendly, simple, affordable and sustainable.</v>
      </c>
      <c r="C93" s="7"/>
      <c r="D93" s="53" t="b">
        <v>1</v>
      </c>
      <c r="E93" s="53" t="s">
        <v>314</v>
      </c>
      <c r="F93" s="53" t="s">
        <v>314</v>
      </c>
      <c r="G93" s="53" t="b">
        <v>1</v>
      </c>
      <c r="H93" s="53" t="b">
        <v>1</v>
      </c>
      <c r="I93" s="54">
        <v>1.0</v>
      </c>
      <c r="J93" s="55" t="s">
        <v>101</v>
      </c>
      <c r="K93" s="55"/>
      <c r="L93" s="55"/>
      <c r="M93" s="55"/>
      <c r="N93" s="55"/>
      <c r="O93" s="54" t="s">
        <v>438</v>
      </c>
      <c r="P93" s="54" t="s">
        <v>438</v>
      </c>
      <c r="Q93" s="56" t="b">
        <v>1</v>
      </c>
    </row>
    <row r="94">
      <c r="A94" s="12" t="str">
        <f>IFERROR(__xludf.DUMMYFUNCTION("""COMPUTED_VALUE"""),"12b367a42b926bb2a628783c4b013b32")</f>
        <v>12b367a42b926bb2a628783c4b013b32</v>
      </c>
      <c r="B94" s="12" t="str">
        <f>IFERROR(__xludf.DUMMYFUNCTION("""COMPUTED_VALUE"""),"The group described as developed middle class and above encompasses workers in developing countries who are equivalent to the lower end of the middle class in the United States and who are able to afford most international consumer goods (Kapsos and Bourm"&amp;"poula, 2013). Based on the data presented, there is little evidence of a large or substantial employed middle class in the LDCs, which may have negative implications for wider economic growth, investment and employment generation. However, other evidence "&amp;"suggests that in sub-Saharan Africa and Asia, over the past 20 years the middle class has been growing quite rapidly (African Development Bank, 2011, Ravallion, 2009a). The ODC sample comprises 32 developing countries.")</f>
        <v>The group described as developed middle class and above encompasses workers in developing countries who are equivalent to the lower end of the middle class in the United States and who are able to afford most international consumer goods (Kapsos and Bourmpoula, 2013). Based on the data presented, there is little evidence of a large or substantial employed middle class in the LDCs, which may have negative implications for wider economic growth, investment and employment generation. However, other evidence suggests that in sub-Saharan Africa and Asia, over the past 20 years the middle class has been growing quite rapidly (African Development Bank, 2011, Ravallion, 2009a). The ODC sample comprises 32 developing countries.</v>
      </c>
      <c r="C94" s="53"/>
      <c r="D94" s="53" t="b">
        <v>1</v>
      </c>
      <c r="E94" s="53" t="s">
        <v>314</v>
      </c>
      <c r="F94" s="53" t="s">
        <v>314</v>
      </c>
      <c r="G94" s="53" t="b">
        <v>1</v>
      </c>
      <c r="H94" s="53" t="b">
        <v>1</v>
      </c>
      <c r="I94" s="54">
        <v>1.0</v>
      </c>
      <c r="J94" s="55"/>
      <c r="K94" s="55"/>
      <c r="L94" s="55"/>
      <c r="M94" s="55"/>
      <c r="N94" s="55"/>
      <c r="O94" s="54" t="s">
        <v>407</v>
      </c>
      <c r="P94" s="54" t="s">
        <v>407</v>
      </c>
      <c r="Q94" s="56" t="b">
        <v>1</v>
      </c>
    </row>
    <row r="95">
      <c r="A95" s="12" t="str">
        <f>IFERROR(__xludf.DUMMYFUNCTION("""COMPUTED_VALUE"""),"d93f9d40cdc411ab25e2da1bcb4120ba")</f>
        <v>d93f9d40cdc411ab25e2da1bcb4120ba</v>
      </c>
      <c r="B95" s="12" t="str">
        <f>IFERROR(__xludf.DUMMYFUNCTION("""COMPUTED_VALUE"""),"Such changes have several implications for regional trading partners. Analysis using the OECD-WTO Trade in Value Added database reveals that for every $10 the region exports to China, $8 is the domestic value-added component (the rest are foreign inputs),"&amp;" of which $6 caters to Chinese final demand (the rest are re-exported to third markets) (figure 1.9). Nevertheless, China is now on par with the United States as a source of final demand for several countries, especially in South-East Asia.")</f>
        <v>Such changes have several implications for regional trading partners. Analysis using the OECD-WTO Trade in Value Added database reveals that for every $10 the region exports to China, $8 is the domestic value-added component (the rest are foreign inputs), of which $6 caters to Chinese final demand (the rest are re-exported to third markets) (figure 1.9). Nevertheless, China is now on par with the United States as a source of final demand for several countries, especially in South-East Asia.</v>
      </c>
      <c r="C95" s="7"/>
      <c r="D95" s="53" t="b">
        <v>0</v>
      </c>
      <c r="E95" s="53" t="s">
        <v>314</v>
      </c>
      <c r="F95" s="53" t="s">
        <v>314</v>
      </c>
      <c r="G95" s="53" t="b">
        <v>0</v>
      </c>
      <c r="H95" s="53" t="b">
        <v>0</v>
      </c>
      <c r="I95" s="54">
        <v>1.0</v>
      </c>
      <c r="J95" s="55"/>
      <c r="K95" s="55"/>
      <c r="L95" s="55"/>
      <c r="M95" s="55"/>
      <c r="N95" s="55"/>
      <c r="O95" s="54" t="s">
        <v>407</v>
      </c>
      <c r="P95" s="54" t="s">
        <v>407</v>
      </c>
      <c r="Q95" s="56" t="b">
        <v>0</v>
      </c>
    </row>
    <row r="96">
      <c r="A96" s="12" t="str">
        <f>IFERROR(__xludf.DUMMYFUNCTION("""COMPUTED_VALUE"""),"f93f5e6bf2a33f85a00866d38c5d8eef")</f>
        <v>f93f5e6bf2a33f85a00866d38c5d8eef</v>
      </c>
      <c r="B96" s="12" t="str">
        <f>IFERROR(__xludf.DUMMYFUNCTION("""COMPUTED_VALUE"""),"Understanding these differences could help low- and middle-income countries formulate immigration and integration policies that maximise the development potential of immigration. They were selected based on their interest in the project, a substantial (bu"&amp;"t varying) share of immigrants and a relatively low share of humanitarian immigrants. By working with a diverse group of countries in terms of their geographic location and economic and immigration history and characteristics, the project aimed to provide"&amp;" an indication of the range of possible economic impacts of immigration in developing countries. It therefore addressed not only stakeholders in the ten partner countries, but equally policy makers and other interested parties in other low- and middle-inc"&amp;"ome countries with mid-sized to large immigrant populations.")</f>
        <v>Understanding these differences could help low- and middle-income countries formulate immigration and integration policies that maximise the development potential of immigration. They were selected based on their interest in the project, a substantial (but varying) share of immigrants and a relatively low share of humanitarian immigrants. By working with a diverse group of countries in terms of their geographic location and economic and immigration history and characteristics, the project aimed to provide an indication of the range of possible economic impacts of immigration in developing countries. It therefore addressed not only stakeholders in the ten partner countries, but equally policy makers and other interested parties in other low- and middle-income countries with mid-sized to large immigrant populations.</v>
      </c>
      <c r="C96" s="58"/>
      <c r="D96" s="53" t="b">
        <v>0</v>
      </c>
      <c r="E96" s="53" t="s">
        <v>314</v>
      </c>
      <c r="F96" s="53" t="s">
        <v>314</v>
      </c>
      <c r="G96" s="53" t="b">
        <v>1</v>
      </c>
      <c r="H96" s="53" t="b">
        <v>0</v>
      </c>
      <c r="I96" s="54">
        <v>0.3333333333333333</v>
      </c>
      <c r="J96" s="55" t="s">
        <v>136</v>
      </c>
      <c r="K96" s="55"/>
      <c r="L96" s="55"/>
      <c r="M96" s="55"/>
      <c r="N96" s="55"/>
      <c r="O96" s="54" t="s">
        <v>439</v>
      </c>
      <c r="P96" s="54" t="s">
        <v>439</v>
      </c>
      <c r="Q96" s="56" t="b">
        <v>0</v>
      </c>
      <c r="R96" s="5" t="s">
        <v>440</v>
      </c>
    </row>
    <row r="97" hidden="1">
      <c r="A97" s="12" t="str">
        <f>IFERROR(__xludf.DUMMYFUNCTION("""COMPUTED_VALUE"""),"32b6f5f77f4e502087c070df109239d3")</f>
        <v>32b6f5f77f4e502087c070df109239d3</v>
      </c>
      <c r="B97" s="12" t="str">
        <f>IFERROR(__xludf.DUMMYFUNCTION("""COMPUTED_VALUE"""),"Employment legislation in universities falls within the remit of the federal government even for state universities which are still funded at the federal level. The consequence is that often academics are only offered an acknowledgement as co-workers for "&amp;"a project. An alternative model considered in the incubator in the state university of Morelos is for a university to pay the teachers to incubate innovation-based projects to provide incentives for academics to get involved in translate ideas from the un"&amp;"iversities into profitable businesses as part of developing an entrepreneurial culture.")</f>
        <v>Employment legislation in universities falls within the remit of the federal government even for state universities which are still funded at the federal level. The consequence is that often academics are only offered an acknowledgement as co-workers for a project. An alternative model considered in the incubator in the state university of Morelos is for a university to pay the teachers to incubate innovation-based projects to provide incentives for academics to get involved in translate ideas from the universities into profitable businesses as part of developing an entrepreneurial culture.</v>
      </c>
      <c r="C97" s="57"/>
      <c r="D97" s="53" t="b">
        <v>0</v>
      </c>
      <c r="E97" s="53" t="s">
        <v>314</v>
      </c>
      <c r="F97" s="53" t="s">
        <v>314</v>
      </c>
      <c r="G97" s="53" t="b">
        <v>1</v>
      </c>
      <c r="H97" s="53" t="b">
        <v>1</v>
      </c>
      <c r="I97" s="54">
        <v>0.3333333333333333</v>
      </c>
      <c r="J97" s="55" t="s">
        <v>133</v>
      </c>
      <c r="K97" s="55"/>
      <c r="L97" s="55"/>
      <c r="M97" s="55"/>
      <c r="N97" s="55"/>
      <c r="O97" s="54" t="s">
        <v>441</v>
      </c>
      <c r="P97" s="54" t="s">
        <v>441</v>
      </c>
      <c r="Q97" s="56" t="s">
        <v>411</v>
      </c>
    </row>
    <row r="98">
      <c r="A98" s="12" t="str">
        <f>IFERROR(__xludf.DUMMYFUNCTION("""COMPUTED_VALUE"""),"50762cb2b7c8d0b98000826c332c40f4")</f>
        <v>50762cb2b7c8d0b98000826c332c40f4</v>
      </c>
      <c r="B98" s="12" t="str">
        <f>IFERROR(__xludf.DUMMYFUNCTION("""COMPUTED_VALUE"""),"Strict employment protection rules are also likely to encourage the use of forms of employment that are not subject to these regulations or lead to lack of enforcement of the rules. Concerning youth employment, Cazes and Tonin (2010) find that the decline"&amp;" in the average job tenure of young workers (15-24) in the European Union between 1999 and 2006 is associated with weaker employment protection provided by law and trade unions. Their results suggest that young workers are particularly exposed to more uns"&amp;"table labour markets through the risk of job loss and dismissal (as captured by the EPL index for regular contracts), whereas legislation on hiring (EPL index for temporary contracts) does not seem to have a significant impact.")</f>
        <v>Strict employment protection rules are also likely to encourage the use of forms of employment that are not subject to these regulations or lead to lack of enforcement of the rules. Concerning youth employment, Cazes and Tonin (2010) find that the decline in the average job tenure of young workers (15-24) in the European Union between 1999 and 2006 is associated with weaker employment protection provided by law and trade unions. Their results suggest that young workers are particularly exposed to more unstable labour markets through the risk of job loss and dismissal (as captured by the EPL index for regular contracts), whereas legislation on hiring (EPL index for temporary contracts) does not seem to have a significant impact.</v>
      </c>
      <c r="C98" s="58"/>
      <c r="D98" s="53" t="b">
        <v>1</v>
      </c>
      <c r="E98" s="53" t="s">
        <v>314</v>
      </c>
      <c r="F98" s="53" t="s">
        <v>314</v>
      </c>
      <c r="G98" s="53" t="b">
        <v>1</v>
      </c>
      <c r="H98" s="53" t="b">
        <v>1</v>
      </c>
      <c r="I98" s="54">
        <v>1.0</v>
      </c>
      <c r="J98" s="55"/>
      <c r="K98" s="55"/>
      <c r="L98" s="55"/>
      <c r="M98" s="55"/>
      <c r="N98" s="55"/>
      <c r="O98" s="54" t="s">
        <v>407</v>
      </c>
      <c r="P98" s="54" t="s">
        <v>407</v>
      </c>
      <c r="Q98" s="56" t="b">
        <v>1</v>
      </c>
    </row>
    <row r="99" hidden="1">
      <c r="A99" s="12" t="str">
        <f>IFERROR(__xludf.DUMMYFUNCTION("""COMPUTED_VALUE"""),"39a59e8f9083e888578e96eba2d44f1d")</f>
        <v>39a59e8f9083e888578e96eba2d44f1d</v>
      </c>
      <c r="B99" s="12" t="str">
        <f>IFERROR(__xludf.DUMMYFUNCTION("""COMPUTED_VALUE"""),"The analysis presented in this section therefore calculates receipt rates of SA, HB and FB as the share of individuals living in households that receive benefits as a share of all youth. On average, slightly above 7% of all youth aged 16-29 years receive "&amp;"UB. Receipt rates are particularly low on the American continent except for Canada (Chile, Mexico, United States) and in some Southern and Eastern European countries (Slovak Republic, Slovenia, Greece, Portugal), all of which have receipt rates of below 3"&amp;"%.")</f>
        <v>The analysis presented in this section therefore calculates receipt rates of SA, HB and FB as the share of individuals living in households that receive benefits as a share of all youth. On average, slightly above 7% of all youth aged 16-29 years receive UB. Receipt rates are particularly low on the American continent except for Canada (Chile, Mexico, United States) and in some Southern and Eastern European countries (Slovak Republic, Slovenia, Greece, Portugal), all of which have receipt rates of below 3%.</v>
      </c>
      <c r="C99" s="57"/>
      <c r="D99" s="53" t="b">
        <v>0</v>
      </c>
      <c r="E99" s="53" t="s">
        <v>314</v>
      </c>
      <c r="F99" s="53" t="s">
        <v>314</v>
      </c>
      <c r="G99" s="53" t="b">
        <v>1</v>
      </c>
      <c r="H99" s="53" t="b">
        <v>0</v>
      </c>
      <c r="I99" s="54">
        <v>0.3333333333333333</v>
      </c>
      <c r="J99" s="55" t="s">
        <v>145</v>
      </c>
      <c r="K99" s="55"/>
      <c r="L99" s="55"/>
      <c r="M99" s="55"/>
      <c r="N99" s="55"/>
      <c r="O99" s="54" t="s">
        <v>442</v>
      </c>
      <c r="P99" s="54" t="s">
        <v>442</v>
      </c>
      <c r="Q99" s="56" t="s">
        <v>411</v>
      </c>
    </row>
    <row r="100">
      <c r="A100" s="12" t="str">
        <f>IFERROR(__xludf.DUMMYFUNCTION("""COMPUTED_VALUE"""),"1d2811c85968a7c6a2b056b9cbe04d1d")</f>
        <v>1d2811c85968a7c6a2b056b9cbe04d1d</v>
      </c>
      <c r="B100" s="12" t="str">
        <f>IFERROR(__xludf.DUMMYFUNCTION("""COMPUTED_VALUE"""),"Available evidence also suggests that unemployed youth in South Africa are at higher risk of contracting HIV than employed youth (UNAIDS, 2004). Even for non-infected youth, HIV infection of other household members may bring onerous care burdens, either o"&amp;"f the sick individual themselves or their children who require care, sometimes requiring the healthy individual to withdraw from the labour market. Such care burdens may also constrain the amount of time available for employment or job search activities. "&amp;"Over the past decade there has been a substantial expansion in three main categories of social grant: the pension grant, the disability grant and the child support grant.")</f>
        <v>Available evidence also suggests that unemployed youth in South Africa are at higher risk of contracting HIV than employed youth (UNAIDS, 2004). Even for non-infected youth, HIV infection of other household members may bring onerous care burdens, either of the sick individual themselves or their children who require care, sometimes requiring the healthy individual to withdraw from the labour market. Such care burdens may also constrain the amount of time available for employment or job search activities. Over the past decade there has been a substantial expansion in three main categories of social grant: the pension grant, the disability grant and the child support grant.</v>
      </c>
      <c r="C100" s="7"/>
      <c r="D100" s="53" t="b">
        <v>1</v>
      </c>
      <c r="E100" s="53" t="s">
        <v>314</v>
      </c>
      <c r="F100" s="53" t="s">
        <v>314</v>
      </c>
      <c r="G100" s="53" t="b">
        <v>1</v>
      </c>
      <c r="H100" s="53" t="b">
        <v>1</v>
      </c>
      <c r="I100" s="54">
        <v>1.0</v>
      </c>
      <c r="J100" s="55" t="s">
        <v>203</v>
      </c>
      <c r="K100" s="55"/>
      <c r="L100" s="55"/>
      <c r="M100" s="55"/>
      <c r="N100" s="55"/>
      <c r="O100" s="54" t="s">
        <v>443</v>
      </c>
      <c r="P100" s="54" t="s">
        <v>443</v>
      </c>
      <c r="Q100" s="56" t="b">
        <v>1</v>
      </c>
    </row>
    <row r="101">
      <c r="A101" s="12" t="str">
        <f>IFERROR(__xludf.DUMMYFUNCTION("""COMPUTED_VALUE"""),"5c05f6f3cf09a303171bfba3e3e4be07")</f>
        <v>5c05f6f3cf09a303171bfba3e3e4be07</v>
      </c>
      <c r="B101" s="12" t="str">
        <f>IFERROR(__xludf.DUMMYFUNCTION("""COMPUTED_VALUE"""),"Local officers can in some cases collaborate without altering the delivery' of policies and programmes, and flexibility in outsourcing is often restricted through national contracting regulations (Giguere and Froy, 2009). Developed by the U.S. Green Build"&amp;"ing Council (USGBC), LEED provides building owners and operators a concise framework for identifying and implementing practical and measurable green building design, construction, operations and maintenance solutions. Since its launch in 2005, the PCI has"&amp;" been widely utilised by' provincial governments to inform their economic governance reforms and has served to set a standard, represented by “star performer” provinces. The index has also been used for private businesses to advocate for local initiatives"&amp;" intended to foster an enabling environment for enterprises. The Pact addresses the social and employment impact of the international financial crisis and economic crisis. It promotes productive recovery centred on investments, employment and social prote"&amp;"ction.")</f>
        <v>Local officers can in some cases collaborate without altering the delivery' of policies and programmes, and flexibility in outsourcing is often restricted through national contracting regulations (Giguere and Froy, 2009). Developed by the U.S. Green Building Council (USGBC), LEED provides building owners and operators a concise framework for identifying and implementing practical and measurable green building design, construction, operations and maintenance solutions. Since its launch in 2005, the PCI has been widely utilised by' provincial governments to inform their economic governance reforms and has served to set a standard, represented by “star performer” provinces. The index has also been used for private businesses to advocate for local initiatives intended to foster an enabling environment for enterprises. The Pact addresses the social and employment impact of the international financial crisis and economic crisis. It promotes productive recovery centred on investments, employment and social protection.</v>
      </c>
      <c r="C101" s="58"/>
      <c r="D101" s="53" t="b">
        <v>1</v>
      </c>
      <c r="E101" s="53" t="s">
        <v>314</v>
      </c>
      <c r="F101" s="53" t="s">
        <v>314</v>
      </c>
      <c r="G101" s="53" t="b">
        <v>1</v>
      </c>
      <c r="H101" s="53" t="b">
        <v>1</v>
      </c>
      <c r="I101" s="54">
        <v>1.0</v>
      </c>
      <c r="J101" s="55"/>
      <c r="K101" s="55"/>
      <c r="L101" s="55"/>
      <c r="M101" s="55"/>
      <c r="N101" s="55"/>
      <c r="O101" s="54" t="s">
        <v>407</v>
      </c>
      <c r="P101" s="54" t="s">
        <v>407</v>
      </c>
      <c r="Q101" s="56" t="b">
        <v>1</v>
      </c>
    </row>
  </sheetData>
  <autoFilter ref="$A$1:$S$101">
    <filterColumn colId="16">
      <filters>
        <filter val="TRUE"/>
        <filter val="FALSE"/>
      </filters>
    </filterColumn>
  </autoFilter>
  <conditionalFormatting sqref="C2:P101">
    <cfRule type="cellIs" dxfId="0" priority="1" operator="equal">
      <formula>"TRUE"</formula>
    </cfRule>
  </conditionalFormatting>
  <conditionalFormatting sqref="C2:P101">
    <cfRule type="beginsWith" dxfId="1" priority="2" operator="beginsWith" text="FALSE">
      <formula>LEFT((C2),LEN("FALSE"))=("FALSE")</formula>
    </cfRule>
  </conditionalFormatting>
  <conditionalFormatting sqref="C2:P101">
    <cfRule type="cellIs" dxfId="2" priority="3" operator="equal">
      <formula>"TO DO"</formula>
    </cfRule>
  </conditionalFormatting>
  <conditionalFormatting sqref="C2:P101">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21.63"/>
    <col customWidth="1" min="6" max="6" width="26.38"/>
  </cols>
  <sheetData>
    <row r="1">
      <c r="A1" s="26" t="s">
        <v>444</v>
      </c>
      <c r="B1" s="26" t="s">
        <v>330</v>
      </c>
      <c r="C1" s="26" t="s">
        <v>331</v>
      </c>
      <c r="D1" s="26" t="s">
        <v>336</v>
      </c>
      <c r="E1" s="26" t="s">
        <v>445</v>
      </c>
      <c r="F1" s="26" t="s">
        <v>328</v>
      </c>
      <c r="G1" s="26" t="s">
        <v>446</v>
      </c>
    </row>
    <row r="2">
      <c r="A2" s="27" t="str">
        <f t="shared" ref="A2:A75" si="1">LEFT(MD5(B2), 7)</f>
        <v>#NAME?</v>
      </c>
      <c r="B2" s="59" t="s">
        <v>447</v>
      </c>
      <c r="C2" s="5">
        <v>8.0</v>
      </c>
      <c r="D2" s="5" t="b">
        <v>0</v>
      </c>
      <c r="E2" s="12" t="s">
        <v>304</v>
      </c>
      <c r="F2" s="27" t="str">
        <f t="array" ref="F2">VLOOKUP(E2,{Source!B:B,Source!A:A},2,FALSE)</f>
        <v>10.1787/9789264302037-en</v>
      </c>
      <c r="G2" s="59" t="s">
        <v>448</v>
      </c>
    </row>
    <row r="3">
      <c r="A3" s="27" t="str">
        <f t="shared" si="1"/>
        <v>#NAME?</v>
      </c>
      <c r="B3" s="12" t="s">
        <v>225</v>
      </c>
      <c r="C3" s="5">
        <v>8.0</v>
      </c>
      <c r="D3" s="5" t="b">
        <v>0</v>
      </c>
      <c r="E3" s="12" t="s">
        <v>224</v>
      </c>
      <c r="F3" s="27" t="str">
        <f t="array" ref="F3">VLOOKUP(E3,{Source!B:B,Source!A:A},2,FALSE)</f>
        <v>10.1787/5jrqppxjqhg4-en</v>
      </c>
      <c r="G3" s="59" t="s">
        <v>409</v>
      </c>
    </row>
    <row r="4">
      <c r="A4" s="27" t="str">
        <f t="shared" si="1"/>
        <v>#NAME?</v>
      </c>
      <c r="B4" s="12" t="s">
        <v>142</v>
      </c>
      <c r="C4" s="5">
        <v>8.0</v>
      </c>
      <c r="D4" s="5" t="b">
        <v>1</v>
      </c>
      <c r="E4" s="12" t="s">
        <v>141</v>
      </c>
      <c r="F4" s="27" t="str">
        <f t="array" ref="F4">VLOOKUP(E4,{Source!B:B,Source!A:A},2,FALSE)</f>
        <v>10.1787/5js4vmp5n5r8-en</v>
      </c>
      <c r="G4" s="12"/>
    </row>
    <row r="5">
      <c r="A5" s="27" t="str">
        <f t="shared" si="1"/>
        <v>#NAME?</v>
      </c>
      <c r="B5" s="12" t="s">
        <v>273</v>
      </c>
      <c r="C5" s="5">
        <v>8.0</v>
      </c>
      <c r="D5" s="5" t="b">
        <v>0</v>
      </c>
      <c r="E5" s="12" t="s">
        <v>272</v>
      </c>
      <c r="F5" s="27" t="str">
        <f t="array" ref="F5">VLOOKUP(E5,{Source!B:B,Source!A:A},2,FALSE)</f>
        <v>10.1787/5jrqppxjqhg4-en</v>
      </c>
      <c r="G5" s="12"/>
    </row>
    <row r="6">
      <c r="A6" s="27" t="str">
        <f t="shared" si="1"/>
        <v>#NAME?</v>
      </c>
      <c r="B6" s="12" t="s">
        <v>229</v>
      </c>
      <c r="C6" s="5">
        <v>8.0</v>
      </c>
      <c r="D6" s="5" t="b">
        <v>0</v>
      </c>
      <c r="E6" s="12" t="s">
        <v>228</v>
      </c>
      <c r="F6" s="27" t="str">
        <f t="array" ref="F6">VLOOKUP(E6,{Source!B:B,Source!A:A},2,FALSE)</f>
        <v>10.1787/9789264085398-en</v>
      </c>
      <c r="G6" s="12"/>
    </row>
    <row r="7">
      <c r="A7" s="27" t="str">
        <f t="shared" si="1"/>
        <v>#NAME?</v>
      </c>
      <c r="B7" s="12" t="s">
        <v>210</v>
      </c>
      <c r="C7" s="5">
        <v>8.0</v>
      </c>
      <c r="D7" s="5" t="b">
        <v>0</v>
      </c>
      <c r="E7" s="12" t="s">
        <v>209</v>
      </c>
      <c r="F7" s="27" t="str">
        <f t="array" ref="F7">VLOOKUP(E7,{Source!B:B,Source!A:A},2,FALSE)</f>
        <v>10.1787/9789264310278-en</v>
      </c>
      <c r="G7" s="12"/>
    </row>
    <row r="8">
      <c r="A8" s="27" t="str">
        <f t="shared" si="1"/>
        <v>#NAME?</v>
      </c>
      <c r="B8" s="12" t="s">
        <v>311</v>
      </c>
      <c r="C8" s="5">
        <v>8.0</v>
      </c>
      <c r="D8" s="5" t="b">
        <v>1</v>
      </c>
      <c r="E8" s="12" t="s">
        <v>310</v>
      </c>
      <c r="F8" s="27" t="str">
        <f t="array" ref="F8">VLOOKUP(E8,{Source!B:B,Source!A:A},2,FALSE)</f>
        <v>10.18356/68bdcb6f-en</v>
      </c>
      <c r="G8" s="12"/>
    </row>
    <row r="9">
      <c r="A9" s="27" t="str">
        <f t="shared" si="1"/>
        <v>#NAME?</v>
      </c>
      <c r="B9" s="12" t="s">
        <v>176</v>
      </c>
      <c r="C9" s="5">
        <v>8.0</v>
      </c>
      <c r="D9" s="5" t="b">
        <v>0</v>
      </c>
      <c r="E9" s="12" t="s">
        <v>175</v>
      </c>
      <c r="F9" s="27" t="str">
        <f t="array" ref="F9">VLOOKUP(E9,{Source!B:B,Source!A:A},2,FALSE)</f>
        <v>10.1787/9789264276055-11-en</v>
      </c>
      <c r="G9" s="12"/>
    </row>
    <row r="10">
      <c r="A10" s="27" t="str">
        <f t="shared" si="1"/>
        <v>#NAME?</v>
      </c>
      <c r="B10" s="12" t="s">
        <v>297</v>
      </c>
      <c r="C10" s="5">
        <v>8.0</v>
      </c>
      <c r="D10" s="5" t="b">
        <v>1</v>
      </c>
      <c r="E10" s="12" t="s">
        <v>296</v>
      </c>
      <c r="F10" s="27" t="str">
        <f t="array" ref="F10">VLOOKUP(E10,{Source!B:B,Source!A:A},2,FALSE)</f>
        <v>10.1787/empl/outlook-2010-2-en</v>
      </c>
      <c r="G10" s="12"/>
    </row>
    <row r="11">
      <c r="A11" s="27" t="str">
        <f t="shared" si="1"/>
        <v>#NAME?</v>
      </c>
      <c r="B11" s="12" t="s">
        <v>220</v>
      </c>
      <c r="C11" s="5">
        <v>8.0</v>
      </c>
      <c r="D11" s="5" t="b">
        <v>1</v>
      </c>
      <c r="E11" s="12" t="s">
        <v>219</v>
      </c>
      <c r="F11" s="27" t="str">
        <f t="array" ref="F11">VLOOKUP(E11,{Source!B:B,Source!A:A},2,FALSE)</f>
        <v>10.1787/9789264081918-5-en</v>
      </c>
      <c r="G11" s="12"/>
    </row>
    <row r="12">
      <c r="A12" s="27" t="str">
        <f t="shared" si="1"/>
        <v>#NAME?</v>
      </c>
      <c r="B12" s="12" t="s">
        <v>109</v>
      </c>
      <c r="C12" s="5">
        <v>8.0</v>
      </c>
      <c r="D12" s="5" t="b">
        <v>1</v>
      </c>
      <c r="E12" s="12" t="s">
        <v>108</v>
      </c>
      <c r="F12" s="27" t="str">
        <f t="array" ref="F12">VLOOKUP(E12,{Source!B:B,Source!A:A},2,FALSE)</f>
        <v>10.1787/5jrp02kjw1mr-en</v>
      </c>
      <c r="G12" s="12"/>
    </row>
    <row r="13">
      <c r="A13" s="27" t="str">
        <f t="shared" si="1"/>
        <v>#NAME?</v>
      </c>
      <c r="B13" s="12" t="s">
        <v>269</v>
      </c>
      <c r="C13" s="5">
        <v>8.0</v>
      </c>
      <c r="D13" s="5" t="b">
        <v>0</v>
      </c>
      <c r="E13" s="12" t="s">
        <v>268</v>
      </c>
      <c r="F13" s="27" t="str">
        <f t="array" ref="F13">VLOOKUP(E13,{Source!B:B,Source!A:A},2,FALSE)</f>
        <v>10.1787/e309eca0-en</v>
      </c>
      <c r="G13" s="12"/>
    </row>
    <row r="14">
      <c r="A14" s="27" t="str">
        <f t="shared" si="1"/>
        <v>#NAME?</v>
      </c>
      <c r="B14" s="12" t="s">
        <v>281</v>
      </c>
      <c r="C14" s="5">
        <v>8.0</v>
      </c>
      <c r="D14" s="5" t="b">
        <v>0</v>
      </c>
      <c r="E14" s="12" t="s">
        <v>280</v>
      </c>
      <c r="F14" s="27" t="str">
        <f t="array" ref="F14">VLOOKUP(E14,{Source!B:B,Source!A:A},2,FALSE)</f>
        <v>10.18356/a2a72b74-en</v>
      </c>
      <c r="G14" s="12"/>
    </row>
    <row r="15">
      <c r="A15" s="27" t="str">
        <f t="shared" si="1"/>
        <v>#NAME?</v>
      </c>
      <c r="B15" s="12" t="s">
        <v>193</v>
      </c>
      <c r="C15" s="5">
        <v>8.0</v>
      </c>
      <c r="D15" s="5" t="b">
        <v>1</v>
      </c>
      <c r="E15" s="12" t="s">
        <v>192</v>
      </c>
      <c r="F15" s="27" t="str">
        <f t="array" ref="F15">VLOOKUP(E15,{Source!B:B,Source!A:A},2,FALSE)</f>
        <v>10.1787/9789264309074-14-en</v>
      </c>
      <c r="G15" s="12"/>
    </row>
    <row r="16">
      <c r="A16" s="27" t="str">
        <f t="shared" si="1"/>
        <v>#NAME?</v>
      </c>
      <c r="B16" s="12" t="s">
        <v>293</v>
      </c>
      <c r="C16" s="5">
        <v>8.0</v>
      </c>
      <c r="D16" s="5" t="b">
        <v>0</v>
      </c>
      <c r="E16" s="12" t="s">
        <v>292</v>
      </c>
      <c r="F16" s="27" t="str">
        <f t="array" ref="F16">VLOOKUP(E16,{Source!B:B,Source!A:A},2,FALSE)</f>
        <v>10.1787/9789264262959-en</v>
      </c>
      <c r="G16" s="12"/>
    </row>
    <row r="17">
      <c r="A17" s="27" t="str">
        <f t="shared" si="1"/>
        <v>#NAME?</v>
      </c>
      <c r="B17" s="12" t="s">
        <v>153</v>
      </c>
      <c r="C17" s="5">
        <v>8.0</v>
      </c>
      <c r="D17" s="5" t="b">
        <v>0</v>
      </c>
      <c r="E17" s="12" t="s">
        <v>152</v>
      </c>
      <c r="F17" s="27" t="str">
        <f t="array" ref="F17">VLOOKUP(E17,{Source!B:B,Source!A:A},2,FALSE)</f>
        <v>10.1787/5js4vmp5n5r8-en</v>
      </c>
      <c r="G17" s="12"/>
    </row>
    <row r="18">
      <c r="A18" s="27" t="str">
        <f t="shared" si="1"/>
        <v>#NAME?</v>
      </c>
      <c r="B18" s="12" t="s">
        <v>98</v>
      </c>
      <c r="C18" s="5">
        <v>8.0</v>
      </c>
      <c r="D18" s="5" t="b">
        <v>0</v>
      </c>
      <c r="E18" s="12" t="s">
        <v>97</v>
      </c>
      <c r="F18" s="27" t="str">
        <f t="array" ref="F18">VLOOKUP(E18,{Source!B:B,Source!A:A},2,FALSE)</f>
        <v>10.18356/3a7787dd-en</v>
      </c>
      <c r="G18" s="12"/>
    </row>
    <row r="19">
      <c r="A19" s="27" t="str">
        <f t="shared" si="1"/>
        <v>#NAME?</v>
      </c>
      <c r="B19" s="12" t="s">
        <v>309</v>
      </c>
      <c r="C19" s="5">
        <v>8.0</v>
      </c>
      <c r="D19" s="5" t="b">
        <v>1</v>
      </c>
      <c r="E19" s="12" t="s">
        <v>308</v>
      </c>
      <c r="F19" s="27" t="str">
        <f t="array" ref="F19">VLOOKUP(E19,{Source!B:B,Source!A:A},2,FALSE)</f>
        <v>10.18356/584f8730-en</v>
      </c>
      <c r="G19" s="12"/>
    </row>
    <row r="20">
      <c r="A20" s="27" t="str">
        <f t="shared" si="1"/>
        <v>#NAME?</v>
      </c>
      <c r="B20" s="12" t="s">
        <v>215</v>
      </c>
      <c r="C20" s="5">
        <v>8.0</v>
      </c>
      <c r="D20" s="5" t="b">
        <v>1</v>
      </c>
      <c r="E20" s="12" t="s">
        <v>214</v>
      </c>
      <c r="F20" s="27" t="str">
        <f t="array" ref="F20">VLOOKUP(E20,{Source!B:B,Source!A:A},2,FALSE)</f>
        <v>10.1787/9789264302037-en</v>
      </c>
      <c r="G20" s="12"/>
    </row>
    <row r="21">
      <c r="A21" s="27" t="str">
        <f t="shared" si="1"/>
        <v>#NAME?</v>
      </c>
      <c r="B21" s="12" t="s">
        <v>171</v>
      </c>
      <c r="C21" s="5">
        <v>8.0</v>
      </c>
      <c r="D21" s="5" t="b">
        <v>1</v>
      </c>
      <c r="E21" s="12" t="s">
        <v>170</v>
      </c>
      <c r="F21" s="27" t="str">
        <f t="array" ref="F21">VLOOKUP(E21,{Source!B:B,Source!A:A},2,FALSE)</f>
        <v>10.1787/5js4rv0g7szr-en</v>
      </c>
      <c r="G21" s="12"/>
    </row>
    <row r="22">
      <c r="A22" s="27" t="str">
        <f t="shared" si="1"/>
        <v>#NAME?</v>
      </c>
      <c r="B22" s="12" t="s">
        <v>103</v>
      </c>
      <c r="C22" s="5">
        <v>8.0</v>
      </c>
      <c r="D22" s="5" t="b">
        <v>0</v>
      </c>
      <c r="E22" s="12" t="s">
        <v>102</v>
      </c>
      <c r="F22" s="27" t="str">
        <f t="array" ref="F22">VLOOKUP(E22,{Source!B:B,Source!A:A},2,FALSE)</f>
        <v>10.1787/6d9cd656-en</v>
      </c>
      <c r="G22" s="12"/>
    </row>
    <row r="23">
      <c r="A23" s="27" t="str">
        <f t="shared" si="1"/>
        <v>#NAME?</v>
      </c>
      <c r="B23" s="59" t="s">
        <v>449</v>
      </c>
      <c r="C23" s="5">
        <v>8.0</v>
      </c>
      <c r="D23" s="5" t="b">
        <v>0</v>
      </c>
      <c r="E23" s="12" t="s">
        <v>122</v>
      </c>
      <c r="F23" s="27" t="str">
        <f t="array" ref="F23">VLOOKUP(E23,{Source!B:B,Source!A:A},2,FALSE)</f>
        <v>10.1787/9789264269637-6-en</v>
      </c>
      <c r="G23" s="59" t="s">
        <v>450</v>
      </c>
    </row>
    <row r="24">
      <c r="A24" s="27" t="str">
        <f t="shared" si="1"/>
        <v>#NAME?</v>
      </c>
      <c r="B24" s="12" t="s">
        <v>105</v>
      </c>
      <c r="C24" s="5">
        <v>8.0</v>
      </c>
      <c r="D24" s="5" t="b">
        <v>0</v>
      </c>
      <c r="E24" s="12" t="s">
        <v>104</v>
      </c>
      <c r="F24" s="27" t="str">
        <f t="array" ref="F24">VLOOKUP(E24,{Source!B:B,Source!A:A},2,FALSE)</f>
        <v>10.1787/9789264309074-14-en</v>
      </c>
      <c r="G24" s="12"/>
    </row>
    <row r="25">
      <c r="A25" s="27" t="str">
        <f t="shared" si="1"/>
        <v>#NAME?</v>
      </c>
      <c r="B25" s="12" t="s">
        <v>256</v>
      </c>
      <c r="C25" s="5">
        <v>8.0</v>
      </c>
      <c r="D25" s="5" t="b">
        <v>0</v>
      </c>
      <c r="E25" s="12" t="s">
        <v>255</v>
      </c>
      <c r="F25" s="27" t="str">
        <f t="array" ref="F25">VLOOKUP(E25,{Source!B:B,Source!A:A},2,FALSE)</f>
        <v>10.1787/5js6g5kvpd6j-en</v>
      </c>
      <c r="G25" s="12"/>
    </row>
    <row r="26">
      <c r="A26" s="27" t="str">
        <f t="shared" si="1"/>
        <v>#NAME?</v>
      </c>
      <c r="B26" s="12" t="s">
        <v>140</v>
      </c>
      <c r="C26" s="5">
        <v>8.0</v>
      </c>
      <c r="D26" s="5" t="b">
        <v>0</v>
      </c>
      <c r="E26" s="12" t="s">
        <v>139</v>
      </c>
      <c r="F26" s="27" t="str">
        <f t="array" ref="F26">VLOOKUP(E26,{Source!B:B,Source!A:A},2,FALSE)</f>
        <v>10.1787/5k3xn24zbqr4-en</v>
      </c>
      <c r="G26" s="12"/>
    </row>
    <row r="27">
      <c r="A27" s="27" t="str">
        <f t="shared" si="1"/>
        <v>#NAME?</v>
      </c>
      <c r="B27" s="59" t="s">
        <v>451</v>
      </c>
      <c r="C27" s="5">
        <v>8.0</v>
      </c>
      <c r="D27" s="5" t="b">
        <v>0</v>
      </c>
      <c r="E27" s="12" t="s">
        <v>184</v>
      </c>
      <c r="F27" s="27" t="str">
        <f t="array" ref="F27">VLOOKUP(E27,{Source!B:B,Source!A:A},2,FALSE)</f>
        <v>10.1787/9789264309074-14-en</v>
      </c>
      <c r="G27" s="59" t="s">
        <v>452</v>
      </c>
    </row>
    <row r="28">
      <c r="A28" s="27" t="str">
        <f t="shared" si="1"/>
        <v>#NAME?</v>
      </c>
      <c r="B28" s="59" t="s">
        <v>453</v>
      </c>
      <c r="C28" s="5">
        <v>8.0</v>
      </c>
      <c r="D28" s="5" t="b">
        <v>0</v>
      </c>
      <c r="E28" s="12" t="s">
        <v>257</v>
      </c>
      <c r="F28" s="27" t="str">
        <f t="array" ref="F28">VLOOKUP(E28,{Source!B:B,Source!A:A},2,FALSE)</f>
        <v>10.14217/9781848599598-12-en</v>
      </c>
      <c r="G28" s="59" t="s">
        <v>454</v>
      </c>
    </row>
    <row r="29">
      <c r="A29" s="27" t="str">
        <f t="shared" si="1"/>
        <v>#NAME?</v>
      </c>
      <c r="B29" s="12" t="s">
        <v>138</v>
      </c>
      <c r="C29" s="5">
        <v>8.0</v>
      </c>
      <c r="D29" s="5" t="b">
        <v>0</v>
      </c>
      <c r="E29" s="12" t="s">
        <v>137</v>
      </c>
      <c r="F29" s="27" t="str">
        <f t="array" ref="F29">VLOOKUP(E29,{Source!B:B,Source!A:A},2,FALSE)</f>
        <v>10.6027/9789289349437-7-en</v>
      </c>
      <c r="G29" s="12"/>
    </row>
    <row r="30">
      <c r="A30" s="27" t="str">
        <f t="shared" si="1"/>
        <v>#NAME?</v>
      </c>
      <c r="B30" s="12" t="s">
        <v>200</v>
      </c>
      <c r="C30" s="5">
        <v>8.0</v>
      </c>
      <c r="D30" s="5" t="b">
        <v>0</v>
      </c>
      <c r="E30" s="12" t="s">
        <v>199</v>
      </c>
      <c r="F30" s="27" t="str">
        <f t="array" ref="F30">VLOOKUP(E30,{Source!B:B,Source!A:A},2,FALSE)</f>
        <v>10.18356/3fe10a08-en</v>
      </c>
      <c r="G30" s="12"/>
    </row>
    <row r="31">
      <c r="A31" s="27" t="str">
        <f t="shared" si="1"/>
        <v>#NAME?</v>
      </c>
      <c r="B31" s="12" t="s">
        <v>196</v>
      </c>
      <c r="C31" s="5">
        <v>8.0</v>
      </c>
      <c r="D31" s="5" t="b">
        <v>0</v>
      </c>
      <c r="E31" s="12" t="s">
        <v>195</v>
      </c>
      <c r="F31" s="27" t="str">
        <f t="array" ref="F31">VLOOKUP(E31,{Source!B:B,Source!A:A},2,FALSE)</f>
        <v>10.18356/46a5795c-en</v>
      </c>
      <c r="G31" s="12"/>
    </row>
    <row r="32">
      <c r="A32" s="27" t="str">
        <f t="shared" si="1"/>
        <v>#NAME?</v>
      </c>
      <c r="B32" s="12" t="s">
        <v>130</v>
      </c>
      <c r="C32" s="5">
        <v>8.0</v>
      </c>
      <c r="D32" s="5" t="b">
        <v>0</v>
      </c>
      <c r="E32" s="12" t="s">
        <v>129</v>
      </c>
      <c r="F32" s="27" t="str">
        <f t="array" ref="F32">VLOOKUP(E32,{Source!B:B,Source!A:A},2,FALSE)</f>
        <v>10.1787/5k4c0vtwpttj-en</v>
      </c>
      <c r="G32" s="12"/>
    </row>
    <row r="33">
      <c r="A33" s="27" t="str">
        <f t="shared" si="1"/>
        <v>#NAME?</v>
      </c>
      <c r="B33" s="12" t="s">
        <v>245</v>
      </c>
      <c r="C33" s="5">
        <v>8.0</v>
      </c>
      <c r="D33" s="5" t="b">
        <v>0</v>
      </c>
      <c r="E33" s="12" t="s">
        <v>244</v>
      </c>
      <c r="F33" s="27" t="str">
        <f t="array" ref="F33">VLOOKUP(E33,{Source!B:B,Source!A:A},2,FALSE)</f>
        <v>10.18356/9f796186-en</v>
      </c>
      <c r="G33" s="12"/>
    </row>
    <row r="34">
      <c r="A34" s="27" t="str">
        <f t="shared" si="1"/>
        <v>#NAME?</v>
      </c>
      <c r="B34" s="12" t="s">
        <v>113</v>
      </c>
      <c r="C34" s="5">
        <v>8.0</v>
      </c>
      <c r="D34" s="5" t="b">
        <v>0</v>
      </c>
      <c r="E34" s="12" t="s">
        <v>112</v>
      </c>
      <c r="F34" s="27" t="str">
        <f t="array" ref="F34">VLOOKUP(E34,{Source!B:B,Source!A:A},2,FALSE)</f>
        <v>10.1787/5js4vmp5n5r8-en</v>
      </c>
      <c r="G34" s="12"/>
    </row>
    <row r="35">
      <c r="A35" s="27" t="str">
        <f t="shared" si="1"/>
        <v>#NAME?</v>
      </c>
      <c r="B35" s="12" t="s">
        <v>111</v>
      </c>
      <c r="C35" s="5">
        <v>8.0</v>
      </c>
      <c r="D35" s="5" t="b">
        <v>0</v>
      </c>
      <c r="E35" s="12" t="s">
        <v>110</v>
      </c>
      <c r="F35" s="27" t="str">
        <f t="array" ref="F35">VLOOKUP(E35,{Source!B:B,Source!A:A},2,FALSE)</f>
        <v>10.1787/eco/surveys-dnk-2019-3-en</v>
      </c>
      <c r="G35" s="12"/>
    </row>
    <row r="36">
      <c r="A36" s="27" t="str">
        <f t="shared" si="1"/>
        <v>#NAME?</v>
      </c>
      <c r="B36" s="12" t="s">
        <v>233</v>
      </c>
      <c r="C36" s="5">
        <v>8.0</v>
      </c>
      <c r="D36" s="5" t="b">
        <v>0</v>
      </c>
      <c r="E36" s="12" t="s">
        <v>232</v>
      </c>
      <c r="F36" s="27" t="str">
        <f t="array" ref="F36">VLOOKUP(E36,{Source!B:B,Source!A:A},2,FALSE)</f>
        <v>10.1787/5js6363503f6-en</v>
      </c>
      <c r="G36" s="12"/>
    </row>
    <row r="37">
      <c r="A37" s="27" t="str">
        <f t="shared" si="1"/>
        <v>#NAME?</v>
      </c>
      <c r="B37" s="12" t="s">
        <v>212</v>
      </c>
      <c r="C37" s="5">
        <v>8.0</v>
      </c>
      <c r="D37" s="5" t="b">
        <v>1</v>
      </c>
      <c r="E37" s="12" t="s">
        <v>211</v>
      </c>
      <c r="F37" s="27" t="str">
        <f t="array" ref="F37">VLOOKUP(E37,{Source!B:B,Source!A:A},2,FALSE)</f>
        <v>10.1787/9789264262959-en</v>
      </c>
      <c r="G37" s="12"/>
    </row>
    <row r="38">
      <c r="A38" s="27" t="str">
        <f t="shared" si="1"/>
        <v>#NAME?</v>
      </c>
      <c r="B38" s="12" t="s">
        <v>149</v>
      </c>
      <c r="C38" s="5">
        <v>8.0</v>
      </c>
      <c r="D38" s="5" t="b">
        <v>1</v>
      </c>
      <c r="E38" s="12" t="s">
        <v>148</v>
      </c>
      <c r="F38" s="27" t="str">
        <f t="array" ref="F38">VLOOKUP(E38,{Source!B:B,Source!A:A},2,FALSE)</f>
        <v>10.18356/eb61760a-en</v>
      </c>
      <c r="G38" s="12"/>
    </row>
    <row r="39">
      <c r="A39" s="27" t="str">
        <f t="shared" si="1"/>
        <v>#NAME?</v>
      </c>
      <c r="B39" s="12" t="s">
        <v>119</v>
      </c>
      <c r="C39" s="5">
        <v>8.0</v>
      </c>
      <c r="D39" s="5" t="b">
        <v>1</v>
      </c>
      <c r="E39" s="12" t="s">
        <v>118</v>
      </c>
      <c r="F39" s="27" t="str">
        <f t="array" ref="F39">VLOOKUP(E39,{Source!B:B,Source!A:A},2,FALSE)</f>
        <v>10.1787/5k3xn24zbqr4-en</v>
      </c>
      <c r="G39" s="12"/>
    </row>
    <row r="40">
      <c r="A40" s="27" t="str">
        <f t="shared" si="1"/>
        <v>#NAME?</v>
      </c>
      <c r="B40" s="59" t="s">
        <v>455</v>
      </c>
      <c r="C40" s="5">
        <v>8.0</v>
      </c>
      <c r="D40" s="5" t="b">
        <v>1</v>
      </c>
      <c r="E40" s="12" t="s">
        <v>306</v>
      </c>
      <c r="F40" s="27" t="str">
        <f t="array" ref="F40">VLOOKUP(E40,{Source!B:B,Source!A:A},2,FALSE)</f>
        <v>10.1787/9789264310278-en</v>
      </c>
      <c r="G40" s="59" t="s">
        <v>456</v>
      </c>
    </row>
    <row r="41">
      <c r="A41" s="27" t="str">
        <f t="shared" si="1"/>
        <v>#NAME?</v>
      </c>
      <c r="B41" s="12" t="s">
        <v>191</v>
      </c>
      <c r="C41" s="5">
        <v>8.0</v>
      </c>
      <c r="D41" s="5" t="b">
        <v>1</v>
      </c>
      <c r="E41" s="12" t="s">
        <v>190</v>
      </c>
      <c r="F41" s="27" t="str">
        <f t="array" ref="F41">VLOOKUP(E41,{Source!B:B,Source!A:A},2,FALSE)</f>
        <v>10.1787/9789264110984-6-en</v>
      </c>
      <c r="G41" s="12"/>
    </row>
    <row r="42">
      <c r="A42" s="27" t="str">
        <f t="shared" si="1"/>
        <v>#NAME?</v>
      </c>
      <c r="B42" s="12" t="s">
        <v>287</v>
      </c>
      <c r="C42" s="5">
        <v>8.0</v>
      </c>
      <c r="D42" s="5" t="b">
        <v>0</v>
      </c>
      <c r="E42" s="12" t="s">
        <v>286</v>
      </c>
      <c r="F42" s="27" t="str">
        <f t="array" ref="F42">VLOOKUP(E42,{Source!B:B,Source!A:A},2,FALSE)</f>
        <v>10.1787/9789264302037-en</v>
      </c>
      <c r="G42" s="12"/>
    </row>
    <row r="43">
      <c r="A43" s="27" t="str">
        <f t="shared" si="1"/>
        <v>#NAME?</v>
      </c>
      <c r="B43" s="12" t="s">
        <v>227</v>
      </c>
      <c r="C43" s="5">
        <v>8.0</v>
      </c>
      <c r="D43" s="5" t="b">
        <v>1</v>
      </c>
      <c r="E43" s="12" t="s">
        <v>226</v>
      </c>
      <c r="F43" s="27" t="str">
        <f t="array" ref="F43">VLOOKUP(E43,{Source!B:B,Source!A:A},2,FALSE)</f>
        <v>10.1787/5k3xn24zbqr4-en</v>
      </c>
      <c r="G43" s="12"/>
    </row>
    <row r="44">
      <c r="A44" s="27" t="str">
        <f t="shared" si="1"/>
        <v>#NAME?</v>
      </c>
      <c r="B44" s="59" t="s">
        <v>457</v>
      </c>
      <c r="C44" s="5">
        <v>8.0</v>
      </c>
      <c r="D44" s="5" t="b">
        <v>1</v>
      </c>
      <c r="E44" s="12" t="s">
        <v>222</v>
      </c>
      <c r="F44" s="27" t="str">
        <f t="array" ref="F44">VLOOKUP(E44,{Source!B:B,Source!A:A},2,FALSE)</f>
        <v>10.1787/9789264269637-6-en</v>
      </c>
      <c r="G44" s="59" t="s">
        <v>452</v>
      </c>
    </row>
    <row r="45">
      <c r="A45" s="27" t="str">
        <f t="shared" si="1"/>
        <v>#NAME?</v>
      </c>
      <c r="B45" s="12" t="s">
        <v>218</v>
      </c>
      <c r="C45" s="5">
        <v>8.0</v>
      </c>
      <c r="D45" s="5" t="b">
        <v>1</v>
      </c>
      <c r="E45" s="12" t="s">
        <v>217</v>
      </c>
      <c r="F45" s="27" t="str">
        <f t="array" ref="F45">VLOOKUP(E45,{Source!B:B,Source!A:A},2,FALSE)</f>
        <v>10.18356/a25027f3-en</v>
      </c>
      <c r="G45" s="12"/>
    </row>
    <row r="46">
      <c r="A46" s="27" t="str">
        <f t="shared" si="1"/>
        <v>#NAME?</v>
      </c>
      <c r="B46" s="12" t="s">
        <v>271</v>
      </c>
      <c r="C46" s="5">
        <v>8.0</v>
      </c>
      <c r="D46" s="5" t="b">
        <v>1</v>
      </c>
      <c r="E46" s="12" t="s">
        <v>270</v>
      </c>
      <c r="F46" s="27" t="str">
        <f t="array" ref="F46">VLOOKUP(E46,{Source!B:B,Source!A:A},2,FALSE)</f>
        <v>10.18356/5e7c1b09-en</v>
      </c>
      <c r="G46" s="12"/>
    </row>
    <row r="47">
      <c r="A47" s="27" t="str">
        <f t="shared" si="1"/>
        <v>#NAME?</v>
      </c>
      <c r="B47" s="12" t="s">
        <v>301</v>
      </c>
      <c r="C47" s="5">
        <v>8.0</v>
      </c>
      <c r="D47" s="5" t="b">
        <v>1</v>
      </c>
      <c r="E47" s="12" t="s">
        <v>300</v>
      </c>
      <c r="F47" s="27" t="str">
        <f t="array" ref="F47">VLOOKUP(E47,{Source!B:B,Source!A:A},2,FALSE)</f>
        <v>10.1787/5js6g5kvpd6j-en</v>
      </c>
      <c r="G47" s="12"/>
    </row>
    <row r="48">
      <c r="A48" s="27" t="str">
        <f t="shared" si="1"/>
        <v>#NAME?</v>
      </c>
      <c r="B48" s="12" t="s">
        <v>291</v>
      </c>
      <c r="C48" s="5">
        <v>8.0</v>
      </c>
      <c r="D48" s="5" t="b">
        <v>1</v>
      </c>
      <c r="E48" s="12" t="s">
        <v>290</v>
      </c>
      <c r="F48" s="27" t="str">
        <f t="array" ref="F48">VLOOKUP(E48,{Source!B:B,Source!A:A},2,FALSE)</f>
        <v>10.1787/eco/surveys-zaf-2010-6-en</v>
      </c>
      <c r="G48" s="12"/>
    </row>
    <row r="49">
      <c r="A49" s="27" t="str">
        <f t="shared" si="1"/>
        <v>#NAME?</v>
      </c>
      <c r="B49" s="12" t="s">
        <v>174</v>
      </c>
      <c r="C49" s="5">
        <v>8.0</v>
      </c>
      <c r="D49" s="5" t="b">
        <v>1</v>
      </c>
      <c r="E49" s="12" t="s">
        <v>173</v>
      </c>
      <c r="F49" s="27" t="str">
        <f t="array" ref="F49">VLOOKUP(E49,{Source!B:B,Source!A:A},2,FALSE)</f>
        <v>10.1787/9789264082106-1-en</v>
      </c>
      <c r="G49" s="12"/>
    </row>
    <row r="50">
      <c r="A50" s="27" t="str">
        <f t="shared" si="1"/>
        <v>#NAME?</v>
      </c>
      <c r="B50" s="59" t="s">
        <v>458</v>
      </c>
      <c r="C50" s="5">
        <v>8.0</v>
      </c>
      <c r="D50" s="5" t="b">
        <v>1</v>
      </c>
      <c r="E50" s="12" t="s">
        <v>312</v>
      </c>
      <c r="F50" s="27" t="str">
        <f t="array" ref="F50">VLOOKUP(E50,{Source!B:B,Source!A:A},2,FALSE)</f>
        <v>10.1787/9789264276055-11-en</v>
      </c>
      <c r="G50" s="59" t="s">
        <v>459</v>
      </c>
    </row>
    <row r="51">
      <c r="A51" s="27" t="str">
        <f t="shared" si="1"/>
        <v>#NAME?</v>
      </c>
      <c r="B51" s="12" t="s">
        <v>243</v>
      </c>
      <c r="C51" s="5">
        <v>8.0</v>
      </c>
      <c r="D51" s="5" t="b">
        <v>1</v>
      </c>
      <c r="E51" s="12" t="s">
        <v>242</v>
      </c>
      <c r="F51" s="27" t="str">
        <f t="array" ref="F51">VLOOKUP(E51,{Source!B:B,Source!A:A},2,FALSE)</f>
        <v>10.18356/1fe990fb-en</v>
      </c>
      <c r="G51" s="12"/>
    </row>
    <row r="52">
      <c r="A52" s="27" t="str">
        <f t="shared" si="1"/>
        <v>#NAME?</v>
      </c>
      <c r="B52" s="59" t="s">
        <v>460</v>
      </c>
      <c r="C52" s="5">
        <v>8.0</v>
      </c>
      <c r="D52" s="5" t="b">
        <v>0</v>
      </c>
      <c r="E52" s="12" t="s">
        <v>264</v>
      </c>
      <c r="F52" s="27" t="str">
        <f t="array" ref="F52">VLOOKUP(E52,{Source!B:B,Source!A:A},2,FALSE)</f>
        <v>10.1787/9789264309074-5-en</v>
      </c>
      <c r="G52" s="59" t="s">
        <v>450</v>
      </c>
    </row>
    <row r="53">
      <c r="A53" s="27" t="str">
        <f t="shared" si="1"/>
        <v>#NAME?</v>
      </c>
      <c r="B53" s="12" t="s">
        <v>183</v>
      </c>
      <c r="C53" s="5">
        <v>8.0</v>
      </c>
      <c r="D53" s="5" t="b">
        <v>1</v>
      </c>
      <c r="E53" s="12" t="s">
        <v>182</v>
      </c>
      <c r="F53" s="27" t="str">
        <f t="array" ref="F53">VLOOKUP(E53,{Source!B:B,Source!A:A},2,FALSE)</f>
        <v>10.1787/5js4vmp5n5r8-en</v>
      </c>
      <c r="G53" s="12"/>
    </row>
    <row r="54">
      <c r="A54" s="27" t="str">
        <f t="shared" si="1"/>
        <v>#NAME?</v>
      </c>
      <c r="B54" s="12" t="s">
        <v>275</v>
      </c>
      <c r="C54" s="5">
        <v>8.0</v>
      </c>
      <c r="D54" s="5" t="b">
        <v>1</v>
      </c>
      <c r="E54" s="12" t="s">
        <v>274</v>
      </c>
      <c r="F54" s="27" t="str">
        <f t="array" ref="F54">VLOOKUP(E54,{Source!B:B,Source!A:A},2,FALSE)</f>
        <v>10.1787/5js6g5kvpd6j-en</v>
      </c>
      <c r="G54" s="12"/>
    </row>
    <row r="55">
      <c r="A55" s="27" t="str">
        <f t="shared" si="1"/>
        <v>#NAME?</v>
      </c>
      <c r="B55" s="12" t="s">
        <v>181</v>
      </c>
      <c r="C55" s="5">
        <v>8.0</v>
      </c>
      <c r="D55" s="5" t="b">
        <v>0</v>
      </c>
      <c r="E55" s="12" t="s">
        <v>180</v>
      </c>
      <c r="F55" s="27" t="str">
        <f t="array" ref="F55">VLOOKUP(E55,{Source!B:B,Source!A:A},2,FALSE)</f>
        <v>10.1787/9789264269637-6-en</v>
      </c>
      <c r="G55" s="12"/>
    </row>
    <row r="56">
      <c r="A56" s="27" t="str">
        <f t="shared" si="1"/>
        <v>#NAME?</v>
      </c>
      <c r="B56" s="12" t="s">
        <v>107</v>
      </c>
      <c r="C56" s="5">
        <v>8.0</v>
      </c>
      <c r="D56" s="5" t="b">
        <v>1</v>
      </c>
      <c r="E56" s="12" t="s">
        <v>106</v>
      </c>
      <c r="F56" s="27" t="str">
        <f t="array" ref="F56">VLOOKUP(E56,{Source!B:B,Source!A:A},2,FALSE)</f>
        <v>10.18356/68bdcb6f-en</v>
      </c>
      <c r="G56" s="12"/>
    </row>
    <row r="57">
      <c r="A57" s="27" t="str">
        <f t="shared" si="1"/>
        <v>#NAME?</v>
      </c>
      <c r="B57" s="59" t="s">
        <v>461</v>
      </c>
      <c r="C57" s="5">
        <v>8.0</v>
      </c>
      <c r="D57" s="5" t="b">
        <v>0</v>
      </c>
      <c r="E57" s="12" t="s">
        <v>302</v>
      </c>
      <c r="F57" s="27" t="str">
        <f t="array" ref="F57">VLOOKUP(E57,{Source!B:B,Source!A:A},2,FALSE)</f>
        <v>10.1787/eco/surveys-dnk-2019-3-en</v>
      </c>
      <c r="G57" s="59" t="s">
        <v>450</v>
      </c>
    </row>
    <row r="58">
      <c r="A58" s="27" t="str">
        <f t="shared" si="1"/>
        <v>#NAME?</v>
      </c>
      <c r="B58" s="12" t="s">
        <v>157</v>
      </c>
      <c r="C58" s="5">
        <v>8.0</v>
      </c>
      <c r="D58" s="5" t="b">
        <v>0</v>
      </c>
      <c r="E58" s="12" t="s">
        <v>156</v>
      </c>
      <c r="F58" s="27" t="str">
        <f t="array" ref="F58">VLOOKUP(E58,{Source!B:B,Source!A:A},2,FALSE)</f>
        <v>10.1787/5js6363503f6-en</v>
      </c>
      <c r="G58" s="12"/>
    </row>
    <row r="59">
      <c r="A59" s="27" t="str">
        <f t="shared" si="1"/>
        <v>#NAME?</v>
      </c>
      <c r="B59" s="12" t="s">
        <v>166</v>
      </c>
      <c r="C59" s="5">
        <v>8.0</v>
      </c>
      <c r="D59" s="5" t="b">
        <v>0</v>
      </c>
      <c r="E59" s="12" t="s">
        <v>165</v>
      </c>
      <c r="F59" s="27" t="str">
        <f t="array" ref="F59">VLOOKUP(E59,{Source!B:B,Source!A:A},2,FALSE)</f>
        <v>10.1787/leo-2017-7-en</v>
      </c>
      <c r="G59" s="12"/>
    </row>
    <row r="60">
      <c r="A60" s="27" t="str">
        <f t="shared" si="1"/>
        <v>#NAME?</v>
      </c>
      <c r="B60" s="12" t="s">
        <v>253</v>
      </c>
      <c r="C60" s="5">
        <v>8.0</v>
      </c>
      <c r="D60" s="5" t="b">
        <v>1</v>
      </c>
      <c r="E60" s="12" t="s">
        <v>252</v>
      </c>
      <c r="F60" s="27" t="str">
        <f t="array" ref="F60">VLOOKUP(E60,{Source!B:B,Source!A:A},2,FALSE)</f>
        <v>10.1787/aeo-2012-8-en</v>
      </c>
      <c r="G60" s="12"/>
    </row>
    <row r="61">
      <c r="A61" s="27" t="str">
        <f t="shared" si="1"/>
        <v>#NAME?</v>
      </c>
      <c r="B61" s="12" t="s">
        <v>147</v>
      </c>
      <c r="C61" s="5">
        <v>8.0</v>
      </c>
      <c r="D61" s="5" t="b">
        <v>1</v>
      </c>
      <c r="E61" s="12" t="s">
        <v>146</v>
      </c>
      <c r="F61" s="27" t="str">
        <f t="array" ref="F61">VLOOKUP(E61,{Source!B:B,Source!A:A},2,FALSE)</f>
        <v>10.1787/9789264276055-11-en</v>
      </c>
      <c r="G61" s="12"/>
    </row>
    <row r="62">
      <c r="A62" s="27" t="str">
        <f t="shared" si="1"/>
        <v>#NAME?</v>
      </c>
      <c r="B62" s="12" t="s">
        <v>237</v>
      </c>
      <c r="C62" s="5">
        <v>8.0</v>
      </c>
      <c r="D62" s="5" t="b">
        <v>0</v>
      </c>
      <c r="E62" s="12" t="s">
        <v>236</v>
      </c>
      <c r="F62" s="27" t="str">
        <f t="array" ref="F62">VLOOKUP(E62,{Source!B:B,Source!A:A},2,FALSE)</f>
        <v>10.1787/5js6g5kvpd6j-en</v>
      </c>
      <c r="G62" s="12"/>
    </row>
    <row r="63">
      <c r="A63" s="27" t="str">
        <f t="shared" si="1"/>
        <v>#NAME?</v>
      </c>
      <c r="B63" s="12" t="s">
        <v>163</v>
      </c>
      <c r="C63" s="5">
        <v>8.0</v>
      </c>
      <c r="D63" s="5" t="b">
        <v>1</v>
      </c>
      <c r="E63" s="12" t="s">
        <v>162</v>
      </c>
      <c r="F63" s="27" t="str">
        <f t="array" ref="F63">VLOOKUP(E63,{Source!B:B,Source!A:A},2,FALSE)</f>
        <v>10.1787/9789264085398-en</v>
      </c>
      <c r="G63" s="12"/>
    </row>
    <row r="64">
      <c r="A64" s="27" t="str">
        <f t="shared" si="1"/>
        <v>#NAME?</v>
      </c>
      <c r="B64" s="12" t="s">
        <v>285</v>
      </c>
      <c r="C64" s="5">
        <v>8.0</v>
      </c>
      <c r="D64" s="5" t="b">
        <v>1</v>
      </c>
      <c r="E64" s="12" t="s">
        <v>284</v>
      </c>
      <c r="F64" s="27" t="str">
        <f t="array" ref="F64">VLOOKUP(E64,{Source!B:B,Source!A:A},2,FALSE)</f>
        <v>10.14217/9781848599598-12-en</v>
      </c>
      <c r="G64" s="12"/>
    </row>
    <row r="65">
      <c r="A65" s="27" t="str">
        <f t="shared" si="1"/>
        <v>#NAME?</v>
      </c>
      <c r="B65" s="12" t="s">
        <v>168</v>
      </c>
      <c r="C65" s="5">
        <v>8.0</v>
      </c>
      <c r="D65" s="5" t="b">
        <v>0</v>
      </c>
      <c r="E65" s="12" t="s">
        <v>167</v>
      </c>
      <c r="F65" s="27" t="str">
        <f t="array" ref="F65">VLOOKUP(E65,{Source!B:B,Source!A:A},2,FALSE)</f>
        <v>10.1787/9789264287747-en</v>
      </c>
      <c r="G65" s="59" t="s">
        <v>434</v>
      </c>
    </row>
    <row r="66">
      <c r="A66" s="27" t="str">
        <f t="shared" si="1"/>
        <v>#NAME?</v>
      </c>
      <c r="B66" s="12" t="s">
        <v>260</v>
      </c>
      <c r="C66" s="5">
        <v>8.0</v>
      </c>
      <c r="D66" s="5" t="b">
        <v>1</v>
      </c>
      <c r="E66" s="12" t="s">
        <v>259</v>
      </c>
      <c r="F66" s="27" t="str">
        <f t="array" ref="F66">VLOOKUP(E66,{Source!B:B,Source!A:A},2,FALSE)</f>
        <v>10.1787/5k3xn24zbqr4-en</v>
      </c>
      <c r="G66" s="12"/>
    </row>
    <row r="67">
      <c r="A67" s="27" t="str">
        <f t="shared" si="1"/>
        <v>#NAME?</v>
      </c>
      <c r="B67" s="12" t="s">
        <v>205</v>
      </c>
      <c r="C67" s="5">
        <v>8.0</v>
      </c>
      <c r="D67" s="5" t="b">
        <v>1</v>
      </c>
      <c r="E67" s="12" t="s">
        <v>204</v>
      </c>
      <c r="F67" s="27" t="str">
        <f t="array" ref="F67">VLOOKUP(E67,{Source!B:B,Source!A:A},2,FALSE)</f>
        <v>10.1787/5js4vmp5n5r8-en</v>
      </c>
      <c r="G67" s="12"/>
    </row>
    <row r="68">
      <c r="A68" s="27" t="str">
        <f t="shared" si="1"/>
        <v>#NAME?</v>
      </c>
      <c r="B68" s="12" t="s">
        <v>241</v>
      </c>
      <c r="C68" s="5">
        <v>8.0</v>
      </c>
      <c r="D68" s="5" t="b">
        <v>1</v>
      </c>
      <c r="E68" s="12" t="s">
        <v>240</v>
      </c>
      <c r="F68" s="27" t="str">
        <f t="array" ref="F68">VLOOKUP(E68,{Source!B:B,Source!A:A},2,FALSE)</f>
        <v>10.1787/c73325d9-en</v>
      </c>
      <c r="G68" s="12"/>
    </row>
    <row r="69">
      <c r="A69" s="27" t="str">
        <f t="shared" si="1"/>
        <v>#NAME?</v>
      </c>
      <c r="B69" s="12" t="s">
        <v>100</v>
      </c>
      <c r="C69" s="5">
        <v>8.0</v>
      </c>
      <c r="D69" s="5" t="b">
        <v>1</v>
      </c>
      <c r="E69" s="12" t="s">
        <v>99</v>
      </c>
      <c r="F69" s="27" t="str">
        <f t="array" ref="F69">VLOOKUP(E69,{Source!B:B,Source!A:A},2,FALSE)</f>
        <v>10.1787/5js4vmp5n5r8-en</v>
      </c>
      <c r="G69" s="12"/>
    </row>
    <row r="70">
      <c r="A70" s="27" t="str">
        <f t="shared" si="1"/>
        <v>#NAME?</v>
      </c>
      <c r="B70" s="12" t="s">
        <v>126</v>
      </c>
      <c r="C70" s="5">
        <v>8.0</v>
      </c>
      <c r="D70" s="5" t="b">
        <v>1</v>
      </c>
      <c r="E70" s="12" t="s">
        <v>125</v>
      </c>
      <c r="F70" s="27" t="str">
        <f t="array" ref="F70">VLOOKUP(E70,{Source!B:B,Source!A:A},2,FALSE)</f>
        <v>10.18356/0ac071e9-en</v>
      </c>
      <c r="G70" s="12"/>
    </row>
    <row r="71">
      <c r="A71" s="27" t="str">
        <f t="shared" si="1"/>
        <v>#NAME?</v>
      </c>
      <c r="B71" s="12" t="s">
        <v>121</v>
      </c>
      <c r="C71" s="5">
        <v>8.0</v>
      </c>
      <c r="D71" s="5" t="b">
        <v>0</v>
      </c>
      <c r="E71" s="12" t="s">
        <v>120</v>
      </c>
      <c r="F71" s="27" t="str">
        <f t="array" ref="F71">VLOOKUP(E71,{Source!B:B,Source!A:A},2,FALSE)</f>
        <v>10.18356/9f796186-en</v>
      </c>
      <c r="G71" s="12"/>
    </row>
    <row r="72">
      <c r="A72" s="27" t="str">
        <f t="shared" si="1"/>
        <v>#NAME?</v>
      </c>
      <c r="B72" s="12" t="s">
        <v>135</v>
      </c>
      <c r="C72" s="5">
        <v>8.0</v>
      </c>
      <c r="D72" s="5" t="b">
        <v>0</v>
      </c>
      <c r="E72" s="12" t="s">
        <v>134</v>
      </c>
      <c r="F72" s="27" t="str">
        <f t="array" ref="F72">VLOOKUP(E72,{Source!B:B,Source!A:A},2,FALSE)</f>
        <v>10.1787/9789264287747-en</v>
      </c>
      <c r="G72" s="59" t="s">
        <v>440</v>
      </c>
    </row>
    <row r="73">
      <c r="A73" s="27" t="str">
        <f t="shared" si="1"/>
        <v>#NAME?</v>
      </c>
      <c r="B73" s="12" t="s">
        <v>151</v>
      </c>
      <c r="C73" s="5">
        <v>8.0</v>
      </c>
      <c r="D73" s="5" t="b">
        <v>1</v>
      </c>
      <c r="E73" s="12" t="s">
        <v>150</v>
      </c>
      <c r="F73" s="27" t="str">
        <f t="array" ref="F73">VLOOKUP(E73,{Source!B:B,Source!A:A},2,FALSE)</f>
        <v>10.1787/9789264096127-9-en</v>
      </c>
    </row>
    <row r="74">
      <c r="A74" s="27" t="str">
        <f t="shared" si="1"/>
        <v>#NAME?</v>
      </c>
      <c r="B74" s="12" t="s">
        <v>202</v>
      </c>
      <c r="C74" s="5">
        <v>8.0</v>
      </c>
      <c r="D74" s="5" t="b">
        <v>1</v>
      </c>
      <c r="E74" s="12" t="s">
        <v>201</v>
      </c>
      <c r="F74" s="27" t="str">
        <f t="array" ref="F74">VLOOKUP(E74,{Source!B:B,Source!A:A},2,FALSE)</f>
        <v>10.1787/eco/surveys-zaf-2010-6-en</v>
      </c>
    </row>
    <row r="75">
      <c r="A75" s="27" t="str">
        <f t="shared" si="1"/>
        <v>#NAME?</v>
      </c>
      <c r="B75" s="12" t="s">
        <v>187</v>
      </c>
      <c r="C75" s="5">
        <v>8.0</v>
      </c>
      <c r="D75" s="5" t="b">
        <v>1</v>
      </c>
      <c r="E75" s="12" t="s">
        <v>186</v>
      </c>
      <c r="F75" s="27" t="str">
        <f t="array" ref="F75">VLOOKUP(E75,{Source!B:B,Source!A:A},2,FALSE)</f>
        <v>10.1787/9789264110984-6-en</v>
      </c>
    </row>
  </sheetData>
  <autoFilter ref="$A$1:$G$950"/>
  <drawing r:id="rId1"/>
</worksheet>
</file>