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 state="hidden" name="Comparison" sheetId="10" r:id="rId13"/>
  </sheets>
  <definedNames>
    <definedName hidden="1" localSheetId="1" name="_xlnm._FilterDatabase">Finn!$A$1:$E$101</definedName>
    <definedName hidden="1" localSheetId="6" name="_xlnm._FilterDatabase">Source!$A$1:$K$101</definedName>
    <definedName hidden="1" localSheetId="7" name="_xlnm._FilterDatabase">'Final Review'!$A$1:$S$101</definedName>
    <definedName hidden="1" localSheetId="8" name="_xlnm._FilterDatabase">Output!$A$1:$G$961</definedName>
    <definedName hidden="1" localSheetId="9" name="_xlnm._FilterDatabase">Comparison!$A$1:$T$101</definedName>
  </definedNames>
  <calcPr/>
</workbook>
</file>

<file path=xl/sharedStrings.xml><?xml version="1.0" encoding="utf-8"?>
<sst xmlns="http://schemas.openxmlformats.org/spreadsheetml/2006/main" count="3242" uniqueCount="532">
  <si>
    <t>Hello 👋</t>
  </si>
  <si>
    <t>Welcome to the labeling exercise for SDG 3.</t>
  </si>
  <si>
    <t>The objective of this exercise is to label 100 texts in terms of their relevance to SDG 3.</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</si>
  <si>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</si>
  <si>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</si>
  <si>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</si>
  <si>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</si>
  <si>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</si>
  <si>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</si>
  <si>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</si>
  <si>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C.</t>
  </si>
  <si>
    <t>Column D contains a drop-down for picking the appropriate label. The options are:</t>
  </si>
  <si>
    <t>This text is relevant to SDG 3</t>
  </si>
  <si>
    <t>This text is not relevant to SDG 3</t>
  </si>
  <si>
    <t>SKIP</t>
  </si>
  <si>
    <t>You can use this if you are not sure about the label</t>
  </si>
  <si>
    <t>If you want, you can put any comments in column E.</t>
  </si>
  <si>
    <t>Instructions for Labeling</t>
  </si>
  <si>
    <t>The text should be annotated as SDG 3 only if:</t>
  </si>
  <si>
    <r>
      <rPr>
        <rFont val="Arial"/>
        <color theme="1"/>
        <u/>
      </rPr>
      <t xml:space="preserve">1. The text addresses </t>
    </r>
    <r>
      <rPr>
        <rFont val="Arial"/>
        <b/>
        <color theme="1"/>
        <u/>
      </rPr>
      <t>SDG 3 or one of its targets</t>
    </r>
  </si>
  <si>
    <t>See the official definitions of SDG 3 and its targets below ("SDG 3 Description &amp; Targets").</t>
  </si>
  <si>
    <t>AND</t>
  </si>
  <si>
    <r>
      <rPr>
        <rFont val="Arial"/>
        <color theme="1"/>
        <u/>
      </rPr>
      <t xml:space="preserve">2. The text addresses SDG 3 or its targets </t>
    </r>
    <r>
      <rPr>
        <rFont val="Arial"/>
        <b/>
        <color theme="1"/>
        <u/>
      </rPr>
      <t>directly</t>
    </r>
    <r>
      <rPr>
        <rFont val="Arial"/>
        <color theme="1"/>
        <u/>
      </rPr>
      <t>:</t>
    </r>
  </si>
  <si>
    <t>- the text should be directly relevant to SDG 3 or to achieving SDG 3</t>
  </si>
  <si>
    <t>- if a text only has an indirect or implicit relevance, it should not be labeled SDG 3</t>
  </si>
  <si>
    <r>
      <rPr>
        <rFont val="Arial"/>
        <color theme="1"/>
        <u/>
      </rPr>
      <t xml:space="preserve">3. The text addresses SDG 3 or its targets </t>
    </r>
    <r>
      <rPr>
        <rFont val="Arial"/>
        <b/>
        <color theme="1"/>
        <u/>
      </rPr>
      <t>specifically</t>
    </r>
    <r>
      <rPr>
        <rFont val="Arial"/>
        <color theme="1"/>
        <u/>
      </rPr>
      <t>:</t>
    </r>
  </si>
  <si>
    <t>- the text should be specific to SDG 3 and its targets</t>
  </si>
  <si>
    <t>- if fact stating, the text should contain value-laden words (e.g. renewable energy instead of energy, drug abuse instead of drugs, infant mortality instead of premature deaths)</t>
  </si>
  <si>
    <r>
      <rPr>
        <rFont val="Arial"/>
        <color theme="1"/>
        <u/>
      </rPr>
      <t xml:space="preserve">4. Annotate as SDG 3 regardless of </t>
    </r>
    <r>
      <rPr>
        <rFont val="Arial"/>
        <b/>
        <color theme="1"/>
        <u/>
      </rPr>
      <t>valence</t>
    </r>
    <r>
      <rPr>
        <rFont val="Arial"/>
        <color theme="1"/>
        <u/>
      </rPr>
      <t xml:space="preserve"> and </t>
    </r>
    <r>
      <rPr>
        <rFont val="Arial"/>
        <b/>
        <color theme="1"/>
        <u/>
      </rPr>
      <t>other SDGs</t>
    </r>
    <r>
      <rPr>
        <rFont val="Arial"/>
        <color theme="1"/>
        <u/>
      </rPr>
      <t>:</t>
    </r>
  </si>
  <si>
    <t>- annotate as SDG 3 regardless of whether the content is discussed in a positive or negative light. We ignore valence (sentiment) for now.</t>
  </si>
  <si>
    <t>- annotate as SDG 3 even if other SDGs are mentioned and annotate as SDG 3 even if SDG 3 is not the "most important" SDG in the text</t>
  </si>
  <si>
    <t>With all that said, please do trust your judgment! I am sure we will have important discussions about these issues next time — which is exactly what we want 😊</t>
  </si>
  <si>
    <t>SDG 3 Description &amp; Targets</t>
  </si>
  <si>
    <t>The official text for SDG 3 is: "Ensure health lives and promote well-being for all at all ages". Below you can see the targets for SDG 3.</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</si>
  <si>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</si>
  <si>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</si>
  <si>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</si>
  <si>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</si>
  <si>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</si>
  <si>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</si>
  <si>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</si>
  <si>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</si>
  <si>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</si>
  <si>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</si>
  <si>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</si>
  <si>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</si>
  <si>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</si>
  <si>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3. The reason for selecting each text is documented in the "Source" sheet.</t>
  </si>
  <si>
    <t>Automatic Selection (50 texts)</t>
  </si>
  <si>
    <t>50 texts were selected automatically</t>
  </si>
  <si>
    <t>- 25 texts that OSDG community labeled as "SDG 3"</t>
  </si>
  <si>
    <t>- 25 texts that OSDG community labeled as "not SDG 3"</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</si>
  <si>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</si>
  <si>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</si>
  <si>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</si>
  <si>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</si>
  <si>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</si>
  <si>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</si>
  <si>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</si>
  <si>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</si>
  <si>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</si>
  <si>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23 texts were selected manually to try to cover the 12 targets of SDG 3.</t>
  </si>
  <si>
    <t>23 texts were selected manually to cover words used in 12 targets of SDG3 (but are not about SDG3 according to the OSDG community "vote")</t>
  </si>
  <si>
    <t>For each target, 3-4 texts were selected, trying to balance the number of texts with and without label.</t>
  </si>
  <si>
    <t>In total, 23 texts with label "SDG 3" and 23 texts with label "not SDG 3" were selected.</t>
  </si>
  <si>
    <t>Another four texts with agreement score=0 were selected.</t>
  </si>
  <si>
    <t>DOI</t>
  </si>
  <si>
    <t>Text ID</t>
  </si>
  <si>
    <t>Text</t>
  </si>
  <si>
    <t>SDG 3 Label</t>
  </si>
  <si>
    <t>Comments (optional)</t>
  </si>
  <si>
    <t>10.1787/9789264233010-6-en</t>
  </si>
  <si>
    <t>d583d85262add34da1f01b3317ea2bfe</t>
  </si>
  <si>
    <t>All cigarettes and tobacco products must be sold in plain olive green packets without branding. The packets carry graphic health warnings and the laws took effect as of December 2012 (see Figure 2.6 for examples). Plain packaging aims to remove a key remaining means for industry to promote its products to current and potential consumers (Freeman et al., The legislation withstood serious industry opposition and was upheld in the High Court of Australia.</t>
  </si>
  <si>
    <t>in line with WHO tobacco control: https://www.who.int/teams/health-promotion/tobacco-control/implementing</t>
  </si>
  <si>
    <t>10.1787/9789264248908-7-en</t>
  </si>
  <si>
    <t>f0eda4e37e3e4d9978a740d35ccf2e4d</t>
  </si>
  <si>
    <t>Continued innovation and evaluation of the models of care, especially in rural and remote areas, is also needed. The use of such data by the OECD is without prejudice to the status of the Golan Heights, East Jerusalem and Israeli settlements in the West Bank under the terms of international law. Reforms in 2011 (namely, Law 1438) sought to strengthen universal health coverage by placing preventive and primary care as the cornerstone of the Colombian health system.</t>
  </si>
  <si>
    <t>10.18356/1608bb4d-en</t>
  </si>
  <si>
    <t>27359226d58b307f363595a5325d9e17</t>
  </si>
  <si>
    <t>These campaigns not only demonstrated the feasibility of working across sectors, but were also 15 per cent cheaper than separate campaigns. For such efforts to succeed however there is need for community participation at all stages and multi-stakeholder engagement. These shelters are in the hospital compound and encourage pregnant women to come and stay there towards the end of their pregnancies. For example, one such shelter is found in Oarissa in the North-Eastern part of Kenya.</t>
  </si>
  <si>
    <t>10.1787/09e92b30-en</t>
  </si>
  <si>
    <t>8e0977f6159643397afa8567cb04e74e</t>
  </si>
  <si>
    <t>Developing specific bundled (lump-sum) payments per patient for following up chronic diseases or for long-term services would help. This could partly affect the supply of new specialists, and care will be needed in the adjustment. Around 45% of specialists are allowed to extra- bill patients, except CMU-C and ACS recipients. The authorities offered voluntary contracts to some specialists guaranteeing, in particular, partial coverage of their social contributions if they limited extra billing, but they have had a modest take-up.</t>
  </si>
  <si>
    <t>affordability, target 3.8</t>
  </si>
  <si>
    <t>10.1787/eco/surveys-chn-2010-11-en</t>
  </si>
  <si>
    <t>783db9de8f064c2089f330a8474e61e6</t>
  </si>
  <si>
    <t>The second aims to cover urban residents without insurance (children, elderly people without pensions and the long-term unemployed) but not migrants. The first two schemes share many features. Membership is voluntary and the central government is to provide a payment for each participant, which the local government is encouraged to match.</t>
  </si>
  <si>
    <t>unclear what kind of insurance: remove from dataset</t>
  </si>
  <si>
    <t>10.18356/af3bcc31-en</t>
  </si>
  <si>
    <t>8d5f0886f40da1810b2c3ea5aa476ffa</t>
  </si>
  <si>
    <t>In 1857, indigenous men were allowed to renounce their indigenous status and the right to live on reserve lands in order to assimilate into non-indigenous society. Indigenous women, on the other hand were not given the same choice. In fact, in contrast to traditional indigenous matriarchal family structure the post colonial indigenous women's status was determined by the choices made by her husband or father.</t>
  </si>
  <si>
    <t>10.1787/9789264289062-5-en</t>
  </si>
  <si>
    <t>d432cb8d0f06c907a5b2d0fe98c195d8</t>
  </si>
  <si>
    <t>These achievements, however, have been driven largely by sales of natural resources, leaving Kazakhstan vulnerable to volatility in global commodity prices. Nevertheless, the health care system still retains the hallmarks of a transitional economy undergoing profound restructuring. Despite some improvement, Kazakhstan’s health outcomes continue to lag behind those of the OECD countries and reveal some worrying regional inequalities.</t>
  </si>
  <si>
    <t>5ab5cd23b06df400abed3651156c3b04</t>
  </si>
  <si>
    <t>The employment rate is high by OECD standards (68% vs 55.6% in 2014), while the unemployment rate and inactivity are significantly lower in Kazakhstan (5.2% vs 7.9% and 29.3% vs 40% respectively in 2014) (Figure 1.4). In contrast to the experience of most OECD countries, the global financial crisis and the economic recession did not have a major impact on labour market outcomes in Kazakhstan, unemployment rates have in fact declined considerably since 2007 and employment and inactivity indicators also improved to some degree over the same period. In 2013, informal employment in Kazakhstan affected 24.3% of workers despite an earlier decline in its prevalence (OECD, 2016).</t>
  </si>
  <si>
    <t>10.18356/9bf8d10f-en</t>
  </si>
  <si>
    <t>4961cefe210a9cdf59c48c6a5f2702e8</t>
  </si>
  <si>
    <t>At the central level, the Ministry of Local Government and Rural Development plays a key role in urban governance, with a wide range of controlling authority over urban local government institutions. Two types of urban local bodies, known as city corporations and pourashavas, have massive public, environmental and primary health care mandates. They are both directly elected by the local people. Out of the 522 urban areas5 identified by the 1991 Census Commission (Bangladesh 1993), only 316 urban centres have local governments.</t>
  </si>
  <si>
    <t>primary health care mandate = ???</t>
  </si>
  <si>
    <t>10.18356/6c96c7f1-en</t>
  </si>
  <si>
    <t>da76dbc1be60f146ef3453a084ac31a2</t>
  </si>
  <si>
    <t>Young people who are proficient in the Sami language and culture enjoy a more liberated and less politicized definition of "Saminess" than did the preceding generation. Many adolescent Sami express a complex identity including Norwegian, Swedish or Finnish and Sami culture and language, some identify themselves with another ethnicity as well. Many of the younger Sami are from families where their parents' and grandparents' generations were the targets of force assimilation policies.</t>
  </si>
  <si>
    <t>10.1787/223159ab-en</t>
  </si>
  <si>
    <t>5d84caeb32cd938fb9728d229f83c12d</t>
  </si>
  <si>
    <t>Female life expectancy at birth in all countries (EU average 83.6 years) exceeded that of males (EU average 78.2 years). The average gender difference in Central and Eastern European countries (7.7 years) was greater than the EU average (5.4 years) and significantly greater than the average for the other EU countries (4.7 years). So the gender gap in life expectancy is greater in the EU countries that have higher mortality.</t>
  </si>
  <si>
    <t>gender equality and health</t>
  </si>
  <si>
    <t>10.1787/budget-17-5j8sd88t3sr3</t>
  </si>
  <si>
    <t>055bf95eccce28e841fa679b4d4b96a3</t>
  </si>
  <si>
    <t>In South Africa, the budget programme and classification is based on sector and line items rather than on programs and policy objectives, hindering articulation of cross-sectoral initiatives to achieve wider policy objectives. For example, conditional grants (see section 3.1 for further detail) aim to strengthen government priority areas that are usually cross-sectoral issues (such as HIV/AIDS). However, they are designed and implemented by one particular national department, without fully articulating this initiative with other relevant departments.</t>
  </si>
  <si>
    <t>10.1787/5k912j389bf0-en</t>
  </si>
  <si>
    <t>e0d75a97d79748b9a94e0bc5cfbb71df</t>
  </si>
  <si>
    <t>The review' of models in this paper highlights emerging systems of models where different modelling approaches are designed to work together coherently. In this way, techniques w'ith different strengths are amalgamated and a broader range of policy questions may be explored. Examples include the system of models developed by the U.S. Congressional Budget Office and by the University of Canberra and Monash University in Australia.</t>
  </si>
  <si>
    <t>typos</t>
  </si>
  <si>
    <t>10.1787/9789264281653-4-en</t>
  </si>
  <si>
    <t>d59337065c3d84cec95e39ab1421cf7c</t>
  </si>
  <si>
    <t>Spending increases have been almost entirely consumed by increases in the number and salary of CCSS employees, without clear evidence of benefit to patients. Costa Rica should consider expenditure ceilings and spending reviews in the short term to control spending. In the longer term, better use of performance data and innovative payments systems will be needed, as well as a shift away from employment-linked contributions as the main source of health system revenue. Prospects for improvement are bleak -informal employment is increasing in Costa Rica, contrary to many Latin American economies, and now' accounts for almost half of all employment (Figure 1.5).</t>
  </si>
  <si>
    <t>10.1787/9789264233775-6-en</t>
  </si>
  <si>
    <t>4a91d41963b63a4992c4d4e28cd0521e</t>
  </si>
  <si>
    <t>About half of all NEETs are below 25, although 15-19 year-olds are much less likely to be NEETs than 20-24 and 25-29 year-olds. The proportion of 15-19 year-old NEETs ranges from 7% in Slovenia and 9% in the Slovak Republic to 28% in Mexico and 27% in Chile and Sweden. Numbers are for individuals aged 15-29 years, for the United States, the age range considered is 16-24 because no information on student status is available for individuals aged 25 years and above. Data are for 2011 except for Canada (2009), Ireland (2010) and Mexico (2012).</t>
  </si>
  <si>
    <t>34032b78babc99f69b819512ac998b94</t>
  </si>
  <si>
    <t>Employers’ complementary insurers have had to propose coverage to newly retired and unemployed workers since 2008. In addition, tax incentives encourage state-approved collective complementary insurance contracts (contrats solidaires et responsables) that do not discriminate by age and guarantee minimum and maximum reimbursements. At the same time, discrimination by health risks is not authorised for either individual or collective contracts.</t>
  </si>
  <si>
    <t>3126183f6f572087fb8dbd563c51d4ec</t>
  </si>
  <si>
    <t>The third proposal assumes that health systems are exposed to common drivers and should move together. Finally the two econometric models take into account the potential influence of income and inflation on expenditure growth. They require long-term time series of aggregate data with clear and undisturbed trends.</t>
  </si>
  <si>
    <t>11.1002/pub/80d83f4c-en</t>
  </si>
  <si>
    <t>86fff0c7f74531f1bdb9ce539d0672c4</t>
  </si>
  <si>
    <t>In no event shall the World Health Organization or the International Telecommunication Union be liable for damages arising from its use. Copyediting and proofreading was done by Elisabeth Heseltine and layout and design was done by Aram Melikyan. The origins of the Initiative lie in the response to the Moscow Declaration on NCDs, the Political Declaration on NCDs to identify concrete actions to be undertaken by Member States, and actions of the WHO Global NCD Action Plan 2013-2020, marking when the WHO decided to scale up activities to reduce the global burden of NCDs using innovative technologies.</t>
  </si>
  <si>
    <t>10.18356/1c11fde8-en</t>
  </si>
  <si>
    <t>9668512636db4b90aece2bd75026b477</t>
  </si>
  <si>
    <t>For cocaine seizures, the most significant countries of departure for shipments to Europe in 2014 were, in descending order of volume seized, Costa Rica, Ecuador, Colombia, Brazil, the Bolivarian Republic of Venezuela and Argentina. For individual cocaine seizure cases reported in Europe in 2014, the list of countries of departure in the greatest number of cases was headed by Brazil, followed by Colombia and Argentina. Trafficked drugs enter Argentina through the country’s northern provinces, which are vulnerable due to their remote areas and geographical proximity to the Plurinational State of Bolivia and, to a lesser extent, Peru.</t>
  </si>
  <si>
    <t>10.1787/9789264230491-5-en</t>
  </si>
  <si>
    <t>5007402281b2aac7988472f5312cfe2c</t>
  </si>
  <si>
    <t>The situation is even more worrying for young women since nearly 40% of them are neither in employment nor in education or training (which is the second highest rate among OECD countries after Turkey). Overall, nearly 47% of Mexican women are employed or seek employment, an employment rate which is 34% lower the OECD average (OECD, 2014b). Against this background, the informal sector might naturally constitute a preferred alternative for both women and youth in Mexico.</t>
  </si>
  <si>
    <t>8fd1e53c37f9409a14287fe6fe4b8f7f</t>
  </si>
  <si>
    <t>Case management is the main mechanism for integration in many programmes targeting vulnerable youth. For instance, a key feature of the Canadian “BladeRunners” programme is a unique system of 24-hour support, seven days per week, from assigned “BladeRunners coordinators.” The co-ordinators take youth to work sites, check to confirm satisfaction with the work site, refer clients to social service providers, assist with housing and transportation, and counsel the clients about future training and job opportunities (Travkina, 2012). Studies illustrate positive results of the programme especially in terms of improvements in motivation and self-esteem.</t>
  </si>
  <si>
    <t>3d427e2a87a5b9d387b04b6e325c0b79</t>
  </si>
  <si>
    <t>Dialogue with Donors on Urban Poverty Issues (Dhaka, CARE Bangladesh). Slums of Urban Bangladesh: Mapping and Census, 2005” (Dhaka and Chapel Hill, USA). Urban poverty and the working poor: Facing the challenges of urbanization and urban poverty in Asia and the Pacific”, Committee on Poverty Reduction, 24 September (E/ESCAP/C PR(4)/4).</t>
  </si>
  <si>
    <t>10.1787/9789264248908-5-en</t>
  </si>
  <si>
    <t>2297fcffb11a75222ac9a742164dfbb9</t>
  </si>
  <si>
    <t>Mainly dependent on commodities export (minerals, coffee and other raw' materials), Colombian gross domestic product (GDP) grew 3.9% per year between 2003 and 2008, and 2.7% per year between 2008 and 2013 (OECD, 2015c). Colombian GDP per capita was USD PPP 12 750 in 2013, up from USD PPP 6 611 per capita in 2000 (standardised to 2015 prices in each case). The gap in GDP per capita between Colombia and OECD economies has started to narrow, although remains large (Figure 1.3). Even though poverty in the country as a whole is decreasing, large disparities between different regions persist.</t>
  </si>
  <si>
    <t>10.18356/bdc264f4-en</t>
  </si>
  <si>
    <t>5e747f1f4557460f58f8104755a4ed85</t>
  </si>
  <si>
    <t>In 2015, WHO included direct-acting antivirals in its Model List of Essential Medicines18 and, in 2016, launched the first global strategy on hepatitis.19 Despite the high burden of hepatitis C among PWID, treatment has occurred at very low levels, which is related to the substantial barriers that exist for PWID in accessing care.20 These include lack of awareness, stigma and discrimination, limited access to hepatitis C testing and treatment and the cost of the medications. International Journal ofDrug Policy, vol. Some examples where action has been taken include Australia, which, since March 2016, has offered universal access to hepatitis C treatment and has identified prisoners and PW1D as priority populations for the expansion of coverage of treatment.</t>
  </si>
  <si>
    <t>10.18356/7d5576e0-en</t>
  </si>
  <si>
    <t>ab42c2db3398b5c427b9253f8f684df1</t>
  </si>
  <si>
    <t>The objective of patent law is the promotion of technical and practical solutions, rather than the monopolization of theoretical knowledge, and therefore an invention has to be capable of industrial application. Again, the TRIPS Agreement provides no definition of this term. According to the traditional concept used in European countries, an invention is capable of industrial application if it may be manufactured or used in any commercial activity, including agriculture.206 In other words, developments not leading to an industrial product or lacking technical effect cannot be patented.</t>
  </si>
  <si>
    <t>10.1787/9789282108055-3-en</t>
  </si>
  <si>
    <t>75a8cd4f8598ffa4ab94743afd4eb851</t>
  </si>
  <si>
    <t>Indeed in the UN General Assembly Resolution A/RES/70/260 adopted in April 2016, member states embraced Safe System principles of “shared responsibility to move towards a world free from road traffic fatalities and serious injuries”. The challenge now is to accelerate the implementation of the Global Plan by harnessing the added impetus provided by the SDGs and encouraging all UN member states to achieve the greatest possible reduction in the number of road casualties. In this phase of commitment and renewal in international road safety work, wider application of the Safe System concept can play a leading role. First and foremost, a Safe System helps to overcome the risk of a bias towards behavioural measures in road injury prevention.</t>
  </si>
  <si>
    <t>10.1787/9789264233836-8-en</t>
  </si>
  <si>
    <t>8474617730e4cc1ad92f196e3c552a3e</t>
  </si>
  <si>
    <t>There is a potential double cultural barrier for overseas-trained doctors, who are also trying to adapt to life in Australia. All health service staff catering to large Aboriginal and Torres Strait Islander populations should be required to undergo training for cultural competence. Such training would also benefit staff working in other areas, including in major cities.</t>
  </si>
  <si>
    <t>target 3.c</t>
  </si>
  <si>
    <t>587d2c3437cf5dd56dcf301b5246d2ee</t>
  </si>
  <si>
    <t>This being said, information on foreign applications and grants could also help a developing country patent examiner to better identify those particular elements of an invention that do not deserve patent protection. Where the line is drawn between those areas that are the preserve of the patent holder to control, and those areas [i.e. of exceptions and limitations] which the patent holder may not control, is therefore a very important policy question for members.” Exceptions to exclusive rights as considered here apply after a patent has been granted.</t>
  </si>
  <si>
    <t>10.1787/9789264239487-7-en</t>
  </si>
  <si>
    <t>590b02883ca06a684a5663dc5f211d89</t>
  </si>
  <si>
    <t>Wales’ voice in the UK Government is represented by the Secretary of State for Wales in the Wales Office. There are also certain situations in which the Welsh Government works collaboratively with the UK Government on legislation that affects Wales but which is passed by the Westminster Parliament. International mattes, such as relationships with die WHO and the OECD, are also a non-devolved matter.</t>
  </si>
  <si>
    <t>10.18356/45b6cbb6-en</t>
  </si>
  <si>
    <t>19e1022426753fb8b087ffae10e70feb</t>
  </si>
  <si>
    <t>Globally in 2015, approximately three in four women of reproductive age (15 to 49 years) who were married or in a union satisfied their need for family planning by using modern contraceptive methods. Only three in four births took place with the assistance of a skilled birth attendant. This was short of the two-thirds reduction envisaged in the MDGs. In 2015, an estimated 5.9 million children under age 5 died, most of these deaths were preventable. Over this period, progress in child survival among children aged 1 to 59 months outpaced advances in reducing neonatal mortality, as a result, a growing share of all under-5 deaths occurs in the first month of life (45 per cent in 2015).</t>
  </si>
  <si>
    <t>10.1787/5jz158xmxkwj-en</t>
  </si>
  <si>
    <t>71ae45772c45fb798c426929863b7c89</t>
  </si>
  <si>
    <t>Authorship is usually collective, but principal w'riters are named. The papers are generally available only in their original language - English or French - with a summary in the other. The opinions expressed and arguments employed are those of the author(s). Comments on Working Papers are welcomed, and may be sent to the Directorate for Employment, Labour and Social Affairs OECD, 2 rue Andre-Pascal, 75775 Paris Cedex 16, France. The author remains responsible for any errors and omissions. The opinions expressed in the paper are the responsibility of the author and do not necessarily reflect those of the OECD or its Member Countries.</t>
  </si>
  <si>
    <t>typo</t>
  </si>
  <si>
    <t>10.18356/7921771c-en</t>
  </si>
  <si>
    <t>8d33f0ac65f4da2158c4aef47b19675e</t>
  </si>
  <si>
    <t>In Viet Nam, access to maternal health care services ranges from 90 per cent in urban areas to as low as 20 per cent in remote areas of the Central Highland and Northern Uplands regions inhabited by indigenous peoples".35 Similar trends have been recorded throughout Latin America36 as well as in the richer developed countries. However, between the 1980s and the end of the century, a slowing or stalling of indigenous health improvements measured by life expectancy meant that the gap failed to close significantly (Canada) or even widened (New Zealand and the United States). In fact, because indigenous peoples are essentially invisible in the data collection of many international agencies and in most national censuses, the disparities in their health situation as compared to other groups continue to be obscured. Similarly, even when indigenous peoples appear in health data, they are often conceived of as a percentage of a national population, which UNICEF has noted "can be misleading in as much as the distribution of certain indigenous peoples does not correspond to national boundaries.</t>
  </si>
  <si>
    <t>10.1787/eco/surveys-isr-2013-5-en</t>
  </si>
  <si>
    <t>2dc93c29c0341c416abdd3dacec7951c</t>
  </si>
  <si>
    <t>In OECD databases, the administrative data are used as input for datasets on the number of “professionally active” workers, while the LFS data are used to indicate the number of “practising” professionals. The OECD definition excludes those working in jobs where the relevant qualifications are not required, and those that are unemployed, retired or working abroad. These groups cannot be properly filtered out of the Israeli data, as an approximation the “professionally active” data for Israel represent all those aged less than 65 years licenced to practice.</t>
  </si>
  <si>
    <t>10.1787/5k4dlw04vx0n-en</t>
  </si>
  <si>
    <t>2c3a0cf5a380e1ca9413faf23eb39224</t>
  </si>
  <si>
    <t>Ces deux mesures ne sont pas compatibles et risquent de compromettre la realisation des deux objectifs. Des marches plus concurrentiels requierent, au minimum, une information de bonne qualite, un financement approprie et des incitations plus fortes a l’efficience. Compte tenu du vieillissement de la population, les politiques actuelles feront plus que doubler le cout des soins de longue duree au cours des decennies a venir.</t>
  </si>
  <si>
    <t>French</t>
  </si>
  <si>
    <t>10.1787/5js1qwkz2p9s-en</t>
  </si>
  <si>
    <t>43f46bbfc53f64ca5efebffb4191c6d6</t>
  </si>
  <si>
    <t>In the Baltic countries (Latvia, Lithuania and Estonia) and Finland, education was found to be negatively associated with alcohol abuse in men, but positively associated with heavy drinking, but not HED, in women (Helasoja et al., In the Czech Republic, men, single persons and people with low education were found to be at higher risk of hazardous alcohol drinking (Dzurova et al., Conversely, the literature shows an opposite pattern for women, with the higher educated more likely to be hazardous drinkers. In Austria, France, Germany, the Netherlands, and Switzerland, women with higher education were more likely to be hazardous drinkers (Bloomfield et al., This trend in women is confirmed in Germany, France Switzerland, and Norway, whereas in the Czech Republic, Finland, Hungary, and Sweden, less educated women were more likely to be hazardous drinkers (Kuntsche etal,, 2006). In a meta-analysis of 33 countries, part of the GENACIS” project, men and women with greater education were found to be more likely to consume alcohol than their counterparts with less education.</t>
  </si>
  <si>
    <t>67b0fba2e82d93829f1a45f53f89bb64</t>
  </si>
  <si>
    <t>Of course, the priority policies and measures that will be most effective depend on the characteristics of each country’s road transport system and the profile of injury they experience. Nevertheless, Safe System principles, based at their core on the laws of physics and the vulnerability of the human body to uncontrolled levels of kinetic energy, have universal applicability. A Safe System, therefore, serves well as a unifying framework for the road safety policies and plans of every UN Member State.</t>
  </si>
  <si>
    <t>7081109031d2d4ee1d1e668151a51e99</t>
  </si>
  <si>
    <t>In 2010, the southern regions, which are typically the most rural regions, show higher rates of population over 15 that have not completed secondary education than northern regions. Over 30% of the population over 15 had not completed primary education in Guerrero, Chiapas, and Oaxaca, which is well above the share of nearly 10% found in Nuevo Leon and Distrito Federal (Table 1.2). The index of marginalisation, used by the Mexican Government as a summary measure of the degree of social and economic deprivation and lack of access to services, is very high in the regions of Guerrero, Chiapas and Oaxaca (Table 1.2).</t>
  </si>
  <si>
    <t>10.1787/9789264267787-en</t>
  </si>
  <si>
    <t>4a956ca08ffc9b6569c8f6ebb33e49d2</t>
  </si>
  <si>
    <t>At the same time, the use of a personal identifier for data linkage is reportedly complicated due to privacy legislation in Australia, the Czech Republic, Israel, Italy, Japan, Korea and Norway. By contrast, the United Kingdom, Sweden, Portugal and Denmark strengthened their legislative framework to permit privacy-protective data use. In the United Kingdom notably, several legislative framew'orks w'ere introduced so that information can be collected, held securely and made available with safeguards in place to protect individuals’ data.</t>
  </si>
  <si>
    <t>10.18356/73320136-en</t>
  </si>
  <si>
    <t>901e1a10e394fb44ef1167c1b53af13f</t>
  </si>
  <si>
    <t>Libya and Yemen, too, have more recently slid into states of civil war, with competing factions, often based on tribal and regional affiliations, vying for local and sometimes national power, although given the especially recent and dynamic nature of conflict in these countries, they are not covered in detail in this chapter. Data come from 1990 and 2010.</t>
  </si>
  <si>
    <t>904bd7e3c96163e9ea094b847a283a95</t>
  </si>
  <si>
    <t>See, for example, P. Samuelson and S. Scotchmer, “The Law &amp; Economics of Reverse Engineering”, Yale Law Journal, May 2002, pp. This includes making of the patented product through reverse engineering. To the extent that such reverse engineering is done only for non-commercial purposes (e.g. for scientific research and experimental purposes), it is still consistent with the TRIPS Agreement. But the point here is that engaging in reverse engineering for the promotion of domestic industries will necessarily imply a commercial aspect.</t>
  </si>
  <si>
    <t>973adb6e4e5a155e67ccbe2abcf8bf92</t>
  </si>
  <si>
    <t>Attempts to systematise health technology assessment, w'hich is not generally carried out in Costa Rica, have also failed. The inability of the Ministry of Health to hold the CCSS and its providers to account has already been discussed. In turn, the ability of the CCSS to reform is significantly constrained by professional groups.</t>
  </si>
  <si>
    <t>10.18356/187200fa-en</t>
  </si>
  <si>
    <t>11b113617974d129b1226a71620830ed</t>
  </si>
  <si>
    <t>There shall be no discrimination on grounds of race, colour, sex, language, religion, political or other opinion, national or social origin, property, birth or other status. The need for, and the application of, such measures shall always be subject to review by a judicial or other authority. Providing for such needs in order to accomplish substantial gender equality shall not be regarded as discriminatory. They constitute the fundamental principles which are valid in all systems and prisons worldwide, and apply to all prisoners without discrimination. In addition, as mentioned earlier, due to their small numbers, women are often housed in prisons far away from their homes, which hinders the maintenance of links with their families and children, with a particularly harmful effect on their mental wellbeing and social reintegration prospects.</t>
  </si>
  <si>
    <t>46e26418eff049f0c6ad854f8357076f</t>
  </si>
  <si>
    <t>A strict concept of novelty will normally result in the rejection of product patents for new uses. This may be stated in express terms in a country’s patent law or in regulations, resulting in an a priori rejection of the novelty test for product claims of new uses of known products. As regards the protection under a process patent, however, the situation is more complex. Whether or not a new use is obvious is case-specific and cannot generally be anticipated in a domestic patent law, but has to be left to a case-by-case examination.</t>
  </si>
  <si>
    <t>0509166a378e9ea4056aeac0c55f86af</t>
  </si>
  <si>
    <t>This case-by-case approach tends inevitably to favour a downward pressure on eligibility standards, which may occur before any given country is in a position to profit locally from such standards. To avoid such a result, examiners and courts should be able to resort to a high level expert body, staffed by people (not necessarily all nationals, but experts in which the government has confidence) who have both the expertise to evaluate these issues in specific cases and a common understanding of and dedication to the local patent policies and strategies. By contrast, distinguished academic authorities have expressed the view that the Indian provision can be defended.</t>
  </si>
  <si>
    <t>10.1787/irtad-2013-en</t>
  </si>
  <si>
    <t>6aba6178ad898def449287701e64563b</t>
  </si>
  <si>
    <t>Results have been less satisfactory for vulnerable road users, however, there has been a reduction of only a third in pedestrian and cyclist fatalities over the last decade. In terms of killed PTW riders, here, too, results were disappointing, with a reduction of only 14% in fatalities. The safety of vulnerable road users continues to be a core road safety issue, not least in lower income countries. In Germany, Switzerland and the Netherlands, the rate in terms of fatalities per 100 000 population has been divided by more than six.</t>
  </si>
  <si>
    <t>10.1787/5k424rdzj3bx-en</t>
  </si>
  <si>
    <t>201bac510c7a3df90a04436012f516cc</t>
  </si>
  <si>
    <t>Despite such initiatives, respondents noted that applications of genomics for stratified medicine delivery remain somewhat limited at present. However, they did mention some important innovations, notably in the field of cancer therapeutics, while national audits show an increase in the provision of novel drugs requiring companion diagnostics. Stratified medicine was seen as helping to address these problems by transforming understanding of the role of genetic variation in disease and enabling more accurate disease classification, diagnosis and targeting of drugs and other interventions.</t>
  </si>
  <si>
    <t>10.18356/a44197da-en</t>
  </si>
  <si>
    <t>c934b96b0d8d4b95bb19b41a007a8720</t>
  </si>
  <si>
    <t>Much can be done in terms of integrating gender into the design and implementation of programmes that promote income security across the life cycle, including cash transfers, public works programmes and pensions. To provide long-term solutions, however, these efforts must be part of a broader package, including policies that enable women to access decent work—which remains the main source of income for most working-age adults and their families. International Labour Organization (ILO) Recommendation No. They participate less in the labour market, earn lower wages and enjoy less access to credit and other assets than men.</t>
  </si>
  <si>
    <t>89902b37e4865eddee6b7394576a6cb3</t>
  </si>
  <si>
    <t>Education-related inequalities are marked in Switzerland in men, and in Slovenia in women. On the other hand, the indexes of inequalities in men in Korea (by education level) and Chile (by SES) are near zero, indicating that no inequality is detected. Positive indexes are found in SES-related inequalities in men in Czech Republic and education-related inequalities in women in Korea. This indicates a reverse socioeconomic gradient: people at the bottom of the socioeconomic ladder are more likely to drink alcohol.</t>
  </si>
  <si>
    <t>10.1787/9789264191136-8-en</t>
  </si>
  <si>
    <t>a289651fad47a0b109478f3a91d16d42</t>
  </si>
  <si>
    <t>The tax, originally intended to be set at almost EUR 1 per kilogram of product, was subsequently dropped to EUR 0.75 per kilogram. At the same time, the existing excise tax on soft drinks was raised from 4.5 cents to 7.5 cents per litre. The tax affects both drinks with added sugars and drinks with artificial sweeteners.</t>
  </si>
  <si>
    <t>indirect</t>
  </si>
  <si>
    <t>10.1787/5jz159228n6j-en</t>
  </si>
  <si>
    <t>df7820d549c803be32b18995f87486ee</t>
  </si>
  <si>
    <t>Reforms undertaken in periods of crisis may not properly distinguish between effective and ineffective programmes. Cutting effective programmes aiming at attaining quick cost savings might endanger the health status of the population and result in higher costs, eventually. Greece offers a recent example of such cuts as they have resulted in an increase in HIV and tuberculosis infections along with the re-emergence of malaria (Stuckler and Basu 2013, OECD, 2013).</t>
  </si>
  <si>
    <t>10.1787/9789264208445-8-en</t>
  </si>
  <si>
    <t>57dbb68e707113f5509c67a841c5c200</t>
  </si>
  <si>
    <t>Specific examples drawing on experiences in Australia, England, Netherlands, Sweden and the United States are explored further in the following sections. Other promising examples, for which there is not space to describe in full here, are developing in a number of other OECD countries and progress should be followed attentively, for example the MARS project in Switzerland and the Scottish Recovery Indicator 2 approach. Countries have adopted different approaches to the development of indicators, standards and targets. Differences exist between countries in the extent to which such measures are mandatory or not, which in turn may be related to their purpose.</t>
  </si>
  <si>
    <t>10.18356/2dd5352f-en</t>
  </si>
  <si>
    <t>fa303235fd9670170ebda93a22164323</t>
  </si>
  <si>
    <t>From the beginning of the twentieth century, indigenous peoples were subjected to collectivization, industrialization, forced migration to urban centres and sedentarization, all of which failed to take into consideration indigenous cultures and ways of life. Rapid industrialization led to the contamination and devastation of landscape and wildlife and decreased access to indigenous self-subsistence activities. Collectivization destroyed indigenous community-based economies.</t>
  </si>
  <si>
    <t>10.1787/9789264029941-4-en</t>
  </si>
  <si>
    <t>ffbf5a5ce6155e74545e036c39de3c93</t>
  </si>
  <si>
    <t>Israel currently relies on a crude measure of disadvantage that identifies individuals as “low socio-economic status” on the basis of their entitlement to income support (such as unemployment benefits, pensions and family supplements). Moving beyond this categorisation and making quality indicators available by key dimensions of inequality such as geography, language and religion would help provide a richer picture of where disadvantage concentrates. This is likely to be a considerable task involving further recording or matching health information to other social data held by the government. In the short term, disaggregating quality information that is already being collected by region would help better map the geography of disadvantage than is possible today and help pinpoint which areas have room for improvement.</t>
  </si>
  <si>
    <t>92371c1eebca4cc9ec781b75244442c9</t>
  </si>
  <si>
    <t>Pre-crisis assessments in Yemen demonstrated that women in food insecure families often eat less in order to provide for their children. Displaced women may not have access to hygiene or dignity items, forcing them to remain out of sight. Lack of life-saving response services and safe refuges for survivors - who often fear stigma or rejection - compound the problem. These informal ties are subject to erosion as assets are depleted, income sources cut, law and order collapsed, and people's psychological strength exhausted.</t>
  </si>
  <si>
    <t>10.18356/e310d3a1-en</t>
  </si>
  <si>
    <t>9492524316a34a058643df66660f094a</t>
  </si>
  <si>
    <t>In view of the lack of programme evaluation in the Arab region, the evidence for this assertion comes from programmes around the world on tobacco abuse, bullying, drugs and obesity.106 A school approach is appropriate for sexual and reproductive health, although, in this area, cultural stigma and taboo are barriers to access to information. Although the analysis in this chapter identifies policies that each country can implement, success will be enhanced if countries apply the policies comprehensively and if groups of countries adopt similar policies. Tobacco shows why: before 2006, Jordan and Syria had bans on advertising in tobacco products, although Lebanon did not.</t>
  </si>
  <si>
    <t>78841f543d382b7b532499aade42dfc5</t>
  </si>
  <si>
    <t>For several years, large-scale trafficking in APAAN, a pre-precursor of amphetamine and methamphetamine, has been of concern to drug control authorities worldwide. In the European Union, following control measures implemented in member States from January 2014, both the number of seizures and the amounts of APAAN seized have decreased gradually from 34 seizures (a total of 28.7 tons) in 2012 to 9 seizures (8.1 tons) in 2014. In the first half of 2015, five incidents involving a total of 1,250 kg of the substance were reported. In December 2013, the European Union adopted new control measures aimed at preventing the large-scale diversion of acetic anhydride from the European Union market.</t>
  </si>
  <si>
    <t>2e76fb646edd76c00a4847a4671047c6</t>
  </si>
  <si>
    <t>Drug trafficking in West Africa may have an impact on the abuse of certain types of drugs, such as cannabis, cocaine, heroin and amphetamine-type stimulants, in the subregion. The increase in drug trafficking has been accompanied not only by growing illicit drug use, especially among younger people, but also by increasing activities of organized criminal groups. In West and Central Africa, organized crime continues to contribute to social and economic costs by increasing drug trafficking and addiction and by concentrating wealth and power in the hands of comparatively few well-armed criminals.</t>
  </si>
  <si>
    <t>10.18356/85946e24-en</t>
  </si>
  <si>
    <t>8725365f7e805a83a9e1b8aab7e5d06a</t>
  </si>
  <si>
    <t>In Latin America and the Caribbean, the association between household wealth and child survival is comparable to that of Asia, with a child from the richest quintile having a relative risk of only 70 per cent that for a child from the poorest quintile. Of the three regions, Africa is the region where the association between household wealth and child survival seems to be the lowest. This finding is consistent with the conclusion that household wealth has a substantial causal impact on levels of child mortality and may account for a large portion of the observed differentials. The knowledge and practices that could save the lives of children tend to be more prevalent among women with a level of education higher than primary.</t>
  </si>
  <si>
    <t>target 3.2</t>
  </si>
  <si>
    <t>8096abdae7c8f76ec776a109282ebb6b</t>
  </si>
  <si>
    <t>Meanwhile, greater mobility has increased the spread of infectious diseases across oceans and facilitated global pandemics such as influenza and SARS that threaten developed as well as developing countries. Now, we find ourselves in the midst of yet another transformation in biomedical science. The first decades of the current century may well be remembered for the advances occurring in genomics and in associated areas of science and technology. These advances promise new understandings of disease and more effective ways of tackling ill health.</t>
  </si>
  <si>
    <t>10.1787/5jxx71lt1zg6-en</t>
  </si>
  <si>
    <t>a28fc3f92f4ba5a0c61b09bb42be2de4</t>
  </si>
  <si>
    <t>Missing data were extrapolated only if a country was missing an observation for a specific year and where such missing data points were bounded non-missing data. Annual country-specific data on unemployment were taken from the OECD’s Labour Force Statistics. A separate regression, using the same independent variables, is estimated for each health indicator using robust standard errors, clustered on the basis of the country.</t>
  </si>
  <si>
    <t>25144b479b48aaf0ad2ae561baf1f6bb</t>
  </si>
  <si>
    <t>However, it is important to note that facilitated procedures for the grant of such licenses will only be available to the extent that the patent holder’s behaviour has been characterized as anti-competitive (Article 31 (k), TRIPS Agreement). An existing exclusive right may contribute to the establishment of a dominant position in a given market, which in turn may enable the right holder to have recourse to predatory pricing practices. Where, by contrast, the patent does result in actual market exclusivity, the rights holder might have recourse to predatory pricing after compulsory licenses have been granted to generic competitors.</t>
  </si>
  <si>
    <t>10.1787/9789264239487-6-en</t>
  </si>
  <si>
    <t>ed42d33e3d6a67562f7cc307600bbf43</t>
  </si>
  <si>
    <t>It also raised concerns about the higher use of these codes in some specialities, such as orthopaedics and ophthalmology, and instances of inappropriate use. Both the initial report by the Auditor General for Scotland (2013 a), and a follow-up report from later that year (Auditor General for Scotland, 2013b), do importantly note that the use of unavailability codes began to reduce in late 2011, a trend which continued into 2012 and 2013. Much of this work is the Quality and Efficiency Support Team (QuEST) and is described further in Section 2.9.</t>
  </si>
  <si>
    <t>10.18356/83efcfeb-en</t>
  </si>
  <si>
    <t>c6da13d38b11f6333a5c026ec0676a4b</t>
  </si>
  <si>
    <t>Many countries have adopted national plans of action to combat child trafficking, but the lack of reliable statistical information remains a significant obstacle - most data focus only on the cross-border trafficking of girls and women for sexual exploitation. She has been working in the city's mass transit system selling hairpins and other products since she was 3 years old. Many of those engaged in child labour experience its worst forms - including forced and bonded work, illicit activities, armed combat and domestic labour.</t>
  </si>
  <si>
    <t>10.18356/6c2a96a5-en</t>
  </si>
  <si>
    <t>b609b8dbf5f43c983ed345a4cc30d91c</t>
  </si>
  <si>
    <t>Continuity of the drinking water supply is an issue: the country average for water continuity is about 12 hours. Currently, only two of the water utilities in Albania (Kor$e and Librazhd) can provide a 24-hour water supply service across their entire systems throughout the year. The high compliance rate refers to big water supply systems, whereas the small water supply systems and those in rural areas are not subject to monitoring and control.</t>
  </si>
  <si>
    <t>10.1787/9789264124523-6-en</t>
  </si>
  <si>
    <t>980c108f4f30bc1c08d690aa25e15446</t>
  </si>
  <si>
    <t>However, there are mixed results in the literature of mental health treatment effects on vocational outcomes. The effect of medication on work impairment was higher than a placebo and psychotherapy, respectively. Moreover, work outcomes improved as the duration of treatment increased, which was not related to better symptom outcome.</t>
  </si>
  <si>
    <t>9085d47088d62046288ae87a99f44f73</t>
  </si>
  <si>
    <t>This is a limiting structure, as real-world events occur in continuous time, and more importantly, some decisions/transitions are joint, or occur together. The model also has no labour-supply dimension. There are models for labour-force participation, unemployment and retirement but no model of hours worked and the variables that influence those hours, including the family budget, tax rates, and health. Changes in the macro economy can be entered into the model as a scenario, however, there is no general equilibrium mechanism within the model itself.</t>
  </si>
  <si>
    <t>c51165848ef2be8e0ac1f6ad5ceb186f</t>
  </si>
  <si>
    <t>Under Article 40 of the TRIPS Agreement, members may only control IP abuses that have anti-competitive effects and thereby a negative impact on trade and technology transfer. This is so because Article 40.1 covers the licensing of any IPR, such as trademarks, which is not necessarily related to technology transfer. See UNCTAD-ICTSD Resource Book, p. 557.</t>
  </si>
  <si>
    <t>492a26099621ba7bc59742bb3df36c28</t>
  </si>
  <si>
    <t>Data exclusivity cannot therefore be considered an obligation under the TRIPS Agreement. Data exclusivity may also complicate generic producers’ market entry where the respective product is in addition covered by a patent. Existing data exclusivity regimes provide terms of protection of between 5 and 10 years (sometimes 15 years for agrochemical products583), which usually end before a patent on the same product expires.</t>
  </si>
  <si>
    <t>10.18356/6ef2e6fd-en</t>
  </si>
  <si>
    <t>6c23f01adc18f5d93e450dedabe82d66</t>
  </si>
  <si>
    <t>Older persons usually suffer from a combination of these diseases (WHO, 2011). The socioeconomic potential cost of these diseases has risen sharply with population ageing and may affect economic growth (WHO, 2011). Furthermore, the burden of non-communicable diseases is projected to increase, especially in low-income countries.</t>
  </si>
  <si>
    <t>10.1787/9789264283510-en</t>
  </si>
  <si>
    <t>90ed4d82633078a038367fd394a195a3</t>
  </si>
  <si>
    <t>Coverage and reimbursement decisions are made centrally. Poland is also one of the few countries to compare the cost-effectiveness of alternative technologies, to periodically reassess technologies in the benefit package, and to publish the incremental cost-effectiveness ratio used to inform coverage decisions (the current threshold is set at three times the Polish GDP per capita). Patient representatives are induded in HTA decisions through the Polish Ombudsman for Patients' Rights (Auraaen et aL, 2016).</t>
  </si>
  <si>
    <t>e3a19d3925110a5204813000179ae9cd</t>
  </si>
  <si>
    <t>In a subsequent infringement suit, the Federal Circuit found that the claim had been narrowed in scope to the use of HPMC as release agent. Generic competitors were free to use buproprion hydrochloride in combination with release agents other than HPMC. A claim “comprising” elements A and B is open in its literal meaning to an additional element C, as long as C does not modify the overall character of the invention. Third parties producing a generic substitute comprising elements A, B, and C are therefore likely to be held liable for infringement of the literal scope of the patent.</t>
  </si>
  <si>
    <t>10.1787/5jrxr7qx6ctb-en</t>
  </si>
  <si>
    <t>37d3a7e131779b6598e6f6a472941bdf</t>
  </si>
  <si>
    <t>However, a person under the influence of a severe mental disorder cannot be sentenced to prison. The individual is instead taken into custody under the Compulsory Mental Care Act. Sweden has thirty-one clinics used for forensic psychiatric purposes, and these clinics treat 94% of such patients. The remaining forensic psychiatric patients are treated at general psychiatric clinics.</t>
  </si>
  <si>
    <t>730aad79b61a4a4770d3e3adfe2b9d41</t>
  </si>
  <si>
    <t>The first two sections illustrate the nature of the urban governance of primary and public health services, including water, sanitation, waste disposal and food safety, through a review of existing policy and relevant legislation and the institutional arrangements for their implementation. The next two sections focus on the nature of policy implementation in practice by illustrating the nature of urban poverty in Bangladesh and the extent of access the urban poor have to primary and public health services. Based on these illustrations, the penultimate section pinpoints the policy and institutional weaknesses contributing to the limited access of the urban poor to the existing services. The final section of the paper concludes the study and puts forward certain recommendations for improving the situation which have implications for the Asian region at large.</t>
  </si>
  <si>
    <t>fe86036f445fe7d95f405ff211552fd0</t>
  </si>
  <si>
    <t>Demogr Res (Special Collection), vol. The current status and the development of indigenous minorities of the North, Siberia and Far East of the Russian Federation). Moscow: Sovet Federatsii Federalnogo Sobraniya Rossiiskoi Federatsii (Russian Federation Council). Indigenous peoples' participatory health research, planning and management. Geneva: World Health Organization and Centre for Indigenous Peoples' Nutrition and Environment.</t>
  </si>
  <si>
    <t>0818757b20c2aba34010f788c173aae2</t>
  </si>
  <si>
    <t>The Ministry of Education is charged with the shaping of the education system through the development of curricula, national objectives and guidelines. Within this framework, municipalities and independent providers implement educational activities, organise school services, allocate resources and ensure that educational goals are met. Individual districts and schools are then entrusted with a large degree of autonomy to organise local schooling.</t>
  </si>
  <si>
    <t>10.1787/5jrqcn5fpv0v-en</t>
  </si>
  <si>
    <t>500039607a65a54539c4ae8fd285d3d9</t>
  </si>
  <si>
    <t>Data on wages are usually collected through employment and income surveys, more rarely in health surveys. Monthly or hourly individual’s wage is generally used in this study. Productivity is difficult to measure, it can be approximated by the rate of absenteeism from work or the number of sickness absences, the amount of disability benefits3 received, and the rate of presenteeism4.</t>
  </si>
  <si>
    <t>86e96b41d2e653f597aba256a028d717</t>
  </si>
  <si>
    <t>About 90% of health funds’ income for providing NHI services comes from government (Figure 2.9), about half of which comes from an earmarked component of national insurance contributions (often referred to as the “health tax”), the rest from general taxation. Almost all of the government-to-fund transfer is through a capitation payment based on the age and sex profile of each fund’s client base and a “remoteness” variable (which was added in 2010 and is discussed further below). In contrast, transfers between the funds and the providers are based on health services provided (or approximations thereof). Hence, in principle, one of the key strengths of the system is that the health funds have incentives to ensure the efficient provision of services and to engage in preventive measures - a healthy client base means fewer costs through the reimbursement system.</t>
  </si>
  <si>
    <t>ba4a89b4db63964d8937cf5dd7c78715</t>
  </si>
  <si>
    <t>Finally, the ongoing challenges of a lack of human and financial resources, as well as a lack of adequate data and research methodologies, limit the capacity of governments to design policies that could serve to build an intercultural health system. Efforts that codify, protect and advance the individual and collective rights of indigenous peoples, particularly indigenous women, will therefore also have positive health impacts. Furthermore, there must be ongoing integration of the perspectives and needs of indigenous peoples into global health programmes, plans, projects and policies, including initiatives to achieve the Millennium Development Goals. In order to design more effective health policies, there must also be concerted efforts to create improved systems of data collection and research methodology, including research into traditional medicine that incorporate the participation of indigenous communities and reflect cultural and social considerations relating to the health of those communities.</t>
  </si>
  <si>
    <t>10.1787/9789264283558-en</t>
  </si>
  <si>
    <t>c3cf58516f393343d002b942494599ef</t>
  </si>
  <si>
    <t>It is provided mainly in institutional settings with little emphasis on community or home care. There is no properly integrated longterm care system coordinating between providers and this is reflected in fragmented service provision and disjointed governance (Normand, 2017). The current work on a Long-Term Care Act aims to address these challenges (see Box 1).</t>
  </si>
  <si>
    <t>e963dcda6737bc15f870c6a164ebed71</t>
  </si>
  <si>
    <t>A regular job is a paid job that anyone in the community can apply for. The SE model endorses regular jobs for several reasons: Clients prefer paid jobs, and such jobs reduce stigma, inspire self-esteem and enable life in the mainstream. The goal of the employment specialist is to help clients become as independent as possible in their vocational role, while remaining available to provide support and assistance when needed.</t>
  </si>
  <si>
    <t>e7e6c505dea6a2103744a4c08054cd2e</t>
  </si>
  <si>
    <t>Already, driver assistance technologies such as electronic stability control and autonomous emergency braking are reducing the risk of road trauma. Information and communication technologies are playing an ever growing role in 21s1 century mobility. Roads and vehicles will increasingly be managed in an integrated intelligent transport system relying on collaborative smart vehicles and infrastructure.</t>
  </si>
  <si>
    <t>10.1787/5k9b7bn5qzvd-en</t>
  </si>
  <si>
    <t>2594be51639019434f9b75c1b2c7e36d</t>
  </si>
  <si>
    <t>Stanislawa Golinowska is an economist at the Center for Social and Economic Research in Warsaw and Institute of Public Health, Department of Medical Sciences, Jagiellonian University in Cracow. Patrizio Sicari is research assistant in the OECD Economics Department. The authors are thankful to Andrew Dean, Robert Ford, Peter Jarrett, Isabelle Joumard, Andrzej Kwiecinski, Gaetan Lafortune, Yuki Murakami, Valerie Paris, Artur Radziwill and Polish government officials for their valuable comments on previous drafts.</t>
  </si>
  <si>
    <t>c28c988c16b772415abbb85379acefe7</t>
  </si>
  <si>
    <t>Confronted with the continued and rapid emergence of new psychoactive substances, countries in the region have placed additional substances under temporary listing and/or extended the scope of drug control to defined groups of substances. For instance, the Republic of Korea announced the temporary control of 10 new psychoactive substances (6 synthetic cannabinoids, 2 phen-ethylamines and 2 other miscellaneous substances) for three years in December 2014, which brought the number of new psychoactive substances currently under temporary control to 86. Under that country’s Act on the Control of Narcotics, the possession, management, trade, assistance in the trade, or the giving or receiving of materials that contain a temporary scheduled substance are prohibited.</t>
  </si>
  <si>
    <t>10.18356/c111e119-en</t>
  </si>
  <si>
    <t>6994d36b1db66d476081b40f7f25b88c</t>
  </si>
  <si>
    <t>High quality care for pregnant women and newborns is often lacking, even for babies and mothers who have contact with the health system (UNICEF, 2015). The strong association between mortality and various measures of socio-economic status (as measured by household wealth and mother's education) remains even after other potential causal factors are taken into account. Those factors include mother’s age, urban/rural type of residence, and key characteristics of the child such as sex, birth order, length of previous birth interval).</t>
  </si>
  <si>
    <t>10.18356/39dd1e2e-en</t>
  </si>
  <si>
    <t>1e5aae0abbef00e7c55949dd2f9e30aa</t>
  </si>
  <si>
    <t>Child labour in the construction sector is most prevalent in urban areas. In 2015, most of the children working in construction were boys and had begun work aged 15-18. They did not have a written contract, many were not equipped with proper safety equipment and almost half of them suffered injuries at work. Safety equipment is used only occasionally and over half of them suffered accidents at work.</t>
  </si>
  <si>
    <t>95d4d6c0bbfe7f746eacfc32d8657875</t>
  </si>
  <si>
    <t>The most deprived and vulnerable are most often excluded from progress and most difficult to reach. They require particular attention not only in order to secure their entitlements, but also as a matter of ensuring the realization of everyone’s rights. The most rapidly and widely ratified of these is the Convention on the Rights of the Child.</t>
  </si>
  <si>
    <t>f9d2c534096ef63acbe7e3be7d3dad6f</t>
  </si>
  <si>
    <t>This dust, mixed with the air, is thought to cause lung cancer and other breathing ailments. Elevated radon levels have also been associated with these abandoned mines. The effect of long-term radiation exposure in the levels associated with these mines is largely unknown. Despite the obvious need, there have not been to date any comprehensive studies of radiation and heavy metal contamination in the United States.</t>
  </si>
  <si>
    <t>383e52ea026e6c3c2913c9bf5ad71fe6</t>
  </si>
  <si>
    <t>In terms of maritime trafficking, remote coastal areas of Honduras and parts of northern Nicaragua are also used. Once offloaded, shipments are moved further north by air.28 In Nicaragua, most cocaine is seized in remote, underpopulated and isolated areas along the Atlantic coast. Drug trafficking by sea remains a major problem in Central America and the Caribbean. In addition, light aircraft operating from clandestine airstrips in remote areas of South America are increasingly being used to transport cocaine.</t>
  </si>
  <si>
    <t>too generic</t>
  </si>
  <si>
    <t>10.18356/71e3a80f-en</t>
  </si>
  <si>
    <t>04a6aad6e6d09a57438dd3745eafc1be</t>
  </si>
  <si>
    <t>Our results confirm the relevance of mothers education, which is significant in all four estimations (although the average effect of one additional year of schooling seems to be small). We take this as an indication of the progress Jordan has made during the past few decades in improving girl’s access to primary and secondary education. Urban residence and residence outside the Badia region do not have a significant effect in any of our estimations. Residence in the Central region, which includes the capital Amman, has a positive impact on infant mortality in estimation (I), which covers the period from 1971 to 2007, but this effect does not carry over to estimation (II), covering only the last 10 years before the survey.</t>
  </si>
  <si>
    <t>10.1787/9789264225817-8-en</t>
  </si>
  <si>
    <t>191635998a2148a8f59f5c902bb83ec0</t>
  </si>
  <si>
    <t>In Norway the number of psychologists was increased significantly with the addition of over 150 psychologists between 1998 and 2008, following significant political and financial investment in building the workforce for mild-to-moderate disorders under the Escalation Plan for mental health 1998-2008 (OECD, 2014b). Since the implementation of the IAPT programme recovery rates of patients who have passed through the IAPT programme have been found to be consistently in excess of 45% and approaching those expected from the randomised controlled trials that generated the initial NICE recommendations (Department of Health, 2012). Significant effects were seen for patients with higher depression scores, even though a lower proportion moved to recovery, suggesting IAPT services are effective across a range of symptom severity.</t>
  </si>
  <si>
    <t>522801414d5d983e2d78044623b8aadf</t>
  </si>
  <si>
    <t>All monetary' amounts are expressed in 2010 constant dollars. Model results were found to be within the ranges reported in the literature and in conformance with the theoretical expectation that small firms would have a more elastic demand for health insurance than would larger firms. Sensitivity analysis, where different combinations of potential covariates were used to estimate firm utility, was undertaken and the base case model specification was determined to be the most appropriate. A sensitivity analysis was undertaken where the probability of offering a new insurance option (one of the options available through the new insurance exchanges) estimated from the model was adjusted downward to match other estimates in the literature.</t>
  </si>
  <si>
    <t>75ffe54da493c0c0386ec743936fcac3</t>
  </si>
  <si>
    <t>Most of the local government institutions lack the capacity required to implement the policy, legislation and associated programmes. Local bodies are not financially independent and they have no autonomy in decision-making. They are financially dependent on grants from the central Government, as locally mobilized resources (mainly from property taxes) are often insufficient even for their basic operation, let alone for public services. Thus, local bodies depend on the centre for policies, plans, financial resources, human resources and even for budgetary decisions, which severely restricts the creativity and innovativeness of local leaders. Moreover, local leaders lack adequate knowledge and proper training to become visionary with regard to the socio-economic development of their locality.</t>
  </si>
  <si>
    <t>778b95ba1e588fba6fa542cc2425111e</t>
  </si>
  <si>
    <t>The number of samples analysed, however, is relatively low, mostly due to a lack of re-agents, laboratory equipment problems, etc. Furthermore, the share of food samples taken within the framework of projects and studies is growing, which may not show the real situation as the objectives of projects and studies have their own specifics. Capacity for pesticide residue controls in food and feed of plant and animal origin is not yet in place.</t>
  </si>
  <si>
    <t>0dfffdc285002df74fb712fdebb927ef</t>
  </si>
  <si>
    <t>They have developed limited networks of care providers only for specific expenditures that have a low statutory reimbursement rate, notably optical care, dentures and hearing aids (HCAAM, 2013). Indeed, they cannot contract with GPs (Pierron, 2016). As recommended by the OECD (OECD, 2000, Imai et al.,</t>
  </si>
  <si>
    <t>lacking context</t>
  </si>
  <si>
    <t>5d5a961bf35a97a59c116d019587b6ac</t>
  </si>
  <si>
    <t>States parties undertake to combat disease and malnutrition "through the provision of adequate nutritious foods and clean drinking water, taking into consideration the dangers and risks of environmental pollution." It binds States parties to make "available and accessible to every child" compulsory and free primary education and options for secondary schooling, including vocational education (Article 28). It also obliges States parties to "encourage the provision of appropriate and equal opportunities for cultural, artistic, recreational and leisure activity" (Article 31).</t>
  </si>
  <si>
    <t>8e9f2a293b1bb1938f1dce0c9e8aa28e</t>
  </si>
  <si>
    <t>As described in Mongolia’s 2015 national report, "Managing the transition from the Millennium Development Goals to the Sustainable Development Goals", there are considerable discrepancies in children’s health status related to parental education, household income, infrastructure development and geographical location. Additionally, in selected poverty-prone areas, a decline in household income leads to food shortages, which in turn results in malnutrition among infants and under-5-year-old children. In 2015, the infant (under-1-year-old) mortality rate was 15.3, the highest infant mortality rate is observed for the western region (22 per 1,000 live births). In 2016, the average maternal mortality ratio at aimag level was 56.0 per 100,000 live births and the Ulaanbaatar maternal mortality' ratio was 41.8 per 100,000 live births.</t>
  </si>
  <si>
    <t>8c2a2e034426605b9ee555e9301f044d</t>
  </si>
  <si>
    <t>In 2014, an amendment Act came into effect that banned the use of animal testing in clinical trials, effectively bringing the industry and product development to a standstill. Retail regulations due to come into force in November 2015 would allow for the licensing of the sale, both wholesale and retail, of psychoactive substances, and the licensing of retail premises. As of 1 June 2015, approximately 37 local authorities had adopted local approved product policies, which provided directions about where psychoactive products may be sold in a particular area. Cannabis is the most trafficked and widely abused drug throughout Oceania. The Australian Crime Commission has reported that, despite illicit domestic cultivation, the quantity of cannabis seized at the border in the 2013/14 reporting period was the highest in the past decade.</t>
  </si>
  <si>
    <t>1762b9d205f3469e49a41f49c5013a96</t>
  </si>
  <si>
    <t>Brisbane: School of Population Health, University of Queensland. The first version of this model was developed to study the impact of type 2 diabetes on the Australian population including health, health expenditures and broader economic impacts, such as changes in employment and productivity. The model was used to test the potential future impact of various policy interventions to reduce the future burden of diabetes for the purpose of improved decision-making regarding population health investment, work-force participation and productivity.</t>
  </si>
  <si>
    <t>0f9366b4004ef308944c440062b6376f</t>
  </si>
  <si>
    <t>As in other developing countries given the wide-spread labour market informality and population ageing, a payroll tax may not be the best funding instrument to raise sufficient revenue to fund adequate health care services. Funding the NHI through a higher value added tax or by general tax revenue would spread the financing burden more equitably across the population based on the ability to pay and will make financing less vulnerable to setbacks in the fight against labour market informality. Russian life expectancy was 69 years in 2010, more than ten years below the OECD average and about seven years shorter than in countries with a similar income level, such as Chile and Poland.</t>
  </si>
  <si>
    <t>b0b104da2aa520f7b7eb41a835435069</t>
  </si>
  <si>
    <t>In estimation (I) in table 4, we include those variables with only a complete set of observations in order to maximize the sample size and hence the robustness of our results. This estimation captures the relation between infant mortality and its determinants for children born between January 1971 and September 2007. In estimation (II) in table 4, we use the same set of variables, but include only the children that were born during the 10-year period prior to the survey, thereby reducing the sample size by about one half (from 41,153 to 19,146).</t>
  </si>
  <si>
    <t>TO DO</t>
  </si>
  <si>
    <t>not explicitly about how to reduce mortality</t>
  </si>
  <si>
    <t>idem</t>
  </si>
  <si>
    <t>facts, not describing how to reduce</t>
  </si>
  <si>
    <t>about policy, but not how to increase access</t>
  </si>
  <si>
    <t>affordable health care</t>
  </si>
  <si>
    <t>it is about patents for eye drops but does not refer to the diseases in the targets</t>
  </si>
  <si>
    <t>it is about drug trafficing but not about use of drugs</t>
  </si>
  <si>
    <t>not really about how to reduce these diseases</t>
  </si>
  <si>
    <t>life expectancy, not about targets</t>
  </si>
  <si>
    <t>factual</t>
  </si>
  <si>
    <t>universal health access</t>
  </si>
  <si>
    <t>no direct link to SDG 3 objectives, no sentiment, call to action</t>
  </si>
  <si>
    <t>NCDs (3.4)</t>
  </si>
  <si>
    <t>mental health</t>
  </si>
  <si>
    <t>vaguely linked, though only mentions health systems</t>
  </si>
  <si>
    <t>3.4 (NCD)</t>
  </si>
  <si>
    <t>3.5 on substance abuse</t>
  </si>
  <si>
    <t xml:space="preserve">not so much on substance abuse but more on trafficking </t>
  </si>
  <si>
    <t>a bit of a weak link to 3.3</t>
  </si>
  <si>
    <t>related to health workers (or aspirants) but not really linked to specific SDG 3 objectives</t>
  </si>
  <si>
    <t>somehow linked to health services but not clear what exactly is referred to here</t>
  </si>
  <si>
    <t>not clear what text is about</t>
  </si>
  <si>
    <t>cultural barriers of abroad-trained health personnel is not really an element of SDG 3 or its targets explicitly</t>
  </si>
  <si>
    <t>no sentiment, value in the statement, it does not state if this new health insurance option will have any impact on things like universal health care access etc.</t>
  </si>
  <si>
    <t>universal health care access</t>
  </si>
  <si>
    <t>child mortality</t>
  </si>
  <si>
    <t>linked to obesity but not really to specific SDG 3 objectives</t>
  </si>
  <si>
    <t>vaguely linked to healthcare access and affordability, but not strong enough and without value/sentiment</t>
  </si>
  <si>
    <t>3.a</t>
  </si>
  <si>
    <t>Workers rights, health and safety, but no directly addressed by SDG 3 (SDG 8 instead)</t>
  </si>
  <si>
    <t>3.4, though only weakly linked</t>
  </si>
  <si>
    <t>substance abuse (not only trafficking)</t>
  </si>
  <si>
    <t>not strongly linked to SDG 3 or its targets though health care is mentioned but without commitment, sentiment etc</t>
  </si>
  <si>
    <t>links weakly to mental wellbeing (last sentence on psychological strength being exhausted)</t>
  </si>
  <si>
    <t>talking about health system revenues but without clear links to SDG 3 or its targets</t>
  </si>
  <si>
    <t>on life expectancy divided by gender, not really linked to SDG 3 or its targets</t>
  </si>
  <si>
    <t>doi</t>
  </si>
  <si>
    <t>text_id</t>
  </si>
  <si>
    <t>text</t>
  </si>
  <si>
    <t>sdg</t>
  </si>
  <si>
    <t>labels_negative</t>
  </si>
  <si>
    <t>labels_positive</t>
  </si>
  <si>
    <t>labels_total</t>
  </si>
  <si>
    <t>agreement</t>
  </si>
  <si>
    <t>label</t>
  </si>
  <si>
    <t>difficulty</t>
  </si>
  <si>
    <t>selection reason</t>
  </si>
  <si>
    <t>very easy</t>
  </si>
  <si>
    <t>automated selection</t>
  </si>
  <si>
    <t>target 3.b</t>
  </si>
  <si>
    <t>easy</t>
  </si>
  <si>
    <t>target 3.9</t>
  </si>
  <si>
    <t>target 3.a</t>
  </si>
  <si>
    <t>target 3.8</t>
  </si>
  <si>
    <t>medium</t>
  </si>
  <si>
    <t>target 3.7</t>
  </si>
  <si>
    <t>target 3.d</t>
  </si>
  <si>
    <t>SDG 3</t>
  </si>
  <si>
    <t>target 3.5</t>
  </si>
  <si>
    <t>target 3.1</t>
  </si>
  <si>
    <t>target 3.3</t>
  </si>
  <si>
    <t>target 3.4</t>
  </si>
  <si>
    <t>hard</t>
  </si>
  <si>
    <t>target 3.6</t>
  </si>
  <si>
    <t>very hard</t>
  </si>
  <si>
    <t>UNDECIDED</t>
  </si>
  <si>
    <t>Group</t>
  </si>
  <si>
    <t>Alignment</t>
  </si>
  <si>
    <t>Comments</t>
  </si>
  <si>
    <t>Consensus</t>
  </si>
  <si>
    <t>Rationale</t>
  </si>
  <si>
    <t>Notes</t>
  </si>
  <si>
    <t/>
  </si>
  <si>
    <t>TRIPS</t>
  </si>
  <si>
    <t>- Finn: typo</t>
  </si>
  <si>
    <t>- Finn: typos</t>
  </si>
  <si>
    <t>- Finn: French</t>
  </si>
  <si>
    <t>Remove this since it's French</t>
  </si>
  <si>
    <t>- Steve: related to health workers (or aspirants) but not really linked to specific SDG 3 objectives</t>
  </si>
  <si>
    <t>- Steve: 3.4 (NCD)</t>
  </si>
  <si>
    <t>drugs</t>
  </si>
  <si>
    <t>target 3.5 is specificially about substance abuse, not drug trafficking in general</t>
  </si>
  <si>
    <t>- Finn: typo
- Steve: no direct link to SDG 3 objectives, no sentiment, call to action</t>
  </si>
  <si>
    <t>- Finn: lacking context
- Meike: about policy, but not how to increase access
- Steve: 3.8</t>
  </si>
  <si>
    <t>- Steve: 3.4, though only weakly linked</t>
  </si>
  <si>
    <t>- Steve: talking about health system revenues but without clear links to SDG 3 or its targets</t>
  </si>
  <si>
    <t>- Steve: universal health access</t>
  </si>
  <si>
    <t>- Steve: 3.8</t>
  </si>
  <si>
    <t>typo?</t>
  </si>
  <si>
    <t>- Finn: in line with WHO tobacco control: https://www.who.int/teams/health-promotion/tobacco-control/implementing
- Steve: 3.a</t>
  </si>
  <si>
    <t>- Steve: a bit of a weak link to 3.3</t>
  </si>
  <si>
    <t>- Steve: 3.1</t>
  </si>
  <si>
    <t>- Steve: somehow linked to health services but not clear what exactly is referred to here</t>
  </si>
  <si>
    <t>- Meike: affordable health care</t>
  </si>
  <si>
    <t>- Finn: affordability, target 3.8</t>
  </si>
  <si>
    <t>- Meike: facts, not describing how to reduce
- Steve: 3.2</t>
  </si>
  <si>
    <t>- Steve: 3.5 on substance abuse</t>
  </si>
  <si>
    <t>- Meike: not really about how to reduce these diseases
- Steve: NCDs (3.4)</t>
  </si>
  <si>
    <t>- Meike: not explicitly about how to reduce mortality</t>
  </si>
  <si>
    <t>- Finn: unclear what kind of insurance: remove from dataset</t>
  </si>
  <si>
    <t>- Meike: it is about patents for eye drops but does not refer to the diseases in the targets</t>
  </si>
  <si>
    <t>- Steve: links weakly to mental wellbeing (last sentence on psychological strength being exhausted)</t>
  </si>
  <si>
    <t>- Steve: universal health care access</t>
  </si>
  <si>
    <t>- Steve: mental health</t>
  </si>
  <si>
    <t>- Steve: vaguely linked, though only mentions health systems</t>
  </si>
  <si>
    <t>- Steve: 3.6</t>
  </si>
  <si>
    <t>- Finn: target 3.c
- Steve: cultural barriers of abroad-trained health personnel is not really an element of SDG 3 or its targets explicitly</t>
  </si>
  <si>
    <t>- Finn: primary health care mandate = ???
- Steve: not strongly linked to SDG 3 or its targets though health care is mentioned but without commitment, sentiment etc</t>
  </si>
  <si>
    <t>- Steve: no sentiment, value in the statement, it does not state if this new health insurance option will have any impact on things like universal health care access etc.</t>
  </si>
  <si>
    <t>- Steve: vaguely linked to healthcare access and affordability, but not strong enough and without value/sentiment</t>
  </si>
  <si>
    <t xml:space="preserve">- Steve: not so much on substance abuse but more on trafficking </t>
  </si>
  <si>
    <t>remove "and widely abused" to avoid ambiguity related to target 3.5: target 3.5 is specificially about substance abuse, not drug trafficking in general</t>
  </si>
  <si>
    <t>- Finn: indirect
- Steve: linked to obesity but not really to specific SDG 3 objectives</t>
  </si>
  <si>
    <t>road safety</t>
  </si>
  <si>
    <t>- Finn: target 3.2
- Steve: child mortality</t>
  </si>
  <si>
    <t>- Finn: too generic
- Meike: it is about drug trafficing but not about use of drugs</t>
  </si>
  <si>
    <t>- Finn: gender equality and health
- Meike: life expectancy, not about targets
- Steve: on life expectancy divided by gender, not really linked to SDG 3 or its targets</t>
  </si>
  <si>
    <t>- Meike: factual</t>
  </si>
  <si>
    <t>- Steve: Workers rights, health and safety, but no directly addressed by SDG 3 (SDG 8 instead)</t>
  </si>
  <si>
    <t>- Meike: idem
- Steve: substance abuse (not only trafficking)</t>
  </si>
  <si>
    <t>- Steve: NCDs (3.4)</t>
  </si>
  <si>
    <t>- Steve: not clear what text is about</t>
  </si>
  <si>
    <t>id</t>
  </si>
  <si>
    <t>osdg_text_id</t>
  </si>
  <si>
    <t>comment</t>
  </si>
  <si>
    <t>Authorship is usually collective, but principal writers are named. The papers are generally available only in their original language - English or French - with a summary in the other. The opinions expressed and arguments employed are those of the author(s). Comments on Working Papers are welcomed, and may be sent to the Directorate for Employment, Labour and Social Affairs OECD, 2 rue Andre-Pascal, 75775 Paris Cedex 16, France. The author remains responsible for any errors and omissions. The opinions expressed in the paper are the responsibility of the author and do not necessarily reflect those of the OECD or its Member Countries.</t>
  </si>
  <si>
    <t>fixed typo in text</t>
  </si>
  <si>
    <t>The review of models in this paper highlights emerging systems of models where different modelling approaches are designed to work together coherently. In this way, techniques w'ith different strengths are amalgamated and a broader range of policy questions may be explored. Examples include the system of models developed by the U.S. Congressional Budget Office and by the University of Canberra and Monash University in Australia.</t>
  </si>
  <si>
    <t>At the same time, the use of a personal identifier for data linkage is reportedly complicated due to privacy legislation in Australia, the Czech Republic, Israel, Italy, Japan, Korea and Norway. By contrast, the United Kingdom, Sweden, Portugal and Denmark strengthened their legislative framework to permit privacy-protective data use. In the United Kingdom notably, several legislative frameworks were introduced so that information can be collected, held securely and made available with safeguards in place to protect individuals’ data.</t>
  </si>
  <si>
    <t>fixed typos in text</t>
  </si>
  <si>
    <t>Mainly dependent on commodities export (minerals, coffee and other raw materials), Colombian gross domestic product (GDP) grew 3.9% per year between 2003 and 2008, and 2.7% per year between 2008 and 2013 (OECD, 2015c). Colombian GDP per capita was USD PPP 12 750 in 2013, up from USD PPP 6 611 per capita in 2000 (standardised to 2015 prices in each case). The gap in GDP per capita between Colombia and OECD economies has started to narrow, although remains large (Figure 1.3). Even though poverty in the country as a whole is decreasing, large disparities between different regions persist.</t>
  </si>
  <si>
    <t>The situation is even more worrying for young women since nearly 40% of them are neither in employment nor in education or training (which is the second highest rate among OECD countries after Turkey). Overall, nearly 47% of Mexican women are employed or seek employment, an employment rate which is 34% lower than the OECD average (OECD, 2014b). Against this background, the informal sector might naturally constitute a preferred alternative for both women and youth in Mexico.</t>
  </si>
  <si>
    <t>added missing word in text</t>
  </si>
  <si>
    <t>Wales’ voice in the UK Government is represented by the Secretary of State for Wales in the Wales Office. There are also certain situations in which the Welsh Government works collaboratively with the UK Government on legislation that affects Wales but which is passed by the Westminster Parliament. International matters, such as relationships with the WHO and the OECD, are also a non-devolved matter.</t>
  </si>
  <si>
    <t>In 1857, indigenous men were allowed to renounce their indigenous status and the right to live on reserve lands in order to assimilate into non-indigenous society. Indigenous women, on the other hand, were not given the same choice. In fact, in contrast to traditional indigenous matriarchal family structure the post colonial indigenous women's status was determined by the choices made by her husband or father.</t>
  </si>
  <si>
    <t>added missing comma</t>
  </si>
  <si>
    <t>In the Baltic countries (Latvia, Lithuania and Estonia) and Finland, education was found to be negatively associated with alcohol abuse in men, but positively associated with heavy drinking, but not HED, in women (Helasoja et al., In the Czech Republic, men, single persons and people with low education were found to be at higher risk of hazardous alcohol drinking (Dzurova et al., Conversely, the literature shows an opposite pattern for women, with the higher educated more likely to be hazardous drinkers. In Austria, France, Germany, the Netherlands, and Switzerland, women with higher education were more likely to be hazardous drinkers (Bloomfield et al., This trend in women is confirmed in Germany, France Switzerland, and Norway, whereas in the Czech Republic, Finland, Hungary, and Sweden, less educated women were more likely to be hazardous drinkers (Kuntsche et al,, 2006). In a meta-analysis of 33 countries, part of the GENACIS project, men and women with greater education were found to be more likely to consume alcohol than their counterparts with less education.</t>
  </si>
  <si>
    <t>As described in Mongolia’s 2015 national report, "Managing the transition from the Millennium Development Goals to the Sustainable Development Goals", there are considerable discrepancies in children’s health status related to parental education, household income, infrastructure development and geographical location. Additionally, in selected poverty-prone areas, a decline in household income leads to food shortages, which in turn results in malnutrition among infants and under-5-year-old children. In 2015, the infant (under-1-year-old) mortality rate was 15.3, the highest infant mortality rate is observed for the western region (22 per 1,000 live births). In 2016, the average maternal mortality ratio at aimag level was 56.0 per 100,000 live births and the Ulaanbaatar maternal mortality ratio was 41.8 per 100,000 live births.</t>
  </si>
  <si>
    <t>Data on wages are usually collected through employment and income surveys, more rarely in health surveys. Monthly or hourly individual’s wage is generally used in this study. Productivity is difficult to measure, it can be approximated by the rate of absenteeism from work or the number of sickness absences, the amount of disability benefits received, and the rate of presenteeism4.</t>
  </si>
  <si>
    <t>At the central level, the Ministry of Local Government and Rural Development plays a key role in urban governance, with a wide range of controlling authority over urban local government institutions. Two types of urban local bodies, known as city corporations and pourashavas, have massive public, environmental and primary health care mandates. They are both directly elected by the local people. Out of the 522 urban areas identified by the 1991 Census Commission (Bangladesh 1993), only 316 urban centres have local governments.</t>
  </si>
  <si>
    <t>All monetary amounts are expressed in 2010 constant dollars. Model results were found to be within the ranges reported in the literature and in conformance with the theoretical expectation that small firms would have a more elastic demand for health insurance than would larger firms. Sensitivity analysis, where different combinations of potential covariates were used to estimate firm utility, was undertaken and the base case model specification was determined to be the most appropriate. A sensitivity analysis was undertaken where the probability of offering a new insurance option (one of the options available through the new insurance exchanges) estimated from the model was adjusted downward to match other estimates in the literature.</t>
  </si>
  <si>
    <t>In 2014, an amendment Act came into effect that banned the use of animal testing in clinical trials, effectively bringing the industry and product development to a standstill. Retail regulations due to come into force in November 2015 would allow for the licensing of the sale, both wholesale and retail, of psychoactive substances, and the licensing of retail premises. As of 1 June 2015, approximately 37 local authorities had adopted local approved product policies, which provided directions about where psychoactive products may be sold in a particular area. Cannabis is the most trafficked drug throughout Oceania. The Australian Crime Commission has reported that, despite illicit domestic cultivation, the quantity of cannabis seized at the border in the 2013/14 reporting period was the highest in the past decade.</t>
  </si>
  <si>
    <t>removed "and widely abused" from text to avoid ambiguity related to target 3.5: target 3.5 is specificially about substance abuse, not drug trafficking in general</t>
  </si>
  <si>
    <t>Dina</t>
  </si>
  <si>
    <t>Result</t>
  </si>
  <si>
    <t>OSDG Community</t>
  </si>
  <si>
    <t>Difficulty</t>
  </si>
  <si>
    <t>Accurate</t>
  </si>
  <si>
    <t>- typo</t>
  </si>
  <si>
    <t>- typos</t>
  </si>
  <si>
    <t>- French</t>
  </si>
  <si>
    <t>- related to health workers (or aspirants) but not really linked to specific SDG 3 objectives</t>
  </si>
  <si>
    <t>- 3.4 (NCD)</t>
  </si>
  <si>
    <t>- typo
- no direct link to SDG 3 objectives, no sentiment, call to action</t>
  </si>
  <si>
    <t>- lacking context
- about policy, but not how to increase access
- 3.8</t>
  </si>
  <si>
    <t>- 3.4, though only weakly linked</t>
  </si>
  <si>
    <t>- talking about health system revenues but without clear links to SDG 3 or its targets</t>
  </si>
  <si>
    <t>- universal health access</t>
  </si>
  <si>
    <t>- 3.8</t>
  </si>
  <si>
    <t>- in line with WHO tobacco control: https://www.who.int/teams/health-promotion/tobacco-control/implementing
- 3.a</t>
  </si>
  <si>
    <t>- a bit of a weak link to 3.3</t>
  </si>
  <si>
    <t>- 3.1</t>
  </si>
  <si>
    <t>- somehow linked to health services but not clear what exactly is referred to here</t>
  </si>
  <si>
    <t>- affordable health care</t>
  </si>
  <si>
    <t>- affordability, target 3.8</t>
  </si>
  <si>
    <t>- facts, not describing how to reduce
- 3.2</t>
  </si>
  <si>
    <t>- 3.5 on substance abuse</t>
  </si>
  <si>
    <t>- not really about how to reduce these diseases
- NCDs (3.4)</t>
  </si>
  <si>
    <t>- not explicitly about how to reduce mortality</t>
  </si>
  <si>
    <t>- unclear what kind of insurance: remove from dataset</t>
  </si>
  <si>
    <t>- it is about patents for eye drops but does not refer to the diseases in the targets</t>
  </si>
  <si>
    <t>- links weakly to mental wellbeing (last sentence on psychological strength being exhausted)</t>
  </si>
  <si>
    <t>- universal health care access</t>
  </si>
  <si>
    <t>- mental health</t>
  </si>
  <si>
    <t>- vaguely linked, though only mentions health systems</t>
  </si>
  <si>
    <t>- 3.6</t>
  </si>
  <si>
    <t>- target 3.c
- cultural barriers of abroad-trained health personnel is not really an element of SDG 3 or its targets explicitly</t>
  </si>
  <si>
    <t>- primary health care mandate = ???
- not strongly linked to SDG 3 or its targets though health care is mentioned but without commitment, sentiment etc</t>
  </si>
  <si>
    <t>- no sentiment, value in the statement, it does not state if this new health insurance option will have any impact on things like universal health care access etc.</t>
  </si>
  <si>
    <t>- vaguely linked to healthcare access and affordability, but not strong enough and without value/sentiment</t>
  </si>
  <si>
    <t xml:space="preserve">- not so much on substance abuse but more on trafficking </t>
  </si>
  <si>
    <t>- indirect
- linked to obesity but not really to specific SDG 3 objectives</t>
  </si>
  <si>
    <t>- target 3.2
- child mortality</t>
  </si>
  <si>
    <t>- too generic
- it is about drug trafficing but not about use of drugs</t>
  </si>
  <si>
    <t>- gender equality and health
- life expectancy, not about targets
- on life expectancy divided by gender, not really linked to SDG 3 or its targets</t>
  </si>
  <si>
    <t>- factual</t>
  </si>
  <si>
    <t>- Workers rights, health and safety, but no directly addressed by SDG 3 (SDG 8 instead)</t>
  </si>
  <si>
    <t>- idem
- substance abuse (not only trafficking)</t>
  </si>
  <si>
    <t>- NCDs (3.4)</t>
  </si>
  <si>
    <t>- not clear what text is about</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</si>
</sst>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b/>
      <color theme="1"/>
      <name val="Arial"/>
    </font>
    <font>
      <color theme="1"/>
      <name val="Arial"/>
    </font>
    <font>
      <b/>
      <sz val="10.0"/>
      <color theme="1"/>
      <name val="Arial"/>
    </font>
    <font>
      <sz val="10.0"/>
      <color theme="1"/>
      <name val="Arial"/>
      <scheme val="minor"/>
    </font>
    <font>
      <sz val="9.0"/>
      <color theme="1"/>
      <name val="Arial"/>
      <scheme val="minor"/>
    </font>
  </fonts>
  <fills count="3">
    <fill>
      <patternFill patternType="none"/>
    </fill>
    <fill>
      <patternFill patternType="lightGray"/>
    </fill>
    <fill>
      <patternFill patternType="solid">
        <fgColor rgb="FFB6D7A8"/>
        <bgColor rgb="FFB6D7A8"/>
      </patternFill>
    </fill>
  </fills>
  <borders count="3">
    <border/>
    <border>
      <left style="thick">
        <color rgb="FF000000"/>
      </left>
    </border>
    <border>
      <right style="thick">
        <color rgb="FF000000"/>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5"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5" numFmtId="0" xfId="0" applyFont="1"/>
    <xf borderId="0" fillId="0" fontId="0" numFmtId="0" xfId="0" applyAlignment="1" applyFont="1">
      <alignment horizontal="right"/>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vertical="bottom"/>
    </xf>
    <xf borderId="0" fillId="0" fontId="14" numFmtId="0" xfId="0" applyAlignment="1" applyFont="1">
      <alignment readingOrder="0" shrinkToFit="0" vertical="bottom" wrapText="1"/>
    </xf>
    <xf borderId="0" fillId="0" fontId="15" numFmtId="0" xfId="0" applyAlignment="1" applyFont="1">
      <alignment horizontal="center" readingOrder="0" vertical="bottom"/>
    </xf>
    <xf borderId="0" fillId="0" fontId="16" numFmtId="0" xfId="0" applyAlignment="1" applyFont="1">
      <alignment vertical="bottom"/>
    </xf>
    <xf borderId="0" fillId="0" fontId="16" numFmtId="0" xfId="0" applyAlignment="1" applyFont="1">
      <alignment shrinkToFit="0" vertical="bottom" wrapText="1"/>
    </xf>
    <xf borderId="0" fillId="0" fontId="17" numFmtId="0" xfId="0" applyAlignment="1" applyFont="1">
      <alignment horizontal="center" readingOrder="0" vertical="center"/>
    </xf>
    <xf borderId="0" fillId="2" fontId="16" numFmtId="0" xfId="0" applyAlignment="1" applyFill="1" applyFont="1">
      <alignment shrinkToFit="0" vertical="bottom" wrapText="1"/>
    </xf>
    <xf borderId="0" fillId="0" fontId="18" numFmtId="0" xfId="0" applyAlignment="1" applyFont="1">
      <alignment vertical="bottom"/>
    </xf>
    <xf borderId="0" fillId="0" fontId="18" numFmtId="0" xfId="0" applyAlignment="1" applyFont="1">
      <alignment vertical="bottom"/>
    </xf>
    <xf borderId="0" fillId="0" fontId="18" numFmtId="0" xfId="0" applyAlignment="1" applyFont="1">
      <alignment horizontal="right" readingOrder="0" vertical="bottom"/>
    </xf>
    <xf borderId="0" fillId="0" fontId="11" numFmtId="0" xfId="0" applyFont="1"/>
    <xf borderId="0" fillId="0" fontId="19" numFmtId="0" xfId="0" applyAlignment="1" applyFont="1">
      <alignment vertical="bottom"/>
    </xf>
    <xf borderId="0" fillId="0" fontId="19" numFmtId="0" xfId="0" applyAlignment="1" applyFont="1">
      <alignment horizontal="right" vertical="bottom"/>
    </xf>
    <xf borderId="0" fillId="0" fontId="19" numFmtId="0" xfId="0" applyAlignment="1" applyFont="1">
      <alignment horizontal="center" vertical="bottom"/>
    </xf>
    <xf borderId="0" fillId="0" fontId="5" numFmtId="0" xfId="0" applyAlignment="1" applyFont="1">
      <alignment horizontal="right"/>
    </xf>
    <xf borderId="0" fillId="0" fontId="18" numFmtId="0" xfId="0" applyAlignment="1" applyFont="1">
      <alignment horizontal="center" readingOrder="0" vertical="bottom"/>
    </xf>
    <xf borderId="0" fillId="0" fontId="18" numFmtId="0" xfId="0" applyAlignment="1" applyFont="1">
      <alignment horizontal="center" vertical="bottom"/>
    </xf>
    <xf borderId="0" fillId="0" fontId="20" numFmtId="0" xfId="0" applyAlignment="1" applyFont="1">
      <alignment readingOrder="0" vertical="bottom"/>
    </xf>
    <xf borderId="1" fillId="0" fontId="11" numFmtId="0" xfId="0" applyAlignment="1" applyBorder="1" applyFont="1">
      <alignment horizontal="center" readingOrder="0"/>
    </xf>
    <xf borderId="0" fillId="0" fontId="5" numFmtId="0" xfId="0" applyAlignment="1" applyFont="1">
      <alignment horizontal="center"/>
    </xf>
    <xf borderId="0" fillId="0" fontId="5" numFmtId="0" xfId="0" applyAlignment="1" applyFont="1">
      <alignment horizontal="center" vertical="center"/>
    </xf>
    <xf borderId="0" fillId="0" fontId="21" numFmtId="10" xfId="0" applyFont="1" applyNumberFormat="1"/>
    <xf borderId="0" fillId="0" fontId="22" numFmtId="10" xfId="0" applyFont="1" applyNumberFormat="1"/>
    <xf borderId="1" fillId="0" fontId="5" numFmtId="0" xfId="0" applyAlignment="1" applyBorder="1" applyFont="1">
      <alignment horizontal="center" readingOrder="0"/>
    </xf>
    <xf borderId="0" fillId="0" fontId="5" numFmtId="0" xfId="0" applyAlignment="1" applyFont="1">
      <alignment horizontal="center" readingOrder="0" vertical="center"/>
    </xf>
    <xf borderId="0" fillId="0" fontId="19" numFmtId="0" xfId="0" applyAlignment="1" applyFont="1">
      <alignment readingOrder="0" vertical="bottom"/>
    </xf>
    <xf borderId="0" fillId="0" fontId="14" numFmtId="0" xfId="0" applyAlignment="1" applyFont="1">
      <alignment readingOrder="0" shrinkToFit="0" vertical="bottom" wrapText="0"/>
    </xf>
    <xf borderId="1" fillId="0" fontId="11" numFmtId="0" xfId="0" applyAlignment="1" applyBorder="1" applyFont="1">
      <alignment readingOrder="0"/>
    </xf>
    <xf borderId="2" fillId="0" fontId="11" numFmtId="0" xfId="0" applyAlignment="1" applyBorder="1" applyFont="1">
      <alignment readingOrder="0" shrinkToFit="0" wrapText="0"/>
    </xf>
    <xf borderId="1" fillId="0" fontId="5" numFmtId="10" xfId="0" applyBorder="1" applyFont="1" applyNumberFormat="1"/>
    <xf borderId="2" fillId="0" fontId="5" numFmtId="0" xfId="0" applyAlignment="1" applyBorder="1" applyFont="1">
      <alignment shrinkToFit="0" wrapText="0"/>
    </xf>
    <xf borderId="0" fillId="0" fontId="5" numFmtId="0" xfId="0" applyAlignment="1" applyFont="1">
      <alignment shrinkToFit="0" wrapText="0"/>
    </xf>
    <xf borderId="1" fillId="0" fontId="5" numFmtId="0" xfId="0" applyBorder="1" applyFont="1"/>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49</xdr:row>
      <xdr:rowOff>28575</xdr:rowOff>
    </xdr:from>
    <xdr:ext cx="7629525" cy="7296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B40" s="5" t="s">
        <v>27</v>
      </c>
      <c r="C40" s="8"/>
    </row>
    <row r="41">
      <c r="B41" s="9"/>
      <c r="C41" s="12"/>
    </row>
    <row r="42">
      <c r="B42" s="9" t="s">
        <v>28</v>
      </c>
      <c r="C42" s="12"/>
    </row>
    <row r="43">
      <c r="B43" s="5" t="s">
        <v>29</v>
      </c>
    </row>
    <row r="44">
      <c r="B44" s="5" t="s">
        <v>30</v>
      </c>
    </row>
    <row r="45">
      <c r="B45" s="13"/>
    </row>
    <row r="46">
      <c r="B46" s="3" t="s">
        <v>31</v>
      </c>
    </row>
    <row r="48">
      <c r="B48" s="6" t="s">
        <v>32</v>
      </c>
    </row>
    <row r="49">
      <c r="B49" s="5" t="s">
        <v>33</v>
      </c>
    </row>
    <row r="86">
      <c r="B86" s="14" t="s">
        <v>34</v>
      </c>
    </row>
    <row r="88">
      <c r="B88" s="6" t="s">
        <v>35</v>
      </c>
    </row>
    <row r="89">
      <c r="B89" s="5" t="s">
        <v>36</v>
      </c>
    </row>
    <row r="90">
      <c r="B90" s="5"/>
    </row>
    <row r="91">
      <c r="B91" s="15" t="s">
        <v>37</v>
      </c>
      <c r="C91" s="15" t="s">
        <v>38</v>
      </c>
    </row>
    <row r="92">
      <c r="B92" s="14" t="s">
        <v>39</v>
      </c>
      <c r="C92" s="16" t="str">
        <f>IFERROR(__xludf.DUMMYFUNCTION("SPARKLINE((100-COUNTIF(INDIRECT(B92&amp;""!D:D""), ""TO DO""))/100+0.01,{""charttype"",""bar"";""max"",1.01;""min"",0; ""color1"", ""#4285f4""})"),"")</f>
        <v/>
      </c>
      <c r="D92" s="17" t="str">
        <f t="shared" ref="D92:D96" si="1">(100-COUNTIF(INDIRECT(B92&amp;"!D:D"), "TO DO")) &amp; " / 100"</f>
        <v>100 / 100</v>
      </c>
    </row>
    <row r="93">
      <c r="B93" s="14" t="s">
        <v>40</v>
      </c>
      <c r="C93" s="16" t="str">
        <f>IFERROR(__xludf.DUMMYFUNCTION("SPARKLINE((100-COUNTIF(INDIRECT(B93&amp;""!D:D""), ""TO DO""))/100+0.01,{""charttype"",""bar"";""max"",1.01;""min"",0; ""color1"", ""#4285f4""})"),"")</f>
        <v/>
      </c>
      <c r="D93" s="17" t="str">
        <f t="shared" si="1"/>
        <v>0 / 100</v>
      </c>
    </row>
    <row r="94">
      <c r="B94" s="14" t="s">
        <v>41</v>
      </c>
      <c r="C94" s="16" t="str">
        <f>IFERROR(__xludf.DUMMYFUNCTION("SPARKLINE((100-COUNTIF(INDIRECT(B94&amp;""!D:D""), ""TO DO""))/100+0.01,{""charttype"",""bar"";""max"",1.01;""min"",0; ""color1"", ""#4285f4""})"),"")</f>
        <v/>
      </c>
      <c r="D94" s="17" t="str">
        <f t="shared" si="1"/>
        <v>0 / 100</v>
      </c>
    </row>
    <row r="95">
      <c r="B95" s="14" t="s">
        <v>42</v>
      </c>
      <c r="C95" s="16" t="str">
        <f>IFERROR(__xludf.DUMMYFUNCTION("SPARKLINE((100-COUNTIF(INDIRECT(B95&amp;""!D:D""), ""TO DO""))/100+0.01,{""charttype"",""bar"";""max"",1.01;""min"",0; ""color1"", ""#4285f4""})"),"")</f>
        <v/>
      </c>
      <c r="D95" s="17" t="str">
        <f t="shared" si="1"/>
        <v>98 / 100</v>
      </c>
    </row>
    <row r="96">
      <c r="B96" s="14" t="s">
        <v>43</v>
      </c>
      <c r="C96" s="16" t="str">
        <f>IFERROR(__xludf.DUMMYFUNCTION("SPARKLINE((100-COUNTIF(INDIRECT(B96&amp;""!D:D""), ""TO DO""))/100+0.01,{""charttype"",""bar"";""max"",1.01;""min"",0; ""color1"", ""#4285f4""})"),"")</f>
        <v/>
      </c>
      <c r="D96" s="17" t="str">
        <f t="shared" si="1"/>
        <v>100 / 100</v>
      </c>
    </row>
    <row r="98">
      <c r="B98" s="18" t="s">
        <v>44</v>
      </c>
    </row>
    <row r="100">
      <c r="B100" s="6" t="s">
        <v>45</v>
      </c>
    </row>
    <row r="101">
      <c r="B101" s="5" t="s">
        <v>46</v>
      </c>
    </row>
    <row r="102">
      <c r="B102" s="5"/>
    </row>
    <row r="103">
      <c r="B103" s="5" t="s">
        <v>47</v>
      </c>
    </row>
    <row r="104">
      <c r="B104" s="5"/>
    </row>
    <row r="105">
      <c r="B105" s="19" t="s">
        <v>48</v>
      </c>
    </row>
    <row r="106">
      <c r="B106" s="5" t="s">
        <v>49</v>
      </c>
    </row>
    <row r="107">
      <c r="B107" s="5" t="s">
        <v>50</v>
      </c>
    </row>
    <row r="108">
      <c r="B108" s="5" t="s">
        <v>51</v>
      </c>
    </row>
    <row r="109">
      <c r="B109" s="5" t="s">
        <v>52</v>
      </c>
    </row>
    <row r="110">
      <c r="B110" s="5" t="s">
        <v>53</v>
      </c>
    </row>
    <row r="111">
      <c r="B111" s="5" t="s">
        <v>54</v>
      </c>
    </row>
    <row r="112">
      <c r="B112" s="5" t="s">
        <v>55</v>
      </c>
    </row>
    <row r="113">
      <c r="B113" s="5" t="s">
        <v>56</v>
      </c>
    </row>
    <row r="114">
      <c r="B114" s="5" t="s">
        <v>57</v>
      </c>
    </row>
    <row r="115">
      <c r="B115" s="5" t="s">
        <v>58</v>
      </c>
    </row>
    <row r="116">
      <c r="B116" s="5" t="s">
        <v>59</v>
      </c>
    </row>
    <row r="118">
      <c r="B118" s="19" t="s">
        <v>60</v>
      </c>
    </row>
    <row r="119">
      <c r="B119" s="5" t="s">
        <v>61</v>
      </c>
    </row>
    <row r="120">
      <c r="B120" s="5" t="s">
        <v>62</v>
      </c>
    </row>
    <row r="121">
      <c r="B121" s="5" t="s">
        <v>63</v>
      </c>
    </row>
    <row r="122">
      <c r="B122" s="5" t="s">
        <v>64</v>
      </c>
    </row>
    <row r="123">
      <c r="B123" s="5" t="s">
        <v>65</v>
      </c>
    </row>
  </sheetData>
  <dataValidations>
    <dataValidation type="list" allowBlank="1" showErrorMessage="1" sqref="B18:B20">
      <formula1>"TRUE,FALSE,SKIP"</formula1>
    </dataValidation>
  </dataValidations>
  <hyperlinks>
    <hyperlink r:id="rId1" ref="B86"/>
    <hyperlink display="Finn" location="Finn!A1" ref="B92"/>
    <hyperlink display="Gib" location="Gib!A1" ref="B93"/>
    <hyperlink display="Jean-Baptiste" location="'Jean-Baptiste'!A1" ref="B94"/>
    <hyperlink display="Meike" location="Meike!A1" ref="B95"/>
    <hyperlink display="Steve" location="Steve!A1" ref="B9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34.63"/>
  </cols>
  <sheetData>
    <row r="1">
      <c r="A1" s="20" t="s">
        <v>66</v>
      </c>
      <c r="B1" s="20" t="s">
        <v>67</v>
      </c>
      <c r="C1" s="21" t="s">
        <v>68</v>
      </c>
      <c r="D1" s="22" t="s">
        <v>69</v>
      </c>
      <c r="E1" s="15" t="s">
        <v>70</v>
      </c>
    </row>
    <row r="2">
      <c r="A2" s="23" t="s">
        <v>71</v>
      </c>
      <c r="B2" s="23" t="s">
        <v>72</v>
      </c>
      <c r="C2" s="24" t="s">
        <v>73</v>
      </c>
      <c r="D2" s="25" t="b">
        <v>1</v>
      </c>
      <c r="E2" s="5" t="s">
        <v>74</v>
      </c>
    </row>
    <row r="3">
      <c r="A3" s="23" t="s">
        <v>75</v>
      </c>
      <c r="B3" s="23" t="s">
        <v>76</v>
      </c>
      <c r="C3" s="24" t="s">
        <v>77</v>
      </c>
      <c r="D3" s="25" t="b">
        <v>1</v>
      </c>
    </row>
    <row r="4">
      <c r="A4" s="23" t="s">
        <v>78</v>
      </c>
      <c r="B4" s="23" t="s">
        <v>79</v>
      </c>
      <c r="C4" s="24" t="s">
        <v>80</v>
      </c>
      <c r="D4" s="25" t="b">
        <v>1</v>
      </c>
    </row>
    <row r="5">
      <c r="A5" s="23" t="s">
        <v>81</v>
      </c>
      <c r="B5" s="23" t="s">
        <v>82</v>
      </c>
      <c r="C5" s="24" t="s">
        <v>83</v>
      </c>
      <c r="D5" s="25" t="b">
        <v>1</v>
      </c>
      <c r="E5" s="5" t="s">
        <v>84</v>
      </c>
    </row>
    <row r="6">
      <c r="A6" s="23" t="s">
        <v>85</v>
      </c>
      <c r="B6" s="23" t="s">
        <v>86</v>
      </c>
      <c r="C6" s="24" t="s">
        <v>87</v>
      </c>
      <c r="D6" s="25" t="b">
        <v>0</v>
      </c>
      <c r="E6" s="5" t="s">
        <v>88</v>
      </c>
    </row>
    <row r="7">
      <c r="A7" s="23" t="s">
        <v>89</v>
      </c>
      <c r="B7" s="23" t="s">
        <v>90</v>
      </c>
      <c r="C7" s="24" t="s">
        <v>91</v>
      </c>
      <c r="D7" s="25" t="b">
        <v>0</v>
      </c>
    </row>
    <row r="8">
      <c r="A8" s="23" t="s">
        <v>92</v>
      </c>
      <c r="B8" s="23" t="s">
        <v>93</v>
      </c>
      <c r="C8" s="24" t="s">
        <v>94</v>
      </c>
      <c r="D8" s="25" t="b">
        <v>1</v>
      </c>
    </row>
    <row r="9">
      <c r="A9" s="23" t="s">
        <v>92</v>
      </c>
      <c r="B9" s="23" t="s">
        <v>95</v>
      </c>
      <c r="C9" s="24" t="s">
        <v>96</v>
      </c>
      <c r="D9" s="25" t="b">
        <v>0</v>
      </c>
    </row>
    <row r="10">
      <c r="A10" s="23" t="s">
        <v>97</v>
      </c>
      <c r="B10" s="23" t="s">
        <v>98</v>
      </c>
      <c r="C10" s="24" t="s">
        <v>99</v>
      </c>
      <c r="D10" s="25" t="b">
        <v>0</v>
      </c>
      <c r="E10" s="5" t="s">
        <v>100</v>
      </c>
    </row>
    <row r="11">
      <c r="A11" s="23" t="s">
        <v>101</v>
      </c>
      <c r="B11" s="23" t="s">
        <v>102</v>
      </c>
      <c r="C11" s="24" t="s">
        <v>103</v>
      </c>
      <c r="D11" s="25" t="b">
        <v>0</v>
      </c>
    </row>
    <row r="12">
      <c r="A12" s="23" t="s">
        <v>104</v>
      </c>
      <c r="B12" s="23" t="s">
        <v>105</v>
      </c>
      <c r="C12" s="24" t="s">
        <v>106</v>
      </c>
      <c r="D12" s="25" t="b">
        <v>1</v>
      </c>
      <c r="E12" s="5" t="s">
        <v>107</v>
      </c>
    </row>
    <row r="13">
      <c r="A13" s="23" t="s">
        <v>108</v>
      </c>
      <c r="B13" s="23" t="s">
        <v>109</v>
      </c>
      <c r="C13" s="24" t="s">
        <v>110</v>
      </c>
      <c r="D13" s="25" t="b">
        <v>0</v>
      </c>
    </row>
    <row r="14">
      <c r="A14" s="23" t="s">
        <v>111</v>
      </c>
      <c r="B14" s="23" t="s">
        <v>112</v>
      </c>
      <c r="C14" s="24" t="s">
        <v>113</v>
      </c>
      <c r="D14" s="25" t="b">
        <v>0</v>
      </c>
      <c r="E14" s="5" t="s">
        <v>114</v>
      </c>
    </row>
    <row r="15">
      <c r="A15" s="23" t="s">
        <v>115</v>
      </c>
      <c r="B15" s="23" t="s">
        <v>116</v>
      </c>
      <c r="C15" s="24" t="s">
        <v>117</v>
      </c>
      <c r="D15" s="25" t="b">
        <v>1</v>
      </c>
    </row>
    <row r="16">
      <c r="A16" s="23" t="s">
        <v>118</v>
      </c>
      <c r="B16" s="23" t="s">
        <v>119</v>
      </c>
      <c r="C16" s="24" t="s">
        <v>120</v>
      </c>
      <c r="D16" s="25" t="b">
        <v>0</v>
      </c>
    </row>
    <row r="17">
      <c r="A17" s="23" t="s">
        <v>81</v>
      </c>
      <c r="B17" s="23" t="s">
        <v>121</v>
      </c>
      <c r="C17" s="24" t="s">
        <v>122</v>
      </c>
      <c r="D17" s="25" t="b">
        <v>1</v>
      </c>
    </row>
    <row r="18">
      <c r="A18" s="23" t="s">
        <v>111</v>
      </c>
      <c r="B18" s="23" t="s">
        <v>123</v>
      </c>
      <c r="C18" s="24" t="s">
        <v>124</v>
      </c>
      <c r="D18" s="25" t="b">
        <v>1</v>
      </c>
    </row>
    <row r="19">
      <c r="A19" s="23" t="s">
        <v>125</v>
      </c>
      <c r="B19" s="23" t="s">
        <v>126</v>
      </c>
      <c r="C19" s="24" t="s">
        <v>127</v>
      </c>
      <c r="D19" s="25" t="b">
        <v>1</v>
      </c>
    </row>
    <row r="20">
      <c r="A20" s="23" t="s">
        <v>128</v>
      </c>
      <c r="B20" s="23" t="s">
        <v>129</v>
      </c>
      <c r="C20" s="24" t="s">
        <v>130</v>
      </c>
      <c r="D20" s="25" t="b">
        <v>1</v>
      </c>
    </row>
    <row r="21">
      <c r="A21" s="23" t="s">
        <v>131</v>
      </c>
      <c r="B21" s="23" t="s">
        <v>132</v>
      </c>
      <c r="C21" s="24" t="s">
        <v>133</v>
      </c>
      <c r="D21" s="25" t="b">
        <v>0</v>
      </c>
    </row>
    <row r="22">
      <c r="A22" s="23" t="s">
        <v>118</v>
      </c>
      <c r="B22" s="23" t="s">
        <v>134</v>
      </c>
      <c r="C22" s="24" t="s">
        <v>135</v>
      </c>
      <c r="D22" s="25" t="b">
        <v>0</v>
      </c>
    </row>
    <row r="23">
      <c r="A23" s="23" t="s">
        <v>97</v>
      </c>
      <c r="B23" s="23" t="s">
        <v>136</v>
      </c>
      <c r="C23" s="24" t="s">
        <v>137</v>
      </c>
      <c r="D23" s="25" t="b">
        <v>0</v>
      </c>
    </row>
    <row r="24">
      <c r="A24" s="23" t="s">
        <v>138</v>
      </c>
      <c r="B24" s="23" t="s">
        <v>139</v>
      </c>
      <c r="C24" s="24" t="s">
        <v>140</v>
      </c>
      <c r="D24" s="25" t="b">
        <v>0</v>
      </c>
    </row>
    <row r="25">
      <c r="A25" s="23" t="s">
        <v>141</v>
      </c>
      <c r="B25" s="23" t="s">
        <v>142</v>
      </c>
      <c r="C25" s="24" t="s">
        <v>143</v>
      </c>
      <c r="D25" s="25" t="b">
        <v>1</v>
      </c>
    </row>
    <row r="26">
      <c r="A26" s="23" t="s">
        <v>144</v>
      </c>
      <c r="B26" s="23" t="s">
        <v>145</v>
      </c>
      <c r="C26" s="24" t="s">
        <v>146</v>
      </c>
      <c r="D26" s="25" t="b">
        <v>0</v>
      </c>
    </row>
    <row r="27">
      <c r="A27" s="23" t="s">
        <v>147</v>
      </c>
      <c r="B27" s="23" t="s">
        <v>148</v>
      </c>
      <c r="C27" s="24" t="s">
        <v>149</v>
      </c>
      <c r="D27" s="25" t="b">
        <v>1</v>
      </c>
    </row>
    <row r="28">
      <c r="A28" s="23" t="s">
        <v>150</v>
      </c>
      <c r="B28" s="23" t="s">
        <v>151</v>
      </c>
      <c r="C28" s="24" t="s">
        <v>152</v>
      </c>
      <c r="D28" s="25" t="b">
        <v>1</v>
      </c>
      <c r="E28" s="5" t="s">
        <v>153</v>
      </c>
    </row>
    <row r="29">
      <c r="A29" s="23" t="s">
        <v>144</v>
      </c>
      <c r="B29" s="23" t="s">
        <v>154</v>
      </c>
      <c r="C29" s="24" t="s">
        <v>155</v>
      </c>
      <c r="D29" s="25" t="b">
        <v>0</v>
      </c>
    </row>
    <row r="30">
      <c r="A30" s="23" t="s">
        <v>156</v>
      </c>
      <c r="B30" s="23" t="s">
        <v>157</v>
      </c>
      <c r="C30" s="24" t="s">
        <v>158</v>
      </c>
      <c r="D30" s="25" t="b">
        <v>0</v>
      </c>
    </row>
    <row r="31">
      <c r="A31" s="23" t="s">
        <v>159</v>
      </c>
      <c r="B31" s="23" t="s">
        <v>160</v>
      </c>
      <c r="C31" s="24" t="s">
        <v>161</v>
      </c>
      <c r="D31" s="25" t="b">
        <v>1</v>
      </c>
    </row>
    <row r="32">
      <c r="A32" s="23" t="s">
        <v>162</v>
      </c>
      <c r="B32" s="23" t="s">
        <v>163</v>
      </c>
      <c r="C32" s="24" t="s">
        <v>164</v>
      </c>
      <c r="D32" s="25" t="b">
        <v>0</v>
      </c>
      <c r="E32" s="5" t="s">
        <v>165</v>
      </c>
    </row>
    <row r="33">
      <c r="A33" s="23" t="s">
        <v>166</v>
      </c>
      <c r="B33" s="23" t="s">
        <v>167</v>
      </c>
      <c r="C33" s="24" t="s">
        <v>168</v>
      </c>
      <c r="D33" s="25" t="b">
        <v>1</v>
      </c>
    </row>
    <row r="34">
      <c r="A34" s="23" t="s">
        <v>169</v>
      </c>
      <c r="B34" s="23" t="s">
        <v>170</v>
      </c>
      <c r="C34" s="24" t="s">
        <v>171</v>
      </c>
      <c r="D34" s="25" t="b">
        <v>0</v>
      </c>
    </row>
    <row r="35">
      <c r="A35" s="23" t="s">
        <v>172</v>
      </c>
      <c r="B35" s="23" t="s">
        <v>173</v>
      </c>
      <c r="C35" s="24" t="s">
        <v>174</v>
      </c>
      <c r="D35" s="25" t="b">
        <v>0</v>
      </c>
      <c r="E35" s="5" t="s">
        <v>175</v>
      </c>
    </row>
    <row r="36">
      <c r="A36" s="23" t="s">
        <v>176</v>
      </c>
      <c r="B36" s="23" t="s">
        <v>177</v>
      </c>
      <c r="C36" s="24" t="s">
        <v>178</v>
      </c>
      <c r="D36" s="25" t="b">
        <v>1</v>
      </c>
    </row>
    <row r="37">
      <c r="A37" s="23" t="s">
        <v>147</v>
      </c>
      <c r="B37" s="23" t="s">
        <v>179</v>
      </c>
      <c r="C37" s="24" t="s">
        <v>180</v>
      </c>
      <c r="D37" s="25" t="b">
        <v>1</v>
      </c>
    </row>
    <row r="38">
      <c r="A38" s="23" t="s">
        <v>131</v>
      </c>
      <c r="B38" s="23" t="s">
        <v>181</v>
      </c>
      <c r="C38" s="24" t="s">
        <v>182</v>
      </c>
      <c r="D38" s="25" t="b">
        <v>0</v>
      </c>
    </row>
    <row r="39">
      <c r="A39" s="23" t="s">
        <v>183</v>
      </c>
      <c r="B39" s="23" t="s">
        <v>184</v>
      </c>
      <c r="C39" s="24" t="s">
        <v>185</v>
      </c>
      <c r="D39" s="25" t="b">
        <v>0</v>
      </c>
    </row>
    <row r="40">
      <c r="A40" s="23" t="s">
        <v>186</v>
      </c>
      <c r="B40" s="23" t="s">
        <v>187</v>
      </c>
      <c r="C40" s="24" t="s">
        <v>188</v>
      </c>
      <c r="D40" s="25" t="b">
        <v>0</v>
      </c>
    </row>
    <row r="41">
      <c r="A41" s="23" t="s">
        <v>144</v>
      </c>
      <c r="B41" s="23" t="s">
        <v>189</v>
      </c>
      <c r="C41" s="24" t="s">
        <v>190</v>
      </c>
      <c r="D41" s="25" t="b">
        <v>0</v>
      </c>
    </row>
    <row r="42">
      <c r="A42" s="23" t="s">
        <v>115</v>
      </c>
      <c r="B42" s="23" t="s">
        <v>191</v>
      </c>
      <c r="C42" s="24" t="s">
        <v>192</v>
      </c>
      <c r="D42" s="25" t="b">
        <v>1</v>
      </c>
      <c r="E42" s="5" t="s">
        <v>165</v>
      </c>
    </row>
    <row r="43">
      <c r="A43" s="23" t="s">
        <v>193</v>
      </c>
      <c r="B43" s="23" t="s">
        <v>194</v>
      </c>
      <c r="C43" s="24" t="s">
        <v>195</v>
      </c>
      <c r="D43" s="25" t="b">
        <v>0</v>
      </c>
    </row>
    <row r="44">
      <c r="A44" s="23" t="s">
        <v>144</v>
      </c>
      <c r="B44" s="23" t="s">
        <v>196</v>
      </c>
      <c r="C44" s="24" t="s">
        <v>197</v>
      </c>
      <c r="D44" s="25" t="b">
        <v>0</v>
      </c>
    </row>
    <row r="45">
      <c r="A45" s="23" t="s">
        <v>144</v>
      </c>
      <c r="B45" s="23" t="s">
        <v>198</v>
      </c>
      <c r="C45" s="24" t="s">
        <v>199</v>
      </c>
      <c r="D45" s="25" t="b">
        <v>0</v>
      </c>
    </row>
    <row r="46">
      <c r="A46" s="23" t="s">
        <v>200</v>
      </c>
      <c r="B46" s="23" t="s">
        <v>201</v>
      </c>
      <c r="C46" s="24" t="s">
        <v>202</v>
      </c>
      <c r="D46" s="25" t="b">
        <v>1</v>
      </c>
    </row>
    <row r="47">
      <c r="A47" s="23" t="s">
        <v>203</v>
      </c>
      <c r="B47" s="23" t="s">
        <v>204</v>
      </c>
      <c r="C47" s="24" t="s">
        <v>205</v>
      </c>
      <c r="D47" s="25" t="b">
        <v>1</v>
      </c>
    </row>
    <row r="48">
      <c r="A48" s="23" t="s">
        <v>206</v>
      </c>
      <c r="B48" s="23" t="s">
        <v>207</v>
      </c>
      <c r="C48" s="24" t="s">
        <v>208</v>
      </c>
      <c r="D48" s="25" t="b">
        <v>0</v>
      </c>
    </row>
    <row r="49">
      <c r="A49" s="23" t="s">
        <v>176</v>
      </c>
      <c r="B49" s="23" t="s">
        <v>209</v>
      </c>
      <c r="C49" s="24" t="s">
        <v>210</v>
      </c>
      <c r="D49" s="25" t="b">
        <v>0</v>
      </c>
    </row>
    <row r="50">
      <c r="A50" s="23" t="s">
        <v>211</v>
      </c>
      <c r="B50" s="23" t="s">
        <v>212</v>
      </c>
      <c r="C50" s="24" t="s">
        <v>213</v>
      </c>
      <c r="D50" s="25" t="b">
        <v>0</v>
      </c>
      <c r="E50" s="5" t="s">
        <v>214</v>
      </c>
    </row>
    <row r="51">
      <c r="A51" s="23" t="s">
        <v>215</v>
      </c>
      <c r="B51" s="23" t="s">
        <v>216</v>
      </c>
      <c r="C51" s="24" t="s">
        <v>217</v>
      </c>
      <c r="D51" s="25" t="b">
        <v>1</v>
      </c>
    </row>
    <row r="52">
      <c r="A52" s="23" t="s">
        <v>218</v>
      </c>
      <c r="B52" s="23" t="s">
        <v>219</v>
      </c>
      <c r="C52" s="24" t="s">
        <v>220</v>
      </c>
      <c r="D52" s="25" t="b">
        <v>0</v>
      </c>
    </row>
    <row r="53">
      <c r="A53" s="23" t="s">
        <v>221</v>
      </c>
      <c r="B53" s="23" t="s">
        <v>222</v>
      </c>
      <c r="C53" s="24" t="s">
        <v>223</v>
      </c>
      <c r="D53" s="25" t="b">
        <v>0</v>
      </c>
    </row>
    <row r="54">
      <c r="A54" s="23" t="s">
        <v>224</v>
      </c>
      <c r="B54" s="23" t="s">
        <v>225</v>
      </c>
      <c r="C54" s="24" t="s">
        <v>226</v>
      </c>
      <c r="D54" s="25" t="b">
        <v>0</v>
      </c>
    </row>
    <row r="55">
      <c r="A55" s="23" t="s">
        <v>186</v>
      </c>
      <c r="B55" s="23" t="s">
        <v>227</v>
      </c>
      <c r="C55" s="24" t="s">
        <v>228</v>
      </c>
      <c r="D55" s="25" t="b">
        <v>0</v>
      </c>
    </row>
    <row r="56">
      <c r="A56" s="23" t="s">
        <v>229</v>
      </c>
      <c r="B56" s="23" t="s">
        <v>230</v>
      </c>
      <c r="C56" s="24" t="s">
        <v>231</v>
      </c>
      <c r="D56" s="25" t="b">
        <v>1</v>
      </c>
    </row>
    <row r="57">
      <c r="A57" s="23" t="s">
        <v>128</v>
      </c>
      <c r="B57" s="23" t="s">
        <v>232</v>
      </c>
      <c r="C57" s="24" t="s">
        <v>233</v>
      </c>
      <c r="D57" s="25" t="b">
        <v>1</v>
      </c>
    </row>
    <row r="58">
      <c r="A58" s="23" t="s">
        <v>128</v>
      </c>
      <c r="B58" s="23" t="s">
        <v>234</v>
      </c>
      <c r="C58" s="24" t="s">
        <v>235</v>
      </c>
      <c r="D58" s="25" t="b">
        <v>1</v>
      </c>
    </row>
    <row r="59">
      <c r="A59" s="23" t="s">
        <v>236</v>
      </c>
      <c r="B59" s="23" t="s">
        <v>237</v>
      </c>
      <c r="C59" s="24" t="s">
        <v>238</v>
      </c>
      <c r="D59" s="25" t="b">
        <v>1</v>
      </c>
      <c r="E59" s="5" t="s">
        <v>239</v>
      </c>
    </row>
    <row r="60">
      <c r="A60" s="23" t="s">
        <v>203</v>
      </c>
      <c r="B60" s="23" t="s">
        <v>240</v>
      </c>
      <c r="C60" s="24" t="s">
        <v>241</v>
      </c>
      <c r="D60" s="25" t="b">
        <v>1</v>
      </c>
    </row>
    <row r="61">
      <c r="A61" s="23" t="s">
        <v>242</v>
      </c>
      <c r="B61" s="23" t="s">
        <v>243</v>
      </c>
      <c r="C61" s="24" t="s">
        <v>244</v>
      </c>
      <c r="D61" s="25" t="b">
        <v>0</v>
      </c>
    </row>
    <row r="62">
      <c r="A62" s="23" t="s">
        <v>144</v>
      </c>
      <c r="B62" s="23" t="s">
        <v>245</v>
      </c>
      <c r="C62" s="24" t="s">
        <v>246</v>
      </c>
      <c r="D62" s="25" t="b">
        <v>0</v>
      </c>
    </row>
    <row r="63">
      <c r="A63" s="23" t="s">
        <v>247</v>
      </c>
      <c r="B63" s="23" t="s">
        <v>248</v>
      </c>
      <c r="C63" s="24" t="s">
        <v>249</v>
      </c>
      <c r="D63" s="25" t="b">
        <v>0</v>
      </c>
    </row>
    <row r="64">
      <c r="A64" s="23" t="s">
        <v>250</v>
      </c>
      <c r="B64" s="23" t="s">
        <v>251</v>
      </c>
      <c r="C64" s="24" t="s">
        <v>252</v>
      </c>
      <c r="D64" s="25" t="b">
        <v>0</v>
      </c>
    </row>
    <row r="65">
      <c r="A65" s="23" t="s">
        <v>253</v>
      </c>
      <c r="B65" s="23" t="s">
        <v>254</v>
      </c>
      <c r="C65" s="24" t="s">
        <v>255</v>
      </c>
      <c r="D65" s="25" t="b">
        <v>0</v>
      </c>
    </row>
    <row r="66">
      <c r="A66" s="23" t="s">
        <v>256</v>
      </c>
      <c r="B66" s="23" t="s">
        <v>257</v>
      </c>
      <c r="C66" s="24" t="s">
        <v>258</v>
      </c>
      <c r="D66" s="25" t="b">
        <v>1</v>
      </c>
    </row>
    <row r="67">
      <c r="A67" s="23" t="s">
        <v>111</v>
      </c>
      <c r="B67" s="23" t="s">
        <v>259</v>
      </c>
      <c r="C67" s="24" t="s">
        <v>260</v>
      </c>
      <c r="D67" s="25" t="b">
        <v>0</v>
      </c>
    </row>
    <row r="68">
      <c r="A68" s="23" t="s">
        <v>144</v>
      </c>
      <c r="B68" s="23" t="s">
        <v>261</v>
      </c>
      <c r="C68" s="24" t="s">
        <v>262</v>
      </c>
      <c r="D68" s="25" t="b">
        <v>0</v>
      </c>
    </row>
    <row r="69">
      <c r="A69" s="23" t="s">
        <v>144</v>
      </c>
      <c r="B69" s="23" t="s">
        <v>263</v>
      </c>
      <c r="C69" s="24" t="s">
        <v>264</v>
      </c>
      <c r="D69" s="25" t="b">
        <v>0</v>
      </c>
    </row>
    <row r="70">
      <c r="A70" s="23" t="s">
        <v>265</v>
      </c>
      <c r="B70" s="23" t="s">
        <v>266</v>
      </c>
      <c r="C70" s="24" t="s">
        <v>267</v>
      </c>
      <c r="D70" s="25" t="b">
        <v>1</v>
      </c>
    </row>
    <row r="71">
      <c r="A71" s="23" t="s">
        <v>268</v>
      </c>
      <c r="B71" s="23" t="s">
        <v>269</v>
      </c>
      <c r="C71" s="24" t="s">
        <v>270</v>
      </c>
      <c r="D71" s="25" t="b">
        <v>1</v>
      </c>
    </row>
    <row r="72">
      <c r="A72" s="23" t="s">
        <v>144</v>
      </c>
      <c r="B72" s="23" t="s">
        <v>271</v>
      </c>
      <c r="C72" s="24" t="s">
        <v>272</v>
      </c>
      <c r="D72" s="25" t="b">
        <v>0</v>
      </c>
    </row>
    <row r="73">
      <c r="A73" s="23" t="s">
        <v>273</v>
      </c>
      <c r="B73" s="23" t="s">
        <v>274</v>
      </c>
      <c r="C73" s="24" t="s">
        <v>275</v>
      </c>
      <c r="D73" s="25" t="b">
        <v>1</v>
      </c>
    </row>
    <row r="74">
      <c r="A74" s="23" t="s">
        <v>97</v>
      </c>
      <c r="B74" s="23" t="s">
        <v>276</v>
      </c>
      <c r="C74" s="24" t="s">
        <v>277</v>
      </c>
      <c r="D74" s="25" t="b">
        <v>1</v>
      </c>
    </row>
    <row r="75">
      <c r="A75" s="23" t="s">
        <v>221</v>
      </c>
      <c r="B75" s="23" t="s">
        <v>278</v>
      </c>
      <c r="C75" s="24" t="s">
        <v>279</v>
      </c>
      <c r="D75" s="25" t="b">
        <v>1</v>
      </c>
    </row>
    <row r="76">
      <c r="A76" s="23" t="s">
        <v>273</v>
      </c>
      <c r="B76" s="23" t="s">
        <v>280</v>
      </c>
      <c r="C76" s="24" t="s">
        <v>281</v>
      </c>
      <c r="D76" s="25" t="b">
        <v>0</v>
      </c>
    </row>
    <row r="77">
      <c r="A77" s="23" t="s">
        <v>282</v>
      </c>
      <c r="B77" s="23" t="s">
        <v>283</v>
      </c>
      <c r="C77" s="24" t="s">
        <v>284</v>
      </c>
      <c r="D77" s="25" t="b">
        <v>0</v>
      </c>
    </row>
    <row r="78">
      <c r="A78" s="23" t="s">
        <v>169</v>
      </c>
      <c r="B78" s="23" t="s">
        <v>285</v>
      </c>
      <c r="C78" s="24" t="s">
        <v>286</v>
      </c>
      <c r="D78" s="25" t="b">
        <v>1</v>
      </c>
    </row>
    <row r="79">
      <c r="A79" s="23" t="s">
        <v>166</v>
      </c>
      <c r="B79" s="23" t="s">
        <v>287</v>
      </c>
      <c r="C79" s="24" t="s">
        <v>288</v>
      </c>
      <c r="D79" s="25" t="b">
        <v>1</v>
      </c>
    </row>
    <row r="80">
      <c r="A80" s="23" t="s">
        <v>289</v>
      </c>
      <c r="B80" s="23" t="s">
        <v>290</v>
      </c>
      <c r="C80" s="24" t="s">
        <v>291</v>
      </c>
      <c r="D80" s="25" t="b">
        <v>1</v>
      </c>
    </row>
    <row r="81">
      <c r="A81" s="23" t="s">
        <v>256</v>
      </c>
      <c r="B81" s="23" t="s">
        <v>292</v>
      </c>
      <c r="C81" s="24" t="s">
        <v>293</v>
      </c>
      <c r="D81" s="25" t="b">
        <v>0</v>
      </c>
    </row>
    <row r="82">
      <c r="A82" s="23" t="s">
        <v>147</v>
      </c>
      <c r="B82" s="23" t="s">
        <v>294</v>
      </c>
      <c r="C82" s="24" t="s">
        <v>295</v>
      </c>
      <c r="D82" s="25" t="b">
        <v>1</v>
      </c>
    </row>
    <row r="83">
      <c r="A83" s="23" t="s">
        <v>296</v>
      </c>
      <c r="B83" s="23" t="s">
        <v>297</v>
      </c>
      <c r="C83" s="24" t="s">
        <v>298</v>
      </c>
      <c r="D83" s="25" t="b">
        <v>0</v>
      </c>
    </row>
    <row r="84">
      <c r="A84" s="23" t="s">
        <v>128</v>
      </c>
      <c r="B84" s="23" t="s">
        <v>299</v>
      </c>
      <c r="C84" s="24" t="s">
        <v>300</v>
      </c>
      <c r="D84" s="25" t="b">
        <v>1</v>
      </c>
    </row>
    <row r="85">
      <c r="A85" s="23" t="s">
        <v>301</v>
      </c>
      <c r="B85" s="23" t="s">
        <v>302</v>
      </c>
      <c r="C85" s="24" t="s">
        <v>303</v>
      </c>
      <c r="D85" s="25" t="b">
        <v>1</v>
      </c>
    </row>
    <row r="86">
      <c r="A86" s="23" t="s">
        <v>304</v>
      </c>
      <c r="B86" s="23" t="s">
        <v>305</v>
      </c>
      <c r="C86" s="24" t="s">
        <v>306</v>
      </c>
      <c r="D86" s="25" t="b">
        <v>0</v>
      </c>
    </row>
    <row r="87">
      <c r="A87" s="23" t="s">
        <v>250</v>
      </c>
      <c r="B87" s="23" t="s">
        <v>307</v>
      </c>
      <c r="C87" s="24" t="s">
        <v>308</v>
      </c>
      <c r="D87" s="25" t="b">
        <v>0</v>
      </c>
    </row>
    <row r="88">
      <c r="A88" s="23" t="s">
        <v>89</v>
      </c>
      <c r="B88" s="23" t="s">
        <v>309</v>
      </c>
      <c r="C88" s="24" t="s">
        <v>310</v>
      </c>
      <c r="D88" s="25" t="b">
        <v>1</v>
      </c>
    </row>
    <row r="89">
      <c r="A89" s="23" t="s">
        <v>128</v>
      </c>
      <c r="B89" s="23" t="s">
        <v>311</v>
      </c>
      <c r="C89" s="24" t="s">
        <v>312</v>
      </c>
      <c r="D89" s="25" t="b">
        <v>0</v>
      </c>
      <c r="E89" s="5" t="s">
        <v>313</v>
      </c>
    </row>
    <row r="90">
      <c r="A90" s="23" t="s">
        <v>314</v>
      </c>
      <c r="B90" s="23" t="s">
        <v>315</v>
      </c>
      <c r="C90" s="24" t="s">
        <v>316</v>
      </c>
      <c r="D90" s="25" t="b">
        <v>1</v>
      </c>
    </row>
    <row r="91">
      <c r="A91" s="23" t="s">
        <v>317</v>
      </c>
      <c r="B91" s="23" t="s">
        <v>318</v>
      </c>
      <c r="C91" s="24" t="s">
        <v>319</v>
      </c>
      <c r="D91" s="25" t="b">
        <v>1</v>
      </c>
    </row>
    <row r="92">
      <c r="A92" s="23" t="s">
        <v>111</v>
      </c>
      <c r="B92" s="23" t="s">
        <v>320</v>
      </c>
      <c r="C92" s="24" t="s">
        <v>321</v>
      </c>
      <c r="D92" s="25" t="b">
        <v>0</v>
      </c>
    </row>
    <row r="93">
      <c r="A93" s="23" t="s">
        <v>97</v>
      </c>
      <c r="B93" s="23" t="s">
        <v>322</v>
      </c>
      <c r="C93" s="24" t="s">
        <v>323</v>
      </c>
      <c r="D93" s="25" t="b">
        <v>0</v>
      </c>
    </row>
    <row r="94">
      <c r="A94" s="23" t="s">
        <v>253</v>
      </c>
      <c r="B94" s="23" t="s">
        <v>324</v>
      </c>
      <c r="C94" s="24" t="s">
        <v>325</v>
      </c>
      <c r="D94" s="25" t="b">
        <v>0</v>
      </c>
    </row>
    <row r="95">
      <c r="A95" s="23" t="s">
        <v>81</v>
      </c>
      <c r="B95" s="23" t="s">
        <v>326</v>
      </c>
      <c r="C95" s="24" t="s">
        <v>327</v>
      </c>
      <c r="D95" s="25" t="b">
        <v>0</v>
      </c>
      <c r="E95" s="5" t="s">
        <v>328</v>
      </c>
    </row>
    <row r="96">
      <c r="A96" s="23" t="s">
        <v>250</v>
      </c>
      <c r="B96" s="23" t="s">
        <v>329</v>
      </c>
      <c r="C96" s="24" t="s">
        <v>330</v>
      </c>
      <c r="D96" s="25" t="b">
        <v>0</v>
      </c>
    </row>
    <row r="97">
      <c r="A97" s="23" t="s">
        <v>304</v>
      </c>
      <c r="B97" s="23" t="s">
        <v>331</v>
      </c>
      <c r="C97" s="24" t="s">
        <v>332</v>
      </c>
      <c r="D97" s="25" t="b">
        <v>1</v>
      </c>
    </row>
    <row r="98">
      <c r="A98" s="23" t="s">
        <v>128</v>
      </c>
      <c r="B98" s="23" t="s">
        <v>333</v>
      </c>
      <c r="C98" s="24" t="s">
        <v>334</v>
      </c>
      <c r="D98" s="25" t="b">
        <v>1</v>
      </c>
    </row>
    <row r="99">
      <c r="A99" s="23" t="s">
        <v>111</v>
      </c>
      <c r="B99" s="23" t="s">
        <v>335</v>
      </c>
      <c r="C99" s="24" t="s">
        <v>336</v>
      </c>
      <c r="D99" s="25" t="b">
        <v>1</v>
      </c>
    </row>
    <row r="100">
      <c r="A100" s="23" t="s">
        <v>215</v>
      </c>
      <c r="B100" s="23" t="s">
        <v>337</v>
      </c>
      <c r="C100" s="24" t="s">
        <v>338</v>
      </c>
      <c r="D100" s="25" t="b">
        <v>1</v>
      </c>
    </row>
    <row r="101">
      <c r="A101" s="23" t="s">
        <v>314</v>
      </c>
      <c r="B101" s="23" t="s">
        <v>339</v>
      </c>
      <c r="C101" s="24" t="s">
        <v>340</v>
      </c>
      <c r="D101" s="25" t="b">
        <v>1</v>
      </c>
    </row>
  </sheetData>
  <autoFilter ref="$A$1:$E$101"/>
  <dataValidations>
    <dataValidation type="list" allowBlank="1" showErrorMessage="1" sqref="D2:D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66</v>
      </c>
      <c r="B1" s="20" t="s">
        <v>67</v>
      </c>
      <c r="C1" s="21" t="s">
        <v>68</v>
      </c>
      <c r="D1" s="22" t="s">
        <v>69</v>
      </c>
      <c r="E1" s="15" t="s">
        <v>70</v>
      </c>
    </row>
    <row r="2">
      <c r="A2" s="23" t="s">
        <v>128</v>
      </c>
      <c r="B2" s="23" t="s">
        <v>333</v>
      </c>
      <c r="C2" s="24" t="s">
        <v>334</v>
      </c>
      <c r="D2" s="25" t="s">
        <v>341</v>
      </c>
    </row>
    <row r="3">
      <c r="A3" s="23" t="s">
        <v>144</v>
      </c>
      <c r="B3" s="23" t="s">
        <v>245</v>
      </c>
      <c r="C3" s="24" t="s">
        <v>246</v>
      </c>
      <c r="D3" s="25" t="s">
        <v>341</v>
      </c>
    </row>
    <row r="4">
      <c r="A4" s="23" t="s">
        <v>85</v>
      </c>
      <c r="B4" s="23" t="s">
        <v>86</v>
      </c>
      <c r="C4" s="24" t="s">
        <v>87</v>
      </c>
      <c r="D4" s="25" t="s">
        <v>341</v>
      </c>
    </row>
    <row r="5">
      <c r="A5" s="23" t="s">
        <v>221</v>
      </c>
      <c r="B5" s="23" t="s">
        <v>222</v>
      </c>
      <c r="C5" s="24" t="s">
        <v>223</v>
      </c>
      <c r="D5" s="25" t="s">
        <v>341</v>
      </c>
    </row>
    <row r="6">
      <c r="A6" s="23" t="s">
        <v>128</v>
      </c>
      <c r="B6" s="23" t="s">
        <v>311</v>
      </c>
      <c r="C6" s="24" t="s">
        <v>312</v>
      </c>
      <c r="D6" s="25" t="s">
        <v>341</v>
      </c>
    </row>
    <row r="7">
      <c r="A7" s="23" t="s">
        <v>203</v>
      </c>
      <c r="B7" s="23" t="s">
        <v>204</v>
      </c>
      <c r="C7" s="24" t="s">
        <v>205</v>
      </c>
      <c r="D7" s="25" t="s">
        <v>341</v>
      </c>
    </row>
    <row r="8">
      <c r="A8" s="23" t="s">
        <v>224</v>
      </c>
      <c r="B8" s="23" t="s">
        <v>225</v>
      </c>
      <c r="C8" s="24" t="s">
        <v>226</v>
      </c>
      <c r="D8" s="25" t="s">
        <v>341</v>
      </c>
    </row>
    <row r="9">
      <c r="A9" s="23" t="s">
        <v>111</v>
      </c>
      <c r="B9" s="23" t="s">
        <v>123</v>
      </c>
      <c r="C9" s="24" t="s">
        <v>124</v>
      </c>
      <c r="D9" s="25" t="s">
        <v>341</v>
      </c>
    </row>
    <row r="10">
      <c r="A10" s="23" t="s">
        <v>92</v>
      </c>
      <c r="B10" s="23" t="s">
        <v>93</v>
      </c>
      <c r="C10" s="24" t="s">
        <v>94</v>
      </c>
      <c r="D10" s="25" t="s">
        <v>341</v>
      </c>
    </row>
    <row r="11">
      <c r="A11" s="23" t="s">
        <v>111</v>
      </c>
      <c r="B11" s="23" t="s">
        <v>259</v>
      </c>
      <c r="C11" s="24" t="s">
        <v>260</v>
      </c>
      <c r="D11" s="25" t="s">
        <v>341</v>
      </c>
    </row>
    <row r="12">
      <c r="A12" s="23" t="s">
        <v>250</v>
      </c>
      <c r="B12" s="23" t="s">
        <v>329</v>
      </c>
      <c r="C12" s="24" t="s">
        <v>330</v>
      </c>
      <c r="D12" s="25" t="s">
        <v>341</v>
      </c>
    </row>
    <row r="13">
      <c r="A13" s="23" t="s">
        <v>273</v>
      </c>
      <c r="B13" s="23" t="s">
        <v>280</v>
      </c>
      <c r="C13" s="24" t="s">
        <v>281</v>
      </c>
      <c r="D13" s="25" t="s">
        <v>341</v>
      </c>
    </row>
    <row r="14">
      <c r="A14" s="23" t="s">
        <v>115</v>
      </c>
      <c r="B14" s="23" t="s">
        <v>116</v>
      </c>
      <c r="C14" s="24" t="s">
        <v>117</v>
      </c>
      <c r="D14" s="25" t="s">
        <v>341</v>
      </c>
    </row>
    <row r="15">
      <c r="A15" s="23" t="s">
        <v>211</v>
      </c>
      <c r="B15" s="23" t="s">
        <v>212</v>
      </c>
      <c r="C15" s="24" t="s">
        <v>213</v>
      </c>
      <c r="D15" s="25" t="s">
        <v>341</v>
      </c>
    </row>
    <row r="16">
      <c r="A16" s="23" t="s">
        <v>111</v>
      </c>
      <c r="B16" s="23" t="s">
        <v>335</v>
      </c>
      <c r="C16" s="24" t="s">
        <v>336</v>
      </c>
      <c r="D16" s="25" t="s">
        <v>341</v>
      </c>
    </row>
    <row r="17">
      <c r="A17" s="23" t="s">
        <v>236</v>
      </c>
      <c r="B17" s="23" t="s">
        <v>237</v>
      </c>
      <c r="C17" s="24" t="s">
        <v>238</v>
      </c>
      <c r="D17" s="25" t="s">
        <v>341</v>
      </c>
    </row>
    <row r="18">
      <c r="A18" s="23" t="s">
        <v>141</v>
      </c>
      <c r="B18" s="23" t="s">
        <v>142</v>
      </c>
      <c r="C18" s="24" t="s">
        <v>143</v>
      </c>
      <c r="D18" s="25" t="s">
        <v>341</v>
      </c>
    </row>
    <row r="19">
      <c r="A19" s="23" t="s">
        <v>159</v>
      </c>
      <c r="B19" s="23" t="s">
        <v>160</v>
      </c>
      <c r="C19" s="24" t="s">
        <v>161</v>
      </c>
      <c r="D19" s="25" t="s">
        <v>341</v>
      </c>
    </row>
    <row r="20">
      <c r="A20" s="23" t="s">
        <v>250</v>
      </c>
      <c r="B20" s="23" t="s">
        <v>307</v>
      </c>
      <c r="C20" s="24" t="s">
        <v>308</v>
      </c>
      <c r="D20" s="25" t="s">
        <v>341</v>
      </c>
    </row>
    <row r="21">
      <c r="A21" s="23" t="s">
        <v>144</v>
      </c>
      <c r="B21" s="23" t="s">
        <v>263</v>
      </c>
      <c r="C21" s="24" t="s">
        <v>264</v>
      </c>
      <c r="D21" s="25" t="s">
        <v>341</v>
      </c>
    </row>
    <row r="22">
      <c r="A22" s="23" t="s">
        <v>128</v>
      </c>
      <c r="B22" s="23" t="s">
        <v>234</v>
      </c>
      <c r="C22" s="24" t="s">
        <v>235</v>
      </c>
      <c r="D22" s="25" t="s">
        <v>341</v>
      </c>
    </row>
    <row r="23">
      <c r="A23" s="23" t="s">
        <v>169</v>
      </c>
      <c r="B23" s="23" t="s">
        <v>285</v>
      </c>
      <c r="C23" s="24" t="s">
        <v>286</v>
      </c>
      <c r="D23" s="25" t="s">
        <v>341</v>
      </c>
    </row>
    <row r="24">
      <c r="A24" s="23" t="s">
        <v>250</v>
      </c>
      <c r="B24" s="23" t="s">
        <v>251</v>
      </c>
      <c r="C24" s="24" t="s">
        <v>252</v>
      </c>
      <c r="D24" s="25" t="s">
        <v>341</v>
      </c>
    </row>
    <row r="25">
      <c r="A25" s="23" t="s">
        <v>147</v>
      </c>
      <c r="B25" s="23" t="s">
        <v>148</v>
      </c>
      <c r="C25" s="24" t="s">
        <v>149</v>
      </c>
      <c r="D25" s="25" t="s">
        <v>341</v>
      </c>
    </row>
    <row r="26">
      <c r="A26" s="23" t="s">
        <v>92</v>
      </c>
      <c r="B26" s="23" t="s">
        <v>95</v>
      </c>
      <c r="C26" s="24" t="s">
        <v>96</v>
      </c>
      <c r="D26" s="25" t="s">
        <v>341</v>
      </c>
    </row>
    <row r="27">
      <c r="A27" s="23" t="s">
        <v>89</v>
      </c>
      <c r="B27" s="23" t="s">
        <v>90</v>
      </c>
      <c r="C27" s="24" t="s">
        <v>91</v>
      </c>
      <c r="D27" s="25" t="s">
        <v>341</v>
      </c>
    </row>
    <row r="28">
      <c r="A28" s="23" t="s">
        <v>111</v>
      </c>
      <c r="B28" s="23" t="s">
        <v>112</v>
      </c>
      <c r="C28" s="24" t="s">
        <v>113</v>
      </c>
      <c r="D28" s="25" t="s">
        <v>341</v>
      </c>
    </row>
    <row r="29">
      <c r="A29" s="23" t="s">
        <v>242</v>
      </c>
      <c r="B29" s="23" t="s">
        <v>243</v>
      </c>
      <c r="C29" s="24" t="s">
        <v>244</v>
      </c>
      <c r="D29" s="25" t="s">
        <v>341</v>
      </c>
    </row>
    <row r="30">
      <c r="A30" s="23" t="s">
        <v>273</v>
      </c>
      <c r="B30" s="23" t="s">
        <v>274</v>
      </c>
      <c r="C30" s="24" t="s">
        <v>275</v>
      </c>
      <c r="D30" s="25" t="s">
        <v>341</v>
      </c>
    </row>
    <row r="31">
      <c r="A31" s="23" t="s">
        <v>89</v>
      </c>
      <c r="B31" s="23" t="s">
        <v>309</v>
      </c>
      <c r="C31" s="24" t="s">
        <v>310</v>
      </c>
      <c r="D31" s="25" t="s">
        <v>341</v>
      </c>
    </row>
    <row r="32">
      <c r="A32" s="23" t="s">
        <v>97</v>
      </c>
      <c r="B32" s="23" t="s">
        <v>322</v>
      </c>
      <c r="C32" s="24" t="s">
        <v>323</v>
      </c>
      <c r="D32" s="25" t="s">
        <v>341</v>
      </c>
    </row>
    <row r="33">
      <c r="A33" s="23" t="s">
        <v>200</v>
      </c>
      <c r="B33" s="23" t="s">
        <v>201</v>
      </c>
      <c r="C33" s="24" t="s">
        <v>202</v>
      </c>
      <c r="D33" s="25" t="s">
        <v>341</v>
      </c>
    </row>
    <row r="34">
      <c r="A34" s="23" t="s">
        <v>78</v>
      </c>
      <c r="B34" s="23" t="s">
        <v>79</v>
      </c>
      <c r="C34" s="24" t="s">
        <v>80</v>
      </c>
      <c r="D34" s="25" t="s">
        <v>341</v>
      </c>
    </row>
    <row r="35">
      <c r="A35" s="23" t="s">
        <v>131</v>
      </c>
      <c r="B35" s="23" t="s">
        <v>181</v>
      </c>
      <c r="C35" s="24" t="s">
        <v>182</v>
      </c>
      <c r="D35" s="25" t="s">
        <v>341</v>
      </c>
    </row>
    <row r="36">
      <c r="A36" s="23" t="s">
        <v>169</v>
      </c>
      <c r="B36" s="23" t="s">
        <v>170</v>
      </c>
      <c r="C36" s="24" t="s">
        <v>171</v>
      </c>
      <c r="D36" s="25" t="s">
        <v>341</v>
      </c>
    </row>
    <row r="37">
      <c r="A37" s="23" t="s">
        <v>253</v>
      </c>
      <c r="B37" s="23" t="s">
        <v>254</v>
      </c>
      <c r="C37" s="24" t="s">
        <v>255</v>
      </c>
      <c r="D37" s="25" t="s">
        <v>341</v>
      </c>
    </row>
    <row r="38">
      <c r="A38" s="23" t="s">
        <v>193</v>
      </c>
      <c r="B38" s="23" t="s">
        <v>194</v>
      </c>
      <c r="C38" s="24" t="s">
        <v>195</v>
      </c>
      <c r="D38" s="25" t="s">
        <v>341</v>
      </c>
    </row>
    <row r="39">
      <c r="A39" s="23" t="s">
        <v>147</v>
      </c>
      <c r="B39" s="23" t="s">
        <v>179</v>
      </c>
      <c r="C39" s="24" t="s">
        <v>180</v>
      </c>
      <c r="D39" s="25" t="s">
        <v>341</v>
      </c>
    </row>
    <row r="40">
      <c r="A40" s="23" t="s">
        <v>265</v>
      </c>
      <c r="B40" s="23" t="s">
        <v>266</v>
      </c>
      <c r="C40" s="24" t="s">
        <v>267</v>
      </c>
      <c r="D40" s="25" t="s">
        <v>341</v>
      </c>
    </row>
    <row r="41">
      <c r="A41" s="23" t="s">
        <v>147</v>
      </c>
      <c r="B41" s="23" t="s">
        <v>294</v>
      </c>
      <c r="C41" s="24" t="s">
        <v>295</v>
      </c>
      <c r="D41" s="25" t="s">
        <v>341</v>
      </c>
    </row>
    <row r="42">
      <c r="A42" s="23" t="s">
        <v>203</v>
      </c>
      <c r="B42" s="23" t="s">
        <v>240</v>
      </c>
      <c r="C42" s="24" t="s">
        <v>241</v>
      </c>
      <c r="D42" s="25" t="s">
        <v>341</v>
      </c>
    </row>
    <row r="43">
      <c r="A43" s="23" t="s">
        <v>97</v>
      </c>
      <c r="B43" s="23" t="s">
        <v>276</v>
      </c>
      <c r="C43" s="24" t="s">
        <v>277</v>
      </c>
      <c r="D43" s="25" t="s">
        <v>341</v>
      </c>
    </row>
    <row r="44">
      <c r="A44" s="23" t="s">
        <v>81</v>
      </c>
      <c r="B44" s="23" t="s">
        <v>326</v>
      </c>
      <c r="C44" s="24" t="s">
        <v>327</v>
      </c>
      <c r="D44" s="25" t="s">
        <v>341</v>
      </c>
    </row>
    <row r="45">
      <c r="A45" s="23" t="s">
        <v>186</v>
      </c>
      <c r="B45" s="23" t="s">
        <v>227</v>
      </c>
      <c r="C45" s="24" t="s">
        <v>228</v>
      </c>
      <c r="D45" s="25" t="s">
        <v>341</v>
      </c>
    </row>
    <row r="46">
      <c r="A46" s="23" t="s">
        <v>176</v>
      </c>
      <c r="B46" s="23" t="s">
        <v>177</v>
      </c>
      <c r="C46" s="24" t="s">
        <v>178</v>
      </c>
      <c r="D46" s="25" t="s">
        <v>341</v>
      </c>
    </row>
    <row r="47">
      <c r="A47" s="23" t="s">
        <v>317</v>
      </c>
      <c r="B47" s="23" t="s">
        <v>318</v>
      </c>
      <c r="C47" s="24" t="s">
        <v>319</v>
      </c>
      <c r="D47" s="25" t="s">
        <v>341</v>
      </c>
    </row>
    <row r="48">
      <c r="A48" s="23" t="s">
        <v>104</v>
      </c>
      <c r="B48" s="23" t="s">
        <v>105</v>
      </c>
      <c r="C48" s="24" t="s">
        <v>106</v>
      </c>
      <c r="D48" s="25" t="s">
        <v>341</v>
      </c>
    </row>
    <row r="49">
      <c r="A49" s="23" t="s">
        <v>71</v>
      </c>
      <c r="B49" s="23" t="s">
        <v>72</v>
      </c>
      <c r="C49" s="24" t="s">
        <v>73</v>
      </c>
      <c r="D49" s="25" t="s">
        <v>341</v>
      </c>
    </row>
    <row r="50">
      <c r="A50" s="23" t="s">
        <v>247</v>
      </c>
      <c r="B50" s="23" t="s">
        <v>248</v>
      </c>
      <c r="C50" s="24" t="s">
        <v>249</v>
      </c>
      <c r="D50" s="25" t="s">
        <v>341</v>
      </c>
    </row>
    <row r="51">
      <c r="A51" s="23" t="s">
        <v>81</v>
      </c>
      <c r="B51" s="23" t="s">
        <v>121</v>
      </c>
      <c r="C51" s="24" t="s">
        <v>122</v>
      </c>
      <c r="D51" s="25" t="s">
        <v>341</v>
      </c>
    </row>
    <row r="52">
      <c r="A52" s="23" t="s">
        <v>138</v>
      </c>
      <c r="B52" s="23" t="s">
        <v>139</v>
      </c>
      <c r="C52" s="24" t="s">
        <v>140</v>
      </c>
      <c r="D52" s="25" t="s">
        <v>341</v>
      </c>
    </row>
    <row r="53">
      <c r="A53" s="23" t="s">
        <v>221</v>
      </c>
      <c r="B53" s="23" t="s">
        <v>278</v>
      </c>
      <c r="C53" s="24" t="s">
        <v>279</v>
      </c>
      <c r="D53" s="25" t="s">
        <v>341</v>
      </c>
    </row>
    <row r="54">
      <c r="A54" s="23" t="s">
        <v>166</v>
      </c>
      <c r="B54" s="23" t="s">
        <v>167</v>
      </c>
      <c r="C54" s="24" t="s">
        <v>168</v>
      </c>
      <c r="D54" s="25" t="s">
        <v>341</v>
      </c>
    </row>
    <row r="55">
      <c r="A55" s="23" t="s">
        <v>304</v>
      </c>
      <c r="B55" s="23" t="s">
        <v>305</v>
      </c>
      <c r="C55" s="24" t="s">
        <v>306</v>
      </c>
      <c r="D55" s="25" t="s">
        <v>341</v>
      </c>
    </row>
    <row r="56">
      <c r="A56" s="23" t="s">
        <v>75</v>
      </c>
      <c r="B56" s="23" t="s">
        <v>76</v>
      </c>
      <c r="C56" s="24" t="s">
        <v>77</v>
      </c>
      <c r="D56" s="25" t="s">
        <v>341</v>
      </c>
    </row>
    <row r="57">
      <c r="A57" s="23" t="s">
        <v>144</v>
      </c>
      <c r="B57" s="23" t="s">
        <v>198</v>
      </c>
      <c r="C57" s="24" t="s">
        <v>199</v>
      </c>
      <c r="D57" s="25" t="s">
        <v>341</v>
      </c>
    </row>
    <row r="58">
      <c r="A58" s="23" t="s">
        <v>128</v>
      </c>
      <c r="B58" s="23" t="s">
        <v>232</v>
      </c>
      <c r="C58" s="24" t="s">
        <v>233</v>
      </c>
      <c r="D58" s="25" t="s">
        <v>341</v>
      </c>
    </row>
    <row r="59">
      <c r="A59" s="23" t="s">
        <v>253</v>
      </c>
      <c r="B59" s="23" t="s">
        <v>324</v>
      </c>
      <c r="C59" s="24" t="s">
        <v>325</v>
      </c>
      <c r="D59" s="25" t="s">
        <v>341</v>
      </c>
    </row>
    <row r="60">
      <c r="A60" s="23" t="s">
        <v>218</v>
      </c>
      <c r="B60" s="23" t="s">
        <v>219</v>
      </c>
      <c r="C60" s="24" t="s">
        <v>220</v>
      </c>
      <c r="D60" s="25" t="s">
        <v>341</v>
      </c>
    </row>
    <row r="61">
      <c r="A61" s="23" t="s">
        <v>97</v>
      </c>
      <c r="B61" s="23" t="s">
        <v>136</v>
      </c>
      <c r="C61" s="24" t="s">
        <v>137</v>
      </c>
      <c r="D61" s="25" t="s">
        <v>341</v>
      </c>
    </row>
    <row r="62">
      <c r="A62" s="23" t="s">
        <v>115</v>
      </c>
      <c r="B62" s="23" t="s">
        <v>191</v>
      </c>
      <c r="C62" s="24" t="s">
        <v>192</v>
      </c>
      <c r="D62" s="25" t="s">
        <v>341</v>
      </c>
    </row>
    <row r="63">
      <c r="A63" s="23" t="s">
        <v>314</v>
      </c>
      <c r="B63" s="23" t="s">
        <v>339</v>
      </c>
      <c r="C63" s="24" t="s">
        <v>340</v>
      </c>
      <c r="D63" s="25" t="s">
        <v>341</v>
      </c>
    </row>
    <row r="64">
      <c r="A64" s="23" t="s">
        <v>118</v>
      </c>
      <c r="B64" s="23" t="s">
        <v>119</v>
      </c>
      <c r="C64" s="24" t="s">
        <v>120</v>
      </c>
      <c r="D64" s="25" t="s">
        <v>341</v>
      </c>
    </row>
    <row r="65">
      <c r="A65" s="23" t="s">
        <v>314</v>
      </c>
      <c r="B65" s="23" t="s">
        <v>315</v>
      </c>
      <c r="C65" s="24" t="s">
        <v>316</v>
      </c>
      <c r="D65" s="25" t="s">
        <v>341</v>
      </c>
    </row>
    <row r="66">
      <c r="A66" s="23" t="s">
        <v>256</v>
      </c>
      <c r="B66" s="23" t="s">
        <v>257</v>
      </c>
      <c r="C66" s="24" t="s">
        <v>258</v>
      </c>
      <c r="D66" s="25" t="s">
        <v>341</v>
      </c>
    </row>
    <row r="67">
      <c r="A67" s="23" t="s">
        <v>97</v>
      </c>
      <c r="B67" s="23" t="s">
        <v>98</v>
      </c>
      <c r="C67" s="24" t="s">
        <v>99</v>
      </c>
      <c r="D67" s="25" t="s">
        <v>341</v>
      </c>
    </row>
    <row r="68">
      <c r="A68" s="23" t="s">
        <v>81</v>
      </c>
      <c r="B68" s="23" t="s">
        <v>82</v>
      </c>
      <c r="C68" s="24" t="s">
        <v>83</v>
      </c>
      <c r="D68" s="25" t="s">
        <v>341</v>
      </c>
    </row>
    <row r="69">
      <c r="A69" s="23" t="s">
        <v>282</v>
      </c>
      <c r="B69" s="23" t="s">
        <v>283</v>
      </c>
      <c r="C69" s="24" t="s">
        <v>284</v>
      </c>
      <c r="D69" s="25" t="s">
        <v>341</v>
      </c>
    </row>
    <row r="70">
      <c r="A70" s="23" t="s">
        <v>186</v>
      </c>
      <c r="B70" s="23" t="s">
        <v>187</v>
      </c>
      <c r="C70" s="24" t="s">
        <v>188</v>
      </c>
      <c r="D70" s="25" t="s">
        <v>341</v>
      </c>
    </row>
    <row r="71">
      <c r="A71" s="23" t="s">
        <v>162</v>
      </c>
      <c r="B71" s="23" t="s">
        <v>163</v>
      </c>
      <c r="C71" s="24" t="s">
        <v>164</v>
      </c>
      <c r="D71" s="25" t="s">
        <v>341</v>
      </c>
    </row>
    <row r="72">
      <c r="A72" s="23" t="s">
        <v>256</v>
      </c>
      <c r="B72" s="23" t="s">
        <v>292</v>
      </c>
      <c r="C72" s="24" t="s">
        <v>293</v>
      </c>
      <c r="D72" s="25" t="s">
        <v>341</v>
      </c>
    </row>
    <row r="73">
      <c r="A73" s="23" t="s">
        <v>128</v>
      </c>
      <c r="B73" s="23" t="s">
        <v>129</v>
      </c>
      <c r="C73" s="24" t="s">
        <v>130</v>
      </c>
      <c r="D73" s="25" t="s">
        <v>341</v>
      </c>
    </row>
    <row r="74">
      <c r="A74" s="23" t="s">
        <v>289</v>
      </c>
      <c r="B74" s="23" t="s">
        <v>290</v>
      </c>
      <c r="C74" s="24" t="s">
        <v>291</v>
      </c>
      <c r="D74" s="25" t="s">
        <v>341</v>
      </c>
    </row>
    <row r="75">
      <c r="A75" s="23" t="s">
        <v>144</v>
      </c>
      <c r="B75" s="23" t="s">
        <v>189</v>
      </c>
      <c r="C75" s="24" t="s">
        <v>190</v>
      </c>
      <c r="D75" s="25" t="s">
        <v>341</v>
      </c>
    </row>
    <row r="76">
      <c r="A76" s="23" t="s">
        <v>108</v>
      </c>
      <c r="B76" s="23" t="s">
        <v>109</v>
      </c>
      <c r="C76" s="24" t="s">
        <v>110</v>
      </c>
      <c r="D76" s="25" t="s">
        <v>341</v>
      </c>
    </row>
    <row r="77">
      <c r="A77" s="23" t="s">
        <v>128</v>
      </c>
      <c r="B77" s="23" t="s">
        <v>299</v>
      </c>
      <c r="C77" s="24" t="s">
        <v>300</v>
      </c>
      <c r="D77" s="25" t="s">
        <v>341</v>
      </c>
    </row>
    <row r="78">
      <c r="A78" s="23" t="s">
        <v>144</v>
      </c>
      <c r="B78" s="23" t="s">
        <v>261</v>
      </c>
      <c r="C78" s="24" t="s">
        <v>262</v>
      </c>
      <c r="D78" s="25" t="s">
        <v>341</v>
      </c>
    </row>
    <row r="79">
      <c r="A79" s="23" t="s">
        <v>304</v>
      </c>
      <c r="B79" s="23" t="s">
        <v>331</v>
      </c>
      <c r="C79" s="24" t="s">
        <v>332</v>
      </c>
      <c r="D79" s="25" t="s">
        <v>341</v>
      </c>
    </row>
    <row r="80">
      <c r="A80" s="23" t="s">
        <v>156</v>
      </c>
      <c r="B80" s="23" t="s">
        <v>157</v>
      </c>
      <c r="C80" s="24" t="s">
        <v>158</v>
      </c>
      <c r="D80" s="25" t="s">
        <v>341</v>
      </c>
    </row>
    <row r="81">
      <c r="A81" s="23" t="s">
        <v>206</v>
      </c>
      <c r="B81" s="23" t="s">
        <v>207</v>
      </c>
      <c r="C81" s="24" t="s">
        <v>208</v>
      </c>
      <c r="D81" s="25" t="s">
        <v>341</v>
      </c>
    </row>
    <row r="82">
      <c r="A82" s="23" t="s">
        <v>101</v>
      </c>
      <c r="B82" s="23" t="s">
        <v>102</v>
      </c>
      <c r="C82" s="24" t="s">
        <v>103</v>
      </c>
      <c r="D82" s="25" t="s">
        <v>341</v>
      </c>
    </row>
    <row r="83">
      <c r="A83" s="23" t="s">
        <v>296</v>
      </c>
      <c r="B83" s="23" t="s">
        <v>297</v>
      </c>
      <c r="C83" s="24" t="s">
        <v>298</v>
      </c>
      <c r="D83" s="25" t="s">
        <v>341</v>
      </c>
    </row>
    <row r="84">
      <c r="A84" s="23" t="s">
        <v>268</v>
      </c>
      <c r="B84" s="23" t="s">
        <v>269</v>
      </c>
      <c r="C84" s="24" t="s">
        <v>270</v>
      </c>
      <c r="D84" s="25" t="s">
        <v>341</v>
      </c>
    </row>
    <row r="85">
      <c r="A85" s="23" t="s">
        <v>111</v>
      </c>
      <c r="B85" s="23" t="s">
        <v>320</v>
      </c>
      <c r="C85" s="24" t="s">
        <v>321</v>
      </c>
      <c r="D85" s="25" t="s">
        <v>341</v>
      </c>
    </row>
    <row r="86">
      <c r="A86" s="23" t="s">
        <v>215</v>
      </c>
      <c r="B86" s="23" t="s">
        <v>216</v>
      </c>
      <c r="C86" s="24" t="s">
        <v>217</v>
      </c>
      <c r="D86" s="25" t="s">
        <v>341</v>
      </c>
    </row>
    <row r="87">
      <c r="A87" s="23" t="s">
        <v>172</v>
      </c>
      <c r="B87" s="23" t="s">
        <v>173</v>
      </c>
      <c r="C87" s="24" t="s">
        <v>174</v>
      </c>
      <c r="D87" s="25" t="s">
        <v>341</v>
      </c>
    </row>
    <row r="88">
      <c r="A88" s="23" t="s">
        <v>176</v>
      </c>
      <c r="B88" s="23" t="s">
        <v>209</v>
      </c>
      <c r="C88" s="24" t="s">
        <v>210</v>
      </c>
      <c r="D88" s="25" t="s">
        <v>341</v>
      </c>
    </row>
    <row r="89">
      <c r="A89" s="23" t="s">
        <v>144</v>
      </c>
      <c r="B89" s="23" t="s">
        <v>271</v>
      </c>
      <c r="C89" s="24" t="s">
        <v>272</v>
      </c>
      <c r="D89" s="25" t="s">
        <v>341</v>
      </c>
    </row>
    <row r="90">
      <c r="A90" s="23" t="s">
        <v>166</v>
      </c>
      <c r="B90" s="23" t="s">
        <v>287</v>
      </c>
      <c r="C90" s="24" t="s">
        <v>288</v>
      </c>
      <c r="D90" s="25" t="s">
        <v>341</v>
      </c>
    </row>
    <row r="91">
      <c r="A91" s="23" t="s">
        <v>301</v>
      </c>
      <c r="B91" s="23" t="s">
        <v>302</v>
      </c>
      <c r="C91" s="24" t="s">
        <v>303</v>
      </c>
      <c r="D91" s="25" t="s">
        <v>341</v>
      </c>
    </row>
    <row r="92">
      <c r="A92" s="23" t="s">
        <v>215</v>
      </c>
      <c r="B92" s="23" t="s">
        <v>337</v>
      </c>
      <c r="C92" s="24" t="s">
        <v>338</v>
      </c>
      <c r="D92" s="25" t="s">
        <v>341</v>
      </c>
    </row>
    <row r="93">
      <c r="A93" s="23" t="s">
        <v>118</v>
      </c>
      <c r="B93" s="23" t="s">
        <v>134</v>
      </c>
      <c r="C93" s="24" t="s">
        <v>135</v>
      </c>
      <c r="D93" s="25" t="s">
        <v>341</v>
      </c>
    </row>
    <row r="94">
      <c r="A94" s="23" t="s">
        <v>183</v>
      </c>
      <c r="B94" s="23" t="s">
        <v>184</v>
      </c>
      <c r="C94" s="24" t="s">
        <v>185</v>
      </c>
      <c r="D94" s="25" t="s">
        <v>341</v>
      </c>
    </row>
    <row r="95">
      <c r="A95" s="23" t="s">
        <v>144</v>
      </c>
      <c r="B95" s="23" t="s">
        <v>145</v>
      </c>
      <c r="C95" s="24" t="s">
        <v>146</v>
      </c>
      <c r="D95" s="25" t="s">
        <v>341</v>
      </c>
    </row>
    <row r="96">
      <c r="A96" s="23" t="s">
        <v>125</v>
      </c>
      <c r="B96" s="23" t="s">
        <v>126</v>
      </c>
      <c r="C96" s="24" t="s">
        <v>127</v>
      </c>
      <c r="D96" s="25" t="s">
        <v>341</v>
      </c>
    </row>
    <row r="97">
      <c r="A97" s="23" t="s">
        <v>131</v>
      </c>
      <c r="B97" s="23" t="s">
        <v>132</v>
      </c>
      <c r="C97" s="24" t="s">
        <v>133</v>
      </c>
      <c r="D97" s="25" t="s">
        <v>341</v>
      </c>
    </row>
    <row r="98">
      <c r="A98" s="23" t="s">
        <v>150</v>
      </c>
      <c r="B98" s="23" t="s">
        <v>151</v>
      </c>
      <c r="C98" s="24" t="s">
        <v>152</v>
      </c>
      <c r="D98" s="25" t="s">
        <v>341</v>
      </c>
    </row>
    <row r="99">
      <c r="A99" s="23" t="s">
        <v>144</v>
      </c>
      <c r="B99" s="23" t="s">
        <v>154</v>
      </c>
      <c r="C99" s="24" t="s">
        <v>155</v>
      </c>
      <c r="D99" s="25" t="s">
        <v>341</v>
      </c>
    </row>
    <row r="100">
      <c r="A100" s="23" t="s">
        <v>144</v>
      </c>
      <c r="B100" s="23" t="s">
        <v>196</v>
      </c>
      <c r="C100" s="24" t="s">
        <v>197</v>
      </c>
      <c r="D100" s="25" t="s">
        <v>341</v>
      </c>
    </row>
    <row r="101">
      <c r="A101" s="23" t="s">
        <v>229</v>
      </c>
      <c r="B101" s="23" t="s">
        <v>230</v>
      </c>
      <c r="C101" s="24" t="s">
        <v>231</v>
      </c>
      <c r="D101" s="25" t="s">
        <v>341</v>
      </c>
    </row>
  </sheetData>
  <dataValidations>
    <dataValidation type="list" allowBlank="1" showErrorMessage="1" sqref="D2:D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66</v>
      </c>
      <c r="B1" s="20" t="s">
        <v>67</v>
      </c>
      <c r="C1" s="21" t="s">
        <v>68</v>
      </c>
      <c r="D1" s="22" t="s">
        <v>69</v>
      </c>
      <c r="E1" s="15" t="s">
        <v>70</v>
      </c>
    </row>
    <row r="2">
      <c r="A2" s="23" t="s">
        <v>150</v>
      </c>
      <c r="B2" s="23" t="s">
        <v>151</v>
      </c>
      <c r="C2" s="24" t="s">
        <v>152</v>
      </c>
      <c r="D2" s="25" t="s">
        <v>341</v>
      </c>
    </row>
    <row r="3">
      <c r="A3" s="23" t="s">
        <v>144</v>
      </c>
      <c r="B3" s="23" t="s">
        <v>189</v>
      </c>
      <c r="C3" s="24" t="s">
        <v>190</v>
      </c>
      <c r="D3" s="25" t="s">
        <v>341</v>
      </c>
    </row>
    <row r="4">
      <c r="A4" s="23" t="s">
        <v>111</v>
      </c>
      <c r="B4" s="23" t="s">
        <v>112</v>
      </c>
      <c r="C4" s="24" t="s">
        <v>113</v>
      </c>
      <c r="D4" s="25" t="s">
        <v>341</v>
      </c>
    </row>
    <row r="5">
      <c r="A5" s="23" t="s">
        <v>111</v>
      </c>
      <c r="B5" s="23" t="s">
        <v>259</v>
      </c>
      <c r="C5" s="24" t="s">
        <v>260</v>
      </c>
      <c r="D5" s="25" t="s">
        <v>341</v>
      </c>
    </row>
    <row r="6">
      <c r="A6" s="23" t="s">
        <v>166</v>
      </c>
      <c r="B6" s="23" t="s">
        <v>167</v>
      </c>
      <c r="C6" s="24" t="s">
        <v>168</v>
      </c>
      <c r="D6" s="25" t="s">
        <v>341</v>
      </c>
    </row>
    <row r="7">
      <c r="A7" s="23" t="s">
        <v>186</v>
      </c>
      <c r="B7" s="23" t="s">
        <v>187</v>
      </c>
      <c r="C7" s="24" t="s">
        <v>188</v>
      </c>
      <c r="D7" s="25" t="s">
        <v>341</v>
      </c>
    </row>
    <row r="8">
      <c r="A8" s="23" t="s">
        <v>144</v>
      </c>
      <c r="B8" s="23" t="s">
        <v>261</v>
      </c>
      <c r="C8" s="24" t="s">
        <v>262</v>
      </c>
      <c r="D8" s="25" t="s">
        <v>341</v>
      </c>
    </row>
    <row r="9">
      <c r="A9" s="23" t="s">
        <v>97</v>
      </c>
      <c r="B9" s="23" t="s">
        <v>322</v>
      </c>
      <c r="C9" s="24" t="s">
        <v>323</v>
      </c>
      <c r="D9" s="25" t="s">
        <v>341</v>
      </c>
    </row>
    <row r="10">
      <c r="A10" s="23" t="s">
        <v>203</v>
      </c>
      <c r="B10" s="23" t="s">
        <v>240</v>
      </c>
      <c r="C10" s="24" t="s">
        <v>241</v>
      </c>
      <c r="D10" s="25" t="s">
        <v>341</v>
      </c>
    </row>
    <row r="11">
      <c r="A11" s="23" t="s">
        <v>128</v>
      </c>
      <c r="B11" s="23" t="s">
        <v>129</v>
      </c>
      <c r="C11" s="24" t="s">
        <v>130</v>
      </c>
      <c r="D11" s="25" t="s">
        <v>341</v>
      </c>
    </row>
    <row r="12">
      <c r="A12" s="23" t="s">
        <v>200</v>
      </c>
      <c r="B12" s="23" t="s">
        <v>201</v>
      </c>
      <c r="C12" s="24" t="s">
        <v>202</v>
      </c>
      <c r="D12" s="25" t="s">
        <v>341</v>
      </c>
    </row>
    <row r="13">
      <c r="A13" s="23" t="s">
        <v>304</v>
      </c>
      <c r="B13" s="23" t="s">
        <v>331</v>
      </c>
      <c r="C13" s="24" t="s">
        <v>332</v>
      </c>
      <c r="D13" s="25" t="s">
        <v>341</v>
      </c>
    </row>
    <row r="14">
      <c r="A14" s="23" t="s">
        <v>108</v>
      </c>
      <c r="B14" s="23" t="s">
        <v>109</v>
      </c>
      <c r="C14" s="24" t="s">
        <v>110</v>
      </c>
      <c r="D14" s="25" t="s">
        <v>341</v>
      </c>
    </row>
    <row r="15">
      <c r="A15" s="23" t="s">
        <v>221</v>
      </c>
      <c r="B15" s="23" t="s">
        <v>278</v>
      </c>
      <c r="C15" s="24" t="s">
        <v>279</v>
      </c>
      <c r="D15" s="25" t="s">
        <v>341</v>
      </c>
    </row>
    <row r="16">
      <c r="A16" s="23" t="s">
        <v>221</v>
      </c>
      <c r="B16" s="23" t="s">
        <v>222</v>
      </c>
      <c r="C16" s="24" t="s">
        <v>223</v>
      </c>
      <c r="D16" s="25" t="s">
        <v>341</v>
      </c>
    </row>
    <row r="17">
      <c r="A17" s="23" t="s">
        <v>92</v>
      </c>
      <c r="B17" s="23" t="s">
        <v>95</v>
      </c>
      <c r="C17" s="24" t="s">
        <v>96</v>
      </c>
      <c r="D17" s="25" t="s">
        <v>341</v>
      </c>
    </row>
    <row r="18">
      <c r="A18" s="23" t="s">
        <v>131</v>
      </c>
      <c r="B18" s="23" t="s">
        <v>181</v>
      </c>
      <c r="C18" s="24" t="s">
        <v>182</v>
      </c>
      <c r="D18" s="25" t="s">
        <v>341</v>
      </c>
    </row>
    <row r="19">
      <c r="A19" s="23" t="s">
        <v>144</v>
      </c>
      <c r="B19" s="23" t="s">
        <v>154</v>
      </c>
      <c r="C19" s="24" t="s">
        <v>155</v>
      </c>
      <c r="D19" s="25" t="s">
        <v>341</v>
      </c>
    </row>
    <row r="20">
      <c r="A20" s="23" t="s">
        <v>131</v>
      </c>
      <c r="B20" s="23" t="s">
        <v>132</v>
      </c>
      <c r="C20" s="24" t="s">
        <v>133</v>
      </c>
      <c r="D20" s="25" t="s">
        <v>341</v>
      </c>
    </row>
    <row r="21">
      <c r="A21" s="23" t="s">
        <v>218</v>
      </c>
      <c r="B21" s="23" t="s">
        <v>219</v>
      </c>
      <c r="C21" s="24" t="s">
        <v>220</v>
      </c>
      <c r="D21" s="25" t="s">
        <v>341</v>
      </c>
    </row>
    <row r="22">
      <c r="A22" s="23" t="s">
        <v>215</v>
      </c>
      <c r="B22" s="23" t="s">
        <v>337</v>
      </c>
      <c r="C22" s="24" t="s">
        <v>338</v>
      </c>
      <c r="D22" s="25" t="s">
        <v>341</v>
      </c>
    </row>
    <row r="23">
      <c r="A23" s="23" t="s">
        <v>159</v>
      </c>
      <c r="B23" s="23" t="s">
        <v>160</v>
      </c>
      <c r="C23" s="24" t="s">
        <v>161</v>
      </c>
      <c r="D23" s="25" t="s">
        <v>341</v>
      </c>
    </row>
    <row r="24">
      <c r="A24" s="23" t="s">
        <v>253</v>
      </c>
      <c r="B24" s="23" t="s">
        <v>254</v>
      </c>
      <c r="C24" s="24" t="s">
        <v>255</v>
      </c>
      <c r="D24" s="25" t="s">
        <v>341</v>
      </c>
    </row>
    <row r="25">
      <c r="A25" s="23" t="s">
        <v>253</v>
      </c>
      <c r="B25" s="23" t="s">
        <v>324</v>
      </c>
      <c r="C25" s="24" t="s">
        <v>325</v>
      </c>
      <c r="D25" s="25" t="s">
        <v>341</v>
      </c>
    </row>
    <row r="26">
      <c r="A26" s="23" t="s">
        <v>273</v>
      </c>
      <c r="B26" s="23" t="s">
        <v>274</v>
      </c>
      <c r="C26" s="24" t="s">
        <v>275</v>
      </c>
      <c r="D26" s="25" t="s">
        <v>341</v>
      </c>
    </row>
    <row r="27">
      <c r="A27" s="23" t="s">
        <v>101</v>
      </c>
      <c r="B27" s="23" t="s">
        <v>102</v>
      </c>
      <c r="C27" s="24" t="s">
        <v>103</v>
      </c>
      <c r="D27" s="25" t="s">
        <v>341</v>
      </c>
    </row>
    <row r="28">
      <c r="A28" s="23" t="s">
        <v>169</v>
      </c>
      <c r="B28" s="23" t="s">
        <v>285</v>
      </c>
      <c r="C28" s="24" t="s">
        <v>286</v>
      </c>
      <c r="D28" s="25" t="s">
        <v>341</v>
      </c>
    </row>
    <row r="29">
      <c r="A29" s="23" t="s">
        <v>256</v>
      </c>
      <c r="B29" s="23" t="s">
        <v>257</v>
      </c>
      <c r="C29" s="24" t="s">
        <v>258</v>
      </c>
      <c r="D29" s="25" t="s">
        <v>341</v>
      </c>
    </row>
    <row r="30">
      <c r="A30" s="23" t="s">
        <v>314</v>
      </c>
      <c r="B30" s="23" t="s">
        <v>339</v>
      </c>
      <c r="C30" s="24" t="s">
        <v>340</v>
      </c>
      <c r="D30" s="25" t="s">
        <v>341</v>
      </c>
    </row>
    <row r="31">
      <c r="A31" s="23" t="s">
        <v>206</v>
      </c>
      <c r="B31" s="23" t="s">
        <v>207</v>
      </c>
      <c r="C31" s="24" t="s">
        <v>208</v>
      </c>
      <c r="D31" s="25" t="s">
        <v>341</v>
      </c>
    </row>
    <row r="32">
      <c r="A32" s="23" t="s">
        <v>215</v>
      </c>
      <c r="B32" s="23" t="s">
        <v>216</v>
      </c>
      <c r="C32" s="24" t="s">
        <v>217</v>
      </c>
      <c r="D32" s="25" t="s">
        <v>341</v>
      </c>
    </row>
    <row r="33">
      <c r="A33" s="23" t="s">
        <v>71</v>
      </c>
      <c r="B33" s="23" t="s">
        <v>72</v>
      </c>
      <c r="C33" s="24" t="s">
        <v>73</v>
      </c>
      <c r="D33" s="25" t="s">
        <v>341</v>
      </c>
    </row>
    <row r="34">
      <c r="A34" s="23" t="s">
        <v>115</v>
      </c>
      <c r="B34" s="23" t="s">
        <v>116</v>
      </c>
      <c r="C34" s="24" t="s">
        <v>117</v>
      </c>
      <c r="D34" s="25" t="s">
        <v>341</v>
      </c>
    </row>
    <row r="35">
      <c r="A35" s="23" t="s">
        <v>250</v>
      </c>
      <c r="B35" s="23" t="s">
        <v>329</v>
      </c>
      <c r="C35" s="24" t="s">
        <v>330</v>
      </c>
      <c r="D35" s="25" t="s">
        <v>341</v>
      </c>
    </row>
    <row r="36">
      <c r="A36" s="23" t="s">
        <v>193</v>
      </c>
      <c r="B36" s="23" t="s">
        <v>194</v>
      </c>
      <c r="C36" s="24" t="s">
        <v>195</v>
      </c>
      <c r="D36" s="25" t="s">
        <v>341</v>
      </c>
    </row>
    <row r="37">
      <c r="A37" s="23" t="s">
        <v>229</v>
      </c>
      <c r="B37" s="23" t="s">
        <v>230</v>
      </c>
      <c r="C37" s="24" t="s">
        <v>231</v>
      </c>
      <c r="D37" s="25" t="s">
        <v>341</v>
      </c>
    </row>
    <row r="38">
      <c r="A38" s="23" t="s">
        <v>147</v>
      </c>
      <c r="B38" s="23" t="s">
        <v>148</v>
      </c>
      <c r="C38" s="24" t="s">
        <v>149</v>
      </c>
      <c r="D38" s="25" t="s">
        <v>341</v>
      </c>
    </row>
    <row r="39">
      <c r="A39" s="23" t="s">
        <v>169</v>
      </c>
      <c r="B39" s="23" t="s">
        <v>170</v>
      </c>
      <c r="C39" s="24" t="s">
        <v>171</v>
      </c>
      <c r="D39" s="25" t="s">
        <v>341</v>
      </c>
    </row>
    <row r="40">
      <c r="A40" s="23" t="s">
        <v>162</v>
      </c>
      <c r="B40" s="23" t="s">
        <v>163</v>
      </c>
      <c r="C40" s="24" t="s">
        <v>164</v>
      </c>
      <c r="D40" s="25" t="s">
        <v>341</v>
      </c>
    </row>
    <row r="41">
      <c r="A41" s="23" t="s">
        <v>268</v>
      </c>
      <c r="B41" s="23" t="s">
        <v>269</v>
      </c>
      <c r="C41" s="24" t="s">
        <v>270</v>
      </c>
      <c r="D41" s="25" t="s">
        <v>341</v>
      </c>
    </row>
    <row r="42">
      <c r="A42" s="23" t="s">
        <v>224</v>
      </c>
      <c r="B42" s="23" t="s">
        <v>225</v>
      </c>
      <c r="C42" s="24" t="s">
        <v>226</v>
      </c>
      <c r="D42" s="25" t="s">
        <v>341</v>
      </c>
    </row>
    <row r="43">
      <c r="A43" s="23" t="s">
        <v>111</v>
      </c>
      <c r="B43" s="23" t="s">
        <v>320</v>
      </c>
      <c r="C43" s="24" t="s">
        <v>321</v>
      </c>
      <c r="D43" s="25" t="s">
        <v>341</v>
      </c>
    </row>
    <row r="44">
      <c r="A44" s="23" t="s">
        <v>256</v>
      </c>
      <c r="B44" s="23" t="s">
        <v>292</v>
      </c>
      <c r="C44" s="24" t="s">
        <v>293</v>
      </c>
      <c r="D44" s="25" t="s">
        <v>341</v>
      </c>
    </row>
    <row r="45">
      <c r="A45" s="23" t="s">
        <v>75</v>
      </c>
      <c r="B45" s="23" t="s">
        <v>76</v>
      </c>
      <c r="C45" s="24" t="s">
        <v>77</v>
      </c>
      <c r="D45" s="25" t="s">
        <v>341</v>
      </c>
    </row>
    <row r="46">
      <c r="A46" s="23" t="s">
        <v>144</v>
      </c>
      <c r="B46" s="23" t="s">
        <v>145</v>
      </c>
      <c r="C46" s="24" t="s">
        <v>146</v>
      </c>
      <c r="D46" s="25" t="s">
        <v>341</v>
      </c>
    </row>
    <row r="47">
      <c r="A47" s="23" t="s">
        <v>128</v>
      </c>
      <c r="B47" s="23" t="s">
        <v>299</v>
      </c>
      <c r="C47" s="24" t="s">
        <v>300</v>
      </c>
      <c r="D47" s="25" t="s">
        <v>341</v>
      </c>
    </row>
    <row r="48">
      <c r="A48" s="23" t="s">
        <v>172</v>
      </c>
      <c r="B48" s="23" t="s">
        <v>173</v>
      </c>
      <c r="C48" s="24" t="s">
        <v>174</v>
      </c>
      <c r="D48" s="25" t="s">
        <v>341</v>
      </c>
    </row>
    <row r="49">
      <c r="A49" s="23" t="s">
        <v>296</v>
      </c>
      <c r="B49" s="23" t="s">
        <v>297</v>
      </c>
      <c r="C49" s="24" t="s">
        <v>298</v>
      </c>
      <c r="D49" s="25" t="s">
        <v>341</v>
      </c>
    </row>
    <row r="50">
      <c r="A50" s="23" t="s">
        <v>144</v>
      </c>
      <c r="B50" s="23" t="s">
        <v>263</v>
      </c>
      <c r="C50" s="24" t="s">
        <v>264</v>
      </c>
      <c r="D50" s="25" t="s">
        <v>341</v>
      </c>
    </row>
    <row r="51">
      <c r="A51" s="23" t="s">
        <v>156</v>
      </c>
      <c r="B51" s="23" t="s">
        <v>157</v>
      </c>
      <c r="C51" s="24" t="s">
        <v>158</v>
      </c>
      <c r="D51" s="25" t="s">
        <v>341</v>
      </c>
    </row>
    <row r="52">
      <c r="A52" s="23" t="s">
        <v>104</v>
      </c>
      <c r="B52" s="23" t="s">
        <v>105</v>
      </c>
      <c r="C52" s="24" t="s">
        <v>106</v>
      </c>
      <c r="D52" s="25" t="s">
        <v>341</v>
      </c>
    </row>
    <row r="53">
      <c r="A53" s="23" t="s">
        <v>282</v>
      </c>
      <c r="B53" s="23" t="s">
        <v>283</v>
      </c>
      <c r="C53" s="24" t="s">
        <v>284</v>
      </c>
      <c r="D53" s="25" t="s">
        <v>341</v>
      </c>
    </row>
    <row r="54">
      <c r="A54" s="23" t="s">
        <v>247</v>
      </c>
      <c r="B54" s="23" t="s">
        <v>248</v>
      </c>
      <c r="C54" s="24" t="s">
        <v>249</v>
      </c>
      <c r="D54" s="25" t="s">
        <v>341</v>
      </c>
    </row>
    <row r="55">
      <c r="A55" s="23" t="s">
        <v>242</v>
      </c>
      <c r="B55" s="23" t="s">
        <v>243</v>
      </c>
      <c r="C55" s="24" t="s">
        <v>244</v>
      </c>
      <c r="D55" s="25" t="s">
        <v>341</v>
      </c>
    </row>
    <row r="56">
      <c r="A56" s="23" t="s">
        <v>141</v>
      </c>
      <c r="B56" s="23" t="s">
        <v>142</v>
      </c>
      <c r="C56" s="24" t="s">
        <v>143</v>
      </c>
      <c r="D56" s="25" t="s">
        <v>341</v>
      </c>
    </row>
    <row r="57">
      <c r="A57" s="23" t="s">
        <v>304</v>
      </c>
      <c r="B57" s="23" t="s">
        <v>305</v>
      </c>
      <c r="C57" s="24" t="s">
        <v>306</v>
      </c>
      <c r="D57" s="25" t="s">
        <v>341</v>
      </c>
    </row>
    <row r="58">
      <c r="A58" s="23" t="s">
        <v>250</v>
      </c>
      <c r="B58" s="23" t="s">
        <v>251</v>
      </c>
      <c r="C58" s="24" t="s">
        <v>252</v>
      </c>
      <c r="D58" s="25" t="s">
        <v>341</v>
      </c>
    </row>
    <row r="59">
      <c r="A59" s="23" t="s">
        <v>81</v>
      </c>
      <c r="B59" s="23" t="s">
        <v>82</v>
      </c>
      <c r="C59" s="24" t="s">
        <v>83</v>
      </c>
      <c r="D59" s="25" t="s">
        <v>341</v>
      </c>
    </row>
    <row r="60">
      <c r="A60" s="23" t="s">
        <v>85</v>
      </c>
      <c r="B60" s="23" t="s">
        <v>86</v>
      </c>
      <c r="C60" s="24" t="s">
        <v>87</v>
      </c>
      <c r="D60" s="25" t="s">
        <v>341</v>
      </c>
    </row>
    <row r="61">
      <c r="A61" s="23" t="s">
        <v>128</v>
      </c>
      <c r="B61" s="23" t="s">
        <v>333</v>
      </c>
      <c r="C61" s="24" t="s">
        <v>334</v>
      </c>
      <c r="D61" s="25" t="s">
        <v>341</v>
      </c>
    </row>
    <row r="62">
      <c r="A62" s="23" t="s">
        <v>289</v>
      </c>
      <c r="B62" s="23" t="s">
        <v>290</v>
      </c>
      <c r="C62" s="24" t="s">
        <v>291</v>
      </c>
      <c r="D62" s="25" t="s">
        <v>341</v>
      </c>
    </row>
    <row r="63">
      <c r="A63" s="23" t="s">
        <v>111</v>
      </c>
      <c r="B63" s="23" t="s">
        <v>123</v>
      </c>
      <c r="C63" s="24" t="s">
        <v>124</v>
      </c>
      <c r="D63" s="25" t="s">
        <v>341</v>
      </c>
    </row>
    <row r="64">
      <c r="A64" s="23" t="s">
        <v>273</v>
      </c>
      <c r="B64" s="23" t="s">
        <v>280</v>
      </c>
      <c r="C64" s="24" t="s">
        <v>281</v>
      </c>
      <c r="D64" s="25" t="s">
        <v>341</v>
      </c>
    </row>
    <row r="65">
      <c r="A65" s="23" t="s">
        <v>97</v>
      </c>
      <c r="B65" s="23" t="s">
        <v>136</v>
      </c>
      <c r="C65" s="24" t="s">
        <v>137</v>
      </c>
      <c r="D65" s="25" t="s">
        <v>341</v>
      </c>
    </row>
    <row r="66">
      <c r="A66" s="23" t="s">
        <v>128</v>
      </c>
      <c r="B66" s="23" t="s">
        <v>234</v>
      </c>
      <c r="C66" s="24" t="s">
        <v>235</v>
      </c>
      <c r="D66" s="25" t="s">
        <v>341</v>
      </c>
    </row>
    <row r="67">
      <c r="A67" s="23" t="s">
        <v>144</v>
      </c>
      <c r="B67" s="23" t="s">
        <v>271</v>
      </c>
      <c r="C67" s="24" t="s">
        <v>272</v>
      </c>
      <c r="D67" s="25" t="s">
        <v>341</v>
      </c>
    </row>
    <row r="68">
      <c r="A68" s="23" t="s">
        <v>314</v>
      </c>
      <c r="B68" s="23" t="s">
        <v>315</v>
      </c>
      <c r="C68" s="24" t="s">
        <v>316</v>
      </c>
      <c r="D68" s="25" t="s">
        <v>341</v>
      </c>
    </row>
    <row r="69">
      <c r="A69" s="23" t="s">
        <v>111</v>
      </c>
      <c r="B69" s="23" t="s">
        <v>335</v>
      </c>
      <c r="C69" s="24" t="s">
        <v>336</v>
      </c>
      <c r="D69" s="25" t="s">
        <v>341</v>
      </c>
    </row>
    <row r="70">
      <c r="A70" s="23" t="s">
        <v>183</v>
      </c>
      <c r="B70" s="23" t="s">
        <v>184</v>
      </c>
      <c r="C70" s="24" t="s">
        <v>185</v>
      </c>
      <c r="D70" s="25" t="s">
        <v>341</v>
      </c>
    </row>
    <row r="71">
      <c r="A71" s="23" t="s">
        <v>118</v>
      </c>
      <c r="B71" s="23" t="s">
        <v>119</v>
      </c>
      <c r="C71" s="24" t="s">
        <v>120</v>
      </c>
      <c r="D71" s="25" t="s">
        <v>341</v>
      </c>
    </row>
    <row r="72">
      <c r="A72" s="23" t="s">
        <v>144</v>
      </c>
      <c r="B72" s="23" t="s">
        <v>196</v>
      </c>
      <c r="C72" s="24" t="s">
        <v>197</v>
      </c>
      <c r="D72" s="25" t="s">
        <v>341</v>
      </c>
    </row>
    <row r="73">
      <c r="A73" s="23" t="s">
        <v>147</v>
      </c>
      <c r="B73" s="23" t="s">
        <v>179</v>
      </c>
      <c r="C73" s="24" t="s">
        <v>180</v>
      </c>
      <c r="D73" s="25" t="s">
        <v>341</v>
      </c>
    </row>
    <row r="74">
      <c r="A74" s="23" t="s">
        <v>97</v>
      </c>
      <c r="B74" s="23" t="s">
        <v>98</v>
      </c>
      <c r="C74" s="24" t="s">
        <v>99</v>
      </c>
      <c r="D74" s="25" t="s">
        <v>341</v>
      </c>
    </row>
    <row r="75">
      <c r="A75" s="23" t="s">
        <v>211</v>
      </c>
      <c r="B75" s="23" t="s">
        <v>212</v>
      </c>
      <c r="C75" s="24" t="s">
        <v>213</v>
      </c>
      <c r="D75" s="25" t="s">
        <v>341</v>
      </c>
    </row>
    <row r="76">
      <c r="A76" s="23" t="s">
        <v>176</v>
      </c>
      <c r="B76" s="23" t="s">
        <v>209</v>
      </c>
      <c r="C76" s="24" t="s">
        <v>210</v>
      </c>
      <c r="D76" s="25" t="s">
        <v>341</v>
      </c>
    </row>
    <row r="77">
      <c r="A77" s="23" t="s">
        <v>144</v>
      </c>
      <c r="B77" s="23" t="s">
        <v>198</v>
      </c>
      <c r="C77" s="24" t="s">
        <v>199</v>
      </c>
      <c r="D77" s="25" t="s">
        <v>341</v>
      </c>
    </row>
    <row r="78">
      <c r="A78" s="23" t="s">
        <v>176</v>
      </c>
      <c r="B78" s="23" t="s">
        <v>177</v>
      </c>
      <c r="C78" s="24" t="s">
        <v>178</v>
      </c>
      <c r="D78" s="25" t="s">
        <v>341</v>
      </c>
    </row>
    <row r="79">
      <c r="A79" s="23" t="s">
        <v>236</v>
      </c>
      <c r="B79" s="23" t="s">
        <v>237</v>
      </c>
      <c r="C79" s="24" t="s">
        <v>238</v>
      </c>
      <c r="D79" s="25" t="s">
        <v>341</v>
      </c>
    </row>
    <row r="80">
      <c r="A80" s="23" t="s">
        <v>128</v>
      </c>
      <c r="B80" s="23" t="s">
        <v>311</v>
      </c>
      <c r="C80" s="24" t="s">
        <v>312</v>
      </c>
      <c r="D80" s="25" t="s">
        <v>341</v>
      </c>
    </row>
    <row r="81">
      <c r="A81" s="23" t="s">
        <v>301</v>
      </c>
      <c r="B81" s="23" t="s">
        <v>302</v>
      </c>
      <c r="C81" s="24" t="s">
        <v>303</v>
      </c>
      <c r="D81" s="25" t="s">
        <v>341</v>
      </c>
    </row>
    <row r="82">
      <c r="A82" s="23" t="s">
        <v>125</v>
      </c>
      <c r="B82" s="23" t="s">
        <v>126</v>
      </c>
      <c r="C82" s="24" t="s">
        <v>127</v>
      </c>
      <c r="D82" s="25" t="s">
        <v>341</v>
      </c>
    </row>
    <row r="83">
      <c r="A83" s="23" t="s">
        <v>78</v>
      </c>
      <c r="B83" s="23" t="s">
        <v>79</v>
      </c>
      <c r="C83" s="24" t="s">
        <v>80</v>
      </c>
      <c r="D83" s="25" t="s">
        <v>341</v>
      </c>
    </row>
    <row r="84">
      <c r="A84" s="23" t="s">
        <v>128</v>
      </c>
      <c r="B84" s="23" t="s">
        <v>232</v>
      </c>
      <c r="C84" s="24" t="s">
        <v>233</v>
      </c>
      <c r="D84" s="25" t="s">
        <v>341</v>
      </c>
    </row>
    <row r="85">
      <c r="A85" s="23" t="s">
        <v>250</v>
      </c>
      <c r="B85" s="23" t="s">
        <v>307</v>
      </c>
      <c r="C85" s="24" t="s">
        <v>308</v>
      </c>
      <c r="D85" s="25" t="s">
        <v>341</v>
      </c>
    </row>
    <row r="86">
      <c r="A86" s="23" t="s">
        <v>89</v>
      </c>
      <c r="B86" s="23" t="s">
        <v>90</v>
      </c>
      <c r="C86" s="24" t="s">
        <v>91</v>
      </c>
      <c r="D86" s="25" t="s">
        <v>341</v>
      </c>
    </row>
    <row r="87">
      <c r="A87" s="23" t="s">
        <v>92</v>
      </c>
      <c r="B87" s="23" t="s">
        <v>93</v>
      </c>
      <c r="C87" s="24" t="s">
        <v>94</v>
      </c>
      <c r="D87" s="25" t="s">
        <v>341</v>
      </c>
    </row>
    <row r="88">
      <c r="A88" s="23" t="s">
        <v>138</v>
      </c>
      <c r="B88" s="23" t="s">
        <v>139</v>
      </c>
      <c r="C88" s="24" t="s">
        <v>140</v>
      </c>
      <c r="D88" s="25" t="s">
        <v>341</v>
      </c>
    </row>
    <row r="89">
      <c r="A89" s="23" t="s">
        <v>81</v>
      </c>
      <c r="B89" s="23" t="s">
        <v>326</v>
      </c>
      <c r="C89" s="24" t="s">
        <v>327</v>
      </c>
      <c r="D89" s="25" t="s">
        <v>341</v>
      </c>
    </row>
    <row r="90">
      <c r="A90" s="23" t="s">
        <v>118</v>
      </c>
      <c r="B90" s="23" t="s">
        <v>134</v>
      </c>
      <c r="C90" s="24" t="s">
        <v>135</v>
      </c>
      <c r="D90" s="25" t="s">
        <v>341</v>
      </c>
    </row>
    <row r="91">
      <c r="A91" s="23" t="s">
        <v>115</v>
      </c>
      <c r="B91" s="23" t="s">
        <v>191</v>
      </c>
      <c r="C91" s="24" t="s">
        <v>192</v>
      </c>
      <c r="D91" s="25" t="s">
        <v>341</v>
      </c>
    </row>
    <row r="92">
      <c r="A92" s="23" t="s">
        <v>203</v>
      </c>
      <c r="B92" s="23" t="s">
        <v>204</v>
      </c>
      <c r="C92" s="24" t="s">
        <v>205</v>
      </c>
      <c r="D92" s="25" t="s">
        <v>341</v>
      </c>
    </row>
    <row r="93">
      <c r="A93" s="23" t="s">
        <v>166</v>
      </c>
      <c r="B93" s="23" t="s">
        <v>287</v>
      </c>
      <c r="C93" s="24" t="s">
        <v>288</v>
      </c>
      <c r="D93" s="25" t="s">
        <v>341</v>
      </c>
    </row>
    <row r="94">
      <c r="A94" s="23" t="s">
        <v>89</v>
      </c>
      <c r="B94" s="23" t="s">
        <v>309</v>
      </c>
      <c r="C94" s="24" t="s">
        <v>310</v>
      </c>
      <c r="D94" s="25" t="s">
        <v>341</v>
      </c>
    </row>
    <row r="95">
      <c r="A95" s="23" t="s">
        <v>186</v>
      </c>
      <c r="B95" s="23" t="s">
        <v>227</v>
      </c>
      <c r="C95" s="24" t="s">
        <v>228</v>
      </c>
      <c r="D95" s="25" t="s">
        <v>341</v>
      </c>
    </row>
    <row r="96">
      <c r="A96" s="23" t="s">
        <v>97</v>
      </c>
      <c r="B96" s="23" t="s">
        <v>276</v>
      </c>
      <c r="C96" s="24" t="s">
        <v>277</v>
      </c>
      <c r="D96" s="25" t="s">
        <v>341</v>
      </c>
    </row>
    <row r="97">
      <c r="A97" s="23" t="s">
        <v>317</v>
      </c>
      <c r="B97" s="23" t="s">
        <v>318</v>
      </c>
      <c r="C97" s="24" t="s">
        <v>319</v>
      </c>
      <c r="D97" s="25" t="s">
        <v>341</v>
      </c>
    </row>
    <row r="98">
      <c r="A98" s="23" t="s">
        <v>265</v>
      </c>
      <c r="B98" s="23" t="s">
        <v>266</v>
      </c>
      <c r="C98" s="24" t="s">
        <v>267</v>
      </c>
      <c r="D98" s="25" t="s">
        <v>341</v>
      </c>
    </row>
    <row r="99">
      <c r="A99" s="23" t="s">
        <v>144</v>
      </c>
      <c r="B99" s="23" t="s">
        <v>245</v>
      </c>
      <c r="C99" s="24" t="s">
        <v>246</v>
      </c>
      <c r="D99" s="25" t="s">
        <v>341</v>
      </c>
    </row>
    <row r="100">
      <c r="A100" s="23" t="s">
        <v>147</v>
      </c>
      <c r="B100" s="23" t="s">
        <v>294</v>
      </c>
      <c r="C100" s="24" t="s">
        <v>295</v>
      </c>
      <c r="D100" s="25" t="s">
        <v>341</v>
      </c>
    </row>
    <row r="101">
      <c r="A101" s="23" t="s">
        <v>81</v>
      </c>
      <c r="B101" s="23" t="s">
        <v>121</v>
      </c>
      <c r="C101" s="24" t="s">
        <v>122</v>
      </c>
      <c r="D101" s="25" t="s">
        <v>341</v>
      </c>
    </row>
  </sheetData>
  <dataValidations>
    <dataValidation type="list" allowBlank="1" showErrorMessage="1" sqref="D2:D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9.63"/>
    <col customWidth="1" min="4" max="5" width="19.75"/>
  </cols>
  <sheetData>
    <row r="1">
      <c r="A1" s="20" t="s">
        <v>66</v>
      </c>
      <c r="B1" s="20" t="s">
        <v>67</v>
      </c>
      <c r="C1" s="21" t="s">
        <v>68</v>
      </c>
      <c r="D1" s="22" t="s">
        <v>69</v>
      </c>
      <c r="E1" s="15" t="s">
        <v>70</v>
      </c>
    </row>
    <row r="2">
      <c r="A2" s="23" t="s">
        <v>304</v>
      </c>
      <c r="B2" s="23" t="s">
        <v>331</v>
      </c>
      <c r="C2" s="26" t="s">
        <v>332</v>
      </c>
      <c r="D2" s="25" t="b">
        <v>1</v>
      </c>
      <c r="E2" s="5" t="s">
        <v>342</v>
      </c>
    </row>
    <row r="3">
      <c r="A3" s="23" t="s">
        <v>296</v>
      </c>
      <c r="B3" s="23" t="s">
        <v>297</v>
      </c>
      <c r="C3" s="24" t="s">
        <v>298</v>
      </c>
      <c r="D3" s="25" t="b">
        <v>0</v>
      </c>
    </row>
    <row r="4">
      <c r="A4" s="23" t="s">
        <v>118</v>
      </c>
      <c r="B4" s="23" t="s">
        <v>119</v>
      </c>
      <c r="C4" s="24" t="s">
        <v>120</v>
      </c>
      <c r="D4" s="25" t="b">
        <v>0</v>
      </c>
    </row>
    <row r="5">
      <c r="A5" s="23" t="s">
        <v>289</v>
      </c>
      <c r="B5" s="23" t="s">
        <v>290</v>
      </c>
      <c r="C5" s="24" t="s">
        <v>291</v>
      </c>
      <c r="D5" s="25" t="b">
        <v>0</v>
      </c>
    </row>
    <row r="6">
      <c r="A6" s="23" t="s">
        <v>128</v>
      </c>
      <c r="B6" s="23" t="s">
        <v>234</v>
      </c>
      <c r="C6" s="26" t="s">
        <v>235</v>
      </c>
      <c r="D6" s="25" t="b">
        <v>1</v>
      </c>
      <c r="E6" s="5" t="s">
        <v>343</v>
      </c>
    </row>
    <row r="7">
      <c r="A7" s="23" t="s">
        <v>75</v>
      </c>
      <c r="B7" s="23" t="s">
        <v>76</v>
      </c>
      <c r="C7" s="24" t="s">
        <v>77</v>
      </c>
      <c r="D7" s="25" t="b">
        <v>1</v>
      </c>
    </row>
    <row r="8">
      <c r="A8" s="23" t="s">
        <v>85</v>
      </c>
      <c r="B8" s="23" t="s">
        <v>86</v>
      </c>
      <c r="C8" s="24" t="s">
        <v>87</v>
      </c>
      <c r="D8" s="25" t="b">
        <v>0</v>
      </c>
    </row>
    <row r="9">
      <c r="A9" s="23" t="s">
        <v>115</v>
      </c>
      <c r="B9" s="23" t="s">
        <v>191</v>
      </c>
      <c r="C9" s="24" t="s">
        <v>192</v>
      </c>
      <c r="D9" s="25" t="b">
        <v>0</v>
      </c>
    </row>
    <row r="10">
      <c r="A10" s="23" t="s">
        <v>253</v>
      </c>
      <c r="B10" s="23" t="s">
        <v>324</v>
      </c>
      <c r="C10" s="24" t="s">
        <v>325</v>
      </c>
      <c r="D10" s="25" t="b">
        <v>0</v>
      </c>
    </row>
    <row r="11">
      <c r="A11" s="23" t="s">
        <v>250</v>
      </c>
      <c r="B11" s="23" t="s">
        <v>307</v>
      </c>
      <c r="C11" s="24" t="s">
        <v>308</v>
      </c>
      <c r="D11" s="25" t="b">
        <v>0</v>
      </c>
    </row>
    <row r="12">
      <c r="A12" s="23" t="s">
        <v>138</v>
      </c>
      <c r="B12" s="23" t="s">
        <v>139</v>
      </c>
      <c r="C12" s="24" t="s">
        <v>140</v>
      </c>
      <c r="D12" s="25" t="b">
        <v>0</v>
      </c>
    </row>
    <row r="13">
      <c r="A13" s="23" t="s">
        <v>111</v>
      </c>
      <c r="B13" s="23" t="s">
        <v>112</v>
      </c>
      <c r="C13" s="24" t="s">
        <v>113</v>
      </c>
      <c r="D13" s="25" t="b">
        <v>0</v>
      </c>
    </row>
    <row r="14">
      <c r="A14" s="23" t="s">
        <v>247</v>
      </c>
      <c r="B14" s="23" t="s">
        <v>248</v>
      </c>
      <c r="C14" s="24" t="s">
        <v>249</v>
      </c>
      <c r="D14" s="25" t="b">
        <v>0</v>
      </c>
    </row>
    <row r="15">
      <c r="A15" s="23" t="s">
        <v>118</v>
      </c>
      <c r="B15" s="23" t="s">
        <v>134</v>
      </c>
      <c r="C15" s="24" t="s">
        <v>135</v>
      </c>
      <c r="D15" s="25" t="b">
        <v>0</v>
      </c>
    </row>
    <row r="16">
      <c r="A16" s="23" t="s">
        <v>128</v>
      </c>
      <c r="B16" s="23" t="s">
        <v>232</v>
      </c>
      <c r="C16" s="24" t="s">
        <v>233</v>
      </c>
      <c r="D16" s="25" t="b">
        <v>1</v>
      </c>
    </row>
    <row r="17">
      <c r="A17" s="23" t="s">
        <v>314</v>
      </c>
      <c r="B17" s="23" t="s">
        <v>339</v>
      </c>
      <c r="C17" s="26" t="s">
        <v>340</v>
      </c>
      <c r="D17" s="25" t="b">
        <v>1</v>
      </c>
      <c r="E17" s="5" t="s">
        <v>344</v>
      </c>
    </row>
    <row r="18">
      <c r="A18" s="23" t="s">
        <v>81</v>
      </c>
      <c r="B18" s="23" t="s">
        <v>326</v>
      </c>
      <c r="C18" s="24" t="s">
        <v>327</v>
      </c>
      <c r="D18" s="25" t="b">
        <v>1</v>
      </c>
      <c r="E18" s="5" t="s">
        <v>345</v>
      </c>
    </row>
    <row r="19">
      <c r="A19" s="23" t="s">
        <v>81</v>
      </c>
      <c r="B19" s="23" t="s">
        <v>82</v>
      </c>
      <c r="C19" s="24" t="s">
        <v>83</v>
      </c>
      <c r="D19" s="25" t="b">
        <v>0</v>
      </c>
    </row>
    <row r="20">
      <c r="A20" s="23" t="s">
        <v>97</v>
      </c>
      <c r="B20" s="23" t="s">
        <v>136</v>
      </c>
      <c r="C20" s="24" t="s">
        <v>137</v>
      </c>
      <c r="D20" s="25" t="b">
        <v>0</v>
      </c>
    </row>
    <row r="21">
      <c r="A21" s="23" t="s">
        <v>169</v>
      </c>
      <c r="B21" s="23" t="s">
        <v>285</v>
      </c>
      <c r="C21" s="24" t="s">
        <v>286</v>
      </c>
      <c r="D21" s="25" t="b">
        <v>1</v>
      </c>
      <c r="E21" s="5" t="s">
        <v>346</v>
      </c>
    </row>
    <row r="22">
      <c r="A22" s="23" t="s">
        <v>193</v>
      </c>
      <c r="B22" s="23" t="s">
        <v>194</v>
      </c>
      <c r="C22" s="24" t="s">
        <v>195</v>
      </c>
      <c r="D22" s="25" t="b">
        <v>0</v>
      </c>
    </row>
    <row r="23">
      <c r="A23" s="23" t="s">
        <v>229</v>
      </c>
      <c r="B23" s="23" t="s">
        <v>230</v>
      </c>
      <c r="C23" s="24" t="s">
        <v>231</v>
      </c>
      <c r="D23" s="25" t="b">
        <v>1</v>
      </c>
    </row>
    <row r="24">
      <c r="A24" s="23" t="s">
        <v>97</v>
      </c>
      <c r="B24" s="23" t="s">
        <v>98</v>
      </c>
      <c r="C24" s="24" t="s">
        <v>99</v>
      </c>
      <c r="D24" s="25" t="b">
        <v>0</v>
      </c>
    </row>
    <row r="25">
      <c r="A25" s="23" t="s">
        <v>111</v>
      </c>
      <c r="B25" s="23" t="s">
        <v>335</v>
      </c>
      <c r="C25" s="24" t="s">
        <v>336</v>
      </c>
      <c r="D25" s="25" t="b">
        <v>1</v>
      </c>
    </row>
    <row r="26">
      <c r="A26" s="23" t="s">
        <v>172</v>
      </c>
      <c r="B26" s="23" t="s">
        <v>173</v>
      </c>
      <c r="C26" s="24" t="s">
        <v>174</v>
      </c>
      <c r="D26" s="25" t="s">
        <v>341</v>
      </c>
    </row>
    <row r="27">
      <c r="A27" s="23" t="s">
        <v>150</v>
      </c>
      <c r="B27" s="23" t="s">
        <v>151</v>
      </c>
      <c r="C27" s="24" t="s">
        <v>152</v>
      </c>
      <c r="D27" s="25" t="b">
        <v>0</v>
      </c>
    </row>
    <row r="28">
      <c r="A28" s="23" t="s">
        <v>108</v>
      </c>
      <c r="B28" s="23" t="s">
        <v>109</v>
      </c>
      <c r="C28" s="24" t="s">
        <v>110</v>
      </c>
      <c r="D28" s="25" t="b">
        <v>0</v>
      </c>
    </row>
    <row r="29">
      <c r="A29" s="23" t="s">
        <v>144</v>
      </c>
      <c r="B29" s="23" t="s">
        <v>271</v>
      </c>
      <c r="C29" s="24" t="s">
        <v>272</v>
      </c>
      <c r="D29" s="25" t="b">
        <v>0</v>
      </c>
      <c r="E29" s="5" t="s">
        <v>347</v>
      </c>
    </row>
    <row r="30">
      <c r="A30" s="23" t="s">
        <v>71</v>
      </c>
      <c r="B30" s="23" t="s">
        <v>72</v>
      </c>
      <c r="C30" s="24" t="s">
        <v>73</v>
      </c>
      <c r="D30" s="25" t="b">
        <v>1</v>
      </c>
    </row>
    <row r="31">
      <c r="A31" s="23" t="s">
        <v>128</v>
      </c>
      <c r="B31" s="23" t="s">
        <v>333</v>
      </c>
      <c r="C31" s="24" t="s">
        <v>334</v>
      </c>
      <c r="D31" s="25" t="b">
        <v>1</v>
      </c>
    </row>
    <row r="32">
      <c r="A32" s="23" t="s">
        <v>141</v>
      </c>
      <c r="B32" s="23" t="s">
        <v>142</v>
      </c>
      <c r="C32" s="24" t="s">
        <v>143</v>
      </c>
      <c r="D32" s="25" t="b">
        <v>1</v>
      </c>
    </row>
    <row r="33">
      <c r="A33" s="23" t="s">
        <v>203</v>
      </c>
      <c r="B33" s="23" t="s">
        <v>240</v>
      </c>
      <c r="C33" s="24" t="s">
        <v>241</v>
      </c>
      <c r="D33" s="25" t="b">
        <v>1</v>
      </c>
    </row>
    <row r="34">
      <c r="A34" s="23" t="s">
        <v>144</v>
      </c>
      <c r="B34" s="23" t="s">
        <v>154</v>
      </c>
      <c r="C34" s="24" t="s">
        <v>155</v>
      </c>
      <c r="D34" s="25" t="b">
        <v>0</v>
      </c>
    </row>
    <row r="35">
      <c r="A35" s="23" t="s">
        <v>176</v>
      </c>
      <c r="B35" s="23" t="s">
        <v>209</v>
      </c>
      <c r="C35" s="24" t="s">
        <v>210</v>
      </c>
      <c r="D35" s="25" t="s">
        <v>341</v>
      </c>
    </row>
    <row r="36">
      <c r="A36" s="23" t="s">
        <v>282</v>
      </c>
      <c r="B36" s="23" t="s">
        <v>283</v>
      </c>
      <c r="C36" s="24" t="s">
        <v>284</v>
      </c>
      <c r="D36" s="25" t="b">
        <v>0</v>
      </c>
    </row>
    <row r="37">
      <c r="A37" s="23" t="s">
        <v>224</v>
      </c>
      <c r="B37" s="23" t="s">
        <v>225</v>
      </c>
      <c r="C37" s="24" t="s">
        <v>226</v>
      </c>
      <c r="D37" s="25" t="b">
        <v>0</v>
      </c>
    </row>
    <row r="38">
      <c r="A38" s="23" t="s">
        <v>131</v>
      </c>
      <c r="B38" s="23" t="s">
        <v>181</v>
      </c>
      <c r="C38" s="24" t="s">
        <v>182</v>
      </c>
      <c r="D38" s="25" t="b">
        <v>0</v>
      </c>
    </row>
    <row r="39">
      <c r="A39" s="23" t="s">
        <v>221</v>
      </c>
      <c r="B39" s="23" t="s">
        <v>222</v>
      </c>
      <c r="C39" s="24" t="s">
        <v>223</v>
      </c>
      <c r="D39" s="25" t="b">
        <v>0</v>
      </c>
    </row>
    <row r="40">
      <c r="A40" s="23" t="s">
        <v>159</v>
      </c>
      <c r="B40" s="23" t="s">
        <v>160</v>
      </c>
      <c r="C40" s="24" t="s">
        <v>161</v>
      </c>
      <c r="D40" s="25" t="b">
        <v>1</v>
      </c>
    </row>
    <row r="41">
      <c r="A41" s="23" t="s">
        <v>97</v>
      </c>
      <c r="B41" s="23" t="s">
        <v>322</v>
      </c>
      <c r="C41" s="24" t="s">
        <v>323</v>
      </c>
      <c r="D41" s="25" t="b">
        <v>0</v>
      </c>
    </row>
    <row r="42">
      <c r="A42" s="23" t="s">
        <v>92</v>
      </c>
      <c r="B42" s="23" t="s">
        <v>95</v>
      </c>
      <c r="C42" s="24" t="s">
        <v>96</v>
      </c>
      <c r="D42" s="25" t="b">
        <v>0</v>
      </c>
    </row>
    <row r="43">
      <c r="A43" s="23" t="s">
        <v>301</v>
      </c>
      <c r="B43" s="23" t="s">
        <v>302</v>
      </c>
      <c r="C43" s="24" t="s">
        <v>303</v>
      </c>
      <c r="D43" s="25" t="b">
        <v>1</v>
      </c>
    </row>
    <row r="44">
      <c r="A44" s="23" t="s">
        <v>81</v>
      </c>
      <c r="B44" s="23" t="s">
        <v>121</v>
      </c>
      <c r="C44" s="24" t="s">
        <v>122</v>
      </c>
      <c r="D44" s="25" t="b">
        <v>0</v>
      </c>
    </row>
    <row r="45">
      <c r="A45" s="23" t="s">
        <v>256</v>
      </c>
      <c r="B45" s="23" t="s">
        <v>292</v>
      </c>
      <c r="C45" s="24" t="s">
        <v>293</v>
      </c>
      <c r="D45" s="25" t="b">
        <v>0</v>
      </c>
    </row>
    <row r="46">
      <c r="A46" s="23" t="s">
        <v>250</v>
      </c>
      <c r="B46" s="23" t="s">
        <v>251</v>
      </c>
      <c r="C46" s="24" t="s">
        <v>252</v>
      </c>
      <c r="D46" s="25" t="b">
        <v>0</v>
      </c>
    </row>
    <row r="47">
      <c r="A47" s="23" t="s">
        <v>147</v>
      </c>
      <c r="B47" s="23" t="s">
        <v>148</v>
      </c>
      <c r="C47" s="24" t="s">
        <v>149</v>
      </c>
      <c r="D47" s="25" t="b">
        <v>0</v>
      </c>
    </row>
    <row r="48">
      <c r="A48" s="23" t="s">
        <v>144</v>
      </c>
      <c r="B48" s="23" t="s">
        <v>245</v>
      </c>
      <c r="C48" s="24" t="s">
        <v>246</v>
      </c>
      <c r="D48" s="25" t="b">
        <v>1</v>
      </c>
    </row>
    <row r="49">
      <c r="A49" s="23" t="s">
        <v>211</v>
      </c>
      <c r="B49" s="23" t="s">
        <v>212</v>
      </c>
      <c r="C49" s="24" t="s">
        <v>213</v>
      </c>
      <c r="D49" s="25" t="b">
        <v>0</v>
      </c>
    </row>
    <row r="50">
      <c r="A50" s="23" t="s">
        <v>156</v>
      </c>
      <c r="B50" s="23" t="s">
        <v>157</v>
      </c>
      <c r="C50" s="24" t="s">
        <v>158</v>
      </c>
      <c r="D50" s="25" t="b">
        <v>0</v>
      </c>
    </row>
    <row r="51">
      <c r="A51" s="23" t="s">
        <v>256</v>
      </c>
      <c r="B51" s="23" t="s">
        <v>257</v>
      </c>
      <c r="C51" s="24" t="s">
        <v>258</v>
      </c>
      <c r="D51" s="25" t="b">
        <v>0</v>
      </c>
    </row>
    <row r="52">
      <c r="A52" s="23" t="s">
        <v>317</v>
      </c>
      <c r="B52" s="23" t="s">
        <v>318</v>
      </c>
      <c r="C52" s="24" t="s">
        <v>319</v>
      </c>
      <c r="D52" s="25" t="b">
        <v>0</v>
      </c>
    </row>
    <row r="53">
      <c r="A53" s="23" t="s">
        <v>128</v>
      </c>
      <c r="B53" s="23" t="s">
        <v>311</v>
      </c>
      <c r="C53" s="26" t="s">
        <v>312</v>
      </c>
      <c r="D53" s="25" t="b">
        <v>1</v>
      </c>
      <c r="E53" s="5" t="s">
        <v>348</v>
      </c>
    </row>
    <row r="54">
      <c r="A54" s="23" t="s">
        <v>186</v>
      </c>
      <c r="B54" s="23" t="s">
        <v>187</v>
      </c>
      <c r="C54" s="24" t="s">
        <v>188</v>
      </c>
      <c r="D54" s="25" t="b">
        <v>0</v>
      </c>
    </row>
    <row r="55">
      <c r="A55" s="23" t="s">
        <v>111</v>
      </c>
      <c r="B55" s="23" t="s">
        <v>320</v>
      </c>
      <c r="C55" s="24" t="s">
        <v>321</v>
      </c>
      <c r="D55" s="25" t="b">
        <v>0</v>
      </c>
    </row>
    <row r="56">
      <c r="A56" s="23" t="s">
        <v>268</v>
      </c>
      <c r="B56" s="23" t="s">
        <v>269</v>
      </c>
      <c r="C56" s="24" t="s">
        <v>270</v>
      </c>
      <c r="D56" s="25" t="b">
        <v>0</v>
      </c>
    </row>
    <row r="57">
      <c r="A57" s="23" t="s">
        <v>111</v>
      </c>
      <c r="B57" s="23" t="s">
        <v>259</v>
      </c>
      <c r="C57" s="24" t="s">
        <v>260</v>
      </c>
      <c r="D57" s="25" t="b">
        <v>0</v>
      </c>
    </row>
    <row r="58">
      <c r="A58" s="23" t="s">
        <v>265</v>
      </c>
      <c r="B58" s="23" t="s">
        <v>266</v>
      </c>
      <c r="C58" s="24" t="s">
        <v>267</v>
      </c>
      <c r="D58" s="25" t="b">
        <v>1</v>
      </c>
      <c r="E58" s="5" t="s">
        <v>349</v>
      </c>
    </row>
    <row r="59">
      <c r="A59" s="23" t="s">
        <v>183</v>
      </c>
      <c r="B59" s="23" t="s">
        <v>184</v>
      </c>
      <c r="C59" s="24" t="s">
        <v>185</v>
      </c>
      <c r="D59" s="25" t="b">
        <v>0</v>
      </c>
    </row>
    <row r="60">
      <c r="A60" s="23" t="s">
        <v>89</v>
      </c>
      <c r="B60" s="23" t="s">
        <v>90</v>
      </c>
      <c r="C60" s="24" t="s">
        <v>91</v>
      </c>
      <c r="D60" s="25" t="b">
        <v>1</v>
      </c>
    </row>
    <row r="61">
      <c r="A61" s="23" t="s">
        <v>236</v>
      </c>
      <c r="B61" s="23" t="s">
        <v>237</v>
      </c>
      <c r="C61" s="24" t="s">
        <v>238</v>
      </c>
      <c r="D61" s="25" t="b">
        <v>1</v>
      </c>
    </row>
    <row r="62">
      <c r="A62" s="23" t="s">
        <v>115</v>
      </c>
      <c r="B62" s="23" t="s">
        <v>116</v>
      </c>
      <c r="C62" s="24" t="s">
        <v>117</v>
      </c>
      <c r="D62" s="25" t="b">
        <v>0</v>
      </c>
    </row>
    <row r="63">
      <c r="A63" s="23" t="s">
        <v>144</v>
      </c>
      <c r="B63" s="23" t="s">
        <v>196</v>
      </c>
      <c r="C63" s="24" t="s">
        <v>197</v>
      </c>
      <c r="D63" s="25" t="b">
        <v>0</v>
      </c>
    </row>
    <row r="64">
      <c r="A64" s="23" t="s">
        <v>147</v>
      </c>
      <c r="B64" s="23" t="s">
        <v>294</v>
      </c>
      <c r="C64" s="24" t="s">
        <v>295</v>
      </c>
      <c r="D64" s="25" t="b">
        <v>1</v>
      </c>
    </row>
    <row r="65">
      <c r="A65" s="23" t="s">
        <v>144</v>
      </c>
      <c r="B65" s="23" t="s">
        <v>189</v>
      </c>
      <c r="C65" s="24" t="s">
        <v>190</v>
      </c>
      <c r="D65" s="25" t="b">
        <v>1</v>
      </c>
    </row>
    <row r="66">
      <c r="A66" s="23" t="s">
        <v>101</v>
      </c>
      <c r="B66" s="23" t="s">
        <v>102</v>
      </c>
      <c r="C66" s="24" t="s">
        <v>103</v>
      </c>
      <c r="D66" s="25" t="b">
        <v>0</v>
      </c>
    </row>
    <row r="67">
      <c r="A67" s="23" t="s">
        <v>104</v>
      </c>
      <c r="B67" s="23" t="s">
        <v>105</v>
      </c>
      <c r="C67" s="24" t="s">
        <v>106</v>
      </c>
      <c r="D67" s="25" t="b">
        <v>0</v>
      </c>
      <c r="E67" s="5" t="s">
        <v>350</v>
      </c>
    </row>
    <row r="68">
      <c r="A68" s="23" t="s">
        <v>242</v>
      </c>
      <c r="B68" s="23" t="s">
        <v>243</v>
      </c>
      <c r="C68" s="24" t="s">
        <v>244</v>
      </c>
      <c r="D68" s="25" t="b">
        <v>0</v>
      </c>
      <c r="E68" s="5" t="s">
        <v>351</v>
      </c>
    </row>
    <row r="69">
      <c r="A69" s="23" t="s">
        <v>89</v>
      </c>
      <c r="B69" s="23" t="s">
        <v>309</v>
      </c>
      <c r="C69" s="24" t="s">
        <v>310</v>
      </c>
      <c r="D69" s="25" t="b">
        <v>1</v>
      </c>
    </row>
    <row r="70">
      <c r="A70" s="23" t="s">
        <v>206</v>
      </c>
      <c r="B70" s="23" t="s">
        <v>207</v>
      </c>
      <c r="C70" s="24" t="s">
        <v>208</v>
      </c>
      <c r="D70" s="25" t="b">
        <v>0</v>
      </c>
    </row>
    <row r="71">
      <c r="A71" s="23" t="s">
        <v>92</v>
      </c>
      <c r="B71" s="23" t="s">
        <v>93</v>
      </c>
      <c r="C71" s="24" t="s">
        <v>94</v>
      </c>
      <c r="D71" s="25" t="b">
        <v>1</v>
      </c>
    </row>
    <row r="72">
      <c r="A72" s="23" t="s">
        <v>169</v>
      </c>
      <c r="B72" s="23" t="s">
        <v>170</v>
      </c>
      <c r="C72" s="24" t="s">
        <v>171</v>
      </c>
      <c r="D72" s="25" t="b">
        <v>0</v>
      </c>
    </row>
    <row r="73">
      <c r="A73" s="23" t="s">
        <v>250</v>
      </c>
      <c r="B73" s="23" t="s">
        <v>329</v>
      </c>
      <c r="C73" s="24" t="s">
        <v>330</v>
      </c>
      <c r="D73" s="25" t="b">
        <v>1</v>
      </c>
    </row>
    <row r="74">
      <c r="A74" s="23" t="s">
        <v>215</v>
      </c>
      <c r="B74" s="23" t="s">
        <v>216</v>
      </c>
      <c r="C74" s="24" t="s">
        <v>217</v>
      </c>
      <c r="D74" s="25" t="b">
        <v>1</v>
      </c>
    </row>
    <row r="75">
      <c r="A75" s="23" t="s">
        <v>125</v>
      </c>
      <c r="B75" s="23" t="s">
        <v>126</v>
      </c>
      <c r="C75" s="24" t="s">
        <v>127</v>
      </c>
      <c r="D75" s="25" t="b">
        <v>0</v>
      </c>
    </row>
    <row r="76">
      <c r="A76" s="23" t="s">
        <v>128</v>
      </c>
      <c r="B76" s="23" t="s">
        <v>129</v>
      </c>
      <c r="C76" s="24" t="s">
        <v>130</v>
      </c>
      <c r="D76" s="25" t="b">
        <v>1</v>
      </c>
    </row>
    <row r="77">
      <c r="A77" s="23" t="s">
        <v>144</v>
      </c>
      <c r="B77" s="23" t="s">
        <v>261</v>
      </c>
      <c r="C77" s="24" t="s">
        <v>262</v>
      </c>
      <c r="D77" s="25" t="b">
        <v>0</v>
      </c>
    </row>
    <row r="78">
      <c r="A78" s="23" t="s">
        <v>203</v>
      </c>
      <c r="B78" s="23" t="s">
        <v>204</v>
      </c>
      <c r="C78" s="24" t="s">
        <v>205</v>
      </c>
      <c r="D78" s="25" t="b">
        <v>1</v>
      </c>
    </row>
    <row r="79">
      <c r="A79" s="23" t="s">
        <v>97</v>
      </c>
      <c r="B79" s="23" t="s">
        <v>276</v>
      </c>
      <c r="C79" s="24" t="s">
        <v>277</v>
      </c>
      <c r="D79" s="25" t="b">
        <v>1</v>
      </c>
    </row>
    <row r="80">
      <c r="A80" s="23" t="s">
        <v>147</v>
      </c>
      <c r="B80" s="23" t="s">
        <v>179</v>
      </c>
      <c r="C80" s="24" t="s">
        <v>180</v>
      </c>
      <c r="D80" s="25" t="b">
        <v>0</v>
      </c>
    </row>
    <row r="81">
      <c r="A81" s="23" t="s">
        <v>273</v>
      </c>
      <c r="B81" s="23" t="s">
        <v>280</v>
      </c>
      <c r="C81" s="24" t="s">
        <v>281</v>
      </c>
      <c r="D81" s="25" t="b">
        <v>0</v>
      </c>
    </row>
    <row r="82">
      <c r="A82" s="23" t="s">
        <v>273</v>
      </c>
      <c r="B82" s="23" t="s">
        <v>274</v>
      </c>
      <c r="C82" s="24" t="s">
        <v>275</v>
      </c>
      <c r="D82" s="25" t="b">
        <v>0</v>
      </c>
    </row>
    <row r="83">
      <c r="A83" s="23" t="s">
        <v>111</v>
      </c>
      <c r="B83" s="23" t="s">
        <v>123</v>
      </c>
      <c r="C83" s="24" t="s">
        <v>124</v>
      </c>
      <c r="D83" s="25" t="b">
        <v>0</v>
      </c>
    </row>
    <row r="84">
      <c r="A84" s="23" t="s">
        <v>128</v>
      </c>
      <c r="B84" s="23" t="s">
        <v>299</v>
      </c>
      <c r="C84" s="24" t="s">
        <v>300</v>
      </c>
      <c r="D84" s="25" t="b">
        <v>1</v>
      </c>
    </row>
    <row r="85">
      <c r="A85" s="23" t="s">
        <v>131</v>
      </c>
      <c r="B85" s="23" t="s">
        <v>132</v>
      </c>
      <c r="C85" s="24" t="s">
        <v>133</v>
      </c>
      <c r="D85" s="25" t="b">
        <v>0</v>
      </c>
    </row>
    <row r="86">
      <c r="A86" s="23" t="s">
        <v>218</v>
      </c>
      <c r="B86" s="23" t="s">
        <v>219</v>
      </c>
      <c r="C86" s="24" t="s">
        <v>220</v>
      </c>
      <c r="D86" s="25" t="b">
        <v>0</v>
      </c>
    </row>
    <row r="87">
      <c r="A87" s="23" t="s">
        <v>144</v>
      </c>
      <c r="B87" s="23" t="s">
        <v>263</v>
      </c>
      <c r="C87" s="24" t="s">
        <v>264</v>
      </c>
      <c r="D87" s="25" t="b">
        <v>1</v>
      </c>
    </row>
    <row r="88">
      <c r="A88" s="23" t="s">
        <v>78</v>
      </c>
      <c r="B88" s="23" t="s">
        <v>79</v>
      </c>
      <c r="C88" s="24" t="s">
        <v>80</v>
      </c>
      <c r="D88" s="25" t="b">
        <v>1</v>
      </c>
    </row>
    <row r="89">
      <c r="A89" s="23" t="s">
        <v>215</v>
      </c>
      <c r="B89" s="23" t="s">
        <v>337</v>
      </c>
      <c r="C89" s="24" t="s">
        <v>338</v>
      </c>
      <c r="D89" s="25" t="b">
        <v>0</v>
      </c>
    </row>
    <row r="90">
      <c r="A90" s="23" t="s">
        <v>162</v>
      </c>
      <c r="B90" s="23" t="s">
        <v>163</v>
      </c>
      <c r="C90" s="24" t="s">
        <v>164</v>
      </c>
      <c r="D90" s="25" t="b">
        <v>0</v>
      </c>
    </row>
    <row r="91">
      <c r="A91" s="23" t="s">
        <v>314</v>
      </c>
      <c r="B91" s="23" t="s">
        <v>315</v>
      </c>
      <c r="C91" s="24" t="s">
        <v>316</v>
      </c>
      <c r="D91" s="25" t="b">
        <v>1</v>
      </c>
    </row>
    <row r="92">
      <c r="A92" s="23" t="s">
        <v>166</v>
      </c>
      <c r="B92" s="23" t="s">
        <v>287</v>
      </c>
      <c r="C92" s="24" t="s">
        <v>288</v>
      </c>
      <c r="D92" s="25" t="b">
        <v>1</v>
      </c>
    </row>
    <row r="93">
      <c r="A93" s="23" t="s">
        <v>253</v>
      </c>
      <c r="B93" s="23" t="s">
        <v>254</v>
      </c>
      <c r="C93" s="24" t="s">
        <v>255</v>
      </c>
      <c r="D93" s="25" t="b">
        <v>0</v>
      </c>
    </row>
    <row r="94">
      <c r="A94" s="23" t="s">
        <v>221</v>
      </c>
      <c r="B94" s="23" t="s">
        <v>278</v>
      </c>
      <c r="C94" s="24" t="s">
        <v>279</v>
      </c>
      <c r="D94" s="25" t="b">
        <v>0</v>
      </c>
    </row>
    <row r="95">
      <c r="A95" s="23" t="s">
        <v>144</v>
      </c>
      <c r="B95" s="23" t="s">
        <v>145</v>
      </c>
      <c r="C95" s="24" t="s">
        <v>146</v>
      </c>
      <c r="D95" s="25" t="b">
        <v>1</v>
      </c>
    </row>
    <row r="96">
      <c r="A96" s="23" t="s">
        <v>144</v>
      </c>
      <c r="B96" s="23" t="s">
        <v>198</v>
      </c>
      <c r="C96" s="24" t="s">
        <v>199</v>
      </c>
      <c r="D96" s="25" t="b">
        <v>0</v>
      </c>
    </row>
    <row r="97">
      <c r="A97" s="23" t="s">
        <v>186</v>
      </c>
      <c r="B97" s="23" t="s">
        <v>227</v>
      </c>
      <c r="C97" s="24" t="s">
        <v>228</v>
      </c>
      <c r="D97" s="25" t="b">
        <v>1</v>
      </c>
    </row>
    <row r="98">
      <c r="A98" s="23" t="s">
        <v>166</v>
      </c>
      <c r="B98" s="23" t="s">
        <v>167</v>
      </c>
      <c r="C98" s="24" t="s">
        <v>168</v>
      </c>
      <c r="D98" s="25" t="b">
        <v>1</v>
      </c>
    </row>
    <row r="99">
      <c r="A99" s="23" t="s">
        <v>176</v>
      </c>
      <c r="B99" s="23" t="s">
        <v>177</v>
      </c>
      <c r="C99" s="24" t="s">
        <v>178</v>
      </c>
      <c r="D99" s="25" t="b">
        <v>1</v>
      </c>
    </row>
    <row r="100">
      <c r="A100" s="23" t="s">
        <v>200</v>
      </c>
      <c r="B100" s="23" t="s">
        <v>201</v>
      </c>
      <c r="C100" s="24" t="s">
        <v>202</v>
      </c>
      <c r="D100" s="25" t="b">
        <v>1</v>
      </c>
    </row>
    <row r="101">
      <c r="A101" s="23" t="s">
        <v>304</v>
      </c>
      <c r="B101" s="23" t="s">
        <v>305</v>
      </c>
      <c r="C101" s="24" t="s">
        <v>306</v>
      </c>
      <c r="D101" s="25" t="b">
        <v>0</v>
      </c>
    </row>
  </sheetData>
  <dataValidations>
    <dataValidation type="list" allowBlank="1" showErrorMessage="1" sqref="D2:D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02.63"/>
    <col customWidth="1" min="4" max="4" width="19.75"/>
    <col customWidth="1" min="5" max="5" width="60.63"/>
  </cols>
  <sheetData>
    <row r="1">
      <c r="A1" s="20" t="s">
        <v>66</v>
      </c>
      <c r="B1" s="20" t="s">
        <v>67</v>
      </c>
      <c r="C1" s="21" t="s">
        <v>68</v>
      </c>
      <c r="D1" s="22" t="s">
        <v>69</v>
      </c>
      <c r="E1" s="15" t="s">
        <v>70</v>
      </c>
    </row>
    <row r="2">
      <c r="A2" s="23" t="s">
        <v>193</v>
      </c>
      <c r="B2" s="23" t="s">
        <v>194</v>
      </c>
      <c r="C2" s="24" t="s">
        <v>195</v>
      </c>
      <c r="D2" s="25" t="b">
        <v>0</v>
      </c>
    </row>
    <row r="3">
      <c r="A3" s="23" t="s">
        <v>296</v>
      </c>
      <c r="B3" s="23" t="s">
        <v>297</v>
      </c>
      <c r="C3" s="24" t="s">
        <v>298</v>
      </c>
      <c r="D3" s="25" t="b">
        <v>0</v>
      </c>
    </row>
    <row r="4">
      <c r="A4" s="23" t="s">
        <v>166</v>
      </c>
      <c r="B4" s="23" t="s">
        <v>287</v>
      </c>
      <c r="C4" s="24" t="s">
        <v>288</v>
      </c>
      <c r="D4" s="25" t="b">
        <v>1</v>
      </c>
      <c r="E4" s="5" t="s">
        <v>352</v>
      </c>
    </row>
    <row r="5">
      <c r="A5" s="23" t="s">
        <v>166</v>
      </c>
      <c r="B5" s="23" t="s">
        <v>167</v>
      </c>
      <c r="C5" s="24" t="s">
        <v>168</v>
      </c>
      <c r="D5" s="25" t="b">
        <v>1</v>
      </c>
      <c r="E5" s="5">
        <v>3.1</v>
      </c>
    </row>
    <row r="6">
      <c r="A6" s="23" t="s">
        <v>250</v>
      </c>
      <c r="B6" s="23" t="s">
        <v>329</v>
      </c>
      <c r="C6" s="24" t="s">
        <v>330</v>
      </c>
      <c r="D6" s="25" t="b">
        <v>0</v>
      </c>
    </row>
    <row r="7">
      <c r="A7" s="23" t="s">
        <v>115</v>
      </c>
      <c r="B7" s="23" t="s">
        <v>191</v>
      </c>
      <c r="C7" s="24" t="s">
        <v>192</v>
      </c>
      <c r="D7" s="25" t="b">
        <v>0</v>
      </c>
      <c r="E7" s="5" t="s">
        <v>353</v>
      </c>
    </row>
    <row r="8">
      <c r="A8" s="23" t="s">
        <v>265</v>
      </c>
      <c r="B8" s="23" t="s">
        <v>266</v>
      </c>
      <c r="C8" s="24" t="s">
        <v>267</v>
      </c>
      <c r="D8" s="25" t="b">
        <v>1</v>
      </c>
      <c r="E8" s="5" t="s">
        <v>354</v>
      </c>
    </row>
    <row r="9">
      <c r="A9" s="23" t="s">
        <v>186</v>
      </c>
      <c r="B9" s="23" t="s">
        <v>187</v>
      </c>
      <c r="C9" s="24" t="s">
        <v>188</v>
      </c>
      <c r="D9" s="25" t="b">
        <v>0</v>
      </c>
    </row>
    <row r="10">
      <c r="A10" s="23" t="s">
        <v>125</v>
      </c>
      <c r="B10" s="23" t="s">
        <v>126</v>
      </c>
      <c r="C10" s="24" t="s">
        <v>127</v>
      </c>
      <c r="D10" s="25" t="b">
        <v>1</v>
      </c>
      <c r="E10" s="5" t="s">
        <v>354</v>
      </c>
    </row>
    <row r="11">
      <c r="A11" s="23" t="s">
        <v>118</v>
      </c>
      <c r="B11" s="23" t="s">
        <v>134</v>
      </c>
      <c r="C11" s="24" t="s">
        <v>135</v>
      </c>
      <c r="D11" s="25" t="b">
        <v>0</v>
      </c>
    </row>
    <row r="12">
      <c r="A12" s="23" t="s">
        <v>317</v>
      </c>
      <c r="B12" s="23" t="s">
        <v>318</v>
      </c>
      <c r="C12" s="24" t="s">
        <v>319</v>
      </c>
      <c r="D12" s="25" t="b">
        <v>1</v>
      </c>
      <c r="E12" s="5" t="s">
        <v>355</v>
      </c>
    </row>
    <row r="13">
      <c r="A13" s="23" t="s">
        <v>111</v>
      </c>
      <c r="B13" s="23" t="s">
        <v>123</v>
      </c>
      <c r="C13" s="24" t="s">
        <v>124</v>
      </c>
      <c r="D13" s="25" t="b">
        <v>0</v>
      </c>
      <c r="E13" s="5" t="s">
        <v>356</v>
      </c>
    </row>
    <row r="14">
      <c r="A14" s="23" t="s">
        <v>314</v>
      </c>
      <c r="B14" s="23" t="s">
        <v>339</v>
      </c>
      <c r="C14" s="24" t="s">
        <v>340</v>
      </c>
      <c r="D14" s="25" t="b">
        <v>1</v>
      </c>
      <c r="E14" s="5">
        <v>3.2</v>
      </c>
    </row>
    <row r="15">
      <c r="A15" s="23" t="s">
        <v>200</v>
      </c>
      <c r="B15" s="23" t="s">
        <v>201</v>
      </c>
      <c r="C15" s="24" t="s">
        <v>202</v>
      </c>
      <c r="D15" s="25" t="b">
        <v>1</v>
      </c>
      <c r="E15" s="5">
        <v>3.6</v>
      </c>
    </row>
    <row r="16">
      <c r="A16" s="23" t="s">
        <v>81</v>
      </c>
      <c r="B16" s="23" t="s">
        <v>326</v>
      </c>
      <c r="C16" s="24" t="s">
        <v>327</v>
      </c>
      <c r="D16" s="25" t="b">
        <v>1</v>
      </c>
      <c r="E16" s="5">
        <v>3.8</v>
      </c>
    </row>
    <row r="17">
      <c r="A17" s="23" t="s">
        <v>147</v>
      </c>
      <c r="B17" s="23" t="s">
        <v>148</v>
      </c>
      <c r="C17" s="24" t="s">
        <v>149</v>
      </c>
      <c r="D17" s="25" t="b">
        <v>1</v>
      </c>
      <c r="E17" s="5">
        <v>3.6</v>
      </c>
    </row>
    <row r="18">
      <c r="A18" s="23" t="s">
        <v>203</v>
      </c>
      <c r="B18" s="23" t="s">
        <v>204</v>
      </c>
      <c r="C18" s="24" t="s">
        <v>205</v>
      </c>
      <c r="D18" s="25" t="b">
        <v>1</v>
      </c>
      <c r="E18" s="5" t="s">
        <v>357</v>
      </c>
    </row>
    <row r="19">
      <c r="A19" s="23" t="s">
        <v>144</v>
      </c>
      <c r="B19" s="23" t="s">
        <v>271</v>
      </c>
      <c r="C19" s="24" t="s">
        <v>272</v>
      </c>
      <c r="D19" s="25" t="b">
        <v>0</v>
      </c>
    </row>
    <row r="20">
      <c r="A20" s="23" t="s">
        <v>183</v>
      </c>
      <c r="B20" s="23" t="s">
        <v>184</v>
      </c>
      <c r="C20" s="24" t="s">
        <v>185</v>
      </c>
      <c r="D20" s="25" t="b">
        <v>0</v>
      </c>
    </row>
    <row r="21">
      <c r="A21" s="23" t="s">
        <v>111</v>
      </c>
      <c r="B21" s="23" t="s">
        <v>335</v>
      </c>
      <c r="C21" s="24" t="s">
        <v>336</v>
      </c>
      <c r="D21" s="25" t="b">
        <v>1</v>
      </c>
    </row>
    <row r="22">
      <c r="A22" s="23" t="s">
        <v>144</v>
      </c>
      <c r="B22" s="23" t="s">
        <v>189</v>
      </c>
      <c r="C22" s="24" t="s">
        <v>190</v>
      </c>
      <c r="D22" s="25" t="b">
        <v>0</v>
      </c>
    </row>
    <row r="23">
      <c r="A23" s="23" t="s">
        <v>131</v>
      </c>
      <c r="B23" s="23" t="s">
        <v>132</v>
      </c>
      <c r="C23" s="24" t="s">
        <v>133</v>
      </c>
      <c r="D23" s="25" t="b">
        <v>0</v>
      </c>
    </row>
    <row r="24">
      <c r="A24" s="23" t="s">
        <v>176</v>
      </c>
      <c r="B24" s="23" t="s">
        <v>177</v>
      </c>
      <c r="C24" s="24" t="s">
        <v>178</v>
      </c>
      <c r="D24" s="25" t="b">
        <v>1</v>
      </c>
      <c r="E24" s="5" t="s">
        <v>358</v>
      </c>
    </row>
    <row r="25">
      <c r="A25" s="23" t="s">
        <v>131</v>
      </c>
      <c r="B25" s="23" t="s">
        <v>181</v>
      </c>
      <c r="C25" s="24" t="s">
        <v>182</v>
      </c>
      <c r="D25" s="25" t="b">
        <v>0</v>
      </c>
    </row>
    <row r="26">
      <c r="A26" s="23" t="s">
        <v>250</v>
      </c>
      <c r="B26" s="23" t="s">
        <v>307</v>
      </c>
      <c r="C26" s="24" t="s">
        <v>308</v>
      </c>
      <c r="D26" s="25" t="b">
        <v>0</v>
      </c>
    </row>
    <row r="27">
      <c r="A27" s="23" t="s">
        <v>85</v>
      </c>
      <c r="B27" s="23" t="s">
        <v>86</v>
      </c>
      <c r="C27" s="24" t="s">
        <v>87</v>
      </c>
      <c r="D27" s="25" t="b">
        <v>0</v>
      </c>
    </row>
    <row r="28">
      <c r="A28" s="23" t="s">
        <v>250</v>
      </c>
      <c r="B28" s="23" t="s">
        <v>251</v>
      </c>
      <c r="C28" s="24" t="s">
        <v>252</v>
      </c>
      <c r="D28" s="25" t="b">
        <v>0</v>
      </c>
    </row>
    <row r="29">
      <c r="A29" s="23" t="s">
        <v>128</v>
      </c>
      <c r="B29" s="23" t="s">
        <v>333</v>
      </c>
      <c r="C29" s="24" t="s">
        <v>334</v>
      </c>
      <c r="D29" s="25" t="b">
        <v>0</v>
      </c>
      <c r="E29" s="5" t="s">
        <v>359</v>
      </c>
    </row>
    <row r="30">
      <c r="A30" s="23" t="s">
        <v>221</v>
      </c>
      <c r="B30" s="23" t="s">
        <v>222</v>
      </c>
      <c r="C30" s="24" t="s">
        <v>223</v>
      </c>
      <c r="D30" s="25" t="b">
        <v>0</v>
      </c>
    </row>
    <row r="31">
      <c r="A31" s="23" t="s">
        <v>215</v>
      </c>
      <c r="B31" s="23" t="s">
        <v>337</v>
      </c>
      <c r="C31" s="24" t="s">
        <v>338</v>
      </c>
      <c r="D31" s="25" t="b">
        <v>1</v>
      </c>
    </row>
    <row r="32">
      <c r="A32" s="23" t="s">
        <v>282</v>
      </c>
      <c r="B32" s="23" t="s">
        <v>283</v>
      </c>
      <c r="C32" s="24" t="s">
        <v>284</v>
      </c>
      <c r="D32" s="25" t="b">
        <v>0</v>
      </c>
    </row>
    <row r="33">
      <c r="A33" s="23" t="s">
        <v>108</v>
      </c>
      <c r="B33" s="23" t="s">
        <v>109</v>
      </c>
      <c r="C33" s="24" t="s">
        <v>110</v>
      </c>
      <c r="D33" s="25" t="b">
        <v>1</v>
      </c>
      <c r="E33" s="5" t="s">
        <v>360</v>
      </c>
    </row>
    <row r="34">
      <c r="A34" s="23" t="s">
        <v>118</v>
      </c>
      <c r="B34" s="23" t="s">
        <v>119</v>
      </c>
      <c r="C34" s="24" t="s">
        <v>120</v>
      </c>
      <c r="D34" s="25" t="b">
        <v>0</v>
      </c>
      <c r="E34" s="5" t="s">
        <v>361</v>
      </c>
    </row>
    <row r="35">
      <c r="A35" s="23" t="s">
        <v>273</v>
      </c>
      <c r="B35" s="23" t="s">
        <v>280</v>
      </c>
      <c r="C35" s="24" t="s">
        <v>281</v>
      </c>
      <c r="D35" s="25" t="b">
        <v>0</v>
      </c>
    </row>
    <row r="36">
      <c r="A36" s="23" t="s">
        <v>89</v>
      </c>
      <c r="B36" s="23" t="s">
        <v>309</v>
      </c>
      <c r="C36" s="24" t="s">
        <v>310</v>
      </c>
      <c r="D36" s="25" t="b">
        <v>1</v>
      </c>
    </row>
    <row r="37">
      <c r="A37" s="23" t="s">
        <v>169</v>
      </c>
      <c r="B37" s="23" t="s">
        <v>170</v>
      </c>
      <c r="C37" s="24" t="s">
        <v>171</v>
      </c>
      <c r="D37" s="25" t="b">
        <v>0</v>
      </c>
    </row>
    <row r="38">
      <c r="A38" s="23" t="s">
        <v>97</v>
      </c>
      <c r="B38" s="23" t="s">
        <v>322</v>
      </c>
      <c r="C38" s="24" t="s">
        <v>323</v>
      </c>
      <c r="D38" s="25" t="b">
        <v>0</v>
      </c>
    </row>
    <row r="39">
      <c r="A39" s="23" t="s">
        <v>144</v>
      </c>
      <c r="B39" s="23" t="s">
        <v>263</v>
      </c>
      <c r="C39" s="24" t="s">
        <v>264</v>
      </c>
      <c r="D39" s="25" t="b">
        <v>0</v>
      </c>
    </row>
    <row r="40">
      <c r="A40" s="23" t="s">
        <v>101</v>
      </c>
      <c r="B40" s="23" t="s">
        <v>102</v>
      </c>
      <c r="C40" s="24" t="s">
        <v>103</v>
      </c>
      <c r="D40" s="25" t="b">
        <v>0</v>
      </c>
    </row>
    <row r="41">
      <c r="A41" s="23" t="s">
        <v>256</v>
      </c>
      <c r="B41" s="23" t="s">
        <v>292</v>
      </c>
      <c r="C41" s="24" t="s">
        <v>293</v>
      </c>
      <c r="D41" s="25" t="b">
        <v>0</v>
      </c>
    </row>
    <row r="42">
      <c r="A42" s="23" t="s">
        <v>172</v>
      </c>
      <c r="B42" s="23" t="s">
        <v>173</v>
      </c>
      <c r="C42" s="24" t="s">
        <v>174</v>
      </c>
      <c r="D42" s="25" t="b">
        <v>0</v>
      </c>
    </row>
    <row r="43">
      <c r="A43" s="23" t="s">
        <v>218</v>
      </c>
      <c r="B43" s="23" t="s">
        <v>219</v>
      </c>
      <c r="C43" s="24" t="s">
        <v>220</v>
      </c>
      <c r="D43" s="25" t="b">
        <v>0</v>
      </c>
    </row>
    <row r="44">
      <c r="A44" s="23" t="s">
        <v>203</v>
      </c>
      <c r="B44" s="23" t="s">
        <v>240</v>
      </c>
      <c r="C44" s="24" t="s">
        <v>241</v>
      </c>
      <c r="D44" s="25" t="b">
        <v>1</v>
      </c>
    </row>
    <row r="45">
      <c r="A45" s="23" t="s">
        <v>304</v>
      </c>
      <c r="B45" s="23" t="s">
        <v>331</v>
      </c>
      <c r="C45" s="24" t="s">
        <v>332</v>
      </c>
      <c r="D45" s="25" t="b">
        <v>1</v>
      </c>
    </row>
    <row r="46">
      <c r="A46" s="23" t="s">
        <v>97</v>
      </c>
      <c r="B46" s="23" t="s">
        <v>136</v>
      </c>
      <c r="C46" s="24" t="s">
        <v>137</v>
      </c>
      <c r="D46" s="25" t="b">
        <v>0</v>
      </c>
    </row>
    <row r="47">
      <c r="A47" s="23" t="s">
        <v>242</v>
      </c>
      <c r="B47" s="23" t="s">
        <v>243</v>
      </c>
      <c r="C47" s="24" t="s">
        <v>244</v>
      </c>
      <c r="D47" s="25" t="b">
        <v>0</v>
      </c>
    </row>
    <row r="48">
      <c r="A48" s="23" t="s">
        <v>224</v>
      </c>
      <c r="B48" s="23" t="s">
        <v>225</v>
      </c>
      <c r="C48" s="24" t="s">
        <v>226</v>
      </c>
      <c r="D48" s="25" t="b">
        <v>0</v>
      </c>
    </row>
    <row r="49">
      <c r="A49" s="23" t="s">
        <v>229</v>
      </c>
      <c r="B49" s="23" t="s">
        <v>230</v>
      </c>
      <c r="C49" s="24" t="s">
        <v>231</v>
      </c>
      <c r="D49" s="25" t="b">
        <v>1</v>
      </c>
    </row>
    <row r="50">
      <c r="A50" s="23" t="s">
        <v>162</v>
      </c>
      <c r="B50" s="23" t="s">
        <v>163</v>
      </c>
      <c r="C50" s="24" t="s">
        <v>164</v>
      </c>
      <c r="D50" s="25" t="b">
        <v>0</v>
      </c>
    </row>
    <row r="51">
      <c r="A51" s="23" t="s">
        <v>289</v>
      </c>
      <c r="B51" s="23" t="s">
        <v>290</v>
      </c>
      <c r="C51" s="24" t="s">
        <v>291</v>
      </c>
      <c r="D51" s="25" t="b">
        <v>1</v>
      </c>
      <c r="E51" s="5">
        <v>3.8</v>
      </c>
    </row>
    <row r="52">
      <c r="A52" s="23" t="s">
        <v>81</v>
      </c>
      <c r="B52" s="23" t="s">
        <v>82</v>
      </c>
      <c r="C52" s="24" t="s">
        <v>83</v>
      </c>
      <c r="D52" s="25" t="b">
        <v>1</v>
      </c>
    </row>
    <row r="53">
      <c r="A53" s="23" t="s">
        <v>247</v>
      </c>
      <c r="B53" s="23" t="s">
        <v>248</v>
      </c>
      <c r="C53" s="24" t="s">
        <v>249</v>
      </c>
      <c r="D53" s="25" t="b">
        <v>0</v>
      </c>
      <c r="E53" s="5" t="s">
        <v>362</v>
      </c>
    </row>
    <row r="54">
      <c r="A54" s="23" t="s">
        <v>141</v>
      </c>
      <c r="B54" s="23" t="s">
        <v>142</v>
      </c>
      <c r="C54" s="24" t="s">
        <v>143</v>
      </c>
      <c r="D54" s="25" t="b">
        <v>1</v>
      </c>
    </row>
    <row r="55">
      <c r="A55" s="23" t="s">
        <v>111</v>
      </c>
      <c r="B55" s="23" t="s">
        <v>259</v>
      </c>
      <c r="C55" s="24" t="s">
        <v>260</v>
      </c>
      <c r="D55" s="25" t="b">
        <v>0</v>
      </c>
    </row>
    <row r="56">
      <c r="A56" s="23" t="s">
        <v>314</v>
      </c>
      <c r="B56" s="23" t="s">
        <v>315</v>
      </c>
      <c r="C56" s="24" t="s">
        <v>316</v>
      </c>
      <c r="D56" s="25" t="b">
        <v>1</v>
      </c>
    </row>
    <row r="57">
      <c r="A57" s="23" t="s">
        <v>128</v>
      </c>
      <c r="B57" s="23" t="s">
        <v>129</v>
      </c>
      <c r="C57" s="24" t="s">
        <v>130</v>
      </c>
      <c r="D57" s="25" t="b">
        <v>0</v>
      </c>
    </row>
    <row r="58">
      <c r="A58" s="23" t="s">
        <v>221</v>
      </c>
      <c r="B58" s="23" t="s">
        <v>278</v>
      </c>
      <c r="C58" s="24" t="s">
        <v>279</v>
      </c>
      <c r="D58" s="25" t="b">
        <v>0</v>
      </c>
      <c r="E58" s="5" t="s">
        <v>363</v>
      </c>
    </row>
    <row r="59">
      <c r="A59" s="23" t="s">
        <v>78</v>
      </c>
      <c r="B59" s="23" t="s">
        <v>79</v>
      </c>
      <c r="C59" s="24" t="s">
        <v>80</v>
      </c>
      <c r="D59" s="25" t="b">
        <v>0</v>
      </c>
    </row>
    <row r="60">
      <c r="A60" s="23" t="s">
        <v>128</v>
      </c>
      <c r="B60" s="23" t="s">
        <v>299</v>
      </c>
      <c r="C60" s="24" t="s">
        <v>300</v>
      </c>
      <c r="D60" s="25" t="b">
        <v>0</v>
      </c>
    </row>
    <row r="61">
      <c r="A61" s="23" t="s">
        <v>253</v>
      </c>
      <c r="B61" s="23" t="s">
        <v>254</v>
      </c>
      <c r="C61" s="24" t="s">
        <v>255</v>
      </c>
      <c r="D61" s="25" t="b">
        <v>0</v>
      </c>
    </row>
    <row r="62">
      <c r="A62" s="23" t="s">
        <v>159</v>
      </c>
      <c r="B62" s="23" t="s">
        <v>160</v>
      </c>
      <c r="C62" s="24" t="s">
        <v>161</v>
      </c>
      <c r="D62" s="25" t="b">
        <v>1</v>
      </c>
    </row>
    <row r="63">
      <c r="A63" s="23" t="s">
        <v>150</v>
      </c>
      <c r="B63" s="23" t="s">
        <v>151</v>
      </c>
      <c r="C63" s="24" t="s">
        <v>152</v>
      </c>
      <c r="D63" s="25" t="b">
        <v>0</v>
      </c>
      <c r="E63" s="5" t="s">
        <v>364</v>
      </c>
    </row>
    <row r="64">
      <c r="A64" s="23" t="s">
        <v>111</v>
      </c>
      <c r="B64" s="23" t="s">
        <v>320</v>
      </c>
      <c r="C64" s="24" t="s">
        <v>321</v>
      </c>
      <c r="D64" s="25" t="b">
        <v>0</v>
      </c>
      <c r="E64" s="5" t="s">
        <v>365</v>
      </c>
    </row>
    <row r="65">
      <c r="A65" s="23" t="s">
        <v>253</v>
      </c>
      <c r="B65" s="23" t="s">
        <v>324</v>
      </c>
      <c r="C65" s="24" t="s">
        <v>325</v>
      </c>
      <c r="D65" s="25" t="b">
        <v>0</v>
      </c>
    </row>
    <row r="66">
      <c r="A66" s="23" t="s">
        <v>169</v>
      </c>
      <c r="B66" s="23" t="s">
        <v>285</v>
      </c>
      <c r="C66" s="24" t="s">
        <v>286</v>
      </c>
      <c r="D66" s="25" t="b">
        <v>1</v>
      </c>
    </row>
    <row r="67">
      <c r="A67" s="23" t="s">
        <v>156</v>
      </c>
      <c r="B67" s="23" t="s">
        <v>157</v>
      </c>
      <c r="C67" s="24" t="s">
        <v>158</v>
      </c>
      <c r="D67" s="25" t="b">
        <v>0</v>
      </c>
    </row>
    <row r="68">
      <c r="A68" s="23" t="s">
        <v>92</v>
      </c>
      <c r="B68" s="23" t="s">
        <v>93</v>
      </c>
      <c r="C68" s="24" t="s">
        <v>94</v>
      </c>
      <c r="D68" s="25" t="b">
        <v>1</v>
      </c>
      <c r="E68" s="5" t="s">
        <v>366</v>
      </c>
    </row>
    <row r="69">
      <c r="A69" s="23" t="s">
        <v>236</v>
      </c>
      <c r="B69" s="23" t="s">
        <v>237</v>
      </c>
      <c r="C69" s="24" t="s">
        <v>238</v>
      </c>
      <c r="D69" s="25" t="b">
        <v>1</v>
      </c>
      <c r="E69" s="5" t="s">
        <v>367</v>
      </c>
    </row>
    <row r="70">
      <c r="A70" s="23" t="s">
        <v>147</v>
      </c>
      <c r="B70" s="23" t="s">
        <v>179</v>
      </c>
      <c r="C70" s="24" t="s">
        <v>180</v>
      </c>
      <c r="D70" s="25" t="b">
        <v>1</v>
      </c>
    </row>
    <row r="71">
      <c r="A71" s="23" t="s">
        <v>128</v>
      </c>
      <c r="B71" s="23" t="s">
        <v>232</v>
      </c>
      <c r="C71" s="24" t="s">
        <v>233</v>
      </c>
      <c r="D71" s="25" t="b">
        <v>0</v>
      </c>
    </row>
    <row r="72">
      <c r="A72" s="23" t="s">
        <v>75</v>
      </c>
      <c r="B72" s="23" t="s">
        <v>76</v>
      </c>
      <c r="C72" s="24" t="s">
        <v>77</v>
      </c>
      <c r="D72" s="25" t="b">
        <v>1</v>
      </c>
    </row>
    <row r="73">
      <c r="A73" s="23" t="s">
        <v>144</v>
      </c>
      <c r="B73" s="23" t="s">
        <v>198</v>
      </c>
      <c r="C73" s="24" t="s">
        <v>199</v>
      </c>
      <c r="D73" s="25" t="b">
        <v>0</v>
      </c>
    </row>
    <row r="74">
      <c r="A74" s="23" t="s">
        <v>211</v>
      </c>
      <c r="B74" s="23" t="s">
        <v>212</v>
      </c>
      <c r="C74" s="24" t="s">
        <v>213</v>
      </c>
      <c r="D74" s="25" t="b">
        <v>0</v>
      </c>
      <c r="E74" s="5" t="s">
        <v>368</v>
      </c>
    </row>
    <row r="75">
      <c r="A75" s="23" t="s">
        <v>147</v>
      </c>
      <c r="B75" s="23" t="s">
        <v>294</v>
      </c>
      <c r="C75" s="24" t="s">
        <v>295</v>
      </c>
      <c r="D75" s="25" t="b">
        <v>1</v>
      </c>
    </row>
    <row r="76">
      <c r="A76" s="23" t="s">
        <v>215</v>
      </c>
      <c r="B76" s="23" t="s">
        <v>216</v>
      </c>
      <c r="C76" s="24" t="s">
        <v>217</v>
      </c>
      <c r="D76" s="25" t="b">
        <v>1</v>
      </c>
    </row>
    <row r="77">
      <c r="A77" s="23" t="s">
        <v>206</v>
      </c>
      <c r="B77" s="23" t="s">
        <v>207</v>
      </c>
      <c r="C77" s="24" t="s">
        <v>208</v>
      </c>
      <c r="D77" s="25" t="b">
        <v>0</v>
      </c>
    </row>
    <row r="78">
      <c r="A78" s="23" t="s">
        <v>92</v>
      </c>
      <c r="B78" s="23" t="s">
        <v>95</v>
      </c>
      <c r="C78" s="24" t="s">
        <v>96</v>
      </c>
      <c r="D78" s="25" t="b">
        <v>0</v>
      </c>
    </row>
    <row r="79">
      <c r="A79" s="23" t="s">
        <v>144</v>
      </c>
      <c r="B79" s="23" t="s">
        <v>154</v>
      </c>
      <c r="C79" s="24" t="s">
        <v>155</v>
      </c>
      <c r="D79" s="25" t="b">
        <v>0</v>
      </c>
    </row>
    <row r="80">
      <c r="A80" s="23" t="s">
        <v>268</v>
      </c>
      <c r="B80" s="23" t="s">
        <v>269</v>
      </c>
      <c r="C80" s="24" t="s">
        <v>270</v>
      </c>
      <c r="D80" s="25" t="b">
        <v>0</v>
      </c>
      <c r="E80" s="5" t="s">
        <v>369</v>
      </c>
    </row>
    <row r="81">
      <c r="A81" s="23" t="s">
        <v>144</v>
      </c>
      <c r="B81" s="23" t="s">
        <v>196</v>
      </c>
      <c r="C81" s="24" t="s">
        <v>197</v>
      </c>
      <c r="D81" s="25" t="b">
        <v>0</v>
      </c>
    </row>
    <row r="82">
      <c r="A82" s="23" t="s">
        <v>89</v>
      </c>
      <c r="B82" s="23" t="s">
        <v>90</v>
      </c>
      <c r="C82" s="24" t="s">
        <v>91</v>
      </c>
      <c r="D82" s="25" t="b">
        <v>0</v>
      </c>
    </row>
    <row r="83">
      <c r="A83" s="23" t="s">
        <v>71</v>
      </c>
      <c r="B83" s="23" t="s">
        <v>72</v>
      </c>
      <c r="C83" s="24" t="s">
        <v>73</v>
      </c>
      <c r="D83" s="25" t="b">
        <v>1</v>
      </c>
      <c r="E83" s="5" t="s">
        <v>370</v>
      </c>
    </row>
    <row r="84">
      <c r="A84" s="23" t="s">
        <v>304</v>
      </c>
      <c r="B84" s="23" t="s">
        <v>305</v>
      </c>
      <c r="C84" s="24" t="s">
        <v>306</v>
      </c>
      <c r="D84" s="25" t="b">
        <v>0</v>
      </c>
      <c r="E84" s="5" t="s">
        <v>371</v>
      </c>
    </row>
    <row r="85">
      <c r="A85" s="23" t="s">
        <v>301</v>
      </c>
      <c r="B85" s="23" t="s">
        <v>302</v>
      </c>
      <c r="C85" s="24" t="s">
        <v>303</v>
      </c>
      <c r="D85" s="25" t="b">
        <v>1</v>
      </c>
    </row>
    <row r="86">
      <c r="A86" s="23" t="s">
        <v>176</v>
      </c>
      <c r="B86" s="23" t="s">
        <v>209</v>
      </c>
      <c r="C86" s="24" t="s">
        <v>210</v>
      </c>
      <c r="D86" s="25" t="b">
        <v>0</v>
      </c>
    </row>
    <row r="87">
      <c r="A87" s="23" t="s">
        <v>144</v>
      </c>
      <c r="B87" s="23" t="s">
        <v>145</v>
      </c>
      <c r="C87" s="24" t="s">
        <v>146</v>
      </c>
      <c r="D87" s="25" t="b">
        <v>0</v>
      </c>
    </row>
    <row r="88">
      <c r="A88" s="23" t="s">
        <v>97</v>
      </c>
      <c r="B88" s="23" t="s">
        <v>276</v>
      </c>
      <c r="C88" s="24" t="s">
        <v>277</v>
      </c>
      <c r="D88" s="25" t="b">
        <v>1</v>
      </c>
    </row>
    <row r="89">
      <c r="A89" s="23" t="s">
        <v>138</v>
      </c>
      <c r="B89" s="23" t="s">
        <v>139</v>
      </c>
      <c r="C89" s="24" t="s">
        <v>140</v>
      </c>
      <c r="D89" s="25" t="b">
        <v>0</v>
      </c>
    </row>
    <row r="90">
      <c r="A90" s="23" t="s">
        <v>273</v>
      </c>
      <c r="B90" s="23" t="s">
        <v>274</v>
      </c>
      <c r="C90" s="24" t="s">
        <v>275</v>
      </c>
      <c r="D90" s="25" t="b">
        <v>1</v>
      </c>
      <c r="E90" s="5" t="s">
        <v>372</v>
      </c>
    </row>
    <row r="91">
      <c r="A91" s="23" t="s">
        <v>111</v>
      </c>
      <c r="B91" s="23" t="s">
        <v>112</v>
      </c>
      <c r="C91" s="24" t="s">
        <v>113</v>
      </c>
      <c r="D91" s="25" t="b">
        <v>0</v>
      </c>
    </row>
    <row r="92">
      <c r="A92" s="23" t="s">
        <v>128</v>
      </c>
      <c r="B92" s="23" t="s">
        <v>234</v>
      </c>
      <c r="C92" s="24" t="s">
        <v>235</v>
      </c>
      <c r="D92" s="25" t="b">
        <v>1</v>
      </c>
      <c r="E92" s="5" t="s">
        <v>373</v>
      </c>
    </row>
    <row r="93">
      <c r="A93" s="23" t="s">
        <v>128</v>
      </c>
      <c r="B93" s="23" t="s">
        <v>311</v>
      </c>
      <c r="C93" s="24" t="s">
        <v>312</v>
      </c>
      <c r="D93" s="25" t="b">
        <v>0</v>
      </c>
    </row>
    <row r="94">
      <c r="A94" s="23" t="s">
        <v>97</v>
      </c>
      <c r="B94" s="23" t="s">
        <v>98</v>
      </c>
      <c r="C94" s="24" t="s">
        <v>99</v>
      </c>
      <c r="D94" s="25" t="b">
        <v>0</v>
      </c>
      <c r="E94" s="5" t="s">
        <v>374</v>
      </c>
    </row>
    <row r="95">
      <c r="A95" s="23" t="s">
        <v>256</v>
      </c>
      <c r="B95" s="23" t="s">
        <v>257</v>
      </c>
      <c r="C95" s="24" t="s">
        <v>258</v>
      </c>
      <c r="D95" s="25" t="b">
        <v>0</v>
      </c>
    </row>
    <row r="96">
      <c r="A96" s="23" t="s">
        <v>144</v>
      </c>
      <c r="B96" s="23" t="s">
        <v>245</v>
      </c>
      <c r="C96" s="24" t="s">
        <v>246</v>
      </c>
      <c r="D96" s="25" t="b">
        <v>0</v>
      </c>
    </row>
    <row r="97">
      <c r="A97" s="23" t="s">
        <v>186</v>
      </c>
      <c r="B97" s="23" t="s">
        <v>227</v>
      </c>
      <c r="C97" s="24" t="s">
        <v>228</v>
      </c>
      <c r="D97" s="25" t="b">
        <v>1</v>
      </c>
      <c r="E97" s="5" t="s">
        <v>375</v>
      </c>
    </row>
    <row r="98">
      <c r="A98" s="23" t="s">
        <v>115</v>
      </c>
      <c r="B98" s="23" t="s">
        <v>116</v>
      </c>
      <c r="C98" s="24" t="s">
        <v>117</v>
      </c>
      <c r="D98" s="25" t="b">
        <v>0</v>
      </c>
      <c r="E98" s="5" t="s">
        <v>376</v>
      </c>
    </row>
    <row r="99">
      <c r="A99" s="23" t="s">
        <v>104</v>
      </c>
      <c r="B99" s="23" t="s">
        <v>105</v>
      </c>
      <c r="C99" s="24" t="s">
        <v>106</v>
      </c>
      <c r="D99" s="25" t="b">
        <v>0</v>
      </c>
      <c r="E99" s="5" t="s">
        <v>377</v>
      </c>
    </row>
    <row r="100">
      <c r="A100" s="23" t="s">
        <v>144</v>
      </c>
      <c r="B100" s="23" t="s">
        <v>261</v>
      </c>
      <c r="C100" s="24" t="s">
        <v>262</v>
      </c>
      <c r="D100" s="25" t="b">
        <v>0</v>
      </c>
    </row>
    <row r="101">
      <c r="A101" s="23" t="s">
        <v>81</v>
      </c>
      <c r="B101" s="23" t="s">
        <v>121</v>
      </c>
      <c r="C101" s="24" t="s">
        <v>122</v>
      </c>
      <c r="D101" s="25" t="b">
        <v>1</v>
      </c>
    </row>
  </sheetData>
  <dataValidations>
    <dataValidation type="list" allowBlank="1" showErrorMessage="1" sqref="D2:D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27" t="s">
        <v>378</v>
      </c>
      <c r="B1" s="27" t="s">
        <v>379</v>
      </c>
      <c r="C1" s="27" t="s">
        <v>380</v>
      </c>
      <c r="D1" s="27" t="s">
        <v>381</v>
      </c>
      <c r="E1" s="27" t="s">
        <v>382</v>
      </c>
      <c r="F1" s="27" t="s">
        <v>383</v>
      </c>
      <c r="G1" s="27" t="s">
        <v>384</v>
      </c>
      <c r="H1" s="27" t="s">
        <v>385</v>
      </c>
      <c r="I1" s="28" t="s">
        <v>386</v>
      </c>
      <c r="J1" s="27" t="s">
        <v>387</v>
      </c>
      <c r="K1" s="29" t="s">
        <v>388</v>
      </c>
      <c r="L1" s="30"/>
      <c r="M1" s="30"/>
      <c r="N1" s="30"/>
      <c r="O1" s="30"/>
      <c r="P1" s="30"/>
      <c r="Q1" s="30"/>
      <c r="R1" s="30"/>
      <c r="S1" s="30"/>
      <c r="T1" s="30"/>
      <c r="U1" s="30"/>
      <c r="V1" s="30"/>
    </row>
    <row r="2">
      <c r="A2" s="31" t="s">
        <v>273</v>
      </c>
      <c r="B2" s="31" t="s">
        <v>280</v>
      </c>
      <c r="C2" s="31" t="s">
        <v>281</v>
      </c>
      <c r="D2" s="32">
        <v>3.0</v>
      </c>
      <c r="E2" s="32">
        <v>9.0</v>
      </c>
      <c r="F2" s="32">
        <v>0.0</v>
      </c>
      <c r="G2" s="32">
        <v>9.0</v>
      </c>
      <c r="H2" s="32">
        <v>1.0</v>
      </c>
      <c r="I2" s="33" t="b">
        <v>0</v>
      </c>
      <c r="J2" s="31" t="s">
        <v>389</v>
      </c>
      <c r="K2" s="32" t="s">
        <v>390</v>
      </c>
    </row>
    <row r="3">
      <c r="A3" s="31" t="s">
        <v>97</v>
      </c>
      <c r="B3" s="31" t="s">
        <v>322</v>
      </c>
      <c r="C3" s="31" t="s">
        <v>323</v>
      </c>
      <c r="D3" s="32">
        <v>3.0</v>
      </c>
      <c r="E3" s="32">
        <v>9.0</v>
      </c>
      <c r="F3" s="32">
        <v>0.0</v>
      </c>
      <c r="G3" s="32">
        <v>9.0</v>
      </c>
      <c r="H3" s="32">
        <v>1.0</v>
      </c>
      <c r="I3" s="33" t="b">
        <v>0</v>
      </c>
      <c r="J3" s="31" t="s">
        <v>389</v>
      </c>
      <c r="K3" s="32" t="s">
        <v>153</v>
      </c>
    </row>
    <row r="4">
      <c r="A4" s="31" t="s">
        <v>111</v>
      </c>
      <c r="B4" s="31" t="s">
        <v>335</v>
      </c>
      <c r="C4" s="31" t="s">
        <v>336</v>
      </c>
      <c r="D4" s="32">
        <v>3.0</v>
      </c>
      <c r="E4" s="32">
        <v>0.0</v>
      </c>
      <c r="F4" s="32">
        <v>13.0</v>
      </c>
      <c r="G4" s="32">
        <v>13.0</v>
      </c>
      <c r="H4" s="32">
        <v>1.0</v>
      </c>
      <c r="I4" s="33" t="b">
        <v>1</v>
      </c>
      <c r="J4" s="31" t="s">
        <v>389</v>
      </c>
      <c r="K4" s="32" t="s">
        <v>390</v>
      </c>
    </row>
    <row r="5">
      <c r="A5" s="31" t="s">
        <v>144</v>
      </c>
      <c r="B5" s="31" t="s">
        <v>145</v>
      </c>
      <c r="C5" s="31" t="s">
        <v>146</v>
      </c>
      <c r="D5" s="32">
        <v>3.0</v>
      </c>
      <c r="E5" s="32">
        <v>9.0</v>
      </c>
      <c r="F5" s="32">
        <v>0.0</v>
      </c>
      <c r="G5" s="32">
        <v>9.0</v>
      </c>
      <c r="H5" s="32">
        <v>1.0</v>
      </c>
      <c r="I5" s="33" t="b">
        <v>0</v>
      </c>
      <c r="J5" s="31" t="s">
        <v>389</v>
      </c>
      <c r="K5" s="32" t="s">
        <v>391</v>
      </c>
    </row>
    <row r="6">
      <c r="A6" s="31" t="s">
        <v>162</v>
      </c>
      <c r="B6" s="31" t="s">
        <v>163</v>
      </c>
      <c r="C6" s="31" t="s">
        <v>164</v>
      </c>
      <c r="D6" s="32">
        <v>3.0</v>
      </c>
      <c r="E6" s="32">
        <v>9.0</v>
      </c>
      <c r="F6" s="32">
        <v>0.0</v>
      </c>
      <c r="G6" s="32">
        <v>9.0</v>
      </c>
      <c r="H6" s="32">
        <v>1.0</v>
      </c>
      <c r="I6" s="33" t="b">
        <v>0</v>
      </c>
      <c r="J6" s="31" t="s">
        <v>389</v>
      </c>
      <c r="K6" s="32" t="s">
        <v>390</v>
      </c>
    </row>
    <row r="7">
      <c r="A7" s="31" t="s">
        <v>111</v>
      </c>
      <c r="B7" s="31" t="s">
        <v>259</v>
      </c>
      <c r="C7" s="31" t="s">
        <v>260</v>
      </c>
      <c r="D7" s="32">
        <v>3.0</v>
      </c>
      <c r="E7" s="32">
        <v>9.0</v>
      </c>
      <c r="F7" s="32">
        <v>0.0</v>
      </c>
      <c r="G7" s="32">
        <v>9.0</v>
      </c>
      <c r="H7" s="32">
        <v>1.0</v>
      </c>
      <c r="I7" s="33" t="b">
        <v>0</v>
      </c>
      <c r="J7" s="31" t="s">
        <v>389</v>
      </c>
      <c r="K7" s="32" t="s">
        <v>390</v>
      </c>
    </row>
    <row r="8">
      <c r="A8" s="31" t="s">
        <v>101</v>
      </c>
      <c r="B8" s="31" t="s">
        <v>102</v>
      </c>
      <c r="C8" s="31" t="s">
        <v>103</v>
      </c>
      <c r="D8" s="32">
        <v>3.0</v>
      </c>
      <c r="E8" s="32">
        <v>9.0</v>
      </c>
      <c r="F8" s="32">
        <v>0.0</v>
      </c>
      <c r="G8" s="32">
        <v>9.0</v>
      </c>
      <c r="H8" s="32">
        <v>1.0</v>
      </c>
      <c r="I8" s="33" t="b">
        <v>0</v>
      </c>
      <c r="J8" s="31" t="s">
        <v>389</v>
      </c>
      <c r="K8" s="32" t="s">
        <v>390</v>
      </c>
    </row>
    <row r="9">
      <c r="A9" s="31" t="s">
        <v>111</v>
      </c>
      <c r="B9" s="31" t="s">
        <v>112</v>
      </c>
      <c r="C9" s="31" t="s">
        <v>113</v>
      </c>
      <c r="D9" s="32">
        <v>3.0</v>
      </c>
      <c r="E9" s="32">
        <v>9.0</v>
      </c>
      <c r="F9" s="32">
        <v>0.0</v>
      </c>
      <c r="G9" s="32">
        <v>9.0</v>
      </c>
      <c r="H9" s="32">
        <v>1.0</v>
      </c>
      <c r="I9" s="33" t="b">
        <v>0</v>
      </c>
      <c r="J9" s="31" t="s">
        <v>389</v>
      </c>
      <c r="K9" s="32" t="s">
        <v>390</v>
      </c>
    </row>
    <row r="10">
      <c r="A10" s="31" t="s">
        <v>172</v>
      </c>
      <c r="B10" s="31" t="s">
        <v>173</v>
      </c>
      <c r="C10" s="31" t="s">
        <v>174</v>
      </c>
      <c r="D10" s="32">
        <v>3.0</v>
      </c>
      <c r="E10" s="32">
        <v>9.0</v>
      </c>
      <c r="F10" s="32">
        <v>1.0</v>
      </c>
      <c r="G10" s="32">
        <v>10.0</v>
      </c>
      <c r="H10" s="32">
        <v>0.8</v>
      </c>
      <c r="I10" s="33" t="b">
        <v>0</v>
      </c>
      <c r="J10" s="31" t="s">
        <v>392</v>
      </c>
      <c r="K10" s="32" t="s">
        <v>390</v>
      </c>
    </row>
    <row r="11">
      <c r="A11" s="31" t="s">
        <v>97</v>
      </c>
      <c r="B11" s="31" t="s">
        <v>136</v>
      </c>
      <c r="C11" s="31" t="s">
        <v>137</v>
      </c>
      <c r="D11" s="32">
        <v>3.0</v>
      </c>
      <c r="E11" s="32">
        <v>8.0</v>
      </c>
      <c r="F11" s="32">
        <v>1.0</v>
      </c>
      <c r="G11" s="32">
        <v>9.0</v>
      </c>
      <c r="H11" s="32">
        <v>0.777777777777777</v>
      </c>
      <c r="I11" s="33" t="b">
        <v>0</v>
      </c>
      <c r="J11" s="31" t="s">
        <v>392</v>
      </c>
      <c r="K11" s="32" t="s">
        <v>390</v>
      </c>
    </row>
    <row r="12">
      <c r="A12" s="31" t="s">
        <v>144</v>
      </c>
      <c r="B12" s="31" t="s">
        <v>196</v>
      </c>
      <c r="C12" s="31" t="s">
        <v>197</v>
      </c>
      <c r="D12" s="32">
        <v>3.0</v>
      </c>
      <c r="E12" s="32">
        <v>8.0</v>
      </c>
      <c r="F12" s="32">
        <v>1.0</v>
      </c>
      <c r="G12" s="32">
        <v>9.0</v>
      </c>
      <c r="H12" s="32">
        <v>0.777777777777777</v>
      </c>
      <c r="I12" s="33" t="b">
        <v>0</v>
      </c>
      <c r="J12" s="31" t="s">
        <v>392</v>
      </c>
      <c r="K12" s="32" t="s">
        <v>390</v>
      </c>
    </row>
    <row r="13">
      <c r="A13" s="31" t="s">
        <v>118</v>
      </c>
      <c r="B13" s="31" t="s">
        <v>119</v>
      </c>
      <c r="C13" s="31" t="s">
        <v>120</v>
      </c>
      <c r="D13" s="32">
        <v>3.0</v>
      </c>
      <c r="E13" s="32">
        <v>8.0</v>
      </c>
      <c r="F13" s="32">
        <v>1.0</v>
      </c>
      <c r="G13" s="32">
        <v>9.0</v>
      </c>
      <c r="H13" s="32">
        <v>0.777777777777777</v>
      </c>
      <c r="I13" s="33" t="b">
        <v>0</v>
      </c>
      <c r="J13" s="31" t="s">
        <v>392</v>
      </c>
      <c r="K13" s="32" t="s">
        <v>390</v>
      </c>
    </row>
    <row r="14">
      <c r="A14" s="31" t="s">
        <v>186</v>
      </c>
      <c r="B14" s="31" t="s">
        <v>187</v>
      </c>
      <c r="C14" s="31" t="s">
        <v>188</v>
      </c>
      <c r="D14" s="32">
        <v>3.0</v>
      </c>
      <c r="E14" s="32">
        <v>8.0</v>
      </c>
      <c r="F14" s="32">
        <v>1.0</v>
      </c>
      <c r="G14" s="32">
        <v>9.0</v>
      </c>
      <c r="H14" s="32">
        <v>0.777777777777777</v>
      </c>
      <c r="I14" s="33" t="b">
        <v>0</v>
      </c>
      <c r="J14" s="31" t="s">
        <v>392</v>
      </c>
      <c r="K14" s="32" t="s">
        <v>390</v>
      </c>
    </row>
    <row r="15">
      <c r="A15" s="31" t="s">
        <v>203</v>
      </c>
      <c r="B15" s="31" t="s">
        <v>204</v>
      </c>
      <c r="C15" s="31" t="s">
        <v>205</v>
      </c>
      <c r="D15" s="32">
        <v>3.0</v>
      </c>
      <c r="E15" s="32">
        <v>57.0</v>
      </c>
      <c r="F15" s="32">
        <v>925.0</v>
      </c>
      <c r="G15" s="32">
        <v>982.0</v>
      </c>
      <c r="H15" s="32">
        <v>0.883910386965376</v>
      </c>
      <c r="I15" s="33" t="b">
        <v>1</v>
      </c>
      <c r="J15" s="31" t="s">
        <v>389</v>
      </c>
      <c r="K15" s="32" t="s">
        <v>390</v>
      </c>
    </row>
    <row r="16">
      <c r="A16" s="31" t="s">
        <v>203</v>
      </c>
      <c r="B16" s="31" t="s">
        <v>240</v>
      </c>
      <c r="C16" s="31" t="s">
        <v>241</v>
      </c>
      <c r="D16" s="32">
        <v>3.0</v>
      </c>
      <c r="E16" s="32">
        <v>63.0</v>
      </c>
      <c r="F16" s="32">
        <v>908.0</v>
      </c>
      <c r="G16" s="32">
        <v>971.0</v>
      </c>
      <c r="H16" s="32">
        <v>0.870236869207003</v>
      </c>
      <c r="I16" s="33" t="b">
        <v>1</v>
      </c>
      <c r="J16" s="31" t="s">
        <v>389</v>
      </c>
      <c r="K16" s="32" t="s">
        <v>390</v>
      </c>
    </row>
    <row r="17">
      <c r="A17" s="31" t="s">
        <v>128</v>
      </c>
      <c r="B17" s="31" t="s">
        <v>232</v>
      </c>
      <c r="C17" s="31" t="s">
        <v>233</v>
      </c>
      <c r="D17" s="32">
        <v>3.0</v>
      </c>
      <c r="E17" s="32">
        <v>1.0</v>
      </c>
      <c r="F17" s="32">
        <v>14.0</v>
      </c>
      <c r="G17" s="32">
        <v>15.0</v>
      </c>
      <c r="H17" s="32">
        <v>0.866666666666666</v>
      </c>
      <c r="I17" s="33" t="b">
        <v>1</v>
      </c>
      <c r="J17" s="31" t="s">
        <v>389</v>
      </c>
      <c r="K17" s="32" t="s">
        <v>390</v>
      </c>
    </row>
    <row r="18">
      <c r="A18" s="31" t="s">
        <v>115</v>
      </c>
      <c r="B18" s="31" t="s">
        <v>191</v>
      </c>
      <c r="C18" s="31" t="s">
        <v>192</v>
      </c>
      <c r="D18" s="32">
        <v>3.0</v>
      </c>
      <c r="E18" s="32">
        <v>1.0</v>
      </c>
      <c r="F18" s="32">
        <v>12.0</v>
      </c>
      <c r="G18" s="32">
        <v>13.0</v>
      </c>
      <c r="H18" s="32">
        <v>0.846153846153846</v>
      </c>
      <c r="I18" s="33" t="b">
        <v>1</v>
      </c>
      <c r="J18" s="31" t="s">
        <v>389</v>
      </c>
      <c r="K18" s="32" t="s">
        <v>390</v>
      </c>
    </row>
    <row r="19">
      <c r="A19" s="31" t="s">
        <v>81</v>
      </c>
      <c r="B19" s="31" t="s">
        <v>326</v>
      </c>
      <c r="C19" s="31" t="s">
        <v>327</v>
      </c>
      <c r="D19" s="32">
        <v>3.0</v>
      </c>
      <c r="E19" s="32">
        <v>1.0</v>
      </c>
      <c r="F19" s="32">
        <v>9.0</v>
      </c>
      <c r="G19" s="32">
        <v>10.0</v>
      </c>
      <c r="H19" s="32">
        <v>0.8</v>
      </c>
      <c r="I19" s="33" t="b">
        <v>1</v>
      </c>
      <c r="J19" s="31" t="s">
        <v>392</v>
      </c>
      <c r="K19" s="32" t="s">
        <v>390</v>
      </c>
    </row>
    <row r="20">
      <c r="A20" s="31" t="s">
        <v>273</v>
      </c>
      <c r="B20" s="31" t="s">
        <v>274</v>
      </c>
      <c r="C20" s="31" t="s">
        <v>275</v>
      </c>
      <c r="D20" s="32">
        <v>3.0</v>
      </c>
      <c r="E20" s="32">
        <v>1.0</v>
      </c>
      <c r="F20" s="32">
        <v>9.0</v>
      </c>
      <c r="G20" s="32">
        <v>10.0</v>
      </c>
      <c r="H20" s="32">
        <v>0.8</v>
      </c>
      <c r="I20" s="33" t="b">
        <v>1</v>
      </c>
      <c r="J20" s="31" t="s">
        <v>392</v>
      </c>
      <c r="K20" s="32" t="s">
        <v>390</v>
      </c>
    </row>
    <row r="21">
      <c r="A21" s="31" t="s">
        <v>250</v>
      </c>
      <c r="B21" s="31" t="s">
        <v>329</v>
      </c>
      <c r="C21" s="31" t="s">
        <v>330</v>
      </c>
      <c r="D21" s="32">
        <v>3.0</v>
      </c>
      <c r="E21" s="32">
        <v>1.0</v>
      </c>
      <c r="F21" s="32">
        <v>9.0</v>
      </c>
      <c r="G21" s="32">
        <v>10.0</v>
      </c>
      <c r="H21" s="32">
        <v>0.8</v>
      </c>
      <c r="I21" s="33" t="b">
        <v>1</v>
      </c>
      <c r="J21" s="31" t="s">
        <v>392</v>
      </c>
      <c r="K21" s="32" t="s">
        <v>390</v>
      </c>
    </row>
    <row r="22">
      <c r="A22" s="31" t="s">
        <v>256</v>
      </c>
      <c r="B22" s="31" t="s">
        <v>257</v>
      </c>
      <c r="C22" s="31" t="s">
        <v>258</v>
      </c>
      <c r="D22" s="32">
        <v>3.0</v>
      </c>
      <c r="E22" s="32">
        <v>1.0</v>
      </c>
      <c r="F22" s="32">
        <v>9.0</v>
      </c>
      <c r="G22" s="32">
        <v>10.0</v>
      </c>
      <c r="H22" s="32">
        <v>0.8</v>
      </c>
      <c r="I22" s="33" t="b">
        <v>1</v>
      </c>
      <c r="J22" s="31" t="s">
        <v>392</v>
      </c>
      <c r="K22" s="32" t="s">
        <v>390</v>
      </c>
    </row>
    <row r="23">
      <c r="A23" s="31" t="s">
        <v>144</v>
      </c>
      <c r="B23" s="31" t="s">
        <v>261</v>
      </c>
      <c r="C23" s="31" t="s">
        <v>262</v>
      </c>
      <c r="D23" s="32">
        <v>3.0</v>
      </c>
      <c r="E23" s="32">
        <v>8.0</v>
      </c>
      <c r="F23" s="32">
        <v>1.0</v>
      </c>
      <c r="G23" s="32">
        <v>9.0</v>
      </c>
      <c r="H23" s="32">
        <v>0.777777777777777</v>
      </c>
      <c r="I23" s="33" t="b">
        <v>0</v>
      </c>
      <c r="J23" s="31" t="s">
        <v>392</v>
      </c>
      <c r="K23" s="32" t="s">
        <v>391</v>
      </c>
    </row>
    <row r="24">
      <c r="A24" s="31" t="s">
        <v>221</v>
      </c>
      <c r="B24" s="31" t="s">
        <v>222</v>
      </c>
      <c r="C24" s="31" t="s">
        <v>223</v>
      </c>
      <c r="D24" s="32">
        <v>3.0</v>
      </c>
      <c r="E24" s="32">
        <v>8.0</v>
      </c>
      <c r="F24" s="32">
        <v>1.0</v>
      </c>
      <c r="G24" s="32">
        <v>9.0</v>
      </c>
      <c r="H24" s="32">
        <v>0.777777777777777</v>
      </c>
      <c r="I24" s="33" t="b">
        <v>0</v>
      </c>
      <c r="J24" s="31" t="s">
        <v>392</v>
      </c>
      <c r="K24" s="32" t="s">
        <v>393</v>
      </c>
    </row>
    <row r="25">
      <c r="A25" s="31" t="s">
        <v>183</v>
      </c>
      <c r="B25" s="31" t="s">
        <v>184</v>
      </c>
      <c r="C25" s="31" t="s">
        <v>185</v>
      </c>
      <c r="D25" s="32">
        <v>3.0</v>
      </c>
      <c r="E25" s="32">
        <v>5.0</v>
      </c>
      <c r="F25" s="32">
        <v>1.0</v>
      </c>
      <c r="G25" s="32">
        <v>6.0</v>
      </c>
      <c r="H25" s="32">
        <v>0.666666666666666</v>
      </c>
      <c r="I25" s="33" t="b">
        <v>0</v>
      </c>
      <c r="J25" s="31" t="s">
        <v>392</v>
      </c>
      <c r="K25" s="32" t="s">
        <v>394</v>
      </c>
    </row>
    <row r="26">
      <c r="A26" s="31" t="s">
        <v>115</v>
      </c>
      <c r="B26" s="31" t="s">
        <v>116</v>
      </c>
      <c r="C26" s="31" t="s">
        <v>117</v>
      </c>
      <c r="D26" s="32">
        <v>3.0</v>
      </c>
      <c r="E26" s="32">
        <v>5.0</v>
      </c>
      <c r="F26" s="32">
        <v>1.0</v>
      </c>
      <c r="G26" s="32">
        <v>6.0</v>
      </c>
      <c r="H26" s="32">
        <v>0.666666666666666</v>
      </c>
      <c r="I26" s="33" t="b">
        <v>0</v>
      </c>
      <c r="J26" s="31" t="s">
        <v>392</v>
      </c>
      <c r="K26" s="32" t="s">
        <v>395</v>
      </c>
    </row>
    <row r="27">
      <c r="A27" s="31" t="s">
        <v>250</v>
      </c>
      <c r="B27" s="31" t="s">
        <v>251</v>
      </c>
      <c r="C27" s="31" t="s">
        <v>252</v>
      </c>
      <c r="D27" s="32">
        <v>3.0</v>
      </c>
      <c r="E27" s="32">
        <v>4.0</v>
      </c>
      <c r="F27" s="32">
        <v>1.0</v>
      </c>
      <c r="G27" s="32">
        <v>5.0</v>
      </c>
      <c r="H27" s="32">
        <v>0.6</v>
      </c>
      <c r="I27" s="33" t="b">
        <v>0</v>
      </c>
      <c r="J27" s="31" t="s">
        <v>396</v>
      </c>
      <c r="K27" s="32" t="s">
        <v>397</v>
      </c>
    </row>
    <row r="28">
      <c r="A28" s="31" t="s">
        <v>166</v>
      </c>
      <c r="B28" s="31" t="s">
        <v>287</v>
      </c>
      <c r="C28" s="31" t="s">
        <v>288</v>
      </c>
      <c r="D28" s="32">
        <v>3.0</v>
      </c>
      <c r="E28" s="32">
        <v>1.0</v>
      </c>
      <c r="F28" s="32">
        <v>8.0</v>
      </c>
      <c r="G28" s="32">
        <v>9.0</v>
      </c>
      <c r="H28" s="32">
        <v>0.777777777777777</v>
      </c>
      <c r="I28" s="33" t="b">
        <v>1</v>
      </c>
      <c r="J28" s="31" t="s">
        <v>392</v>
      </c>
      <c r="K28" s="32" t="s">
        <v>398</v>
      </c>
    </row>
    <row r="29">
      <c r="A29" s="31" t="s">
        <v>138</v>
      </c>
      <c r="B29" s="31" t="s">
        <v>139</v>
      </c>
      <c r="C29" s="31" t="s">
        <v>140</v>
      </c>
      <c r="D29" s="32">
        <v>3.0</v>
      </c>
      <c r="E29" s="32">
        <v>7.0</v>
      </c>
      <c r="F29" s="32">
        <v>2.0</v>
      </c>
      <c r="G29" s="32">
        <v>9.0</v>
      </c>
      <c r="H29" s="32">
        <v>0.555555555555555</v>
      </c>
      <c r="I29" s="33" t="b">
        <v>0</v>
      </c>
      <c r="J29" s="31" t="s">
        <v>396</v>
      </c>
      <c r="K29" s="32" t="s">
        <v>390</v>
      </c>
    </row>
    <row r="30">
      <c r="A30" s="31" t="s">
        <v>289</v>
      </c>
      <c r="B30" s="31" t="s">
        <v>290</v>
      </c>
      <c r="C30" s="31" t="s">
        <v>291</v>
      </c>
      <c r="D30" s="32">
        <v>3.0</v>
      </c>
      <c r="E30" s="32">
        <v>1.0</v>
      </c>
      <c r="F30" s="32">
        <v>8.0</v>
      </c>
      <c r="G30" s="32">
        <v>9.0</v>
      </c>
      <c r="H30" s="32">
        <v>0.777777777777777</v>
      </c>
      <c r="I30" s="33" t="b">
        <v>1</v>
      </c>
      <c r="J30" s="31" t="s">
        <v>392</v>
      </c>
      <c r="K30" s="32" t="s">
        <v>395</v>
      </c>
    </row>
    <row r="31">
      <c r="A31" s="31" t="s">
        <v>131</v>
      </c>
      <c r="B31" s="31" t="s">
        <v>132</v>
      </c>
      <c r="C31" s="31" t="s">
        <v>133</v>
      </c>
      <c r="D31" s="32">
        <v>3.0</v>
      </c>
      <c r="E31" s="32">
        <v>7.0</v>
      </c>
      <c r="F31" s="32">
        <v>2.0</v>
      </c>
      <c r="G31" s="32">
        <v>9.0</v>
      </c>
      <c r="H31" s="32">
        <v>0.555555555555555</v>
      </c>
      <c r="I31" s="33" t="b">
        <v>0</v>
      </c>
      <c r="J31" s="31" t="s">
        <v>396</v>
      </c>
      <c r="K31" s="32" t="s">
        <v>390</v>
      </c>
    </row>
    <row r="32">
      <c r="A32" s="31" t="s">
        <v>156</v>
      </c>
      <c r="B32" s="31" t="s">
        <v>157</v>
      </c>
      <c r="C32" s="31" t="s">
        <v>158</v>
      </c>
      <c r="D32" s="32">
        <v>3.0</v>
      </c>
      <c r="E32" s="32">
        <v>7.0</v>
      </c>
      <c r="F32" s="32">
        <v>2.0</v>
      </c>
      <c r="G32" s="32">
        <v>9.0</v>
      </c>
      <c r="H32" s="32">
        <v>0.555555555555555</v>
      </c>
      <c r="I32" s="33" t="b">
        <v>0</v>
      </c>
      <c r="J32" s="31" t="s">
        <v>396</v>
      </c>
      <c r="K32" s="32" t="s">
        <v>390</v>
      </c>
    </row>
    <row r="33">
      <c r="A33" s="31" t="s">
        <v>92</v>
      </c>
      <c r="B33" s="31" t="s">
        <v>95</v>
      </c>
      <c r="C33" s="31" t="s">
        <v>96</v>
      </c>
      <c r="D33" s="32">
        <v>3.0</v>
      </c>
      <c r="E33" s="32">
        <v>7.0</v>
      </c>
      <c r="F33" s="32">
        <v>2.0</v>
      </c>
      <c r="G33" s="32">
        <v>9.0</v>
      </c>
      <c r="H33" s="32">
        <v>0.555555555555555</v>
      </c>
      <c r="I33" s="33" t="b">
        <v>0</v>
      </c>
      <c r="J33" s="31" t="s">
        <v>396</v>
      </c>
      <c r="K33" s="32" t="s">
        <v>390</v>
      </c>
    </row>
    <row r="34">
      <c r="A34" s="31" t="s">
        <v>75</v>
      </c>
      <c r="B34" s="31" t="s">
        <v>76</v>
      </c>
      <c r="C34" s="31" t="s">
        <v>77</v>
      </c>
      <c r="D34" s="32">
        <v>3.0</v>
      </c>
      <c r="E34" s="32">
        <v>1.0</v>
      </c>
      <c r="F34" s="32">
        <v>8.0</v>
      </c>
      <c r="G34" s="32">
        <v>9.0</v>
      </c>
      <c r="H34" s="32">
        <v>0.777777777777777</v>
      </c>
      <c r="I34" s="33" t="b">
        <v>1</v>
      </c>
      <c r="J34" s="31" t="s">
        <v>392</v>
      </c>
      <c r="K34" s="32" t="s">
        <v>395</v>
      </c>
    </row>
    <row r="35">
      <c r="A35" s="31" t="s">
        <v>89</v>
      </c>
      <c r="B35" s="31" t="s">
        <v>90</v>
      </c>
      <c r="C35" s="31" t="s">
        <v>91</v>
      </c>
      <c r="D35" s="32">
        <v>3.0</v>
      </c>
      <c r="E35" s="32">
        <v>7.0</v>
      </c>
      <c r="F35" s="32">
        <v>2.0</v>
      </c>
      <c r="G35" s="32">
        <v>9.0</v>
      </c>
      <c r="H35" s="32">
        <v>0.555555555555555</v>
      </c>
      <c r="I35" s="33" t="b">
        <v>0</v>
      </c>
      <c r="J35" s="31" t="s">
        <v>396</v>
      </c>
      <c r="K35" s="32" t="s">
        <v>390</v>
      </c>
    </row>
    <row r="36">
      <c r="A36" s="31" t="s">
        <v>89</v>
      </c>
      <c r="B36" s="31" t="s">
        <v>309</v>
      </c>
      <c r="C36" s="31" t="s">
        <v>310</v>
      </c>
      <c r="D36" s="32">
        <v>3.0</v>
      </c>
      <c r="E36" s="32">
        <v>1.0</v>
      </c>
      <c r="F36" s="32">
        <v>8.0</v>
      </c>
      <c r="G36" s="32">
        <v>9.0</v>
      </c>
      <c r="H36" s="32">
        <v>0.777777777777777</v>
      </c>
      <c r="I36" s="33" t="b">
        <v>1</v>
      </c>
      <c r="J36" s="31" t="s">
        <v>392</v>
      </c>
      <c r="K36" s="32" t="s">
        <v>393</v>
      </c>
    </row>
    <row r="37">
      <c r="A37" s="31" t="s">
        <v>296</v>
      </c>
      <c r="B37" s="31" t="s">
        <v>297</v>
      </c>
      <c r="C37" s="31" t="s">
        <v>298</v>
      </c>
      <c r="D37" s="32">
        <v>3.0</v>
      </c>
      <c r="E37" s="32">
        <v>7.0</v>
      </c>
      <c r="F37" s="32">
        <v>2.0</v>
      </c>
      <c r="G37" s="32">
        <v>9.0</v>
      </c>
      <c r="H37" s="32">
        <v>0.555555555555555</v>
      </c>
      <c r="I37" s="33" t="b">
        <v>0</v>
      </c>
      <c r="J37" s="31" t="s">
        <v>396</v>
      </c>
      <c r="K37" s="32" t="s">
        <v>399</v>
      </c>
    </row>
    <row r="38">
      <c r="A38" s="31" t="s">
        <v>128</v>
      </c>
      <c r="B38" s="31" t="s">
        <v>299</v>
      </c>
      <c r="C38" s="31" t="s">
        <v>300</v>
      </c>
      <c r="D38" s="32">
        <v>3.0</v>
      </c>
      <c r="E38" s="32">
        <v>1.0</v>
      </c>
      <c r="F38" s="32">
        <v>5.0</v>
      </c>
      <c r="G38" s="32">
        <v>6.0</v>
      </c>
      <c r="H38" s="32">
        <v>0.666666666666666</v>
      </c>
      <c r="I38" s="33" t="b">
        <v>1</v>
      </c>
      <c r="J38" s="31" t="s">
        <v>392</v>
      </c>
      <c r="K38" s="32" t="s">
        <v>400</v>
      </c>
    </row>
    <row r="39">
      <c r="A39" s="31" t="s">
        <v>169</v>
      </c>
      <c r="B39" s="31" t="s">
        <v>170</v>
      </c>
      <c r="C39" s="31" t="s">
        <v>171</v>
      </c>
      <c r="D39" s="32">
        <v>3.0</v>
      </c>
      <c r="E39" s="32">
        <v>7.0</v>
      </c>
      <c r="F39" s="32">
        <v>2.0</v>
      </c>
      <c r="G39" s="32">
        <v>9.0</v>
      </c>
      <c r="H39" s="32">
        <v>0.555555555555555</v>
      </c>
      <c r="I39" s="33" t="b">
        <v>0</v>
      </c>
      <c r="J39" s="31" t="s">
        <v>396</v>
      </c>
      <c r="K39" s="32" t="s">
        <v>153</v>
      </c>
    </row>
    <row r="40">
      <c r="A40" s="31" t="s">
        <v>71</v>
      </c>
      <c r="B40" s="31" t="s">
        <v>72</v>
      </c>
      <c r="C40" s="31" t="s">
        <v>73</v>
      </c>
      <c r="D40" s="32">
        <v>3.0</v>
      </c>
      <c r="E40" s="32">
        <v>1.0</v>
      </c>
      <c r="F40" s="32">
        <v>5.0</v>
      </c>
      <c r="G40" s="32">
        <v>6.0</v>
      </c>
      <c r="H40" s="32">
        <v>0.666666666666666</v>
      </c>
      <c r="I40" s="33" t="b">
        <v>1</v>
      </c>
      <c r="J40" s="31" t="s">
        <v>392</v>
      </c>
      <c r="K40" s="32" t="s">
        <v>394</v>
      </c>
    </row>
    <row r="41">
      <c r="A41" s="31" t="s">
        <v>108</v>
      </c>
      <c r="B41" s="31" t="s">
        <v>109</v>
      </c>
      <c r="C41" s="31" t="s">
        <v>110</v>
      </c>
      <c r="D41" s="32">
        <v>3.0</v>
      </c>
      <c r="E41" s="32">
        <v>2.0</v>
      </c>
      <c r="F41" s="32">
        <v>9.0</v>
      </c>
      <c r="G41" s="32">
        <v>11.0</v>
      </c>
      <c r="H41" s="32">
        <v>0.636363636363636</v>
      </c>
      <c r="I41" s="33" t="b">
        <v>1</v>
      </c>
      <c r="J41" s="31" t="s">
        <v>392</v>
      </c>
      <c r="K41" s="32" t="s">
        <v>390</v>
      </c>
    </row>
    <row r="42">
      <c r="A42" s="31" t="s">
        <v>218</v>
      </c>
      <c r="B42" s="31" t="s">
        <v>219</v>
      </c>
      <c r="C42" s="31" t="s">
        <v>220</v>
      </c>
      <c r="D42" s="32">
        <v>3.0</v>
      </c>
      <c r="E42" s="32">
        <v>7.0</v>
      </c>
      <c r="F42" s="32">
        <v>2.0</v>
      </c>
      <c r="G42" s="32">
        <v>9.0</v>
      </c>
      <c r="H42" s="32">
        <v>0.555555555555555</v>
      </c>
      <c r="I42" s="33" t="b">
        <v>0</v>
      </c>
      <c r="J42" s="31" t="s">
        <v>396</v>
      </c>
      <c r="K42" s="32" t="s">
        <v>391</v>
      </c>
    </row>
    <row r="43">
      <c r="A43" s="31" t="s">
        <v>166</v>
      </c>
      <c r="B43" s="31" t="s">
        <v>167</v>
      </c>
      <c r="C43" s="31" t="s">
        <v>168</v>
      </c>
      <c r="D43" s="32">
        <v>3.0</v>
      </c>
      <c r="E43" s="32">
        <v>1.0</v>
      </c>
      <c r="F43" s="32">
        <v>4.0</v>
      </c>
      <c r="G43" s="32">
        <v>5.0</v>
      </c>
      <c r="H43" s="32">
        <v>0.6</v>
      </c>
      <c r="I43" s="33" t="b">
        <v>1</v>
      </c>
      <c r="J43" s="31" t="s">
        <v>396</v>
      </c>
      <c r="K43" s="32" t="s">
        <v>401</v>
      </c>
    </row>
    <row r="44">
      <c r="A44" s="31" t="s">
        <v>215</v>
      </c>
      <c r="B44" s="31" t="s">
        <v>216</v>
      </c>
      <c r="C44" s="31" t="s">
        <v>217</v>
      </c>
      <c r="D44" s="32">
        <v>3.0</v>
      </c>
      <c r="E44" s="32">
        <v>1.0</v>
      </c>
      <c r="F44" s="32">
        <v>4.0</v>
      </c>
      <c r="G44" s="32">
        <v>5.0</v>
      </c>
      <c r="H44" s="32">
        <v>0.6</v>
      </c>
      <c r="I44" s="33" t="b">
        <v>1</v>
      </c>
      <c r="J44" s="31" t="s">
        <v>396</v>
      </c>
      <c r="K44" s="32" t="s">
        <v>402</v>
      </c>
    </row>
    <row r="45">
      <c r="A45" s="31" t="s">
        <v>247</v>
      </c>
      <c r="B45" s="31" t="s">
        <v>248</v>
      </c>
      <c r="C45" s="31" t="s">
        <v>249</v>
      </c>
      <c r="D45" s="32">
        <v>3.0</v>
      </c>
      <c r="E45" s="32">
        <v>2.0</v>
      </c>
      <c r="F45" s="32">
        <v>8.0</v>
      </c>
      <c r="G45" s="32">
        <v>10.0</v>
      </c>
      <c r="H45" s="32">
        <v>0.6</v>
      </c>
      <c r="I45" s="33" t="b">
        <v>1</v>
      </c>
      <c r="J45" s="31" t="s">
        <v>396</v>
      </c>
      <c r="K45" s="32" t="s">
        <v>390</v>
      </c>
    </row>
    <row r="46">
      <c r="A46" s="31" t="s">
        <v>169</v>
      </c>
      <c r="B46" s="31" t="s">
        <v>285</v>
      </c>
      <c r="C46" s="31" t="s">
        <v>286</v>
      </c>
      <c r="D46" s="32">
        <v>3.0</v>
      </c>
      <c r="E46" s="32">
        <v>2.0</v>
      </c>
      <c r="F46" s="32">
        <v>7.0</v>
      </c>
      <c r="G46" s="32">
        <v>9.0</v>
      </c>
      <c r="H46" s="32">
        <v>0.555555555555555</v>
      </c>
      <c r="I46" s="33" t="b">
        <v>1</v>
      </c>
      <c r="J46" s="31" t="s">
        <v>396</v>
      </c>
      <c r="K46" s="32" t="s">
        <v>390</v>
      </c>
    </row>
    <row r="47">
      <c r="A47" s="31" t="s">
        <v>81</v>
      </c>
      <c r="B47" s="31" t="s">
        <v>82</v>
      </c>
      <c r="C47" s="31" t="s">
        <v>83</v>
      </c>
      <c r="D47" s="32">
        <v>3.0</v>
      </c>
      <c r="E47" s="32">
        <v>2.0</v>
      </c>
      <c r="F47" s="32">
        <v>7.0</v>
      </c>
      <c r="G47" s="32">
        <v>9.0</v>
      </c>
      <c r="H47" s="32">
        <v>0.555555555555555</v>
      </c>
      <c r="I47" s="33" t="b">
        <v>1</v>
      </c>
      <c r="J47" s="31" t="s">
        <v>396</v>
      </c>
      <c r="K47" s="32" t="s">
        <v>390</v>
      </c>
    </row>
    <row r="48">
      <c r="A48" s="31" t="s">
        <v>314</v>
      </c>
      <c r="B48" s="31" t="s">
        <v>339</v>
      </c>
      <c r="C48" s="31" t="s">
        <v>340</v>
      </c>
      <c r="D48" s="32">
        <v>3.0</v>
      </c>
      <c r="E48" s="32">
        <v>2.0</v>
      </c>
      <c r="F48" s="32">
        <v>7.0</v>
      </c>
      <c r="G48" s="32">
        <v>9.0</v>
      </c>
      <c r="H48" s="32">
        <v>0.555555555555555</v>
      </c>
      <c r="I48" s="33" t="b">
        <v>1</v>
      </c>
      <c r="J48" s="31" t="s">
        <v>396</v>
      </c>
      <c r="K48" s="32" t="s">
        <v>390</v>
      </c>
    </row>
    <row r="49">
      <c r="A49" s="31" t="s">
        <v>215</v>
      </c>
      <c r="B49" s="31" t="s">
        <v>337</v>
      </c>
      <c r="C49" s="31" t="s">
        <v>338</v>
      </c>
      <c r="D49" s="32">
        <v>3.0</v>
      </c>
      <c r="E49" s="32">
        <v>2.0</v>
      </c>
      <c r="F49" s="32">
        <v>7.0</v>
      </c>
      <c r="G49" s="32">
        <v>9.0</v>
      </c>
      <c r="H49" s="32">
        <v>0.555555555555555</v>
      </c>
      <c r="I49" s="33" t="b">
        <v>1</v>
      </c>
      <c r="J49" s="31" t="s">
        <v>396</v>
      </c>
      <c r="K49" s="32" t="s">
        <v>391</v>
      </c>
    </row>
    <row r="50">
      <c r="A50" s="31" t="s">
        <v>193</v>
      </c>
      <c r="B50" s="31" t="s">
        <v>194</v>
      </c>
      <c r="C50" s="31" t="s">
        <v>195</v>
      </c>
      <c r="D50" s="32">
        <v>3.0</v>
      </c>
      <c r="E50" s="32">
        <v>2.0</v>
      </c>
      <c r="F50" s="32">
        <v>7.0</v>
      </c>
      <c r="G50" s="32">
        <v>9.0</v>
      </c>
      <c r="H50" s="32">
        <v>0.555555555555555</v>
      </c>
      <c r="I50" s="33" t="b">
        <v>1</v>
      </c>
      <c r="J50" s="31" t="s">
        <v>396</v>
      </c>
      <c r="K50" s="32" t="s">
        <v>403</v>
      </c>
    </row>
    <row r="51">
      <c r="A51" s="31" t="s">
        <v>159</v>
      </c>
      <c r="B51" s="31" t="s">
        <v>160</v>
      </c>
      <c r="C51" s="31" t="s">
        <v>161</v>
      </c>
      <c r="D51" s="32">
        <v>3.0</v>
      </c>
      <c r="E51" s="32">
        <v>2.0</v>
      </c>
      <c r="F51" s="32">
        <v>7.0</v>
      </c>
      <c r="G51" s="32">
        <v>9.0</v>
      </c>
      <c r="H51" s="32">
        <v>0.555555555555555</v>
      </c>
      <c r="I51" s="33" t="b">
        <v>1</v>
      </c>
      <c r="J51" s="31" t="s">
        <v>396</v>
      </c>
      <c r="K51" s="32" t="s">
        <v>397</v>
      </c>
    </row>
    <row r="52">
      <c r="A52" s="31" t="s">
        <v>176</v>
      </c>
      <c r="B52" s="31" t="s">
        <v>177</v>
      </c>
      <c r="C52" s="31" t="s">
        <v>178</v>
      </c>
      <c r="D52" s="32">
        <v>3.0</v>
      </c>
      <c r="E52" s="32">
        <v>2.0</v>
      </c>
      <c r="F52" s="32">
        <v>7.0</v>
      </c>
      <c r="G52" s="32">
        <v>9.0</v>
      </c>
      <c r="H52" s="32">
        <v>0.555555555555555</v>
      </c>
      <c r="I52" s="33" t="b">
        <v>1</v>
      </c>
      <c r="J52" s="31" t="s">
        <v>396</v>
      </c>
      <c r="K52" s="32" t="s">
        <v>400</v>
      </c>
    </row>
    <row r="53">
      <c r="A53" s="31" t="s">
        <v>144</v>
      </c>
      <c r="B53" s="31" t="s">
        <v>189</v>
      </c>
      <c r="C53" s="31" t="s">
        <v>190</v>
      </c>
      <c r="D53" s="32">
        <v>3.0</v>
      </c>
      <c r="E53" s="32">
        <v>7.0</v>
      </c>
      <c r="F53" s="32">
        <v>2.0</v>
      </c>
      <c r="G53" s="32">
        <v>9.0</v>
      </c>
      <c r="H53" s="32">
        <v>0.555555555555555</v>
      </c>
      <c r="I53" s="33" t="b">
        <v>0</v>
      </c>
      <c r="J53" s="31" t="s">
        <v>396</v>
      </c>
      <c r="K53" s="32" t="s">
        <v>403</v>
      </c>
    </row>
    <row r="54">
      <c r="A54" s="31" t="s">
        <v>301</v>
      </c>
      <c r="B54" s="31" t="s">
        <v>302</v>
      </c>
      <c r="C54" s="31" t="s">
        <v>303</v>
      </c>
      <c r="D54" s="32">
        <v>3.0</v>
      </c>
      <c r="E54" s="32">
        <v>2.0</v>
      </c>
      <c r="F54" s="32">
        <v>7.0</v>
      </c>
      <c r="G54" s="32">
        <v>9.0</v>
      </c>
      <c r="H54" s="32">
        <v>0.555555555555555</v>
      </c>
      <c r="I54" s="33" t="b">
        <v>1</v>
      </c>
      <c r="J54" s="31" t="s">
        <v>396</v>
      </c>
      <c r="K54" s="32" t="s">
        <v>239</v>
      </c>
    </row>
    <row r="55">
      <c r="A55" s="31" t="s">
        <v>265</v>
      </c>
      <c r="B55" s="31" t="s">
        <v>266</v>
      </c>
      <c r="C55" s="31" t="s">
        <v>267</v>
      </c>
      <c r="D55" s="32">
        <v>3.0</v>
      </c>
      <c r="E55" s="32">
        <v>2.0</v>
      </c>
      <c r="F55" s="32">
        <v>7.0</v>
      </c>
      <c r="G55" s="32">
        <v>9.0</v>
      </c>
      <c r="H55" s="32">
        <v>0.555555555555555</v>
      </c>
      <c r="I55" s="33" t="b">
        <v>1</v>
      </c>
      <c r="J55" s="31" t="s">
        <v>396</v>
      </c>
      <c r="K55" s="32" t="s">
        <v>402</v>
      </c>
    </row>
    <row r="56">
      <c r="A56" s="31" t="s">
        <v>253</v>
      </c>
      <c r="B56" s="31" t="s">
        <v>254</v>
      </c>
      <c r="C56" s="31" t="s">
        <v>255</v>
      </c>
      <c r="D56" s="32">
        <v>3.0</v>
      </c>
      <c r="E56" s="32">
        <v>7.0</v>
      </c>
      <c r="F56" s="32">
        <v>2.0</v>
      </c>
      <c r="G56" s="32">
        <v>9.0</v>
      </c>
      <c r="H56" s="32">
        <v>0.555555555555555</v>
      </c>
      <c r="I56" s="33" t="b">
        <v>0</v>
      </c>
      <c r="J56" s="31" t="s">
        <v>396</v>
      </c>
      <c r="K56" s="32" t="s">
        <v>393</v>
      </c>
    </row>
    <row r="57">
      <c r="A57" s="31" t="s">
        <v>144</v>
      </c>
      <c r="B57" s="31" t="s">
        <v>198</v>
      </c>
      <c r="C57" s="31" t="s">
        <v>199</v>
      </c>
      <c r="D57" s="32">
        <v>3.0</v>
      </c>
      <c r="E57" s="32">
        <v>6.0</v>
      </c>
      <c r="F57" s="32">
        <v>3.0</v>
      </c>
      <c r="G57" s="32">
        <v>9.0</v>
      </c>
      <c r="H57" s="32">
        <v>0.333333333333333</v>
      </c>
      <c r="I57" s="33" t="b">
        <v>0</v>
      </c>
      <c r="J57" s="31" t="s">
        <v>404</v>
      </c>
      <c r="K57" s="32" t="s">
        <v>390</v>
      </c>
    </row>
    <row r="58">
      <c r="A58" s="31" t="s">
        <v>144</v>
      </c>
      <c r="B58" s="31" t="s">
        <v>245</v>
      </c>
      <c r="C58" s="31" t="s">
        <v>246</v>
      </c>
      <c r="D58" s="32">
        <v>3.0</v>
      </c>
      <c r="E58" s="32">
        <v>6.0</v>
      </c>
      <c r="F58" s="32">
        <v>3.0</v>
      </c>
      <c r="G58" s="32">
        <v>9.0</v>
      </c>
      <c r="H58" s="32">
        <v>0.333333333333333</v>
      </c>
      <c r="I58" s="33" t="b">
        <v>0</v>
      </c>
      <c r="J58" s="31" t="s">
        <v>404</v>
      </c>
      <c r="K58" s="32" t="s">
        <v>390</v>
      </c>
    </row>
    <row r="59">
      <c r="A59" s="31" t="s">
        <v>304</v>
      </c>
      <c r="B59" s="31" t="s">
        <v>331</v>
      </c>
      <c r="C59" s="31" t="s">
        <v>332</v>
      </c>
      <c r="D59" s="32">
        <v>3.0</v>
      </c>
      <c r="E59" s="32">
        <v>2.0</v>
      </c>
      <c r="F59" s="32">
        <v>7.0</v>
      </c>
      <c r="G59" s="32">
        <v>9.0</v>
      </c>
      <c r="H59" s="32">
        <v>0.555555555555555</v>
      </c>
      <c r="I59" s="33" t="b">
        <v>1</v>
      </c>
      <c r="J59" s="31" t="s">
        <v>396</v>
      </c>
      <c r="K59" s="32" t="s">
        <v>401</v>
      </c>
    </row>
    <row r="60">
      <c r="A60" s="31" t="s">
        <v>144</v>
      </c>
      <c r="B60" s="31" t="s">
        <v>263</v>
      </c>
      <c r="C60" s="31" t="s">
        <v>264</v>
      </c>
      <c r="D60" s="32">
        <v>3.0</v>
      </c>
      <c r="E60" s="32">
        <v>6.0</v>
      </c>
      <c r="F60" s="32">
        <v>3.0</v>
      </c>
      <c r="G60" s="32">
        <v>9.0</v>
      </c>
      <c r="H60" s="32">
        <v>0.333333333333333</v>
      </c>
      <c r="I60" s="33" t="b">
        <v>0</v>
      </c>
      <c r="J60" s="31" t="s">
        <v>404</v>
      </c>
      <c r="K60" s="32" t="s">
        <v>390</v>
      </c>
    </row>
    <row r="61">
      <c r="A61" s="31" t="s">
        <v>229</v>
      </c>
      <c r="B61" s="31" t="s">
        <v>230</v>
      </c>
      <c r="C61" s="31" t="s">
        <v>231</v>
      </c>
      <c r="D61" s="32">
        <v>3.0</v>
      </c>
      <c r="E61" s="32">
        <v>2.0</v>
      </c>
      <c r="F61" s="32">
        <v>7.0</v>
      </c>
      <c r="G61" s="32">
        <v>9.0</v>
      </c>
      <c r="H61" s="32">
        <v>0.555555555555555</v>
      </c>
      <c r="I61" s="33" t="b">
        <v>1</v>
      </c>
      <c r="J61" s="31" t="s">
        <v>396</v>
      </c>
      <c r="K61" s="32" t="s">
        <v>397</v>
      </c>
    </row>
    <row r="62">
      <c r="A62" s="31" t="s">
        <v>85</v>
      </c>
      <c r="B62" s="31" t="s">
        <v>86</v>
      </c>
      <c r="C62" s="31" t="s">
        <v>87</v>
      </c>
      <c r="D62" s="32">
        <v>3.0</v>
      </c>
      <c r="E62" s="32">
        <v>6.0</v>
      </c>
      <c r="F62" s="32">
        <v>3.0</v>
      </c>
      <c r="G62" s="32">
        <v>9.0</v>
      </c>
      <c r="H62" s="32">
        <v>0.333333333333333</v>
      </c>
      <c r="I62" s="33" t="b">
        <v>0</v>
      </c>
      <c r="J62" s="31" t="s">
        <v>404</v>
      </c>
      <c r="K62" s="32" t="s">
        <v>390</v>
      </c>
    </row>
    <row r="63">
      <c r="A63" s="31" t="s">
        <v>176</v>
      </c>
      <c r="B63" s="31" t="s">
        <v>209</v>
      </c>
      <c r="C63" s="31" t="s">
        <v>210</v>
      </c>
      <c r="D63" s="32">
        <v>3.0</v>
      </c>
      <c r="E63" s="32">
        <v>6.0</v>
      </c>
      <c r="F63" s="32">
        <v>3.0</v>
      </c>
      <c r="G63" s="32">
        <v>9.0</v>
      </c>
      <c r="H63" s="32">
        <v>0.333333333333333</v>
      </c>
      <c r="I63" s="33" t="b">
        <v>0</v>
      </c>
      <c r="J63" s="31" t="s">
        <v>404</v>
      </c>
      <c r="K63" s="32" t="s">
        <v>390</v>
      </c>
    </row>
    <row r="64">
      <c r="A64" s="31" t="s">
        <v>144</v>
      </c>
      <c r="B64" s="31" t="s">
        <v>271</v>
      </c>
      <c r="C64" s="31" t="s">
        <v>272</v>
      </c>
      <c r="D64" s="32">
        <v>3.0</v>
      </c>
      <c r="E64" s="32">
        <v>2.0</v>
      </c>
      <c r="F64" s="32">
        <v>7.0</v>
      </c>
      <c r="G64" s="32">
        <v>9.0</v>
      </c>
      <c r="H64" s="32">
        <v>0.555555555555555</v>
      </c>
      <c r="I64" s="33" t="b">
        <v>1</v>
      </c>
      <c r="J64" s="31" t="s">
        <v>396</v>
      </c>
      <c r="K64" s="32" t="s">
        <v>390</v>
      </c>
    </row>
    <row r="65">
      <c r="A65" s="31" t="s">
        <v>81</v>
      </c>
      <c r="B65" s="31" t="s">
        <v>121</v>
      </c>
      <c r="C65" s="31" t="s">
        <v>122</v>
      </c>
      <c r="D65" s="32">
        <v>3.0</v>
      </c>
      <c r="E65" s="32">
        <v>3.0</v>
      </c>
      <c r="F65" s="32">
        <v>7.0</v>
      </c>
      <c r="G65" s="32">
        <v>10.0</v>
      </c>
      <c r="H65" s="32">
        <v>0.4</v>
      </c>
      <c r="I65" s="33" t="b">
        <v>1</v>
      </c>
      <c r="J65" s="31" t="s">
        <v>404</v>
      </c>
      <c r="K65" s="32" t="s">
        <v>390</v>
      </c>
    </row>
    <row r="66">
      <c r="A66" s="31" t="s">
        <v>186</v>
      </c>
      <c r="B66" s="31" t="s">
        <v>227</v>
      </c>
      <c r="C66" s="31" t="s">
        <v>228</v>
      </c>
      <c r="D66" s="32">
        <v>3.0</v>
      </c>
      <c r="E66" s="32">
        <v>3.0</v>
      </c>
      <c r="F66" s="32">
        <v>7.0</v>
      </c>
      <c r="G66" s="32">
        <v>10.0</v>
      </c>
      <c r="H66" s="32">
        <v>0.4</v>
      </c>
      <c r="I66" s="33" t="b">
        <v>1</v>
      </c>
      <c r="J66" s="31" t="s">
        <v>404</v>
      </c>
      <c r="K66" s="32" t="s">
        <v>390</v>
      </c>
    </row>
    <row r="67">
      <c r="A67" s="31" t="s">
        <v>92</v>
      </c>
      <c r="B67" s="31" t="s">
        <v>93</v>
      </c>
      <c r="C67" s="31" t="s">
        <v>94</v>
      </c>
      <c r="D67" s="32">
        <v>3.0</v>
      </c>
      <c r="E67" s="32">
        <v>3.0</v>
      </c>
      <c r="F67" s="32">
        <v>7.0</v>
      </c>
      <c r="G67" s="32">
        <v>10.0</v>
      </c>
      <c r="H67" s="32">
        <v>0.4</v>
      </c>
      <c r="I67" s="33" t="b">
        <v>1</v>
      </c>
      <c r="J67" s="31" t="s">
        <v>404</v>
      </c>
      <c r="K67" s="32" t="s">
        <v>390</v>
      </c>
    </row>
    <row r="68">
      <c r="A68" s="31" t="s">
        <v>314</v>
      </c>
      <c r="B68" s="31" t="s">
        <v>315</v>
      </c>
      <c r="C68" s="31" t="s">
        <v>316</v>
      </c>
      <c r="D68" s="32">
        <v>3.0</v>
      </c>
      <c r="E68" s="32">
        <v>3.0</v>
      </c>
      <c r="F68" s="32">
        <v>6.0</v>
      </c>
      <c r="G68" s="32">
        <v>9.0</v>
      </c>
      <c r="H68" s="32">
        <v>0.333333333333333</v>
      </c>
      <c r="I68" s="33" t="b">
        <v>1</v>
      </c>
      <c r="J68" s="31" t="s">
        <v>404</v>
      </c>
      <c r="K68" s="32" t="s">
        <v>239</v>
      </c>
    </row>
    <row r="69">
      <c r="A69" s="31" t="s">
        <v>317</v>
      </c>
      <c r="B69" s="31" t="s">
        <v>318</v>
      </c>
      <c r="C69" s="31" t="s">
        <v>319</v>
      </c>
      <c r="D69" s="32">
        <v>3.0</v>
      </c>
      <c r="E69" s="32">
        <v>3.0</v>
      </c>
      <c r="F69" s="32">
        <v>6.0</v>
      </c>
      <c r="G69" s="32">
        <v>9.0</v>
      </c>
      <c r="H69" s="32">
        <v>0.333333333333333</v>
      </c>
      <c r="I69" s="33" t="b">
        <v>1</v>
      </c>
      <c r="J69" s="31" t="s">
        <v>404</v>
      </c>
      <c r="K69" s="32" t="s">
        <v>403</v>
      </c>
    </row>
    <row r="70">
      <c r="A70" s="31" t="s">
        <v>111</v>
      </c>
      <c r="B70" s="31" t="s">
        <v>123</v>
      </c>
      <c r="C70" s="31" t="s">
        <v>124</v>
      </c>
      <c r="D70" s="32">
        <v>3.0</v>
      </c>
      <c r="E70" s="32">
        <v>6.0</v>
      </c>
      <c r="F70" s="32">
        <v>3.0</v>
      </c>
      <c r="G70" s="32">
        <v>9.0</v>
      </c>
      <c r="H70" s="32">
        <v>0.333333333333333</v>
      </c>
      <c r="I70" s="33" t="b">
        <v>0</v>
      </c>
      <c r="J70" s="31" t="s">
        <v>404</v>
      </c>
      <c r="K70" s="32" t="s">
        <v>399</v>
      </c>
    </row>
    <row r="71">
      <c r="A71" s="31" t="s">
        <v>282</v>
      </c>
      <c r="B71" s="31" t="s">
        <v>283</v>
      </c>
      <c r="C71" s="31" t="s">
        <v>284</v>
      </c>
      <c r="D71" s="32">
        <v>3.0</v>
      </c>
      <c r="E71" s="32">
        <v>6.0</v>
      </c>
      <c r="F71" s="32">
        <v>3.0</v>
      </c>
      <c r="G71" s="32">
        <v>9.0</v>
      </c>
      <c r="H71" s="32">
        <v>0.333333333333333</v>
      </c>
      <c r="I71" s="33" t="b">
        <v>0</v>
      </c>
      <c r="J71" s="31" t="s">
        <v>404</v>
      </c>
      <c r="K71" s="32" t="s">
        <v>399</v>
      </c>
    </row>
    <row r="72">
      <c r="A72" s="31" t="s">
        <v>253</v>
      </c>
      <c r="B72" s="31" t="s">
        <v>324</v>
      </c>
      <c r="C72" s="31" t="s">
        <v>325</v>
      </c>
      <c r="D72" s="32">
        <v>3.0</v>
      </c>
      <c r="E72" s="32">
        <v>6.0</v>
      </c>
      <c r="F72" s="32">
        <v>3.0</v>
      </c>
      <c r="G72" s="32">
        <v>9.0</v>
      </c>
      <c r="H72" s="32">
        <v>0.333333333333333</v>
      </c>
      <c r="I72" s="33" t="b">
        <v>0</v>
      </c>
      <c r="J72" s="31" t="s">
        <v>404</v>
      </c>
      <c r="K72" s="32" t="s">
        <v>394</v>
      </c>
    </row>
    <row r="73">
      <c r="A73" s="31" t="s">
        <v>141</v>
      </c>
      <c r="B73" s="31" t="s">
        <v>142</v>
      </c>
      <c r="C73" s="31" t="s">
        <v>143</v>
      </c>
      <c r="D73" s="32">
        <v>3.0</v>
      </c>
      <c r="E73" s="32">
        <v>2.0</v>
      </c>
      <c r="F73" s="32">
        <v>4.0</v>
      </c>
      <c r="G73" s="32">
        <v>6.0</v>
      </c>
      <c r="H73" s="32">
        <v>0.333333333333333</v>
      </c>
      <c r="I73" s="33" t="b">
        <v>1</v>
      </c>
      <c r="J73" s="31" t="s">
        <v>404</v>
      </c>
      <c r="K73" s="32" t="s">
        <v>402</v>
      </c>
    </row>
    <row r="74">
      <c r="A74" s="31" t="s">
        <v>200</v>
      </c>
      <c r="B74" s="31" t="s">
        <v>201</v>
      </c>
      <c r="C74" s="31" t="s">
        <v>202</v>
      </c>
      <c r="D74" s="32">
        <v>3.0</v>
      </c>
      <c r="E74" s="32">
        <v>3.0</v>
      </c>
      <c r="F74" s="32">
        <v>6.0</v>
      </c>
      <c r="G74" s="32">
        <v>9.0</v>
      </c>
      <c r="H74" s="32">
        <v>0.333333333333333</v>
      </c>
      <c r="I74" s="33" t="b">
        <v>1</v>
      </c>
      <c r="J74" s="31" t="s">
        <v>404</v>
      </c>
      <c r="K74" s="32" t="s">
        <v>405</v>
      </c>
    </row>
    <row r="75">
      <c r="A75" s="31" t="s">
        <v>150</v>
      </c>
      <c r="B75" s="31" t="s">
        <v>151</v>
      </c>
      <c r="C75" s="31" t="s">
        <v>152</v>
      </c>
      <c r="D75" s="32">
        <v>3.0</v>
      </c>
      <c r="E75" s="32">
        <v>3.0</v>
      </c>
      <c r="F75" s="32">
        <v>6.0</v>
      </c>
      <c r="G75" s="32">
        <v>9.0</v>
      </c>
      <c r="H75" s="32">
        <v>0.333333333333333</v>
      </c>
      <c r="I75" s="33" t="b">
        <v>1</v>
      </c>
      <c r="J75" s="31" t="s">
        <v>404</v>
      </c>
      <c r="K75" s="32" t="s">
        <v>153</v>
      </c>
    </row>
    <row r="76">
      <c r="A76" s="31" t="s">
        <v>206</v>
      </c>
      <c r="B76" s="31" t="s">
        <v>207</v>
      </c>
      <c r="C76" s="31" t="s">
        <v>208</v>
      </c>
      <c r="D76" s="32">
        <v>3.0</v>
      </c>
      <c r="E76" s="32">
        <v>6.0</v>
      </c>
      <c r="F76" s="32">
        <v>3.0</v>
      </c>
      <c r="G76" s="32">
        <v>9.0</v>
      </c>
      <c r="H76" s="32">
        <v>0.333333333333333</v>
      </c>
      <c r="I76" s="33" t="b">
        <v>0</v>
      </c>
      <c r="J76" s="31" t="s">
        <v>404</v>
      </c>
      <c r="K76" s="32" t="s">
        <v>405</v>
      </c>
    </row>
    <row r="77">
      <c r="A77" s="31" t="s">
        <v>224</v>
      </c>
      <c r="B77" s="31" t="s">
        <v>225</v>
      </c>
      <c r="C77" s="31" t="s">
        <v>226</v>
      </c>
      <c r="D77" s="32">
        <v>3.0</v>
      </c>
      <c r="E77" s="32">
        <v>6.0</v>
      </c>
      <c r="F77" s="32">
        <v>3.0</v>
      </c>
      <c r="G77" s="32">
        <v>9.0</v>
      </c>
      <c r="H77" s="32">
        <v>0.333333333333333</v>
      </c>
      <c r="I77" s="33" t="b">
        <v>0</v>
      </c>
      <c r="J77" s="31" t="s">
        <v>404</v>
      </c>
      <c r="K77" s="32" t="s">
        <v>397</v>
      </c>
    </row>
    <row r="78">
      <c r="A78" s="31" t="s">
        <v>97</v>
      </c>
      <c r="B78" s="31" t="s">
        <v>98</v>
      </c>
      <c r="C78" s="31" t="s">
        <v>99</v>
      </c>
      <c r="D78" s="32">
        <v>3.0</v>
      </c>
      <c r="E78" s="32">
        <v>3.0</v>
      </c>
      <c r="F78" s="32">
        <v>2.0</v>
      </c>
      <c r="G78" s="32">
        <v>5.0</v>
      </c>
      <c r="H78" s="32">
        <v>0.2</v>
      </c>
      <c r="I78" s="33" t="b">
        <v>0</v>
      </c>
      <c r="J78" s="31" t="s">
        <v>406</v>
      </c>
      <c r="K78" s="32" t="s">
        <v>403</v>
      </c>
    </row>
    <row r="79">
      <c r="A79" s="31" t="s">
        <v>250</v>
      </c>
      <c r="B79" s="31" t="s">
        <v>307</v>
      </c>
      <c r="C79" s="31" t="s">
        <v>308</v>
      </c>
      <c r="D79" s="32">
        <v>3.0</v>
      </c>
      <c r="E79" s="32">
        <v>3.0</v>
      </c>
      <c r="F79" s="32">
        <v>2.0</v>
      </c>
      <c r="G79" s="32">
        <v>5.0</v>
      </c>
      <c r="H79" s="32">
        <v>0.2</v>
      </c>
      <c r="I79" s="33" t="b">
        <v>0</v>
      </c>
      <c r="J79" s="31" t="s">
        <v>406</v>
      </c>
      <c r="K79" s="32" t="s">
        <v>239</v>
      </c>
    </row>
    <row r="80">
      <c r="A80" s="31" t="s">
        <v>147</v>
      </c>
      <c r="B80" s="31" t="s">
        <v>294</v>
      </c>
      <c r="C80" s="31" t="s">
        <v>295</v>
      </c>
      <c r="D80" s="32">
        <v>3.0</v>
      </c>
      <c r="E80" s="32">
        <v>3.0</v>
      </c>
      <c r="F80" s="32">
        <v>6.0</v>
      </c>
      <c r="G80" s="32">
        <v>9.0</v>
      </c>
      <c r="H80" s="32">
        <v>0.333333333333333</v>
      </c>
      <c r="I80" s="33" t="b">
        <v>1</v>
      </c>
      <c r="J80" s="31" t="s">
        <v>404</v>
      </c>
      <c r="K80" s="32" t="s">
        <v>405</v>
      </c>
    </row>
    <row r="81">
      <c r="A81" s="31" t="s">
        <v>78</v>
      </c>
      <c r="B81" s="31" t="s">
        <v>79</v>
      </c>
      <c r="C81" s="31" t="s">
        <v>80</v>
      </c>
      <c r="D81" s="32">
        <v>3.0</v>
      </c>
      <c r="E81" s="32">
        <v>4.0</v>
      </c>
      <c r="F81" s="32">
        <v>7.0</v>
      </c>
      <c r="G81" s="32">
        <v>11.0</v>
      </c>
      <c r="H81" s="32">
        <v>0.272727272727272</v>
      </c>
      <c r="I81" s="33" t="b">
        <v>1</v>
      </c>
      <c r="J81" s="31" t="s">
        <v>404</v>
      </c>
      <c r="K81" s="32" t="s">
        <v>390</v>
      </c>
    </row>
    <row r="82">
      <c r="A82" s="31" t="s">
        <v>97</v>
      </c>
      <c r="B82" s="31" t="s">
        <v>276</v>
      </c>
      <c r="C82" s="31" t="s">
        <v>277</v>
      </c>
      <c r="D82" s="32">
        <v>3.0</v>
      </c>
      <c r="E82" s="32">
        <v>4.0</v>
      </c>
      <c r="F82" s="32">
        <v>7.0</v>
      </c>
      <c r="G82" s="32">
        <v>11.0</v>
      </c>
      <c r="H82" s="32">
        <v>0.272727272727272</v>
      </c>
      <c r="I82" s="33" t="b">
        <v>1</v>
      </c>
      <c r="J82" s="31" t="s">
        <v>404</v>
      </c>
      <c r="K82" s="32" t="s">
        <v>390</v>
      </c>
    </row>
    <row r="83">
      <c r="A83" s="31" t="s">
        <v>111</v>
      </c>
      <c r="B83" s="31" t="s">
        <v>320</v>
      </c>
      <c r="C83" s="31" t="s">
        <v>321</v>
      </c>
      <c r="D83" s="32">
        <v>3.0</v>
      </c>
      <c r="E83" s="32">
        <v>5.0</v>
      </c>
      <c r="F83" s="32">
        <v>4.0</v>
      </c>
      <c r="G83" s="32">
        <v>9.0</v>
      </c>
      <c r="H83" s="32">
        <v>0.111111111111111</v>
      </c>
      <c r="I83" s="33" t="b">
        <v>0</v>
      </c>
      <c r="J83" s="31" t="s">
        <v>406</v>
      </c>
      <c r="K83" s="32" t="s">
        <v>390</v>
      </c>
    </row>
    <row r="84">
      <c r="A84" s="31" t="s">
        <v>131</v>
      </c>
      <c r="B84" s="31" t="s">
        <v>181</v>
      </c>
      <c r="C84" s="31" t="s">
        <v>182</v>
      </c>
      <c r="D84" s="32">
        <v>3.0</v>
      </c>
      <c r="E84" s="32">
        <v>4.0</v>
      </c>
      <c r="F84" s="32">
        <v>6.0</v>
      </c>
      <c r="G84" s="32">
        <v>10.0</v>
      </c>
      <c r="H84" s="32">
        <v>0.2</v>
      </c>
      <c r="I84" s="33" t="b">
        <v>1</v>
      </c>
      <c r="J84" s="31" t="s">
        <v>406</v>
      </c>
      <c r="K84" s="32" t="s">
        <v>390</v>
      </c>
    </row>
    <row r="85">
      <c r="A85" s="31" t="s">
        <v>268</v>
      </c>
      <c r="B85" s="31" t="s">
        <v>269</v>
      </c>
      <c r="C85" s="31" t="s">
        <v>270</v>
      </c>
      <c r="D85" s="32">
        <v>3.0</v>
      </c>
      <c r="E85" s="32">
        <v>4.0</v>
      </c>
      <c r="F85" s="32">
        <v>6.0</v>
      </c>
      <c r="G85" s="32">
        <v>10.0</v>
      </c>
      <c r="H85" s="32">
        <v>0.2</v>
      </c>
      <c r="I85" s="33" t="b">
        <v>1</v>
      </c>
      <c r="J85" s="31" t="s">
        <v>406</v>
      </c>
      <c r="K85" s="32" t="s">
        <v>390</v>
      </c>
    </row>
    <row r="86">
      <c r="A86" s="31" t="s">
        <v>128</v>
      </c>
      <c r="B86" s="31" t="s">
        <v>333</v>
      </c>
      <c r="C86" s="31" t="s">
        <v>334</v>
      </c>
      <c r="D86" s="32">
        <v>3.0</v>
      </c>
      <c r="E86" s="32">
        <v>5.0</v>
      </c>
      <c r="F86" s="32">
        <v>4.0</v>
      </c>
      <c r="G86" s="32">
        <v>9.0</v>
      </c>
      <c r="H86" s="32">
        <v>0.111111111111111</v>
      </c>
      <c r="I86" s="33" t="b">
        <v>0</v>
      </c>
      <c r="J86" s="31" t="s">
        <v>406</v>
      </c>
      <c r="K86" s="32" t="s">
        <v>390</v>
      </c>
    </row>
    <row r="87">
      <c r="A87" s="31" t="s">
        <v>128</v>
      </c>
      <c r="B87" s="31" t="s">
        <v>129</v>
      </c>
      <c r="C87" s="31" t="s">
        <v>130</v>
      </c>
      <c r="D87" s="32">
        <v>3.0</v>
      </c>
      <c r="E87" s="32">
        <v>4.0</v>
      </c>
      <c r="F87" s="32">
        <v>6.0</v>
      </c>
      <c r="G87" s="32">
        <v>10.0</v>
      </c>
      <c r="H87" s="32">
        <v>0.2</v>
      </c>
      <c r="I87" s="33" t="b">
        <v>1</v>
      </c>
      <c r="J87" s="31" t="s">
        <v>406</v>
      </c>
      <c r="K87" s="32" t="s">
        <v>390</v>
      </c>
    </row>
    <row r="88">
      <c r="A88" s="31" t="s">
        <v>118</v>
      </c>
      <c r="B88" s="31" t="s">
        <v>134</v>
      </c>
      <c r="C88" s="31" t="s">
        <v>135</v>
      </c>
      <c r="D88" s="32">
        <v>3.0</v>
      </c>
      <c r="E88" s="32">
        <v>5.0</v>
      </c>
      <c r="F88" s="32">
        <v>4.0</v>
      </c>
      <c r="G88" s="32">
        <v>9.0</v>
      </c>
      <c r="H88" s="32">
        <v>0.111111111111111</v>
      </c>
      <c r="I88" s="33" t="b">
        <v>0</v>
      </c>
      <c r="J88" s="31" t="s">
        <v>406</v>
      </c>
      <c r="K88" s="32" t="s">
        <v>390</v>
      </c>
    </row>
    <row r="89">
      <c r="A89" s="31" t="s">
        <v>211</v>
      </c>
      <c r="B89" s="31" t="s">
        <v>212</v>
      </c>
      <c r="C89" s="31" t="s">
        <v>213</v>
      </c>
      <c r="D89" s="32">
        <v>3.0</v>
      </c>
      <c r="E89" s="32">
        <v>5.0</v>
      </c>
      <c r="F89" s="32">
        <v>4.0</v>
      </c>
      <c r="G89" s="32">
        <v>9.0</v>
      </c>
      <c r="H89" s="32">
        <v>0.111111111111111</v>
      </c>
      <c r="I89" s="33" t="b">
        <v>0</v>
      </c>
      <c r="J89" s="31" t="s">
        <v>406</v>
      </c>
      <c r="K89" s="32" t="s">
        <v>390</v>
      </c>
    </row>
    <row r="90">
      <c r="A90" s="31" t="s">
        <v>256</v>
      </c>
      <c r="B90" s="31" t="s">
        <v>292</v>
      </c>
      <c r="C90" s="31" t="s">
        <v>293</v>
      </c>
      <c r="D90" s="32">
        <v>3.0</v>
      </c>
      <c r="E90" s="32">
        <v>5.0</v>
      </c>
      <c r="F90" s="32">
        <v>4.0</v>
      </c>
      <c r="G90" s="32">
        <v>9.0</v>
      </c>
      <c r="H90" s="32">
        <v>0.111111111111111</v>
      </c>
      <c r="I90" s="33" t="b">
        <v>0</v>
      </c>
      <c r="J90" s="31" t="s">
        <v>406</v>
      </c>
      <c r="K90" s="32" t="s">
        <v>390</v>
      </c>
    </row>
    <row r="91">
      <c r="A91" s="31" t="s">
        <v>147</v>
      </c>
      <c r="B91" s="31" t="s">
        <v>148</v>
      </c>
      <c r="C91" s="31" t="s">
        <v>149</v>
      </c>
      <c r="D91" s="32">
        <v>3.0</v>
      </c>
      <c r="E91" s="32">
        <v>4.0</v>
      </c>
      <c r="F91" s="32">
        <v>5.0</v>
      </c>
      <c r="G91" s="32">
        <v>9.0</v>
      </c>
      <c r="H91" s="32">
        <v>0.111111111111111</v>
      </c>
      <c r="I91" s="33" t="b">
        <v>1</v>
      </c>
      <c r="J91" s="31" t="s">
        <v>406</v>
      </c>
      <c r="K91" s="32" t="s">
        <v>390</v>
      </c>
    </row>
    <row r="92">
      <c r="A92" s="31" t="s">
        <v>236</v>
      </c>
      <c r="B92" s="31" t="s">
        <v>237</v>
      </c>
      <c r="C92" s="31" t="s">
        <v>238</v>
      </c>
      <c r="D92" s="32">
        <v>3.0</v>
      </c>
      <c r="E92" s="32">
        <v>4.0</v>
      </c>
      <c r="F92" s="32">
        <v>5.0</v>
      </c>
      <c r="G92" s="32">
        <v>9.0</v>
      </c>
      <c r="H92" s="32">
        <v>0.111111111111111</v>
      </c>
      <c r="I92" s="33" t="b">
        <v>1</v>
      </c>
      <c r="J92" s="31" t="s">
        <v>406</v>
      </c>
      <c r="K92" s="32" t="s">
        <v>390</v>
      </c>
    </row>
    <row r="93">
      <c r="A93" s="31" t="s">
        <v>128</v>
      </c>
      <c r="B93" s="31" t="s">
        <v>311</v>
      </c>
      <c r="C93" s="31" t="s">
        <v>312</v>
      </c>
      <c r="D93" s="32">
        <v>3.0</v>
      </c>
      <c r="E93" s="32">
        <v>5.0</v>
      </c>
      <c r="F93" s="32">
        <v>4.0</v>
      </c>
      <c r="G93" s="32">
        <v>9.0</v>
      </c>
      <c r="H93" s="32">
        <v>0.111111111111111</v>
      </c>
      <c r="I93" s="33" t="b">
        <v>0</v>
      </c>
      <c r="J93" s="31" t="s">
        <v>406</v>
      </c>
      <c r="K93" s="32" t="s">
        <v>400</v>
      </c>
    </row>
    <row r="94">
      <c r="A94" s="31" t="s">
        <v>144</v>
      </c>
      <c r="B94" s="31" t="s">
        <v>154</v>
      </c>
      <c r="C94" s="31" t="s">
        <v>155</v>
      </c>
      <c r="D94" s="32">
        <v>3.0</v>
      </c>
      <c r="E94" s="32">
        <v>4.0</v>
      </c>
      <c r="F94" s="32">
        <v>5.0</v>
      </c>
      <c r="G94" s="32">
        <v>9.0</v>
      </c>
      <c r="H94" s="32">
        <v>0.111111111111111</v>
      </c>
      <c r="I94" s="33" t="b">
        <v>1</v>
      </c>
      <c r="J94" s="31" t="s">
        <v>406</v>
      </c>
      <c r="K94" s="32" t="s">
        <v>153</v>
      </c>
    </row>
    <row r="95">
      <c r="A95" s="31" t="s">
        <v>104</v>
      </c>
      <c r="B95" s="31" t="s">
        <v>105</v>
      </c>
      <c r="C95" s="31" t="s">
        <v>106</v>
      </c>
      <c r="D95" s="32">
        <v>3.0</v>
      </c>
      <c r="E95" s="32">
        <v>5.0</v>
      </c>
      <c r="F95" s="32">
        <v>4.0</v>
      </c>
      <c r="G95" s="32">
        <v>9.0</v>
      </c>
      <c r="H95" s="32">
        <v>0.111111111111111</v>
      </c>
      <c r="I95" s="33" t="b">
        <v>0</v>
      </c>
      <c r="J95" s="31" t="s">
        <v>406</v>
      </c>
      <c r="K95" s="32" t="s">
        <v>401</v>
      </c>
    </row>
    <row r="96">
      <c r="A96" s="31" t="s">
        <v>147</v>
      </c>
      <c r="B96" s="31" t="s">
        <v>179</v>
      </c>
      <c r="C96" s="31" t="s">
        <v>180</v>
      </c>
      <c r="D96" s="32">
        <v>3.0</v>
      </c>
      <c r="E96" s="32">
        <v>5.0</v>
      </c>
      <c r="F96" s="32">
        <v>4.0</v>
      </c>
      <c r="G96" s="32">
        <v>9.0</v>
      </c>
      <c r="H96" s="32">
        <v>0.111111111111111</v>
      </c>
      <c r="I96" s="33" t="b">
        <v>0</v>
      </c>
      <c r="J96" s="31" t="s">
        <v>406</v>
      </c>
      <c r="K96" s="32" t="s">
        <v>395</v>
      </c>
    </row>
    <row r="97">
      <c r="A97" s="31" t="s">
        <v>242</v>
      </c>
      <c r="B97" s="31" t="s">
        <v>243</v>
      </c>
      <c r="C97" s="31" t="s">
        <v>244</v>
      </c>
      <c r="D97" s="32">
        <v>3.0</v>
      </c>
      <c r="E97" s="32">
        <v>5.0</v>
      </c>
      <c r="F97" s="32">
        <v>4.0</v>
      </c>
      <c r="G97" s="32">
        <v>9.0</v>
      </c>
      <c r="H97" s="32">
        <v>0.111111111111111</v>
      </c>
      <c r="I97" s="33" t="b">
        <v>0</v>
      </c>
      <c r="J97" s="31" t="s">
        <v>406</v>
      </c>
      <c r="K97" s="32" t="s">
        <v>399</v>
      </c>
    </row>
    <row r="98">
      <c r="A98" s="31" t="s">
        <v>304</v>
      </c>
      <c r="B98" s="31" t="s">
        <v>305</v>
      </c>
      <c r="C98" s="31" t="s">
        <v>306</v>
      </c>
      <c r="D98" s="32">
        <v>3.0</v>
      </c>
      <c r="E98" s="32">
        <v>3.0</v>
      </c>
      <c r="F98" s="32">
        <v>3.0</v>
      </c>
      <c r="G98" s="32">
        <v>6.0</v>
      </c>
      <c r="H98" s="32">
        <v>0.0</v>
      </c>
      <c r="I98" s="33" t="s">
        <v>407</v>
      </c>
      <c r="J98" s="31" t="s">
        <v>406</v>
      </c>
      <c r="K98" s="32" t="s">
        <v>405</v>
      </c>
    </row>
    <row r="99">
      <c r="A99" s="31" t="s">
        <v>128</v>
      </c>
      <c r="B99" s="31" t="s">
        <v>234</v>
      </c>
      <c r="C99" s="31" t="s">
        <v>235</v>
      </c>
      <c r="D99" s="32">
        <v>3.0</v>
      </c>
      <c r="E99" s="32">
        <v>3.0</v>
      </c>
      <c r="F99" s="32">
        <v>3.0</v>
      </c>
      <c r="G99" s="32">
        <v>6.0</v>
      </c>
      <c r="H99" s="32">
        <v>0.0</v>
      </c>
      <c r="I99" s="33" t="s">
        <v>407</v>
      </c>
      <c r="J99" s="31" t="s">
        <v>406</v>
      </c>
      <c r="K99" s="32" t="s">
        <v>400</v>
      </c>
    </row>
    <row r="100">
      <c r="A100" s="31" t="s">
        <v>125</v>
      </c>
      <c r="B100" s="31" t="s">
        <v>126</v>
      </c>
      <c r="C100" s="31" t="s">
        <v>127</v>
      </c>
      <c r="D100" s="32">
        <v>3.0</v>
      </c>
      <c r="E100" s="32">
        <v>4.0</v>
      </c>
      <c r="F100" s="32">
        <v>4.0</v>
      </c>
      <c r="G100" s="32">
        <v>8.0</v>
      </c>
      <c r="H100" s="32">
        <v>0.0</v>
      </c>
      <c r="I100" s="33" t="s">
        <v>407</v>
      </c>
      <c r="J100" s="31" t="s">
        <v>406</v>
      </c>
      <c r="K100" s="32" t="s">
        <v>402</v>
      </c>
    </row>
    <row r="101">
      <c r="A101" s="31" t="s">
        <v>221</v>
      </c>
      <c r="B101" s="31" t="s">
        <v>278</v>
      </c>
      <c r="C101" s="31" t="s">
        <v>279</v>
      </c>
      <c r="D101" s="32">
        <v>3.0</v>
      </c>
      <c r="E101" s="32">
        <v>3.0</v>
      </c>
      <c r="F101" s="32">
        <v>3.0</v>
      </c>
      <c r="G101" s="32">
        <v>6.0</v>
      </c>
      <c r="H101" s="32">
        <v>0.0</v>
      </c>
      <c r="I101" s="33" t="s">
        <v>407</v>
      </c>
      <c r="J101" s="31" t="s">
        <v>406</v>
      </c>
      <c r="K101" s="32" t="s">
        <v>398</v>
      </c>
    </row>
    <row r="102">
      <c r="K102" s="34"/>
    </row>
    <row r="103">
      <c r="K103" s="34"/>
    </row>
    <row r="104">
      <c r="K104" s="34"/>
    </row>
    <row r="105">
      <c r="K105" s="34"/>
    </row>
    <row r="106">
      <c r="K106" s="34"/>
    </row>
    <row r="107">
      <c r="K107" s="34"/>
    </row>
    <row r="108">
      <c r="K108" s="34"/>
    </row>
    <row r="109">
      <c r="K109" s="34"/>
    </row>
    <row r="110">
      <c r="K110" s="34"/>
    </row>
    <row r="111">
      <c r="K111" s="34"/>
    </row>
    <row r="112">
      <c r="K112" s="34"/>
    </row>
    <row r="113">
      <c r="K113" s="34"/>
    </row>
    <row r="114">
      <c r="K114" s="34"/>
    </row>
    <row r="115">
      <c r="K115" s="34"/>
    </row>
    <row r="116">
      <c r="K116" s="34"/>
    </row>
    <row r="117">
      <c r="K117" s="34"/>
    </row>
    <row r="118">
      <c r="K118" s="34"/>
    </row>
    <row r="119">
      <c r="K119" s="34"/>
    </row>
    <row r="120">
      <c r="K120" s="34"/>
    </row>
    <row r="121">
      <c r="K121" s="34"/>
    </row>
    <row r="122">
      <c r="K122" s="34"/>
    </row>
    <row r="123">
      <c r="K123" s="34"/>
    </row>
    <row r="124">
      <c r="K124" s="34"/>
    </row>
    <row r="125">
      <c r="K125" s="34"/>
    </row>
    <row r="126">
      <c r="K126" s="34"/>
    </row>
    <row r="127">
      <c r="K127" s="34"/>
    </row>
    <row r="128">
      <c r="K128" s="34"/>
    </row>
    <row r="129">
      <c r="K129" s="34"/>
    </row>
    <row r="130">
      <c r="K130" s="34"/>
    </row>
    <row r="131">
      <c r="K131" s="34"/>
    </row>
    <row r="132">
      <c r="K132" s="34"/>
    </row>
    <row r="133">
      <c r="K133" s="34"/>
    </row>
    <row r="134">
      <c r="K134" s="34"/>
    </row>
    <row r="135">
      <c r="K135" s="34"/>
    </row>
    <row r="136">
      <c r="K136" s="34"/>
    </row>
    <row r="137">
      <c r="K137" s="34"/>
    </row>
    <row r="138">
      <c r="K138" s="34"/>
    </row>
    <row r="139">
      <c r="K139" s="34"/>
    </row>
    <row r="140">
      <c r="K140" s="34"/>
    </row>
    <row r="141">
      <c r="K141" s="34"/>
    </row>
    <row r="142">
      <c r="K142" s="34"/>
    </row>
    <row r="143">
      <c r="K143" s="34"/>
    </row>
    <row r="144">
      <c r="K144" s="34"/>
    </row>
    <row r="145">
      <c r="K145" s="34"/>
    </row>
    <row r="146">
      <c r="K146" s="34"/>
    </row>
    <row r="147">
      <c r="K147" s="34"/>
    </row>
    <row r="148">
      <c r="K148" s="34"/>
    </row>
    <row r="149">
      <c r="K149" s="34"/>
    </row>
    <row r="150">
      <c r="K150" s="34"/>
    </row>
    <row r="151">
      <c r="K151" s="34"/>
    </row>
    <row r="152">
      <c r="K152" s="34"/>
    </row>
    <row r="153">
      <c r="K153" s="34"/>
    </row>
    <row r="154">
      <c r="K154" s="34"/>
    </row>
    <row r="155">
      <c r="K155" s="34"/>
    </row>
    <row r="156">
      <c r="K156" s="34"/>
    </row>
    <row r="157">
      <c r="K157" s="34"/>
    </row>
    <row r="158">
      <c r="K158" s="34"/>
    </row>
    <row r="159">
      <c r="K159" s="34"/>
    </row>
    <row r="160">
      <c r="K160" s="34"/>
    </row>
    <row r="161">
      <c r="K161" s="34"/>
    </row>
    <row r="162">
      <c r="K162" s="34"/>
    </row>
    <row r="163">
      <c r="K163" s="34"/>
    </row>
    <row r="164">
      <c r="K164" s="34"/>
    </row>
    <row r="165">
      <c r="K165" s="34"/>
    </row>
    <row r="166">
      <c r="K166" s="34"/>
    </row>
    <row r="167">
      <c r="K167" s="34"/>
    </row>
    <row r="168">
      <c r="K168" s="34"/>
    </row>
    <row r="169">
      <c r="K169" s="34"/>
    </row>
    <row r="170">
      <c r="K170" s="34"/>
    </row>
    <row r="171">
      <c r="K171" s="34"/>
    </row>
    <row r="172">
      <c r="K172" s="34"/>
    </row>
    <row r="173">
      <c r="K173" s="34"/>
    </row>
    <row r="174">
      <c r="K174" s="34"/>
    </row>
    <row r="175">
      <c r="K175" s="34"/>
    </row>
    <row r="176">
      <c r="K176" s="34"/>
    </row>
    <row r="177">
      <c r="K177" s="34"/>
    </row>
    <row r="178">
      <c r="K178" s="34"/>
    </row>
    <row r="179">
      <c r="K179" s="34"/>
    </row>
    <row r="180">
      <c r="K180" s="34"/>
    </row>
    <row r="181">
      <c r="K181" s="34"/>
    </row>
    <row r="182">
      <c r="K182" s="34"/>
    </row>
    <row r="183">
      <c r="K183" s="34"/>
    </row>
    <row r="184">
      <c r="K184" s="34"/>
    </row>
    <row r="185">
      <c r="K185" s="34"/>
    </row>
    <row r="186">
      <c r="K186" s="34"/>
    </row>
    <row r="187">
      <c r="K187" s="34"/>
    </row>
    <row r="188">
      <c r="K188" s="34"/>
    </row>
    <row r="189">
      <c r="K189" s="34"/>
    </row>
    <row r="190">
      <c r="K190" s="34"/>
    </row>
    <row r="191">
      <c r="K191" s="34"/>
    </row>
    <row r="192">
      <c r="K192" s="34"/>
    </row>
    <row r="193">
      <c r="K193" s="34"/>
    </row>
    <row r="194">
      <c r="K194" s="34"/>
    </row>
    <row r="195">
      <c r="K195" s="34"/>
    </row>
    <row r="196">
      <c r="K196" s="34"/>
    </row>
    <row r="197">
      <c r="K197" s="34"/>
    </row>
    <row r="198">
      <c r="K198" s="34"/>
    </row>
    <row r="199">
      <c r="K199" s="34"/>
    </row>
    <row r="200">
      <c r="K200" s="34"/>
    </row>
    <row r="201">
      <c r="K201" s="34"/>
    </row>
    <row r="202">
      <c r="K202" s="34"/>
    </row>
    <row r="203">
      <c r="K203" s="34"/>
    </row>
    <row r="204">
      <c r="K204" s="34"/>
    </row>
    <row r="205">
      <c r="K205" s="34"/>
    </row>
    <row r="206">
      <c r="K206" s="34"/>
    </row>
    <row r="207">
      <c r="K207" s="34"/>
    </row>
    <row r="208">
      <c r="K208" s="34"/>
    </row>
    <row r="209">
      <c r="K209" s="34"/>
    </row>
    <row r="210">
      <c r="K210" s="34"/>
    </row>
    <row r="211">
      <c r="K211" s="34"/>
    </row>
    <row r="212">
      <c r="K212" s="34"/>
    </row>
    <row r="213">
      <c r="K213" s="34"/>
    </row>
    <row r="214">
      <c r="K214" s="34"/>
    </row>
    <row r="215">
      <c r="K215" s="34"/>
    </row>
    <row r="216">
      <c r="K216" s="34"/>
    </row>
    <row r="217">
      <c r="K217" s="34"/>
    </row>
    <row r="218">
      <c r="K218" s="34"/>
    </row>
    <row r="219">
      <c r="K219" s="34"/>
    </row>
    <row r="220">
      <c r="K220" s="34"/>
    </row>
    <row r="221">
      <c r="K221" s="34"/>
    </row>
    <row r="222">
      <c r="K222" s="34"/>
    </row>
    <row r="223">
      <c r="K223" s="34"/>
    </row>
    <row r="224">
      <c r="K224" s="34"/>
    </row>
    <row r="225">
      <c r="K225" s="34"/>
    </row>
    <row r="226">
      <c r="K226" s="34"/>
    </row>
    <row r="227">
      <c r="K227" s="34"/>
    </row>
    <row r="228">
      <c r="K228" s="34"/>
    </row>
    <row r="229">
      <c r="K229" s="34"/>
    </row>
    <row r="230">
      <c r="K230" s="34"/>
    </row>
    <row r="231">
      <c r="K231" s="34"/>
    </row>
    <row r="232">
      <c r="K232" s="34"/>
    </row>
    <row r="233">
      <c r="K233" s="34"/>
    </row>
    <row r="234">
      <c r="K234" s="34"/>
    </row>
    <row r="235">
      <c r="K235" s="34"/>
    </row>
    <row r="236">
      <c r="K236" s="34"/>
    </row>
    <row r="237">
      <c r="K237" s="34"/>
    </row>
    <row r="238">
      <c r="K238" s="34"/>
    </row>
    <row r="239">
      <c r="K239" s="34"/>
    </row>
    <row r="240">
      <c r="K240" s="34"/>
    </row>
    <row r="241">
      <c r="K241" s="34"/>
    </row>
    <row r="242">
      <c r="K242" s="34"/>
    </row>
    <row r="243">
      <c r="K243" s="34"/>
    </row>
    <row r="244">
      <c r="K244" s="34"/>
    </row>
    <row r="245">
      <c r="K245" s="34"/>
    </row>
    <row r="246">
      <c r="K246" s="34"/>
    </row>
    <row r="247">
      <c r="K247" s="34"/>
    </row>
    <row r="248">
      <c r="K248" s="34"/>
    </row>
    <row r="249">
      <c r="K249" s="34"/>
    </row>
    <row r="250">
      <c r="K250" s="34"/>
    </row>
    <row r="251">
      <c r="K251" s="34"/>
    </row>
    <row r="252">
      <c r="K252" s="34"/>
    </row>
    <row r="253">
      <c r="K253" s="34"/>
    </row>
    <row r="254">
      <c r="K254" s="34"/>
    </row>
    <row r="255">
      <c r="K255" s="34"/>
    </row>
    <row r="256">
      <c r="K256" s="34"/>
    </row>
    <row r="257">
      <c r="K257" s="34"/>
    </row>
    <row r="258">
      <c r="K258" s="34"/>
    </row>
    <row r="259">
      <c r="K259" s="34"/>
    </row>
    <row r="260">
      <c r="K260" s="34"/>
    </row>
    <row r="261">
      <c r="K261" s="34"/>
    </row>
    <row r="262">
      <c r="K262" s="34"/>
    </row>
    <row r="263">
      <c r="K263" s="34"/>
    </row>
    <row r="264">
      <c r="K264" s="34"/>
    </row>
    <row r="265">
      <c r="K265" s="34"/>
    </row>
    <row r="266">
      <c r="K266" s="34"/>
    </row>
    <row r="267">
      <c r="K267" s="34"/>
    </row>
    <row r="268">
      <c r="K268" s="34"/>
    </row>
    <row r="269">
      <c r="K269" s="34"/>
    </row>
    <row r="270">
      <c r="K270" s="34"/>
    </row>
    <row r="271">
      <c r="K271" s="34"/>
    </row>
    <row r="272">
      <c r="K272" s="34"/>
    </row>
    <row r="273">
      <c r="K273" s="34"/>
    </row>
    <row r="274">
      <c r="K274" s="34"/>
    </row>
    <row r="275">
      <c r="K275" s="34"/>
    </row>
    <row r="276">
      <c r="K276" s="34"/>
    </row>
    <row r="277">
      <c r="K277" s="34"/>
    </row>
    <row r="278">
      <c r="K278" s="34"/>
    </row>
    <row r="279">
      <c r="K279" s="34"/>
    </row>
    <row r="280">
      <c r="K280" s="34"/>
    </row>
    <row r="281">
      <c r="K281" s="34"/>
    </row>
    <row r="282">
      <c r="K282" s="34"/>
    </row>
    <row r="283">
      <c r="K283" s="34"/>
    </row>
    <row r="284">
      <c r="K284" s="34"/>
    </row>
    <row r="285">
      <c r="K285" s="34"/>
    </row>
    <row r="286">
      <c r="K286" s="34"/>
    </row>
    <row r="287">
      <c r="K287" s="34"/>
    </row>
    <row r="288">
      <c r="K288" s="34"/>
    </row>
    <row r="289">
      <c r="K289" s="34"/>
    </row>
    <row r="290">
      <c r="K290" s="34"/>
    </row>
    <row r="291">
      <c r="K291" s="34"/>
    </row>
    <row r="292">
      <c r="K292" s="34"/>
    </row>
    <row r="293">
      <c r="K293" s="34"/>
    </row>
    <row r="294">
      <c r="K294" s="34"/>
    </row>
    <row r="295">
      <c r="K295" s="34"/>
    </row>
    <row r="296">
      <c r="K296" s="34"/>
    </row>
    <row r="297">
      <c r="K297" s="34"/>
    </row>
    <row r="298">
      <c r="K298" s="34"/>
    </row>
    <row r="299">
      <c r="K299" s="34"/>
    </row>
    <row r="300">
      <c r="K300" s="34"/>
    </row>
    <row r="301">
      <c r="K301" s="34"/>
    </row>
    <row r="302">
      <c r="K302" s="34"/>
    </row>
    <row r="303">
      <c r="K303" s="34"/>
    </row>
    <row r="304">
      <c r="K304" s="34"/>
    </row>
    <row r="305">
      <c r="K305" s="34"/>
    </row>
    <row r="306">
      <c r="K306" s="34"/>
    </row>
    <row r="307">
      <c r="K307" s="34"/>
    </row>
    <row r="308">
      <c r="K308" s="34"/>
    </row>
    <row r="309">
      <c r="K309" s="34"/>
    </row>
    <row r="310">
      <c r="K310" s="34"/>
    </row>
    <row r="311">
      <c r="K311" s="34"/>
    </row>
    <row r="312">
      <c r="K312" s="34"/>
    </row>
    <row r="313">
      <c r="K313" s="34"/>
    </row>
    <row r="314">
      <c r="K314" s="34"/>
    </row>
    <row r="315">
      <c r="K315" s="34"/>
    </row>
    <row r="316">
      <c r="K316" s="34"/>
    </row>
    <row r="317">
      <c r="K317" s="34"/>
    </row>
    <row r="318">
      <c r="K318" s="34"/>
    </row>
    <row r="319">
      <c r="K319" s="34"/>
    </row>
    <row r="320">
      <c r="K320" s="34"/>
    </row>
    <row r="321">
      <c r="K321" s="34"/>
    </row>
    <row r="322">
      <c r="K322" s="34"/>
    </row>
    <row r="323">
      <c r="K323" s="34"/>
    </row>
    <row r="324">
      <c r="K324" s="34"/>
    </row>
    <row r="325">
      <c r="K325" s="34"/>
    </row>
    <row r="326">
      <c r="K326" s="34"/>
    </row>
    <row r="327">
      <c r="K327" s="34"/>
    </row>
    <row r="328">
      <c r="K328" s="34"/>
    </row>
    <row r="329">
      <c r="K329" s="34"/>
    </row>
    <row r="330">
      <c r="K330" s="34"/>
    </row>
    <row r="331">
      <c r="K331" s="34"/>
    </row>
    <row r="332">
      <c r="K332" s="34"/>
    </row>
    <row r="333">
      <c r="K333" s="34"/>
    </row>
    <row r="334">
      <c r="K334" s="34"/>
    </row>
    <row r="335">
      <c r="K335" s="34"/>
    </row>
    <row r="336">
      <c r="K336" s="34"/>
    </row>
    <row r="337">
      <c r="K337" s="34"/>
    </row>
    <row r="338">
      <c r="K338" s="34"/>
    </row>
    <row r="339">
      <c r="K339" s="34"/>
    </row>
    <row r="340">
      <c r="K340" s="34"/>
    </row>
    <row r="341">
      <c r="K341" s="34"/>
    </row>
    <row r="342">
      <c r="K342" s="34"/>
    </row>
    <row r="343">
      <c r="K343" s="34"/>
    </row>
    <row r="344">
      <c r="K344" s="34"/>
    </row>
    <row r="345">
      <c r="K345" s="34"/>
    </row>
    <row r="346">
      <c r="K346" s="34"/>
    </row>
    <row r="347">
      <c r="K347" s="34"/>
    </row>
    <row r="348">
      <c r="K348" s="34"/>
    </row>
    <row r="349">
      <c r="K349" s="34"/>
    </row>
    <row r="350">
      <c r="K350" s="34"/>
    </row>
    <row r="351">
      <c r="K351" s="34"/>
    </row>
    <row r="352">
      <c r="K352" s="34"/>
    </row>
    <row r="353">
      <c r="K353" s="34"/>
    </row>
    <row r="354">
      <c r="K354" s="34"/>
    </row>
    <row r="355">
      <c r="K355" s="34"/>
    </row>
    <row r="356">
      <c r="K356" s="34"/>
    </row>
    <row r="357">
      <c r="K357" s="34"/>
    </row>
    <row r="358">
      <c r="K358" s="34"/>
    </row>
    <row r="359">
      <c r="K359" s="34"/>
    </row>
    <row r="360">
      <c r="K360" s="34"/>
    </row>
    <row r="361">
      <c r="K361" s="34"/>
    </row>
    <row r="362">
      <c r="K362" s="34"/>
    </row>
    <row r="363">
      <c r="K363" s="34"/>
    </row>
    <row r="364">
      <c r="K364" s="34"/>
    </row>
    <row r="365">
      <c r="K365" s="34"/>
    </row>
    <row r="366">
      <c r="K366" s="34"/>
    </row>
    <row r="367">
      <c r="K367" s="34"/>
    </row>
    <row r="368">
      <c r="K368" s="34"/>
    </row>
    <row r="369">
      <c r="K369" s="34"/>
    </row>
    <row r="370">
      <c r="K370" s="34"/>
    </row>
    <row r="371">
      <c r="K371" s="34"/>
    </row>
    <row r="372">
      <c r="K372" s="34"/>
    </row>
    <row r="373">
      <c r="K373" s="34"/>
    </row>
    <row r="374">
      <c r="K374" s="34"/>
    </row>
    <row r="375">
      <c r="K375" s="34"/>
    </row>
    <row r="376">
      <c r="K376" s="34"/>
    </row>
    <row r="377">
      <c r="K377" s="34"/>
    </row>
    <row r="378">
      <c r="K378" s="34"/>
    </row>
    <row r="379">
      <c r="K379" s="34"/>
    </row>
    <row r="380">
      <c r="K380" s="34"/>
    </row>
    <row r="381">
      <c r="K381" s="34"/>
    </row>
    <row r="382">
      <c r="K382" s="34"/>
    </row>
    <row r="383">
      <c r="K383" s="34"/>
    </row>
    <row r="384">
      <c r="K384" s="34"/>
    </row>
    <row r="385">
      <c r="K385" s="34"/>
    </row>
    <row r="386">
      <c r="K386" s="34"/>
    </row>
    <row r="387">
      <c r="K387" s="34"/>
    </row>
    <row r="388">
      <c r="K388" s="34"/>
    </row>
    <row r="389">
      <c r="K389" s="34"/>
    </row>
    <row r="390">
      <c r="K390" s="34"/>
    </row>
    <row r="391">
      <c r="K391" s="34"/>
    </row>
    <row r="392">
      <c r="K392" s="34"/>
    </row>
    <row r="393">
      <c r="K393" s="34"/>
    </row>
    <row r="394">
      <c r="K394" s="34"/>
    </row>
    <row r="395">
      <c r="K395" s="34"/>
    </row>
    <row r="396">
      <c r="K396" s="34"/>
    </row>
    <row r="397">
      <c r="K397" s="34"/>
    </row>
    <row r="398">
      <c r="K398" s="34"/>
    </row>
    <row r="399">
      <c r="K399" s="34"/>
    </row>
    <row r="400">
      <c r="K400" s="34"/>
    </row>
    <row r="401">
      <c r="K401" s="34"/>
    </row>
    <row r="402">
      <c r="K402" s="34"/>
    </row>
    <row r="403">
      <c r="K403" s="34"/>
    </row>
    <row r="404">
      <c r="K404" s="34"/>
    </row>
    <row r="405">
      <c r="K405" s="34"/>
    </row>
    <row r="406">
      <c r="K406" s="34"/>
    </row>
    <row r="407">
      <c r="K407" s="34"/>
    </row>
    <row r="408">
      <c r="K408" s="34"/>
    </row>
    <row r="409">
      <c r="K409" s="34"/>
    </row>
    <row r="410">
      <c r="K410" s="34"/>
    </row>
    <row r="411">
      <c r="K411" s="34"/>
    </row>
    <row r="412">
      <c r="K412" s="34"/>
    </row>
    <row r="413">
      <c r="K413" s="34"/>
    </row>
    <row r="414">
      <c r="K414" s="34"/>
    </row>
    <row r="415">
      <c r="K415" s="34"/>
    </row>
    <row r="416">
      <c r="K416" s="34"/>
    </row>
    <row r="417">
      <c r="K417" s="34"/>
    </row>
    <row r="418">
      <c r="K418" s="34"/>
    </row>
    <row r="419">
      <c r="K419" s="34"/>
    </row>
    <row r="420">
      <c r="K420" s="34"/>
    </row>
    <row r="421">
      <c r="K421" s="34"/>
    </row>
    <row r="422">
      <c r="K422" s="34"/>
    </row>
    <row r="423">
      <c r="K423" s="34"/>
    </row>
    <row r="424">
      <c r="K424" s="34"/>
    </row>
    <row r="425">
      <c r="K425" s="34"/>
    </row>
    <row r="426">
      <c r="K426" s="34"/>
    </row>
    <row r="427">
      <c r="K427" s="34"/>
    </row>
    <row r="428">
      <c r="K428" s="34"/>
    </row>
    <row r="429">
      <c r="K429" s="34"/>
    </row>
    <row r="430">
      <c r="K430" s="34"/>
    </row>
    <row r="431">
      <c r="K431" s="34"/>
    </row>
    <row r="432">
      <c r="K432" s="34"/>
    </row>
    <row r="433">
      <c r="K433" s="34"/>
    </row>
    <row r="434">
      <c r="K434" s="34"/>
    </row>
    <row r="435">
      <c r="K435" s="34"/>
    </row>
    <row r="436">
      <c r="K436" s="34"/>
    </row>
    <row r="437">
      <c r="K437" s="34"/>
    </row>
    <row r="438">
      <c r="K438" s="34"/>
    </row>
    <row r="439">
      <c r="K439" s="34"/>
    </row>
    <row r="440">
      <c r="K440" s="34"/>
    </row>
    <row r="441">
      <c r="K441" s="34"/>
    </row>
    <row r="442">
      <c r="K442" s="34"/>
    </row>
    <row r="443">
      <c r="K443" s="34"/>
    </row>
    <row r="444">
      <c r="K444" s="34"/>
    </row>
    <row r="445">
      <c r="K445" s="34"/>
    </row>
    <row r="446">
      <c r="K446" s="34"/>
    </row>
    <row r="447">
      <c r="K447" s="34"/>
    </row>
    <row r="448">
      <c r="K448" s="34"/>
    </row>
    <row r="449">
      <c r="K449" s="34"/>
    </row>
    <row r="450">
      <c r="K450" s="34"/>
    </row>
    <row r="451">
      <c r="K451" s="34"/>
    </row>
    <row r="452">
      <c r="K452" s="34"/>
    </row>
    <row r="453">
      <c r="K453" s="34"/>
    </row>
    <row r="454">
      <c r="K454" s="34"/>
    </row>
    <row r="455">
      <c r="K455" s="34"/>
    </row>
    <row r="456">
      <c r="K456" s="34"/>
    </row>
    <row r="457">
      <c r="K457" s="34"/>
    </row>
    <row r="458">
      <c r="K458" s="34"/>
    </row>
    <row r="459">
      <c r="K459" s="34"/>
    </row>
    <row r="460">
      <c r="K460" s="34"/>
    </row>
    <row r="461">
      <c r="K461" s="34"/>
    </row>
    <row r="462">
      <c r="K462" s="34"/>
    </row>
    <row r="463">
      <c r="K463" s="34"/>
    </row>
    <row r="464">
      <c r="K464" s="34"/>
    </row>
    <row r="465">
      <c r="K465" s="34"/>
    </row>
    <row r="466">
      <c r="K466" s="34"/>
    </row>
    <row r="467">
      <c r="K467" s="34"/>
    </row>
    <row r="468">
      <c r="K468" s="34"/>
    </row>
    <row r="469">
      <c r="K469" s="34"/>
    </row>
    <row r="470">
      <c r="K470" s="34"/>
    </row>
    <row r="471">
      <c r="K471" s="34"/>
    </row>
    <row r="472">
      <c r="K472" s="34"/>
    </row>
    <row r="473">
      <c r="K473" s="34"/>
    </row>
    <row r="474">
      <c r="K474" s="34"/>
    </row>
    <row r="475">
      <c r="K475" s="34"/>
    </row>
    <row r="476">
      <c r="K476" s="34"/>
    </row>
    <row r="477">
      <c r="K477" s="34"/>
    </row>
    <row r="478">
      <c r="K478" s="34"/>
    </row>
    <row r="479">
      <c r="K479" s="34"/>
    </row>
    <row r="480">
      <c r="K480" s="34"/>
    </row>
    <row r="481">
      <c r="K481" s="34"/>
    </row>
    <row r="482">
      <c r="K482" s="34"/>
    </row>
    <row r="483">
      <c r="K483" s="34"/>
    </row>
    <row r="484">
      <c r="K484" s="34"/>
    </row>
    <row r="485">
      <c r="K485" s="34"/>
    </row>
    <row r="486">
      <c r="K486" s="34"/>
    </row>
    <row r="487">
      <c r="K487" s="34"/>
    </row>
    <row r="488">
      <c r="K488" s="34"/>
    </row>
    <row r="489">
      <c r="K489" s="34"/>
    </row>
    <row r="490">
      <c r="K490" s="34"/>
    </row>
    <row r="491">
      <c r="K491" s="34"/>
    </row>
    <row r="492">
      <c r="K492" s="34"/>
    </row>
    <row r="493">
      <c r="K493" s="34"/>
    </row>
    <row r="494">
      <c r="K494" s="34"/>
    </row>
    <row r="495">
      <c r="K495" s="34"/>
    </row>
    <row r="496">
      <c r="K496" s="34"/>
    </row>
    <row r="497">
      <c r="K497" s="34"/>
    </row>
    <row r="498">
      <c r="K498" s="34"/>
    </row>
    <row r="499">
      <c r="K499" s="34"/>
    </row>
    <row r="500">
      <c r="K500" s="34"/>
    </row>
    <row r="501">
      <c r="K501" s="34"/>
    </row>
    <row r="502">
      <c r="K502" s="34"/>
    </row>
    <row r="503">
      <c r="K503" s="34"/>
    </row>
    <row r="504">
      <c r="K504" s="34"/>
    </row>
    <row r="505">
      <c r="K505" s="34"/>
    </row>
    <row r="506">
      <c r="K506" s="34"/>
    </row>
    <row r="507">
      <c r="K507" s="34"/>
    </row>
    <row r="508">
      <c r="K508" s="34"/>
    </row>
    <row r="509">
      <c r="K509" s="34"/>
    </row>
    <row r="510">
      <c r="K510" s="34"/>
    </row>
    <row r="511">
      <c r="K511" s="34"/>
    </row>
    <row r="512">
      <c r="K512" s="34"/>
    </row>
    <row r="513">
      <c r="K513" s="34"/>
    </row>
    <row r="514">
      <c r="K514" s="34"/>
    </row>
    <row r="515">
      <c r="K515" s="34"/>
    </row>
    <row r="516">
      <c r="K516" s="34"/>
    </row>
    <row r="517">
      <c r="K517" s="34"/>
    </row>
    <row r="518">
      <c r="K518" s="34"/>
    </row>
    <row r="519">
      <c r="K519" s="34"/>
    </row>
    <row r="520">
      <c r="K520" s="34"/>
    </row>
    <row r="521">
      <c r="K521" s="34"/>
    </row>
    <row r="522">
      <c r="K522" s="34"/>
    </row>
    <row r="523">
      <c r="K523" s="34"/>
    </row>
    <row r="524">
      <c r="K524" s="34"/>
    </row>
    <row r="525">
      <c r="K525" s="34"/>
    </row>
    <row r="526">
      <c r="K526" s="34"/>
    </row>
    <row r="527">
      <c r="K527" s="34"/>
    </row>
    <row r="528">
      <c r="K528" s="34"/>
    </row>
    <row r="529">
      <c r="K529" s="34"/>
    </row>
    <row r="530">
      <c r="K530" s="34"/>
    </row>
    <row r="531">
      <c r="K531" s="34"/>
    </row>
    <row r="532">
      <c r="K532" s="34"/>
    </row>
    <row r="533">
      <c r="K533" s="34"/>
    </row>
    <row r="534">
      <c r="K534" s="34"/>
    </row>
    <row r="535">
      <c r="K535" s="34"/>
    </row>
    <row r="536">
      <c r="K536" s="34"/>
    </row>
    <row r="537">
      <c r="K537" s="34"/>
    </row>
    <row r="538">
      <c r="K538" s="34"/>
    </row>
    <row r="539">
      <c r="K539" s="34"/>
    </row>
    <row r="540">
      <c r="K540" s="34"/>
    </row>
    <row r="541">
      <c r="K541" s="34"/>
    </row>
    <row r="542">
      <c r="K542" s="34"/>
    </row>
    <row r="543">
      <c r="K543" s="34"/>
    </row>
    <row r="544">
      <c r="K544" s="34"/>
    </row>
    <row r="545">
      <c r="K545" s="34"/>
    </row>
    <row r="546">
      <c r="K546" s="34"/>
    </row>
    <row r="547">
      <c r="K547" s="34"/>
    </row>
    <row r="548">
      <c r="K548" s="34"/>
    </row>
    <row r="549">
      <c r="K549" s="34"/>
    </row>
    <row r="550">
      <c r="K550" s="34"/>
    </row>
    <row r="551">
      <c r="K551" s="34"/>
    </row>
    <row r="552">
      <c r="K552" s="34"/>
    </row>
    <row r="553">
      <c r="K553" s="34"/>
    </row>
    <row r="554">
      <c r="K554" s="34"/>
    </row>
    <row r="555">
      <c r="K555" s="34"/>
    </row>
    <row r="556">
      <c r="K556" s="34"/>
    </row>
    <row r="557">
      <c r="K557" s="34"/>
    </row>
    <row r="558">
      <c r="K558" s="34"/>
    </row>
    <row r="559">
      <c r="K559" s="34"/>
    </row>
    <row r="560">
      <c r="K560" s="34"/>
    </row>
    <row r="561">
      <c r="K561" s="34"/>
    </row>
    <row r="562">
      <c r="K562" s="34"/>
    </row>
    <row r="563">
      <c r="K563" s="34"/>
    </row>
    <row r="564">
      <c r="K564" s="34"/>
    </row>
    <row r="565">
      <c r="K565" s="34"/>
    </row>
    <row r="566">
      <c r="K566" s="34"/>
    </row>
    <row r="567">
      <c r="K567" s="34"/>
    </row>
    <row r="568">
      <c r="K568" s="34"/>
    </row>
    <row r="569">
      <c r="K569" s="34"/>
    </row>
    <row r="570">
      <c r="K570" s="34"/>
    </row>
    <row r="571">
      <c r="K571" s="34"/>
    </row>
    <row r="572">
      <c r="K572" s="34"/>
    </row>
    <row r="573">
      <c r="K573" s="34"/>
    </row>
    <row r="574">
      <c r="K574" s="34"/>
    </row>
    <row r="575">
      <c r="K575" s="34"/>
    </row>
    <row r="576">
      <c r="K576" s="34"/>
    </row>
    <row r="577">
      <c r="K577" s="34"/>
    </row>
    <row r="578">
      <c r="K578" s="34"/>
    </row>
    <row r="579">
      <c r="K579" s="34"/>
    </row>
    <row r="580">
      <c r="K580" s="34"/>
    </row>
    <row r="581">
      <c r="K581" s="34"/>
    </row>
    <row r="582">
      <c r="K582" s="34"/>
    </row>
    <row r="583">
      <c r="K583" s="34"/>
    </row>
    <row r="584">
      <c r="K584" s="34"/>
    </row>
    <row r="585">
      <c r="K585" s="34"/>
    </row>
    <row r="586">
      <c r="K586" s="34"/>
    </row>
    <row r="587">
      <c r="K587" s="34"/>
    </row>
    <row r="588">
      <c r="K588" s="34"/>
    </row>
    <row r="589">
      <c r="K589" s="34"/>
    </row>
    <row r="590">
      <c r="K590" s="34"/>
    </row>
    <row r="591">
      <c r="K591" s="34"/>
    </row>
    <row r="592">
      <c r="K592" s="34"/>
    </row>
    <row r="593">
      <c r="K593" s="34"/>
    </row>
    <row r="594">
      <c r="K594" s="34"/>
    </row>
    <row r="595">
      <c r="K595" s="34"/>
    </row>
    <row r="596">
      <c r="K596" s="34"/>
    </row>
    <row r="597">
      <c r="K597" s="34"/>
    </row>
    <row r="598">
      <c r="K598" s="34"/>
    </row>
    <row r="599">
      <c r="K599" s="34"/>
    </row>
    <row r="600">
      <c r="K600" s="34"/>
    </row>
    <row r="601">
      <c r="K601" s="34"/>
    </row>
    <row r="602">
      <c r="K602" s="34"/>
    </row>
    <row r="603">
      <c r="K603" s="34"/>
    </row>
    <row r="604">
      <c r="K604" s="34"/>
    </row>
    <row r="605">
      <c r="K605" s="34"/>
    </row>
    <row r="606">
      <c r="K606" s="34"/>
    </row>
    <row r="607">
      <c r="K607" s="34"/>
    </row>
    <row r="608">
      <c r="K608" s="34"/>
    </row>
    <row r="609">
      <c r="K609" s="34"/>
    </row>
    <row r="610">
      <c r="K610" s="34"/>
    </row>
    <row r="611">
      <c r="K611" s="34"/>
    </row>
    <row r="612">
      <c r="K612" s="34"/>
    </row>
    <row r="613">
      <c r="K613" s="34"/>
    </row>
    <row r="614">
      <c r="K614" s="34"/>
    </row>
    <row r="615">
      <c r="K615" s="34"/>
    </row>
    <row r="616">
      <c r="K616" s="34"/>
    </row>
    <row r="617">
      <c r="K617" s="34"/>
    </row>
    <row r="618">
      <c r="K618" s="34"/>
    </row>
    <row r="619">
      <c r="K619" s="34"/>
    </row>
    <row r="620">
      <c r="K620" s="34"/>
    </row>
    <row r="621">
      <c r="K621" s="34"/>
    </row>
    <row r="622">
      <c r="K622" s="34"/>
    </row>
    <row r="623">
      <c r="K623" s="34"/>
    </row>
    <row r="624">
      <c r="K624" s="34"/>
    </row>
    <row r="625">
      <c r="K625" s="34"/>
    </row>
    <row r="626">
      <c r="K626" s="34"/>
    </row>
    <row r="627">
      <c r="K627" s="34"/>
    </row>
    <row r="628">
      <c r="K628" s="34"/>
    </row>
    <row r="629">
      <c r="K629" s="34"/>
    </row>
    <row r="630">
      <c r="K630" s="34"/>
    </row>
    <row r="631">
      <c r="K631" s="34"/>
    </row>
    <row r="632">
      <c r="K632" s="34"/>
    </row>
    <row r="633">
      <c r="K633" s="34"/>
    </row>
    <row r="634">
      <c r="K634" s="34"/>
    </row>
    <row r="635">
      <c r="K635" s="34"/>
    </row>
    <row r="636">
      <c r="K636" s="34"/>
    </row>
    <row r="637">
      <c r="K637" s="34"/>
    </row>
    <row r="638">
      <c r="K638" s="34"/>
    </row>
    <row r="639">
      <c r="K639" s="34"/>
    </row>
    <row r="640">
      <c r="K640" s="34"/>
    </row>
    <row r="641">
      <c r="K641" s="34"/>
    </row>
    <row r="642">
      <c r="K642" s="34"/>
    </row>
    <row r="643">
      <c r="K643" s="34"/>
    </row>
    <row r="644">
      <c r="K644" s="34"/>
    </row>
    <row r="645">
      <c r="K645" s="34"/>
    </row>
    <row r="646">
      <c r="K646" s="34"/>
    </row>
    <row r="647">
      <c r="K647" s="34"/>
    </row>
    <row r="648">
      <c r="K648" s="34"/>
    </row>
    <row r="649">
      <c r="K649" s="34"/>
    </row>
    <row r="650">
      <c r="K650" s="34"/>
    </row>
    <row r="651">
      <c r="K651" s="34"/>
    </row>
    <row r="652">
      <c r="K652" s="34"/>
    </row>
    <row r="653">
      <c r="K653" s="34"/>
    </row>
    <row r="654">
      <c r="K654" s="34"/>
    </row>
    <row r="655">
      <c r="K655" s="34"/>
    </row>
    <row r="656">
      <c r="K656" s="34"/>
    </row>
    <row r="657">
      <c r="K657" s="34"/>
    </row>
    <row r="658">
      <c r="K658" s="34"/>
    </row>
    <row r="659">
      <c r="K659" s="34"/>
    </row>
    <row r="660">
      <c r="K660" s="34"/>
    </row>
    <row r="661">
      <c r="K661" s="34"/>
    </row>
    <row r="662">
      <c r="K662" s="34"/>
    </row>
    <row r="663">
      <c r="K663" s="34"/>
    </row>
    <row r="664">
      <c r="K664" s="34"/>
    </row>
    <row r="665">
      <c r="K665" s="34"/>
    </row>
    <row r="666">
      <c r="K666" s="34"/>
    </row>
    <row r="667">
      <c r="K667" s="34"/>
    </row>
    <row r="668">
      <c r="K668" s="34"/>
    </row>
    <row r="669">
      <c r="K669" s="34"/>
    </row>
    <row r="670">
      <c r="K670" s="34"/>
    </row>
    <row r="671">
      <c r="K671" s="34"/>
    </row>
    <row r="672">
      <c r="K672" s="34"/>
    </row>
    <row r="673">
      <c r="K673" s="34"/>
    </row>
    <row r="674">
      <c r="K674" s="34"/>
    </row>
    <row r="675">
      <c r="K675" s="34"/>
    </row>
    <row r="676">
      <c r="K676" s="34"/>
    </row>
    <row r="677">
      <c r="K677" s="34"/>
    </row>
    <row r="678">
      <c r="K678" s="34"/>
    </row>
    <row r="679">
      <c r="K679" s="34"/>
    </row>
    <row r="680">
      <c r="K680" s="34"/>
    </row>
    <row r="681">
      <c r="K681" s="34"/>
    </row>
    <row r="682">
      <c r="K682" s="34"/>
    </row>
    <row r="683">
      <c r="K683" s="34"/>
    </row>
    <row r="684">
      <c r="K684" s="34"/>
    </row>
    <row r="685">
      <c r="K685" s="34"/>
    </row>
    <row r="686">
      <c r="K686" s="34"/>
    </row>
    <row r="687">
      <c r="K687" s="34"/>
    </row>
    <row r="688">
      <c r="K688" s="34"/>
    </row>
    <row r="689">
      <c r="K689" s="34"/>
    </row>
    <row r="690">
      <c r="K690" s="34"/>
    </row>
    <row r="691">
      <c r="K691" s="34"/>
    </row>
    <row r="692">
      <c r="K692" s="34"/>
    </row>
    <row r="693">
      <c r="K693" s="34"/>
    </row>
    <row r="694">
      <c r="K694" s="34"/>
    </row>
    <row r="695">
      <c r="K695" s="34"/>
    </row>
    <row r="696">
      <c r="K696" s="34"/>
    </row>
    <row r="697">
      <c r="K697" s="34"/>
    </row>
    <row r="698">
      <c r="K698" s="34"/>
    </row>
    <row r="699">
      <c r="K699" s="34"/>
    </row>
    <row r="700">
      <c r="K700" s="34"/>
    </row>
    <row r="701">
      <c r="K701" s="34"/>
    </row>
    <row r="702">
      <c r="K702" s="34"/>
    </row>
    <row r="703">
      <c r="K703" s="34"/>
    </row>
    <row r="704">
      <c r="K704" s="34"/>
    </row>
    <row r="705">
      <c r="K705" s="34"/>
    </row>
    <row r="706">
      <c r="K706" s="34"/>
    </row>
    <row r="707">
      <c r="K707" s="34"/>
    </row>
    <row r="708">
      <c r="K708" s="34"/>
    </row>
    <row r="709">
      <c r="K709" s="34"/>
    </row>
    <row r="710">
      <c r="K710" s="34"/>
    </row>
    <row r="711">
      <c r="K711" s="34"/>
    </row>
    <row r="712">
      <c r="K712" s="34"/>
    </row>
    <row r="713">
      <c r="K713" s="34"/>
    </row>
    <row r="714">
      <c r="K714" s="34"/>
    </row>
    <row r="715">
      <c r="K715" s="34"/>
    </row>
    <row r="716">
      <c r="K716" s="34"/>
    </row>
    <row r="717">
      <c r="K717" s="34"/>
    </row>
    <row r="718">
      <c r="K718" s="34"/>
    </row>
    <row r="719">
      <c r="K719" s="34"/>
    </row>
    <row r="720">
      <c r="K720" s="34"/>
    </row>
    <row r="721">
      <c r="K721" s="34"/>
    </row>
    <row r="722">
      <c r="K722" s="34"/>
    </row>
    <row r="723">
      <c r="K723" s="34"/>
    </row>
    <row r="724">
      <c r="K724" s="34"/>
    </row>
    <row r="725">
      <c r="K725" s="34"/>
    </row>
    <row r="726">
      <c r="K726" s="34"/>
    </row>
    <row r="727">
      <c r="K727" s="34"/>
    </row>
    <row r="728">
      <c r="K728" s="34"/>
    </row>
    <row r="729">
      <c r="K729" s="34"/>
    </row>
    <row r="730">
      <c r="K730" s="34"/>
    </row>
    <row r="731">
      <c r="K731" s="34"/>
    </row>
    <row r="732">
      <c r="K732" s="34"/>
    </row>
    <row r="733">
      <c r="K733" s="34"/>
    </row>
    <row r="734">
      <c r="K734" s="34"/>
    </row>
    <row r="735">
      <c r="K735" s="34"/>
    </row>
    <row r="736">
      <c r="K736" s="34"/>
    </row>
    <row r="737">
      <c r="K737" s="34"/>
    </row>
    <row r="738">
      <c r="K738" s="34"/>
    </row>
    <row r="739">
      <c r="K739" s="34"/>
    </row>
    <row r="740">
      <c r="K740" s="34"/>
    </row>
    <row r="741">
      <c r="K741" s="34"/>
    </row>
    <row r="742">
      <c r="K742" s="34"/>
    </row>
    <row r="743">
      <c r="K743" s="34"/>
    </row>
    <row r="744">
      <c r="K744" s="34"/>
    </row>
    <row r="745">
      <c r="K745" s="34"/>
    </row>
    <row r="746">
      <c r="K746" s="34"/>
    </row>
    <row r="747">
      <c r="K747" s="34"/>
    </row>
    <row r="748">
      <c r="K748" s="34"/>
    </row>
    <row r="749">
      <c r="K749" s="34"/>
    </row>
    <row r="750">
      <c r="K750" s="34"/>
    </row>
    <row r="751">
      <c r="K751" s="34"/>
    </row>
    <row r="752">
      <c r="K752" s="34"/>
    </row>
    <row r="753">
      <c r="K753" s="34"/>
    </row>
    <row r="754">
      <c r="K754" s="34"/>
    </row>
    <row r="755">
      <c r="K755" s="34"/>
    </row>
    <row r="756">
      <c r="K756" s="34"/>
    </row>
    <row r="757">
      <c r="K757" s="34"/>
    </row>
    <row r="758">
      <c r="K758" s="34"/>
    </row>
    <row r="759">
      <c r="K759" s="34"/>
    </row>
    <row r="760">
      <c r="K760" s="34"/>
    </row>
    <row r="761">
      <c r="K761" s="34"/>
    </row>
    <row r="762">
      <c r="K762" s="34"/>
    </row>
    <row r="763">
      <c r="K763" s="34"/>
    </row>
    <row r="764">
      <c r="K764" s="34"/>
    </row>
    <row r="765">
      <c r="K765" s="34"/>
    </row>
    <row r="766">
      <c r="K766" s="34"/>
    </row>
    <row r="767">
      <c r="K767" s="34"/>
    </row>
    <row r="768">
      <c r="K768" s="34"/>
    </row>
    <row r="769">
      <c r="K769" s="34"/>
    </row>
    <row r="770">
      <c r="K770" s="34"/>
    </row>
    <row r="771">
      <c r="K771" s="34"/>
    </row>
    <row r="772">
      <c r="K772" s="34"/>
    </row>
    <row r="773">
      <c r="K773" s="34"/>
    </row>
    <row r="774">
      <c r="K774" s="34"/>
    </row>
    <row r="775">
      <c r="K775" s="34"/>
    </row>
    <row r="776">
      <c r="K776" s="34"/>
    </row>
    <row r="777">
      <c r="K777" s="34"/>
    </row>
    <row r="778">
      <c r="K778" s="34"/>
    </row>
    <row r="779">
      <c r="K779" s="34"/>
    </row>
    <row r="780">
      <c r="K780" s="34"/>
    </row>
    <row r="781">
      <c r="K781" s="34"/>
    </row>
    <row r="782">
      <c r="K782" s="34"/>
    </row>
    <row r="783">
      <c r="K783" s="34"/>
    </row>
    <row r="784">
      <c r="K784" s="34"/>
    </row>
    <row r="785">
      <c r="K785" s="34"/>
    </row>
    <row r="786">
      <c r="K786" s="34"/>
    </row>
    <row r="787">
      <c r="K787" s="34"/>
    </row>
    <row r="788">
      <c r="K788" s="34"/>
    </row>
    <row r="789">
      <c r="K789" s="34"/>
    </row>
    <row r="790">
      <c r="K790" s="34"/>
    </row>
    <row r="791">
      <c r="K791" s="34"/>
    </row>
    <row r="792">
      <c r="K792" s="34"/>
    </row>
    <row r="793">
      <c r="K793" s="34"/>
    </row>
    <row r="794">
      <c r="K794" s="34"/>
    </row>
    <row r="795">
      <c r="K795" s="34"/>
    </row>
    <row r="796">
      <c r="K796" s="34"/>
    </row>
    <row r="797">
      <c r="K797" s="34"/>
    </row>
    <row r="798">
      <c r="K798" s="34"/>
    </row>
    <row r="799">
      <c r="K799" s="34"/>
    </row>
    <row r="800">
      <c r="K800" s="34"/>
    </row>
    <row r="801">
      <c r="K801" s="34"/>
    </row>
    <row r="802">
      <c r="K802" s="34"/>
    </row>
    <row r="803">
      <c r="K803" s="34"/>
    </row>
    <row r="804">
      <c r="K804" s="34"/>
    </row>
    <row r="805">
      <c r="K805" s="34"/>
    </row>
    <row r="806">
      <c r="K806" s="34"/>
    </row>
    <row r="807">
      <c r="K807" s="34"/>
    </row>
    <row r="808">
      <c r="K808" s="34"/>
    </row>
    <row r="809">
      <c r="K809" s="34"/>
    </row>
    <row r="810">
      <c r="K810" s="34"/>
    </row>
    <row r="811">
      <c r="K811" s="34"/>
    </row>
    <row r="812">
      <c r="K812" s="34"/>
    </row>
    <row r="813">
      <c r="K813" s="34"/>
    </row>
    <row r="814">
      <c r="K814" s="34"/>
    </row>
    <row r="815">
      <c r="K815" s="34"/>
    </row>
    <row r="816">
      <c r="K816" s="34"/>
    </row>
    <row r="817">
      <c r="K817" s="34"/>
    </row>
    <row r="818">
      <c r="K818" s="34"/>
    </row>
    <row r="819">
      <c r="K819" s="34"/>
    </row>
    <row r="820">
      <c r="K820" s="34"/>
    </row>
    <row r="821">
      <c r="K821" s="34"/>
    </row>
    <row r="822">
      <c r="K822" s="34"/>
    </row>
    <row r="823">
      <c r="K823" s="34"/>
    </row>
    <row r="824">
      <c r="K824" s="34"/>
    </row>
    <row r="825">
      <c r="K825" s="34"/>
    </row>
    <row r="826">
      <c r="K826" s="34"/>
    </row>
    <row r="827">
      <c r="K827" s="34"/>
    </row>
    <row r="828">
      <c r="K828" s="34"/>
    </row>
    <row r="829">
      <c r="K829" s="34"/>
    </row>
    <row r="830">
      <c r="K830" s="34"/>
    </row>
    <row r="831">
      <c r="K831" s="34"/>
    </row>
    <row r="832">
      <c r="K832" s="34"/>
    </row>
    <row r="833">
      <c r="K833" s="34"/>
    </row>
    <row r="834">
      <c r="K834" s="34"/>
    </row>
    <row r="835">
      <c r="K835" s="34"/>
    </row>
    <row r="836">
      <c r="K836" s="34"/>
    </row>
    <row r="837">
      <c r="K837" s="34"/>
    </row>
    <row r="838">
      <c r="K838" s="34"/>
    </row>
    <row r="839">
      <c r="K839" s="34"/>
    </row>
    <row r="840">
      <c r="K840" s="34"/>
    </row>
    <row r="841">
      <c r="K841" s="34"/>
    </row>
    <row r="842">
      <c r="K842" s="34"/>
    </row>
    <row r="843">
      <c r="K843" s="34"/>
    </row>
    <row r="844">
      <c r="K844" s="34"/>
    </row>
    <row r="845">
      <c r="K845" s="34"/>
    </row>
    <row r="846">
      <c r="K846" s="34"/>
    </row>
    <row r="847">
      <c r="K847" s="34"/>
    </row>
    <row r="848">
      <c r="K848" s="34"/>
    </row>
    <row r="849">
      <c r="K849" s="34"/>
    </row>
    <row r="850">
      <c r="K850" s="34"/>
    </row>
    <row r="851">
      <c r="K851" s="34"/>
    </row>
    <row r="852">
      <c r="K852" s="34"/>
    </row>
    <row r="853">
      <c r="K853" s="34"/>
    </row>
    <row r="854">
      <c r="K854" s="34"/>
    </row>
    <row r="855">
      <c r="K855" s="34"/>
    </row>
    <row r="856">
      <c r="K856" s="34"/>
    </row>
    <row r="857">
      <c r="K857" s="34"/>
    </row>
    <row r="858">
      <c r="K858" s="34"/>
    </row>
    <row r="859">
      <c r="K859" s="34"/>
    </row>
    <row r="860">
      <c r="K860" s="34"/>
    </row>
    <row r="861">
      <c r="K861" s="34"/>
    </row>
    <row r="862">
      <c r="K862" s="34"/>
    </row>
    <row r="863">
      <c r="K863" s="34"/>
    </row>
    <row r="864">
      <c r="K864" s="34"/>
    </row>
    <row r="865">
      <c r="K865" s="34"/>
    </row>
    <row r="866">
      <c r="K866" s="34"/>
    </row>
    <row r="867">
      <c r="K867" s="34"/>
    </row>
    <row r="868">
      <c r="K868" s="34"/>
    </row>
    <row r="869">
      <c r="K869" s="34"/>
    </row>
    <row r="870">
      <c r="K870" s="34"/>
    </row>
    <row r="871">
      <c r="K871" s="34"/>
    </row>
    <row r="872">
      <c r="K872" s="34"/>
    </row>
    <row r="873">
      <c r="K873" s="34"/>
    </row>
    <row r="874">
      <c r="K874" s="34"/>
    </row>
    <row r="875">
      <c r="K875" s="34"/>
    </row>
    <row r="876">
      <c r="K876" s="34"/>
    </row>
    <row r="877">
      <c r="K877" s="34"/>
    </row>
    <row r="878">
      <c r="K878" s="34"/>
    </row>
    <row r="879">
      <c r="K879" s="34"/>
    </row>
    <row r="880">
      <c r="K880" s="34"/>
    </row>
    <row r="881">
      <c r="K881" s="34"/>
    </row>
    <row r="882">
      <c r="K882" s="34"/>
    </row>
    <row r="883">
      <c r="K883" s="34"/>
    </row>
    <row r="884">
      <c r="K884" s="34"/>
    </row>
    <row r="885">
      <c r="K885" s="34"/>
    </row>
    <row r="886">
      <c r="K886" s="34"/>
    </row>
    <row r="887">
      <c r="K887" s="34"/>
    </row>
    <row r="888">
      <c r="K888" s="34"/>
    </row>
    <row r="889">
      <c r="K889" s="34"/>
    </row>
    <row r="890">
      <c r="K890" s="34"/>
    </row>
    <row r="891">
      <c r="K891" s="34"/>
    </row>
    <row r="892">
      <c r="K892" s="34"/>
    </row>
    <row r="893">
      <c r="K893" s="34"/>
    </row>
    <row r="894">
      <c r="K894" s="34"/>
    </row>
    <row r="895">
      <c r="K895" s="34"/>
    </row>
    <row r="896">
      <c r="K896" s="34"/>
    </row>
    <row r="897">
      <c r="K897" s="34"/>
    </row>
    <row r="898">
      <c r="K898" s="34"/>
    </row>
    <row r="899">
      <c r="K899" s="34"/>
    </row>
    <row r="900">
      <c r="K900" s="34"/>
    </row>
    <row r="901">
      <c r="K901" s="34"/>
    </row>
    <row r="902">
      <c r="K902" s="34"/>
    </row>
    <row r="903">
      <c r="K903" s="34"/>
    </row>
    <row r="904">
      <c r="K904" s="34"/>
    </row>
    <row r="905">
      <c r="K905" s="34"/>
    </row>
    <row r="906">
      <c r="K906" s="34"/>
    </row>
    <row r="907">
      <c r="K907" s="34"/>
    </row>
    <row r="908">
      <c r="K908" s="34"/>
    </row>
    <row r="909">
      <c r="K909" s="34"/>
    </row>
    <row r="910">
      <c r="K910" s="34"/>
    </row>
    <row r="911">
      <c r="K911" s="34"/>
    </row>
    <row r="912">
      <c r="K912" s="34"/>
    </row>
    <row r="913">
      <c r="K913" s="34"/>
    </row>
    <row r="914">
      <c r="K914" s="34"/>
    </row>
    <row r="915">
      <c r="K915" s="34"/>
    </row>
    <row r="916">
      <c r="K916" s="34"/>
    </row>
    <row r="917">
      <c r="K917" s="34"/>
    </row>
    <row r="918">
      <c r="K918" s="34"/>
    </row>
    <row r="919">
      <c r="K919" s="34"/>
    </row>
    <row r="920">
      <c r="K920" s="34"/>
    </row>
    <row r="921">
      <c r="K921" s="34"/>
    </row>
    <row r="922">
      <c r="K922" s="34"/>
    </row>
    <row r="923">
      <c r="K923" s="34"/>
    </row>
    <row r="924">
      <c r="K924" s="34"/>
    </row>
    <row r="925">
      <c r="K925" s="34"/>
    </row>
    <row r="926">
      <c r="K926" s="34"/>
    </row>
    <row r="927">
      <c r="K927" s="34"/>
    </row>
    <row r="928">
      <c r="K928" s="34"/>
    </row>
    <row r="929">
      <c r="K929" s="34"/>
    </row>
    <row r="930">
      <c r="K930" s="34"/>
    </row>
    <row r="931">
      <c r="K931" s="34"/>
    </row>
    <row r="932">
      <c r="K932" s="34"/>
    </row>
    <row r="933">
      <c r="K933" s="34"/>
    </row>
    <row r="934">
      <c r="K934" s="34"/>
    </row>
    <row r="935">
      <c r="K935" s="34"/>
    </row>
    <row r="936">
      <c r="K936" s="34"/>
    </row>
    <row r="937">
      <c r="K937" s="34"/>
    </row>
    <row r="938">
      <c r="K938" s="34"/>
    </row>
    <row r="939">
      <c r="K939" s="34"/>
    </row>
    <row r="940">
      <c r="K940" s="34"/>
    </row>
    <row r="941">
      <c r="K941" s="34"/>
    </row>
    <row r="942">
      <c r="K942" s="34"/>
    </row>
    <row r="943">
      <c r="K943" s="34"/>
    </row>
    <row r="944">
      <c r="K944" s="34"/>
    </row>
    <row r="945">
      <c r="K945" s="34"/>
    </row>
    <row r="946">
      <c r="K946" s="34"/>
    </row>
    <row r="947">
      <c r="K947" s="34"/>
    </row>
    <row r="948">
      <c r="K948" s="34"/>
    </row>
    <row r="949">
      <c r="K949" s="34"/>
    </row>
    <row r="950">
      <c r="K950" s="34"/>
    </row>
    <row r="951">
      <c r="K951" s="34"/>
    </row>
    <row r="952">
      <c r="K952" s="34"/>
    </row>
    <row r="953">
      <c r="K953" s="34"/>
    </row>
    <row r="954">
      <c r="K954" s="34"/>
    </row>
    <row r="955">
      <c r="K955" s="34"/>
    </row>
    <row r="956">
      <c r="K956" s="34"/>
    </row>
    <row r="957">
      <c r="K957" s="34"/>
    </row>
    <row r="958">
      <c r="K958" s="34"/>
    </row>
    <row r="959">
      <c r="K959" s="34"/>
    </row>
    <row r="960">
      <c r="K960" s="34"/>
    </row>
    <row r="961">
      <c r="K961" s="34"/>
    </row>
    <row r="962">
      <c r="K962" s="34"/>
    </row>
    <row r="963">
      <c r="K963" s="34"/>
    </row>
    <row r="964">
      <c r="K964" s="34"/>
    </row>
    <row r="965">
      <c r="K965" s="34"/>
    </row>
    <row r="966">
      <c r="K966" s="34"/>
    </row>
    <row r="967">
      <c r="K967" s="34"/>
    </row>
    <row r="968">
      <c r="K968" s="34"/>
    </row>
    <row r="969">
      <c r="K969" s="34"/>
    </row>
    <row r="970">
      <c r="K970" s="34"/>
    </row>
    <row r="971">
      <c r="K971" s="34"/>
    </row>
    <row r="972">
      <c r="K972" s="34"/>
    </row>
    <row r="973">
      <c r="K973" s="34"/>
    </row>
    <row r="974">
      <c r="K974" s="34"/>
    </row>
    <row r="975">
      <c r="K975" s="34"/>
    </row>
    <row r="976">
      <c r="K976" s="34"/>
    </row>
    <row r="977">
      <c r="K977" s="34"/>
    </row>
    <row r="978">
      <c r="K978" s="34"/>
    </row>
    <row r="979">
      <c r="K979" s="34"/>
    </row>
    <row r="980">
      <c r="K980" s="34"/>
    </row>
    <row r="981">
      <c r="K981" s="34"/>
    </row>
    <row r="982">
      <c r="K982" s="34"/>
    </row>
    <row r="983">
      <c r="K983" s="34"/>
    </row>
    <row r="984">
      <c r="K984" s="34"/>
    </row>
    <row r="985">
      <c r="K985" s="34"/>
    </row>
    <row r="986">
      <c r="K986" s="34"/>
    </row>
    <row r="987">
      <c r="K987" s="34"/>
    </row>
    <row r="988">
      <c r="K988" s="34"/>
    </row>
    <row r="989">
      <c r="K989" s="34"/>
    </row>
    <row r="990">
      <c r="K990" s="34"/>
    </row>
    <row r="991">
      <c r="K991" s="34"/>
    </row>
    <row r="992">
      <c r="K992" s="34"/>
    </row>
    <row r="993">
      <c r="K993" s="34"/>
    </row>
    <row r="994">
      <c r="K994" s="34"/>
    </row>
    <row r="995">
      <c r="K995" s="34"/>
    </row>
    <row r="996">
      <c r="K996" s="34"/>
    </row>
    <row r="997">
      <c r="K997" s="34"/>
    </row>
    <row r="998">
      <c r="K998" s="34"/>
    </row>
    <row r="999">
      <c r="K999" s="34"/>
    </row>
    <row r="1000">
      <c r="K1000" s="34"/>
    </row>
  </sheetData>
  <autoFilter ref="$A$1:$K$10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23.88"/>
  </cols>
  <sheetData>
    <row r="1">
      <c r="A1" s="20" t="s">
        <v>67</v>
      </c>
      <c r="B1" s="21" t="s">
        <v>68</v>
      </c>
      <c r="C1" s="35" t="s">
        <v>408</v>
      </c>
      <c r="D1" s="36" t="s">
        <v>39</v>
      </c>
      <c r="E1" s="35" t="s">
        <v>40</v>
      </c>
      <c r="F1" s="35" t="s">
        <v>41</v>
      </c>
      <c r="G1" s="35" t="s">
        <v>42</v>
      </c>
      <c r="H1" s="36" t="s">
        <v>43</v>
      </c>
      <c r="I1" s="37" t="s">
        <v>409</v>
      </c>
      <c r="J1" s="36" t="s">
        <v>39</v>
      </c>
      <c r="K1" s="35" t="s">
        <v>40</v>
      </c>
      <c r="L1" s="35" t="s">
        <v>41</v>
      </c>
      <c r="M1" s="35" t="s">
        <v>42</v>
      </c>
      <c r="N1" s="36" t="s">
        <v>43</v>
      </c>
      <c r="O1" s="37" t="s">
        <v>410</v>
      </c>
      <c r="P1" s="37" t="str">
        <f t="array" ref="P1:P101">O:O</f>
        <v>Comments</v>
      </c>
      <c r="Q1" s="38" t="s">
        <v>411</v>
      </c>
      <c r="R1" s="15" t="s">
        <v>412</v>
      </c>
      <c r="S1" s="15" t="s">
        <v>413</v>
      </c>
    </row>
    <row r="2">
      <c r="A2" s="31" t="s">
        <v>280</v>
      </c>
      <c r="B2" s="31" t="s">
        <v>281</v>
      </c>
      <c r="C2" s="39"/>
      <c r="D2" s="39" t="b">
        <f t="shared" ref="D2:H2" si="1">VLOOKUP($A2, INDIRECT(D$1&amp;"!B:D"), 3, FALSE)</f>
        <v>0</v>
      </c>
      <c r="E2" s="40" t="str">
        <f t="shared" si="1"/>
        <v>TO DO</v>
      </c>
      <c r="F2" s="39" t="str">
        <f t="shared" si="1"/>
        <v>TO DO</v>
      </c>
      <c r="G2" s="39" t="b">
        <f t="shared" si="1"/>
        <v>0</v>
      </c>
      <c r="H2" s="39" t="b">
        <f t="shared" si="1"/>
        <v>0</v>
      </c>
      <c r="I2" s="41">
        <f t="shared" ref="I2:I101" si="4">ABS((COUNTIF(D2:H2,"TRUE")-COUNTIF(D2:H2, "FALSE")) / (COUNTA(D2:H2)-COUNTIF(D2:H2, "TO DO")))</f>
        <v>1</v>
      </c>
      <c r="J2" s="42" t="str">
        <f t="shared" ref="J2:N2" si="2">VLOOKUP($A2, INDIRECT(J$1&amp;"!B:E"), 4, FALSE)</f>
        <v/>
      </c>
      <c r="K2" s="42" t="str">
        <f t="shared" si="2"/>
        <v/>
      </c>
      <c r="L2" s="42" t="str">
        <f t="shared" si="2"/>
        <v/>
      </c>
      <c r="M2" s="42" t="str">
        <f t="shared" si="2"/>
        <v/>
      </c>
      <c r="N2" s="42" t="str">
        <f t="shared" si="2"/>
        <v/>
      </c>
      <c r="O2" s="41" t="str">
        <f>IFERROR(__xludf.DUMMYFUNCTION("IF(COUNTA(J2:N2)=0, """", ARRAYFORMULA(""- ""&amp;TEXTJOIN(char(10)&amp;""- "", TRUE, FILTER(J$1:N$1&amp;"": ""&amp;J2:N2, NOT(ISBLANK(J2:N2))))))"),"")</f>
        <v/>
      </c>
      <c r="P2" s="41" t="s">
        <v>414</v>
      </c>
      <c r="Q2" s="43" t="b">
        <v>0</v>
      </c>
    </row>
    <row r="3">
      <c r="A3" s="31" t="s">
        <v>322</v>
      </c>
      <c r="B3" s="31" t="s">
        <v>323</v>
      </c>
      <c r="C3" s="39"/>
      <c r="D3" s="39" t="b">
        <f t="shared" ref="D3:H3" si="3">VLOOKUP($A3, INDIRECT(D$1&amp;"!B:D"), 3, FALSE)</f>
        <v>0</v>
      </c>
      <c r="E3" s="40" t="str">
        <f t="shared" si="3"/>
        <v>TO DO</v>
      </c>
      <c r="F3" s="39" t="str">
        <f t="shared" si="3"/>
        <v>TO DO</v>
      </c>
      <c r="G3" s="39" t="b">
        <f t="shared" si="3"/>
        <v>0</v>
      </c>
      <c r="H3" s="39" t="b">
        <f t="shared" si="3"/>
        <v>0</v>
      </c>
      <c r="I3" s="41">
        <f t="shared" si="4"/>
        <v>1</v>
      </c>
      <c r="J3" s="42" t="str">
        <f t="shared" ref="J3:N3" si="5">VLOOKUP($A3, INDIRECT(J$1&amp;"!B:E"), 4, FALSE)</f>
        <v/>
      </c>
      <c r="K3" s="42" t="str">
        <f t="shared" si="5"/>
        <v/>
      </c>
      <c r="L3" s="42" t="str">
        <f t="shared" si="5"/>
        <v/>
      </c>
      <c r="M3" s="42" t="str">
        <f t="shared" si="5"/>
        <v/>
      </c>
      <c r="N3" s="42" t="str">
        <f t="shared" si="5"/>
        <v/>
      </c>
      <c r="O3" s="41" t="str">
        <f>IFERROR(__xludf.DUMMYFUNCTION("IF(COUNTA(J3:N3)=0, """", ARRAYFORMULA(""- ""&amp;TEXTJOIN(char(10)&amp;""- "", TRUE, FILTER(J$1:N$1&amp;"": ""&amp;J3:N3, NOT(ISBLANK(J3:N3))))))"),"")</f>
        <v/>
      </c>
      <c r="P3" s="41" t="s">
        <v>414</v>
      </c>
      <c r="Q3" s="43" t="b">
        <v>0</v>
      </c>
    </row>
    <row r="4">
      <c r="A4" s="31" t="s">
        <v>335</v>
      </c>
      <c r="B4" s="31" t="s">
        <v>336</v>
      </c>
      <c r="C4" s="39"/>
      <c r="D4" s="39" t="b">
        <f t="shared" ref="D4:H4" si="6">VLOOKUP($A4, INDIRECT(D$1&amp;"!B:D"), 3, FALSE)</f>
        <v>1</v>
      </c>
      <c r="E4" s="40" t="str">
        <f t="shared" si="6"/>
        <v>TO DO</v>
      </c>
      <c r="F4" s="39" t="str">
        <f t="shared" si="6"/>
        <v>TO DO</v>
      </c>
      <c r="G4" s="39" t="b">
        <f t="shared" si="6"/>
        <v>1</v>
      </c>
      <c r="H4" s="39" t="b">
        <f t="shared" si="6"/>
        <v>1</v>
      </c>
      <c r="I4" s="41">
        <f t="shared" si="4"/>
        <v>1</v>
      </c>
      <c r="J4" s="42" t="str">
        <f t="shared" ref="J4:N4" si="7">VLOOKUP($A4, INDIRECT(J$1&amp;"!B:E"), 4, FALSE)</f>
        <v/>
      </c>
      <c r="K4" s="42" t="str">
        <f t="shared" si="7"/>
        <v/>
      </c>
      <c r="L4" s="42" t="str">
        <f t="shared" si="7"/>
        <v/>
      </c>
      <c r="M4" s="42" t="str">
        <f t="shared" si="7"/>
        <v/>
      </c>
      <c r="N4" s="42" t="str">
        <f t="shared" si="7"/>
        <v/>
      </c>
      <c r="O4" s="41" t="str">
        <f>IFERROR(__xludf.DUMMYFUNCTION("IF(COUNTA(J4:N4)=0, """", ARRAYFORMULA(""- ""&amp;TEXTJOIN(char(10)&amp;""- "", TRUE, FILTER(J$1:N$1&amp;"": ""&amp;J4:N4, NOT(ISBLANK(J4:N4))))))"),"")</f>
        <v/>
      </c>
      <c r="P4" s="41" t="s">
        <v>414</v>
      </c>
      <c r="Q4" s="43" t="b">
        <v>1</v>
      </c>
    </row>
    <row r="5">
      <c r="A5" s="31" t="s">
        <v>145</v>
      </c>
      <c r="B5" s="31" t="s">
        <v>146</v>
      </c>
      <c r="C5" s="7" t="s">
        <v>415</v>
      </c>
      <c r="D5" s="39" t="b">
        <f t="shared" ref="D5:H5" si="8">VLOOKUP($A5, INDIRECT(D$1&amp;"!B:D"), 3, FALSE)</f>
        <v>0</v>
      </c>
      <c r="E5" s="40" t="str">
        <f t="shared" si="8"/>
        <v>TO DO</v>
      </c>
      <c r="F5" s="39" t="str">
        <f t="shared" si="8"/>
        <v>TO DO</v>
      </c>
      <c r="G5" s="39" t="b">
        <f t="shared" si="8"/>
        <v>1</v>
      </c>
      <c r="H5" s="39" t="b">
        <f t="shared" si="8"/>
        <v>0</v>
      </c>
      <c r="I5" s="41">
        <f t="shared" si="4"/>
        <v>0.3333333333</v>
      </c>
      <c r="J5" s="42" t="str">
        <f t="shared" ref="J5:N5" si="9">VLOOKUP($A5, INDIRECT(J$1&amp;"!B:E"), 4, FALSE)</f>
        <v/>
      </c>
      <c r="K5" s="42" t="str">
        <f t="shared" si="9"/>
        <v/>
      </c>
      <c r="L5" s="42" t="str">
        <f t="shared" si="9"/>
        <v/>
      </c>
      <c r="M5" s="42" t="str">
        <f t="shared" si="9"/>
        <v/>
      </c>
      <c r="N5" s="42" t="str">
        <f t="shared" si="9"/>
        <v/>
      </c>
      <c r="O5" s="41" t="str">
        <f>IFERROR(__xludf.DUMMYFUNCTION("IF(COUNTA(J5:N5)=0, """", ARRAYFORMULA(""- ""&amp;TEXTJOIN(char(10)&amp;""- "", TRUE, FILTER(J$1:N$1&amp;"": ""&amp;J5:N5, NOT(ISBLANK(J5:N5))))))"),"")</f>
        <v/>
      </c>
      <c r="P5" s="41" t="s">
        <v>414</v>
      </c>
      <c r="Q5" s="43" t="s">
        <v>407</v>
      </c>
    </row>
    <row r="6">
      <c r="A6" s="31" t="s">
        <v>163</v>
      </c>
      <c r="B6" s="31" t="s">
        <v>164</v>
      </c>
      <c r="C6" s="39"/>
      <c r="D6" s="39" t="b">
        <f t="shared" ref="D6:H6" si="10">VLOOKUP($A6, INDIRECT(D$1&amp;"!B:D"), 3, FALSE)</f>
        <v>0</v>
      </c>
      <c r="E6" s="40" t="str">
        <f t="shared" si="10"/>
        <v>TO DO</v>
      </c>
      <c r="F6" s="39" t="str">
        <f t="shared" si="10"/>
        <v>TO DO</v>
      </c>
      <c r="G6" s="39" t="b">
        <f t="shared" si="10"/>
        <v>0</v>
      </c>
      <c r="H6" s="39" t="b">
        <f t="shared" si="10"/>
        <v>0</v>
      </c>
      <c r="I6" s="41">
        <f t="shared" si="4"/>
        <v>1</v>
      </c>
      <c r="J6" s="42" t="str">
        <f t="shared" ref="J6:N6" si="11">VLOOKUP($A6, INDIRECT(J$1&amp;"!B:E"), 4, FALSE)</f>
        <v>typo</v>
      </c>
      <c r="K6" s="42" t="str">
        <f t="shared" si="11"/>
        <v/>
      </c>
      <c r="L6" s="42" t="str">
        <f t="shared" si="11"/>
        <v/>
      </c>
      <c r="M6" s="42" t="str">
        <f t="shared" si="11"/>
        <v/>
      </c>
      <c r="N6" s="42" t="str">
        <f t="shared" si="11"/>
        <v/>
      </c>
      <c r="O6" s="41" t="str">
        <f>IFERROR(__xludf.DUMMYFUNCTION("IF(COUNTA(J6:N6)=0, """", ARRAYFORMULA(""- ""&amp;TEXTJOIN(char(10)&amp;""- "", TRUE, FILTER(J$1:N$1&amp;"": ""&amp;J6:N6, NOT(ISBLANK(J6:N6))))))"),"- Finn: typo")</f>
        <v>- Finn: typo</v>
      </c>
      <c r="P6" s="41" t="s">
        <v>416</v>
      </c>
      <c r="Q6" s="43" t="b">
        <v>0</v>
      </c>
    </row>
    <row r="7">
      <c r="A7" s="31" t="s">
        <v>259</v>
      </c>
      <c r="B7" s="31" t="s">
        <v>260</v>
      </c>
      <c r="C7" s="39"/>
      <c r="D7" s="39" t="b">
        <f t="shared" ref="D7:H7" si="12">VLOOKUP($A7, INDIRECT(D$1&amp;"!B:D"), 3, FALSE)</f>
        <v>0</v>
      </c>
      <c r="E7" s="40" t="str">
        <f t="shared" si="12"/>
        <v>TO DO</v>
      </c>
      <c r="F7" s="39" t="str">
        <f t="shared" si="12"/>
        <v>TO DO</v>
      </c>
      <c r="G7" s="39" t="b">
        <f t="shared" si="12"/>
        <v>0</v>
      </c>
      <c r="H7" s="39" t="b">
        <f t="shared" si="12"/>
        <v>0</v>
      </c>
      <c r="I7" s="41">
        <f t="shared" si="4"/>
        <v>1</v>
      </c>
      <c r="J7" s="42" t="str">
        <f t="shared" ref="J7:N7" si="13">VLOOKUP($A7, INDIRECT(J$1&amp;"!B:E"), 4, FALSE)</f>
        <v/>
      </c>
      <c r="K7" s="42" t="str">
        <f t="shared" si="13"/>
        <v/>
      </c>
      <c r="L7" s="42" t="str">
        <f t="shared" si="13"/>
        <v/>
      </c>
      <c r="M7" s="42" t="str">
        <f t="shared" si="13"/>
        <v/>
      </c>
      <c r="N7" s="42" t="str">
        <f t="shared" si="13"/>
        <v/>
      </c>
      <c r="O7" s="41" t="str">
        <f>IFERROR(__xludf.DUMMYFUNCTION("IF(COUNTA(J7:N7)=0, """", ARRAYFORMULA(""- ""&amp;TEXTJOIN(char(10)&amp;""- "", TRUE, FILTER(J$1:N$1&amp;"": ""&amp;J7:N7, NOT(ISBLANK(J7:N7))))))"),"")</f>
        <v/>
      </c>
      <c r="P7" s="41" t="s">
        <v>414</v>
      </c>
      <c r="Q7" s="43" t="b">
        <v>0</v>
      </c>
    </row>
    <row r="8">
      <c r="A8" s="31" t="s">
        <v>102</v>
      </c>
      <c r="B8" s="31" t="s">
        <v>103</v>
      </c>
      <c r="C8" s="39"/>
      <c r="D8" s="40" t="b">
        <f t="shared" ref="D8:H8" si="14">VLOOKUP($A8, INDIRECT(D$1&amp;"!B:D"), 3, FALSE)</f>
        <v>0</v>
      </c>
      <c r="E8" s="40" t="str">
        <f t="shared" si="14"/>
        <v>TO DO</v>
      </c>
      <c r="F8" s="40" t="str">
        <f t="shared" si="14"/>
        <v>TO DO</v>
      </c>
      <c r="G8" s="40" t="b">
        <f t="shared" si="14"/>
        <v>0</v>
      </c>
      <c r="H8" s="40" t="b">
        <f t="shared" si="14"/>
        <v>0</v>
      </c>
      <c r="I8" s="41">
        <f t="shared" si="4"/>
        <v>1</v>
      </c>
      <c r="J8" s="42" t="str">
        <f t="shared" ref="J8:N8" si="15">VLOOKUP($A8, INDIRECT(J$1&amp;"!B:E"), 4, FALSE)</f>
        <v/>
      </c>
      <c r="K8" s="42" t="str">
        <f t="shared" si="15"/>
        <v/>
      </c>
      <c r="L8" s="42" t="str">
        <f t="shared" si="15"/>
        <v/>
      </c>
      <c r="M8" s="42" t="str">
        <f t="shared" si="15"/>
        <v/>
      </c>
      <c r="N8" s="42" t="str">
        <f t="shared" si="15"/>
        <v/>
      </c>
      <c r="O8" s="41" t="str">
        <f>IFERROR(__xludf.DUMMYFUNCTION("IF(COUNTA(J8:N8)=0, """", ARRAYFORMULA(""- ""&amp;TEXTJOIN(char(10)&amp;""- "", TRUE, FILTER(J$1:N$1&amp;"": ""&amp;J8:N8, NOT(ISBLANK(J8:N8))))))"),"")</f>
        <v/>
      </c>
      <c r="P8" s="41" t="s">
        <v>414</v>
      </c>
      <c r="Q8" s="43" t="b">
        <v>0</v>
      </c>
    </row>
    <row r="9">
      <c r="A9" s="31" t="s">
        <v>112</v>
      </c>
      <c r="B9" s="31" t="s">
        <v>113</v>
      </c>
      <c r="C9" s="40"/>
      <c r="D9" s="40" t="b">
        <f t="shared" ref="D9:H9" si="16">VLOOKUP($A9, INDIRECT(D$1&amp;"!B:D"), 3, FALSE)</f>
        <v>0</v>
      </c>
      <c r="E9" s="40" t="str">
        <f t="shared" si="16"/>
        <v>TO DO</v>
      </c>
      <c r="F9" s="40" t="str">
        <f t="shared" si="16"/>
        <v>TO DO</v>
      </c>
      <c r="G9" s="40" t="b">
        <f t="shared" si="16"/>
        <v>0</v>
      </c>
      <c r="H9" s="40" t="b">
        <f t="shared" si="16"/>
        <v>0</v>
      </c>
      <c r="I9" s="41">
        <f t="shared" si="4"/>
        <v>1</v>
      </c>
      <c r="J9" s="42" t="str">
        <f t="shared" ref="J9:N9" si="17">VLOOKUP($A9, INDIRECT(J$1&amp;"!B:E"), 4, FALSE)</f>
        <v>typos</v>
      </c>
      <c r="K9" s="42" t="str">
        <f t="shared" si="17"/>
        <v/>
      </c>
      <c r="L9" s="42" t="str">
        <f t="shared" si="17"/>
        <v/>
      </c>
      <c r="M9" s="42" t="str">
        <f t="shared" si="17"/>
        <v/>
      </c>
      <c r="N9" s="42" t="str">
        <f t="shared" si="17"/>
        <v/>
      </c>
      <c r="O9" s="41" t="str">
        <f>IFERROR(__xludf.DUMMYFUNCTION("IF(COUNTA(J9:N9)=0, """", ARRAYFORMULA(""- ""&amp;TEXTJOIN(char(10)&amp;""- "", TRUE, FILTER(J$1:N$1&amp;"": ""&amp;J9:N9, NOT(ISBLANK(J9:N9))))))"),"- Finn: typos")</f>
        <v>- Finn: typos</v>
      </c>
      <c r="P9" s="41" t="s">
        <v>417</v>
      </c>
      <c r="Q9" s="43" t="b">
        <v>0</v>
      </c>
    </row>
    <row r="10">
      <c r="A10" s="31" t="s">
        <v>173</v>
      </c>
      <c r="B10" s="31" t="s">
        <v>174</v>
      </c>
      <c r="C10" s="39"/>
      <c r="D10" s="40" t="b">
        <f t="shared" ref="D10:H10" si="18">VLOOKUP($A10, INDIRECT(D$1&amp;"!B:D"), 3, FALSE)</f>
        <v>0</v>
      </c>
      <c r="E10" s="40" t="str">
        <f t="shared" si="18"/>
        <v>TO DO</v>
      </c>
      <c r="F10" s="40" t="str">
        <f t="shared" si="18"/>
        <v>TO DO</v>
      </c>
      <c r="G10" s="40" t="str">
        <f t="shared" si="18"/>
        <v>TO DO</v>
      </c>
      <c r="H10" s="40" t="b">
        <f t="shared" si="18"/>
        <v>0</v>
      </c>
      <c r="I10" s="41">
        <f t="shared" si="4"/>
        <v>1</v>
      </c>
      <c r="J10" s="42" t="str">
        <f t="shared" ref="J10:N10" si="19">VLOOKUP($A10, INDIRECT(J$1&amp;"!B:E"), 4, FALSE)</f>
        <v>French</v>
      </c>
      <c r="K10" s="42" t="str">
        <f t="shared" si="19"/>
        <v/>
      </c>
      <c r="L10" s="42" t="str">
        <f t="shared" si="19"/>
        <v/>
      </c>
      <c r="M10" s="42" t="str">
        <f t="shared" si="19"/>
        <v/>
      </c>
      <c r="N10" s="42" t="str">
        <f t="shared" si="19"/>
        <v/>
      </c>
      <c r="O10" s="41" t="str">
        <f>IFERROR(__xludf.DUMMYFUNCTION("IF(COUNTA(J10:N10)=0, """", ARRAYFORMULA(""- ""&amp;TEXTJOIN(char(10)&amp;""- "", TRUE, FILTER(J$1:N$1&amp;"": ""&amp;J10:N10, NOT(ISBLANK(J10:N10))))))"),"- Finn: French")</f>
        <v>- Finn: French</v>
      </c>
      <c r="P10" s="41" t="s">
        <v>418</v>
      </c>
      <c r="Q10" s="43" t="s">
        <v>407</v>
      </c>
      <c r="S10" s="5" t="s">
        <v>419</v>
      </c>
    </row>
    <row r="11">
      <c r="A11" s="31" t="s">
        <v>136</v>
      </c>
      <c r="B11" s="31" t="s">
        <v>137</v>
      </c>
      <c r="C11" s="40"/>
      <c r="D11" s="40" t="b">
        <f t="shared" ref="D11:H11" si="20">VLOOKUP($A11, INDIRECT(D$1&amp;"!B:D"), 3, FALSE)</f>
        <v>0</v>
      </c>
      <c r="E11" s="40" t="str">
        <f t="shared" si="20"/>
        <v>TO DO</v>
      </c>
      <c r="F11" s="40" t="str">
        <f t="shared" si="20"/>
        <v>TO DO</v>
      </c>
      <c r="G11" s="40" t="b">
        <f t="shared" si="20"/>
        <v>0</v>
      </c>
      <c r="H11" s="40" t="b">
        <f t="shared" si="20"/>
        <v>0</v>
      </c>
      <c r="I11" s="41">
        <f t="shared" si="4"/>
        <v>1</v>
      </c>
      <c r="J11" s="42" t="str">
        <f t="shared" ref="J11:N11" si="21">VLOOKUP($A11, INDIRECT(J$1&amp;"!B:E"), 4, FALSE)</f>
        <v/>
      </c>
      <c r="K11" s="42" t="str">
        <f t="shared" si="21"/>
        <v/>
      </c>
      <c r="L11" s="42" t="str">
        <f t="shared" si="21"/>
        <v/>
      </c>
      <c r="M11" s="42" t="str">
        <f t="shared" si="21"/>
        <v/>
      </c>
      <c r="N11" s="42" t="str">
        <f t="shared" si="21"/>
        <v/>
      </c>
      <c r="O11" s="41" t="str">
        <f>IFERROR(__xludf.DUMMYFUNCTION("IF(COUNTA(J11:N11)=0, """", ARRAYFORMULA(""- ""&amp;TEXTJOIN(char(10)&amp;""- "", TRUE, FILTER(J$1:N$1&amp;"": ""&amp;J11:N11, NOT(ISBLANK(J11:N11))))))"),"")</f>
        <v/>
      </c>
      <c r="P11" s="41" t="s">
        <v>414</v>
      </c>
      <c r="Q11" s="43" t="b">
        <v>0</v>
      </c>
    </row>
    <row r="12">
      <c r="A12" s="31" t="s">
        <v>196</v>
      </c>
      <c r="B12" s="31" t="s">
        <v>197</v>
      </c>
      <c r="C12" s="40"/>
      <c r="D12" s="40" t="b">
        <f t="shared" ref="D12:H12" si="22">VLOOKUP($A12, INDIRECT(D$1&amp;"!B:D"), 3, FALSE)</f>
        <v>0</v>
      </c>
      <c r="E12" s="40" t="str">
        <f t="shared" si="22"/>
        <v>TO DO</v>
      </c>
      <c r="F12" s="40" t="str">
        <f t="shared" si="22"/>
        <v>TO DO</v>
      </c>
      <c r="G12" s="40" t="b">
        <f t="shared" si="22"/>
        <v>0</v>
      </c>
      <c r="H12" s="40" t="b">
        <f t="shared" si="22"/>
        <v>0</v>
      </c>
      <c r="I12" s="41">
        <f t="shared" si="4"/>
        <v>1</v>
      </c>
      <c r="J12" s="42" t="str">
        <f t="shared" ref="J12:N12" si="23">VLOOKUP($A12, INDIRECT(J$1&amp;"!B:E"), 4, FALSE)</f>
        <v/>
      </c>
      <c r="K12" s="42" t="str">
        <f t="shared" si="23"/>
        <v/>
      </c>
      <c r="L12" s="42" t="str">
        <f t="shared" si="23"/>
        <v/>
      </c>
      <c r="M12" s="42" t="str">
        <f t="shared" si="23"/>
        <v/>
      </c>
      <c r="N12" s="42" t="str">
        <f t="shared" si="23"/>
        <v/>
      </c>
      <c r="O12" s="41" t="str">
        <f>IFERROR(__xludf.DUMMYFUNCTION("IF(COUNTA(J12:N12)=0, """", ARRAYFORMULA(""- ""&amp;TEXTJOIN(char(10)&amp;""- "", TRUE, FILTER(J$1:N$1&amp;"": ""&amp;J12:N12, NOT(ISBLANK(J12:N12))))))"),"")</f>
        <v/>
      </c>
      <c r="P12" s="41" t="s">
        <v>414</v>
      </c>
      <c r="Q12" s="43" t="b">
        <v>0</v>
      </c>
    </row>
    <row r="13">
      <c r="A13" s="31" t="s">
        <v>119</v>
      </c>
      <c r="B13" s="31" t="s">
        <v>120</v>
      </c>
      <c r="C13" s="40"/>
      <c r="D13" s="40" t="b">
        <f t="shared" ref="D13:H13" si="24">VLOOKUP($A13, INDIRECT(D$1&amp;"!B:D"), 3, FALSE)</f>
        <v>0</v>
      </c>
      <c r="E13" s="40" t="str">
        <f t="shared" si="24"/>
        <v>TO DO</v>
      </c>
      <c r="F13" s="40" t="str">
        <f t="shared" si="24"/>
        <v>TO DO</v>
      </c>
      <c r="G13" s="40" t="b">
        <f t="shared" si="24"/>
        <v>0</v>
      </c>
      <c r="H13" s="40" t="b">
        <f t="shared" si="24"/>
        <v>0</v>
      </c>
      <c r="I13" s="41">
        <f t="shared" si="4"/>
        <v>1</v>
      </c>
      <c r="J13" s="42" t="str">
        <f t="shared" ref="J13:N13" si="25">VLOOKUP($A13, INDIRECT(J$1&amp;"!B:E"), 4, FALSE)</f>
        <v/>
      </c>
      <c r="K13" s="42" t="str">
        <f t="shared" si="25"/>
        <v/>
      </c>
      <c r="L13" s="42" t="str">
        <f t="shared" si="25"/>
        <v/>
      </c>
      <c r="M13" s="42" t="str">
        <f t="shared" si="25"/>
        <v/>
      </c>
      <c r="N13" s="42" t="str">
        <f t="shared" si="25"/>
        <v>related to health workers (or aspirants) but not really linked to specific SDG 3 objectives</v>
      </c>
      <c r="O13" s="41" t="str">
        <f>IFERROR(__xludf.DUMMYFUNCTION("IF(COUNTA(J13:N13)=0, """", ARRAYFORMULA(""- ""&amp;TEXTJOIN(char(10)&amp;""- "", TRUE, FILTER(J$1:N$1&amp;"": ""&amp;J13:N13, NOT(ISBLANK(J13:N13))))))"),"- Steve: related to health workers (or aspirants) but not really linked to specific SDG 3 objectives")</f>
        <v>- Steve: related to health workers (or aspirants) but not really linked to specific SDG 3 objectives</v>
      </c>
      <c r="P13" s="41" t="s">
        <v>420</v>
      </c>
      <c r="Q13" s="43" t="b">
        <v>0</v>
      </c>
    </row>
    <row r="14">
      <c r="A14" s="31" t="s">
        <v>187</v>
      </c>
      <c r="B14" s="31" t="s">
        <v>188</v>
      </c>
      <c r="C14" s="40"/>
      <c r="D14" s="40" t="b">
        <f t="shared" ref="D14:H14" si="26">VLOOKUP($A14, INDIRECT(D$1&amp;"!B:D"), 3, FALSE)</f>
        <v>0</v>
      </c>
      <c r="E14" s="40" t="str">
        <f t="shared" si="26"/>
        <v>TO DO</v>
      </c>
      <c r="F14" s="40" t="str">
        <f t="shared" si="26"/>
        <v>TO DO</v>
      </c>
      <c r="G14" s="40" t="b">
        <f t="shared" si="26"/>
        <v>0</v>
      </c>
      <c r="H14" s="40" t="b">
        <f t="shared" si="26"/>
        <v>0</v>
      </c>
      <c r="I14" s="41">
        <f t="shared" si="4"/>
        <v>1</v>
      </c>
      <c r="J14" s="42" t="str">
        <f t="shared" ref="J14:N14" si="27">VLOOKUP($A14, INDIRECT(J$1&amp;"!B:E"), 4, FALSE)</f>
        <v/>
      </c>
      <c r="K14" s="42" t="str">
        <f t="shared" si="27"/>
        <v/>
      </c>
      <c r="L14" s="42" t="str">
        <f t="shared" si="27"/>
        <v/>
      </c>
      <c r="M14" s="42" t="str">
        <f t="shared" si="27"/>
        <v/>
      </c>
      <c r="N14" s="42" t="str">
        <f t="shared" si="27"/>
        <v/>
      </c>
      <c r="O14" s="41" t="str">
        <f>IFERROR(__xludf.DUMMYFUNCTION("IF(COUNTA(J14:N14)=0, """", ARRAYFORMULA(""- ""&amp;TEXTJOIN(char(10)&amp;""- "", TRUE, FILTER(J$1:N$1&amp;"": ""&amp;J14:N14, NOT(ISBLANK(J14:N14))))))"),"")</f>
        <v/>
      </c>
      <c r="P14" s="41" t="s">
        <v>414</v>
      </c>
      <c r="Q14" s="43" t="b">
        <v>0</v>
      </c>
    </row>
    <row r="15">
      <c r="A15" s="31" t="s">
        <v>204</v>
      </c>
      <c r="B15" s="31" t="s">
        <v>205</v>
      </c>
      <c r="C15" s="40"/>
      <c r="D15" s="40" t="b">
        <f t="shared" ref="D15:H15" si="28">VLOOKUP($A15, INDIRECT(D$1&amp;"!B:D"), 3, FALSE)</f>
        <v>1</v>
      </c>
      <c r="E15" s="40" t="str">
        <f t="shared" si="28"/>
        <v>TO DO</v>
      </c>
      <c r="F15" s="40" t="str">
        <f t="shared" si="28"/>
        <v>TO DO</v>
      </c>
      <c r="G15" s="40" t="b">
        <f t="shared" si="28"/>
        <v>1</v>
      </c>
      <c r="H15" s="40" t="b">
        <f t="shared" si="28"/>
        <v>1</v>
      </c>
      <c r="I15" s="41">
        <f t="shared" si="4"/>
        <v>1</v>
      </c>
      <c r="J15" s="42" t="str">
        <f t="shared" ref="J15:N15" si="29">VLOOKUP($A15, INDIRECT(J$1&amp;"!B:E"), 4, FALSE)</f>
        <v/>
      </c>
      <c r="K15" s="42" t="str">
        <f t="shared" si="29"/>
        <v/>
      </c>
      <c r="L15" s="42" t="str">
        <f t="shared" si="29"/>
        <v/>
      </c>
      <c r="M15" s="42" t="str">
        <f t="shared" si="29"/>
        <v/>
      </c>
      <c r="N15" s="42" t="str">
        <f t="shared" si="29"/>
        <v>3.4 (NCD)</v>
      </c>
      <c r="O15" s="41" t="str">
        <f>IFERROR(__xludf.DUMMYFUNCTION("IF(COUNTA(J15:N15)=0, """", ARRAYFORMULA(""- ""&amp;TEXTJOIN(char(10)&amp;""- "", TRUE, FILTER(J$1:N$1&amp;"": ""&amp;J15:N15, NOT(ISBLANK(J15:N15))))))"),"- Steve: 3.4 (NCD)")</f>
        <v>- Steve: 3.4 (NCD)</v>
      </c>
      <c r="P15" s="41" t="s">
        <v>421</v>
      </c>
      <c r="Q15" s="43" t="b">
        <v>1</v>
      </c>
    </row>
    <row r="16">
      <c r="A16" s="31" t="s">
        <v>240</v>
      </c>
      <c r="B16" s="31" t="s">
        <v>241</v>
      </c>
      <c r="C16" s="40"/>
      <c r="D16" s="40" t="b">
        <f t="shared" ref="D16:H16" si="30">VLOOKUP($A16, INDIRECT(D$1&amp;"!B:D"), 3, FALSE)</f>
        <v>1</v>
      </c>
      <c r="E16" s="40" t="str">
        <f t="shared" si="30"/>
        <v>TO DO</v>
      </c>
      <c r="F16" s="40" t="str">
        <f t="shared" si="30"/>
        <v>TO DO</v>
      </c>
      <c r="G16" s="40" t="b">
        <f t="shared" si="30"/>
        <v>1</v>
      </c>
      <c r="H16" s="40" t="b">
        <f t="shared" si="30"/>
        <v>1</v>
      </c>
      <c r="I16" s="41">
        <f t="shared" si="4"/>
        <v>1</v>
      </c>
      <c r="J16" s="42" t="str">
        <f t="shared" ref="J16:N16" si="31">VLOOKUP($A16, INDIRECT(J$1&amp;"!B:E"), 4, FALSE)</f>
        <v/>
      </c>
      <c r="K16" s="42" t="str">
        <f t="shared" si="31"/>
        <v/>
      </c>
      <c r="L16" s="42" t="str">
        <f t="shared" si="31"/>
        <v/>
      </c>
      <c r="M16" s="42" t="str">
        <f t="shared" si="31"/>
        <v/>
      </c>
      <c r="N16" s="42" t="str">
        <f t="shared" si="31"/>
        <v/>
      </c>
      <c r="O16" s="41" t="str">
        <f>IFERROR(__xludf.DUMMYFUNCTION("IF(COUNTA(J16:N16)=0, """", ARRAYFORMULA(""- ""&amp;TEXTJOIN(char(10)&amp;""- "", TRUE, FILTER(J$1:N$1&amp;"": ""&amp;J16:N16, NOT(ISBLANK(J16:N16))))))"),"")</f>
        <v/>
      </c>
      <c r="P16" s="41" t="s">
        <v>414</v>
      </c>
      <c r="Q16" s="43" t="b">
        <v>1</v>
      </c>
    </row>
    <row r="17">
      <c r="A17" s="31" t="s">
        <v>232</v>
      </c>
      <c r="B17" s="31" t="s">
        <v>233</v>
      </c>
      <c r="C17" s="7" t="s">
        <v>422</v>
      </c>
      <c r="D17" s="40" t="b">
        <f t="shared" ref="D17:H17" si="32">VLOOKUP($A17, INDIRECT(D$1&amp;"!B:D"), 3, FALSE)</f>
        <v>1</v>
      </c>
      <c r="E17" s="40" t="str">
        <f t="shared" si="32"/>
        <v>TO DO</v>
      </c>
      <c r="F17" s="40" t="str">
        <f t="shared" si="32"/>
        <v>TO DO</v>
      </c>
      <c r="G17" s="40" t="b">
        <f t="shared" si="32"/>
        <v>1</v>
      </c>
      <c r="H17" s="40" t="b">
        <f t="shared" si="32"/>
        <v>0</v>
      </c>
      <c r="I17" s="41">
        <f t="shared" si="4"/>
        <v>0.3333333333</v>
      </c>
      <c r="J17" s="42" t="str">
        <f t="shared" ref="J17:N17" si="33">VLOOKUP($A17, INDIRECT(J$1&amp;"!B:E"), 4, FALSE)</f>
        <v/>
      </c>
      <c r="K17" s="42" t="str">
        <f t="shared" si="33"/>
        <v/>
      </c>
      <c r="L17" s="42" t="str">
        <f t="shared" si="33"/>
        <v/>
      </c>
      <c r="M17" s="42" t="str">
        <f t="shared" si="33"/>
        <v/>
      </c>
      <c r="N17" s="42" t="str">
        <f t="shared" si="33"/>
        <v/>
      </c>
      <c r="O17" s="41" t="str">
        <f>IFERROR(__xludf.DUMMYFUNCTION("IF(COUNTA(J17:N17)=0, """", ARRAYFORMULA(""- ""&amp;TEXTJOIN(char(10)&amp;""- "", TRUE, FILTER(J$1:N$1&amp;"": ""&amp;J17:N17, NOT(ISBLANK(J17:N17))))))"),"")</f>
        <v/>
      </c>
      <c r="P17" s="41" t="s">
        <v>414</v>
      </c>
      <c r="Q17" s="43" t="b">
        <v>0</v>
      </c>
      <c r="R17" s="5" t="s">
        <v>423</v>
      </c>
    </row>
    <row r="18">
      <c r="A18" s="31" t="s">
        <v>191</v>
      </c>
      <c r="B18" s="31" t="s">
        <v>192</v>
      </c>
      <c r="C18" s="7" t="s">
        <v>404</v>
      </c>
      <c r="D18" s="40" t="b">
        <f t="shared" ref="D18:H18" si="34">VLOOKUP($A18, INDIRECT(D$1&amp;"!B:D"), 3, FALSE)</f>
        <v>1</v>
      </c>
      <c r="E18" s="40" t="str">
        <f t="shared" si="34"/>
        <v>TO DO</v>
      </c>
      <c r="F18" s="40" t="str">
        <f t="shared" si="34"/>
        <v>TO DO</v>
      </c>
      <c r="G18" s="40" t="b">
        <f t="shared" si="34"/>
        <v>0</v>
      </c>
      <c r="H18" s="40" t="b">
        <f t="shared" si="34"/>
        <v>0</v>
      </c>
      <c r="I18" s="41">
        <f t="shared" si="4"/>
        <v>0.3333333333</v>
      </c>
      <c r="J18" s="42" t="str">
        <f t="shared" ref="J18:N18" si="35">VLOOKUP($A18, INDIRECT(J$1&amp;"!B:E"), 4, FALSE)</f>
        <v>typo</v>
      </c>
      <c r="K18" s="42" t="str">
        <f t="shared" si="35"/>
        <v/>
      </c>
      <c r="L18" s="42" t="str">
        <f t="shared" si="35"/>
        <v/>
      </c>
      <c r="M18" s="42" t="str">
        <f t="shared" si="35"/>
        <v/>
      </c>
      <c r="N18" s="42" t="str">
        <f t="shared" si="35"/>
        <v>no direct link to SDG 3 objectives, no sentiment, call to action</v>
      </c>
      <c r="O18" s="41" t="str">
        <f>IFERROR(__xludf.DUMMYFUNCTION("IF(COUNTA(J18:N18)=0, """", ARRAYFORMULA(""- ""&amp;TEXTJOIN(char(10)&amp;""- "", TRUE, FILTER(J$1:N$1&amp;"": ""&amp;J18:N18, NOT(ISBLANK(J18:N18))))))"),"- Finn: typo
- Steve: no direct link to SDG 3 objectives, no sentiment, call to action")</f>
        <v>- Finn: typo
- Steve: no direct link to SDG 3 objectives, no sentiment, call to action</v>
      </c>
      <c r="P18" s="41" t="s">
        <v>424</v>
      </c>
      <c r="Q18" s="43" t="s">
        <v>407</v>
      </c>
    </row>
    <row r="19">
      <c r="A19" s="31" t="s">
        <v>326</v>
      </c>
      <c r="B19" s="31" t="s">
        <v>327</v>
      </c>
      <c r="C19" s="7" t="s">
        <v>404</v>
      </c>
      <c r="D19" s="40" t="b">
        <f t="shared" ref="D19:H19" si="36">VLOOKUP($A19, INDIRECT(D$1&amp;"!B:D"), 3, FALSE)</f>
        <v>0</v>
      </c>
      <c r="E19" s="40" t="str">
        <f t="shared" si="36"/>
        <v>TO DO</v>
      </c>
      <c r="F19" s="40" t="str">
        <f t="shared" si="36"/>
        <v>TO DO</v>
      </c>
      <c r="G19" s="40" t="b">
        <f t="shared" si="36"/>
        <v>1</v>
      </c>
      <c r="H19" s="40" t="b">
        <f t="shared" si="36"/>
        <v>1</v>
      </c>
      <c r="I19" s="41">
        <f t="shared" si="4"/>
        <v>0.3333333333</v>
      </c>
      <c r="J19" s="42" t="str">
        <f t="shared" ref="J19:N19" si="37">VLOOKUP($A19, INDIRECT(J$1&amp;"!B:E"), 4, FALSE)</f>
        <v>lacking context</v>
      </c>
      <c r="K19" s="42" t="str">
        <f t="shared" si="37"/>
        <v/>
      </c>
      <c r="L19" s="42" t="str">
        <f t="shared" si="37"/>
        <v/>
      </c>
      <c r="M19" s="42" t="str">
        <f t="shared" si="37"/>
        <v>about policy, but not how to increase access</v>
      </c>
      <c r="N19" s="42">
        <f t="shared" si="37"/>
        <v>3.8</v>
      </c>
      <c r="O19" s="41" t="str">
        <f>IFERROR(__xludf.DUMMYFUNCTION("IF(COUNTA(J19:N19)=0, """", ARRAYFORMULA(""- ""&amp;TEXTJOIN(char(10)&amp;""- "", TRUE, FILTER(J$1:N$1&amp;"": ""&amp;J19:N19, NOT(ISBLANK(J19:N19))))))"),"- Finn: lacking context
- Meike: about policy, but not how to increase access
- Steve: 3.8")</f>
        <v>- Finn: lacking context
- Meike: about policy, but not how to increase access
- Steve: 3.8</v>
      </c>
      <c r="P19" s="41" t="s">
        <v>425</v>
      </c>
      <c r="Q19" s="43" t="s">
        <v>407</v>
      </c>
    </row>
    <row r="20">
      <c r="A20" s="31" t="s">
        <v>274</v>
      </c>
      <c r="B20" s="31" t="s">
        <v>275</v>
      </c>
      <c r="C20" s="44" t="s">
        <v>355</v>
      </c>
      <c r="D20" s="40" t="b">
        <f t="shared" ref="D20:H20" si="38">VLOOKUP($A20, INDIRECT(D$1&amp;"!B:D"), 3, FALSE)</f>
        <v>1</v>
      </c>
      <c r="E20" s="40" t="str">
        <f t="shared" si="38"/>
        <v>TO DO</v>
      </c>
      <c r="F20" s="40" t="str">
        <f t="shared" si="38"/>
        <v>TO DO</v>
      </c>
      <c r="G20" s="40" t="b">
        <f t="shared" si="38"/>
        <v>0</v>
      </c>
      <c r="H20" s="40" t="b">
        <f t="shared" si="38"/>
        <v>1</v>
      </c>
      <c r="I20" s="41">
        <f t="shared" si="4"/>
        <v>0.3333333333</v>
      </c>
      <c r="J20" s="42" t="str">
        <f t="shared" ref="J20:N20" si="39">VLOOKUP($A20, INDIRECT(J$1&amp;"!B:E"), 4, FALSE)</f>
        <v/>
      </c>
      <c r="K20" s="42" t="str">
        <f t="shared" si="39"/>
        <v/>
      </c>
      <c r="L20" s="42" t="str">
        <f t="shared" si="39"/>
        <v/>
      </c>
      <c r="M20" s="42" t="str">
        <f t="shared" si="39"/>
        <v/>
      </c>
      <c r="N20" s="42" t="str">
        <f t="shared" si="39"/>
        <v>3.4, though only weakly linked</v>
      </c>
      <c r="O20" s="41" t="str">
        <f>IFERROR(__xludf.DUMMYFUNCTION("IF(COUNTA(J20:N20)=0, """", ARRAYFORMULA(""- ""&amp;TEXTJOIN(char(10)&amp;""- "", TRUE, FILTER(J$1:N$1&amp;"": ""&amp;J20:N20, NOT(ISBLANK(J20:N20))))))"),"- Steve: 3.4, though only weakly linked")</f>
        <v>- Steve: 3.4, though only weakly linked</v>
      </c>
      <c r="P20" s="41" t="s">
        <v>426</v>
      </c>
      <c r="Q20" s="43" t="s">
        <v>407</v>
      </c>
    </row>
    <row r="21">
      <c r="A21" s="31" t="s">
        <v>329</v>
      </c>
      <c r="B21" s="31" t="s">
        <v>330</v>
      </c>
      <c r="C21" s="7" t="s">
        <v>404</v>
      </c>
      <c r="D21" s="40" t="b">
        <f t="shared" ref="D21:H21" si="40">VLOOKUP($A21, INDIRECT(D$1&amp;"!B:D"), 3, FALSE)</f>
        <v>0</v>
      </c>
      <c r="E21" s="40" t="str">
        <f t="shared" si="40"/>
        <v>TO DO</v>
      </c>
      <c r="F21" s="40" t="str">
        <f t="shared" si="40"/>
        <v>TO DO</v>
      </c>
      <c r="G21" s="40" t="b">
        <f t="shared" si="40"/>
        <v>1</v>
      </c>
      <c r="H21" s="40" t="b">
        <f t="shared" si="40"/>
        <v>0</v>
      </c>
      <c r="I21" s="41">
        <f t="shared" si="4"/>
        <v>0.3333333333</v>
      </c>
      <c r="J21" s="42" t="str">
        <f t="shared" ref="J21:N21" si="41">VLOOKUP($A21, INDIRECT(J$1&amp;"!B:E"), 4, FALSE)</f>
        <v/>
      </c>
      <c r="K21" s="42" t="str">
        <f t="shared" si="41"/>
        <v/>
      </c>
      <c r="L21" s="42" t="str">
        <f t="shared" si="41"/>
        <v/>
      </c>
      <c r="M21" s="42" t="str">
        <f t="shared" si="41"/>
        <v/>
      </c>
      <c r="N21" s="42" t="str">
        <f t="shared" si="41"/>
        <v/>
      </c>
      <c r="O21" s="41" t="str">
        <f>IFERROR(__xludf.DUMMYFUNCTION("IF(COUNTA(J21:N21)=0, """", ARRAYFORMULA(""- ""&amp;TEXTJOIN(char(10)&amp;""- "", TRUE, FILTER(J$1:N$1&amp;"": ""&amp;J21:N21, NOT(ISBLANK(J21:N21))))))"),"")</f>
        <v/>
      </c>
      <c r="P21" s="41" t="s">
        <v>414</v>
      </c>
      <c r="Q21" s="43" t="s">
        <v>407</v>
      </c>
    </row>
    <row r="22">
      <c r="A22" s="31" t="s">
        <v>257</v>
      </c>
      <c r="B22" s="31" t="s">
        <v>258</v>
      </c>
      <c r="C22" s="44" t="s">
        <v>355</v>
      </c>
      <c r="D22" s="40" t="b">
        <f t="shared" ref="D22:H22" si="42">VLOOKUP($A22, INDIRECT(D$1&amp;"!B:D"), 3, FALSE)</f>
        <v>1</v>
      </c>
      <c r="E22" s="40" t="str">
        <f t="shared" si="42"/>
        <v>TO DO</v>
      </c>
      <c r="F22" s="40" t="str">
        <f t="shared" si="42"/>
        <v>TO DO</v>
      </c>
      <c r="G22" s="40" t="b">
        <f t="shared" si="42"/>
        <v>0</v>
      </c>
      <c r="H22" s="40" t="b">
        <f t="shared" si="42"/>
        <v>0</v>
      </c>
      <c r="I22" s="41">
        <f t="shared" si="4"/>
        <v>0.3333333333</v>
      </c>
      <c r="J22" s="42" t="str">
        <f t="shared" ref="J22:N22" si="43">VLOOKUP($A22, INDIRECT(J$1&amp;"!B:E"), 4, FALSE)</f>
        <v/>
      </c>
      <c r="K22" s="42" t="str">
        <f t="shared" si="43"/>
        <v/>
      </c>
      <c r="L22" s="42" t="str">
        <f t="shared" si="43"/>
        <v/>
      </c>
      <c r="M22" s="42" t="str">
        <f t="shared" si="43"/>
        <v/>
      </c>
      <c r="N22" s="42" t="str">
        <f t="shared" si="43"/>
        <v/>
      </c>
      <c r="O22" s="41" t="str">
        <f>IFERROR(__xludf.DUMMYFUNCTION("IF(COUNTA(J22:N22)=0, """", ARRAYFORMULA(""- ""&amp;TEXTJOIN(char(10)&amp;""- "", TRUE, FILTER(J$1:N$1&amp;"": ""&amp;J22:N22, NOT(ISBLANK(J22:N22))))))"),"")</f>
        <v/>
      </c>
      <c r="P22" s="41" t="s">
        <v>414</v>
      </c>
      <c r="Q22" s="43" t="s">
        <v>407</v>
      </c>
    </row>
    <row r="23">
      <c r="A23" s="31" t="s">
        <v>261</v>
      </c>
      <c r="B23" s="31" t="s">
        <v>262</v>
      </c>
      <c r="C23" s="39"/>
      <c r="D23" s="40" t="b">
        <f t="shared" ref="D23:H23" si="44">VLOOKUP($A23, INDIRECT(D$1&amp;"!B:D"), 3, FALSE)</f>
        <v>0</v>
      </c>
      <c r="E23" s="40" t="str">
        <f t="shared" si="44"/>
        <v>TO DO</v>
      </c>
      <c r="F23" s="40" t="str">
        <f t="shared" si="44"/>
        <v>TO DO</v>
      </c>
      <c r="G23" s="40" t="b">
        <f t="shared" si="44"/>
        <v>0</v>
      </c>
      <c r="H23" s="40" t="b">
        <f t="shared" si="44"/>
        <v>0</v>
      </c>
      <c r="I23" s="41">
        <f t="shared" si="4"/>
        <v>1</v>
      </c>
      <c r="J23" s="42" t="str">
        <f t="shared" ref="J23:N23" si="45">VLOOKUP($A23, INDIRECT(J$1&amp;"!B:E"), 4, FALSE)</f>
        <v/>
      </c>
      <c r="K23" s="42" t="str">
        <f t="shared" si="45"/>
        <v/>
      </c>
      <c r="L23" s="42" t="str">
        <f t="shared" si="45"/>
        <v/>
      </c>
      <c r="M23" s="42" t="str">
        <f t="shared" si="45"/>
        <v/>
      </c>
      <c r="N23" s="42" t="str">
        <f t="shared" si="45"/>
        <v/>
      </c>
      <c r="O23" s="41" t="str">
        <f>IFERROR(__xludf.DUMMYFUNCTION("IF(COUNTA(J23:N23)=0, """", ARRAYFORMULA(""- ""&amp;TEXTJOIN(char(10)&amp;""- "", TRUE, FILTER(J$1:N$1&amp;"": ""&amp;J23:N23, NOT(ISBLANK(J23:N23))))))"),"")</f>
        <v/>
      </c>
      <c r="P23" s="41" t="s">
        <v>414</v>
      </c>
      <c r="Q23" s="43" t="b">
        <v>0</v>
      </c>
    </row>
    <row r="24">
      <c r="A24" s="31" t="s">
        <v>222</v>
      </c>
      <c r="B24" s="31" t="s">
        <v>223</v>
      </c>
      <c r="C24" s="39"/>
      <c r="D24" s="40" t="b">
        <f t="shared" ref="D24:H24" si="46">VLOOKUP($A24, INDIRECT(D$1&amp;"!B:D"), 3, FALSE)</f>
        <v>0</v>
      </c>
      <c r="E24" s="40" t="str">
        <f t="shared" si="46"/>
        <v>TO DO</v>
      </c>
      <c r="F24" s="40" t="str">
        <f t="shared" si="46"/>
        <v>TO DO</v>
      </c>
      <c r="G24" s="40" t="b">
        <f t="shared" si="46"/>
        <v>0</v>
      </c>
      <c r="H24" s="40" t="b">
        <f t="shared" si="46"/>
        <v>0</v>
      </c>
      <c r="I24" s="41">
        <f t="shared" si="4"/>
        <v>1</v>
      </c>
      <c r="J24" s="42" t="str">
        <f t="shared" ref="J24:N24" si="47">VLOOKUP($A24, INDIRECT(J$1&amp;"!B:E"), 4, FALSE)</f>
        <v/>
      </c>
      <c r="K24" s="42" t="str">
        <f t="shared" si="47"/>
        <v/>
      </c>
      <c r="L24" s="42" t="str">
        <f t="shared" si="47"/>
        <v/>
      </c>
      <c r="M24" s="42" t="str">
        <f t="shared" si="47"/>
        <v/>
      </c>
      <c r="N24" s="42" t="str">
        <f t="shared" si="47"/>
        <v/>
      </c>
      <c r="O24" s="41" t="str">
        <f>IFERROR(__xludf.DUMMYFUNCTION("IF(COUNTA(J24:N24)=0, """", ARRAYFORMULA(""- ""&amp;TEXTJOIN(char(10)&amp;""- "", TRUE, FILTER(J$1:N$1&amp;"": ""&amp;J24:N24, NOT(ISBLANK(J24:N24))))))"),"")</f>
        <v/>
      </c>
      <c r="P24" s="41" t="s">
        <v>414</v>
      </c>
      <c r="Q24" s="43" t="b">
        <v>0</v>
      </c>
    </row>
    <row r="25">
      <c r="A25" s="31" t="s">
        <v>184</v>
      </c>
      <c r="B25" s="31" t="s">
        <v>185</v>
      </c>
      <c r="C25" s="40"/>
      <c r="D25" s="40" t="b">
        <f t="shared" ref="D25:H25" si="48">VLOOKUP($A25, INDIRECT(D$1&amp;"!B:D"), 3, FALSE)</f>
        <v>0</v>
      </c>
      <c r="E25" s="40" t="str">
        <f t="shared" si="48"/>
        <v>TO DO</v>
      </c>
      <c r="F25" s="40" t="str">
        <f t="shared" si="48"/>
        <v>TO DO</v>
      </c>
      <c r="G25" s="40" t="b">
        <f t="shared" si="48"/>
        <v>0</v>
      </c>
      <c r="H25" s="40" t="b">
        <f t="shared" si="48"/>
        <v>0</v>
      </c>
      <c r="I25" s="41">
        <f t="shared" si="4"/>
        <v>1</v>
      </c>
      <c r="J25" s="42" t="str">
        <f t="shared" ref="J25:N25" si="49">VLOOKUP($A25, INDIRECT(J$1&amp;"!B:E"), 4, FALSE)</f>
        <v/>
      </c>
      <c r="K25" s="42" t="str">
        <f t="shared" si="49"/>
        <v/>
      </c>
      <c r="L25" s="42" t="str">
        <f t="shared" si="49"/>
        <v/>
      </c>
      <c r="M25" s="42" t="str">
        <f t="shared" si="49"/>
        <v/>
      </c>
      <c r="N25" s="42" t="str">
        <f t="shared" si="49"/>
        <v/>
      </c>
      <c r="O25" s="41" t="str">
        <f>IFERROR(__xludf.DUMMYFUNCTION("IF(COUNTA(J25:N25)=0, """", ARRAYFORMULA(""- ""&amp;TEXTJOIN(char(10)&amp;""- "", TRUE, FILTER(J$1:N$1&amp;"": ""&amp;J25:N25, NOT(ISBLANK(J25:N25))))))"),"")</f>
        <v/>
      </c>
      <c r="P25" s="41" t="s">
        <v>414</v>
      </c>
      <c r="Q25" s="43" t="b">
        <v>0</v>
      </c>
    </row>
    <row r="26">
      <c r="A26" s="31" t="s">
        <v>116</v>
      </c>
      <c r="B26" s="31" t="s">
        <v>117</v>
      </c>
      <c r="C26" s="7" t="s">
        <v>404</v>
      </c>
      <c r="D26" s="40" t="b">
        <f t="shared" ref="D26:H26" si="50">VLOOKUP($A26, INDIRECT(D$1&amp;"!B:D"), 3, FALSE)</f>
        <v>1</v>
      </c>
      <c r="E26" s="40" t="str">
        <f t="shared" si="50"/>
        <v>TO DO</v>
      </c>
      <c r="F26" s="40" t="str">
        <f t="shared" si="50"/>
        <v>TO DO</v>
      </c>
      <c r="G26" s="40" t="b">
        <f t="shared" si="50"/>
        <v>0</v>
      </c>
      <c r="H26" s="40" t="b">
        <f t="shared" si="50"/>
        <v>0</v>
      </c>
      <c r="I26" s="41">
        <f t="shared" si="4"/>
        <v>0.3333333333</v>
      </c>
      <c r="J26" s="42" t="str">
        <f t="shared" ref="J26:N26" si="51">VLOOKUP($A26, INDIRECT(J$1&amp;"!B:E"), 4, FALSE)</f>
        <v/>
      </c>
      <c r="K26" s="42" t="str">
        <f t="shared" si="51"/>
        <v/>
      </c>
      <c r="L26" s="42" t="str">
        <f t="shared" si="51"/>
        <v/>
      </c>
      <c r="M26" s="42" t="str">
        <f t="shared" si="51"/>
        <v/>
      </c>
      <c r="N26" s="42" t="str">
        <f t="shared" si="51"/>
        <v>talking about health system revenues but without clear links to SDG 3 or its targets</v>
      </c>
      <c r="O26" s="41" t="str">
        <f>IFERROR(__xludf.DUMMYFUNCTION("IF(COUNTA(J26:N26)=0, """", ARRAYFORMULA(""- ""&amp;TEXTJOIN(char(10)&amp;""- "", TRUE, FILTER(J$1:N$1&amp;"": ""&amp;J26:N26, NOT(ISBLANK(J26:N26))))))"),"- Steve: talking about health system revenues but without clear links to SDG 3 or its targets")</f>
        <v>- Steve: talking about health system revenues but without clear links to SDG 3 or its targets</v>
      </c>
      <c r="P26" s="41" t="s">
        <v>427</v>
      </c>
      <c r="Q26" s="43" t="s">
        <v>407</v>
      </c>
    </row>
    <row r="27">
      <c r="A27" s="31" t="s">
        <v>251</v>
      </c>
      <c r="B27" s="31" t="s">
        <v>252</v>
      </c>
      <c r="C27" s="39"/>
      <c r="D27" s="40" t="b">
        <f t="shared" ref="D27:H27" si="52">VLOOKUP($A27, INDIRECT(D$1&amp;"!B:D"), 3, FALSE)</f>
        <v>0</v>
      </c>
      <c r="E27" s="40" t="str">
        <f t="shared" si="52"/>
        <v>TO DO</v>
      </c>
      <c r="F27" s="40" t="str">
        <f t="shared" si="52"/>
        <v>TO DO</v>
      </c>
      <c r="G27" s="40" t="b">
        <f t="shared" si="52"/>
        <v>0</v>
      </c>
      <c r="H27" s="40" t="b">
        <f t="shared" si="52"/>
        <v>0</v>
      </c>
      <c r="I27" s="41">
        <f t="shared" si="4"/>
        <v>1</v>
      </c>
      <c r="J27" s="42" t="str">
        <f t="shared" ref="J27:N27" si="53">VLOOKUP($A27, INDIRECT(J$1&amp;"!B:E"), 4, FALSE)</f>
        <v/>
      </c>
      <c r="K27" s="42" t="str">
        <f t="shared" si="53"/>
        <v/>
      </c>
      <c r="L27" s="42" t="str">
        <f t="shared" si="53"/>
        <v/>
      </c>
      <c r="M27" s="42" t="str">
        <f t="shared" si="53"/>
        <v/>
      </c>
      <c r="N27" s="42" t="str">
        <f t="shared" si="53"/>
        <v/>
      </c>
      <c r="O27" s="41" t="str">
        <f>IFERROR(__xludf.DUMMYFUNCTION("IF(COUNTA(J27:N27)=0, """", ARRAYFORMULA(""- ""&amp;TEXTJOIN(char(10)&amp;""- "", TRUE, FILTER(J$1:N$1&amp;"": ""&amp;J27:N27, NOT(ISBLANK(J27:N27))))))"),"")</f>
        <v/>
      </c>
      <c r="P27" s="41" t="s">
        <v>414</v>
      </c>
      <c r="Q27" s="43" t="b">
        <v>0</v>
      </c>
    </row>
    <row r="28">
      <c r="A28" s="31" t="s">
        <v>287</v>
      </c>
      <c r="B28" s="31" t="s">
        <v>288</v>
      </c>
      <c r="C28" s="40"/>
      <c r="D28" s="40" t="b">
        <f t="shared" ref="D28:H28" si="54">VLOOKUP($A28, INDIRECT(D$1&amp;"!B:D"), 3, FALSE)</f>
        <v>1</v>
      </c>
      <c r="E28" s="40" t="str">
        <f t="shared" si="54"/>
        <v>TO DO</v>
      </c>
      <c r="F28" s="40" t="str">
        <f t="shared" si="54"/>
        <v>TO DO</v>
      </c>
      <c r="G28" s="40" t="b">
        <f t="shared" si="54"/>
        <v>1</v>
      </c>
      <c r="H28" s="40" t="b">
        <f t="shared" si="54"/>
        <v>1</v>
      </c>
      <c r="I28" s="41">
        <f t="shared" si="4"/>
        <v>1</v>
      </c>
      <c r="J28" s="42" t="str">
        <f t="shared" ref="J28:N28" si="55">VLOOKUP($A28, INDIRECT(J$1&amp;"!B:E"), 4, FALSE)</f>
        <v/>
      </c>
      <c r="K28" s="42" t="str">
        <f t="shared" si="55"/>
        <v/>
      </c>
      <c r="L28" s="42" t="str">
        <f t="shared" si="55"/>
        <v/>
      </c>
      <c r="M28" s="42" t="str">
        <f t="shared" si="55"/>
        <v/>
      </c>
      <c r="N28" s="42" t="str">
        <f t="shared" si="55"/>
        <v>universal health access</v>
      </c>
      <c r="O28" s="41" t="str">
        <f>IFERROR(__xludf.DUMMYFUNCTION("IF(COUNTA(J28:N28)=0, """", ARRAYFORMULA(""- ""&amp;TEXTJOIN(char(10)&amp;""- "", TRUE, FILTER(J$1:N$1&amp;"": ""&amp;J28:N28, NOT(ISBLANK(J28:N28))))))"),"- Steve: universal health access")</f>
        <v>- Steve: universal health access</v>
      </c>
      <c r="P28" s="41" t="s">
        <v>428</v>
      </c>
      <c r="Q28" s="43" t="b">
        <v>1</v>
      </c>
    </row>
    <row r="29">
      <c r="A29" s="31" t="s">
        <v>139</v>
      </c>
      <c r="B29" s="31" t="s">
        <v>140</v>
      </c>
      <c r="C29" s="40"/>
      <c r="D29" s="40" t="b">
        <f t="shared" ref="D29:H29" si="56">VLOOKUP($A29, INDIRECT(D$1&amp;"!B:D"), 3, FALSE)</f>
        <v>0</v>
      </c>
      <c r="E29" s="40" t="str">
        <f t="shared" si="56"/>
        <v>TO DO</v>
      </c>
      <c r="F29" s="40" t="str">
        <f t="shared" si="56"/>
        <v>TO DO</v>
      </c>
      <c r="G29" s="40" t="b">
        <f t="shared" si="56"/>
        <v>0</v>
      </c>
      <c r="H29" s="40" t="b">
        <f t="shared" si="56"/>
        <v>0</v>
      </c>
      <c r="I29" s="41">
        <f t="shared" si="4"/>
        <v>1</v>
      </c>
      <c r="J29" s="42" t="str">
        <f t="shared" ref="J29:N29" si="57">VLOOKUP($A29, INDIRECT(J$1&amp;"!B:E"), 4, FALSE)</f>
        <v/>
      </c>
      <c r="K29" s="42" t="str">
        <f t="shared" si="57"/>
        <v/>
      </c>
      <c r="L29" s="42" t="str">
        <f t="shared" si="57"/>
        <v/>
      </c>
      <c r="M29" s="42" t="str">
        <f t="shared" si="57"/>
        <v/>
      </c>
      <c r="N29" s="42" t="str">
        <f t="shared" si="57"/>
        <v/>
      </c>
      <c r="O29" s="41" t="str">
        <f>IFERROR(__xludf.DUMMYFUNCTION("IF(COUNTA(J29:N29)=0, """", ARRAYFORMULA(""- ""&amp;TEXTJOIN(char(10)&amp;""- "", TRUE, FILTER(J$1:N$1&amp;"": ""&amp;J29:N29, NOT(ISBLANK(J29:N29))))))"),"")</f>
        <v/>
      </c>
      <c r="P29" s="41" t="s">
        <v>414</v>
      </c>
      <c r="Q29" s="43" t="b">
        <v>0</v>
      </c>
    </row>
    <row r="30">
      <c r="A30" s="31" t="s">
        <v>290</v>
      </c>
      <c r="B30" s="31" t="s">
        <v>291</v>
      </c>
      <c r="C30" s="7" t="s">
        <v>404</v>
      </c>
      <c r="D30" s="40" t="b">
        <f t="shared" ref="D30:H30" si="58">VLOOKUP($A30, INDIRECT(D$1&amp;"!B:D"), 3, FALSE)</f>
        <v>1</v>
      </c>
      <c r="E30" s="40" t="str">
        <f t="shared" si="58"/>
        <v>TO DO</v>
      </c>
      <c r="F30" s="40" t="str">
        <f t="shared" si="58"/>
        <v>TO DO</v>
      </c>
      <c r="G30" s="40" t="b">
        <f t="shared" si="58"/>
        <v>0</v>
      </c>
      <c r="H30" s="40" t="b">
        <f t="shared" si="58"/>
        <v>1</v>
      </c>
      <c r="I30" s="41">
        <f t="shared" si="4"/>
        <v>0.3333333333</v>
      </c>
      <c r="J30" s="42" t="str">
        <f t="shared" ref="J30:N30" si="59">VLOOKUP($A30, INDIRECT(J$1&amp;"!B:E"), 4, FALSE)</f>
        <v/>
      </c>
      <c r="K30" s="42" t="str">
        <f t="shared" si="59"/>
        <v/>
      </c>
      <c r="L30" s="42" t="str">
        <f t="shared" si="59"/>
        <v/>
      </c>
      <c r="M30" s="42" t="str">
        <f t="shared" si="59"/>
        <v/>
      </c>
      <c r="N30" s="42">
        <f t="shared" si="59"/>
        <v>3.8</v>
      </c>
      <c r="O30" s="41" t="str">
        <f>IFERROR(__xludf.DUMMYFUNCTION("IF(COUNTA(J30:N30)=0, """", ARRAYFORMULA(""- ""&amp;TEXTJOIN(char(10)&amp;""- "", TRUE, FILTER(J$1:N$1&amp;"": ""&amp;J30:N30, NOT(ISBLANK(J30:N30))))))"),"- Steve: 3.8")</f>
        <v>- Steve: 3.8</v>
      </c>
      <c r="P30" s="41" t="s">
        <v>429</v>
      </c>
      <c r="Q30" s="43" t="s">
        <v>407</v>
      </c>
    </row>
    <row r="31">
      <c r="A31" s="31" t="s">
        <v>132</v>
      </c>
      <c r="B31" s="31" t="s">
        <v>133</v>
      </c>
      <c r="C31" s="39"/>
      <c r="D31" s="40" t="b">
        <f t="shared" ref="D31:H31" si="60">VLOOKUP($A31, INDIRECT(D$1&amp;"!B:D"), 3, FALSE)</f>
        <v>0</v>
      </c>
      <c r="E31" s="40" t="str">
        <f t="shared" si="60"/>
        <v>TO DO</v>
      </c>
      <c r="F31" s="40" t="str">
        <f t="shared" si="60"/>
        <v>TO DO</v>
      </c>
      <c r="G31" s="40" t="b">
        <f t="shared" si="60"/>
        <v>0</v>
      </c>
      <c r="H31" s="40" t="b">
        <f t="shared" si="60"/>
        <v>0</v>
      </c>
      <c r="I31" s="41">
        <f t="shared" si="4"/>
        <v>1</v>
      </c>
      <c r="J31" s="42" t="str">
        <f t="shared" ref="J31:N31" si="61">VLOOKUP($A31, INDIRECT(J$1&amp;"!B:E"), 4, FALSE)</f>
        <v/>
      </c>
      <c r="K31" s="42" t="str">
        <f t="shared" si="61"/>
        <v/>
      </c>
      <c r="L31" s="42" t="str">
        <f t="shared" si="61"/>
        <v/>
      </c>
      <c r="M31" s="42" t="str">
        <f t="shared" si="61"/>
        <v/>
      </c>
      <c r="N31" s="42" t="str">
        <f t="shared" si="61"/>
        <v/>
      </c>
      <c r="O31" s="41" t="str">
        <f>IFERROR(__xludf.DUMMYFUNCTION("IF(COUNTA(J31:N31)=0, """", ARRAYFORMULA(""- ""&amp;TEXTJOIN(char(10)&amp;""- "", TRUE, FILTER(J$1:N$1&amp;"": ""&amp;J31:N31, NOT(ISBLANK(J31:N31))))))"),"")</f>
        <v/>
      </c>
      <c r="P31" s="41" t="s">
        <v>414</v>
      </c>
      <c r="Q31" s="43" t="b">
        <v>0</v>
      </c>
    </row>
    <row r="32">
      <c r="A32" s="31" t="s">
        <v>157</v>
      </c>
      <c r="B32" s="31" t="s">
        <v>158</v>
      </c>
      <c r="C32" s="40"/>
      <c r="D32" s="40" t="b">
        <f t="shared" ref="D32:H32" si="62">VLOOKUP($A32, INDIRECT(D$1&amp;"!B:D"), 3, FALSE)</f>
        <v>0</v>
      </c>
      <c r="E32" s="40" t="str">
        <f t="shared" si="62"/>
        <v>TO DO</v>
      </c>
      <c r="F32" s="40" t="str">
        <f t="shared" si="62"/>
        <v>TO DO</v>
      </c>
      <c r="G32" s="40" t="b">
        <f t="shared" si="62"/>
        <v>0</v>
      </c>
      <c r="H32" s="40" t="b">
        <f t="shared" si="62"/>
        <v>0</v>
      </c>
      <c r="I32" s="41">
        <f t="shared" si="4"/>
        <v>1</v>
      </c>
      <c r="J32" s="42" t="str">
        <f t="shared" ref="J32:N32" si="63">VLOOKUP($A32, INDIRECT(J$1&amp;"!B:E"), 4, FALSE)</f>
        <v/>
      </c>
      <c r="K32" s="42" t="str">
        <f t="shared" si="63"/>
        <v/>
      </c>
      <c r="L32" s="42" t="str">
        <f t="shared" si="63"/>
        <v/>
      </c>
      <c r="M32" s="42" t="str">
        <f t="shared" si="63"/>
        <v/>
      </c>
      <c r="N32" s="42" t="str">
        <f t="shared" si="63"/>
        <v/>
      </c>
      <c r="O32" s="41" t="str">
        <f>IFERROR(__xludf.DUMMYFUNCTION("IF(COUNTA(J32:N32)=0, """", ARRAYFORMULA(""- ""&amp;TEXTJOIN(char(10)&amp;""- "", TRUE, FILTER(J$1:N$1&amp;"": ""&amp;J32:N32, NOT(ISBLANK(J32:N32))))))"),"")</f>
        <v/>
      </c>
      <c r="P32" s="41" t="s">
        <v>414</v>
      </c>
      <c r="Q32" s="43" t="b">
        <v>0</v>
      </c>
    </row>
    <row r="33">
      <c r="A33" s="31" t="s">
        <v>95</v>
      </c>
      <c r="B33" s="31" t="s">
        <v>96</v>
      </c>
      <c r="C33" s="40"/>
      <c r="D33" s="40" t="b">
        <f t="shared" ref="D33:H33" si="64">VLOOKUP($A33, INDIRECT(D$1&amp;"!B:D"), 3, FALSE)</f>
        <v>0</v>
      </c>
      <c r="E33" s="40" t="str">
        <f t="shared" si="64"/>
        <v>TO DO</v>
      </c>
      <c r="F33" s="40" t="str">
        <f t="shared" si="64"/>
        <v>TO DO</v>
      </c>
      <c r="G33" s="40" t="b">
        <f t="shared" si="64"/>
        <v>0</v>
      </c>
      <c r="H33" s="40" t="b">
        <f t="shared" si="64"/>
        <v>0</v>
      </c>
      <c r="I33" s="41">
        <f t="shared" si="4"/>
        <v>1</v>
      </c>
      <c r="J33" s="42" t="str">
        <f t="shared" ref="J33:N33" si="65">VLOOKUP($A33, INDIRECT(J$1&amp;"!B:E"), 4, FALSE)</f>
        <v/>
      </c>
      <c r="K33" s="42" t="str">
        <f t="shared" si="65"/>
        <v/>
      </c>
      <c r="L33" s="42" t="str">
        <f t="shared" si="65"/>
        <v/>
      </c>
      <c r="M33" s="42" t="str">
        <f t="shared" si="65"/>
        <v/>
      </c>
      <c r="N33" s="42" t="str">
        <f t="shared" si="65"/>
        <v/>
      </c>
      <c r="O33" s="41" t="str">
        <f>IFERROR(__xludf.DUMMYFUNCTION("IF(COUNTA(J33:N33)=0, """", ARRAYFORMULA(""- ""&amp;TEXTJOIN(char(10)&amp;""- "", TRUE, FILTER(J$1:N$1&amp;"": ""&amp;J33:N33, NOT(ISBLANK(J33:N33))))))"),"")</f>
        <v/>
      </c>
      <c r="P33" s="41" t="s">
        <v>414</v>
      </c>
      <c r="Q33" s="43" t="b">
        <v>0</v>
      </c>
    </row>
    <row r="34">
      <c r="A34" s="31" t="s">
        <v>76</v>
      </c>
      <c r="B34" s="31" t="s">
        <v>77</v>
      </c>
      <c r="C34" s="40"/>
      <c r="D34" s="40" t="b">
        <f t="shared" ref="D34:H34" si="66">VLOOKUP($A34, INDIRECT(D$1&amp;"!B:D"), 3, FALSE)</f>
        <v>1</v>
      </c>
      <c r="E34" s="40" t="str">
        <f t="shared" si="66"/>
        <v>TO DO</v>
      </c>
      <c r="F34" s="40" t="str">
        <f t="shared" si="66"/>
        <v>TO DO</v>
      </c>
      <c r="G34" s="40" t="b">
        <f t="shared" si="66"/>
        <v>1</v>
      </c>
      <c r="H34" s="40" t="b">
        <f t="shared" si="66"/>
        <v>1</v>
      </c>
      <c r="I34" s="41">
        <f t="shared" si="4"/>
        <v>1</v>
      </c>
      <c r="J34" s="42" t="str">
        <f t="shared" ref="J34:N34" si="67">VLOOKUP($A34, INDIRECT(J$1&amp;"!B:E"), 4, FALSE)</f>
        <v/>
      </c>
      <c r="K34" s="42" t="str">
        <f t="shared" si="67"/>
        <v/>
      </c>
      <c r="L34" s="42" t="str">
        <f t="shared" si="67"/>
        <v/>
      </c>
      <c r="M34" s="42" t="str">
        <f t="shared" si="67"/>
        <v/>
      </c>
      <c r="N34" s="42" t="str">
        <f t="shared" si="67"/>
        <v/>
      </c>
      <c r="O34" s="41" t="str">
        <f>IFERROR(__xludf.DUMMYFUNCTION("IF(COUNTA(J34:N34)=0, """", ARRAYFORMULA(""- ""&amp;TEXTJOIN(char(10)&amp;""- "", TRUE, FILTER(J$1:N$1&amp;"": ""&amp;J34:N34, NOT(ISBLANK(J34:N34))))))"),"")</f>
        <v/>
      </c>
      <c r="P34" s="41" t="s">
        <v>414</v>
      </c>
      <c r="Q34" s="43" t="b">
        <v>1</v>
      </c>
    </row>
    <row r="35">
      <c r="A35" s="31" t="s">
        <v>90</v>
      </c>
      <c r="B35" s="31" t="s">
        <v>91</v>
      </c>
      <c r="C35" s="44" t="s">
        <v>430</v>
      </c>
      <c r="D35" s="40" t="b">
        <f t="shared" ref="D35:H35" si="68">VLOOKUP($A35, INDIRECT(D$1&amp;"!B:D"), 3, FALSE)</f>
        <v>0</v>
      </c>
      <c r="E35" s="40" t="str">
        <f t="shared" si="68"/>
        <v>TO DO</v>
      </c>
      <c r="F35" s="40" t="str">
        <f t="shared" si="68"/>
        <v>TO DO</v>
      </c>
      <c r="G35" s="40" t="b">
        <f t="shared" si="68"/>
        <v>1</v>
      </c>
      <c r="H35" s="40" t="b">
        <f t="shared" si="68"/>
        <v>0</v>
      </c>
      <c r="I35" s="41">
        <f t="shared" si="4"/>
        <v>0.3333333333</v>
      </c>
      <c r="J35" s="42" t="str">
        <f t="shared" ref="J35:N35" si="69">VLOOKUP($A35, INDIRECT(J$1&amp;"!B:E"), 4, FALSE)</f>
        <v/>
      </c>
      <c r="K35" s="42" t="str">
        <f t="shared" si="69"/>
        <v/>
      </c>
      <c r="L35" s="42" t="str">
        <f t="shared" si="69"/>
        <v/>
      </c>
      <c r="M35" s="42" t="str">
        <f t="shared" si="69"/>
        <v/>
      </c>
      <c r="N35" s="42" t="str">
        <f t="shared" si="69"/>
        <v/>
      </c>
      <c r="O35" s="41" t="str">
        <f>IFERROR(__xludf.DUMMYFUNCTION("IF(COUNTA(J35:N35)=0, """", ARRAYFORMULA(""- ""&amp;TEXTJOIN(char(10)&amp;""- "", TRUE, FILTER(J$1:N$1&amp;"": ""&amp;J35:N35, NOT(ISBLANK(J35:N35))))))"),"")</f>
        <v/>
      </c>
      <c r="P35" s="41" t="s">
        <v>414</v>
      </c>
      <c r="Q35" s="43" t="b">
        <v>0</v>
      </c>
      <c r="S35" s="5" t="s">
        <v>165</v>
      </c>
    </row>
    <row r="36">
      <c r="A36" s="31" t="s">
        <v>309</v>
      </c>
      <c r="B36" s="31" t="s">
        <v>310</v>
      </c>
      <c r="C36" s="39"/>
      <c r="D36" s="40" t="b">
        <f t="shared" ref="D36:H36" si="70">VLOOKUP($A36, INDIRECT(D$1&amp;"!B:D"), 3, FALSE)</f>
        <v>1</v>
      </c>
      <c r="E36" s="40" t="str">
        <f t="shared" si="70"/>
        <v>TO DO</v>
      </c>
      <c r="F36" s="40" t="str">
        <f t="shared" si="70"/>
        <v>TO DO</v>
      </c>
      <c r="G36" s="40" t="b">
        <f t="shared" si="70"/>
        <v>1</v>
      </c>
      <c r="H36" s="40" t="b">
        <f t="shared" si="70"/>
        <v>1</v>
      </c>
      <c r="I36" s="41">
        <f t="shared" si="4"/>
        <v>1</v>
      </c>
      <c r="J36" s="42" t="str">
        <f t="shared" ref="J36:N36" si="71">VLOOKUP($A36, INDIRECT(J$1&amp;"!B:E"), 4, FALSE)</f>
        <v/>
      </c>
      <c r="K36" s="42" t="str">
        <f t="shared" si="71"/>
        <v/>
      </c>
      <c r="L36" s="42" t="str">
        <f t="shared" si="71"/>
        <v/>
      </c>
      <c r="M36" s="42" t="str">
        <f t="shared" si="71"/>
        <v/>
      </c>
      <c r="N36" s="42" t="str">
        <f t="shared" si="71"/>
        <v/>
      </c>
      <c r="O36" s="41" t="str">
        <f>IFERROR(__xludf.DUMMYFUNCTION("IF(COUNTA(J36:N36)=0, """", ARRAYFORMULA(""- ""&amp;TEXTJOIN(char(10)&amp;""- "", TRUE, FILTER(J$1:N$1&amp;"": ""&amp;J36:N36, NOT(ISBLANK(J36:N36))))))"),"")</f>
        <v/>
      </c>
      <c r="P36" s="41" t="s">
        <v>414</v>
      </c>
      <c r="Q36" s="43" t="b">
        <v>1</v>
      </c>
    </row>
    <row r="37">
      <c r="A37" s="31" t="s">
        <v>297</v>
      </c>
      <c r="B37" s="31" t="s">
        <v>298</v>
      </c>
      <c r="C37" s="39"/>
      <c r="D37" s="40" t="b">
        <f t="shared" ref="D37:H37" si="72">VLOOKUP($A37, INDIRECT(D$1&amp;"!B:D"), 3, FALSE)</f>
        <v>0</v>
      </c>
      <c r="E37" s="40" t="str">
        <f t="shared" si="72"/>
        <v>TO DO</v>
      </c>
      <c r="F37" s="40" t="str">
        <f t="shared" si="72"/>
        <v>TO DO</v>
      </c>
      <c r="G37" s="40" t="b">
        <f t="shared" si="72"/>
        <v>0</v>
      </c>
      <c r="H37" s="40" t="b">
        <f t="shared" si="72"/>
        <v>0</v>
      </c>
      <c r="I37" s="41">
        <f t="shared" si="4"/>
        <v>1</v>
      </c>
      <c r="J37" s="42" t="str">
        <f t="shared" ref="J37:N37" si="73">VLOOKUP($A37, INDIRECT(J$1&amp;"!B:E"), 4, FALSE)</f>
        <v/>
      </c>
      <c r="K37" s="42" t="str">
        <f t="shared" si="73"/>
        <v/>
      </c>
      <c r="L37" s="42" t="str">
        <f t="shared" si="73"/>
        <v/>
      </c>
      <c r="M37" s="42" t="str">
        <f t="shared" si="73"/>
        <v/>
      </c>
      <c r="N37" s="42" t="str">
        <f t="shared" si="73"/>
        <v/>
      </c>
      <c r="O37" s="41" t="str">
        <f>IFERROR(__xludf.DUMMYFUNCTION("IF(COUNTA(J37:N37)=0, """", ARRAYFORMULA(""- ""&amp;TEXTJOIN(char(10)&amp;""- "", TRUE, FILTER(J$1:N$1&amp;"": ""&amp;J37:N37, NOT(ISBLANK(J37:N37))))))"),"")</f>
        <v/>
      </c>
      <c r="P37" s="41" t="s">
        <v>414</v>
      </c>
      <c r="Q37" s="43" t="b">
        <v>0</v>
      </c>
    </row>
    <row r="38">
      <c r="A38" s="31" t="s">
        <v>299</v>
      </c>
      <c r="B38" s="31" t="s">
        <v>300</v>
      </c>
      <c r="C38" s="7" t="s">
        <v>422</v>
      </c>
      <c r="D38" s="40" t="b">
        <f t="shared" ref="D38:H38" si="74">VLOOKUP($A38, INDIRECT(D$1&amp;"!B:D"), 3, FALSE)</f>
        <v>1</v>
      </c>
      <c r="E38" s="40" t="str">
        <f t="shared" si="74"/>
        <v>TO DO</v>
      </c>
      <c r="F38" s="40" t="str">
        <f t="shared" si="74"/>
        <v>TO DO</v>
      </c>
      <c r="G38" s="40" t="b">
        <f t="shared" si="74"/>
        <v>1</v>
      </c>
      <c r="H38" s="40" t="b">
        <f t="shared" si="74"/>
        <v>0</v>
      </c>
      <c r="I38" s="41">
        <f t="shared" si="4"/>
        <v>0.3333333333</v>
      </c>
      <c r="J38" s="42" t="str">
        <f t="shared" ref="J38:N38" si="75">VLOOKUP($A38, INDIRECT(J$1&amp;"!B:E"), 4, FALSE)</f>
        <v/>
      </c>
      <c r="K38" s="42" t="str">
        <f t="shared" si="75"/>
        <v/>
      </c>
      <c r="L38" s="42" t="str">
        <f t="shared" si="75"/>
        <v/>
      </c>
      <c r="M38" s="42" t="str">
        <f t="shared" si="75"/>
        <v/>
      </c>
      <c r="N38" s="42" t="str">
        <f t="shared" si="75"/>
        <v/>
      </c>
      <c r="O38" s="41" t="str">
        <f>IFERROR(__xludf.DUMMYFUNCTION("IF(COUNTA(J38:N38)=0, """", ARRAYFORMULA(""- ""&amp;TEXTJOIN(char(10)&amp;""- "", TRUE, FILTER(J$1:N$1&amp;"": ""&amp;J38:N38, NOT(ISBLANK(J38:N38))))))"),"")</f>
        <v/>
      </c>
      <c r="P38" s="41" t="s">
        <v>414</v>
      </c>
      <c r="Q38" s="43" t="b">
        <v>0</v>
      </c>
      <c r="R38" s="5" t="s">
        <v>423</v>
      </c>
    </row>
    <row r="39">
      <c r="A39" s="31" t="s">
        <v>170</v>
      </c>
      <c r="B39" s="31" t="s">
        <v>171</v>
      </c>
      <c r="C39" s="40"/>
      <c r="D39" s="40" t="b">
        <f t="shared" ref="D39:H39" si="76">VLOOKUP($A39, INDIRECT(D$1&amp;"!B:D"), 3, FALSE)</f>
        <v>0</v>
      </c>
      <c r="E39" s="40" t="str">
        <f t="shared" si="76"/>
        <v>TO DO</v>
      </c>
      <c r="F39" s="40" t="str">
        <f t="shared" si="76"/>
        <v>TO DO</v>
      </c>
      <c r="G39" s="40" t="b">
        <f t="shared" si="76"/>
        <v>0</v>
      </c>
      <c r="H39" s="40" t="b">
        <f t="shared" si="76"/>
        <v>0</v>
      </c>
      <c r="I39" s="41">
        <f t="shared" si="4"/>
        <v>1</v>
      </c>
      <c r="J39" s="42" t="str">
        <f t="shared" ref="J39:N39" si="77">VLOOKUP($A39, INDIRECT(J$1&amp;"!B:E"), 4, FALSE)</f>
        <v/>
      </c>
      <c r="K39" s="42" t="str">
        <f t="shared" si="77"/>
        <v/>
      </c>
      <c r="L39" s="42" t="str">
        <f t="shared" si="77"/>
        <v/>
      </c>
      <c r="M39" s="42" t="str">
        <f t="shared" si="77"/>
        <v/>
      </c>
      <c r="N39" s="42" t="str">
        <f t="shared" si="77"/>
        <v/>
      </c>
      <c r="O39" s="41" t="str">
        <f>IFERROR(__xludf.DUMMYFUNCTION("IF(COUNTA(J39:N39)=0, """", ARRAYFORMULA(""- ""&amp;TEXTJOIN(char(10)&amp;""- "", TRUE, FILTER(J$1:N$1&amp;"": ""&amp;J39:N39, NOT(ISBLANK(J39:N39))))))"),"")</f>
        <v/>
      </c>
      <c r="P39" s="41" t="s">
        <v>414</v>
      </c>
      <c r="Q39" s="43" t="b">
        <v>0</v>
      </c>
    </row>
    <row r="40">
      <c r="A40" s="31" t="s">
        <v>72</v>
      </c>
      <c r="B40" s="31" t="s">
        <v>73</v>
      </c>
      <c r="C40" s="39"/>
      <c r="D40" s="40" t="b">
        <f t="shared" ref="D40:H40" si="78">VLOOKUP($A40, INDIRECT(D$1&amp;"!B:D"), 3, FALSE)</f>
        <v>1</v>
      </c>
      <c r="E40" s="40" t="str">
        <f t="shared" si="78"/>
        <v>TO DO</v>
      </c>
      <c r="F40" s="40" t="str">
        <f t="shared" si="78"/>
        <v>TO DO</v>
      </c>
      <c r="G40" s="40" t="b">
        <f t="shared" si="78"/>
        <v>1</v>
      </c>
      <c r="H40" s="40" t="b">
        <f t="shared" si="78"/>
        <v>1</v>
      </c>
      <c r="I40" s="41">
        <f t="shared" si="4"/>
        <v>1</v>
      </c>
      <c r="J40" s="42" t="str">
        <f t="shared" ref="J40:N40" si="79">VLOOKUP($A40, INDIRECT(J$1&amp;"!B:E"), 4, FALSE)</f>
        <v>in line with WHO tobacco control: https://www.who.int/teams/health-promotion/tobacco-control/implementing</v>
      </c>
      <c r="K40" s="42" t="str">
        <f t="shared" si="79"/>
        <v/>
      </c>
      <c r="L40" s="42" t="str">
        <f t="shared" si="79"/>
        <v/>
      </c>
      <c r="M40" s="42" t="str">
        <f t="shared" si="79"/>
        <v/>
      </c>
      <c r="N40" s="42" t="str">
        <f t="shared" si="79"/>
        <v>3.a</v>
      </c>
      <c r="O40" s="41" t="str">
        <f>IFERROR(__xludf.DUMMYFUNCTION("IF(COUNTA(J40:N40)=0, """", ARRAYFORMULA(""- ""&amp;TEXTJOIN(char(10)&amp;""- "", TRUE, FILTER(J$1:N$1&amp;"": ""&amp;J40:N40, NOT(ISBLANK(J40:N40))))))"),"- Finn: in line with WHO tobacco control: https://www.who.int/teams/health-promotion/tobacco-control/implementing
- Steve: 3.a")</f>
        <v>- Finn: in line with WHO tobacco control: https://www.who.int/teams/health-promotion/tobacco-control/implementing
- Steve: 3.a</v>
      </c>
      <c r="P40" s="41" t="s">
        <v>431</v>
      </c>
      <c r="Q40" s="43" t="b">
        <v>1</v>
      </c>
    </row>
    <row r="41">
      <c r="A41" s="31" t="s">
        <v>109</v>
      </c>
      <c r="B41" s="31" t="s">
        <v>110</v>
      </c>
      <c r="C41" s="7" t="s">
        <v>404</v>
      </c>
      <c r="D41" s="40" t="b">
        <f t="shared" ref="D41:H41" si="80">VLOOKUP($A41, INDIRECT(D$1&amp;"!B:D"), 3, FALSE)</f>
        <v>0</v>
      </c>
      <c r="E41" s="40" t="str">
        <f t="shared" si="80"/>
        <v>TO DO</v>
      </c>
      <c r="F41" s="40" t="str">
        <f t="shared" si="80"/>
        <v>TO DO</v>
      </c>
      <c r="G41" s="40" t="b">
        <f t="shared" si="80"/>
        <v>0</v>
      </c>
      <c r="H41" s="40" t="b">
        <f t="shared" si="80"/>
        <v>1</v>
      </c>
      <c r="I41" s="41">
        <f t="shared" si="4"/>
        <v>0.3333333333</v>
      </c>
      <c r="J41" s="42" t="str">
        <f t="shared" ref="J41:N41" si="81">VLOOKUP($A41, INDIRECT(J$1&amp;"!B:E"), 4, FALSE)</f>
        <v/>
      </c>
      <c r="K41" s="42" t="str">
        <f t="shared" si="81"/>
        <v/>
      </c>
      <c r="L41" s="42" t="str">
        <f t="shared" si="81"/>
        <v/>
      </c>
      <c r="M41" s="42" t="str">
        <f t="shared" si="81"/>
        <v/>
      </c>
      <c r="N41" s="42" t="str">
        <f t="shared" si="81"/>
        <v>a bit of a weak link to 3.3</v>
      </c>
      <c r="O41" s="41" t="str">
        <f>IFERROR(__xludf.DUMMYFUNCTION("IF(COUNTA(J41:N41)=0, """", ARRAYFORMULA(""- ""&amp;TEXTJOIN(char(10)&amp;""- "", TRUE, FILTER(J$1:N$1&amp;"": ""&amp;J41:N41, NOT(ISBLANK(J41:N41))))))"),"- Steve: a bit of a weak link to 3.3")</f>
        <v>- Steve: a bit of a weak link to 3.3</v>
      </c>
      <c r="P41" s="41" t="s">
        <v>432</v>
      </c>
      <c r="Q41" s="43" t="s">
        <v>407</v>
      </c>
    </row>
    <row r="42">
      <c r="A42" s="31" t="s">
        <v>219</v>
      </c>
      <c r="B42" s="31" t="s">
        <v>220</v>
      </c>
      <c r="C42" s="40"/>
      <c r="D42" s="40" t="b">
        <f t="shared" ref="D42:H42" si="82">VLOOKUP($A42, INDIRECT(D$1&amp;"!B:D"), 3, FALSE)</f>
        <v>0</v>
      </c>
      <c r="E42" s="40" t="str">
        <f t="shared" si="82"/>
        <v>TO DO</v>
      </c>
      <c r="F42" s="40" t="str">
        <f t="shared" si="82"/>
        <v>TO DO</v>
      </c>
      <c r="G42" s="40" t="b">
        <f t="shared" si="82"/>
        <v>0</v>
      </c>
      <c r="H42" s="40" t="b">
        <f t="shared" si="82"/>
        <v>0</v>
      </c>
      <c r="I42" s="41">
        <f t="shared" si="4"/>
        <v>1</v>
      </c>
      <c r="J42" s="42" t="str">
        <f t="shared" ref="J42:N42" si="83">VLOOKUP($A42, INDIRECT(J$1&amp;"!B:E"), 4, FALSE)</f>
        <v/>
      </c>
      <c r="K42" s="42" t="str">
        <f t="shared" si="83"/>
        <v/>
      </c>
      <c r="L42" s="42" t="str">
        <f t="shared" si="83"/>
        <v/>
      </c>
      <c r="M42" s="42" t="str">
        <f t="shared" si="83"/>
        <v/>
      </c>
      <c r="N42" s="42" t="str">
        <f t="shared" si="83"/>
        <v/>
      </c>
      <c r="O42" s="41" t="str">
        <f>IFERROR(__xludf.DUMMYFUNCTION("IF(COUNTA(J42:N42)=0, """", ARRAYFORMULA(""- ""&amp;TEXTJOIN(char(10)&amp;""- "", TRUE, FILTER(J$1:N$1&amp;"": ""&amp;J42:N42, NOT(ISBLANK(J42:N42))))))"),"")</f>
        <v/>
      </c>
      <c r="P42" s="41" t="s">
        <v>414</v>
      </c>
      <c r="Q42" s="43" t="b">
        <v>0</v>
      </c>
    </row>
    <row r="43">
      <c r="A43" s="31" t="s">
        <v>167</v>
      </c>
      <c r="B43" s="31" t="s">
        <v>168</v>
      </c>
      <c r="C43" s="40"/>
      <c r="D43" s="40" t="b">
        <f t="shared" ref="D43:H43" si="84">VLOOKUP($A43, INDIRECT(D$1&amp;"!B:D"), 3, FALSE)</f>
        <v>1</v>
      </c>
      <c r="E43" s="40" t="str">
        <f t="shared" si="84"/>
        <v>TO DO</v>
      </c>
      <c r="F43" s="40" t="str">
        <f t="shared" si="84"/>
        <v>TO DO</v>
      </c>
      <c r="G43" s="40" t="b">
        <f t="shared" si="84"/>
        <v>1</v>
      </c>
      <c r="H43" s="40" t="b">
        <f t="shared" si="84"/>
        <v>1</v>
      </c>
      <c r="I43" s="41">
        <f t="shared" si="4"/>
        <v>1</v>
      </c>
      <c r="J43" s="42" t="str">
        <f t="shared" ref="J43:N43" si="85">VLOOKUP($A43, INDIRECT(J$1&amp;"!B:E"), 4, FALSE)</f>
        <v/>
      </c>
      <c r="K43" s="42" t="str">
        <f t="shared" si="85"/>
        <v/>
      </c>
      <c r="L43" s="42" t="str">
        <f t="shared" si="85"/>
        <v/>
      </c>
      <c r="M43" s="42" t="str">
        <f t="shared" si="85"/>
        <v/>
      </c>
      <c r="N43" s="42">
        <f t="shared" si="85"/>
        <v>3.1</v>
      </c>
      <c r="O43" s="41" t="str">
        <f>IFERROR(__xludf.DUMMYFUNCTION("IF(COUNTA(J43:N43)=0, """", ARRAYFORMULA(""- ""&amp;TEXTJOIN(char(10)&amp;""- "", TRUE, FILTER(J$1:N$1&amp;"": ""&amp;J43:N43, NOT(ISBLANK(J43:N43))))))"),"- Steve: 3.1")</f>
        <v>- Steve: 3.1</v>
      </c>
      <c r="P43" s="41" t="s">
        <v>433</v>
      </c>
      <c r="Q43" s="43" t="b">
        <v>1</v>
      </c>
    </row>
    <row r="44">
      <c r="A44" s="31" t="s">
        <v>216</v>
      </c>
      <c r="B44" s="31" t="s">
        <v>217</v>
      </c>
      <c r="C44" s="39"/>
      <c r="D44" s="40" t="b">
        <f t="shared" ref="D44:H44" si="86">VLOOKUP($A44, INDIRECT(D$1&amp;"!B:D"), 3, FALSE)</f>
        <v>1</v>
      </c>
      <c r="E44" s="40" t="str">
        <f t="shared" si="86"/>
        <v>TO DO</v>
      </c>
      <c r="F44" s="40" t="str">
        <f t="shared" si="86"/>
        <v>TO DO</v>
      </c>
      <c r="G44" s="40" t="b">
        <f t="shared" si="86"/>
        <v>1</v>
      </c>
      <c r="H44" s="40" t="b">
        <f t="shared" si="86"/>
        <v>1</v>
      </c>
      <c r="I44" s="41">
        <f t="shared" si="4"/>
        <v>1</v>
      </c>
      <c r="J44" s="42" t="str">
        <f t="shared" ref="J44:N44" si="87">VLOOKUP($A44, INDIRECT(J$1&amp;"!B:E"), 4, FALSE)</f>
        <v/>
      </c>
      <c r="K44" s="42" t="str">
        <f t="shared" si="87"/>
        <v/>
      </c>
      <c r="L44" s="42" t="str">
        <f t="shared" si="87"/>
        <v/>
      </c>
      <c r="M44" s="42" t="str">
        <f t="shared" si="87"/>
        <v/>
      </c>
      <c r="N44" s="42" t="str">
        <f t="shared" si="87"/>
        <v/>
      </c>
      <c r="O44" s="41" t="str">
        <f>IFERROR(__xludf.DUMMYFUNCTION("IF(COUNTA(J44:N44)=0, """", ARRAYFORMULA(""- ""&amp;TEXTJOIN(char(10)&amp;""- "", TRUE, FILTER(J$1:N$1&amp;"": ""&amp;J44:N44, NOT(ISBLANK(J44:N44))))))"),"")</f>
        <v/>
      </c>
      <c r="P44" s="41" t="s">
        <v>414</v>
      </c>
      <c r="Q44" s="43" t="b">
        <v>1</v>
      </c>
    </row>
    <row r="45">
      <c r="A45" s="31" t="s">
        <v>248</v>
      </c>
      <c r="B45" s="31" t="s">
        <v>249</v>
      </c>
      <c r="C45" s="39"/>
      <c r="D45" s="40" t="b">
        <f t="shared" ref="D45:H45" si="88">VLOOKUP($A45, INDIRECT(D$1&amp;"!B:D"), 3, FALSE)</f>
        <v>0</v>
      </c>
      <c r="E45" s="40" t="str">
        <f t="shared" si="88"/>
        <v>TO DO</v>
      </c>
      <c r="F45" s="40" t="str">
        <f t="shared" si="88"/>
        <v>TO DO</v>
      </c>
      <c r="G45" s="40" t="b">
        <f t="shared" si="88"/>
        <v>0</v>
      </c>
      <c r="H45" s="40" t="b">
        <f t="shared" si="88"/>
        <v>0</v>
      </c>
      <c r="I45" s="41">
        <f t="shared" si="4"/>
        <v>1</v>
      </c>
      <c r="J45" s="42" t="str">
        <f t="shared" ref="J45:N45" si="89">VLOOKUP($A45, INDIRECT(J$1&amp;"!B:E"), 4, FALSE)</f>
        <v/>
      </c>
      <c r="K45" s="42" t="str">
        <f t="shared" si="89"/>
        <v/>
      </c>
      <c r="L45" s="42" t="str">
        <f t="shared" si="89"/>
        <v/>
      </c>
      <c r="M45" s="42" t="str">
        <f t="shared" si="89"/>
        <v/>
      </c>
      <c r="N45" s="42" t="str">
        <f t="shared" si="89"/>
        <v>somehow linked to health services but not clear what exactly is referred to here</v>
      </c>
      <c r="O45" s="41" t="str">
        <f>IFERROR(__xludf.DUMMYFUNCTION("IF(COUNTA(J45:N45)=0, """", ARRAYFORMULA(""- ""&amp;TEXTJOIN(char(10)&amp;""- "", TRUE, FILTER(J$1:N$1&amp;"": ""&amp;J45:N45, NOT(ISBLANK(J45:N45))))))"),"- Steve: somehow linked to health services but not clear what exactly is referred to here")</f>
        <v>- Steve: somehow linked to health services but not clear what exactly is referred to here</v>
      </c>
      <c r="P45" s="41" t="s">
        <v>434</v>
      </c>
      <c r="Q45" s="43" t="b">
        <v>0</v>
      </c>
    </row>
    <row r="46">
      <c r="A46" s="31" t="s">
        <v>285</v>
      </c>
      <c r="B46" s="31" t="s">
        <v>286</v>
      </c>
      <c r="C46" s="40"/>
      <c r="D46" s="40" t="b">
        <f t="shared" ref="D46:H46" si="90">VLOOKUP($A46, INDIRECT(D$1&amp;"!B:D"), 3, FALSE)</f>
        <v>1</v>
      </c>
      <c r="E46" s="40" t="str">
        <f t="shared" si="90"/>
        <v>TO DO</v>
      </c>
      <c r="F46" s="40" t="str">
        <f t="shared" si="90"/>
        <v>TO DO</v>
      </c>
      <c r="G46" s="40" t="b">
        <f t="shared" si="90"/>
        <v>1</v>
      </c>
      <c r="H46" s="40" t="b">
        <f t="shared" si="90"/>
        <v>1</v>
      </c>
      <c r="I46" s="41">
        <f t="shared" si="4"/>
        <v>1</v>
      </c>
      <c r="J46" s="42" t="str">
        <f t="shared" ref="J46:N46" si="91">VLOOKUP($A46, INDIRECT(J$1&amp;"!B:E"), 4, FALSE)</f>
        <v/>
      </c>
      <c r="K46" s="42" t="str">
        <f t="shared" si="91"/>
        <v/>
      </c>
      <c r="L46" s="42" t="str">
        <f t="shared" si="91"/>
        <v/>
      </c>
      <c r="M46" s="42" t="str">
        <f t="shared" si="91"/>
        <v>affordable health care</v>
      </c>
      <c r="N46" s="42" t="str">
        <f t="shared" si="91"/>
        <v/>
      </c>
      <c r="O46" s="41" t="str">
        <f>IFERROR(__xludf.DUMMYFUNCTION("IF(COUNTA(J46:N46)=0, """", ARRAYFORMULA(""- ""&amp;TEXTJOIN(char(10)&amp;""- "", TRUE, FILTER(J$1:N$1&amp;"": ""&amp;J46:N46, NOT(ISBLANK(J46:N46))))))"),"- Meike: affordable health care")</f>
        <v>- Meike: affordable health care</v>
      </c>
      <c r="P46" s="41" t="s">
        <v>435</v>
      </c>
      <c r="Q46" s="43" t="b">
        <v>1</v>
      </c>
    </row>
    <row r="47">
      <c r="A47" s="31" t="s">
        <v>82</v>
      </c>
      <c r="B47" s="31" t="s">
        <v>83</v>
      </c>
      <c r="C47" s="7" t="s">
        <v>404</v>
      </c>
      <c r="D47" s="40" t="b">
        <f t="shared" ref="D47:H47" si="92">VLOOKUP($A47, INDIRECT(D$1&amp;"!B:D"), 3, FALSE)</f>
        <v>1</v>
      </c>
      <c r="E47" s="40" t="str">
        <f t="shared" si="92"/>
        <v>TO DO</v>
      </c>
      <c r="F47" s="40" t="str">
        <f t="shared" si="92"/>
        <v>TO DO</v>
      </c>
      <c r="G47" s="40" t="b">
        <f t="shared" si="92"/>
        <v>0</v>
      </c>
      <c r="H47" s="40" t="b">
        <f t="shared" si="92"/>
        <v>1</v>
      </c>
      <c r="I47" s="41">
        <f t="shared" si="4"/>
        <v>0.3333333333</v>
      </c>
      <c r="J47" s="42" t="str">
        <f t="shared" ref="J47:N47" si="93">VLOOKUP($A47, INDIRECT(J$1&amp;"!B:E"), 4, FALSE)</f>
        <v>affordability, target 3.8</v>
      </c>
      <c r="K47" s="42" t="str">
        <f t="shared" si="93"/>
        <v/>
      </c>
      <c r="L47" s="42" t="str">
        <f t="shared" si="93"/>
        <v/>
      </c>
      <c r="M47" s="42" t="str">
        <f t="shared" si="93"/>
        <v/>
      </c>
      <c r="N47" s="42" t="str">
        <f t="shared" si="93"/>
        <v/>
      </c>
      <c r="O47" s="41" t="str">
        <f>IFERROR(__xludf.DUMMYFUNCTION("IF(COUNTA(J47:N47)=0, """", ARRAYFORMULA(""- ""&amp;TEXTJOIN(char(10)&amp;""- "", TRUE, FILTER(J$1:N$1&amp;"": ""&amp;J47:N47, NOT(ISBLANK(J47:N47))))))"),"- Finn: affordability, target 3.8")</f>
        <v>- Finn: affordability, target 3.8</v>
      </c>
      <c r="P47" s="41" t="s">
        <v>436</v>
      </c>
      <c r="Q47" s="43" t="s">
        <v>407</v>
      </c>
    </row>
    <row r="48">
      <c r="A48" s="31" t="s">
        <v>339</v>
      </c>
      <c r="B48" s="31" t="s">
        <v>340</v>
      </c>
      <c r="C48" s="39"/>
      <c r="D48" s="40" t="b">
        <f t="shared" ref="D48:H48" si="94">VLOOKUP($A48, INDIRECT(D$1&amp;"!B:D"), 3, FALSE)</f>
        <v>1</v>
      </c>
      <c r="E48" s="40" t="str">
        <f t="shared" si="94"/>
        <v>TO DO</v>
      </c>
      <c r="F48" s="40" t="str">
        <f t="shared" si="94"/>
        <v>TO DO</v>
      </c>
      <c r="G48" s="40" t="b">
        <f t="shared" si="94"/>
        <v>1</v>
      </c>
      <c r="H48" s="40" t="b">
        <f t="shared" si="94"/>
        <v>1</v>
      </c>
      <c r="I48" s="41">
        <f t="shared" si="4"/>
        <v>1</v>
      </c>
      <c r="J48" s="42" t="str">
        <f t="shared" ref="J48:N48" si="95">VLOOKUP($A48, INDIRECT(J$1&amp;"!B:E"), 4, FALSE)</f>
        <v/>
      </c>
      <c r="K48" s="42" t="str">
        <f t="shared" si="95"/>
        <v/>
      </c>
      <c r="L48" s="42" t="str">
        <f t="shared" si="95"/>
        <v/>
      </c>
      <c r="M48" s="42" t="str">
        <f t="shared" si="95"/>
        <v>facts, not describing how to reduce</v>
      </c>
      <c r="N48" s="42">
        <f t="shared" si="95"/>
        <v>3.2</v>
      </c>
      <c r="O48" s="41" t="str">
        <f>IFERROR(__xludf.DUMMYFUNCTION("IF(COUNTA(J48:N48)=0, """", ARRAYFORMULA(""- ""&amp;TEXTJOIN(char(10)&amp;""- "", TRUE, FILTER(J$1:N$1&amp;"": ""&amp;J48:N48, NOT(ISBLANK(J48:N48))))))"),"- Meike: facts, not describing how to reduce
- Steve: 3.2")</f>
        <v>- Meike: facts, not describing how to reduce
- Steve: 3.2</v>
      </c>
      <c r="P48" s="41" t="s">
        <v>437</v>
      </c>
      <c r="Q48" s="43" t="b">
        <v>1</v>
      </c>
    </row>
    <row r="49">
      <c r="A49" s="31" t="s">
        <v>337</v>
      </c>
      <c r="B49" s="31" t="s">
        <v>338</v>
      </c>
      <c r="C49" s="7" t="s">
        <v>404</v>
      </c>
      <c r="D49" s="40" t="b">
        <f t="shared" ref="D49:H49" si="96">VLOOKUP($A49, INDIRECT(D$1&amp;"!B:D"), 3, FALSE)</f>
        <v>1</v>
      </c>
      <c r="E49" s="40" t="str">
        <f t="shared" si="96"/>
        <v>TO DO</v>
      </c>
      <c r="F49" s="40" t="str">
        <f t="shared" si="96"/>
        <v>TO DO</v>
      </c>
      <c r="G49" s="40" t="b">
        <f t="shared" si="96"/>
        <v>0</v>
      </c>
      <c r="H49" s="40" t="b">
        <f t="shared" si="96"/>
        <v>1</v>
      </c>
      <c r="I49" s="41">
        <f t="shared" si="4"/>
        <v>0.3333333333</v>
      </c>
      <c r="J49" s="42" t="str">
        <f t="shared" ref="J49:N49" si="97">VLOOKUP($A49, INDIRECT(J$1&amp;"!B:E"), 4, FALSE)</f>
        <v/>
      </c>
      <c r="K49" s="42" t="str">
        <f t="shared" si="97"/>
        <v/>
      </c>
      <c r="L49" s="42" t="str">
        <f t="shared" si="97"/>
        <v/>
      </c>
      <c r="M49" s="42" t="str">
        <f t="shared" si="97"/>
        <v/>
      </c>
      <c r="N49" s="42" t="str">
        <f t="shared" si="97"/>
        <v/>
      </c>
      <c r="O49" s="41" t="str">
        <f>IFERROR(__xludf.DUMMYFUNCTION("IF(COUNTA(J49:N49)=0, """", ARRAYFORMULA(""- ""&amp;TEXTJOIN(char(10)&amp;""- "", TRUE, FILTER(J$1:N$1&amp;"": ""&amp;J49:N49, NOT(ISBLANK(J49:N49))))))"),"")</f>
        <v/>
      </c>
      <c r="P49" s="41" t="s">
        <v>414</v>
      </c>
      <c r="Q49" s="43" t="s">
        <v>407</v>
      </c>
    </row>
    <row r="50">
      <c r="A50" s="31" t="s">
        <v>194</v>
      </c>
      <c r="B50" s="31" t="s">
        <v>195</v>
      </c>
      <c r="C50" s="40"/>
      <c r="D50" s="40" t="b">
        <f t="shared" ref="D50:H50" si="98">VLOOKUP($A50, INDIRECT(D$1&amp;"!B:D"), 3, FALSE)</f>
        <v>0</v>
      </c>
      <c r="E50" s="40" t="str">
        <f t="shared" si="98"/>
        <v>TO DO</v>
      </c>
      <c r="F50" s="40" t="str">
        <f t="shared" si="98"/>
        <v>TO DO</v>
      </c>
      <c r="G50" s="40" t="b">
        <f t="shared" si="98"/>
        <v>0</v>
      </c>
      <c r="H50" s="40" t="b">
        <f t="shared" si="98"/>
        <v>0</v>
      </c>
      <c r="I50" s="41">
        <f t="shared" si="4"/>
        <v>1</v>
      </c>
      <c r="J50" s="42" t="str">
        <f t="shared" ref="J50:N50" si="99">VLOOKUP($A50, INDIRECT(J$1&amp;"!B:E"), 4, FALSE)</f>
        <v/>
      </c>
      <c r="K50" s="42" t="str">
        <f t="shared" si="99"/>
        <v/>
      </c>
      <c r="L50" s="42" t="str">
        <f t="shared" si="99"/>
        <v/>
      </c>
      <c r="M50" s="42" t="str">
        <f t="shared" si="99"/>
        <v/>
      </c>
      <c r="N50" s="42" t="str">
        <f t="shared" si="99"/>
        <v/>
      </c>
      <c r="O50" s="41" t="str">
        <f>IFERROR(__xludf.DUMMYFUNCTION("IF(COUNTA(J50:N50)=0, """", ARRAYFORMULA(""- ""&amp;TEXTJOIN(char(10)&amp;""- "", TRUE, FILTER(J$1:N$1&amp;"": ""&amp;J50:N50, NOT(ISBLANK(J50:N50))))))"),"")</f>
        <v/>
      </c>
      <c r="P50" s="41" t="s">
        <v>414</v>
      </c>
      <c r="Q50" s="43" t="b">
        <v>0</v>
      </c>
    </row>
    <row r="51">
      <c r="A51" s="31" t="s">
        <v>160</v>
      </c>
      <c r="B51" s="31" t="s">
        <v>161</v>
      </c>
      <c r="C51" s="39"/>
      <c r="D51" s="40" t="b">
        <f t="shared" ref="D51:H51" si="100">VLOOKUP($A51, INDIRECT(D$1&amp;"!B:D"), 3, FALSE)</f>
        <v>1</v>
      </c>
      <c r="E51" s="40" t="str">
        <f t="shared" si="100"/>
        <v>TO DO</v>
      </c>
      <c r="F51" s="40" t="str">
        <f t="shared" si="100"/>
        <v>TO DO</v>
      </c>
      <c r="G51" s="40" t="b">
        <f t="shared" si="100"/>
        <v>1</v>
      </c>
      <c r="H51" s="40" t="b">
        <f t="shared" si="100"/>
        <v>1</v>
      </c>
      <c r="I51" s="41">
        <f t="shared" si="4"/>
        <v>1</v>
      </c>
      <c r="J51" s="42" t="str">
        <f t="shared" ref="J51:N51" si="101">VLOOKUP($A51, INDIRECT(J$1&amp;"!B:E"), 4, FALSE)</f>
        <v/>
      </c>
      <c r="K51" s="42" t="str">
        <f t="shared" si="101"/>
        <v/>
      </c>
      <c r="L51" s="42" t="str">
        <f t="shared" si="101"/>
        <v/>
      </c>
      <c r="M51" s="42" t="str">
        <f t="shared" si="101"/>
        <v/>
      </c>
      <c r="N51" s="42" t="str">
        <f t="shared" si="101"/>
        <v/>
      </c>
      <c r="O51" s="41" t="str">
        <f>IFERROR(__xludf.DUMMYFUNCTION("IF(COUNTA(J51:N51)=0, """", ARRAYFORMULA(""- ""&amp;TEXTJOIN(char(10)&amp;""- "", TRUE, FILTER(J$1:N$1&amp;"": ""&amp;J51:N51, NOT(ISBLANK(J51:N51))))))"),"")</f>
        <v/>
      </c>
      <c r="P51" s="41" t="s">
        <v>414</v>
      </c>
      <c r="Q51" s="43" t="b">
        <v>1</v>
      </c>
    </row>
    <row r="52">
      <c r="A52" s="31" t="s">
        <v>177</v>
      </c>
      <c r="B52" s="31" t="s">
        <v>178</v>
      </c>
      <c r="C52" s="40"/>
      <c r="D52" s="40" t="b">
        <f t="shared" ref="D52:H52" si="102">VLOOKUP($A52, INDIRECT(D$1&amp;"!B:D"), 3, FALSE)</f>
        <v>1</v>
      </c>
      <c r="E52" s="40" t="str">
        <f t="shared" si="102"/>
        <v>TO DO</v>
      </c>
      <c r="F52" s="40" t="str">
        <f t="shared" si="102"/>
        <v>TO DO</v>
      </c>
      <c r="G52" s="40" t="b">
        <f t="shared" si="102"/>
        <v>1</v>
      </c>
      <c r="H52" s="40" t="b">
        <f t="shared" si="102"/>
        <v>1</v>
      </c>
      <c r="I52" s="41">
        <f t="shared" si="4"/>
        <v>1</v>
      </c>
      <c r="J52" s="42" t="str">
        <f t="shared" ref="J52:N52" si="103">VLOOKUP($A52, INDIRECT(J$1&amp;"!B:E"), 4, FALSE)</f>
        <v/>
      </c>
      <c r="K52" s="42" t="str">
        <f t="shared" si="103"/>
        <v/>
      </c>
      <c r="L52" s="42" t="str">
        <f t="shared" si="103"/>
        <v/>
      </c>
      <c r="M52" s="42" t="str">
        <f t="shared" si="103"/>
        <v/>
      </c>
      <c r="N52" s="42" t="str">
        <f t="shared" si="103"/>
        <v>3.5 on substance abuse</v>
      </c>
      <c r="O52" s="41" t="str">
        <f>IFERROR(__xludf.DUMMYFUNCTION("IF(COUNTA(J52:N52)=0, """", ARRAYFORMULA(""- ""&amp;TEXTJOIN(char(10)&amp;""- "", TRUE, FILTER(J$1:N$1&amp;"": ""&amp;J52:N52, NOT(ISBLANK(J52:N52))))))"),"- Steve: 3.5 on substance abuse")</f>
        <v>- Steve: 3.5 on substance abuse</v>
      </c>
      <c r="P52" s="41" t="s">
        <v>438</v>
      </c>
      <c r="Q52" s="43" t="b">
        <v>1</v>
      </c>
    </row>
    <row r="53">
      <c r="A53" s="31" t="s">
        <v>189</v>
      </c>
      <c r="B53" s="31" t="s">
        <v>190</v>
      </c>
      <c r="C53" s="7" t="s">
        <v>415</v>
      </c>
      <c r="D53" s="40" t="b">
        <f t="shared" ref="D53:H53" si="104">VLOOKUP($A53, INDIRECT(D$1&amp;"!B:D"), 3, FALSE)</f>
        <v>0</v>
      </c>
      <c r="E53" s="40" t="str">
        <f t="shared" si="104"/>
        <v>TO DO</v>
      </c>
      <c r="F53" s="40" t="str">
        <f t="shared" si="104"/>
        <v>TO DO</v>
      </c>
      <c r="G53" s="40" t="b">
        <f t="shared" si="104"/>
        <v>1</v>
      </c>
      <c r="H53" s="40" t="b">
        <f t="shared" si="104"/>
        <v>0</v>
      </c>
      <c r="I53" s="41">
        <f t="shared" si="4"/>
        <v>0.3333333333</v>
      </c>
      <c r="J53" s="42" t="str">
        <f t="shared" ref="J53:N53" si="105">VLOOKUP($A53, INDIRECT(J$1&amp;"!B:E"), 4, FALSE)</f>
        <v/>
      </c>
      <c r="K53" s="42" t="str">
        <f t="shared" si="105"/>
        <v/>
      </c>
      <c r="L53" s="42" t="str">
        <f t="shared" si="105"/>
        <v/>
      </c>
      <c r="M53" s="42" t="str">
        <f t="shared" si="105"/>
        <v/>
      </c>
      <c r="N53" s="42" t="str">
        <f t="shared" si="105"/>
        <v/>
      </c>
      <c r="O53" s="41" t="str">
        <f>IFERROR(__xludf.DUMMYFUNCTION("IF(COUNTA(J53:N53)=0, """", ARRAYFORMULA(""- ""&amp;TEXTJOIN(char(10)&amp;""- "", TRUE, FILTER(J$1:N$1&amp;"": ""&amp;J53:N53, NOT(ISBLANK(J53:N53))))))"),"")</f>
        <v/>
      </c>
      <c r="P53" s="41" t="s">
        <v>414</v>
      </c>
      <c r="Q53" s="43" t="s">
        <v>407</v>
      </c>
    </row>
    <row r="54">
      <c r="A54" s="31" t="s">
        <v>302</v>
      </c>
      <c r="B54" s="31" t="s">
        <v>303</v>
      </c>
      <c r="C54" s="40"/>
      <c r="D54" s="40" t="b">
        <f t="shared" ref="D54:H54" si="106">VLOOKUP($A54, INDIRECT(D$1&amp;"!B:D"), 3, FALSE)</f>
        <v>1</v>
      </c>
      <c r="E54" s="40" t="str">
        <f t="shared" si="106"/>
        <v>TO DO</v>
      </c>
      <c r="F54" s="40" t="str">
        <f t="shared" si="106"/>
        <v>TO DO</v>
      </c>
      <c r="G54" s="40" t="b">
        <f t="shared" si="106"/>
        <v>1</v>
      </c>
      <c r="H54" s="40" t="b">
        <f t="shared" si="106"/>
        <v>1</v>
      </c>
      <c r="I54" s="41">
        <f t="shared" si="4"/>
        <v>1</v>
      </c>
      <c r="J54" s="42" t="str">
        <f t="shared" ref="J54:N54" si="107">VLOOKUP($A54, INDIRECT(J$1&amp;"!B:E"), 4, FALSE)</f>
        <v/>
      </c>
      <c r="K54" s="42" t="str">
        <f t="shared" si="107"/>
        <v/>
      </c>
      <c r="L54" s="42" t="str">
        <f t="shared" si="107"/>
        <v/>
      </c>
      <c r="M54" s="42" t="str">
        <f t="shared" si="107"/>
        <v/>
      </c>
      <c r="N54" s="42" t="str">
        <f t="shared" si="107"/>
        <v/>
      </c>
      <c r="O54" s="41" t="str">
        <f>IFERROR(__xludf.DUMMYFUNCTION("IF(COUNTA(J54:N54)=0, """", ARRAYFORMULA(""- ""&amp;TEXTJOIN(char(10)&amp;""- "", TRUE, FILTER(J$1:N$1&amp;"": ""&amp;J54:N54, NOT(ISBLANK(J54:N54))))))"),"")</f>
        <v/>
      </c>
      <c r="P54" s="41" t="s">
        <v>414</v>
      </c>
      <c r="Q54" s="43" t="b">
        <v>1</v>
      </c>
    </row>
    <row r="55">
      <c r="A55" s="31" t="s">
        <v>266</v>
      </c>
      <c r="B55" s="31" t="s">
        <v>267</v>
      </c>
      <c r="C55" s="40"/>
      <c r="D55" s="40" t="b">
        <f t="shared" ref="D55:H55" si="108">VLOOKUP($A55, INDIRECT(D$1&amp;"!B:D"), 3, FALSE)</f>
        <v>1</v>
      </c>
      <c r="E55" s="40" t="str">
        <f t="shared" si="108"/>
        <v>TO DO</v>
      </c>
      <c r="F55" s="40" t="str">
        <f t="shared" si="108"/>
        <v>TO DO</v>
      </c>
      <c r="G55" s="40" t="b">
        <f t="shared" si="108"/>
        <v>1</v>
      </c>
      <c r="H55" s="40" t="b">
        <f t="shared" si="108"/>
        <v>1</v>
      </c>
      <c r="I55" s="41">
        <f t="shared" si="4"/>
        <v>1</v>
      </c>
      <c r="J55" s="42" t="str">
        <f t="shared" ref="J55:N55" si="109">VLOOKUP($A55, INDIRECT(J$1&amp;"!B:E"), 4, FALSE)</f>
        <v/>
      </c>
      <c r="K55" s="42" t="str">
        <f t="shared" si="109"/>
        <v/>
      </c>
      <c r="L55" s="42" t="str">
        <f t="shared" si="109"/>
        <v/>
      </c>
      <c r="M55" s="42" t="str">
        <f t="shared" si="109"/>
        <v>not really about how to reduce these diseases</v>
      </c>
      <c r="N55" s="42" t="str">
        <f t="shared" si="109"/>
        <v>NCDs (3.4)</v>
      </c>
      <c r="O55" s="41" t="str">
        <f>IFERROR(__xludf.DUMMYFUNCTION("IF(COUNTA(J55:N55)=0, """", ARRAYFORMULA(""- ""&amp;TEXTJOIN(char(10)&amp;""- "", TRUE, FILTER(J$1:N$1&amp;"": ""&amp;J55:N55, NOT(ISBLANK(J55:N55))))))"),"- Meike: not really about how to reduce these diseases
- Steve: NCDs (3.4)")</f>
        <v>- Meike: not really about how to reduce these diseases
- Steve: NCDs (3.4)</v>
      </c>
      <c r="P55" s="41" t="s">
        <v>439</v>
      </c>
      <c r="Q55" s="43" t="b">
        <v>1</v>
      </c>
    </row>
    <row r="56">
      <c r="A56" s="31" t="s">
        <v>254</v>
      </c>
      <c r="B56" s="31" t="s">
        <v>255</v>
      </c>
      <c r="C56" s="39"/>
      <c r="D56" s="40" t="b">
        <f t="shared" ref="D56:H56" si="110">VLOOKUP($A56, INDIRECT(D$1&amp;"!B:D"), 3, FALSE)</f>
        <v>0</v>
      </c>
      <c r="E56" s="40" t="str">
        <f t="shared" si="110"/>
        <v>TO DO</v>
      </c>
      <c r="F56" s="40" t="str">
        <f t="shared" si="110"/>
        <v>TO DO</v>
      </c>
      <c r="G56" s="40" t="b">
        <f t="shared" si="110"/>
        <v>0</v>
      </c>
      <c r="H56" s="40" t="b">
        <f t="shared" si="110"/>
        <v>0</v>
      </c>
      <c r="I56" s="41">
        <f t="shared" si="4"/>
        <v>1</v>
      </c>
      <c r="J56" s="42" t="str">
        <f t="shared" ref="J56:N56" si="111">VLOOKUP($A56, INDIRECT(J$1&amp;"!B:E"), 4, FALSE)</f>
        <v/>
      </c>
      <c r="K56" s="42" t="str">
        <f t="shared" si="111"/>
        <v/>
      </c>
      <c r="L56" s="42" t="str">
        <f t="shared" si="111"/>
        <v/>
      </c>
      <c r="M56" s="42" t="str">
        <f t="shared" si="111"/>
        <v/>
      </c>
      <c r="N56" s="42" t="str">
        <f t="shared" si="111"/>
        <v/>
      </c>
      <c r="O56" s="41" t="str">
        <f>IFERROR(__xludf.DUMMYFUNCTION("IF(COUNTA(J56:N56)=0, """", ARRAYFORMULA(""- ""&amp;TEXTJOIN(char(10)&amp;""- "", TRUE, FILTER(J$1:N$1&amp;"": ""&amp;J56:N56, NOT(ISBLANK(J56:N56))))))"),"")</f>
        <v/>
      </c>
      <c r="P56" s="41" t="s">
        <v>414</v>
      </c>
      <c r="Q56" s="43" t="b">
        <v>0</v>
      </c>
    </row>
    <row r="57">
      <c r="A57" s="31" t="s">
        <v>198</v>
      </c>
      <c r="B57" s="31" t="s">
        <v>199</v>
      </c>
      <c r="C57" s="39"/>
      <c r="D57" s="40" t="b">
        <f t="shared" ref="D57:H57" si="112">VLOOKUP($A57, INDIRECT(D$1&amp;"!B:D"), 3, FALSE)</f>
        <v>0</v>
      </c>
      <c r="E57" s="40" t="str">
        <f t="shared" si="112"/>
        <v>TO DO</v>
      </c>
      <c r="F57" s="40" t="str">
        <f t="shared" si="112"/>
        <v>TO DO</v>
      </c>
      <c r="G57" s="40" t="b">
        <f t="shared" si="112"/>
        <v>0</v>
      </c>
      <c r="H57" s="40" t="b">
        <f t="shared" si="112"/>
        <v>0</v>
      </c>
      <c r="I57" s="41">
        <f t="shared" si="4"/>
        <v>1</v>
      </c>
      <c r="J57" s="42" t="str">
        <f t="shared" ref="J57:N57" si="113">VLOOKUP($A57, INDIRECT(J$1&amp;"!B:E"), 4, FALSE)</f>
        <v/>
      </c>
      <c r="K57" s="42" t="str">
        <f t="shared" si="113"/>
        <v/>
      </c>
      <c r="L57" s="42" t="str">
        <f t="shared" si="113"/>
        <v/>
      </c>
      <c r="M57" s="42" t="str">
        <f t="shared" si="113"/>
        <v/>
      </c>
      <c r="N57" s="42" t="str">
        <f t="shared" si="113"/>
        <v/>
      </c>
      <c r="O57" s="41" t="str">
        <f>IFERROR(__xludf.DUMMYFUNCTION("IF(COUNTA(J57:N57)=0, """", ARRAYFORMULA(""- ""&amp;TEXTJOIN(char(10)&amp;""- "", TRUE, FILTER(J$1:N$1&amp;"": ""&amp;J57:N57, NOT(ISBLANK(J57:N57))))))"),"")</f>
        <v/>
      </c>
      <c r="P57" s="41" t="s">
        <v>414</v>
      </c>
      <c r="Q57" s="43" t="b">
        <v>0</v>
      </c>
    </row>
    <row r="58">
      <c r="A58" s="31" t="s">
        <v>245</v>
      </c>
      <c r="B58" s="31" t="s">
        <v>246</v>
      </c>
      <c r="C58" s="7" t="s">
        <v>415</v>
      </c>
      <c r="D58" s="40" t="b">
        <f t="shared" ref="D58:H58" si="114">VLOOKUP($A58, INDIRECT(D$1&amp;"!B:D"), 3, FALSE)</f>
        <v>0</v>
      </c>
      <c r="E58" s="40" t="str">
        <f t="shared" si="114"/>
        <v>TO DO</v>
      </c>
      <c r="F58" s="40" t="str">
        <f t="shared" si="114"/>
        <v>TO DO</v>
      </c>
      <c r="G58" s="40" t="b">
        <f t="shared" si="114"/>
        <v>1</v>
      </c>
      <c r="H58" s="40" t="b">
        <f t="shared" si="114"/>
        <v>0</v>
      </c>
      <c r="I58" s="41">
        <f t="shared" si="4"/>
        <v>0.3333333333</v>
      </c>
      <c r="J58" s="42" t="str">
        <f t="shared" ref="J58:N58" si="115">VLOOKUP($A58, INDIRECT(J$1&amp;"!B:E"), 4, FALSE)</f>
        <v/>
      </c>
      <c r="K58" s="42" t="str">
        <f t="shared" si="115"/>
        <v/>
      </c>
      <c r="L58" s="42" t="str">
        <f t="shared" si="115"/>
        <v/>
      </c>
      <c r="M58" s="42" t="str">
        <f t="shared" si="115"/>
        <v/>
      </c>
      <c r="N58" s="42" t="str">
        <f t="shared" si="115"/>
        <v/>
      </c>
      <c r="O58" s="41" t="str">
        <f>IFERROR(__xludf.DUMMYFUNCTION("IF(COUNTA(J58:N58)=0, """", ARRAYFORMULA(""- ""&amp;TEXTJOIN(char(10)&amp;""- "", TRUE, FILTER(J$1:N$1&amp;"": ""&amp;J58:N58, NOT(ISBLANK(J58:N58))))))"),"")</f>
        <v/>
      </c>
      <c r="P58" s="41" t="s">
        <v>414</v>
      </c>
      <c r="Q58" s="43" t="s">
        <v>407</v>
      </c>
    </row>
    <row r="59">
      <c r="A59" s="31" t="s">
        <v>331</v>
      </c>
      <c r="B59" s="31" t="s">
        <v>332</v>
      </c>
      <c r="C59" s="40"/>
      <c r="D59" s="40" t="b">
        <f t="shared" ref="D59:H59" si="116">VLOOKUP($A59, INDIRECT(D$1&amp;"!B:D"), 3, FALSE)</f>
        <v>1</v>
      </c>
      <c r="E59" s="40" t="str">
        <f t="shared" si="116"/>
        <v>TO DO</v>
      </c>
      <c r="F59" s="40" t="str">
        <f t="shared" si="116"/>
        <v>TO DO</v>
      </c>
      <c r="G59" s="40" t="b">
        <f t="shared" si="116"/>
        <v>1</v>
      </c>
      <c r="H59" s="40" t="b">
        <f t="shared" si="116"/>
        <v>1</v>
      </c>
      <c r="I59" s="41">
        <f t="shared" si="4"/>
        <v>1</v>
      </c>
      <c r="J59" s="42" t="str">
        <f t="shared" ref="J59:N59" si="117">VLOOKUP($A59, INDIRECT(J$1&amp;"!B:E"), 4, FALSE)</f>
        <v/>
      </c>
      <c r="K59" s="42" t="str">
        <f t="shared" si="117"/>
        <v/>
      </c>
      <c r="L59" s="42" t="str">
        <f t="shared" si="117"/>
        <v/>
      </c>
      <c r="M59" s="42" t="str">
        <f t="shared" si="117"/>
        <v>not explicitly about how to reduce mortality</v>
      </c>
      <c r="N59" s="42" t="str">
        <f t="shared" si="117"/>
        <v/>
      </c>
      <c r="O59" s="41" t="str">
        <f>IFERROR(__xludf.DUMMYFUNCTION("IF(COUNTA(J59:N59)=0, """", ARRAYFORMULA(""- ""&amp;TEXTJOIN(char(10)&amp;""- "", TRUE, FILTER(J$1:N$1&amp;"": ""&amp;J59:N59, NOT(ISBLANK(J59:N59))))))"),"- Meike: not explicitly about how to reduce mortality")</f>
        <v>- Meike: not explicitly about how to reduce mortality</v>
      </c>
      <c r="P59" s="41" t="s">
        <v>440</v>
      </c>
      <c r="Q59" s="43" t="b">
        <v>1</v>
      </c>
    </row>
    <row r="60">
      <c r="A60" s="31" t="s">
        <v>263</v>
      </c>
      <c r="B60" s="31" t="s">
        <v>264</v>
      </c>
      <c r="C60" s="7" t="s">
        <v>415</v>
      </c>
      <c r="D60" s="40" t="b">
        <f t="shared" ref="D60:H60" si="118">VLOOKUP($A60, INDIRECT(D$1&amp;"!B:D"), 3, FALSE)</f>
        <v>0</v>
      </c>
      <c r="E60" s="40" t="str">
        <f t="shared" si="118"/>
        <v>TO DO</v>
      </c>
      <c r="F60" s="40" t="str">
        <f t="shared" si="118"/>
        <v>TO DO</v>
      </c>
      <c r="G60" s="40" t="b">
        <f t="shared" si="118"/>
        <v>1</v>
      </c>
      <c r="H60" s="40" t="b">
        <f t="shared" si="118"/>
        <v>0</v>
      </c>
      <c r="I60" s="41">
        <f t="shared" si="4"/>
        <v>0.3333333333</v>
      </c>
      <c r="J60" s="42" t="str">
        <f t="shared" ref="J60:N60" si="119">VLOOKUP($A60, INDIRECT(J$1&amp;"!B:E"), 4, FALSE)</f>
        <v/>
      </c>
      <c r="K60" s="42" t="str">
        <f t="shared" si="119"/>
        <v/>
      </c>
      <c r="L60" s="42" t="str">
        <f t="shared" si="119"/>
        <v/>
      </c>
      <c r="M60" s="42" t="str">
        <f t="shared" si="119"/>
        <v/>
      </c>
      <c r="N60" s="42" t="str">
        <f t="shared" si="119"/>
        <v/>
      </c>
      <c r="O60" s="41" t="str">
        <f>IFERROR(__xludf.DUMMYFUNCTION("IF(COUNTA(J60:N60)=0, """", ARRAYFORMULA(""- ""&amp;TEXTJOIN(char(10)&amp;""- "", TRUE, FILTER(J$1:N$1&amp;"": ""&amp;J60:N60, NOT(ISBLANK(J60:N60))))))"),"")</f>
        <v/>
      </c>
      <c r="P60" s="41" t="s">
        <v>414</v>
      </c>
      <c r="Q60" s="43" t="s">
        <v>407</v>
      </c>
    </row>
    <row r="61">
      <c r="A61" s="31" t="s">
        <v>230</v>
      </c>
      <c r="B61" s="31" t="s">
        <v>231</v>
      </c>
      <c r="C61" s="40"/>
      <c r="D61" s="40" t="b">
        <f t="shared" ref="D61:H61" si="120">VLOOKUP($A61, INDIRECT(D$1&amp;"!B:D"), 3, FALSE)</f>
        <v>1</v>
      </c>
      <c r="E61" s="40" t="str">
        <f t="shared" si="120"/>
        <v>TO DO</v>
      </c>
      <c r="F61" s="40" t="str">
        <f t="shared" si="120"/>
        <v>TO DO</v>
      </c>
      <c r="G61" s="40" t="b">
        <f t="shared" si="120"/>
        <v>1</v>
      </c>
      <c r="H61" s="40" t="b">
        <f t="shared" si="120"/>
        <v>1</v>
      </c>
      <c r="I61" s="41">
        <f t="shared" si="4"/>
        <v>1</v>
      </c>
      <c r="J61" s="42" t="str">
        <f t="shared" ref="J61:N61" si="121">VLOOKUP($A61, INDIRECT(J$1&amp;"!B:E"), 4, FALSE)</f>
        <v/>
      </c>
      <c r="K61" s="42" t="str">
        <f t="shared" si="121"/>
        <v/>
      </c>
      <c r="L61" s="42" t="str">
        <f t="shared" si="121"/>
        <v/>
      </c>
      <c r="M61" s="42" t="str">
        <f t="shared" si="121"/>
        <v/>
      </c>
      <c r="N61" s="42" t="str">
        <f t="shared" si="121"/>
        <v/>
      </c>
      <c r="O61" s="41" t="str">
        <f>IFERROR(__xludf.DUMMYFUNCTION("IF(COUNTA(J61:N61)=0, """", ARRAYFORMULA(""- ""&amp;TEXTJOIN(char(10)&amp;""- "", TRUE, FILTER(J$1:N$1&amp;"": ""&amp;J61:N61, NOT(ISBLANK(J61:N61))))))"),"")</f>
        <v/>
      </c>
      <c r="P61" s="41" t="s">
        <v>414</v>
      </c>
      <c r="Q61" s="43" t="b">
        <v>1</v>
      </c>
    </row>
    <row r="62">
      <c r="A62" s="31" t="s">
        <v>86</v>
      </c>
      <c r="B62" s="31" t="s">
        <v>87</v>
      </c>
      <c r="C62" s="40"/>
      <c r="D62" s="40" t="b">
        <f t="shared" ref="D62:H62" si="122">VLOOKUP($A62, INDIRECT(D$1&amp;"!B:D"), 3, FALSE)</f>
        <v>0</v>
      </c>
      <c r="E62" s="40" t="str">
        <f t="shared" si="122"/>
        <v>TO DO</v>
      </c>
      <c r="F62" s="40" t="str">
        <f t="shared" si="122"/>
        <v>TO DO</v>
      </c>
      <c r="G62" s="40" t="b">
        <f t="shared" si="122"/>
        <v>0</v>
      </c>
      <c r="H62" s="40" t="b">
        <f t="shared" si="122"/>
        <v>0</v>
      </c>
      <c r="I62" s="41">
        <f t="shared" si="4"/>
        <v>1</v>
      </c>
      <c r="J62" s="42" t="str">
        <f t="shared" ref="J62:N62" si="123">VLOOKUP($A62, INDIRECT(J$1&amp;"!B:E"), 4, FALSE)</f>
        <v>unclear what kind of insurance: remove from dataset</v>
      </c>
      <c r="K62" s="42" t="str">
        <f t="shared" si="123"/>
        <v/>
      </c>
      <c r="L62" s="42" t="str">
        <f t="shared" si="123"/>
        <v/>
      </c>
      <c r="M62" s="42" t="str">
        <f t="shared" si="123"/>
        <v/>
      </c>
      <c r="N62" s="42" t="str">
        <f t="shared" si="123"/>
        <v/>
      </c>
      <c r="O62" s="41" t="str">
        <f>IFERROR(__xludf.DUMMYFUNCTION("IF(COUNTA(J62:N62)=0, """", ARRAYFORMULA(""- ""&amp;TEXTJOIN(char(10)&amp;""- "", TRUE, FILTER(J$1:N$1&amp;"": ""&amp;J62:N62, NOT(ISBLANK(J62:N62))))))"),"- Finn: unclear what kind of insurance: remove from dataset")</f>
        <v>- Finn: unclear what kind of insurance: remove from dataset</v>
      </c>
      <c r="P62" s="41" t="s">
        <v>441</v>
      </c>
      <c r="Q62" s="43" t="b">
        <v>0</v>
      </c>
    </row>
    <row r="63">
      <c r="A63" s="31" t="s">
        <v>209</v>
      </c>
      <c r="B63" s="31" t="s">
        <v>210</v>
      </c>
      <c r="C63" s="40"/>
      <c r="D63" s="40" t="b">
        <f t="shared" ref="D63:H63" si="124">VLOOKUP($A63, INDIRECT(D$1&amp;"!B:D"), 3, FALSE)</f>
        <v>0</v>
      </c>
      <c r="E63" s="40" t="str">
        <f t="shared" si="124"/>
        <v>TO DO</v>
      </c>
      <c r="F63" s="40" t="str">
        <f t="shared" si="124"/>
        <v>TO DO</v>
      </c>
      <c r="G63" s="40" t="str">
        <f t="shared" si="124"/>
        <v>TO DO</v>
      </c>
      <c r="H63" s="40" t="b">
        <f t="shared" si="124"/>
        <v>0</v>
      </c>
      <c r="I63" s="41">
        <f t="shared" si="4"/>
        <v>1</v>
      </c>
      <c r="J63" s="42" t="str">
        <f t="shared" ref="J63:N63" si="125">VLOOKUP($A63, INDIRECT(J$1&amp;"!B:E"), 4, FALSE)</f>
        <v/>
      </c>
      <c r="K63" s="42" t="str">
        <f t="shared" si="125"/>
        <v/>
      </c>
      <c r="L63" s="42" t="str">
        <f t="shared" si="125"/>
        <v/>
      </c>
      <c r="M63" s="42" t="str">
        <f t="shared" si="125"/>
        <v/>
      </c>
      <c r="N63" s="42" t="str">
        <f t="shared" si="125"/>
        <v/>
      </c>
      <c r="O63" s="41" t="str">
        <f>IFERROR(__xludf.DUMMYFUNCTION("IF(COUNTA(J63:N63)=0, """", ARRAYFORMULA(""- ""&amp;TEXTJOIN(char(10)&amp;""- "", TRUE, FILTER(J$1:N$1&amp;"": ""&amp;J63:N63, NOT(ISBLANK(J63:N63))))))"),"")</f>
        <v/>
      </c>
      <c r="P63" s="41" t="s">
        <v>414</v>
      </c>
      <c r="Q63" s="43" t="b">
        <v>0</v>
      </c>
    </row>
    <row r="64">
      <c r="A64" s="31" t="s">
        <v>271</v>
      </c>
      <c r="B64" s="31" t="s">
        <v>272</v>
      </c>
      <c r="C64" s="39"/>
      <c r="D64" s="40" t="b">
        <f t="shared" ref="D64:H64" si="126">VLOOKUP($A64, INDIRECT(D$1&amp;"!B:D"), 3, FALSE)</f>
        <v>0</v>
      </c>
      <c r="E64" s="40" t="str">
        <f t="shared" si="126"/>
        <v>TO DO</v>
      </c>
      <c r="F64" s="40" t="str">
        <f t="shared" si="126"/>
        <v>TO DO</v>
      </c>
      <c r="G64" s="40" t="b">
        <f t="shared" si="126"/>
        <v>0</v>
      </c>
      <c r="H64" s="40" t="b">
        <f t="shared" si="126"/>
        <v>0</v>
      </c>
      <c r="I64" s="41">
        <f t="shared" si="4"/>
        <v>1</v>
      </c>
      <c r="J64" s="42" t="str">
        <f t="shared" ref="J64:N64" si="127">VLOOKUP($A64, INDIRECT(J$1&amp;"!B:E"), 4, FALSE)</f>
        <v/>
      </c>
      <c r="K64" s="42" t="str">
        <f t="shared" si="127"/>
        <v/>
      </c>
      <c r="L64" s="42" t="str">
        <f t="shared" si="127"/>
        <v/>
      </c>
      <c r="M64" s="42" t="str">
        <f t="shared" si="127"/>
        <v>it is about patents for eye drops but does not refer to the diseases in the targets</v>
      </c>
      <c r="N64" s="42" t="str">
        <f t="shared" si="127"/>
        <v/>
      </c>
      <c r="O64" s="41" t="str">
        <f>IFERROR(__xludf.DUMMYFUNCTION("IF(COUNTA(J64:N64)=0, """", ARRAYFORMULA(""- ""&amp;TEXTJOIN(char(10)&amp;""- "", TRUE, FILTER(J$1:N$1&amp;"": ""&amp;J64:N64, NOT(ISBLANK(J64:N64))))))"),"- Meike: it is about patents for eye drops but does not refer to the diseases in the targets")</f>
        <v>- Meike: it is about patents for eye drops but does not refer to the diseases in the targets</v>
      </c>
      <c r="P64" s="41" t="s">
        <v>442</v>
      </c>
      <c r="Q64" s="43" t="b">
        <v>0</v>
      </c>
    </row>
    <row r="65">
      <c r="A65" s="31" t="s">
        <v>121</v>
      </c>
      <c r="B65" s="31" t="s">
        <v>122</v>
      </c>
      <c r="C65" s="7" t="s">
        <v>404</v>
      </c>
      <c r="D65" s="40" t="b">
        <f t="shared" ref="D65:H65" si="128">VLOOKUP($A65, INDIRECT(D$1&amp;"!B:D"), 3, FALSE)</f>
        <v>1</v>
      </c>
      <c r="E65" s="40" t="str">
        <f t="shared" si="128"/>
        <v>TO DO</v>
      </c>
      <c r="F65" s="40" t="str">
        <f t="shared" si="128"/>
        <v>TO DO</v>
      </c>
      <c r="G65" s="40" t="b">
        <f t="shared" si="128"/>
        <v>0</v>
      </c>
      <c r="H65" s="40" t="b">
        <f t="shared" si="128"/>
        <v>1</v>
      </c>
      <c r="I65" s="41">
        <f t="shared" si="4"/>
        <v>0.3333333333</v>
      </c>
      <c r="J65" s="42" t="str">
        <f t="shared" ref="J65:N65" si="129">VLOOKUP($A65, INDIRECT(J$1&amp;"!B:E"), 4, FALSE)</f>
        <v/>
      </c>
      <c r="K65" s="42" t="str">
        <f t="shared" si="129"/>
        <v/>
      </c>
      <c r="L65" s="42" t="str">
        <f t="shared" si="129"/>
        <v/>
      </c>
      <c r="M65" s="42" t="str">
        <f t="shared" si="129"/>
        <v/>
      </c>
      <c r="N65" s="42" t="str">
        <f t="shared" si="129"/>
        <v/>
      </c>
      <c r="O65" s="41" t="str">
        <f>IFERROR(__xludf.DUMMYFUNCTION("IF(COUNTA(J65:N65)=0, """", ARRAYFORMULA(""- ""&amp;TEXTJOIN(char(10)&amp;""- "", TRUE, FILTER(J$1:N$1&amp;"": ""&amp;J65:N65, NOT(ISBLANK(J65:N65))))))"),"")</f>
        <v/>
      </c>
      <c r="P65" s="41" t="s">
        <v>414</v>
      </c>
      <c r="Q65" s="43" t="s">
        <v>407</v>
      </c>
    </row>
    <row r="66">
      <c r="A66" s="31" t="s">
        <v>227</v>
      </c>
      <c r="B66" s="31" t="s">
        <v>228</v>
      </c>
      <c r="C66" s="44" t="s">
        <v>355</v>
      </c>
      <c r="D66" s="40" t="b">
        <f t="shared" ref="D66:H66" si="130">VLOOKUP($A66, INDIRECT(D$1&amp;"!B:D"), 3, FALSE)</f>
        <v>0</v>
      </c>
      <c r="E66" s="40" t="str">
        <f t="shared" si="130"/>
        <v>TO DO</v>
      </c>
      <c r="F66" s="40" t="str">
        <f t="shared" si="130"/>
        <v>TO DO</v>
      </c>
      <c r="G66" s="40" t="b">
        <f t="shared" si="130"/>
        <v>1</v>
      </c>
      <c r="H66" s="40" t="b">
        <f t="shared" si="130"/>
        <v>1</v>
      </c>
      <c r="I66" s="41">
        <f t="shared" si="4"/>
        <v>0.3333333333</v>
      </c>
      <c r="J66" s="42" t="str">
        <f t="shared" ref="J66:N66" si="131">VLOOKUP($A66, INDIRECT(J$1&amp;"!B:E"), 4, FALSE)</f>
        <v/>
      </c>
      <c r="K66" s="42" t="str">
        <f t="shared" si="131"/>
        <v/>
      </c>
      <c r="L66" s="42" t="str">
        <f t="shared" si="131"/>
        <v/>
      </c>
      <c r="M66" s="42" t="str">
        <f t="shared" si="131"/>
        <v/>
      </c>
      <c r="N66" s="42" t="str">
        <f t="shared" si="131"/>
        <v>links weakly to mental wellbeing (last sentence on psychological strength being exhausted)</v>
      </c>
      <c r="O66" s="41" t="str">
        <f>IFERROR(__xludf.DUMMYFUNCTION("IF(COUNTA(J66:N66)=0, """", ARRAYFORMULA(""- ""&amp;TEXTJOIN(char(10)&amp;""- "", TRUE, FILTER(J$1:N$1&amp;"": ""&amp;J66:N66, NOT(ISBLANK(J66:N66))))))"),"- Steve: links weakly to mental wellbeing (last sentence on psychological strength being exhausted)")</f>
        <v>- Steve: links weakly to mental wellbeing (last sentence on psychological strength being exhausted)</v>
      </c>
      <c r="P66" s="41" t="s">
        <v>443</v>
      </c>
      <c r="Q66" s="43" t="s">
        <v>407</v>
      </c>
    </row>
    <row r="67">
      <c r="A67" s="31" t="s">
        <v>93</v>
      </c>
      <c r="B67" s="31" t="s">
        <v>94</v>
      </c>
      <c r="C67" s="40"/>
      <c r="D67" s="40" t="b">
        <f t="shared" ref="D67:H67" si="132">VLOOKUP($A67, INDIRECT(D$1&amp;"!B:D"), 3, FALSE)</f>
        <v>1</v>
      </c>
      <c r="E67" s="40" t="str">
        <f t="shared" si="132"/>
        <v>TO DO</v>
      </c>
      <c r="F67" s="40" t="str">
        <f t="shared" si="132"/>
        <v>TO DO</v>
      </c>
      <c r="G67" s="40" t="b">
        <f t="shared" si="132"/>
        <v>1</v>
      </c>
      <c r="H67" s="40" t="b">
        <f t="shared" si="132"/>
        <v>1</v>
      </c>
      <c r="I67" s="41">
        <f t="shared" si="4"/>
        <v>1</v>
      </c>
      <c r="J67" s="42" t="str">
        <f t="shared" ref="J67:N67" si="133">VLOOKUP($A67, INDIRECT(J$1&amp;"!B:E"), 4, FALSE)</f>
        <v/>
      </c>
      <c r="K67" s="42" t="str">
        <f t="shared" si="133"/>
        <v/>
      </c>
      <c r="L67" s="42" t="str">
        <f t="shared" si="133"/>
        <v/>
      </c>
      <c r="M67" s="42" t="str">
        <f t="shared" si="133"/>
        <v/>
      </c>
      <c r="N67" s="42" t="str">
        <f t="shared" si="133"/>
        <v>universal health care access</v>
      </c>
      <c r="O67" s="41" t="str">
        <f>IFERROR(__xludf.DUMMYFUNCTION("IF(COUNTA(J67:N67)=0, """", ARRAYFORMULA(""- ""&amp;TEXTJOIN(char(10)&amp;""- "", TRUE, FILTER(J$1:N$1&amp;"": ""&amp;J67:N67, NOT(ISBLANK(J67:N67))))))"),"- Steve: universal health care access")</f>
        <v>- Steve: universal health care access</v>
      </c>
      <c r="P67" s="41" t="s">
        <v>444</v>
      </c>
      <c r="Q67" s="43" t="b">
        <v>1</v>
      </c>
    </row>
    <row r="68">
      <c r="A68" s="31" t="s">
        <v>315</v>
      </c>
      <c r="B68" s="31" t="s">
        <v>316</v>
      </c>
      <c r="C68" s="7" t="s">
        <v>430</v>
      </c>
      <c r="D68" s="40" t="b">
        <f t="shared" ref="D68:H68" si="134">VLOOKUP($A68, INDIRECT(D$1&amp;"!B:D"), 3, FALSE)</f>
        <v>1</v>
      </c>
      <c r="E68" s="40" t="str">
        <f t="shared" si="134"/>
        <v>TO DO</v>
      </c>
      <c r="F68" s="40" t="str">
        <f t="shared" si="134"/>
        <v>TO DO</v>
      </c>
      <c r="G68" s="40" t="b">
        <f t="shared" si="134"/>
        <v>1</v>
      </c>
      <c r="H68" s="40" t="b">
        <f t="shared" si="134"/>
        <v>1</v>
      </c>
      <c r="I68" s="41">
        <f t="shared" si="4"/>
        <v>1</v>
      </c>
      <c r="J68" s="42" t="str">
        <f t="shared" ref="J68:N68" si="135">VLOOKUP($A68, INDIRECT(J$1&amp;"!B:E"), 4, FALSE)</f>
        <v/>
      </c>
      <c r="K68" s="42" t="str">
        <f t="shared" si="135"/>
        <v/>
      </c>
      <c r="L68" s="42" t="str">
        <f t="shared" si="135"/>
        <v/>
      </c>
      <c r="M68" s="42" t="str">
        <f t="shared" si="135"/>
        <v/>
      </c>
      <c r="N68" s="42" t="str">
        <f t="shared" si="135"/>
        <v/>
      </c>
      <c r="O68" s="41" t="str">
        <f>IFERROR(__xludf.DUMMYFUNCTION("IF(COUNTA(J68:N68)=0, """", ARRAYFORMULA(""- ""&amp;TEXTJOIN(char(10)&amp;""- "", TRUE, FILTER(J$1:N$1&amp;"": ""&amp;J68:N68, NOT(ISBLANK(J68:N68))))))"),"")</f>
        <v/>
      </c>
      <c r="P68" s="41" t="s">
        <v>414</v>
      </c>
      <c r="Q68" s="43" t="b">
        <v>1</v>
      </c>
    </row>
    <row r="69">
      <c r="A69" s="31" t="s">
        <v>318</v>
      </c>
      <c r="B69" s="31" t="s">
        <v>319</v>
      </c>
      <c r="C69" s="7" t="s">
        <v>355</v>
      </c>
      <c r="D69" s="40" t="b">
        <f t="shared" ref="D69:H69" si="136">VLOOKUP($A69, INDIRECT(D$1&amp;"!B:D"), 3, FALSE)</f>
        <v>1</v>
      </c>
      <c r="E69" s="40" t="str">
        <f t="shared" si="136"/>
        <v>TO DO</v>
      </c>
      <c r="F69" s="40" t="str">
        <f t="shared" si="136"/>
        <v>TO DO</v>
      </c>
      <c r="G69" s="40" t="b">
        <f t="shared" si="136"/>
        <v>0</v>
      </c>
      <c r="H69" s="40" t="b">
        <f t="shared" si="136"/>
        <v>1</v>
      </c>
      <c r="I69" s="41">
        <f t="shared" si="4"/>
        <v>0.3333333333</v>
      </c>
      <c r="J69" s="42" t="str">
        <f t="shared" ref="J69:N69" si="137">VLOOKUP($A69, INDIRECT(J$1&amp;"!B:E"), 4, FALSE)</f>
        <v/>
      </c>
      <c r="K69" s="42" t="str">
        <f t="shared" si="137"/>
        <v/>
      </c>
      <c r="L69" s="42" t="str">
        <f t="shared" si="137"/>
        <v/>
      </c>
      <c r="M69" s="42" t="str">
        <f t="shared" si="137"/>
        <v/>
      </c>
      <c r="N69" s="42" t="str">
        <f t="shared" si="137"/>
        <v>mental health</v>
      </c>
      <c r="O69" s="41" t="str">
        <f>IFERROR(__xludf.DUMMYFUNCTION("IF(COUNTA(J69:N69)=0, """", ARRAYFORMULA(""- ""&amp;TEXTJOIN(char(10)&amp;""- "", TRUE, FILTER(J$1:N$1&amp;"": ""&amp;J69:N69, NOT(ISBLANK(J69:N69))))))"),"- Steve: mental health")</f>
        <v>- Steve: mental health</v>
      </c>
      <c r="P69" s="41" t="s">
        <v>445</v>
      </c>
      <c r="Q69" s="43" t="s">
        <v>407</v>
      </c>
    </row>
    <row r="70">
      <c r="A70" s="31" t="s">
        <v>123</v>
      </c>
      <c r="B70" s="31" t="s">
        <v>124</v>
      </c>
      <c r="C70" s="7" t="s">
        <v>404</v>
      </c>
      <c r="D70" s="40" t="b">
        <f t="shared" ref="D70:H70" si="138">VLOOKUP($A70, INDIRECT(D$1&amp;"!B:D"), 3, FALSE)</f>
        <v>1</v>
      </c>
      <c r="E70" s="40" t="str">
        <f t="shared" si="138"/>
        <v>TO DO</v>
      </c>
      <c r="F70" s="40" t="str">
        <f t="shared" si="138"/>
        <v>TO DO</v>
      </c>
      <c r="G70" s="40" t="b">
        <f t="shared" si="138"/>
        <v>0</v>
      </c>
      <c r="H70" s="40" t="b">
        <f t="shared" si="138"/>
        <v>0</v>
      </c>
      <c r="I70" s="41">
        <f t="shared" si="4"/>
        <v>0.3333333333</v>
      </c>
      <c r="J70" s="42" t="str">
        <f t="shared" ref="J70:N70" si="139">VLOOKUP($A70, INDIRECT(J$1&amp;"!B:E"), 4, FALSE)</f>
        <v/>
      </c>
      <c r="K70" s="42" t="str">
        <f t="shared" si="139"/>
        <v/>
      </c>
      <c r="L70" s="42" t="str">
        <f t="shared" si="139"/>
        <v/>
      </c>
      <c r="M70" s="42" t="str">
        <f t="shared" si="139"/>
        <v/>
      </c>
      <c r="N70" s="42" t="str">
        <f t="shared" si="139"/>
        <v>vaguely linked, though only mentions health systems</v>
      </c>
      <c r="O70" s="41" t="str">
        <f>IFERROR(__xludf.DUMMYFUNCTION("IF(COUNTA(J70:N70)=0, """", ARRAYFORMULA(""- ""&amp;TEXTJOIN(char(10)&amp;""- "", TRUE, FILTER(J$1:N$1&amp;"": ""&amp;J70:N70, NOT(ISBLANK(J70:N70))))))"),"- Steve: vaguely linked, though only mentions health systems")</f>
        <v>- Steve: vaguely linked, though only mentions health systems</v>
      </c>
      <c r="P70" s="41" t="s">
        <v>446</v>
      </c>
      <c r="Q70" s="43" t="s">
        <v>407</v>
      </c>
    </row>
    <row r="71">
      <c r="A71" s="31" t="s">
        <v>283</v>
      </c>
      <c r="B71" s="31" t="s">
        <v>284</v>
      </c>
      <c r="C71" s="40"/>
      <c r="D71" s="40" t="b">
        <f t="shared" ref="D71:H71" si="140">VLOOKUP($A71, INDIRECT(D$1&amp;"!B:D"), 3, FALSE)</f>
        <v>0</v>
      </c>
      <c r="E71" s="40" t="str">
        <f t="shared" si="140"/>
        <v>TO DO</v>
      </c>
      <c r="F71" s="40" t="str">
        <f t="shared" si="140"/>
        <v>TO DO</v>
      </c>
      <c r="G71" s="40" t="b">
        <f t="shared" si="140"/>
        <v>0</v>
      </c>
      <c r="H71" s="40" t="b">
        <f t="shared" si="140"/>
        <v>0</v>
      </c>
      <c r="I71" s="41">
        <f t="shared" si="4"/>
        <v>1</v>
      </c>
      <c r="J71" s="42" t="str">
        <f t="shared" ref="J71:N71" si="141">VLOOKUP($A71, INDIRECT(J$1&amp;"!B:E"), 4, FALSE)</f>
        <v/>
      </c>
      <c r="K71" s="42" t="str">
        <f t="shared" si="141"/>
        <v/>
      </c>
      <c r="L71" s="42" t="str">
        <f t="shared" si="141"/>
        <v/>
      </c>
      <c r="M71" s="42" t="str">
        <f t="shared" si="141"/>
        <v/>
      </c>
      <c r="N71" s="42" t="str">
        <f t="shared" si="141"/>
        <v/>
      </c>
      <c r="O71" s="41" t="str">
        <f>IFERROR(__xludf.DUMMYFUNCTION("IF(COUNTA(J71:N71)=0, """", ARRAYFORMULA(""- ""&amp;TEXTJOIN(char(10)&amp;""- "", TRUE, FILTER(J$1:N$1&amp;"": ""&amp;J71:N71, NOT(ISBLANK(J71:N71))))))"),"")</f>
        <v/>
      </c>
      <c r="P71" s="41" t="s">
        <v>414</v>
      </c>
      <c r="Q71" s="43" t="b">
        <v>0</v>
      </c>
    </row>
    <row r="72">
      <c r="A72" s="31" t="s">
        <v>324</v>
      </c>
      <c r="B72" s="31" t="s">
        <v>325</v>
      </c>
      <c r="C72" s="40"/>
      <c r="D72" s="40" t="b">
        <f t="shared" ref="D72:H72" si="142">VLOOKUP($A72, INDIRECT(D$1&amp;"!B:D"), 3, FALSE)</f>
        <v>0</v>
      </c>
      <c r="E72" s="40" t="str">
        <f t="shared" si="142"/>
        <v>TO DO</v>
      </c>
      <c r="F72" s="40" t="str">
        <f t="shared" si="142"/>
        <v>TO DO</v>
      </c>
      <c r="G72" s="40" t="b">
        <f t="shared" si="142"/>
        <v>0</v>
      </c>
      <c r="H72" s="40" t="b">
        <f t="shared" si="142"/>
        <v>0</v>
      </c>
      <c r="I72" s="41">
        <f t="shared" si="4"/>
        <v>1</v>
      </c>
      <c r="J72" s="42" t="str">
        <f t="shared" ref="J72:N72" si="143">VLOOKUP($A72, INDIRECT(J$1&amp;"!B:E"), 4, FALSE)</f>
        <v/>
      </c>
      <c r="K72" s="42" t="str">
        <f t="shared" si="143"/>
        <v/>
      </c>
      <c r="L72" s="42" t="str">
        <f t="shared" si="143"/>
        <v/>
      </c>
      <c r="M72" s="42" t="str">
        <f t="shared" si="143"/>
        <v/>
      </c>
      <c r="N72" s="42" t="str">
        <f t="shared" si="143"/>
        <v/>
      </c>
      <c r="O72" s="41" t="str">
        <f>IFERROR(__xludf.DUMMYFUNCTION("IF(COUNTA(J72:N72)=0, """", ARRAYFORMULA(""- ""&amp;TEXTJOIN(char(10)&amp;""- "", TRUE, FILTER(J$1:N$1&amp;"": ""&amp;J72:N72, NOT(ISBLANK(J72:N72))))))"),"")</f>
        <v/>
      </c>
      <c r="P72" s="41" t="s">
        <v>414</v>
      </c>
      <c r="Q72" s="43" t="b">
        <v>0</v>
      </c>
    </row>
    <row r="73">
      <c r="A73" s="31" t="s">
        <v>142</v>
      </c>
      <c r="B73" s="31" t="s">
        <v>143</v>
      </c>
      <c r="C73" s="40"/>
      <c r="D73" s="40" t="b">
        <f t="shared" ref="D73:H73" si="144">VLOOKUP($A73, INDIRECT(D$1&amp;"!B:D"), 3, FALSE)</f>
        <v>1</v>
      </c>
      <c r="E73" s="40" t="str">
        <f t="shared" si="144"/>
        <v>TO DO</v>
      </c>
      <c r="F73" s="40" t="str">
        <f t="shared" si="144"/>
        <v>TO DO</v>
      </c>
      <c r="G73" s="40" t="b">
        <f t="shared" si="144"/>
        <v>1</v>
      </c>
      <c r="H73" s="40" t="b">
        <f t="shared" si="144"/>
        <v>1</v>
      </c>
      <c r="I73" s="41">
        <f t="shared" si="4"/>
        <v>1</v>
      </c>
      <c r="J73" s="42" t="str">
        <f t="shared" ref="J73:N73" si="145">VLOOKUP($A73, INDIRECT(J$1&amp;"!B:E"), 4, FALSE)</f>
        <v/>
      </c>
      <c r="K73" s="42" t="str">
        <f t="shared" si="145"/>
        <v/>
      </c>
      <c r="L73" s="42" t="str">
        <f t="shared" si="145"/>
        <v/>
      </c>
      <c r="M73" s="42" t="str">
        <f t="shared" si="145"/>
        <v/>
      </c>
      <c r="N73" s="42" t="str">
        <f t="shared" si="145"/>
        <v/>
      </c>
      <c r="O73" s="41" t="str">
        <f>IFERROR(__xludf.DUMMYFUNCTION("IF(COUNTA(J73:N73)=0, """", ARRAYFORMULA(""- ""&amp;TEXTJOIN(char(10)&amp;""- "", TRUE, FILTER(J$1:N$1&amp;"": ""&amp;J73:N73, NOT(ISBLANK(J73:N73))))))"),"")</f>
        <v/>
      </c>
      <c r="P73" s="41" t="s">
        <v>414</v>
      </c>
      <c r="Q73" s="43" t="b">
        <v>1</v>
      </c>
    </row>
    <row r="74">
      <c r="A74" s="31" t="s">
        <v>201</v>
      </c>
      <c r="B74" s="31" t="s">
        <v>202</v>
      </c>
      <c r="C74" s="40"/>
      <c r="D74" s="40" t="b">
        <f t="shared" ref="D74:H74" si="146">VLOOKUP($A74, INDIRECT(D$1&amp;"!B:D"), 3, FALSE)</f>
        <v>1</v>
      </c>
      <c r="E74" s="40" t="str">
        <f t="shared" si="146"/>
        <v>TO DO</v>
      </c>
      <c r="F74" s="40" t="str">
        <f t="shared" si="146"/>
        <v>TO DO</v>
      </c>
      <c r="G74" s="40" t="b">
        <f t="shared" si="146"/>
        <v>1</v>
      </c>
      <c r="H74" s="40" t="b">
        <f t="shared" si="146"/>
        <v>1</v>
      </c>
      <c r="I74" s="41">
        <f t="shared" si="4"/>
        <v>1</v>
      </c>
      <c r="J74" s="42" t="str">
        <f t="shared" ref="J74:N74" si="147">VLOOKUP($A74, INDIRECT(J$1&amp;"!B:E"), 4, FALSE)</f>
        <v/>
      </c>
      <c r="K74" s="42" t="str">
        <f t="shared" si="147"/>
        <v/>
      </c>
      <c r="L74" s="42" t="str">
        <f t="shared" si="147"/>
        <v/>
      </c>
      <c r="M74" s="42" t="str">
        <f t="shared" si="147"/>
        <v/>
      </c>
      <c r="N74" s="42">
        <f t="shared" si="147"/>
        <v>3.6</v>
      </c>
      <c r="O74" s="41" t="str">
        <f>IFERROR(__xludf.DUMMYFUNCTION("IF(COUNTA(J74:N74)=0, """", ARRAYFORMULA(""- ""&amp;TEXTJOIN(char(10)&amp;""- "", TRUE, FILTER(J$1:N$1&amp;"": ""&amp;J74:N74, NOT(ISBLANK(J74:N74))))))"),"- Steve: 3.6")</f>
        <v>- Steve: 3.6</v>
      </c>
      <c r="P74" s="41" t="s">
        <v>447</v>
      </c>
      <c r="Q74" s="43" t="b">
        <v>1</v>
      </c>
    </row>
    <row r="75">
      <c r="A75" s="31" t="s">
        <v>151</v>
      </c>
      <c r="B75" s="31" t="s">
        <v>152</v>
      </c>
      <c r="C75" s="44" t="s">
        <v>404</v>
      </c>
      <c r="D75" s="40" t="b">
        <f t="shared" ref="D75:H75" si="148">VLOOKUP($A75, INDIRECT(D$1&amp;"!B:D"), 3, FALSE)</f>
        <v>1</v>
      </c>
      <c r="E75" s="40" t="str">
        <f t="shared" si="148"/>
        <v>TO DO</v>
      </c>
      <c r="F75" s="40" t="str">
        <f t="shared" si="148"/>
        <v>TO DO</v>
      </c>
      <c r="G75" s="40" t="b">
        <f t="shared" si="148"/>
        <v>0</v>
      </c>
      <c r="H75" s="40" t="b">
        <f t="shared" si="148"/>
        <v>0</v>
      </c>
      <c r="I75" s="41">
        <f t="shared" si="4"/>
        <v>0.3333333333</v>
      </c>
      <c r="J75" s="42" t="str">
        <f t="shared" ref="J75:N75" si="149">VLOOKUP($A75, INDIRECT(J$1&amp;"!B:E"), 4, FALSE)</f>
        <v>target 3.c</v>
      </c>
      <c r="K75" s="42" t="str">
        <f t="shared" si="149"/>
        <v/>
      </c>
      <c r="L75" s="42" t="str">
        <f t="shared" si="149"/>
        <v/>
      </c>
      <c r="M75" s="42" t="str">
        <f t="shared" si="149"/>
        <v/>
      </c>
      <c r="N75" s="42" t="str">
        <f t="shared" si="149"/>
        <v>cultural barriers of abroad-trained health personnel is not really an element of SDG 3 or its targets explicitly</v>
      </c>
      <c r="O75" s="41" t="str">
        <f>IFERROR(__xludf.DUMMYFUNCTION("IF(COUNTA(J75:N75)=0, """", ARRAYFORMULA(""- ""&amp;TEXTJOIN(char(10)&amp;""- "", TRUE, FILTER(J$1:N$1&amp;"": ""&amp;J75:N75, NOT(ISBLANK(J75:N75))))))"),"- Finn: target 3.c
- Steve: cultural barriers of abroad-trained health personnel is not really an element of SDG 3 or its targets explicitly")</f>
        <v>- Finn: target 3.c
- Steve: cultural barriers of abroad-trained health personnel is not really an element of SDG 3 or its targets explicitly</v>
      </c>
      <c r="P75" s="41" t="s">
        <v>448</v>
      </c>
      <c r="Q75" s="43" t="s">
        <v>407</v>
      </c>
    </row>
    <row r="76">
      <c r="A76" s="31" t="s">
        <v>207</v>
      </c>
      <c r="B76" s="31" t="s">
        <v>208</v>
      </c>
      <c r="C76" s="39"/>
      <c r="D76" s="40" t="b">
        <f t="shared" ref="D76:H76" si="150">VLOOKUP($A76, INDIRECT(D$1&amp;"!B:D"), 3, FALSE)</f>
        <v>0</v>
      </c>
      <c r="E76" s="40" t="str">
        <f t="shared" si="150"/>
        <v>TO DO</v>
      </c>
      <c r="F76" s="40" t="str">
        <f t="shared" si="150"/>
        <v>TO DO</v>
      </c>
      <c r="G76" s="40" t="b">
        <f t="shared" si="150"/>
        <v>0</v>
      </c>
      <c r="H76" s="40" t="b">
        <f t="shared" si="150"/>
        <v>0</v>
      </c>
      <c r="I76" s="41">
        <f t="shared" si="4"/>
        <v>1</v>
      </c>
      <c r="J76" s="42" t="str">
        <f t="shared" ref="J76:N76" si="151">VLOOKUP($A76, INDIRECT(J$1&amp;"!B:E"), 4, FALSE)</f>
        <v/>
      </c>
      <c r="K76" s="42" t="str">
        <f t="shared" si="151"/>
        <v/>
      </c>
      <c r="L76" s="42" t="str">
        <f t="shared" si="151"/>
        <v/>
      </c>
      <c r="M76" s="42" t="str">
        <f t="shared" si="151"/>
        <v/>
      </c>
      <c r="N76" s="42" t="str">
        <f t="shared" si="151"/>
        <v/>
      </c>
      <c r="O76" s="41" t="str">
        <f>IFERROR(__xludf.DUMMYFUNCTION("IF(COUNTA(J76:N76)=0, """", ARRAYFORMULA(""- ""&amp;TEXTJOIN(char(10)&amp;""- "", TRUE, FILTER(J$1:N$1&amp;"": ""&amp;J76:N76, NOT(ISBLANK(J76:N76))))))"),"")</f>
        <v/>
      </c>
      <c r="P76" s="41" t="s">
        <v>414</v>
      </c>
      <c r="Q76" s="43" t="b">
        <v>0</v>
      </c>
    </row>
    <row r="77">
      <c r="A77" s="31" t="s">
        <v>225</v>
      </c>
      <c r="B77" s="31" t="s">
        <v>226</v>
      </c>
      <c r="C77" s="40"/>
      <c r="D77" s="40" t="b">
        <f t="shared" ref="D77:H77" si="152">VLOOKUP($A77, INDIRECT(D$1&amp;"!B:D"), 3, FALSE)</f>
        <v>0</v>
      </c>
      <c r="E77" s="40" t="str">
        <f t="shared" si="152"/>
        <v>TO DO</v>
      </c>
      <c r="F77" s="40" t="str">
        <f t="shared" si="152"/>
        <v>TO DO</v>
      </c>
      <c r="G77" s="40" t="b">
        <f t="shared" si="152"/>
        <v>0</v>
      </c>
      <c r="H77" s="40" t="b">
        <f t="shared" si="152"/>
        <v>0</v>
      </c>
      <c r="I77" s="41">
        <f t="shared" si="4"/>
        <v>1</v>
      </c>
      <c r="J77" s="42" t="str">
        <f t="shared" ref="J77:N77" si="153">VLOOKUP($A77, INDIRECT(J$1&amp;"!B:E"), 4, FALSE)</f>
        <v/>
      </c>
      <c r="K77" s="42" t="str">
        <f t="shared" si="153"/>
        <v/>
      </c>
      <c r="L77" s="42" t="str">
        <f t="shared" si="153"/>
        <v/>
      </c>
      <c r="M77" s="42" t="str">
        <f t="shared" si="153"/>
        <v/>
      </c>
      <c r="N77" s="42" t="str">
        <f t="shared" si="153"/>
        <v/>
      </c>
      <c r="O77" s="41" t="str">
        <f>IFERROR(__xludf.DUMMYFUNCTION("IF(COUNTA(J77:N77)=0, """", ARRAYFORMULA(""- ""&amp;TEXTJOIN(char(10)&amp;""- "", TRUE, FILTER(J$1:N$1&amp;"": ""&amp;J77:N77, NOT(ISBLANK(J77:N77))))))"),"")</f>
        <v/>
      </c>
      <c r="P77" s="41" t="s">
        <v>414</v>
      </c>
      <c r="Q77" s="43" t="b">
        <v>0</v>
      </c>
    </row>
    <row r="78">
      <c r="A78" s="31" t="s">
        <v>98</v>
      </c>
      <c r="B78" s="31" t="s">
        <v>99</v>
      </c>
      <c r="C78" s="40"/>
      <c r="D78" s="40" t="b">
        <f t="shared" ref="D78:H78" si="154">VLOOKUP($A78, INDIRECT(D$1&amp;"!B:D"), 3, FALSE)</f>
        <v>0</v>
      </c>
      <c r="E78" s="40" t="str">
        <f t="shared" si="154"/>
        <v>TO DO</v>
      </c>
      <c r="F78" s="40" t="str">
        <f t="shared" si="154"/>
        <v>TO DO</v>
      </c>
      <c r="G78" s="40" t="b">
        <f t="shared" si="154"/>
        <v>0</v>
      </c>
      <c r="H78" s="40" t="b">
        <f t="shared" si="154"/>
        <v>0</v>
      </c>
      <c r="I78" s="41">
        <f t="shared" si="4"/>
        <v>1</v>
      </c>
      <c r="J78" s="42" t="str">
        <f t="shared" ref="J78:N78" si="155">VLOOKUP($A78, INDIRECT(J$1&amp;"!B:E"), 4, FALSE)</f>
        <v>primary health care mandate = ???</v>
      </c>
      <c r="K78" s="42" t="str">
        <f t="shared" si="155"/>
        <v/>
      </c>
      <c r="L78" s="42" t="str">
        <f t="shared" si="155"/>
        <v/>
      </c>
      <c r="M78" s="42" t="str">
        <f t="shared" si="155"/>
        <v/>
      </c>
      <c r="N78" s="42" t="str">
        <f t="shared" si="155"/>
        <v>not strongly linked to SDG 3 or its targets though health care is mentioned but without commitment, sentiment etc</v>
      </c>
      <c r="O78" s="41" t="str">
        <f>IFERROR(__xludf.DUMMYFUNCTION("IF(COUNTA(J78:N78)=0, """", ARRAYFORMULA(""- ""&amp;TEXTJOIN(char(10)&amp;""- "", TRUE, FILTER(J$1:N$1&amp;"": ""&amp;J78:N78, NOT(ISBLANK(J78:N78))))))"),"- Finn: primary health care mandate = ???
- Steve: not strongly linked to SDG 3 or its targets though health care is mentioned but without commitment, sentiment etc")</f>
        <v>- Finn: primary health care mandate = ???
- Steve: not strongly linked to SDG 3 or its targets though health care is mentioned but without commitment, sentiment etc</v>
      </c>
      <c r="P78" s="41" t="s">
        <v>449</v>
      </c>
      <c r="Q78" s="43" t="b">
        <v>0</v>
      </c>
    </row>
    <row r="79">
      <c r="A79" s="31" t="s">
        <v>307</v>
      </c>
      <c r="B79" s="31" t="s">
        <v>308</v>
      </c>
      <c r="C79" s="40"/>
      <c r="D79" s="40" t="b">
        <f t="shared" ref="D79:H79" si="156">VLOOKUP($A79, INDIRECT(D$1&amp;"!B:D"), 3, FALSE)</f>
        <v>0</v>
      </c>
      <c r="E79" s="40" t="str">
        <f t="shared" si="156"/>
        <v>TO DO</v>
      </c>
      <c r="F79" s="40" t="str">
        <f t="shared" si="156"/>
        <v>TO DO</v>
      </c>
      <c r="G79" s="40" t="b">
        <f t="shared" si="156"/>
        <v>0</v>
      </c>
      <c r="H79" s="40" t="b">
        <f t="shared" si="156"/>
        <v>0</v>
      </c>
      <c r="I79" s="41">
        <f t="shared" si="4"/>
        <v>1</v>
      </c>
      <c r="J79" s="42" t="str">
        <f t="shared" ref="J79:N79" si="157">VLOOKUP($A79, INDIRECT(J$1&amp;"!B:E"), 4, FALSE)</f>
        <v/>
      </c>
      <c r="K79" s="42" t="str">
        <f t="shared" si="157"/>
        <v/>
      </c>
      <c r="L79" s="42" t="str">
        <f t="shared" si="157"/>
        <v/>
      </c>
      <c r="M79" s="42" t="str">
        <f t="shared" si="157"/>
        <v/>
      </c>
      <c r="N79" s="42" t="str">
        <f t="shared" si="157"/>
        <v/>
      </c>
      <c r="O79" s="41" t="str">
        <f>IFERROR(__xludf.DUMMYFUNCTION("IF(COUNTA(J79:N79)=0, """", ARRAYFORMULA(""- ""&amp;TEXTJOIN(char(10)&amp;""- "", TRUE, FILTER(J$1:N$1&amp;"": ""&amp;J79:N79, NOT(ISBLANK(J79:N79))))))"),"")</f>
        <v/>
      </c>
      <c r="P79" s="41" t="s">
        <v>414</v>
      </c>
      <c r="Q79" s="43" t="b">
        <v>0</v>
      </c>
    </row>
    <row r="80">
      <c r="A80" s="31" t="s">
        <v>294</v>
      </c>
      <c r="B80" s="31" t="s">
        <v>295</v>
      </c>
      <c r="C80" s="40"/>
      <c r="D80" s="40" t="b">
        <f t="shared" ref="D80:H80" si="158">VLOOKUP($A80, INDIRECT(D$1&amp;"!B:D"), 3, FALSE)</f>
        <v>1</v>
      </c>
      <c r="E80" s="40" t="str">
        <f t="shared" si="158"/>
        <v>TO DO</v>
      </c>
      <c r="F80" s="40" t="str">
        <f t="shared" si="158"/>
        <v>TO DO</v>
      </c>
      <c r="G80" s="40" t="b">
        <f t="shared" si="158"/>
        <v>1</v>
      </c>
      <c r="H80" s="40" t="b">
        <f t="shared" si="158"/>
        <v>1</v>
      </c>
      <c r="I80" s="41">
        <f t="shared" si="4"/>
        <v>1</v>
      </c>
      <c r="J80" s="42" t="str">
        <f t="shared" ref="J80:N80" si="159">VLOOKUP($A80, INDIRECT(J$1&amp;"!B:E"), 4, FALSE)</f>
        <v/>
      </c>
      <c r="K80" s="42" t="str">
        <f t="shared" si="159"/>
        <v/>
      </c>
      <c r="L80" s="42" t="str">
        <f t="shared" si="159"/>
        <v/>
      </c>
      <c r="M80" s="42" t="str">
        <f t="shared" si="159"/>
        <v/>
      </c>
      <c r="N80" s="42" t="str">
        <f t="shared" si="159"/>
        <v/>
      </c>
      <c r="O80" s="41" t="str">
        <f>IFERROR(__xludf.DUMMYFUNCTION("IF(COUNTA(J80:N80)=0, """", ARRAYFORMULA(""- ""&amp;TEXTJOIN(char(10)&amp;""- "", TRUE, FILTER(J$1:N$1&amp;"": ""&amp;J80:N80, NOT(ISBLANK(J80:N80))))))"),"")</f>
        <v/>
      </c>
      <c r="P80" s="41" t="s">
        <v>414</v>
      </c>
      <c r="Q80" s="43" t="b">
        <v>1</v>
      </c>
    </row>
    <row r="81">
      <c r="A81" s="31" t="s">
        <v>79</v>
      </c>
      <c r="B81" s="31" t="s">
        <v>80</v>
      </c>
      <c r="C81" s="7" t="s">
        <v>396</v>
      </c>
      <c r="D81" s="40" t="b">
        <f t="shared" ref="D81:H81" si="160">VLOOKUP($A81, INDIRECT(D$1&amp;"!B:D"), 3, FALSE)</f>
        <v>1</v>
      </c>
      <c r="E81" s="40" t="str">
        <f t="shared" si="160"/>
        <v>TO DO</v>
      </c>
      <c r="F81" s="40" t="str">
        <f t="shared" si="160"/>
        <v>TO DO</v>
      </c>
      <c r="G81" s="40" t="b">
        <f t="shared" si="160"/>
        <v>1</v>
      </c>
      <c r="H81" s="40" t="b">
        <f t="shared" si="160"/>
        <v>0</v>
      </c>
      <c r="I81" s="41">
        <f t="shared" si="4"/>
        <v>0.3333333333</v>
      </c>
      <c r="J81" s="42" t="str">
        <f t="shared" ref="J81:N81" si="161">VLOOKUP($A81, INDIRECT(J$1&amp;"!B:E"), 4, FALSE)</f>
        <v/>
      </c>
      <c r="K81" s="42" t="str">
        <f t="shared" si="161"/>
        <v/>
      </c>
      <c r="L81" s="42" t="str">
        <f t="shared" si="161"/>
        <v/>
      </c>
      <c r="M81" s="42" t="str">
        <f t="shared" si="161"/>
        <v/>
      </c>
      <c r="N81" s="42" t="str">
        <f t="shared" si="161"/>
        <v/>
      </c>
      <c r="O81" s="41" t="str">
        <f>IFERROR(__xludf.DUMMYFUNCTION("IF(COUNTA(J81:N81)=0, """", ARRAYFORMULA(""- ""&amp;TEXTJOIN(char(10)&amp;""- "", TRUE, FILTER(J$1:N$1&amp;"": ""&amp;J81:N81, NOT(ISBLANK(J81:N81))))))"),"")</f>
        <v/>
      </c>
      <c r="P81" s="41" t="s">
        <v>414</v>
      </c>
      <c r="Q81" s="43" t="s">
        <v>407</v>
      </c>
    </row>
    <row r="82">
      <c r="A82" s="31" t="s">
        <v>276</v>
      </c>
      <c r="B82" s="31" t="s">
        <v>277</v>
      </c>
      <c r="C82" s="40"/>
      <c r="D82" s="40" t="b">
        <f t="shared" ref="D82:H82" si="162">VLOOKUP($A82, INDIRECT(D$1&amp;"!B:D"), 3, FALSE)</f>
        <v>1</v>
      </c>
      <c r="E82" s="40" t="str">
        <f t="shared" si="162"/>
        <v>TO DO</v>
      </c>
      <c r="F82" s="40" t="str">
        <f t="shared" si="162"/>
        <v>TO DO</v>
      </c>
      <c r="G82" s="40" t="b">
        <f t="shared" si="162"/>
        <v>1</v>
      </c>
      <c r="H82" s="40" t="b">
        <f t="shared" si="162"/>
        <v>1</v>
      </c>
      <c r="I82" s="41">
        <f t="shared" si="4"/>
        <v>1</v>
      </c>
      <c r="J82" s="42" t="str">
        <f t="shared" ref="J82:N82" si="163">VLOOKUP($A82, INDIRECT(J$1&amp;"!B:E"), 4, FALSE)</f>
        <v/>
      </c>
      <c r="K82" s="42" t="str">
        <f t="shared" si="163"/>
        <v/>
      </c>
      <c r="L82" s="42" t="str">
        <f t="shared" si="163"/>
        <v/>
      </c>
      <c r="M82" s="42" t="str">
        <f t="shared" si="163"/>
        <v/>
      </c>
      <c r="N82" s="42" t="str">
        <f t="shared" si="163"/>
        <v/>
      </c>
      <c r="O82" s="41" t="str">
        <f>IFERROR(__xludf.DUMMYFUNCTION("IF(COUNTA(J82:N82)=0, """", ARRAYFORMULA(""- ""&amp;TEXTJOIN(char(10)&amp;""- "", TRUE, FILTER(J$1:N$1&amp;"": ""&amp;J82:N82, NOT(ISBLANK(J82:N82))))))"),"")</f>
        <v/>
      </c>
      <c r="P82" s="41" t="s">
        <v>414</v>
      </c>
      <c r="Q82" s="43" t="b">
        <v>1</v>
      </c>
    </row>
    <row r="83">
      <c r="A83" s="31" t="s">
        <v>320</v>
      </c>
      <c r="B83" s="31" t="s">
        <v>321</v>
      </c>
      <c r="C83" s="40"/>
      <c r="D83" s="40" t="b">
        <f t="shared" ref="D83:H83" si="164">VLOOKUP($A83, INDIRECT(D$1&amp;"!B:D"), 3, FALSE)</f>
        <v>0</v>
      </c>
      <c r="E83" s="40" t="str">
        <f t="shared" si="164"/>
        <v>TO DO</v>
      </c>
      <c r="F83" s="40" t="str">
        <f t="shared" si="164"/>
        <v>TO DO</v>
      </c>
      <c r="G83" s="40" t="b">
        <f t="shared" si="164"/>
        <v>0</v>
      </c>
      <c r="H83" s="40" t="b">
        <f t="shared" si="164"/>
        <v>0</v>
      </c>
      <c r="I83" s="41">
        <f t="shared" si="4"/>
        <v>1</v>
      </c>
      <c r="J83" s="42" t="str">
        <f t="shared" ref="J83:N83" si="165">VLOOKUP($A83, INDIRECT(J$1&amp;"!B:E"), 4, FALSE)</f>
        <v/>
      </c>
      <c r="K83" s="42" t="str">
        <f t="shared" si="165"/>
        <v/>
      </c>
      <c r="L83" s="42" t="str">
        <f t="shared" si="165"/>
        <v/>
      </c>
      <c r="M83" s="42" t="str">
        <f t="shared" si="165"/>
        <v/>
      </c>
      <c r="N83" s="42" t="str">
        <f t="shared" si="165"/>
        <v>no sentiment, value in the statement, it does not state if this new health insurance option will have any impact on things like universal health care access etc.</v>
      </c>
      <c r="O83" s="41" t="str">
        <f>IFERROR(__xludf.DUMMYFUNCTION("IF(COUNTA(J83:N83)=0, """", ARRAYFORMULA(""- ""&amp;TEXTJOIN(char(10)&amp;""- "", TRUE, FILTER(J$1:N$1&amp;"": ""&amp;J83:N83, NOT(ISBLANK(J83:N83))))))"),"- Steve: no sentiment, value in the statement, it does not state if this new health insurance option will have any impact on things like universal health care access etc.")</f>
        <v>- Steve: no sentiment, value in the statement, it does not state if this new health insurance option will have any impact on things like universal health care access etc.</v>
      </c>
      <c r="P83" s="41" t="s">
        <v>450</v>
      </c>
      <c r="Q83" s="43" t="b">
        <v>0</v>
      </c>
    </row>
    <row r="84">
      <c r="A84" s="31" t="s">
        <v>181</v>
      </c>
      <c r="B84" s="31" t="s">
        <v>182</v>
      </c>
      <c r="C84" s="40"/>
      <c r="D84" s="40" t="b">
        <f t="shared" ref="D84:H84" si="166">VLOOKUP($A84, INDIRECT(D$1&amp;"!B:D"), 3, FALSE)</f>
        <v>0</v>
      </c>
      <c r="E84" s="40" t="str">
        <f t="shared" si="166"/>
        <v>TO DO</v>
      </c>
      <c r="F84" s="40" t="str">
        <f t="shared" si="166"/>
        <v>TO DO</v>
      </c>
      <c r="G84" s="40" t="b">
        <f t="shared" si="166"/>
        <v>0</v>
      </c>
      <c r="H84" s="40" t="b">
        <f t="shared" si="166"/>
        <v>0</v>
      </c>
      <c r="I84" s="41">
        <f t="shared" si="4"/>
        <v>1</v>
      </c>
      <c r="J84" s="42" t="str">
        <f t="shared" ref="J84:N84" si="167">VLOOKUP($A84, INDIRECT(J$1&amp;"!B:E"), 4, FALSE)</f>
        <v/>
      </c>
      <c r="K84" s="42" t="str">
        <f t="shared" si="167"/>
        <v/>
      </c>
      <c r="L84" s="42" t="str">
        <f t="shared" si="167"/>
        <v/>
      </c>
      <c r="M84" s="42" t="str">
        <f t="shared" si="167"/>
        <v/>
      </c>
      <c r="N84" s="42" t="str">
        <f t="shared" si="167"/>
        <v/>
      </c>
      <c r="O84" s="41" t="str">
        <f>IFERROR(__xludf.DUMMYFUNCTION("IF(COUNTA(J84:N84)=0, """", ARRAYFORMULA(""- ""&amp;TEXTJOIN(char(10)&amp;""- "", TRUE, FILTER(J$1:N$1&amp;"": ""&amp;J84:N84, NOT(ISBLANK(J84:N84))))))"),"")</f>
        <v/>
      </c>
      <c r="P84" s="41" t="s">
        <v>414</v>
      </c>
      <c r="Q84" s="43" t="b">
        <v>0</v>
      </c>
    </row>
    <row r="85">
      <c r="A85" s="31" t="s">
        <v>269</v>
      </c>
      <c r="B85" s="31" t="s">
        <v>270</v>
      </c>
      <c r="C85" s="44" t="s">
        <v>404</v>
      </c>
      <c r="D85" s="40" t="b">
        <f t="shared" ref="D85:H85" si="168">VLOOKUP($A85, INDIRECT(D$1&amp;"!B:D"), 3, FALSE)</f>
        <v>1</v>
      </c>
      <c r="E85" s="40" t="str">
        <f t="shared" si="168"/>
        <v>TO DO</v>
      </c>
      <c r="F85" s="40" t="str">
        <f t="shared" si="168"/>
        <v>TO DO</v>
      </c>
      <c r="G85" s="40" t="b">
        <f t="shared" si="168"/>
        <v>0</v>
      </c>
      <c r="H85" s="40" t="b">
        <f t="shared" si="168"/>
        <v>0</v>
      </c>
      <c r="I85" s="41">
        <f t="shared" si="4"/>
        <v>0.3333333333</v>
      </c>
      <c r="J85" s="42" t="str">
        <f t="shared" ref="J85:N85" si="169">VLOOKUP($A85, INDIRECT(J$1&amp;"!B:E"), 4, FALSE)</f>
        <v/>
      </c>
      <c r="K85" s="42" t="str">
        <f t="shared" si="169"/>
        <v/>
      </c>
      <c r="L85" s="42" t="str">
        <f t="shared" si="169"/>
        <v/>
      </c>
      <c r="M85" s="42" t="str">
        <f t="shared" si="169"/>
        <v/>
      </c>
      <c r="N85" s="42" t="str">
        <f t="shared" si="169"/>
        <v>vaguely linked to healthcare access and affordability, but not strong enough and without value/sentiment</v>
      </c>
      <c r="O85" s="41" t="str">
        <f>IFERROR(__xludf.DUMMYFUNCTION("IF(COUNTA(J85:N85)=0, """", ARRAYFORMULA(""- ""&amp;TEXTJOIN(char(10)&amp;""- "", TRUE, FILTER(J$1:N$1&amp;"": ""&amp;J85:N85, NOT(ISBLANK(J85:N85))))))"),"- Steve: vaguely linked to healthcare access and affordability, but not strong enough and without value/sentiment")</f>
        <v>- Steve: vaguely linked to healthcare access and affordability, but not strong enough and without value/sentiment</v>
      </c>
      <c r="P85" s="41" t="s">
        <v>451</v>
      </c>
      <c r="Q85" s="43" t="s">
        <v>407</v>
      </c>
    </row>
    <row r="86">
      <c r="A86" s="31" t="s">
        <v>333</v>
      </c>
      <c r="B86" s="31" t="s">
        <v>334</v>
      </c>
      <c r="C86" s="7" t="s">
        <v>422</v>
      </c>
      <c r="D86" s="40" t="b">
        <f t="shared" ref="D86:H86" si="170">VLOOKUP($A86, INDIRECT(D$1&amp;"!B:D"), 3, FALSE)</f>
        <v>1</v>
      </c>
      <c r="E86" s="40" t="str">
        <f t="shared" si="170"/>
        <v>TO DO</v>
      </c>
      <c r="F86" s="40" t="str">
        <f t="shared" si="170"/>
        <v>TO DO</v>
      </c>
      <c r="G86" s="40" t="b">
        <f t="shared" si="170"/>
        <v>1</v>
      </c>
      <c r="H86" s="40" t="b">
        <f t="shared" si="170"/>
        <v>0</v>
      </c>
      <c r="I86" s="41">
        <f t="shared" si="4"/>
        <v>0.3333333333</v>
      </c>
      <c r="J86" s="42" t="str">
        <f t="shared" ref="J86:N86" si="171">VLOOKUP($A86, INDIRECT(J$1&amp;"!B:E"), 4, FALSE)</f>
        <v/>
      </c>
      <c r="K86" s="42" t="str">
        <f t="shared" si="171"/>
        <v/>
      </c>
      <c r="L86" s="42" t="str">
        <f t="shared" si="171"/>
        <v/>
      </c>
      <c r="M86" s="42" t="str">
        <f t="shared" si="171"/>
        <v/>
      </c>
      <c r="N86" s="42" t="str">
        <f t="shared" si="171"/>
        <v>not so much on substance abuse but more on trafficking </v>
      </c>
      <c r="O86" s="41" t="str">
        <f>IFERROR(__xludf.DUMMYFUNCTION("IF(COUNTA(J86:N86)=0, """", ARRAYFORMULA(""- ""&amp;TEXTJOIN(char(10)&amp;""- "", TRUE, FILTER(J$1:N$1&amp;"": ""&amp;J86:N86, NOT(ISBLANK(J86:N86))))))"),"- Steve: not so much on substance abuse but more on trafficking ")</f>
        <v>- Steve: not so much on substance abuse but more on trafficking </v>
      </c>
      <c r="P86" s="41" t="s">
        <v>452</v>
      </c>
      <c r="Q86" s="43" t="b">
        <v>0</v>
      </c>
      <c r="R86" s="5" t="s">
        <v>453</v>
      </c>
    </row>
    <row r="87">
      <c r="A87" s="31" t="s">
        <v>129</v>
      </c>
      <c r="B87" s="31" t="s">
        <v>130</v>
      </c>
      <c r="C87" s="7" t="s">
        <v>422</v>
      </c>
      <c r="D87" s="40" t="b">
        <f t="shared" ref="D87:H87" si="172">VLOOKUP($A87, INDIRECT(D$1&amp;"!B:D"), 3, FALSE)</f>
        <v>1</v>
      </c>
      <c r="E87" s="40" t="str">
        <f t="shared" si="172"/>
        <v>TO DO</v>
      </c>
      <c r="F87" s="40" t="str">
        <f t="shared" si="172"/>
        <v>TO DO</v>
      </c>
      <c r="G87" s="40" t="b">
        <f t="shared" si="172"/>
        <v>1</v>
      </c>
      <c r="H87" s="40" t="b">
        <f t="shared" si="172"/>
        <v>0</v>
      </c>
      <c r="I87" s="41">
        <f t="shared" si="4"/>
        <v>0.3333333333</v>
      </c>
      <c r="J87" s="42" t="str">
        <f t="shared" ref="J87:N87" si="173">VLOOKUP($A87, INDIRECT(J$1&amp;"!B:E"), 4, FALSE)</f>
        <v/>
      </c>
      <c r="K87" s="42" t="str">
        <f t="shared" si="173"/>
        <v/>
      </c>
      <c r="L87" s="42" t="str">
        <f t="shared" si="173"/>
        <v/>
      </c>
      <c r="M87" s="42" t="str">
        <f t="shared" si="173"/>
        <v/>
      </c>
      <c r="N87" s="42" t="str">
        <f t="shared" si="173"/>
        <v/>
      </c>
      <c r="O87" s="41" t="str">
        <f>IFERROR(__xludf.DUMMYFUNCTION("IF(COUNTA(J87:N87)=0, """", ARRAYFORMULA(""- ""&amp;TEXTJOIN(char(10)&amp;""- "", TRUE, FILTER(J$1:N$1&amp;"": ""&amp;J87:N87, NOT(ISBLANK(J87:N87))))))"),"")</f>
        <v/>
      </c>
      <c r="P87" s="41" t="s">
        <v>414</v>
      </c>
      <c r="Q87" s="43" t="b">
        <v>0</v>
      </c>
      <c r="R87" s="5" t="s">
        <v>423</v>
      </c>
    </row>
    <row r="88">
      <c r="A88" s="31" t="s">
        <v>134</v>
      </c>
      <c r="B88" s="31" t="s">
        <v>135</v>
      </c>
      <c r="C88" s="40"/>
      <c r="D88" s="40" t="b">
        <f t="shared" ref="D88:H88" si="174">VLOOKUP($A88, INDIRECT(D$1&amp;"!B:D"), 3, FALSE)</f>
        <v>0</v>
      </c>
      <c r="E88" s="40" t="str">
        <f t="shared" si="174"/>
        <v>TO DO</v>
      </c>
      <c r="F88" s="40" t="str">
        <f t="shared" si="174"/>
        <v>TO DO</v>
      </c>
      <c r="G88" s="40" t="b">
        <f t="shared" si="174"/>
        <v>0</v>
      </c>
      <c r="H88" s="40" t="b">
        <f t="shared" si="174"/>
        <v>0</v>
      </c>
      <c r="I88" s="41">
        <f t="shared" si="4"/>
        <v>1</v>
      </c>
      <c r="J88" s="42" t="str">
        <f t="shared" ref="J88:N88" si="175">VLOOKUP($A88, INDIRECT(J$1&amp;"!B:E"), 4, FALSE)</f>
        <v/>
      </c>
      <c r="K88" s="42" t="str">
        <f t="shared" si="175"/>
        <v/>
      </c>
      <c r="L88" s="42" t="str">
        <f t="shared" si="175"/>
        <v/>
      </c>
      <c r="M88" s="42" t="str">
        <f t="shared" si="175"/>
        <v/>
      </c>
      <c r="N88" s="42" t="str">
        <f t="shared" si="175"/>
        <v/>
      </c>
      <c r="O88" s="41" t="str">
        <f>IFERROR(__xludf.DUMMYFUNCTION("IF(COUNTA(J88:N88)=0, """", ARRAYFORMULA(""- ""&amp;TEXTJOIN(char(10)&amp;""- "", TRUE, FILTER(J$1:N$1&amp;"": ""&amp;J88:N88, NOT(ISBLANK(J88:N88))))))"),"")</f>
        <v/>
      </c>
      <c r="P88" s="41" t="s">
        <v>414</v>
      </c>
      <c r="Q88" s="43" t="b">
        <v>0</v>
      </c>
    </row>
    <row r="89">
      <c r="A89" s="31" t="s">
        <v>212</v>
      </c>
      <c r="B89" s="31" t="s">
        <v>213</v>
      </c>
      <c r="C89" s="40"/>
      <c r="D89" s="40" t="b">
        <f t="shared" ref="D89:H89" si="176">VLOOKUP($A89, INDIRECT(D$1&amp;"!B:D"), 3, FALSE)</f>
        <v>0</v>
      </c>
      <c r="E89" s="40" t="str">
        <f t="shared" si="176"/>
        <v>TO DO</v>
      </c>
      <c r="F89" s="40" t="str">
        <f t="shared" si="176"/>
        <v>TO DO</v>
      </c>
      <c r="G89" s="40" t="b">
        <f t="shared" si="176"/>
        <v>0</v>
      </c>
      <c r="H89" s="40" t="b">
        <f t="shared" si="176"/>
        <v>0</v>
      </c>
      <c r="I89" s="41">
        <f t="shared" si="4"/>
        <v>1</v>
      </c>
      <c r="J89" s="42" t="str">
        <f t="shared" ref="J89:N89" si="177">VLOOKUP($A89, INDIRECT(J$1&amp;"!B:E"), 4, FALSE)</f>
        <v>indirect</v>
      </c>
      <c r="K89" s="42" t="str">
        <f t="shared" si="177"/>
        <v/>
      </c>
      <c r="L89" s="42" t="str">
        <f t="shared" si="177"/>
        <v/>
      </c>
      <c r="M89" s="42" t="str">
        <f t="shared" si="177"/>
        <v/>
      </c>
      <c r="N89" s="42" t="str">
        <f t="shared" si="177"/>
        <v>linked to obesity but not really to specific SDG 3 objectives</v>
      </c>
      <c r="O89" s="41" t="str">
        <f>IFERROR(__xludf.DUMMYFUNCTION("IF(COUNTA(J89:N89)=0, """", ARRAYFORMULA(""- ""&amp;TEXTJOIN(char(10)&amp;""- "", TRUE, FILTER(J$1:N$1&amp;"": ""&amp;J89:N89, NOT(ISBLANK(J89:N89))))))"),"- Finn: indirect
- Steve: linked to obesity but not really to specific SDG 3 objectives")</f>
        <v>- Finn: indirect
- Steve: linked to obesity but not really to specific SDG 3 objectives</v>
      </c>
      <c r="P89" s="41" t="s">
        <v>454</v>
      </c>
      <c r="Q89" s="43" t="b">
        <v>0</v>
      </c>
    </row>
    <row r="90">
      <c r="A90" s="31" t="s">
        <v>292</v>
      </c>
      <c r="B90" s="31" t="s">
        <v>293</v>
      </c>
      <c r="C90" s="40"/>
      <c r="D90" s="40" t="b">
        <f t="shared" ref="D90:H90" si="178">VLOOKUP($A90, INDIRECT(D$1&amp;"!B:D"), 3, FALSE)</f>
        <v>0</v>
      </c>
      <c r="E90" s="40" t="str">
        <f t="shared" si="178"/>
        <v>TO DO</v>
      </c>
      <c r="F90" s="40" t="str">
        <f t="shared" si="178"/>
        <v>TO DO</v>
      </c>
      <c r="G90" s="40" t="b">
        <f t="shared" si="178"/>
        <v>0</v>
      </c>
      <c r="H90" s="40" t="b">
        <f t="shared" si="178"/>
        <v>0</v>
      </c>
      <c r="I90" s="41">
        <f t="shared" si="4"/>
        <v>1</v>
      </c>
      <c r="J90" s="42" t="str">
        <f t="shared" ref="J90:N90" si="179">VLOOKUP($A90, INDIRECT(J$1&amp;"!B:E"), 4, FALSE)</f>
        <v/>
      </c>
      <c r="K90" s="42" t="str">
        <f t="shared" si="179"/>
        <v/>
      </c>
      <c r="L90" s="42" t="str">
        <f t="shared" si="179"/>
        <v/>
      </c>
      <c r="M90" s="42" t="str">
        <f t="shared" si="179"/>
        <v/>
      </c>
      <c r="N90" s="42" t="str">
        <f t="shared" si="179"/>
        <v/>
      </c>
      <c r="O90" s="41" t="str">
        <f>IFERROR(__xludf.DUMMYFUNCTION("IF(COUNTA(J90:N90)=0, """", ARRAYFORMULA(""- ""&amp;TEXTJOIN(char(10)&amp;""- "", TRUE, FILTER(J$1:N$1&amp;"": ""&amp;J90:N90, NOT(ISBLANK(J90:N90))))))"),"")</f>
        <v/>
      </c>
      <c r="P90" s="41" t="s">
        <v>414</v>
      </c>
      <c r="Q90" s="43" t="b">
        <v>0</v>
      </c>
    </row>
    <row r="91">
      <c r="A91" s="31" t="s">
        <v>148</v>
      </c>
      <c r="B91" s="31" t="s">
        <v>149</v>
      </c>
      <c r="C91" s="44" t="s">
        <v>455</v>
      </c>
      <c r="D91" s="40" t="b">
        <f t="shared" ref="D91:H91" si="180">VLOOKUP($A91, INDIRECT(D$1&amp;"!B:D"), 3, FALSE)</f>
        <v>1</v>
      </c>
      <c r="E91" s="40" t="str">
        <f t="shared" si="180"/>
        <v>TO DO</v>
      </c>
      <c r="F91" s="40" t="str">
        <f t="shared" si="180"/>
        <v>TO DO</v>
      </c>
      <c r="G91" s="40" t="b">
        <f t="shared" si="180"/>
        <v>0</v>
      </c>
      <c r="H91" s="40" t="b">
        <f t="shared" si="180"/>
        <v>1</v>
      </c>
      <c r="I91" s="41">
        <f t="shared" si="4"/>
        <v>0.3333333333</v>
      </c>
      <c r="J91" s="42" t="str">
        <f t="shared" ref="J91:N91" si="181">VLOOKUP($A91, INDIRECT(J$1&amp;"!B:E"), 4, FALSE)</f>
        <v/>
      </c>
      <c r="K91" s="42" t="str">
        <f t="shared" si="181"/>
        <v/>
      </c>
      <c r="L91" s="42" t="str">
        <f t="shared" si="181"/>
        <v/>
      </c>
      <c r="M91" s="42" t="str">
        <f t="shared" si="181"/>
        <v/>
      </c>
      <c r="N91" s="42">
        <f t="shared" si="181"/>
        <v>3.6</v>
      </c>
      <c r="O91" s="41" t="str">
        <f>IFERROR(__xludf.DUMMYFUNCTION("IF(COUNTA(J91:N91)=0, """", ARRAYFORMULA(""- ""&amp;TEXTJOIN(char(10)&amp;""- "", TRUE, FILTER(J$1:N$1&amp;"": ""&amp;J91:N91, NOT(ISBLANK(J91:N91))))))"),"- Steve: 3.6")</f>
        <v>- Steve: 3.6</v>
      </c>
      <c r="P91" s="41" t="s">
        <v>447</v>
      </c>
      <c r="Q91" s="43" t="b">
        <v>1</v>
      </c>
      <c r="R91" s="5" t="s">
        <v>405</v>
      </c>
    </row>
    <row r="92">
      <c r="A92" s="31" t="s">
        <v>237</v>
      </c>
      <c r="B92" s="31" t="s">
        <v>238</v>
      </c>
      <c r="C92" s="39"/>
      <c r="D92" s="40" t="b">
        <f t="shared" ref="D92:H92" si="182">VLOOKUP($A92, INDIRECT(D$1&amp;"!B:D"), 3, FALSE)</f>
        <v>1</v>
      </c>
      <c r="E92" s="40" t="str">
        <f t="shared" si="182"/>
        <v>TO DO</v>
      </c>
      <c r="F92" s="40" t="str">
        <f t="shared" si="182"/>
        <v>TO DO</v>
      </c>
      <c r="G92" s="40" t="b">
        <f t="shared" si="182"/>
        <v>1</v>
      </c>
      <c r="H92" s="40" t="b">
        <f t="shared" si="182"/>
        <v>1</v>
      </c>
      <c r="I92" s="41">
        <f t="shared" si="4"/>
        <v>1</v>
      </c>
      <c r="J92" s="42" t="str">
        <f t="shared" ref="J92:N92" si="183">VLOOKUP($A92, INDIRECT(J$1&amp;"!B:E"), 4, FALSE)</f>
        <v>target 3.2</v>
      </c>
      <c r="K92" s="42" t="str">
        <f t="shared" si="183"/>
        <v/>
      </c>
      <c r="L92" s="42" t="str">
        <f t="shared" si="183"/>
        <v/>
      </c>
      <c r="M92" s="42" t="str">
        <f t="shared" si="183"/>
        <v/>
      </c>
      <c r="N92" s="42" t="str">
        <f t="shared" si="183"/>
        <v>child mortality</v>
      </c>
      <c r="O92" s="41" t="str">
        <f>IFERROR(__xludf.DUMMYFUNCTION("IF(COUNTA(J92:N92)=0, """", ARRAYFORMULA(""- ""&amp;TEXTJOIN(char(10)&amp;""- "", TRUE, FILTER(J$1:N$1&amp;"": ""&amp;J92:N92, NOT(ISBLANK(J92:N92))))))"),"- Finn: target 3.2
- Steve: child mortality")</f>
        <v>- Finn: target 3.2
- Steve: child mortality</v>
      </c>
      <c r="P92" s="41" t="s">
        <v>456</v>
      </c>
      <c r="Q92" s="43" t="b">
        <v>1</v>
      </c>
    </row>
    <row r="93">
      <c r="A93" s="31" t="s">
        <v>311</v>
      </c>
      <c r="B93" s="31" t="s">
        <v>312</v>
      </c>
      <c r="C93" s="7" t="s">
        <v>422</v>
      </c>
      <c r="D93" s="40" t="b">
        <f t="shared" ref="D93:H93" si="184">VLOOKUP($A93, INDIRECT(D$1&amp;"!B:D"), 3, FALSE)</f>
        <v>0</v>
      </c>
      <c r="E93" s="40" t="str">
        <f t="shared" si="184"/>
        <v>TO DO</v>
      </c>
      <c r="F93" s="40" t="str">
        <f t="shared" si="184"/>
        <v>TO DO</v>
      </c>
      <c r="G93" s="40" t="b">
        <f t="shared" si="184"/>
        <v>1</v>
      </c>
      <c r="H93" s="40" t="b">
        <f t="shared" si="184"/>
        <v>0</v>
      </c>
      <c r="I93" s="41">
        <f t="shared" si="4"/>
        <v>0.3333333333</v>
      </c>
      <c r="J93" s="42" t="str">
        <f t="shared" ref="J93:N93" si="185">VLOOKUP($A93, INDIRECT(J$1&amp;"!B:E"), 4, FALSE)</f>
        <v>too generic</v>
      </c>
      <c r="K93" s="42" t="str">
        <f t="shared" si="185"/>
        <v/>
      </c>
      <c r="L93" s="42" t="str">
        <f t="shared" si="185"/>
        <v/>
      </c>
      <c r="M93" s="42" t="str">
        <f t="shared" si="185"/>
        <v>it is about drug trafficing but not about use of drugs</v>
      </c>
      <c r="N93" s="42" t="str">
        <f t="shared" si="185"/>
        <v/>
      </c>
      <c r="O93" s="41" t="str">
        <f>IFERROR(__xludf.DUMMYFUNCTION("IF(COUNTA(J93:N93)=0, """", ARRAYFORMULA(""- ""&amp;TEXTJOIN(char(10)&amp;""- "", TRUE, FILTER(J$1:N$1&amp;"": ""&amp;J93:N93, NOT(ISBLANK(J93:N93))))))"),"- Finn: too generic
- Meike: it is about drug trafficing but not about use of drugs")</f>
        <v>- Finn: too generic
- Meike: it is about drug trafficing but not about use of drugs</v>
      </c>
      <c r="P93" s="41" t="s">
        <v>457</v>
      </c>
      <c r="Q93" s="43" t="b">
        <v>0</v>
      </c>
      <c r="R93" s="5" t="s">
        <v>423</v>
      </c>
    </row>
    <row r="94">
      <c r="A94" s="31" t="s">
        <v>154</v>
      </c>
      <c r="B94" s="31" t="s">
        <v>155</v>
      </c>
      <c r="C94" s="39"/>
      <c r="D94" s="40" t="b">
        <f t="shared" ref="D94:H94" si="186">VLOOKUP($A94, INDIRECT(D$1&amp;"!B:D"), 3, FALSE)</f>
        <v>0</v>
      </c>
      <c r="E94" s="40" t="str">
        <f t="shared" si="186"/>
        <v>TO DO</v>
      </c>
      <c r="F94" s="40" t="str">
        <f t="shared" si="186"/>
        <v>TO DO</v>
      </c>
      <c r="G94" s="40" t="b">
        <f t="shared" si="186"/>
        <v>0</v>
      </c>
      <c r="H94" s="40" t="b">
        <f t="shared" si="186"/>
        <v>0</v>
      </c>
      <c r="I94" s="41">
        <f t="shared" si="4"/>
        <v>1</v>
      </c>
      <c r="J94" s="42" t="str">
        <f t="shared" ref="J94:N94" si="187">VLOOKUP($A94, INDIRECT(J$1&amp;"!B:E"), 4, FALSE)</f>
        <v/>
      </c>
      <c r="K94" s="42" t="str">
        <f t="shared" si="187"/>
        <v/>
      </c>
      <c r="L94" s="42" t="str">
        <f t="shared" si="187"/>
        <v/>
      </c>
      <c r="M94" s="42" t="str">
        <f t="shared" si="187"/>
        <v/>
      </c>
      <c r="N94" s="42" t="str">
        <f t="shared" si="187"/>
        <v/>
      </c>
      <c r="O94" s="41" t="str">
        <f>IFERROR(__xludf.DUMMYFUNCTION("IF(COUNTA(J94:N94)=0, """", ARRAYFORMULA(""- ""&amp;TEXTJOIN(char(10)&amp;""- "", TRUE, FILTER(J$1:N$1&amp;"": ""&amp;J94:N94, NOT(ISBLANK(J94:N94))))))"),"")</f>
        <v/>
      </c>
      <c r="P94" s="41" t="s">
        <v>414</v>
      </c>
      <c r="Q94" s="43" t="b">
        <v>0</v>
      </c>
    </row>
    <row r="95">
      <c r="A95" s="31" t="s">
        <v>105</v>
      </c>
      <c r="B95" s="31" t="s">
        <v>106</v>
      </c>
      <c r="C95" s="7" t="s">
        <v>404</v>
      </c>
      <c r="D95" s="40" t="b">
        <f t="shared" ref="D95:H95" si="188">VLOOKUP($A95, INDIRECT(D$1&amp;"!B:D"), 3, FALSE)</f>
        <v>1</v>
      </c>
      <c r="E95" s="40" t="str">
        <f t="shared" si="188"/>
        <v>TO DO</v>
      </c>
      <c r="F95" s="40" t="str">
        <f t="shared" si="188"/>
        <v>TO DO</v>
      </c>
      <c r="G95" s="40" t="b">
        <f t="shared" si="188"/>
        <v>0</v>
      </c>
      <c r="H95" s="40" t="b">
        <f t="shared" si="188"/>
        <v>0</v>
      </c>
      <c r="I95" s="41">
        <f t="shared" si="4"/>
        <v>0.3333333333</v>
      </c>
      <c r="J95" s="42" t="str">
        <f t="shared" ref="J95:N95" si="189">VLOOKUP($A95, INDIRECT(J$1&amp;"!B:E"), 4, FALSE)</f>
        <v>gender equality and health</v>
      </c>
      <c r="K95" s="42" t="str">
        <f t="shared" si="189"/>
        <v/>
      </c>
      <c r="L95" s="42" t="str">
        <f t="shared" si="189"/>
        <v/>
      </c>
      <c r="M95" s="42" t="str">
        <f t="shared" si="189"/>
        <v>life expectancy, not about targets</v>
      </c>
      <c r="N95" s="42" t="str">
        <f t="shared" si="189"/>
        <v>on life expectancy divided by gender, not really linked to SDG 3 or its targets</v>
      </c>
      <c r="O95" s="41" t="str">
        <f>IFERROR(__xludf.DUMMYFUNCTION("IF(COUNTA(J95:N95)=0, """", ARRAYFORMULA(""- ""&amp;TEXTJOIN(char(10)&amp;""- "", TRUE, FILTER(J$1:N$1&amp;"": ""&amp;J95:N95, NOT(ISBLANK(J95:N95))))))"),"- Finn: gender equality and health
- Meike: life expectancy, not about targets
- Steve: on life expectancy divided by gender, not really linked to SDG 3 or its targets")</f>
        <v>- Finn: gender equality and health
- Meike: life expectancy, not about targets
- Steve: on life expectancy divided by gender, not really linked to SDG 3 or its targets</v>
      </c>
      <c r="P95" s="41" t="s">
        <v>458</v>
      </c>
      <c r="Q95" s="43" t="s">
        <v>407</v>
      </c>
    </row>
    <row r="96">
      <c r="A96" s="31" t="s">
        <v>179</v>
      </c>
      <c r="B96" s="31" t="s">
        <v>180</v>
      </c>
      <c r="C96" s="44" t="s">
        <v>455</v>
      </c>
      <c r="D96" s="40" t="b">
        <f t="shared" ref="D96:H96" si="190">VLOOKUP($A96, INDIRECT(D$1&amp;"!B:D"), 3, FALSE)</f>
        <v>1</v>
      </c>
      <c r="E96" s="40" t="str">
        <f t="shared" si="190"/>
        <v>TO DO</v>
      </c>
      <c r="F96" s="40" t="str">
        <f t="shared" si="190"/>
        <v>TO DO</v>
      </c>
      <c r="G96" s="40" t="b">
        <f t="shared" si="190"/>
        <v>0</v>
      </c>
      <c r="H96" s="40" t="b">
        <f t="shared" si="190"/>
        <v>1</v>
      </c>
      <c r="I96" s="41">
        <f t="shared" si="4"/>
        <v>0.3333333333</v>
      </c>
      <c r="J96" s="42" t="str">
        <f t="shared" ref="J96:N96" si="191">VLOOKUP($A96, INDIRECT(J$1&amp;"!B:E"), 4, FALSE)</f>
        <v/>
      </c>
      <c r="K96" s="42" t="str">
        <f t="shared" si="191"/>
        <v/>
      </c>
      <c r="L96" s="42" t="str">
        <f t="shared" si="191"/>
        <v/>
      </c>
      <c r="M96" s="42" t="str">
        <f t="shared" si="191"/>
        <v/>
      </c>
      <c r="N96" s="42" t="str">
        <f t="shared" si="191"/>
        <v/>
      </c>
      <c r="O96" s="41" t="str">
        <f>IFERROR(__xludf.DUMMYFUNCTION("IF(COUNTA(J96:N96)=0, """", ARRAYFORMULA(""- ""&amp;TEXTJOIN(char(10)&amp;""- "", TRUE, FILTER(J$1:N$1&amp;"": ""&amp;J96:N96, NOT(ISBLANK(J96:N96))))))"),"")</f>
        <v/>
      </c>
      <c r="P96" s="41" t="s">
        <v>414</v>
      </c>
      <c r="Q96" s="43" t="b">
        <v>1</v>
      </c>
      <c r="R96" s="5" t="s">
        <v>405</v>
      </c>
    </row>
    <row r="97">
      <c r="A97" s="31" t="s">
        <v>243</v>
      </c>
      <c r="B97" s="31" t="s">
        <v>244</v>
      </c>
      <c r="C97" s="40"/>
      <c r="D97" s="40" t="b">
        <f t="shared" ref="D97:H97" si="192">VLOOKUP($A97, INDIRECT(D$1&amp;"!B:D"), 3, FALSE)</f>
        <v>0</v>
      </c>
      <c r="E97" s="40" t="str">
        <f t="shared" si="192"/>
        <v>TO DO</v>
      </c>
      <c r="F97" s="40" t="str">
        <f t="shared" si="192"/>
        <v>TO DO</v>
      </c>
      <c r="G97" s="40" t="b">
        <f t="shared" si="192"/>
        <v>0</v>
      </c>
      <c r="H97" s="40" t="b">
        <f t="shared" si="192"/>
        <v>0</v>
      </c>
      <c r="I97" s="41">
        <f t="shared" si="4"/>
        <v>1</v>
      </c>
      <c r="J97" s="42" t="str">
        <f t="shared" ref="J97:N97" si="193">VLOOKUP($A97, INDIRECT(J$1&amp;"!B:E"), 4, FALSE)</f>
        <v/>
      </c>
      <c r="K97" s="42" t="str">
        <f t="shared" si="193"/>
        <v/>
      </c>
      <c r="L97" s="42" t="str">
        <f t="shared" si="193"/>
        <v/>
      </c>
      <c r="M97" s="42" t="str">
        <f t="shared" si="193"/>
        <v>factual</v>
      </c>
      <c r="N97" s="42" t="str">
        <f t="shared" si="193"/>
        <v/>
      </c>
      <c r="O97" s="41" t="str">
        <f>IFERROR(__xludf.DUMMYFUNCTION("IF(COUNTA(J97:N97)=0, """", ARRAYFORMULA(""- ""&amp;TEXTJOIN(char(10)&amp;""- "", TRUE, FILTER(J$1:N$1&amp;"": ""&amp;J97:N97, NOT(ISBLANK(J97:N97))))))"),"- Meike: factual")</f>
        <v>- Meike: factual</v>
      </c>
      <c r="P97" s="41" t="s">
        <v>459</v>
      </c>
      <c r="Q97" s="43" t="b">
        <v>0</v>
      </c>
    </row>
    <row r="98">
      <c r="A98" s="31" t="s">
        <v>305</v>
      </c>
      <c r="B98" s="31" t="s">
        <v>306</v>
      </c>
      <c r="C98" s="40"/>
      <c r="D98" s="40" t="b">
        <f t="shared" ref="D98:H98" si="194">VLOOKUP($A98, INDIRECT(D$1&amp;"!B:D"), 3, FALSE)</f>
        <v>0</v>
      </c>
      <c r="E98" s="40" t="str">
        <f t="shared" si="194"/>
        <v>TO DO</v>
      </c>
      <c r="F98" s="40" t="str">
        <f t="shared" si="194"/>
        <v>TO DO</v>
      </c>
      <c r="G98" s="40" t="b">
        <f t="shared" si="194"/>
        <v>0</v>
      </c>
      <c r="H98" s="40" t="b">
        <f t="shared" si="194"/>
        <v>0</v>
      </c>
      <c r="I98" s="41">
        <f t="shared" si="4"/>
        <v>1</v>
      </c>
      <c r="J98" s="42" t="str">
        <f t="shared" ref="J98:N98" si="195">VLOOKUP($A98, INDIRECT(J$1&amp;"!B:E"), 4, FALSE)</f>
        <v/>
      </c>
      <c r="K98" s="42" t="str">
        <f t="shared" si="195"/>
        <v/>
      </c>
      <c r="L98" s="42" t="str">
        <f t="shared" si="195"/>
        <v/>
      </c>
      <c r="M98" s="42" t="str">
        <f t="shared" si="195"/>
        <v/>
      </c>
      <c r="N98" s="42" t="str">
        <f t="shared" si="195"/>
        <v>Workers rights, health and safety, but no directly addressed by SDG 3 (SDG 8 instead)</v>
      </c>
      <c r="O98" s="41" t="str">
        <f>IFERROR(__xludf.DUMMYFUNCTION("IF(COUNTA(J98:N98)=0, """", ARRAYFORMULA(""- ""&amp;TEXTJOIN(char(10)&amp;""- "", TRUE, FILTER(J$1:N$1&amp;"": ""&amp;J98:N98, NOT(ISBLANK(J98:N98))))))"),"- Steve: Workers rights, health and safety, but no directly addressed by SDG 3 (SDG 8 instead)")</f>
        <v>- Steve: Workers rights, health and safety, but no directly addressed by SDG 3 (SDG 8 instead)</v>
      </c>
      <c r="P98" s="41" t="s">
        <v>460</v>
      </c>
      <c r="Q98" s="43" t="b">
        <v>0</v>
      </c>
    </row>
    <row r="99">
      <c r="A99" s="31" t="s">
        <v>234</v>
      </c>
      <c r="B99" s="31" t="s">
        <v>235</v>
      </c>
      <c r="C99" s="40"/>
      <c r="D99" s="40" t="b">
        <f t="shared" ref="D99:H99" si="196">VLOOKUP($A99, INDIRECT(D$1&amp;"!B:D"), 3, FALSE)</f>
        <v>1</v>
      </c>
      <c r="E99" s="40" t="str">
        <f t="shared" si="196"/>
        <v>TO DO</v>
      </c>
      <c r="F99" s="40" t="str">
        <f t="shared" si="196"/>
        <v>TO DO</v>
      </c>
      <c r="G99" s="40" t="b">
        <f t="shared" si="196"/>
        <v>1</v>
      </c>
      <c r="H99" s="40" t="b">
        <f t="shared" si="196"/>
        <v>1</v>
      </c>
      <c r="I99" s="41">
        <f t="shared" si="4"/>
        <v>1</v>
      </c>
      <c r="J99" s="42" t="str">
        <f t="shared" ref="J99:N99" si="197">VLOOKUP($A99, INDIRECT(J$1&amp;"!B:E"), 4, FALSE)</f>
        <v/>
      </c>
      <c r="K99" s="42" t="str">
        <f t="shared" si="197"/>
        <v/>
      </c>
      <c r="L99" s="42" t="str">
        <f t="shared" si="197"/>
        <v/>
      </c>
      <c r="M99" s="42" t="str">
        <f t="shared" si="197"/>
        <v>idem</v>
      </c>
      <c r="N99" s="42" t="str">
        <f t="shared" si="197"/>
        <v>substance abuse (not only trafficking)</v>
      </c>
      <c r="O99" s="41" t="str">
        <f>IFERROR(__xludf.DUMMYFUNCTION("IF(COUNTA(J99:N99)=0, """", ARRAYFORMULA(""- ""&amp;TEXTJOIN(char(10)&amp;""- "", TRUE, FILTER(J$1:N$1&amp;"": ""&amp;J99:N99, NOT(ISBLANK(J99:N99))))))"),"- Meike: idem
- Steve: substance abuse (not only trafficking)")</f>
        <v>- Meike: idem
- Steve: substance abuse (not only trafficking)</v>
      </c>
      <c r="P99" s="41" t="s">
        <v>461</v>
      </c>
      <c r="Q99" s="43" t="b">
        <v>1</v>
      </c>
    </row>
    <row r="100">
      <c r="A100" s="31" t="s">
        <v>126</v>
      </c>
      <c r="B100" s="31" t="s">
        <v>127</v>
      </c>
      <c r="C100" s="7" t="s">
        <v>430</v>
      </c>
      <c r="D100" s="40" t="b">
        <f t="shared" ref="D100:H100" si="198">VLOOKUP($A100, INDIRECT(D$1&amp;"!B:D"), 3, FALSE)</f>
        <v>1</v>
      </c>
      <c r="E100" s="40" t="str">
        <f t="shared" si="198"/>
        <v>TO DO</v>
      </c>
      <c r="F100" s="40" t="str">
        <f t="shared" si="198"/>
        <v>TO DO</v>
      </c>
      <c r="G100" s="40" t="b">
        <f t="shared" si="198"/>
        <v>0</v>
      </c>
      <c r="H100" s="40" t="b">
        <f t="shared" si="198"/>
        <v>1</v>
      </c>
      <c r="I100" s="41">
        <f t="shared" si="4"/>
        <v>0.3333333333</v>
      </c>
      <c r="J100" s="42" t="str">
        <f t="shared" ref="J100:N100" si="199">VLOOKUP($A100, INDIRECT(J$1&amp;"!B:E"), 4, FALSE)</f>
        <v/>
      </c>
      <c r="K100" s="42" t="str">
        <f t="shared" si="199"/>
        <v/>
      </c>
      <c r="L100" s="42" t="str">
        <f t="shared" si="199"/>
        <v/>
      </c>
      <c r="M100" s="42" t="str">
        <f t="shared" si="199"/>
        <v/>
      </c>
      <c r="N100" s="42" t="str">
        <f t="shared" si="199"/>
        <v>NCDs (3.4)</v>
      </c>
      <c r="O100" s="41" t="str">
        <f>IFERROR(__xludf.DUMMYFUNCTION("IF(COUNTA(J100:N100)=0, """", ARRAYFORMULA(""- ""&amp;TEXTJOIN(char(10)&amp;""- "", TRUE, FILTER(J$1:N$1&amp;"": ""&amp;J100:N100, NOT(ISBLANK(J100:N100))))))"),"- Steve: NCDs (3.4)")</f>
        <v>- Steve: NCDs (3.4)</v>
      </c>
      <c r="P100" s="41" t="s">
        <v>462</v>
      </c>
      <c r="Q100" s="43" t="b">
        <v>1</v>
      </c>
      <c r="S100" s="5" t="s">
        <v>165</v>
      </c>
    </row>
    <row r="101">
      <c r="A101" s="31" t="s">
        <v>278</v>
      </c>
      <c r="B101" s="31" t="s">
        <v>279</v>
      </c>
      <c r="C101" s="44" t="s">
        <v>404</v>
      </c>
      <c r="D101" s="40" t="b">
        <f t="shared" ref="D101:H101" si="200">VLOOKUP($A101, INDIRECT(D$1&amp;"!B:D"), 3, FALSE)</f>
        <v>1</v>
      </c>
      <c r="E101" s="40" t="str">
        <f t="shared" si="200"/>
        <v>TO DO</v>
      </c>
      <c r="F101" s="40" t="str">
        <f t="shared" si="200"/>
        <v>TO DO</v>
      </c>
      <c r="G101" s="40" t="b">
        <f t="shared" si="200"/>
        <v>0</v>
      </c>
      <c r="H101" s="40" t="b">
        <f t="shared" si="200"/>
        <v>0</v>
      </c>
      <c r="I101" s="41">
        <f t="shared" si="4"/>
        <v>0.3333333333</v>
      </c>
      <c r="J101" s="42" t="str">
        <f t="shared" ref="J101:N101" si="201">VLOOKUP($A101, INDIRECT(J$1&amp;"!B:E"), 4, FALSE)</f>
        <v/>
      </c>
      <c r="K101" s="42" t="str">
        <f t="shared" si="201"/>
        <v/>
      </c>
      <c r="L101" s="42" t="str">
        <f t="shared" si="201"/>
        <v/>
      </c>
      <c r="M101" s="42" t="str">
        <f t="shared" si="201"/>
        <v/>
      </c>
      <c r="N101" s="42" t="str">
        <f t="shared" si="201"/>
        <v>not clear what text is about</v>
      </c>
      <c r="O101" s="41" t="str">
        <f>IFERROR(__xludf.DUMMYFUNCTION("IF(COUNTA(J101:N101)=0, """", ARRAYFORMULA(""- ""&amp;TEXTJOIN(char(10)&amp;""- "", TRUE, FILTER(J$1:N$1&amp;"": ""&amp;J101:N101, NOT(ISBLANK(J101:N101))))))"),"- Steve: not clear what text is about")</f>
        <v>- Steve: not clear what text is about</v>
      </c>
      <c r="P101" s="41" t="s">
        <v>463</v>
      </c>
      <c r="Q101" s="43" t="s">
        <v>407</v>
      </c>
    </row>
  </sheetData>
  <autoFilter ref="$A$1:$S$101"/>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5" t="s">
        <v>464</v>
      </c>
      <c r="B1" s="15" t="s">
        <v>380</v>
      </c>
      <c r="C1" s="15" t="s">
        <v>381</v>
      </c>
      <c r="D1" s="15" t="s">
        <v>386</v>
      </c>
      <c r="E1" s="15" t="s">
        <v>465</v>
      </c>
      <c r="F1" s="15" t="s">
        <v>378</v>
      </c>
      <c r="G1" s="15" t="s">
        <v>466</v>
      </c>
    </row>
    <row r="2">
      <c r="A2" s="16" t="str">
        <f t="shared" ref="A2:A77" si="1">LEFT(MD5(B2), 7)</f>
        <v>#NAME?</v>
      </c>
      <c r="B2" s="31" t="s">
        <v>281</v>
      </c>
      <c r="C2" s="5">
        <v>3.0</v>
      </c>
      <c r="D2" s="7" t="b">
        <v>0</v>
      </c>
      <c r="E2" s="31" t="s">
        <v>280</v>
      </c>
      <c r="F2" s="16" t="str">
        <f t="array" ref="F2">VLOOKUP(E2,{Source!B:B,Source!A:A},2,FALSE)</f>
        <v>10.1787/5jrxr7qx6ctb-en</v>
      </c>
    </row>
    <row r="3">
      <c r="A3" s="16" t="str">
        <f t="shared" si="1"/>
        <v>#NAME?</v>
      </c>
      <c r="B3" s="31" t="s">
        <v>323</v>
      </c>
      <c r="C3" s="5">
        <v>3.0</v>
      </c>
      <c r="D3" s="7" t="b">
        <v>0</v>
      </c>
      <c r="E3" s="31" t="s">
        <v>322</v>
      </c>
      <c r="F3" s="16" t="str">
        <f t="array" ref="F3">VLOOKUP(E3,{Source!B:B,Source!A:A},2,FALSE)</f>
        <v>10.18356/9bf8d10f-en</v>
      </c>
    </row>
    <row r="4">
      <c r="A4" s="16" t="str">
        <f t="shared" si="1"/>
        <v>#NAME?</v>
      </c>
      <c r="B4" s="31" t="s">
        <v>336</v>
      </c>
      <c r="C4" s="5">
        <v>3.0</v>
      </c>
      <c r="D4" s="7" t="b">
        <v>1</v>
      </c>
      <c r="E4" s="31" t="s">
        <v>335</v>
      </c>
      <c r="F4" s="16" t="str">
        <f t="array" ref="F4">VLOOKUP(E4,{Source!B:B,Source!A:A},2,FALSE)</f>
        <v>10.1787/5k912j389bf0-en</v>
      </c>
    </row>
    <row r="5">
      <c r="A5" s="16" t="str">
        <f t="shared" si="1"/>
        <v>#NAME?</v>
      </c>
      <c r="B5" s="45" t="s">
        <v>467</v>
      </c>
      <c r="C5" s="5">
        <v>3.0</v>
      </c>
      <c r="D5" s="7" t="b">
        <v>0</v>
      </c>
      <c r="E5" s="31" t="s">
        <v>163</v>
      </c>
      <c r="F5" s="16" t="str">
        <f t="array" ref="F5">VLOOKUP(E5,{Source!B:B,Source!A:A},2,FALSE)</f>
        <v>10.1787/5jz158xmxkwj-en</v>
      </c>
      <c r="G5" s="5" t="s">
        <v>468</v>
      </c>
    </row>
    <row r="6">
      <c r="A6" s="16" t="str">
        <f t="shared" si="1"/>
        <v>#NAME?</v>
      </c>
      <c r="B6" s="31" t="s">
        <v>260</v>
      </c>
      <c r="C6" s="5">
        <v>3.0</v>
      </c>
      <c r="D6" s="7" t="b">
        <v>0</v>
      </c>
      <c r="E6" s="31" t="s">
        <v>259</v>
      </c>
      <c r="F6" s="16" t="str">
        <f t="array" ref="F6">VLOOKUP(E6,{Source!B:B,Source!A:A},2,FALSE)</f>
        <v>10.1787/5k912j389bf0-en</v>
      </c>
    </row>
    <row r="7">
      <c r="A7" s="16" t="str">
        <f t="shared" si="1"/>
        <v>#NAME?</v>
      </c>
      <c r="B7" s="31" t="s">
        <v>103</v>
      </c>
      <c r="C7" s="5">
        <v>3.0</v>
      </c>
      <c r="D7" s="7" t="b">
        <v>0</v>
      </c>
      <c r="E7" s="31" t="s">
        <v>102</v>
      </c>
      <c r="F7" s="16" t="str">
        <f t="array" ref="F7">VLOOKUP(E7,{Source!B:B,Source!A:A},2,FALSE)</f>
        <v>10.18356/6c96c7f1-en</v>
      </c>
    </row>
    <row r="8">
      <c r="A8" s="16" t="str">
        <f t="shared" si="1"/>
        <v>#NAME?</v>
      </c>
      <c r="B8" s="45" t="s">
        <v>469</v>
      </c>
      <c r="C8" s="5">
        <v>3.0</v>
      </c>
      <c r="D8" s="7" t="b">
        <v>0</v>
      </c>
      <c r="E8" s="31" t="s">
        <v>112</v>
      </c>
      <c r="F8" s="16" t="str">
        <f t="array" ref="F8">VLOOKUP(E8,{Source!B:B,Source!A:A},2,FALSE)</f>
        <v>10.1787/5k912j389bf0-en</v>
      </c>
      <c r="G8" s="5" t="s">
        <v>468</v>
      </c>
    </row>
    <row r="9">
      <c r="A9" s="16" t="str">
        <f t="shared" si="1"/>
        <v>#NAME?</v>
      </c>
      <c r="B9" s="31" t="s">
        <v>137</v>
      </c>
      <c r="C9" s="5">
        <v>3.0</v>
      </c>
      <c r="D9" s="7" t="b">
        <v>0</v>
      </c>
      <c r="E9" s="31" t="s">
        <v>136</v>
      </c>
      <c r="F9" s="16" t="str">
        <f t="array" ref="F9">VLOOKUP(E9,{Source!B:B,Source!A:A},2,FALSE)</f>
        <v>10.18356/9bf8d10f-en</v>
      </c>
    </row>
    <row r="10">
      <c r="A10" s="16" t="str">
        <f t="shared" si="1"/>
        <v>#NAME?</v>
      </c>
      <c r="B10" s="31" t="s">
        <v>197</v>
      </c>
      <c r="C10" s="5">
        <v>3.0</v>
      </c>
      <c r="D10" s="7" t="b">
        <v>0</v>
      </c>
      <c r="E10" s="31" t="s">
        <v>196</v>
      </c>
      <c r="F10" s="16" t="str">
        <f t="array" ref="F10">VLOOKUP(E10,{Source!B:B,Source!A:A},2,FALSE)</f>
        <v>10.18356/7d5576e0-en</v>
      </c>
    </row>
    <row r="11">
      <c r="A11" s="16" t="str">
        <f t="shared" si="1"/>
        <v>#NAME?</v>
      </c>
      <c r="B11" s="31" t="s">
        <v>120</v>
      </c>
      <c r="C11" s="5">
        <v>3.0</v>
      </c>
      <c r="D11" s="7" t="b">
        <v>0</v>
      </c>
      <c r="E11" s="31" t="s">
        <v>119</v>
      </c>
      <c r="F11" s="16" t="str">
        <f t="array" ref="F11">VLOOKUP(E11,{Source!B:B,Source!A:A},2,FALSE)</f>
        <v>10.1787/9789264233775-6-en</v>
      </c>
    </row>
    <row r="12">
      <c r="A12" s="16" t="str">
        <f t="shared" si="1"/>
        <v>#NAME?</v>
      </c>
      <c r="B12" s="31" t="s">
        <v>188</v>
      </c>
      <c r="C12" s="5">
        <v>3.0</v>
      </c>
      <c r="D12" s="7" t="b">
        <v>0</v>
      </c>
      <c r="E12" s="31" t="s">
        <v>187</v>
      </c>
      <c r="F12" s="16" t="str">
        <f t="array" ref="F12">VLOOKUP(E12,{Source!B:B,Source!A:A},2,FALSE)</f>
        <v>10.18356/73320136-en</v>
      </c>
    </row>
    <row r="13">
      <c r="A13" s="16" t="str">
        <f t="shared" si="1"/>
        <v>#NAME?</v>
      </c>
      <c r="B13" s="31" t="s">
        <v>205</v>
      </c>
      <c r="C13" s="5">
        <v>3.0</v>
      </c>
      <c r="D13" s="7" t="b">
        <v>1</v>
      </c>
      <c r="E13" s="31" t="s">
        <v>204</v>
      </c>
      <c r="F13" s="16" t="str">
        <f t="array" ref="F13">VLOOKUP(E13,{Source!B:B,Source!A:A},2,FALSE)</f>
        <v>10.1787/5k424rdzj3bx-en</v>
      </c>
    </row>
    <row r="14">
      <c r="A14" s="16" t="str">
        <f t="shared" si="1"/>
        <v>#NAME?</v>
      </c>
      <c r="B14" s="31" t="s">
        <v>241</v>
      </c>
      <c r="C14" s="5">
        <v>3.0</v>
      </c>
      <c r="D14" s="7" t="b">
        <v>1</v>
      </c>
      <c r="E14" s="31" t="s">
        <v>240</v>
      </c>
      <c r="F14" s="16" t="str">
        <f t="array" ref="F14">VLOOKUP(E14,{Source!B:B,Source!A:A},2,FALSE)</f>
        <v>10.1787/5k424rdzj3bx-en</v>
      </c>
    </row>
    <row r="15">
      <c r="A15" s="16" t="str">
        <f t="shared" si="1"/>
        <v>#NAME?</v>
      </c>
      <c r="B15" s="31" t="s">
        <v>233</v>
      </c>
      <c r="C15" s="5">
        <v>3.0</v>
      </c>
      <c r="D15" s="7" t="b">
        <v>0</v>
      </c>
      <c r="E15" s="31" t="s">
        <v>232</v>
      </c>
      <c r="F15" s="16" t="str">
        <f t="array" ref="F15">VLOOKUP(E15,{Source!B:B,Source!A:A},2,FALSE)</f>
        <v>10.18356/1c11fde8-en</v>
      </c>
      <c r="G15" s="5" t="s">
        <v>423</v>
      </c>
    </row>
    <row r="16">
      <c r="A16" s="16" t="str">
        <f t="shared" si="1"/>
        <v>#NAME?</v>
      </c>
      <c r="B16" s="31" t="s">
        <v>262</v>
      </c>
      <c r="C16" s="5">
        <v>3.0</v>
      </c>
      <c r="D16" s="7" t="b">
        <v>0</v>
      </c>
      <c r="E16" s="31" t="s">
        <v>261</v>
      </c>
      <c r="F16" s="16" t="str">
        <f t="array" ref="F16">VLOOKUP(E16,{Source!B:B,Source!A:A},2,FALSE)</f>
        <v>10.18356/7d5576e0-en</v>
      </c>
    </row>
    <row r="17">
      <c r="A17" s="16" t="str">
        <f t="shared" si="1"/>
        <v>#NAME?</v>
      </c>
      <c r="B17" s="31" t="s">
        <v>223</v>
      </c>
      <c r="C17" s="5">
        <v>3.0</v>
      </c>
      <c r="D17" s="7" t="b">
        <v>0</v>
      </c>
      <c r="E17" s="31" t="s">
        <v>222</v>
      </c>
      <c r="F17" s="16" t="str">
        <f t="array" ref="F17">VLOOKUP(E17,{Source!B:B,Source!A:A},2,FALSE)</f>
        <v>10.18356/2dd5352f-en</v>
      </c>
    </row>
    <row r="18">
      <c r="A18" s="16" t="str">
        <f t="shared" si="1"/>
        <v>#NAME?</v>
      </c>
      <c r="B18" s="45" t="s">
        <v>470</v>
      </c>
      <c r="C18" s="5">
        <v>3.0</v>
      </c>
      <c r="D18" s="7" t="b">
        <v>0</v>
      </c>
      <c r="E18" s="31" t="s">
        <v>184</v>
      </c>
      <c r="F18" s="16" t="str">
        <f t="array" ref="F18">VLOOKUP(E18,{Source!B:B,Source!A:A},2,FALSE)</f>
        <v>10.1787/9789264267787-en</v>
      </c>
      <c r="G18" s="5" t="s">
        <v>471</v>
      </c>
    </row>
    <row r="19">
      <c r="A19" s="16" t="str">
        <f t="shared" si="1"/>
        <v>#NAME?</v>
      </c>
      <c r="B19" s="31" t="s">
        <v>252</v>
      </c>
      <c r="C19" s="5">
        <v>3.0</v>
      </c>
      <c r="D19" s="7" t="b">
        <v>0</v>
      </c>
      <c r="E19" s="31" t="s">
        <v>251</v>
      </c>
      <c r="F19" s="16" t="str">
        <f t="array" ref="F19">VLOOKUP(E19,{Source!B:B,Source!A:A},2,FALSE)</f>
        <v>10.18356/83efcfeb-en</v>
      </c>
    </row>
    <row r="20">
      <c r="A20" s="16" t="str">
        <f t="shared" si="1"/>
        <v>#NAME?</v>
      </c>
      <c r="B20" s="31" t="s">
        <v>288</v>
      </c>
      <c r="C20" s="5">
        <v>3.0</v>
      </c>
      <c r="D20" s="7" t="b">
        <v>1</v>
      </c>
      <c r="E20" s="31" t="s">
        <v>287</v>
      </c>
      <c r="F20" s="16" t="str">
        <f t="array" ref="F20">VLOOKUP(E20,{Source!B:B,Source!A:A},2,FALSE)</f>
        <v>10.18356/7921771c-en</v>
      </c>
    </row>
    <row r="21">
      <c r="A21" s="16" t="str">
        <f t="shared" si="1"/>
        <v>#NAME?</v>
      </c>
      <c r="B21" s="45" t="s">
        <v>472</v>
      </c>
      <c r="C21" s="5">
        <v>3.0</v>
      </c>
      <c r="D21" s="7" t="b">
        <v>0</v>
      </c>
      <c r="E21" s="31" t="s">
        <v>139</v>
      </c>
      <c r="F21" s="16" t="str">
        <f t="array" ref="F21">VLOOKUP(E21,{Source!B:B,Source!A:A},2,FALSE)</f>
        <v>10.1787/9789264248908-5-en</v>
      </c>
      <c r="G21" s="5" t="s">
        <v>468</v>
      </c>
    </row>
    <row r="22">
      <c r="A22" s="16" t="str">
        <f t="shared" si="1"/>
        <v>#NAME?</v>
      </c>
      <c r="B22" s="45" t="s">
        <v>473</v>
      </c>
      <c r="C22" s="5">
        <v>3.0</v>
      </c>
      <c r="D22" s="7" t="b">
        <v>0</v>
      </c>
      <c r="E22" s="31" t="s">
        <v>132</v>
      </c>
      <c r="F22" s="16" t="str">
        <f t="array" ref="F22">VLOOKUP(E22,{Source!B:B,Source!A:A},2,FALSE)</f>
        <v>10.1787/9789264230491-5-en</v>
      </c>
      <c r="G22" s="5" t="s">
        <v>474</v>
      </c>
    </row>
    <row r="23">
      <c r="A23" s="16" t="str">
        <f t="shared" si="1"/>
        <v>#NAME?</v>
      </c>
      <c r="B23" s="45" t="s">
        <v>475</v>
      </c>
      <c r="C23" s="5">
        <v>3.0</v>
      </c>
      <c r="D23" s="7" t="b">
        <v>0</v>
      </c>
      <c r="E23" s="31" t="s">
        <v>157</v>
      </c>
      <c r="F23" s="16" t="str">
        <f t="array" ref="F23">VLOOKUP(E23,{Source!B:B,Source!A:A},2,FALSE)</f>
        <v>10.1787/9789264239487-7-en</v>
      </c>
      <c r="G23" s="5" t="s">
        <v>468</v>
      </c>
    </row>
    <row r="24">
      <c r="A24" s="16" t="str">
        <f t="shared" si="1"/>
        <v>#NAME?</v>
      </c>
      <c r="B24" s="31" t="s">
        <v>96</v>
      </c>
      <c r="C24" s="5">
        <v>3.0</v>
      </c>
      <c r="D24" s="7" t="b">
        <v>0</v>
      </c>
      <c r="E24" s="31" t="s">
        <v>95</v>
      </c>
      <c r="F24" s="16" t="str">
        <f t="array" ref="F24">VLOOKUP(E24,{Source!B:B,Source!A:A},2,FALSE)</f>
        <v>10.1787/9789264289062-5-en</v>
      </c>
    </row>
    <row r="25">
      <c r="A25" s="16" t="str">
        <f t="shared" si="1"/>
        <v>#NAME?</v>
      </c>
      <c r="B25" s="31" t="s">
        <v>77</v>
      </c>
      <c r="C25" s="5">
        <v>3.0</v>
      </c>
      <c r="D25" s="7" t="b">
        <v>1</v>
      </c>
      <c r="E25" s="31" t="s">
        <v>76</v>
      </c>
      <c r="F25" s="16" t="str">
        <f t="array" ref="F25">VLOOKUP(E25,{Source!B:B,Source!A:A},2,FALSE)</f>
        <v>10.1787/9789264248908-7-en</v>
      </c>
    </row>
    <row r="26">
      <c r="A26" s="16" t="str">
        <f t="shared" si="1"/>
        <v>#NAME?</v>
      </c>
      <c r="B26" s="45" t="s">
        <v>476</v>
      </c>
      <c r="C26" s="5">
        <v>3.0</v>
      </c>
      <c r="D26" s="7" t="b">
        <v>0</v>
      </c>
      <c r="E26" s="31" t="s">
        <v>90</v>
      </c>
      <c r="F26" s="16" t="str">
        <f t="array" ref="F26">VLOOKUP(E26,{Source!B:B,Source!A:A},2,FALSE)</f>
        <v>10.18356/af3bcc31-en</v>
      </c>
      <c r="G26" s="5" t="s">
        <v>477</v>
      </c>
    </row>
    <row r="27">
      <c r="A27" s="16" t="str">
        <f t="shared" si="1"/>
        <v>#NAME?</v>
      </c>
      <c r="B27" s="31" t="s">
        <v>310</v>
      </c>
      <c r="C27" s="5">
        <v>3.0</v>
      </c>
      <c r="D27" s="7" t="b">
        <v>1</v>
      </c>
      <c r="E27" s="31" t="s">
        <v>309</v>
      </c>
      <c r="F27" s="16" t="str">
        <f t="array" ref="F27">VLOOKUP(E27,{Source!B:B,Source!A:A},2,FALSE)</f>
        <v>10.18356/af3bcc31-en</v>
      </c>
    </row>
    <row r="28">
      <c r="A28" s="16" t="str">
        <f t="shared" si="1"/>
        <v>#NAME?</v>
      </c>
      <c r="B28" s="31" t="s">
        <v>298</v>
      </c>
      <c r="C28" s="5">
        <v>3.0</v>
      </c>
      <c r="D28" s="7" t="b">
        <v>0</v>
      </c>
      <c r="E28" s="31" t="s">
        <v>297</v>
      </c>
      <c r="F28" s="16" t="str">
        <f t="array" ref="F28">VLOOKUP(E28,{Source!B:B,Source!A:A},2,FALSE)</f>
        <v>10.1787/5k9b7bn5qzvd-en</v>
      </c>
    </row>
    <row r="29">
      <c r="A29" s="16" t="str">
        <f t="shared" si="1"/>
        <v>#NAME?</v>
      </c>
      <c r="B29" s="31" t="s">
        <v>300</v>
      </c>
      <c r="C29" s="5">
        <v>3.0</v>
      </c>
      <c r="D29" s="7" t="b">
        <v>0</v>
      </c>
      <c r="E29" s="31" t="s">
        <v>299</v>
      </c>
      <c r="F29" s="16" t="str">
        <f t="array" ref="F29">VLOOKUP(E29,{Source!B:B,Source!A:A},2,FALSE)</f>
        <v>10.18356/1c11fde8-en</v>
      </c>
      <c r="G29" s="5" t="s">
        <v>423</v>
      </c>
    </row>
    <row r="30">
      <c r="A30" s="16" t="str">
        <f t="shared" si="1"/>
        <v>#NAME?</v>
      </c>
      <c r="B30" s="31" t="s">
        <v>171</v>
      </c>
      <c r="C30" s="5">
        <v>3.0</v>
      </c>
      <c r="D30" s="7" t="b">
        <v>0</v>
      </c>
      <c r="E30" s="31" t="s">
        <v>170</v>
      </c>
      <c r="F30" s="16" t="str">
        <f t="array" ref="F30">VLOOKUP(E30,{Source!B:B,Source!A:A},2,FALSE)</f>
        <v>10.1787/eco/surveys-isr-2013-5-en</v>
      </c>
    </row>
    <row r="31">
      <c r="A31" s="16" t="str">
        <f t="shared" si="1"/>
        <v>#NAME?</v>
      </c>
      <c r="B31" s="31" t="s">
        <v>73</v>
      </c>
      <c r="C31" s="5">
        <v>3.0</v>
      </c>
      <c r="D31" s="7" t="b">
        <v>1</v>
      </c>
      <c r="E31" s="31" t="s">
        <v>72</v>
      </c>
      <c r="F31" s="16" t="str">
        <f t="array" ref="F31">VLOOKUP(E31,{Source!B:B,Source!A:A},2,FALSE)</f>
        <v>10.1787/9789264233010-6-en</v>
      </c>
    </row>
    <row r="32">
      <c r="A32" s="16" t="str">
        <f t="shared" si="1"/>
        <v>#NAME?</v>
      </c>
      <c r="B32" s="31" t="s">
        <v>220</v>
      </c>
      <c r="C32" s="5">
        <v>3.0</v>
      </c>
      <c r="D32" s="7" t="b">
        <v>0</v>
      </c>
      <c r="E32" s="31" t="s">
        <v>219</v>
      </c>
      <c r="F32" s="16" t="str">
        <f t="array" ref="F32">VLOOKUP(E32,{Source!B:B,Source!A:A},2,FALSE)</f>
        <v>10.1787/9789264208445-8-en</v>
      </c>
    </row>
    <row r="33">
      <c r="A33" s="16" t="str">
        <f t="shared" si="1"/>
        <v>#NAME?</v>
      </c>
      <c r="B33" s="31" t="s">
        <v>168</v>
      </c>
      <c r="C33" s="5">
        <v>3.0</v>
      </c>
      <c r="D33" s="7" t="b">
        <v>1</v>
      </c>
      <c r="E33" s="31" t="s">
        <v>167</v>
      </c>
      <c r="F33" s="16" t="str">
        <f t="array" ref="F33">VLOOKUP(E33,{Source!B:B,Source!A:A},2,FALSE)</f>
        <v>10.18356/7921771c-en</v>
      </c>
    </row>
    <row r="34">
      <c r="A34" s="16" t="str">
        <f t="shared" si="1"/>
        <v>#NAME?</v>
      </c>
      <c r="B34" s="31" t="s">
        <v>217</v>
      </c>
      <c r="C34" s="5">
        <v>3.0</v>
      </c>
      <c r="D34" s="7" t="b">
        <v>1</v>
      </c>
      <c r="E34" s="31" t="s">
        <v>216</v>
      </c>
      <c r="F34" s="16" t="str">
        <f t="array" ref="F34">VLOOKUP(E34,{Source!B:B,Source!A:A},2,FALSE)</f>
        <v>10.1787/5jz159228n6j-en</v>
      </c>
    </row>
    <row r="35">
      <c r="A35" s="16" t="str">
        <f t="shared" si="1"/>
        <v>#NAME?</v>
      </c>
      <c r="B35" s="31" t="s">
        <v>249</v>
      </c>
      <c r="C35" s="5">
        <v>3.0</v>
      </c>
      <c r="D35" s="7" t="b">
        <v>0</v>
      </c>
      <c r="E35" s="31" t="s">
        <v>248</v>
      </c>
      <c r="F35" s="16" t="str">
        <f t="array" ref="F35">VLOOKUP(E35,{Source!B:B,Source!A:A},2,FALSE)</f>
        <v>10.1787/9789264239487-6-en</v>
      </c>
    </row>
    <row r="36">
      <c r="A36" s="16" t="str">
        <f t="shared" si="1"/>
        <v>#NAME?</v>
      </c>
      <c r="B36" s="31" t="s">
        <v>286</v>
      </c>
      <c r="C36" s="5">
        <v>3.0</v>
      </c>
      <c r="D36" s="7" t="b">
        <v>1</v>
      </c>
      <c r="E36" s="31" t="s">
        <v>285</v>
      </c>
      <c r="F36" s="16" t="str">
        <f t="array" ref="F36">VLOOKUP(E36,{Source!B:B,Source!A:A},2,FALSE)</f>
        <v>10.1787/eco/surveys-isr-2013-5-en</v>
      </c>
    </row>
    <row r="37">
      <c r="A37" s="16" t="str">
        <f t="shared" si="1"/>
        <v>#NAME?</v>
      </c>
      <c r="B37" s="31" t="s">
        <v>340</v>
      </c>
      <c r="C37" s="5">
        <v>3.0</v>
      </c>
      <c r="D37" s="7" t="b">
        <v>1</v>
      </c>
      <c r="E37" s="31" t="s">
        <v>339</v>
      </c>
      <c r="F37" s="16" t="str">
        <f t="array" ref="F37">VLOOKUP(E37,{Source!B:B,Source!A:A},2,FALSE)</f>
        <v>10.18356/71e3a80f-en</v>
      </c>
    </row>
    <row r="38">
      <c r="A38" s="16" t="str">
        <f t="shared" si="1"/>
        <v>#NAME?</v>
      </c>
      <c r="B38" s="31" t="s">
        <v>195</v>
      </c>
      <c r="C38" s="5">
        <v>3.0</v>
      </c>
      <c r="D38" s="7" t="b">
        <v>0</v>
      </c>
      <c r="E38" s="31" t="s">
        <v>194</v>
      </c>
      <c r="F38" s="16" t="str">
        <f t="array" ref="F38">VLOOKUP(E38,{Source!B:B,Source!A:A},2,FALSE)</f>
        <v>10.18356/187200fa-en</v>
      </c>
    </row>
    <row r="39">
      <c r="A39" s="16" t="str">
        <f t="shared" si="1"/>
        <v>#NAME?</v>
      </c>
      <c r="B39" s="31" t="s">
        <v>161</v>
      </c>
      <c r="C39" s="5">
        <v>3.0</v>
      </c>
      <c r="D39" s="7" t="b">
        <v>1</v>
      </c>
      <c r="E39" s="31" t="s">
        <v>160</v>
      </c>
      <c r="F39" s="16" t="str">
        <f t="array" ref="F39">VLOOKUP(E39,{Source!B:B,Source!A:A},2,FALSE)</f>
        <v>10.18356/45b6cbb6-en</v>
      </c>
    </row>
    <row r="40">
      <c r="A40" s="16" t="str">
        <f t="shared" si="1"/>
        <v>#NAME?</v>
      </c>
      <c r="B40" s="45" t="s">
        <v>478</v>
      </c>
      <c r="C40" s="5">
        <v>3.0</v>
      </c>
      <c r="D40" s="7" t="b">
        <v>1</v>
      </c>
      <c r="E40" s="31" t="s">
        <v>177</v>
      </c>
      <c r="F40" s="16" t="str">
        <f t="array" ref="F40">VLOOKUP(E40,{Source!B:B,Source!A:A},2,FALSE)</f>
        <v>10.1787/5js1qwkz2p9s-en</v>
      </c>
      <c r="G40" s="5" t="s">
        <v>468</v>
      </c>
    </row>
    <row r="41">
      <c r="A41" s="16" t="str">
        <f t="shared" si="1"/>
        <v>#NAME?</v>
      </c>
      <c r="B41" s="31" t="s">
        <v>303</v>
      </c>
      <c r="C41" s="5">
        <v>3.0</v>
      </c>
      <c r="D41" s="7" t="b">
        <v>1</v>
      </c>
      <c r="E41" s="31" t="s">
        <v>302</v>
      </c>
      <c r="F41" s="16" t="str">
        <f t="array" ref="F41">VLOOKUP(E41,{Source!B:B,Source!A:A},2,FALSE)</f>
        <v>10.18356/c111e119-en</v>
      </c>
    </row>
    <row r="42">
      <c r="A42" s="16" t="str">
        <f t="shared" si="1"/>
        <v>#NAME?</v>
      </c>
      <c r="B42" s="31" t="s">
        <v>267</v>
      </c>
      <c r="C42" s="5">
        <v>3.0</v>
      </c>
      <c r="D42" s="7" t="b">
        <v>1</v>
      </c>
      <c r="E42" s="31" t="s">
        <v>266</v>
      </c>
      <c r="F42" s="16" t="str">
        <f t="array" ref="F42">VLOOKUP(E42,{Source!B:B,Source!A:A},2,FALSE)</f>
        <v>10.18356/6ef2e6fd-en</v>
      </c>
    </row>
    <row r="43">
      <c r="A43" s="16" t="str">
        <f t="shared" si="1"/>
        <v>#NAME?</v>
      </c>
      <c r="B43" s="31" t="s">
        <v>255</v>
      </c>
      <c r="C43" s="5">
        <v>3.0</v>
      </c>
      <c r="D43" s="7" t="b">
        <v>0</v>
      </c>
      <c r="E43" s="31" t="s">
        <v>254</v>
      </c>
      <c r="F43" s="16" t="str">
        <f t="array" ref="F43">VLOOKUP(E43,{Source!B:B,Source!A:A},2,FALSE)</f>
        <v>10.18356/6c2a96a5-en</v>
      </c>
    </row>
    <row r="44">
      <c r="A44" s="16" t="str">
        <f t="shared" si="1"/>
        <v>#NAME?</v>
      </c>
      <c r="B44" s="31" t="s">
        <v>199</v>
      </c>
      <c r="C44" s="5">
        <v>3.0</v>
      </c>
      <c r="D44" s="7" t="b">
        <v>0</v>
      </c>
      <c r="E44" s="31" t="s">
        <v>198</v>
      </c>
      <c r="F44" s="16" t="str">
        <f t="array" ref="F44">VLOOKUP(E44,{Source!B:B,Source!A:A},2,FALSE)</f>
        <v>10.18356/7d5576e0-en</v>
      </c>
    </row>
    <row r="45">
      <c r="A45" s="16" t="str">
        <f t="shared" si="1"/>
        <v>#NAME?</v>
      </c>
      <c r="B45" s="45" t="s">
        <v>479</v>
      </c>
      <c r="C45" s="5">
        <v>3.0</v>
      </c>
      <c r="D45" s="7" t="b">
        <v>1</v>
      </c>
      <c r="E45" s="31" t="s">
        <v>331</v>
      </c>
      <c r="F45" s="16" t="str">
        <f t="array" ref="F45">VLOOKUP(E45,{Source!B:B,Source!A:A},2,FALSE)</f>
        <v>10.18356/39dd1e2e-en</v>
      </c>
      <c r="G45" s="5" t="s">
        <v>468</v>
      </c>
    </row>
    <row r="46">
      <c r="A46" s="16" t="str">
        <f t="shared" si="1"/>
        <v>#NAME?</v>
      </c>
      <c r="B46" s="31" t="s">
        <v>231</v>
      </c>
      <c r="C46" s="5">
        <v>3.0</v>
      </c>
      <c r="D46" s="7" t="b">
        <v>1</v>
      </c>
      <c r="E46" s="31" t="s">
        <v>230</v>
      </c>
      <c r="F46" s="16" t="str">
        <f t="array" ref="F46">VLOOKUP(E46,{Source!B:B,Source!A:A},2,FALSE)</f>
        <v>10.18356/e310d3a1-en</v>
      </c>
    </row>
    <row r="47">
      <c r="A47" s="16" t="str">
        <f t="shared" si="1"/>
        <v>#NAME?</v>
      </c>
      <c r="B47" s="31" t="s">
        <v>87</v>
      </c>
      <c r="C47" s="5">
        <v>3.0</v>
      </c>
      <c r="D47" s="7" t="b">
        <v>0</v>
      </c>
      <c r="E47" s="31" t="s">
        <v>86</v>
      </c>
      <c r="F47" s="16" t="str">
        <f t="array" ref="F47">VLOOKUP(E47,{Source!B:B,Source!A:A},2,FALSE)</f>
        <v>10.1787/eco/surveys-chn-2010-11-en</v>
      </c>
    </row>
    <row r="48">
      <c r="A48" s="16" t="str">
        <f t="shared" si="1"/>
        <v>#NAME?</v>
      </c>
      <c r="B48" s="31" t="s">
        <v>210</v>
      </c>
      <c r="C48" s="5">
        <v>3.0</v>
      </c>
      <c r="D48" s="7" t="b">
        <v>0</v>
      </c>
      <c r="E48" s="31" t="s">
        <v>209</v>
      </c>
      <c r="F48" s="16" t="str">
        <f t="array" ref="F48">VLOOKUP(E48,{Source!B:B,Source!A:A},2,FALSE)</f>
        <v>10.1787/5js1qwkz2p9s-en</v>
      </c>
    </row>
    <row r="49">
      <c r="A49" s="16" t="str">
        <f t="shared" si="1"/>
        <v>#NAME?</v>
      </c>
      <c r="B49" s="31" t="s">
        <v>272</v>
      </c>
      <c r="C49" s="5">
        <v>3.0</v>
      </c>
      <c r="D49" s="7" t="b">
        <v>0</v>
      </c>
      <c r="E49" s="31" t="s">
        <v>271</v>
      </c>
      <c r="F49" s="16" t="str">
        <f t="array" ref="F49">VLOOKUP(E49,{Source!B:B,Source!A:A},2,FALSE)</f>
        <v>10.18356/7d5576e0-en</v>
      </c>
    </row>
    <row r="50">
      <c r="A50" s="16" t="str">
        <f t="shared" si="1"/>
        <v>#NAME?</v>
      </c>
      <c r="B50" s="31" t="s">
        <v>94</v>
      </c>
      <c r="C50" s="5">
        <v>3.0</v>
      </c>
      <c r="D50" s="7" t="b">
        <v>1</v>
      </c>
      <c r="E50" s="31" t="s">
        <v>93</v>
      </c>
      <c r="F50" s="16" t="str">
        <f t="array" ref="F50">VLOOKUP(E50,{Source!B:B,Source!A:A},2,FALSE)</f>
        <v>10.1787/9789264289062-5-en</v>
      </c>
    </row>
    <row r="51">
      <c r="A51" s="16" t="str">
        <f t="shared" si="1"/>
        <v>#NAME?</v>
      </c>
      <c r="B51" s="31" t="s">
        <v>316</v>
      </c>
      <c r="C51" s="5">
        <v>3.0</v>
      </c>
      <c r="D51" s="7" t="b">
        <v>1</v>
      </c>
      <c r="E51" s="31" t="s">
        <v>315</v>
      </c>
      <c r="F51" s="16" t="str">
        <f t="array" ref="F51">VLOOKUP(E51,{Source!B:B,Source!A:A},2,FALSE)</f>
        <v>10.18356/71e3a80f-en</v>
      </c>
    </row>
    <row r="52">
      <c r="A52" s="16" t="str">
        <f t="shared" si="1"/>
        <v>#NAME?</v>
      </c>
      <c r="B52" s="45" t="s">
        <v>480</v>
      </c>
      <c r="C52" s="5">
        <v>3.0</v>
      </c>
      <c r="D52" s="7" t="b">
        <v>0</v>
      </c>
      <c r="E52" s="31" t="s">
        <v>283</v>
      </c>
      <c r="F52" s="16" t="str">
        <f t="array" ref="F52">VLOOKUP(E52,{Source!B:B,Source!A:A},2,FALSE)</f>
        <v>10.1787/5jrqcn5fpv0v-en</v>
      </c>
      <c r="G52" s="5" t="s">
        <v>468</v>
      </c>
    </row>
    <row r="53">
      <c r="A53" s="16" t="str">
        <f t="shared" si="1"/>
        <v>#NAME?</v>
      </c>
      <c r="B53" s="31" t="s">
        <v>325</v>
      </c>
      <c r="C53" s="5">
        <v>3.0</v>
      </c>
      <c r="D53" s="7" t="b">
        <v>0</v>
      </c>
      <c r="E53" s="31" t="s">
        <v>324</v>
      </c>
      <c r="F53" s="16" t="str">
        <f t="array" ref="F53">VLOOKUP(E53,{Source!B:B,Source!A:A},2,FALSE)</f>
        <v>10.18356/6c2a96a5-en</v>
      </c>
    </row>
    <row r="54">
      <c r="A54" s="16" t="str">
        <f t="shared" si="1"/>
        <v>#NAME?</v>
      </c>
      <c r="B54" s="31" t="s">
        <v>143</v>
      </c>
      <c r="C54" s="5">
        <v>3.0</v>
      </c>
      <c r="D54" s="7" t="b">
        <v>1</v>
      </c>
      <c r="E54" s="31" t="s">
        <v>142</v>
      </c>
      <c r="F54" s="16" t="str">
        <f t="array" ref="F54">VLOOKUP(E54,{Source!B:B,Source!A:A},2,FALSE)</f>
        <v>10.18356/bdc264f4-en</v>
      </c>
    </row>
    <row r="55">
      <c r="A55" s="16" t="str">
        <f t="shared" si="1"/>
        <v>#NAME?</v>
      </c>
      <c r="B55" s="31" t="s">
        <v>202</v>
      </c>
      <c r="C55" s="5">
        <v>3.0</v>
      </c>
      <c r="D55" s="7" t="b">
        <v>1</v>
      </c>
      <c r="E55" s="31" t="s">
        <v>201</v>
      </c>
      <c r="F55" s="16" t="str">
        <f t="array" ref="F55">VLOOKUP(E55,{Source!B:B,Source!A:A},2,FALSE)</f>
        <v>10.1787/irtad-2013-en</v>
      </c>
    </row>
    <row r="56">
      <c r="A56" s="16" t="str">
        <f t="shared" si="1"/>
        <v>#NAME?</v>
      </c>
      <c r="B56" s="31" t="s">
        <v>208</v>
      </c>
      <c r="C56" s="5">
        <v>3.0</v>
      </c>
      <c r="D56" s="7" t="b">
        <v>0</v>
      </c>
      <c r="E56" s="31" t="s">
        <v>207</v>
      </c>
      <c r="F56" s="16" t="str">
        <f t="array" ref="F56">VLOOKUP(E56,{Source!B:B,Source!A:A},2,FALSE)</f>
        <v>10.18356/a44197da-en</v>
      </c>
    </row>
    <row r="57">
      <c r="A57" s="16" t="str">
        <f t="shared" si="1"/>
        <v>#NAME?</v>
      </c>
      <c r="B57" s="31" t="s">
        <v>226</v>
      </c>
      <c r="C57" s="5">
        <v>3.0</v>
      </c>
      <c r="D57" s="7" t="b">
        <v>0</v>
      </c>
      <c r="E57" s="31" t="s">
        <v>225</v>
      </c>
      <c r="F57" s="16" t="str">
        <f t="array" ref="F57">VLOOKUP(E57,{Source!B:B,Source!A:A},2,FALSE)</f>
        <v>10.1787/9789264029941-4-en</v>
      </c>
    </row>
    <row r="58">
      <c r="A58" s="16" t="str">
        <f t="shared" si="1"/>
        <v>#NAME?</v>
      </c>
      <c r="B58" s="45" t="s">
        <v>481</v>
      </c>
      <c r="C58" s="5">
        <v>3.0</v>
      </c>
      <c r="D58" s="7" t="b">
        <v>0</v>
      </c>
      <c r="E58" s="31" t="s">
        <v>98</v>
      </c>
      <c r="F58" s="16" t="str">
        <f t="array" ref="F58">VLOOKUP(E58,{Source!B:B,Source!A:A},2,FALSE)</f>
        <v>10.18356/9bf8d10f-en</v>
      </c>
      <c r="G58" s="5" t="s">
        <v>468</v>
      </c>
    </row>
    <row r="59">
      <c r="A59" s="16" t="str">
        <f t="shared" si="1"/>
        <v>#NAME?</v>
      </c>
      <c r="B59" s="31" t="s">
        <v>308</v>
      </c>
      <c r="C59" s="5">
        <v>3.0</v>
      </c>
      <c r="D59" s="7" t="b">
        <v>0</v>
      </c>
      <c r="E59" s="31" t="s">
        <v>307</v>
      </c>
      <c r="F59" s="16" t="str">
        <f t="array" ref="F59">VLOOKUP(E59,{Source!B:B,Source!A:A},2,FALSE)</f>
        <v>10.18356/83efcfeb-en</v>
      </c>
    </row>
    <row r="60">
      <c r="A60" s="16" t="str">
        <f t="shared" si="1"/>
        <v>#NAME?</v>
      </c>
      <c r="B60" s="31" t="s">
        <v>295</v>
      </c>
      <c r="C60" s="5">
        <v>3.0</v>
      </c>
      <c r="D60" s="7" t="b">
        <v>1</v>
      </c>
      <c r="E60" s="31" t="s">
        <v>294</v>
      </c>
      <c r="F60" s="16" t="str">
        <f t="array" ref="F60">VLOOKUP(E60,{Source!B:B,Source!A:A},2,FALSE)</f>
        <v>10.1787/9789282108055-3-en</v>
      </c>
    </row>
    <row r="61">
      <c r="A61" s="16" t="str">
        <f t="shared" si="1"/>
        <v>#NAME?</v>
      </c>
      <c r="B61" s="31" t="s">
        <v>277</v>
      </c>
      <c r="C61" s="5">
        <v>3.0</v>
      </c>
      <c r="D61" s="7" t="b">
        <v>1</v>
      </c>
      <c r="E61" s="31" t="s">
        <v>276</v>
      </c>
      <c r="F61" s="16" t="str">
        <f t="array" ref="F61">VLOOKUP(E61,{Source!B:B,Source!A:A},2,FALSE)</f>
        <v>10.18356/9bf8d10f-en</v>
      </c>
    </row>
    <row r="62">
      <c r="A62" s="16" t="str">
        <f t="shared" si="1"/>
        <v>#NAME?</v>
      </c>
      <c r="B62" s="45" t="s">
        <v>482</v>
      </c>
      <c r="C62" s="5">
        <v>3.0</v>
      </c>
      <c r="D62" s="7" t="b">
        <v>0</v>
      </c>
      <c r="E62" s="31" t="s">
        <v>320</v>
      </c>
      <c r="F62" s="16" t="str">
        <f t="array" ref="F62">VLOOKUP(E62,{Source!B:B,Source!A:A},2,FALSE)</f>
        <v>10.1787/5k912j389bf0-en</v>
      </c>
      <c r="G62" s="5" t="s">
        <v>468</v>
      </c>
    </row>
    <row r="63">
      <c r="A63" s="16" t="str">
        <f t="shared" si="1"/>
        <v>#NAME?</v>
      </c>
      <c r="B63" s="31" t="s">
        <v>182</v>
      </c>
      <c r="C63" s="5">
        <v>3.0</v>
      </c>
      <c r="D63" s="7" t="b">
        <v>0</v>
      </c>
      <c r="E63" s="31" t="s">
        <v>181</v>
      </c>
      <c r="F63" s="16" t="str">
        <f t="array" ref="F63">VLOOKUP(E63,{Source!B:B,Source!A:A},2,FALSE)</f>
        <v>10.1787/9789264230491-5-en</v>
      </c>
    </row>
    <row r="64">
      <c r="A64" s="16" t="str">
        <f t="shared" si="1"/>
        <v>#NAME?</v>
      </c>
      <c r="B64" s="45" t="s">
        <v>483</v>
      </c>
      <c r="C64" s="5">
        <v>3.0</v>
      </c>
      <c r="D64" s="7" t="b">
        <v>0</v>
      </c>
      <c r="E64" s="31" t="s">
        <v>333</v>
      </c>
      <c r="F64" s="16" t="str">
        <f t="array" ref="F64">VLOOKUP(E64,{Source!B:B,Source!A:A},2,FALSE)</f>
        <v>10.18356/1c11fde8-en</v>
      </c>
      <c r="G64" s="5" t="s">
        <v>484</v>
      </c>
    </row>
    <row r="65">
      <c r="A65" s="16" t="str">
        <f t="shared" si="1"/>
        <v>#NAME?</v>
      </c>
      <c r="B65" s="31" t="s">
        <v>130</v>
      </c>
      <c r="C65" s="5">
        <v>3.0</v>
      </c>
      <c r="D65" s="7" t="b">
        <v>0</v>
      </c>
      <c r="E65" s="31" t="s">
        <v>129</v>
      </c>
      <c r="F65" s="16" t="str">
        <f t="array" ref="F65">VLOOKUP(E65,{Source!B:B,Source!A:A},2,FALSE)</f>
        <v>10.18356/1c11fde8-en</v>
      </c>
      <c r="G65" s="5" t="s">
        <v>423</v>
      </c>
    </row>
    <row r="66">
      <c r="A66" s="16" t="str">
        <f t="shared" si="1"/>
        <v>#NAME?</v>
      </c>
      <c r="B66" s="31" t="s">
        <v>135</v>
      </c>
      <c r="C66" s="5">
        <v>3.0</v>
      </c>
      <c r="D66" s="7" t="b">
        <v>0</v>
      </c>
      <c r="E66" s="31" t="s">
        <v>134</v>
      </c>
      <c r="F66" s="16" t="str">
        <f t="array" ref="F66">VLOOKUP(E66,{Source!B:B,Source!A:A},2,FALSE)</f>
        <v>10.1787/9789264233775-6-en</v>
      </c>
    </row>
    <row r="67">
      <c r="A67" s="16" t="str">
        <f t="shared" si="1"/>
        <v>#NAME?</v>
      </c>
      <c r="B67" s="31" t="s">
        <v>213</v>
      </c>
      <c r="C67" s="5">
        <v>3.0</v>
      </c>
      <c r="D67" s="7" t="b">
        <v>0</v>
      </c>
      <c r="E67" s="31" t="s">
        <v>212</v>
      </c>
      <c r="F67" s="16" t="str">
        <f t="array" ref="F67">VLOOKUP(E67,{Source!B:B,Source!A:A},2,FALSE)</f>
        <v>10.1787/9789264191136-8-en</v>
      </c>
    </row>
    <row r="68">
      <c r="A68" s="16" t="str">
        <f t="shared" si="1"/>
        <v>#NAME?</v>
      </c>
      <c r="B68" s="31" t="s">
        <v>293</v>
      </c>
      <c r="C68" s="5">
        <v>3.0</v>
      </c>
      <c r="D68" s="7" t="b">
        <v>0</v>
      </c>
      <c r="E68" s="31" t="s">
        <v>292</v>
      </c>
      <c r="F68" s="16" t="str">
        <f t="array" ref="F68">VLOOKUP(E68,{Source!B:B,Source!A:A},2,FALSE)</f>
        <v>10.1787/9789264124523-6-en</v>
      </c>
    </row>
    <row r="69">
      <c r="A69" s="16" t="str">
        <f t="shared" si="1"/>
        <v>#NAME?</v>
      </c>
      <c r="B69" s="31" t="s">
        <v>149</v>
      </c>
      <c r="C69" s="5">
        <v>3.0</v>
      </c>
      <c r="D69" s="7" t="b">
        <v>1</v>
      </c>
      <c r="E69" s="31" t="s">
        <v>148</v>
      </c>
      <c r="F69" s="16" t="str">
        <f t="array" ref="F69">VLOOKUP(E69,{Source!B:B,Source!A:A},2,FALSE)</f>
        <v>10.1787/9789282108055-3-en</v>
      </c>
      <c r="G69" s="5" t="s">
        <v>405</v>
      </c>
    </row>
    <row r="70">
      <c r="A70" s="16" t="str">
        <f t="shared" si="1"/>
        <v>#NAME?</v>
      </c>
      <c r="B70" s="31" t="s">
        <v>238</v>
      </c>
      <c r="C70" s="5">
        <v>3.0</v>
      </c>
      <c r="D70" s="7" t="b">
        <v>1</v>
      </c>
      <c r="E70" s="31" t="s">
        <v>237</v>
      </c>
      <c r="F70" s="16" t="str">
        <f t="array" ref="F70">VLOOKUP(E70,{Source!B:B,Source!A:A},2,FALSE)</f>
        <v>10.18356/85946e24-en</v>
      </c>
    </row>
    <row r="71">
      <c r="A71" s="16" t="str">
        <f t="shared" si="1"/>
        <v>#NAME?</v>
      </c>
      <c r="B71" s="31" t="s">
        <v>312</v>
      </c>
      <c r="C71" s="5">
        <v>3.0</v>
      </c>
      <c r="D71" s="7" t="b">
        <v>0</v>
      </c>
      <c r="E71" s="31" t="s">
        <v>311</v>
      </c>
      <c r="F71" s="16" t="str">
        <f t="array" ref="F71">VLOOKUP(E71,{Source!B:B,Source!A:A},2,FALSE)</f>
        <v>10.18356/1c11fde8-en</v>
      </c>
      <c r="G71" s="5" t="s">
        <v>423</v>
      </c>
    </row>
    <row r="72">
      <c r="A72" s="16" t="str">
        <f t="shared" si="1"/>
        <v>#NAME?</v>
      </c>
      <c r="B72" s="31" t="s">
        <v>155</v>
      </c>
      <c r="C72" s="5">
        <v>3.0</v>
      </c>
      <c r="D72" s="7" t="b">
        <v>0</v>
      </c>
      <c r="E72" s="31" t="s">
        <v>154</v>
      </c>
      <c r="F72" s="16" t="str">
        <f t="array" ref="F72">VLOOKUP(E72,{Source!B:B,Source!A:A},2,FALSE)</f>
        <v>10.18356/7d5576e0-en</v>
      </c>
    </row>
    <row r="73">
      <c r="A73" s="16" t="str">
        <f t="shared" si="1"/>
        <v>#NAME?</v>
      </c>
      <c r="B73" s="31" t="s">
        <v>180</v>
      </c>
      <c r="C73" s="5">
        <v>3.0</v>
      </c>
      <c r="D73" s="7" t="b">
        <v>1</v>
      </c>
      <c r="E73" s="31" t="s">
        <v>179</v>
      </c>
      <c r="F73" s="16" t="str">
        <f t="array" ref="F73">VLOOKUP(E73,{Source!B:B,Source!A:A},2,FALSE)</f>
        <v>10.1787/9789282108055-3-en</v>
      </c>
      <c r="G73" s="5" t="s">
        <v>405</v>
      </c>
    </row>
    <row r="74">
      <c r="A74" s="16" t="str">
        <f t="shared" si="1"/>
        <v>#NAME?</v>
      </c>
      <c r="B74" s="31" t="s">
        <v>244</v>
      </c>
      <c r="C74" s="5">
        <v>3.0</v>
      </c>
      <c r="D74" s="7" t="b">
        <v>0</v>
      </c>
      <c r="E74" s="31" t="s">
        <v>243</v>
      </c>
      <c r="F74" s="16" t="str">
        <f t="array" ref="F74">VLOOKUP(E74,{Source!B:B,Source!A:A},2,FALSE)</f>
        <v>10.1787/5jxx71lt1zg6-en</v>
      </c>
    </row>
    <row r="75">
      <c r="A75" s="16" t="str">
        <f t="shared" si="1"/>
        <v>#NAME?</v>
      </c>
      <c r="B75" s="31" t="s">
        <v>306</v>
      </c>
      <c r="C75" s="5">
        <v>3.0</v>
      </c>
      <c r="D75" s="7" t="b">
        <v>0</v>
      </c>
      <c r="E75" s="31" t="s">
        <v>305</v>
      </c>
      <c r="F75" s="16" t="str">
        <f t="array" ref="F75">VLOOKUP(E75,{Source!B:B,Source!A:A},2,FALSE)</f>
        <v>10.18356/39dd1e2e-en</v>
      </c>
    </row>
    <row r="76">
      <c r="A76" s="16" t="str">
        <f t="shared" si="1"/>
        <v>#NAME?</v>
      </c>
      <c r="B76" s="31" t="s">
        <v>235</v>
      </c>
      <c r="C76" s="5">
        <v>3.0</v>
      </c>
      <c r="D76" s="7" t="b">
        <v>1</v>
      </c>
      <c r="E76" s="31" t="s">
        <v>234</v>
      </c>
      <c r="F76" s="16" t="str">
        <f t="array" ref="F76">VLOOKUP(E76,{Source!B:B,Source!A:A},2,FALSE)</f>
        <v>10.18356/1c11fde8-en</v>
      </c>
    </row>
    <row r="77">
      <c r="A77" s="16" t="str">
        <f t="shared" si="1"/>
        <v>#NAME?</v>
      </c>
      <c r="B77" s="31" t="s">
        <v>127</v>
      </c>
      <c r="C77" s="5">
        <v>3.0</v>
      </c>
      <c r="D77" s="7" t="b">
        <v>1</v>
      </c>
      <c r="E77" s="31" t="s">
        <v>126</v>
      </c>
      <c r="F77" s="16" t="str">
        <f t="array" ref="F77">VLOOKUP(E77,{Source!B:B,Source!A:A},2,FALSE)</f>
        <v>11.1002/pub/80d83f4c-en</v>
      </c>
    </row>
  </sheetData>
  <autoFilter ref="$A$1:$G$96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8.13"/>
    <col customWidth="1" min="9" max="9" width="15.88"/>
    <col customWidth="1" min="10" max="14" width="12.63"/>
    <col customWidth="1" min="15" max="15" width="13.88"/>
    <col customWidth="1" min="16" max="16" width="18.25"/>
    <col customWidth="1" min="17" max="18" width="15.88"/>
  </cols>
  <sheetData>
    <row r="1" ht="15.75" customHeight="1">
      <c r="A1" s="20" t="s">
        <v>67</v>
      </c>
      <c r="B1" s="46" t="s">
        <v>68</v>
      </c>
      <c r="C1" s="15" t="s">
        <v>485</v>
      </c>
      <c r="D1" s="15" t="s">
        <v>39</v>
      </c>
      <c r="E1" s="15" t="s">
        <v>40</v>
      </c>
      <c r="F1" s="15" t="s">
        <v>41</v>
      </c>
      <c r="G1" s="15" t="s">
        <v>42</v>
      </c>
      <c r="H1" s="15" t="s">
        <v>43</v>
      </c>
      <c r="I1" s="47" t="s">
        <v>409</v>
      </c>
      <c r="J1" s="15" t="s">
        <v>39</v>
      </c>
      <c r="K1" s="15" t="s">
        <v>40</v>
      </c>
      <c r="L1" s="15" t="s">
        <v>41</v>
      </c>
      <c r="M1" s="15" t="s">
        <v>42</v>
      </c>
      <c r="N1" s="15" t="s">
        <v>43</v>
      </c>
      <c r="O1" s="15" t="s">
        <v>410</v>
      </c>
      <c r="P1" s="48" t="str">
        <f t="array" ref="P1:P1000">O:O</f>
        <v>Comments</v>
      </c>
      <c r="Q1" s="15" t="s">
        <v>486</v>
      </c>
      <c r="R1" s="15" t="s">
        <v>487</v>
      </c>
      <c r="S1" s="15" t="s">
        <v>488</v>
      </c>
      <c r="T1" s="15" t="s">
        <v>489</v>
      </c>
      <c r="U1" s="30"/>
      <c r="V1" s="30"/>
      <c r="W1" s="30"/>
      <c r="X1" s="30"/>
      <c r="Y1" s="30"/>
      <c r="Z1" s="30"/>
      <c r="AA1" s="30"/>
      <c r="AB1" s="30"/>
      <c r="AC1" s="30"/>
      <c r="AD1" s="30"/>
      <c r="AE1" s="30"/>
      <c r="AF1" s="30"/>
      <c r="AG1" s="30"/>
    </row>
    <row r="2" ht="15.75" customHeight="1">
      <c r="A2" s="31" t="s">
        <v>280</v>
      </c>
      <c r="B2" s="31" t="s">
        <v>281</v>
      </c>
      <c r="C2" s="16" t="str">
        <f t="shared" ref="C2:H2" si="1">VLOOKUP($A2, INDIRECT(C$1&amp;"!B:D"), 3, FALSE)</f>
        <v>#REF!</v>
      </c>
      <c r="D2" s="16" t="b">
        <f t="shared" si="1"/>
        <v>0</v>
      </c>
      <c r="E2" s="16" t="str">
        <f t="shared" si="1"/>
        <v>TO DO</v>
      </c>
      <c r="F2" s="16" t="str">
        <f t="shared" si="1"/>
        <v>TO DO</v>
      </c>
      <c r="G2" s="16" t="b">
        <f t="shared" si="1"/>
        <v>0</v>
      </c>
      <c r="H2" s="16" t="b">
        <f t="shared" si="1"/>
        <v>0</v>
      </c>
      <c r="I2" s="49">
        <f t="shared" ref="I2:I101" si="4">ABS((COUNTIF(C2:H2,"SDG 10")-COUNTIF(C2:H2, "NOT SDG 10")) / (COUNTA(C2:H2)-COUNTIF(C2:H2, "TO DO")))</f>
        <v>0</v>
      </c>
      <c r="J2" s="16" t="str">
        <f t="shared" ref="J2:N2" si="2">VLOOKUP($A2, INDIRECT(D$1&amp;"!B:E"), 4, FALSE)</f>
        <v/>
      </c>
      <c r="K2" s="16" t="str">
        <f t="shared" si="2"/>
        <v/>
      </c>
      <c r="L2" s="16" t="str">
        <f t="shared" si="2"/>
        <v/>
      </c>
      <c r="M2" s="16" t="str">
        <f t="shared" si="2"/>
        <v/>
      </c>
      <c r="N2" s="16" t="str">
        <f t="shared" si="2"/>
        <v/>
      </c>
      <c r="O2" s="16" t="str">
        <f t="shared" ref="O2:O101" si="6">IF(COUNTA(J2:N2)=0, "", "- "&amp;TEXTJOIN(char(10)&amp;"- ", TRUE, J2:N2))</f>
        <v/>
      </c>
      <c r="P2" s="50" t="s">
        <v>414</v>
      </c>
      <c r="Q2" s="16" t="str">
        <f t="shared" ref="Q2:Q101" si="7">IF(I2=1, H2, "UNDECIDED")</f>
        <v>UNDECIDED</v>
      </c>
      <c r="R2" s="16" t="b">
        <f>VLOOKUP($A2, Source!B:I, 8, FALSE)</f>
        <v>0</v>
      </c>
      <c r="S2" s="16">
        <f>VLOOKUP(A2,Source!B:H, 7, FALSE)</f>
        <v>1</v>
      </c>
      <c r="T2" s="16" t="str">
        <f>IF(COUNTIF(Q2:R2, "*SDG 7")&lt;2, "Unclear", IF(Q2=R2, "Yes", "No"))</f>
        <v>Unclear</v>
      </c>
    </row>
    <row r="3" ht="15.75" customHeight="1">
      <c r="A3" s="31" t="s">
        <v>322</v>
      </c>
      <c r="B3" s="31" t="s">
        <v>323</v>
      </c>
      <c r="C3" s="16" t="str">
        <f t="shared" ref="C3:H3" si="3">VLOOKUP($A3, INDIRECT(C$1&amp;"!B:D"), 3, FALSE)</f>
        <v>#REF!</v>
      </c>
      <c r="D3" s="16" t="b">
        <f t="shared" si="3"/>
        <v>0</v>
      </c>
      <c r="E3" s="16" t="str">
        <f t="shared" si="3"/>
        <v>TO DO</v>
      </c>
      <c r="F3" s="16" t="str">
        <f t="shared" si="3"/>
        <v>TO DO</v>
      </c>
      <c r="G3" s="16" t="b">
        <f t="shared" si="3"/>
        <v>0</v>
      </c>
      <c r="H3" s="16" t="b">
        <f t="shared" si="3"/>
        <v>0</v>
      </c>
      <c r="I3" s="49">
        <f t="shared" si="4"/>
        <v>0</v>
      </c>
      <c r="J3" s="16" t="str">
        <f t="shared" ref="J3:N3" si="5">VLOOKUP($A3, INDIRECT(D$1&amp;"!B:E"), 4, FALSE)</f>
        <v/>
      </c>
      <c r="K3" s="16" t="str">
        <f t="shared" si="5"/>
        <v/>
      </c>
      <c r="L3" s="16" t="str">
        <f t="shared" si="5"/>
        <v/>
      </c>
      <c r="M3" s="16" t="str">
        <f t="shared" si="5"/>
        <v/>
      </c>
      <c r="N3" s="16" t="str">
        <f t="shared" si="5"/>
        <v/>
      </c>
      <c r="O3" s="16" t="str">
        <f t="shared" si="6"/>
        <v/>
      </c>
      <c r="P3" s="50" t="s">
        <v>414</v>
      </c>
      <c r="Q3" s="16" t="str">
        <f t="shared" si="7"/>
        <v>UNDECIDED</v>
      </c>
      <c r="R3" s="16" t="b">
        <f>VLOOKUP($A3, Source!B:I, 8, FALSE)</f>
        <v>0</v>
      </c>
      <c r="S3" s="16">
        <f>VLOOKUP(A3,Source!B:H, 7, FALSE)</f>
        <v>1</v>
      </c>
      <c r="T3" s="16" t="str">
        <f>IF(COUNTIF(Q3:R3, "UNDECIDED")&gt;0, "Unclear", IF((Q3="SDG 10")=R3, "Yes", "No"))</f>
        <v>Unclear</v>
      </c>
    </row>
    <row r="4" ht="15.75" customHeight="1">
      <c r="A4" s="31" t="s">
        <v>335</v>
      </c>
      <c r="B4" s="31" t="s">
        <v>336</v>
      </c>
      <c r="C4" s="16" t="str">
        <f t="shared" ref="C4:H4" si="8">VLOOKUP($A4, INDIRECT(C$1&amp;"!B:D"), 3, FALSE)</f>
        <v>#REF!</v>
      </c>
      <c r="D4" s="16" t="b">
        <f t="shared" si="8"/>
        <v>1</v>
      </c>
      <c r="E4" s="16" t="str">
        <f t="shared" si="8"/>
        <v>TO DO</v>
      </c>
      <c r="F4" s="16" t="str">
        <f t="shared" si="8"/>
        <v>TO DO</v>
      </c>
      <c r="G4" s="16" t="b">
        <f t="shared" si="8"/>
        <v>1</v>
      </c>
      <c r="H4" s="16" t="b">
        <f t="shared" si="8"/>
        <v>1</v>
      </c>
      <c r="I4" s="49">
        <f t="shared" si="4"/>
        <v>0</v>
      </c>
      <c r="J4" s="16" t="str">
        <f t="shared" ref="J4:N4" si="9">VLOOKUP($A4, INDIRECT(D$1&amp;"!B:E"), 4, FALSE)</f>
        <v/>
      </c>
      <c r="K4" s="16" t="str">
        <f t="shared" si="9"/>
        <v/>
      </c>
      <c r="L4" s="16" t="str">
        <f t="shared" si="9"/>
        <v/>
      </c>
      <c r="M4" s="16" t="str">
        <f t="shared" si="9"/>
        <v/>
      </c>
      <c r="N4" s="16" t="str">
        <f t="shared" si="9"/>
        <v/>
      </c>
      <c r="O4" s="16" t="str">
        <f t="shared" si="6"/>
        <v/>
      </c>
      <c r="P4" s="50" t="s">
        <v>414</v>
      </c>
      <c r="Q4" s="16" t="str">
        <f t="shared" si="7"/>
        <v>UNDECIDED</v>
      </c>
      <c r="R4" s="16" t="b">
        <f>VLOOKUP($A4, Source!B:I, 8, FALSE)</f>
        <v>1</v>
      </c>
      <c r="S4" s="16">
        <f>VLOOKUP(A4,Source!B:H, 7, FALSE)</f>
        <v>1</v>
      </c>
      <c r="T4" s="16" t="str">
        <f>IF(COUNTIF(Q4:R4, "*SDG 7")&lt;2, "Unclear", IF(Q4=R4, "Yes", "No"))</f>
        <v>Unclear</v>
      </c>
    </row>
    <row r="5" ht="15.75" customHeight="1">
      <c r="A5" s="31" t="s">
        <v>145</v>
      </c>
      <c r="B5" s="31" t="s">
        <v>146</v>
      </c>
      <c r="C5" s="16" t="str">
        <f t="shared" ref="C5:H5" si="10">VLOOKUP($A5, INDIRECT(C$1&amp;"!B:D"), 3, FALSE)</f>
        <v>#REF!</v>
      </c>
      <c r="D5" s="16" t="b">
        <f t="shared" si="10"/>
        <v>0</v>
      </c>
      <c r="E5" s="16" t="str">
        <f t="shared" si="10"/>
        <v>TO DO</v>
      </c>
      <c r="F5" s="16" t="str">
        <f t="shared" si="10"/>
        <v>TO DO</v>
      </c>
      <c r="G5" s="16" t="b">
        <f t="shared" si="10"/>
        <v>1</v>
      </c>
      <c r="H5" s="16" t="b">
        <f t="shared" si="10"/>
        <v>0</v>
      </c>
      <c r="I5" s="49">
        <f t="shared" si="4"/>
        <v>0</v>
      </c>
      <c r="J5" s="16" t="str">
        <f t="shared" ref="J5:N5" si="11">VLOOKUP($A5, INDIRECT(D$1&amp;"!B:E"), 4, FALSE)</f>
        <v/>
      </c>
      <c r="K5" s="16" t="str">
        <f t="shared" si="11"/>
        <v/>
      </c>
      <c r="L5" s="16" t="str">
        <f t="shared" si="11"/>
        <v/>
      </c>
      <c r="M5" s="16" t="str">
        <f t="shared" si="11"/>
        <v/>
      </c>
      <c r="N5" s="16" t="str">
        <f t="shared" si="11"/>
        <v/>
      </c>
      <c r="O5" s="16" t="str">
        <f t="shared" si="6"/>
        <v/>
      </c>
      <c r="P5" s="50" t="s">
        <v>414</v>
      </c>
      <c r="Q5" s="16" t="str">
        <f t="shared" si="7"/>
        <v>UNDECIDED</v>
      </c>
      <c r="R5" s="16" t="b">
        <f>VLOOKUP($A5, Source!B:I, 8, FALSE)</f>
        <v>0</v>
      </c>
      <c r="S5" s="16">
        <f>VLOOKUP(A5,Source!B:H, 7, FALSE)</f>
        <v>1</v>
      </c>
      <c r="T5" s="16" t="str">
        <f t="shared" ref="T5:T7" si="14">IF(COUNTIF(Q5:R5, "UNDECIDED")&gt;0, "Unclear", IF((Q5="SDG 10")=R5, "Yes", "No"))</f>
        <v>Unclear</v>
      </c>
    </row>
    <row r="6" ht="15.75" customHeight="1">
      <c r="A6" s="31" t="s">
        <v>163</v>
      </c>
      <c r="B6" s="31" t="s">
        <v>164</v>
      </c>
      <c r="C6" s="16" t="str">
        <f t="shared" ref="C6:H6" si="12">VLOOKUP($A6, INDIRECT(C$1&amp;"!B:D"), 3, FALSE)</f>
        <v>#REF!</v>
      </c>
      <c r="D6" s="16" t="b">
        <f t="shared" si="12"/>
        <v>0</v>
      </c>
      <c r="E6" s="16" t="str">
        <f t="shared" si="12"/>
        <v>TO DO</v>
      </c>
      <c r="F6" s="16" t="str">
        <f t="shared" si="12"/>
        <v>TO DO</v>
      </c>
      <c r="G6" s="16" t="b">
        <f t="shared" si="12"/>
        <v>0</v>
      </c>
      <c r="H6" s="16" t="b">
        <f t="shared" si="12"/>
        <v>0</v>
      </c>
      <c r="I6" s="49">
        <f t="shared" si="4"/>
        <v>0</v>
      </c>
      <c r="J6" s="16" t="str">
        <f t="shared" ref="J6:N6" si="13">VLOOKUP($A6, INDIRECT(D$1&amp;"!B:E"), 4, FALSE)</f>
        <v>typo</v>
      </c>
      <c r="K6" s="16" t="str">
        <f t="shared" si="13"/>
        <v/>
      </c>
      <c r="L6" s="16" t="str">
        <f t="shared" si="13"/>
        <v/>
      </c>
      <c r="M6" s="16" t="str">
        <f t="shared" si="13"/>
        <v/>
      </c>
      <c r="N6" s="16" t="str">
        <f t="shared" si="13"/>
        <v/>
      </c>
      <c r="O6" s="16" t="str">
        <f t="shared" si="6"/>
        <v>- typo</v>
      </c>
      <c r="P6" s="50" t="s">
        <v>490</v>
      </c>
      <c r="Q6" s="16" t="str">
        <f t="shared" si="7"/>
        <v>UNDECIDED</v>
      </c>
      <c r="R6" s="16" t="b">
        <f>VLOOKUP($A6, Source!B:I, 8, FALSE)</f>
        <v>0</v>
      </c>
      <c r="S6" s="16">
        <f>VLOOKUP(A6,Source!B:H, 7, FALSE)</f>
        <v>1</v>
      </c>
      <c r="T6" s="16" t="str">
        <f t="shared" si="14"/>
        <v>Unclear</v>
      </c>
    </row>
    <row r="7" ht="15.75" customHeight="1">
      <c r="A7" s="31" t="s">
        <v>259</v>
      </c>
      <c r="B7" s="31" t="s">
        <v>260</v>
      </c>
      <c r="C7" s="16" t="str">
        <f t="shared" ref="C7:H7" si="15">VLOOKUP($A7, INDIRECT(C$1&amp;"!B:D"), 3, FALSE)</f>
        <v>#REF!</v>
      </c>
      <c r="D7" s="16" t="b">
        <f t="shared" si="15"/>
        <v>0</v>
      </c>
      <c r="E7" s="16" t="str">
        <f t="shared" si="15"/>
        <v>TO DO</v>
      </c>
      <c r="F7" s="16" t="str">
        <f t="shared" si="15"/>
        <v>TO DO</v>
      </c>
      <c r="G7" s="16" t="b">
        <f t="shared" si="15"/>
        <v>0</v>
      </c>
      <c r="H7" s="16" t="b">
        <f t="shared" si="15"/>
        <v>0</v>
      </c>
      <c r="I7" s="49">
        <f t="shared" si="4"/>
        <v>0</v>
      </c>
      <c r="J7" s="16" t="str">
        <f t="shared" ref="J7:N7" si="16">VLOOKUP($A7, INDIRECT(D$1&amp;"!B:E"), 4, FALSE)</f>
        <v/>
      </c>
      <c r="K7" s="16" t="str">
        <f t="shared" si="16"/>
        <v/>
      </c>
      <c r="L7" s="16" t="str">
        <f t="shared" si="16"/>
        <v/>
      </c>
      <c r="M7" s="16" t="str">
        <f t="shared" si="16"/>
        <v/>
      </c>
      <c r="N7" s="16" t="str">
        <f t="shared" si="16"/>
        <v/>
      </c>
      <c r="O7" s="16" t="str">
        <f t="shared" si="6"/>
        <v/>
      </c>
      <c r="P7" s="50" t="s">
        <v>414</v>
      </c>
      <c r="Q7" s="16" t="str">
        <f t="shared" si="7"/>
        <v>UNDECIDED</v>
      </c>
      <c r="R7" s="16" t="b">
        <f>VLOOKUP($A7, Source!B:I, 8, FALSE)</f>
        <v>0</v>
      </c>
      <c r="S7" s="16">
        <f>VLOOKUP(A7,Source!B:H, 7, FALSE)</f>
        <v>1</v>
      </c>
      <c r="T7" s="16" t="str">
        <f t="shared" si="14"/>
        <v>Unclear</v>
      </c>
    </row>
    <row r="8" ht="15.75" customHeight="1">
      <c r="A8" s="31" t="s">
        <v>102</v>
      </c>
      <c r="B8" s="31" t="s">
        <v>103</v>
      </c>
      <c r="C8" s="16" t="str">
        <f t="shared" ref="C8:H8" si="17">VLOOKUP($A8, INDIRECT(C$1&amp;"!B:D"), 3, FALSE)</f>
        <v>#REF!</v>
      </c>
      <c r="D8" s="16" t="b">
        <f t="shared" si="17"/>
        <v>0</v>
      </c>
      <c r="E8" s="16" t="str">
        <f t="shared" si="17"/>
        <v>TO DO</v>
      </c>
      <c r="F8" s="16" t="str">
        <f t="shared" si="17"/>
        <v>TO DO</v>
      </c>
      <c r="G8" s="16" t="b">
        <f t="shared" si="17"/>
        <v>0</v>
      </c>
      <c r="H8" s="16" t="b">
        <f t="shared" si="17"/>
        <v>0</v>
      </c>
      <c r="I8" s="49">
        <f t="shared" si="4"/>
        <v>0</v>
      </c>
      <c r="J8" s="16" t="str">
        <f t="shared" ref="J8:N8" si="18">VLOOKUP($A8, INDIRECT(D$1&amp;"!B:E"), 4, FALSE)</f>
        <v/>
      </c>
      <c r="K8" s="16" t="str">
        <f t="shared" si="18"/>
        <v/>
      </c>
      <c r="L8" s="16" t="str">
        <f t="shared" si="18"/>
        <v/>
      </c>
      <c r="M8" s="16" t="str">
        <f t="shared" si="18"/>
        <v/>
      </c>
      <c r="N8" s="16" t="str">
        <f t="shared" si="18"/>
        <v/>
      </c>
      <c r="O8" s="16" t="str">
        <f t="shared" si="6"/>
        <v/>
      </c>
      <c r="P8" s="50" t="s">
        <v>414</v>
      </c>
      <c r="Q8" s="16" t="str">
        <f t="shared" si="7"/>
        <v>UNDECIDED</v>
      </c>
      <c r="R8" s="16" t="b">
        <f>VLOOKUP($A8, Source!B:I, 8, FALSE)</f>
        <v>0</v>
      </c>
      <c r="S8" s="16">
        <f>VLOOKUP(A8,Source!B:H, 7, FALSE)</f>
        <v>1</v>
      </c>
      <c r="T8" s="16" t="str">
        <f>IF(COUNTIF(Q8:R8, "*SDG 7")&lt;2, "Unclear", IF(Q8=R8, "Yes", "No"))</f>
        <v>Unclear</v>
      </c>
    </row>
    <row r="9" ht="15.75" customHeight="1">
      <c r="A9" s="31" t="s">
        <v>112</v>
      </c>
      <c r="B9" s="31" t="s">
        <v>113</v>
      </c>
      <c r="C9" s="16" t="str">
        <f t="shared" ref="C9:H9" si="19">VLOOKUP($A9, INDIRECT(C$1&amp;"!B:D"), 3, FALSE)</f>
        <v>#REF!</v>
      </c>
      <c r="D9" s="16" t="b">
        <f t="shared" si="19"/>
        <v>0</v>
      </c>
      <c r="E9" s="16" t="str">
        <f t="shared" si="19"/>
        <v>TO DO</v>
      </c>
      <c r="F9" s="16" t="str">
        <f t="shared" si="19"/>
        <v>TO DO</v>
      </c>
      <c r="G9" s="16" t="b">
        <f t="shared" si="19"/>
        <v>0</v>
      </c>
      <c r="H9" s="16" t="b">
        <f t="shared" si="19"/>
        <v>0</v>
      </c>
      <c r="I9" s="49">
        <f t="shared" si="4"/>
        <v>0</v>
      </c>
      <c r="J9" s="16" t="str">
        <f t="shared" ref="J9:N9" si="20">VLOOKUP($A9, INDIRECT(D$1&amp;"!B:E"), 4, FALSE)</f>
        <v>typos</v>
      </c>
      <c r="K9" s="16" t="str">
        <f t="shared" si="20"/>
        <v/>
      </c>
      <c r="L9" s="16" t="str">
        <f t="shared" si="20"/>
        <v/>
      </c>
      <c r="M9" s="16" t="str">
        <f t="shared" si="20"/>
        <v/>
      </c>
      <c r="N9" s="16" t="str">
        <f t="shared" si="20"/>
        <v/>
      </c>
      <c r="O9" s="16" t="str">
        <f t="shared" si="6"/>
        <v>- typos</v>
      </c>
      <c r="P9" s="50" t="s">
        <v>491</v>
      </c>
      <c r="Q9" s="16" t="str">
        <f t="shared" si="7"/>
        <v>UNDECIDED</v>
      </c>
      <c r="R9" s="16" t="b">
        <f>VLOOKUP($A9, Source!B:I, 8, FALSE)</f>
        <v>0</v>
      </c>
      <c r="S9" s="16">
        <f>VLOOKUP(A9,Source!B:H, 7, FALSE)</f>
        <v>1</v>
      </c>
      <c r="T9" s="16" t="str">
        <f t="shared" ref="T9:T10" si="23">IF(COUNTIF(Q9:R9, "UNDECIDED")&gt;0, "Unclear", IF((Q9="SDG 10")=R9, "Yes", "No"))</f>
        <v>Unclear</v>
      </c>
    </row>
    <row r="10" ht="15.75" customHeight="1">
      <c r="A10" s="31" t="s">
        <v>173</v>
      </c>
      <c r="B10" s="31" t="s">
        <v>174</v>
      </c>
      <c r="C10" s="16" t="str">
        <f t="shared" ref="C10:H10" si="21">VLOOKUP($A10, INDIRECT(C$1&amp;"!B:D"), 3, FALSE)</f>
        <v>#REF!</v>
      </c>
      <c r="D10" s="16" t="b">
        <f t="shared" si="21"/>
        <v>0</v>
      </c>
      <c r="E10" s="16" t="str">
        <f t="shared" si="21"/>
        <v>TO DO</v>
      </c>
      <c r="F10" s="16" t="str">
        <f t="shared" si="21"/>
        <v>TO DO</v>
      </c>
      <c r="G10" s="16" t="str">
        <f t="shared" si="21"/>
        <v>TO DO</v>
      </c>
      <c r="H10" s="16" t="b">
        <f t="shared" si="21"/>
        <v>0</v>
      </c>
      <c r="I10" s="49">
        <f t="shared" si="4"/>
        <v>0</v>
      </c>
      <c r="J10" s="16" t="str">
        <f t="shared" ref="J10:N10" si="22">VLOOKUP($A10, INDIRECT(D$1&amp;"!B:E"), 4, FALSE)</f>
        <v>French</v>
      </c>
      <c r="K10" s="16" t="str">
        <f t="shared" si="22"/>
        <v/>
      </c>
      <c r="L10" s="16" t="str">
        <f t="shared" si="22"/>
        <v/>
      </c>
      <c r="M10" s="16" t="str">
        <f t="shared" si="22"/>
        <v/>
      </c>
      <c r="N10" s="16" t="str">
        <f t="shared" si="22"/>
        <v/>
      </c>
      <c r="O10" s="16" t="str">
        <f t="shared" si="6"/>
        <v>- French</v>
      </c>
      <c r="P10" s="50" t="s">
        <v>492</v>
      </c>
      <c r="Q10" s="16" t="str">
        <f t="shared" si="7"/>
        <v>UNDECIDED</v>
      </c>
      <c r="R10" s="16" t="b">
        <f>VLOOKUP($A10, Source!B:I, 8, FALSE)</f>
        <v>0</v>
      </c>
      <c r="S10" s="16">
        <f>VLOOKUP(A10,Source!B:H, 7, FALSE)</f>
        <v>0.8</v>
      </c>
      <c r="T10" s="16" t="str">
        <f t="shared" si="23"/>
        <v>Unclear</v>
      </c>
    </row>
    <row r="11" ht="15.75" customHeight="1">
      <c r="A11" s="31" t="s">
        <v>136</v>
      </c>
      <c r="B11" s="31" t="s">
        <v>137</v>
      </c>
      <c r="C11" s="16" t="str">
        <f t="shared" ref="C11:H11" si="24">VLOOKUP($A11, INDIRECT(C$1&amp;"!B:D"), 3, FALSE)</f>
        <v>#REF!</v>
      </c>
      <c r="D11" s="16" t="b">
        <f t="shared" si="24"/>
        <v>0</v>
      </c>
      <c r="E11" s="16" t="str">
        <f t="shared" si="24"/>
        <v>TO DO</v>
      </c>
      <c r="F11" s="16" t="str">
        <f t="shared" si="24"/>
        <v>TO DO</v>
      </c>
      <c r="G11" s="16" t="b">
        <f t="shared" si="24"/>
        <v>0</v>
      </c>
      <c r="H11" s="16" t="b">
        <f t="shared" si="24"/>
        <v>0</v>
      </c>
      <c r="I11" s="49">
        <f t="shared" si="4"/>
        <v>0</v>
      </c>
      <c r="J11" s="16" t="str">
        <f t="shared" ref="J11:N11" si="25">VLOOKUP($A11, INDIRECT(D$1&amp;"!B:E"), 4, FALSE)</f>
        <v/>
      </c>
      <c r="K11" s="16" t="str">
        <f t="shared" si="25"/>
        <v/>
      </c>
      <c r="L11" s="16" t="str">
        <f t="shared" si="25"/>
        <v/>
      </c>
      <c r="M11" s="16" t="str">
        <f t="shared" si="25"/>
        <v/>
      </c>
      <c r="N11" s="16" t="str">
        <f t="shared" si="25"/>
        <v/>
      </c>
      <c r="O11" s="16" t="str">
        <f t="shared" si="6"/>
        <v/>
      </c>
      <c r="P11" s="50" t="s">
        <v>414</v>
      </c>
      <c r="Q11" s="16" t="str">
        <f t="shared" si="7"/>
        <v>UNDECIDED</v>
      </c>
      <c r="R11" s="16" t="b">
        <f>VLOOKUP($A11, Source!B:I, 8, FALSE)</f>
        <v>0</v>
      </c>
      <c r="S11" s="16">
        <f>VLOOKUP(A11,Source!B:H, 7, FALSE)</f>
        <v>0.7777777778</v>
      </c>
      <c r="T11" s="16" t="str">
        <f t="shared" ref="T11:T13" si="28">IF(COUNTIF(Q11:R11, "*SDG 7")&lt;2, "Unclear", IF(Q11=R11, "Yes", "No"))</f>
        <v>Unclear</v>
      </c>
    </row>
    <row r="12" ht="15.75" customHeight="1">
      <c r="A12" s="31" t="s">
        <v>196</v>
      </c>
      <c r="B12" s="31" t="s">
        <v>197</v>
      </c>
      <c r="C12" s="16" t="str">
        <f t="shared" ref="C12:H12" si="26">VLOOKUP($A12, INDIRECT(C$1&amp;"!B:D"), 3, FALSE)</f>
        <v>#REF!</v>
      </c>
      <c r="D12" s="16" t="b">
        <f t="shared" si="26"/>
        <v>0</v>
      </c>
      <c r="E12" s="16" t="str">
        <f t="shared" si="26"/>
        <v>TO DO</v>
      </c>
      <c r="F12" s="16" t="str">
        <f t="shared" si="26"/>
        <v>TO DO</v>
      </c>
      <c r="G12" s="16" t="b">
        <f t="shared" si="26"/>
        <v>0</v>
      </c>
      <c r="H12" s="16" t="b">
        <f t="shared" si="26"/>
        <v>0</v>
      </c>
      <c r="I12" s="49">
        <f t="shared" si="4"/>
        <v>0</v>
      </c>
      <c r="J12" s="16" t="str">
        <f t="shared" ref="J12:N12" si="27">VLOOKUP($A12, INDIRECT(D$1&amp;"!B:E"), 4, FALSE)</f>
        <v/>
      </c>
      <c r="K12" s="16" t="str">
        <f t="shared" si="27"/>
        <v/>
      </c>
      <c r="L12" s="16" t="str">
        <f t="shared" si="27"/>
        <v/>
      </c>
      <c r="M12" s="16" t="str">
        <f t="shared" si="27"/>
        <v/>
      </c>
      <c r="N12" s="16" t="str">
        <f t="shared" si="27"/>
        <v/>
      </c>
      <c r="O12" s="16" t="str">
        <f t="shared" si="6"/>
        <v/>
      </c>
      <c r="P12" s="50" t="s">
        <v>414</v>
      </c>
      <c r="Q12" s="16" t="str">
        <f t="shared" si="7"/>
        <v>UNDECIDED</v>
      </c>
      <c r="R12" s="16" t="b">
        <f>VLOOKUP($A12, Source!B:I, 8, FALSE)</f>
        <v>0</v>
      </c>
      <c r="S12" s="16">
        <f>VLOOKUP(A12,Source!B:H, 7, FALSE)</f>
        <v>0.7777777778</v>
      </c>
      <c r="T12" s="16" t="str">
        <f t="shared" si="28"/>
        <v>Unclear</v>
      </c>
    </row>
    <row r="13" ht="15.75" customHeight="1">
      <c r="A13" s="31" t="s">
        <v>119</v>
      </c>
      <c r="B13" s="31" t="s">
        <v>120</v>
      </c>
      <c r="C13" s="16" t="str">
        <f t="shared" ref="C13:H13" si="29">VLOOKUP($A13, INDIRECT(C$1&amp;"!B:D"), 3, FALSE)</f>
        <v>#REF!</v>
      </c>
      <c r="D13" s="16" t="b">
        <f t="shared" si="29"/>
        <v>0</v>
      </c>
      <c r="E13" s="16" t="str">
        <f t="shared" si="29"/>
        <v>TO DO</v>
      </c>
      <c r="F13" s="16" t="str">
        <f t="shared" si="29"/>
        <v>TO DO</v>
      </c>
      <c r="G13" s="16" t="b">
        <f t="shared" si="29"/>
        <v>0</v>
      </c>
      <c r="H13" s="16" t="b">
        <f t="shared" si="29"/>
        <v>0</v>
      </c>
      <c r="I13" s="49">
        <f t="shared" si="4"/>
        <v>0</v>
      </c>
      <c r="J13" s="16" t="str">
        <f t="shared" ref="J13:N13" si="30">VLOOKUP($A13, INDIRECT(D$1&amp;"!B:E"), 4, FALSE)</f>
        <v/>
      </c>
      <c r="K13" s="16" t="str">
        <f t="shared" si="30"/>
        <v/>
      </c>
      <c r="L13" s="16" t="str">
        <f t="shared" si="30"/>
        <v/>
      </c>
      <c r="M13" s="16" t="str">
        <f t="shared" si="30"/>
        <v/>
      </c>
      <c r="N13" s="16" t="str">
        <f t="shared" si="30"/>
        <v>related to health workers (or aspirants) but not really linked to specific SDG 3 objectives</v>
      </c>
      <c r="O13" s="16" t="str">
        <f t="shared" si="6"/>
        <v>- related to health workers (or aspirants) but not really linked to specific SDG 3 objectives</v>
      </c>
      <c r="P13" s="50" t="s">
        <v>493</v>
      </c>
      <c r="Q13" s="16" t="str">
        <f t="shared" si="7"/>
        <v>UNDECIDED</v>
      </c>
      <c r="R13" s="16" t="b">
        <f>VLOOKUP($A13, Source!B:I, 8, FALSE)</f>
        <v>0</v>
      </c>
      <c r="S13" s="16">
        <f>VLOOKUP(A13,Source!B:H, 7, FALSE)</f>
        <v>0.7777777778</v>
      </c>
      <c r="T13" s="16" t="str">
        <f t="shared" si="28"/>
        <v>Unclear</v>
      </c>
    </row>
    <row r="14" ht="15.75" customHeight="1">
      <c r="A14" s="31" t="s">
        <v>187</v>
      </c>
      <c r="B14" s="31" t="s">
        <v>188</v>
      </c>
      <c r="C14" s="16" t="str">
        <f t="shared" ref="C14:H14" si="31">VLOOKUP($A14, INDIRECT(C$1&amp;"!B:D"), 3, FALSE)</f>
        <v>#REF!</v>
      </c>
      <c r="D14" s="16" t="b">
        <f t="shared" si="31"/>
        <v>0</v>
      </c>
      <c r="E14" s="16" t="str">
        <f t="shared" si="31"/>
        <v>TO DO</v>
      </c>
      <c r="F14" s="16" t="str">
        <f t="shared" si="31"/>
        <v>TO DO</v>
      </c>
      <c r="G14" s="16" t="b">
        <f t="shared" si="31"/>
        <v>0</v>
      </c>
      <c r="H14" s="16" t="b">
        <f t="shared" si="31"/>
        <v>0</v>
      </c>
      <c r="I14" s="49">
        <f t="shared" si="4"/>
        <v>0</v>
      </c>
      <c r="J14" s="16" t="str">
        <f t="shared" ref="J14:N14" si="32">VLOOKUP($A14, INDIRECT(D$1&amp;"!B:E"), 4, FALSE)</f>
        <v/>
      </c>
      <c r="K14" s="16" t="str">
        <f t="shared" si="32"/>
        <v/>
      </c>
      <c r="L14" s="16" t="str">
        <f t="shared" si="32"/>
        <v/>
      </c>
      <c r="M14" s="16" t="str">
        <f t="shared" si="32"/>
        <v/>
      </c>
      <c r="N14" s="16" t="str">
        <f t="shared" si="32"/>
        <v/>
      </c>
      <c r="O14" s="16" t="str">
        <f t="shared" si="6"/>
        <v/>
      </c>
      <c r="P14" s="50" t="s">
        <v>414</v>
      </c>
      <c r="Q14" s="16" t="str">
        <f t="shared" si="7"/>
        <v>UNDECIDED</v>
      </c>
      <c r="R14" s="16" t="b">
        <f>VLOOKUP($A14, Source!B:I, 8, FALSE)</f>
        <v>0</v>
      </c>
      <c r="S14" s="16">
        <f>VLOOKUP(A14,Source!B:H, 7, FALSE)</f>
        <v>0.7777777778</v>
      </c>
      <c r="T14" s="16" t="str">
        <f t="shared" ref="T14:T18" si="35">IF(COUNTIF(Q14:R14, "UNDECIDED")&gt;0, "Unclear", IF((Q14="SDG 10")=R14, "Yes", "No"))</f>
        <v>Unclear</v>
      </c>
    </row>
    <row r="15" ht="15.75" customHeight="1">
      <c r="A15" s="31" t="s">
        <v>204</v>
      </c>
      <c r="B15" s="31" t="s">
        <v>205</v>
      </c>
      <c r="C15" s="16" t="str">
        <f t="shared" ref="C15:H15" si="33">VLOOKUP($A15, INDIRECT(C$1&amp;"!B:D"), 3, FALSE)</f>
        <v>#REF!</v>
      </c>
      <c r="D15" s="16" t="b">
        <f t="shared" si="33"/>
        <v>1</v>
      </c>
      <c r="E15" s="16" t="str">
        <f t="shared" si="33"/>
        <v>TO DO</v>
      </c>
      <c r="F15" s="16" t="str">
        <f t="shared" si="33"/>
        <v>TO DO</v>
      </c>
      <c r="G15" s="16" t="b">
        <f t="shared" si="33"/>
        <v>1</v>
      </c>
      <c r="H15" s="16" t="b">
        <f t="shared" si="33"/>
        <v>1</v>
      </c>
      <c r="I15" s="49">
        <f t="shared" si="4"/>
        <v>0</v>
      </c>
      <c r="J15" s="16" t="str">
        <f t="shared" ref="J15:N15" si="34">VLOOKUP($A15, INDIRECT(D$1&amp;"!B:E"), 4, FALSE)</f>
        <v/>
      </c>
      <c r="K15" s="16" t="str">
        <f t="shared" si="34"/>
        <v/>
      </c>
      <c r="L15" s="16" t="str">
        <f t="shared" si="34"/>
        <v/>
      </c>
      <c r="M15" s="16" t="str">
        <f t="shared" si="34"/>
        <v/>
      </c>
      <c r="N15" s="16" t="str">
        <f t="shared" si="34"/>
        <v>3.4 (NCD)</v>
      </c>
      <c r="O15" s="16" t="str">
        <f t="shared" si="6"/>
        <v>- 3.4 (NCD)</v>
      </c>
      <c r="P15" s="50" t="s">
        <v>494</v>
      </c>
      <c r="Q15" s="16" t="str">
        <f t="shared" si="7"/>
        <v>UNDECIDED</v>
      </c>
      <c r="R15" s="16" t="b">
        <f>VLOOKUP($A15, Source!B:I, 8, FALSE)</f>
        <v>1</v>
      </c>
      <c r="S15" s="16">
        <f>VLOOKUP(A15,Source!B:H, 7, FALSE)</f>
        <v>0.883910387</v>
      </c>
      <c r="T15" s="16" t="str">
        <f t="shared" si="35"/>
        <v>Unclear</v>
      </c>
    </row>
    <row r="16" ht="15.75" customHeight="1">
      <c r="A16" s="31" t="s">
        <v>240</v>
      </c>
      <c r="B16" s="31" t="s">
        <v>241</v>
      </c>
      <c r="C16" s="16" t="str">
        <f t="shared" ref="C16:H16" si="36">VLOOKUP($A16, INDIRECT(C$1&amp;"!B:D"), 3, FALSE)</f>
        <v>#REF!</v>
      </c>
      <c r="D16" s="16" t="b">
        <f t="shared" si="36"/>
        <v>1</v>
      </c>
      <c r="E16" s="16" t="str">
        <f t="shared" si="36"/>
        <v>TO DO</v>
      </c>
      <c r="F16" s="16" t="str">
        <f t="shared" si="36"/>
        <v>TO DO</v>
      </c>
      <c r="G16" s="16" t="b">
        <f t="shared" si="36"/>
        <v>1</v>
      </c>
      <c r="H16" s="16" t="b">
        <f t="shared" si="36"/>
        <v>1</v>
      </c>
      <c r="I16" s="49">
        <f t="shared" si="4"/>
        <v>0</v>
      </c>
      <c r="J16" s="16" t="str">
        <f t="shared" ref="J16:N16" si="37">VLOOKUP($A16, INDIRECT(D$1&amp;"!B:E"), 4, FALSE)</f>
        <v/>
      </c>
      <c r="K16" s="16" t="str">
        <f t="shared" si="37"/>
        <v/>
      </c>
      <c r="L16" s="16" t="str">
        <f t="shared" si="37"/>
        <v/>
      </c>
      <c r="M16" s="16" t="str">
        <f t="shared" si="37"/>
        <v/>
      </c>
      <c r="N16" s="16" t="str">
        <f t="shared" si="37"/>
        <v/>
      </c>
      <c r="O16" s="16" t="str">
        <f t="shared" si="6"/>
        <v/>
      </c>
      <c r="P16" s="50" t="s">
        <v>414</v>
      </c>
      <c r="Q16" s="16" t="str">
        <f t="shared" si="7"/>
        <v>UNDECIDED</v>
      </c>
      <c r="R16" s="16" t="b">
        <f>VLOOKUP($A16, Source!B:I, 8, FALSE)</f>
        <v>1</v>
      </c>
      <c r="S16" s="16">
        <f>VLOOKUP(A16,Source!B:H, 7, FALSE)</f>
        <v>0.8702368692</v>
      </c>
      <c r="T16" s="16" t="str">
        <f t="shared" si="35"/>
        <v>Unclear</v>
      </c>
    </row>
    <row r="17" ht="15.75" customHeight="1">
      <c r="A17" s="31" t="s">
        <v>232</v>
      </c>
      <c r="B17" s="31" t="s">
        <v>233</v>
      </c>
      <c r="C17" s="16" t="str">
        <f t="shared" ref="C17:H17" si="38">VLOOKUP($A17, INDIRECT(C$1&amp;"!B:D"), 3, FALSE)</f>
        <v>#REF!</v>
      </c>
      <c r="D17" s="16" t="b">
        <f t="shared" si="38"/>
        <v>1</v>
      </c>
      <c r="E17" s="16" t="str">
        <f t="shared" si="38"/>
        <v>TO DO</v>
      </c>
      <c r="F17" s="16" t="str">
        <f t="shared" si="38"/>
        <v>TO DO</v>
      </c>
      <c r="G17" s="16" t="b">
        <f t="shared" si="38"/>
        <v>1</v>
      </c>
      <c r="H17" s="16" t="b">
        <f t="shared" si="38"/>
        <v>0</v>
      </c>
      <c r="I17" s="49">
        <f t="shared" si="4"/>
        <v>0</v>
      </c>
      <c r="J17" s="16" t="str">
        <f t="shared" ref="J17:N17" si="39">VLOOKUP($A17, INDIRECT(D$1&amp;"!B:E"), 4, FALSE)</f>
        <v/>
      </c>
      <c r="K17" s="16" t="str">
        <f t="shared" si="39"/>
        <v/>
      </c>
      <c r="L17" s="16" t="str">
        <f t="shared" si="39"/>
        <v/>
      </c>
      <c r="M17" s="16" t="str">
        <f t="shared" si="39"/>
        <v/>
      </c>
      <c r="N17" s="16" t="str">
        <f t="shared" si="39"/>
        <v/>
      </c>
      <c r="O17" s="16" t="str">
        <f t="shared" si="6"/>
        <v/>
      </c>
      <c r="P17" s="50" t="s">
        <v>414</v>
      </c>
      <c r="Q17" s="16" t="str">
        <f t="shared" si="7"/>
        <v>UNDECIDED</v>
      </c>
      <c r="R17" s="16" t="b">
        <f>VLOOKUP($A17, Source!B:I, 8, FALSE)</f>
        <v>1</v>
      </c>
      <c r="S17" s="16">
        <f>VLOOKUP(A17,Source!B:H, 7, FALSE)</f>
        <v>0.8666666667</v>
      </c>
      <c r="T17" s="16" t="str">
        <f t="shared" si="35"/>
        <v>Unclear</v>
      </c>
    </row>
    <row r="18" ht="15.75" customHeight="1">
      <c r="A18" s="31" t="s">
        <v>191</v>
      </c>
      <c r="B18" s="31" t="s">
        <v>192</v>
      </c>
      <c r="C18" s="16" t="str">
        <f t="shared" ref="C18:H18" si="40">VLOOKUP($A18, INDIRECT(C$1&amp;"!B:D"), 3, FALSE)</f>
        <v>#REF!</v>
      </c>
      <c r="D18" s="16" t="b">
        <f t="shared" si="40"/>
        <v>1</v>
      </c>
      <c r="E18" s="16" t="str">
        <f t="shared" si="40"/>
        <v>TO DO</v>
      </c>
      <c r="F18" s="16" t="str">
        <f t="shared" si="40"/>
        <v>TO DO</v>
      </c>
      <c r="G18" s="16" t="b">
        <f t="shared" si="40"/>
        <v>0</v>
      </c>
      <c r="H18" s="16" t="b">
        <f t="shared" si="40"/>
        <v>0</v>
      </c>
      <c r="I18" s="49">
        <f t="shared" si="4"/>
        <v>0</v>
      </c>
      <c r="J18" s="16" t="str">
        <f t="shared" ref="J18:N18" si="41">VLOOKUP($A18, INDIRECT(D$1&amp;"!B:E"), 4, FALSE)</f>
        <v>typo</v>
      </c>
      <c r="K18" s="16" t="str">
        <f t="shared" si="41"/>
        <v/>
      </c>
      <c r="L18" s="16" t="str">
        <f t="shared" si="41"/>
        <v/>
      </c>
      <c r="M18" s="16" t="str">
        <f t="shared" si="41"/>
        <v/>
      </c>
      <c r="N18" s="16" t="str">
        <f t="shared" si="41"/>
        <v>no direct link to SDG 3 objectives, no sentiment, call to action</v>
      </c>
      <c r="O18" s="16" t="str">
        <f t="shared" si="6"/>
        <v>- typo
- no direct link to SDG 3 objectives, no sentiment, call to action</v>
      </c>
      <c r="P18" s="50" t="s">
        <v>495</v>
      </c>
      <c r="Q18" s="16" t="str">
        <f t="shared" si="7"/>
        <v>UNDECIDED</v>
      </c>
      <c r="R18" s="16" t="b">
        <f>VLOOKUP($A18, Source!B:I, 8, FALSE)</f>
        <v>1</v>
      </c>
      <c r="S18" s="16">
        <f>VLOOKUP(A18,Source!B:H, 7, FALSE)</f>
        <v>0.8461538462</v>
      </c>
      <c r="T18" s="16" t="str">
        <f t="shared" si="35"/>
        <v>Unclear</v>
      </c>
    </row>
    <row r="19" ht="15.75" customHeight="1">
      <c r="A19" s="31" t="s">
        <v>326</v>
      </c>
      <c r="B19" s="31" t="s">
        <v>327</v>
      </c>
      <c r="C19" s="16" t="str">
        <f t="shared" ref="C19:H19" si="42">VLOOKUP($A19, INDIRECT(C$1&amp;"!B:D"), 3, FALSE)</f>
        <v>#REF!</v>
      </c>
      <c r="D19" s="16" t="b">
        <f t="shared" si="42"/>
        <v>0</v>
      </c>
      <c r="E19" s="16" t="str">
        <f t="shared" si="42"/>
        <v>TO DO</v>
      </c>
      <c r="F19" s="16" t="str">
        <f t="shared" si="42"/>
        <v>TO DO</v>
      </c>
      <c r="G19" s="16" t="b">
        <f t="shared" si="42"/>
        <v>1</v>
      </c>
      <c r="H19" s="16" t="b">
        <f t="shared" si="42"/>
        <v>1</v>
      </c>
      <c r="I19" s="49">
        <f t="shared" si="4"/>
        <v>0</v>
      </c>
      <c r="J19" s="16" t="str">
        <f t="shared" ref="J19:N19" si="43">VLOOKUP($A19, INDIRECT(D$1&amp;"!B:E"), 4, FALSE)</f>
        <v>lacking context</v>
      </c>
      <c r="K19" s="16" t="str">
        <f t="shared" si="43"/>
        <v/>
      </c>
      <c r="L19" s="16" t="str">
        <f t="shared" si="43"/>
        <v/>
      </c>
      <c r="M19" s="16" t="str">
        <f t="shared" si="43"/>
        <v>about policy, but not how to increase access</v>
      </c>
      <c r="N19" s="16">
        <f t="shared" si="43"/>
        <v>3.8</v>
      </c>
      <c r="O19" s="16" t="str">
        <f t="shared" si="6"/>
        <v>- lacking context
- about policy, but not how to increase access
- 3.8</v>
      </c>
      <c r="P19" s="50" t="s">
        <v>496</v>
      </c>
      <c r="Q19" s="16" t="str">
        <f t="shared" si="7"/>
        <v>UNDECIDED</v>
      </c>
      <c r="R19" s="16" t="b">
        <f>VLOOKUP($A19, Source!B:I, 8, FALSE)</f>
        <v>1</v>
      </c>
      <c r="S19" s="16">
        <f>VLOOKUP(A19,Source!B:H, 7, FALSE)</f>
        <v>0.8</v>
      </c>
      <c r="T19" s="16" t="str">
        <f t="shared" ref="T19:T20" si="46">IF(COUNTIF(Q19:R19, "*SDG 7")&lt;2, "Unclear", IF(Q19=R19, "Yes", "No"))</f>
        <v>Unclear</v>
      </c>
    </row>
    <row r="20" ht="15.75" customHeight="1">
      <c r="A20" s="31" t="s">
        <v>274</v>
      </c>
      <c r="B20" s="31" t="s">
        <v>275</v>
      </c>
      <c r="C20" s="16" t="str">
        <f t="shared" ref="C20:H20" si="44">VLOOKUP($A20, INDIRECT(C$1&amp;"!B:D"), 3, FALSE)</f>
        <v>#REF!</v>
      </c>
      <c r="D20" s="16" t="b">
        <f t="shared" si="44"/>
        <v>1</v>
      </c>
      <c r="E20" s="16" t="str">
        <f t="shared" si="44"/>
        <v>TO DO</v>
      </c>
      <c r="F20" s="16" t="str">
        <f t="shared" si="44"/>
        <v>TO DO</v>
      </c>
      <c r="G20" s="16" t="b">
        <f t="shared" si="44"/>
        <v>0</v>
      </c>
      <c r="H20" s="16" t="b">
        <f t="shared" si="44"/>
        <v>1</v>
      </c>
      <c r="I20" s="49">
        <f t="shared" si="4"/>
        <v>0</v>
      </c>
      <c r="J20" s="16" t="str">
        <f t="shared" ref="J20:N20" si="45">VLOOKUP($A20, INDIRECT(D$1&amp;"!B:E"), 4, FALSE)</f>
        <v/>
      </c>
      <c r="K20" s="16" t="str">
        <f t="shared" si="45"/>
        <v/>
      </c>
      <c r="L20" s="16" t="str">
        <f t="shared" si="45"/>
        <v/>
      </c>
      <c r="M20" s="16" t="str">
        <f t="shared" si="45"/>
        <v/>
      </c>
      <c r="N20" s="16" t="str">
        <f t="shared" si="45"/>
        <v>3.4, though only weakly linked</v>
      </c>
      <c r="O20" s="16" t="str">
        <f t="shared" si="6"/>
        <v>- 3.4, though only weakly linked</v>
      </c>
      <c r="P20" s="50" t="s">
        <v>497</v>
      </c>
      <c r="Q20" s="16" t="str">
        <f t="shared" si="7"/>
        <v>UNDECIDED</v>
      </c>
      <c r="R20" s="16" t="b">
        <f>VLOOKUP($A20, Source!B:I, 8, FALSE)</f>
        <v>1</v>
      </c>
      <c r="S20" s="16">
        <f>VLOOKUP(A20,Source!B:H, 7, FALSE)</f>
        <v>0.8</v>
      </c>
      <c r="T20" s="16" t="str">
        <f t="shared" si="46"/>
        <v>Unclear</v>
      </c>
    </row>
    <row r="21" ht="15.75" customHeight="1">
      <c r="A21" s="31" t="s">
        <v>329</v>
      </c>
      <c r="B21" s="31" t="s">
        <v>330</v>
      </c>
      <c r="C21" s="16" t="str">
        <f t="shared" ref="C21:H21" si="47">VLOOKUP($A21, INDIRECT(C$1&amp;"!B:D"), 3, FALSE)</f>
        <v>#REF!</v>
      </c>
      <c r="D21" s="16" t="b">
        <f t="shared" si="47"/>
        <v>0</v>
      </c>
      <c r="E21" s="16" t="str">
        <f t="shared" si="47"/>
        <v>TO DO</v>
      </c>
      <c r="F21" s="16" t="str">
        <f t="shared" si="47"/>
        <v>TO DO</v>
      </c>
      <c r="G21" s="16" t="b">
        <f t="shared" si="47"/>
        <v>1</v>
      </c>
      <c r="H21" s="16" t="b">
        <f t="shared" si="47"/>
        <v>0</v>
      </c>
      <c r="I21" s="49">
        <f t="shared" si="4"/>
        <v>0</v>
      </c>
      <c r="J21" s="16" t="str">
        <f t="shared" ref="J21:N21" si="48">VLOOKUP($A21, INDIRECT(D$1&amp;"!B:E"), 4, FALSE)</f>
        <v/>
      </c>
      <c r="K21" s="16" t="str">
        <f t="shared" si="48"/>
        <v/>
      </c>
      <c r="L21" s="16" t="str">
        <f t="shared" si="48"/>
        <v/>
      </c>
      <c r="M21" s="16" t="str">
        <f t="shared" si="48"/>
        <v/>
      </c>
      <c r="N21" s="16" t="str">
        <f t="shared" si="48"/>
        <v/>
      </c>
      <c r="O21" s="16" t="str">
        <f t="shared" si="6"/>
        <v/>
      </c>
      <c r="P21" s="50" t="s">
        <v>414</v>
      </c>
      <c r="Q21" s="16" t="str">
        <f t="shared" si="7"/>
        <v>UNDECIDED</v>
      </c>
      <c r="R21" s="16" t="b">
        <f>VLOOKUP($A21, Source!B:I, 8, FALSE)</f>
        <v>1</v>
      </c>
      <c r="S21" s="16">
        <f>VLOOKUP(A21,Source!B:H, 7, FALSE)</f>
        <v>0.8</v>
      </c>
      <c r="T21" s="16" t="str">
        <f t="shared" ref="T21:T24" si="51">IF(COUNTIF(Q21:R21, "UNDECIDED")&gt;0, "Unclear", IF((Q21="SDG 10")=R21, "Yes", "No"))</f>
        <v>Unclear</v>
      </c>
    </row>
    <row r="22" ht="15.75" customHeight="1">
      <c r="A22" s="31" t="s">
        <v>257</v>
      </c>
      <c r="B22" s="31" t="s">
        <v>258</v>
      </c>
      <c r="C22" s="16" t="str">
        <f t="shared" ref="C22:H22" si="49">VLOOKUP($A22, INDIRECT(C$1&amp;"!B:D"), 3, FALSE)</f>
        <v>#REF!</v>
      </c>
      <c r="D22" s="16" t="b">
        <f t="shared" si="49"/>
        <v>1</v>
      </c>
      <c r="E22" s="16" t="str">
        <f t="shared" si="49"/>
        <v>TO DO</v>
      </c>
      <c r="F22" s="16" t="str">
        <f t="shared" si="49"/>
        <v>TO DO</v>
      </c>
      <c r="G22" s="16" t="b">
        <f t="shared" si="49"/>
        <v>0</v>
      </c>
      <c r="H22" s="16" t="b">
        <f t="shared" si="49"/>
        <v>0</v>
      </c>
      <c r="I22" s="49">
        <f t="shared" si="4"/>
        <v>0</v>
      </c>
      <c r="J22" s="16" t="str">
        <f t="shared" ref="J22:N22" si="50">VLOOKUP($A22, INDIRECT(D$1&amp;"!B:E"), 4, FALSE)</f>
        <v/>
      </c>
      <c r="K22" s="16" t="str">
        <f t="shared" si="50"/>
        <v/>
      </c>
      <c r="L22" s="16" t="str">
        <f t="shared" si="50"/>
        <v/>
      </c>
      <c r="M22" s="16" t="str">
        <f t="shared" si="50"/>
        <v/>
      </c>
      <c r="N22" s="16" t="str">
        <f t="shared" si="50"/>
        <v/>
      </c>
      <c r="O22" s="16" t="str">
        <f t="shared" si="6"/>
        <v/>
      </c>
      <c r="P22" s="50" t="s">
        <v>414</v>
      </c>
      <c r="Q22" s="16" t="str">
        <f t="shared" si="7"/>
        <v>UNDECIDED</v>
      </c>
      <c r="R22" s="16" t="b">
        <f>VLOOKUP($A22, Source!B:I, 8, FALSE)</f>
        <v>1</v>
      </c>
      <c r="S22" s="16">
        <f>VLOOKUP(A22,Source!B:H, 7, FALSE)</f>
        <v>0.8</v>
      </c>
      <c r="T22" s="16" t="str">
        <f t="shared" si="51"/>
        <v>Unclear</v>
      </c>
    </row>
    <row r="23" ht="15.75" customHeight="1">
      <c r="A23" s="31" t="s">
        <v>261</v>
      </c>
      <c r="B23" s="31" t="s">
        <v>262</v>
      </c>
      <c r="C23" s="16" t="str">
        <f t="shared" ref="C23:H23" si="52">VLOOKUP($A23, INDIRECT(C$1&amp;"!B:D"), 3, FALSE)</f>
        <v>#REF!</v>
      </c>
      <c r="D23" s="16" t="b">
        <f t="shared" si="52"/>
        <v>0</v>
      </c>
      <c r="E23" s="16" t="str">
        <f t="shared" si="52"/>
        <v>TO DO</v>
      </c>
      <c r="F23" s="16" t="str">
        <f t="shared" si="52"/>
        <v>TO DO</v>
      </c>
      <c r="G23" s="16" t="b">
        <f t="shared" si="52"/>
        <v>0</v>
      </c>
      <c r="H23" s="16" t="b">
        <f t="shared" si="52"/>
        <v>0</v>
      </c>
      <c r="I23" s="49">
        <f t="shared" si="4"/>
        <v>0</v>
      </c>
      <c r="J23" s="16" t="str">
        <f t="shared" ref="J23:N23" si="53">VLOOKUP($A23, INDIRECT(D$1&amp;"!B:E"), 4, FALSE)</f>
        <v/>
      </c>
      <c r="K23" s="16" t="str">
        <f t="shared" si="53"/>
        <v/>
      </c>
      <c r="L23" s="16" t="str">
        <f t="shared" si="53"/>
        <v/>
      </c>
      <c r="M23" s="16" t="str">
        <f t="shared" si="53"/>
        <v/>
      </c>
      <c r="N23" s="16" t="str">
        <f t="shared" si="53"/>
        <v/>
      </c>
      <c r="O23" s="16" t="str">
        <f t="shared" si="6"/>
        <v/>
      </c>
      <c r="P23" s="50" t="s">
        <v>414</v>
      </c>
      <c r="Q23" s="16" t="str">
        <f t="shared" si="7"/>
        <v>UNDECIDED</v>
      </c>
      <c r="R23" s="16" t="b">
        <f>VLOOKUP($A23, Source!B:I, 8, FALSE)</f>
        <v>0</v>
      </c>
      <c r="S23" s="16">
        <f>VLOOKUP(A23,Source!B:H, 7, FALSE)</f>
        <v>0.7777777778</v>
      </c>
      <c r="T23" s="16" t="str">
        <f t="shared" si="51"/>
        <v>Unclear</v>
      </c>
    </row>
    <row r="24" ht="15.75" customHeight="1">
      <c r="A24" s="31" t="s">
        <v>222</v>
      </c>
      <c r="B24" s="31" t="s">
        <v>223</v>
      </c>
      <c r="C24" s="16" t="str">
        <f t="shared" ref="C24:H24" si="54">VLOOKUP($A24, INDIRECT(C$1&amp;"!B:D"), 3, FALSE)</f>
        <v>#REF!</v>
      </c>
      <c r="D24" s="16" t="b">
        <f t="shared" si="54"/>
        <v>0</v>
      </c>
      <c r="E24" s="16" t="str">
        <f t="shared" si="54"/>
        <v>TO DO</v>
      </c>
      <c r="F24" s="16" t="str">
        <f t="shared" si="54"/>
        <v>TO DO</v>
      </c>
      <c r="G24" s="16" t="b">
        <f t="shared" si="54"/>
        <v>0</v>
      </c>
      <c r="H24" s="16" t="b">
        <f t="shared" si="54"/>
        <v>0</v>
      </c>
      <c r="I24" s="49">
        <f t="shared" si="4"/>
        <v>0</v>
      </c>
      <c r="J24" s="16" t="str">
        <f t="shared" ref="J24:N24" si="55">VLOOKUP($A24, INDIRECT(D$1&amp;"!B:E"), 4, FALSE)</f>
        <v/>
      </c>
      <c r="K24" s="16" t="str">
        <f t="shared" si="55"/>
        <v/>
      </c>
      <c r="L24" s="16" t="str">
        <f t="shared" si="55"/>
        <v/>
      </c>
      <c r="M24" s="16" t="str">
        <f t="shared" si="55"/>
        <v/>
      </c>
      <c r="N24" s="16" t="str">
        <f t="shared" si="55"/>
        <v/>
      </c>
      <c r="O24" s="16" t="str">
        <f t="shared" si="6"/>
        <v/>
      </c>
      <c r="P24" s="50" t="s">
        <v>414</v>
      </c>
      <c r="Q24" s="16" t="str">
        <f t="shared" si="7"/>
        <v>UNDECIDED</v>
      </c>
      <c r="R24" s="16" t="b">
        <f>VLOOKUP($A24, Source!B:I, 8, FALSE)</f>
        <v>0</v>
      </c>
      <c r="S24" s="16">
        <f>VLOOKUP(A24,Source!B:H, 7, FALSE)</f>
        <v>0.7777777778</v>
      </c>
      <c r="T24" s="16" t="str">
        <f t="shared" si="51"/>
        <v>Unclear</v>
      </c>
    </row>
    <row r="25" ht="15.75" customHeight="1">
      <c r="A25" s="31" t="s">
        <v>184</v>
      </c>
      <c r="B25" s="31" t="s">
        <v>185</v>
      </c>
      <c r="C25" s="16" t="str">
        <f t="shared" ref="C25:H25" si="56">VLOOKUP($A25, INDIRECT(C$1&amp;"!B:D"), 3, FALSE)</f>
        <v>#REF!</v>
      </c>
      <c r="D25" s="16" t="b">
        <f t="shared" si="56"/>
        <v>0</v>
      </c>
      <c r="E25" s="16" t="str">
        <f t="shared" si="56"/>
        <v>TO DO</v>
      </c>
      <c r="F25" s="16" t="str">
        <f t="shared" si="56"/>
        <v>TO DO</v>
      </c>
      <c r="G25" s="16" t="b">
        <f t="shared" si="56"/>
        <v>0</v>
      </c>
      <c r="H25" s="16" t="b">
        <f t="shared" si="56"/>
        <v>0</v>
      </c>
      <c r="I25" s="49">
        <f t="shared" si="4"/>
        <v>0</v>
      </c>
      <c r="J25" s="16" t="str">
        <f t="shared" ref="J25:N25" si="57">VLOOKUP($A25, INDIRECT(D$1&amp;"!B:E"), 4, FALSE)</f>
        <v/>
      </c>
      <c r="K25" s="16" t="str">
        <f t="shared" si="57"/>
        <v/>
      </c>
      <c r="L25" s="16" t="str">
        <f t="shared" si="57"/>
        <v/>
      </c>
      <c r="M25" s="16" t="str">
        <f t="shared" si="57"/>
        <v/>
      </c>
      <c r="N25" s="16" t="str">
        <f t="shared" si="57"/>
        <v/>
      </c>
      <c r="O25" s="16" t="str">
        <f t="shared" si="6"/>
        <v/>
      </c>
      <c r="P25" s="50" t="s">
        <v>414</v>
      </c>
      <c r="Q25" s="16" t="str">
        <f t="shared" si="7"/>
        <v>UNDECIDED</v>
      </c>
      <c r="R25" s="16" t="b">
        <f>VLOOKUP($A25, Source!B:I, 8, FALSE)</f>
        <v>0</v>
      </c>
      <c r="S25" s="16">
        <f>VLOOKUP(A25,Source!B:H, 7, FALSE)</f>
        <v>0.6666666667</v>
      </c>
      <c r="T25" s="16" t="str">
        <f>IF(COUNTIF(Q25:R25, "*SDG 7")&lt;2, "Unclear", IF(Q25=R25, "Yes", "No"))</f>
        <v>Unclear</v>
      </c>
    </row>
    <row r="26" ht="15.75" customHeight="1">
      <c r="A26" s="31" t="s">
        <v>116</v>
      </c>
      <c r="B26" s="31" t="s">
        <v>117</v>
      </c>
      <c r="C26" s="16" t="str">
        <f t="shared" ref="C26:H26" si="58">VLOOKUP($A26, INDIRECT(C$1&amp;"!B:D"), 3, FALSE)</f>
        <v>#REF!</v>
      </c>
      <c r="D26" s="16" t="b">
        <f t="shared" si="58"/>
        <v>1</v>
      </c>
      <c r="E26" s="16" t="str">
        <f t="shared" si="58"/>
        <v>TO DO</v>
      </c>
      <c r="F26" s="16" t="str">
        <f t="shared" si="58"/>
        <v>TO DO</v>
      </c>
      <c r="G26" s="16" t="b">
        <f t="shared" si="58"/>
        <v>0</v>
      </c>
      <c r="H26" s="16" t="b">
        <f t="shared" si="58"/>
        <v>0</v>
      </c>
      <c r="I26" s="49">
        <f t="shared" si="4"/>
        <v>0</v>
      </c>
      <c r="J26" s="16" t="str">
        <f t="shared" ref="J26:N26" si="59">VLOOKUP($A26, INDIRECT(D$1&amp;"!B:E"), 4, FALSE)</f>
        <v/>
      </c>
      <c r="K26" s="16" t="str">
        <f t="shared" si="59"/>
        <v/>
      </c>
      <c r="L26" s="16" t="str">
        <f t="shared" si="59"/>
        <v/>
      </c>
      <c r="M26" s="16" t="str">
        <f t="shared" si="59"/>
        <v/>
      </c>
      <c r="N26" s="16" t="str">
        <f t="shared" si="59"/>
        <v>talking about health system revenues but without clear links to SDG 3 or its targets</v>
      </c>
      <c r="O26" s="16" t="str">
        <f t="shared" si="6"/>
        <v>- talking about health system revenues but without clear links to SDG 3 or its targets</v>
      </c>
      <c r="P26" s="50" t="s">
        <v>498</v>
      </c>
      <c r="Q26" s="16" t="str">
        <f t="shared" si="7"/>
        <v>UNDECIDED</v>
      </c>
      <c r="R26" s="16" t="b">
        <f>VLOOKUP($A26, Source!B:I, 8, FALSE)</f>
        <v>0</v>
      </c>
      <c r="S26" s="16">
        <f>VLOOKUP(A26,Source!B:H, 7, FALSE)</f>
        <v>0.6666666667</v>
      </c>
      <c r="T26" s="16" t="str">
        <f>IF(COUNTIF(Q26:R26, "UNDECIDED")&gt;0, "Unclear", IF((Q26="SDG 10")=R26, "Yes", "No"))</f>
        <v>Unclear</v>
      </c>
    </row>
    <row r="27" ht="15.75" customHeight="1">
      <c r="A27" s="31" t="s">
        <v>251</v>
      </c>
      <c r="B27" s="31" t="s">
        <v>252</v>
      </c>
      <c r="C27" s="16" t="str">
        <f t="shared" ref="C27:H27" si="60">VLOOKUP($A27, INDIRECT(C$1&amp;"!B:D"), 3, FALSE)</f>
        <v>#REF!</v>
      </c>
      <c r="D27" s="16" t="b">
        <f t="shared" si="60"/>
        <v>0</v>
      </c>
      <c r="E27" s="16" t="str">
        <f t="shared" si="60"/>
        <v>TO DO</v>
      </c>
      <c r="F27" s="16" t="str">
        <f t="shared" si="60"/>
        <v>TO DO</v>
      </c>
      <c r="G27" s="16" t="b">
        <f t="shared" si="60"/>
        <v>0</v>
      </c>
      <c r="H27" s="16" t="b">
        <f t="shared" si="60"/>
        <v>0</v>
      </c>
      <c r="I27" s="49">
        <f t="shared" si="4"/>
        <v>0</v>
      </c>
      <c r="J27" s="16" t="str">
        <f t="shared" ref="J27:N27" si="61">VLOOKUP($A27, INDIRECT(D$1&amp;"!B:E"), 4, FALSE)</f>
        <v/>
      </c>
      <c r="K27" s="16" t="str">
        <f t="shared" si="61"/>
        <v/>
      </c>
      <c r="L27" s="16" t="str">
        <f t="shared" si="61"/>
        <v/>
      </c>
      <c r="M27" s="16" t="str">
        <f t="shared" si="61"/>
        <v/>
      </c>
      <c r="N27" s="16" t="str">
        <f t="shared" si="61"/>
        <v/>
      </c>
      <c r="O27" s="16" t="str">
        <f t="shared" si="6"/>
        <v/>
      </c>
      <c r="P27" s="50" t="s">
        <v>414</v>
      </c>
      <c r="Q27" s="16" t="str">
        <f t="shared" si="7"/>
        <v>UNDECIDED</v>
      </c>
      <c r="R27" s="16" t="b">
        <f>VLOOKUP($A27, Source!B:I, 8, FALSE)</f>
        <v>0</v>
      </c>
      <c r="S27" s="16">
        <f>VLOOKUP(A27,Source!B:H, 7, FALSE)</f>
        <v>0.6</v>
      </c>
      <c r="T27" s="16" t="str">
        <f t="shared" ref="T27:T29" si="64">IF(COUNTIF(Q27:R27, "*SDG 7")&lt;2, "Unclear", IF(Q27=R27, "Yes", "No"))</f>
        <v>Unclear</v>
      </c>
    </row>
    <row r="28" ht="15.75" customHeight="1">
      <c r="A28" s="31" t="s">
        <v>287</v>
      </c>
      <c r="B28" s="31" t="s">
        <v>288</v>
      </c>
      <c r="C28" s="16" t="str">
        <f t="shared" ref="C28:H28" si="62">VLOOKUP($A28, INDIRECT(C$1&amp;"!B:D"), 3, FALSE)</f>
        <v>#REF!</v>
      </c>
      <c r="D28" s="16" t="b">
        <f t="shared" si="62"/>
        <v>1</v>
      </c>
      <c r="E28" s="16" t="str">
        <f t="shared" si="62"/>
        <v>TO DO</v>
      </c>
      <c r="F28" s="16" t="str">
        <f t="shared" si="62"/>
        <v>TO DO</v>
      </c>
      <c r="G28" s="16" t="b">
        <f t="shared" si="62"/>
        <v>1</v>
      </c>
      <c r="H28" s="16" t="b">
        <f t="shared" si="62"/>
        <v>1</v>
      </c>
      <c r="I28" s="49">
        <f t="shared" si="4"/>
        <v>0</v>
      </c>
      <c r="J28" s="16" t="str">
        <f t="shared" ref="J28:N28" si="63">VLOOKUP($A28, INDIRECT(D$1&amp;"!B:E"), 4, FALSE)</f>
        <v/>
      </c>
      <c r="K28" s="16" t="str">
        <f t="shared" si="63"/>
        <v/>
      </c>
      <c r="L28" s="16" t="str">
        <f t="shared" si="63"/>
        <v/>
      </c>
      <c r="M28" s="16" t="str">
        <f t="shared" si="63"/>
        <v/>
      </c>
      <c r="N28" s="16" t="str">
        <f t="shared" si="63"/>
        <v>universal health access</v>
      </c>
      <c r="O28" s="16" t="str">
        <f t="shared" si="6"/>
        <v>- universal health access</v>
      </c>
      <c r="P28" s="50" t="s">
        <v>499</v>
      </c>
      <c r="Q28" s="16" t="str">
        <f t="shared" si="7"/>
        <v>UNDECIDED</v>
      </c>
      <c r="R28" s="16" t="b">
        <f>VLOOKUP($A28, Source!B:I, 8, FALSE)</f>
        <v>1</v>
      </c>
      <c r="S28" s="16">
        <f>VLOOKUP(A28,Source!B:H, 7, FALSE)</f>
        <v>0.7777777778</v>
      </c>
      <c r="T28" s="16" t="str">
        <f t="shared" si="64"/>
        <v>Unclear</v>
      </c>
    </row>
    <row r="29" ht="15.75" customHeight="1">
      <c r="A29" s="31" t="s">
        <v>139</v>
      </c>
      <c r="B29" s="31" t="s">
        <v>140</v>
      </c>
      <c r="C29" s="16" t="str">
        <f t="shared" ref="C29:H29" si="65">VLOOKUP($A29, INDIRECT(C$1&amp;"!B:D"), 3, FALSE)</f>
        <v>#REF!</v>
      </c>
      <c r="D29" s="16" t="b">
        <f t="shared" si="65"/>
        <v>0</v>
      </c>
      <c r="E29" s="16" t="str">
        <f t="shared" si="65"/>
        <v>TO DO</v>
      </c>
      <c r="F29" s="16" t="str">
        <f t="shared" si="65"/>
        <v>TO DO</v>
      </c>
      <c r="G29" s="16" t="b">
        <f t="shared" si="65"/>
        <v>0</v>
      </c>
      <c r="H29" s="16" t="b">
        <f t="shared" si="65"/>
        <v>0</v>
      </c>
      <c r="I29" s="49">
        <f t="shared" si="4"/>
        <v>0</v>
      </c>
      <c r="J29" s="16" t="str">
        <f t="shared" ref="J29:N29" si="66">VLOOKUP($A29, INDIRECT(D$1&amp;"!B:E"), 4, FALSE)</f>
        <v/>
      </c>
      <c r="K29" s="16" t="str">
        <f t="shared" si="66"/>
        <v/>
      </c>
      <c r="L29" s="16" t="str">
        <f t="shared" si="66"/>
        <v/>
      </c>
      <c r="M29" s="16" t="str">
        <f t="shared" si="66"/>
        <v/>
      </c>
      <c r="N29" s="16" t="str">
        <f t="shared" si="66"/>
        <v/>
      </c>
      <c r="O29" s="16" t="str">
        <f t="shared" si="6"/>
        <v/>
      </c>
      <c r="P29" s="50" t="s">
        <v>414</v>
      </c>
      <c r="Q29" s="16" t="str">
        <f t="shared" si="7"/>
        <v>UNDECIDED</v>
      </c>
      <c r="R29" s="16" t="b">
        <f>VLOOKUP($A29, Source!B:I, 8, FALSE)</f>
        <v>0</v>
      </c>
      <c r="S29" s="16">
        <f>VLOOKUP(A29,Source!B:H, 7, FALSE)</f>
        <v>0.5555555556</v>
      </c>
      <c r="T29" s="16" t="str">
        <f t="shared" si="64"/>
        <v>Unclear</v>
      </c>
    </row>
    <row r="30" ht="15.75" customHeight="1">
      <c r="A30" s="31" t="s">
        <v>290</v>
      </c>
      <c r="B30" s="31" t="s">
        <v>291</v>
      </c>
      <c r="C30" s="16" t="str">
        <f t="shared" ref="C30:H30" si="67">VLOOKUP($A30, INDIRECT(C$1&amp;"!B:D"), 3, FALSE)</f>
        <v>#REF!</v>
      </c>
      <c r="D30" s="16" t="b">
        <f t="shared" si="67"/>
        <v>1</v>
      </c>
      <c r="E30" s="16" t="str">
        <f t="shared" si="67"/>
        <v>TO DO</v>
      </c>
      <c r="F30" s="16" t="str">
        <f t="shared" si="67"/>
        <v>TO DO</v>
      </c>
      <c r="G30" s="16" t="b">
        <f t="shared" si="67"/>
        <v>0</v>
      </c>
      <c r="H30" s="16" t="b">
        <f t="shared" si="67"/>
        <v>1</v>
      </c>
      <c r="I30" s="49">
        <f t="shared" si="4"/>
        <v>0</v>
      </c>
      <c r="J30" s="16" t="str">
        <f t="shared" ref="J30:N30" si="68">VLOOKUP($A30, INDIRECT(D$1&amp;"!B:E"), 4, FALSE)</f>
        <v/>
      </c>
      <c r="K30" s="16" t="str">
        <f t="shared" si="68"/>
        <v/>
      </c>
      <c r="L30" s="16" t="str">
        <f t="shared" si="68"/>
        <v/>
      </c>
      <c r="M30" s="16" t="str">
        <f t="shared" si="68"/>
        <v/>
      </c>
      <c r="N30" s="16">
        <f t="shared" si="68"/>
        <v>3.8</v>
      </c>
      <c r="O30" s="16" t="str">
        <f t="shared" si="6"/>
        <v>- 3.8</v>
      </c>
      <c r="P30" s="50" t="s">
        <v>500</v>
      </c>
      <c r="Q30" s="16" t="str">
        <f t="shared" si="7"/>
        <v>UNDECIDED</v>
      </c>
      <c r="R30" s="16" t="b">
        <f>VLOOKUP($A30, Source!B:I, 8, FALSE)</f>
        <v>1</v>
      </c>
      <c r="S30" s="16">
        <f>VLOOKUP(A30,Source!B:H, 7, FALSE)</f>
        <v>0.7777777778</v>
      </c>
      <c r="T30" s="16" t="str">
        <f t="shared" ref="T30:T32" si="71">IF(COUNTIF(Q30:R30, "UNDECIDED")&gt;0, "Unclear", IF((Q30="SDG 10")=R30, "Yes", "No"))</f>
        <v>Unclear</v>
      </c>
    </row>
    <row r="31" ht="15.75" customHeight="1">
      <c r="A31" s="31" t="s">
        <v>132</v>
      </c>
      <c r="B31" s="31" t="s">
        <v>133</v>
      </c>
      <c r="C31" s="16" t="str">
        <f t="shared" ref="C31:H31" si="69">VLOOKUP($A31, INDIRECT(C$1&amp;"!B:D"), 3, FALSE)</f>
        <v>#REF!</v>
      </c>
      <c r="D31" s="16" t="b">
        <f t="shared" si="69"/>
        <v>0</v>
      </c>
      <c r="E31" s="16" t="str">
        <f t="shared" si="69"/>
        <v>TO DO</v>
      </c>
      <c r="F31" s="16" t="str">
        <f t="shared" si="69"/>
        <v>TO DO</v>
      </c>
      <c r="G31" s="16" t="b">
        <f t="shared" si="69"/>
        <v>0</v>
      </c>
      <c r="H31" s="16" t="b">
        <f t="shared" si="69"/>
        <v>0</v>
      </c>
      <c r="I31" s="49">
        <f t="shared" si="4"/>
        <v>0</v>
      </c>
      <c r="J31" s="16" t="str">
        <f t="shared" ref="J31:N31" si="70">VLOOKUP($A31, INDIRECT(D$1&amp;"!B:E"), 4, FALSE)</f>
        <v/>
      </c>
      <c r="K31" s="16" t="str">
        <f t="shared" si="70"/>
        <v/>
      </c>
      <c r="L31" s="16" t="str">
        <f t="shared" si="70"/>
        <v/>
      </c>
      <c r="M31" s="16" t="str">
        <f t="shared" si="70"/>
        <v/>
      </c>
      <c r="N31" s="16" t="str">
        <f t="shared" si="70"/>
        <v/>
      </c>
      <c r="O31" s="16" t="str">
        <f t="shared" si="6"/>
        <v/>
      </c>
      <c r="P31" s="50" t="s">
        <v>414</v>
      </c>
      <c r="Q31" s="16" t="str">
        <f t="shared" si="7"/>
        <v>UNDECIDED</v>
      </c>
      <c r="R31" s="16" t="b">
        <f>VLOOKUP($A31, Source!B:I, 8, FALSE)</f>
        <v>0</v>
      </c>
      <c r="S31" s="16">
        <f>VLOOKUP(A31,Source!B:H, 7, FALSE)</f>
        <v>0.5555555556</v>
      </c>
      <c r="T31" s="16" t="str">
        <f t="shared" si="71"/>
        <v>Unclear</v>
      </c>
    </row>
    <row r="32" ht="15.75" customHeight="1">
      <c r="A32" s="31" t="s">
        <v>157</v>
      </c>
      <c r="B32" s="31" t="s">
        <v>158</v>
      </c>
      <c r="C32" s="16" t="str">
        <f t="shared" ref="C32:H32" si="72">VLOOKUP($A32, INDIRECT(C$1&amp;"!B:D"), 3, FALSE)</f>
        <v>#REF!</v>
      </c>
      <c r="D32" s="16" t="b">
        <f t="shared" si="72"/>
        <v>0</v>
      </c>
      <c r="E32" s="16" t="str">
        <f t="shared" si="72"/>
        <v>TO DO</v>
      </c>
      <c r="F32" s="16" t="str">
        <f t="shared" si="72"/>
        <v>TO DO</v>
      </c>
      <c r="G32" s="16" t="b">
        <f t="shared" si="72"/>
        <v>0</v>
      </c>
      <c r="H32" s="16" t="b">
        <f t="shared" si="72"/>
        <v>0</v>
      </c>
      <c r="I32" s="49">
        <f t="shared" si="4"/>
        <v>0</v>
      </c>
      <c r="J32" s="16" t="str">
        <f t="shared" ref="J32:N32" si="73">VLOOKUP($A32, INDIRECT(D$1&amp;"!B:E"), 4, FALSE)</f>
        <v/>
      </c>
      <c r="K32" s="16" t="str">
        <f t="shared" si="73"/>
        <v/>
      </c>
      <c r="L32" s="16" t="str">
        <f t="shared" si="73"/>
        <v/>
      </c>
      <c r="M32" s="16" t="str">
        <f t="shared" si="73"/>
        <v/>
      </c>
      <c r="N32" s="16" t="str">
        <f t="shared" si="73"/>
        <v/>
      </c>
      <c r="O32" s="16" t="str">
        <f t="shared" si="6"/>
        <v/>
      </c>
      <c r="P32" s="50" t="s">
        <v>414</v>
      </c>
      <c r="Q32" s="16" t="str">
        <f t="shared" si="7"/>
        <v>UNDECIDED</v>
      </c>
      <c r="R32" s="16" t="b">
        <f>VLOOKUP($A32, Source!B:I, 8, FALSE)</f>
        <v>0</v>
      </c>
      <c r="S32" s="16">
        <f>VLOOKUP(A32,Source!B:H, 7, FALSE)</f>
        <v>0.5555555556</v>
      </c>
      <c r="T32" s="16" t="str">
        <f t="shared" si="71"/>
        <v>Unclear</v>
      </c>
    </row>
    <row r="33" ht="15.75" customHeight="1">
      <c r="A33" s="31" t="s">
        <v>95</v>
      </c>
      <c r="B33" s="31" t="s">
        <v>96</v>
      </c>
      <c r="C33" s="16" t="str">
        <f t="shared" ref="C33:H33" si="74">VLOOKUP($A33, INDIRECT(C$1&amp;"!B:D"), 3, FALSE)</f>
        <v>#REF!</v>
      </c>
      <c r="D33" s="16" t="b">
        <f t="shared" si="74"/>
        <v>0</v>
      </c>
      <c r="E33" s="16" t="str">
        <f t="shared" si="74"/>
        <v>TO DO</v>
      </c>
      <c r="F33" s="16" t="str">
        <f t="shared" si="74"/>
        <v>TO DO</v>
      </c>
      <c r="G33" s="16" t="b">
        <f t="shared" si="74"/>
        <v>0</v>
      </c>
      <c r="H33" s="16" t="b">
        <f t="shared" si="74"/>
        <v>0</v>
      </c>
      <c r="I33" s="49">
        <f t="shared" si="4"/>
        <v>0</v>
      </c>
      <c r="J33" s="16" t="str">
        <f t="shared" ref="J33:N33" si="75">VLOOKUP($A33, INDIRECT(D$1&amp;"!B:E"), 4, FALSE)</f>
        <v/>
      </c>
      <c r="K33" s="16" t="str">
        <f t="shared" si="75"/>
        <v/>
      </c>
      <c r="L33" s="16" t="str">
        <f t="shared" si="75"/>
        <v/>
      </c>
      <c r="M33" s="16" t="str">
        <f t="shared" si="75"/>
        <v/>
      </c>
      <c r="N33" s="16" t="str">
        <f t="shared" si="75"/>
        <v/>
      </c>
      <c r="O33" s="16" t="str">
        <f t="shared" si="6"/>
        <v/>
      </c>
      <c r="P33" s="50" t="s">
        <v>414</v>
      </c>
      <c r="Q33" s="16" t="str">
        <f t="shared" si="7"/>
        <v>UNDECIDED</v>
      </c>
      <c r="R33" s="16" t="b">
        <f>VLOOKUP($A33, Source!B:I, 8, FALSE)</f>
        <v>0</v>
      </c>
      <c r="S33" s="16">
        <f>VLOOKUP(A33,Source!B:H, 7, FALSE)</f>
        <v>0.5555555556</v>
      </c>
      <c r="T33" s="16" t="str">
        <f t="shared" ref="T33:T34" si="78">IF(COUNTIF(Q33:R33, "*SDG 7")&lt;2, "Unclear", IF(Q33=R33, "Yes", "No"))</f>
        <v>Unclear</v>
      </c>
    </row>
    <row r="34" ht="15.75" customHeight="1">
      <c r="A34" s="31" t="s">
        <v>76</v>
      </c>
      <c r="B34" s="31" t="s">
        <v>77</v>
      </c>
      <c r="C34" s="16" t="str">
        <f t="shared" ref="C34:H34" si="76">VLOOKUP($A34, INDIRECT(C$1&amp;"!B:D"), 3, FALSE)</f>
        <v>#REF!</v>
      </c>
      <c r="D34" s="16" t="b">
        <f t="shared" si="76"/>
        <v>1</v>
      </c>
      <c r="E34" s="16" t="str">
        <f t="shared" si="76"/>
        <v>TO DO</v>
      </c>
      <c r="F34" s="16" t="str">
        <f t="shared" si="76"/>
        <v>TO DO</v>
      </c>
      <c r="G34" s="16" t="b">
        <f t="shared" si="76"/>
        <v>1</v>
      </c>
      <c r="H34" s="16" t="b">
        <f t="shared" si="76"/>
        <v>1</v>
      </c>
      <c r="I34" s="49">
        <f t="shared" si="4"/>
        <v>0</v>
      </c>
      <c r="J34" s="16" t="str">
        <f t="shared" ref="J34:N34" si="77">VLOOKUP($A34, INDIRECT(D$1&amp;"!B:E"), 4, FALSE)</f>
        <v/>
      </c>
      <c r="K34" s="16" t="str">
        <f t="shared" si="77"/>
        <v/>
      </c>
      <c r="L34" s="16" t="str">
        <f t="shared" si="77"/>
        <v/>
      </c>
      <c r="M34" s="16" t="str">
        <f t="shared" si="77"/>
        <v/>
      </c>
      <c r="N34" s="16" t="str">
        <f t="shared" si="77"/>
        <v/>
      </c>
      <c r="O34" s="16" t="str">
        <f t="shared" si="6"/>
        <v/>
      </c>
      <c r="P34" s="50" t="s">
        <v>414</v>
      </c>
      <c r="Q34" s="16" t="str">
        <f t="shared" si="7"/>
        <v>UNDECIDED</v>
      </c>
      <c r="R34" s="16" t="b">
        <f>VLOOKUP($A34, Source!B:I, 8, FALSE)</f>
        <v>1</v>
      </c>
      <c r="S34" s="16">
        <f>VLOOKUP(A34,Source!B:H, 7, FALSE)</f>
        <v>0.7777777778</v>
      </c>
      <c r="T34" s="16" t="str">
        <f t="shared" si="78"/>
        <v>Unclear</v>
      </c>
    </row>
    <row r="35" ht="15.75" customHeight="1">
      <c r="A35" s="31" t="s">
        <v>90</v>
      </c>
      <c r="B35" s="31" t="s">
        <v>91</v>
      </c>
      <c r="C35" s="16" t="str">
        <f t="shared" ref="C35:H35" si="79">VLOOKUP($A35, INDIRECT(C$1&amp;"!B:D"), 3, FALSE)</f>
        <v>#REF!</v>
      </c>
      <c r="D35" s="16" t="b">
        <f t="shared" si="79"/>
        <v>0</v>
      </c>
      <c r="E35" s="16" t="str">
        <f t="shared" si="79"/>
        <v>TO DO</v>
      </c>
      <c r="F35" s="16" t="str">
        <f t="shared" si="79"/>
        <v>TO DO</v>
      </c>
      <c r="G35" s="16" t="b">
        <f t="shared" si="79"/>
        <v>1</v>
      </c>
      <c r="H35" s="16" t="b">
        <f t="shared" si="79"/>
        <v>0</v>
      </c>
      <c r="I35" s="49">
        <f t="shared" si="4"/>
        <v>0</v>
      </c>
      <c r="J35" s="16" t="str">
        <f t="shared" ref="J35:N35" si="80">VLOOKUP($A35, INDIRECT(D$1&amp;"!B:E"), 4, FALSE)</f>
        <v/>
      </c>
      <c r="K35" s="16" t="str">
        <f t="shared" si="80"/>
        <v/>
      </c>
      <c r="L35" s="16" t="str">
        <f t="shared" si="80"/>
        <v/>
      </c>
      <c r="M35" s="16" t="str">
        <f t="shared" si="80"/>
        <v/>
      </c>
      <c r="N35" s="16" t="str">
        <f t="shared" si="80"/>
        <v/>
      </c>
      <c r="O35" s="16" t="str">
        <f t="shared" si="6"/>
        <v/>
      </c>
      <c r="P35" s="50" t="s">
        <v>414</v>
      </c>
      <c r="Q35" s="16" t="str">
        <f t="shared" si="7"/>
        <v>UNDECIDED</v>
      </c>
      <c r="R35" s="16" t="b">
        <f>VLOOKUP($A35, Source!B:I, 8, FALSE)</f>
        <v>0</v>
      </c>
      <c r="S35" s="16">
        <f>VLOOKUP(A35,Source!B:H, 7, FALSE)</f>
        <v>0.5555555556</v>
      </c>
      <c r="T35" s="16" t="str">
        <f t="shared" ref="T35:T37" si="83">IF(COUNTIF(Q35:R35, "UNDECIDED")&gt;0, "Unclear", IF((Q35="SDG 10")=R35, "Yes", "No"))</f>
        <v>Unclear</v>
      </c>
    </row>
    <row r="36" ht="15.75" customHeight="1">
      <c r="A36" s="31" t="s">
        <v>309</v>
      </c>
      <c r="B36" s="31" t="s">
        <v>310</v>
      </c>
      <c r="C36" s="16" t="str">
        <f t="shared" ref="C36:H36" si="81">VLOOKUP($A36, INDIRECT(C$1&amp;"!B:D"), 3, FALSE)</f>
        <v>#REF!</v>
      </c>
      <c r="D36" s="16" t="b">
        <f t="shared" si="81"/>
        <v>1</v>
      </c>
      <c r="E36" s="16" t="str">
        <f t="shared" si="81"/>
        <v>TO DO</v>
      </c>
      <c r="F36" s="16" t="str">
        <f t="shared" si="81"/>
        <v>TO DO</v>
      </c>
      <c r="G36" s="16" t="b">
        <f t="shared" si="81"/>
        <v>1</v>
      </c>
      <c r="H36" s="16" t="b">
        <f t="shared" si="81"/>
        <v>1</v>
      </c>
      <c r="I36" s="49">
        <f t="shared" si="4"/>
        <v>0</v>
      </c>
      <c r="J36" s="16" t="str">
        <f t="shared" ref="J36:N36" si="82">VLOOKUP($A36, INDIRECT(D$1&amp;"!B:E"), 4, FALSE)</f>
        <v/>
      </c>
      <c r="K36" s="16" t="str">
        <f t="shared" si="82"/>
        <v/>
      </c>
      <c r="L36" s="16" t="str">
        <f t="shared" si="82"/>
        <v/>
      </c>
      <c r="M36" s="16" t="str">
        <f t="shared" si="82"/>
        <v/>
      </c>
      <c r="N36" s="16" t="str">
        <f t="shared" si="82"/>
        <v/>
      </c>
      <c r="O36" s="16" t="str">
        <f t="shared" si="6"/>
        <v/>
      </c>
      <c r="P36" s="50" t="s">
        <v>414</v>
      </c>
      <c r="Q36" s="16" t="str">
        <f t="shared" si="7"/>
        <v>UNDECIDED</v>
      </c>
      <c r="R36" s="16" t="b">
        <f>VLOOKUP($A36, Source!B:I, 8, FALSE)</f>
        <v>1</v>
      </c>
      <c r="S36" s="16">
        <f>VLOOKUP(A36,Source!B:H, 7, FALSE)</f>
        <v>0.7777777778</v>
      </c>
      <c r="T36" s="16" t="str">
        <f t="shared" si="83"/>
        <v>Unclear</v>
      </c>
    </row>
    <row r="37" ht="15.75" customHeight="1">
      <c r="A37" s="31" t="s">
        <v>297</v>
      </c>
      <c r="B37" s="31" t="s">
        <v>298</v>
      </c>
      <c r="C37" s="16" t="str">
        <f t="shared" ref="C37:H37" si="84">VLOOKUP($A37, INDIRECT(C$1&amp;"!B:D"), 3, FALSE)</f>
        <v>#REF!</v>
      </c>
      <c r="D37" s="16" t="b">
        <f t="shared" si="84"/>
        <v>0</v>
      </c>
      <c r="E37" s="16" t="str">
        <f t="shared" si="84"/>
        <v>TO DO</v>
      </c>
      <c r="F37" s="16" t="str">
        <f t="shared" si="84"/>
        <v>TO DO</v>
      </c>
      <c r="G37" s="16" t="b">
        <f t="shared" si="84"/>
        <v>0</v>
      </c>
      <c r="H37" s="16" t="b">
        <f t="shared" si="84"/>
        <v>0</v>
      </c>
      <c r="I37" s="49">
        <f t="shared" si="4"/>
        <v>0</v>
      </c>
      <c r="J37" s="16" t="str">
        <f t="shared" ref="J37:N37" si="85">VLOOKUP($A37, INDIRECT(D$1&amp;"!B:E"), 4, FALSE)</f>
        <v/>
      </c>
      <c r="K37" s="16" t="str">
        <f t="shared" si="85"/>
        <v/>
      </c>
      <c r="L37" s="16" t="str">
        <f t="shared" si="85"/>
        <v/>
      </c>
      <c r="M37" s="16" t="str">
        <f t="shared" si="85"/>
        <v/>
      </c>
      <c r="N37" s="16" t="str">
        <f t="shared" si="85"/>
        <v/>
      </c>
      <c r="O37" s="16" t="str">
        <f t="shared" si="6"/>
        <v/>
      </c>
      <c r="P37" s="50" t="s">
        <v>414</v>
      </c>
      <c r="Q37" s="16" t="str">
        <f t="shared" si="7"/>
        <v>UNDECIDED</v>
      </c>
      <c r="R37" s="16" t="b">
        <f>VLOOKUP($A37, Source!B:I, 8, FALSE)</f>
        <v>0</v>
      </c>
      <c r="S37" s="16">
        <f>VLOOKUP(A37,Source!B:H, 7, FALSE)</f>
        <v>0.5555555556</v>
      </c>
      <c r="T37" s="16" t="str">
        <f t="shared" si="83"/>
        <v>Unclear</v>
      </c>
    </row>
    <row r="38" ht="15.75" customHeight="1">
      <c r="A38" s="31" t="s">
        <v>299</v>
      </c>
      <c r="B38" s="31" t="s">
        <v>300</v>
      </c>
      <c r="C38" s="16" t="str">
        <f t="shared" ref="C38:H38" si="86">VLOOKUP($A38, INDIRECT(C$1&amp;"!B:D"), 3, FALSE)</f>
        <v>#REF!</v>
      </c>
      <c r="D38" s="16" t="b">
        <f t="shared" si="86"/>
        <v>1</v>
      </c>
      <c r="E38" s="16" t="str">
        <f t="shared" si="86"/>
        <v>TO DO</v>
      </c>
      <c r="F38" s="16" t="str">
        <f t="shared" si="86"/>
        <v>TO DO</v>
      </c>
      <c r="G38" s="16" t="b">
        <f t="shared" si="86"/>
        <v>1</v>
      </c>
      <c r="H38" s="16" t="b">
        <f t="shared" si="86"/>
        <v>0</v>
      </c>
      <c r="I38" s="49">
        <f t="shared" si="4"/>
        <v>0</v>
      </c>
      <c r="J38" s="16" t="str">
        <f t="shared" ref="J38:N38" si="87">VLOOKUP($A38, INDIRECT(D$1&amp;"!B:E"), 4, FALSE)</f>
        <v/>
      </c>
      <c r="K38" s="16" t="str">
        <f t="shared" si="87"/>
        <v/>
      </c>
      <c r="L38" s="16" t="str">
        <f t="shared" si="87"/>
        <v/>
      </c>
      <c r="M38" s="16" t="str">
        <f t="shared" si="87"/>
        <v/>
      </c>
      <c r="N38" s="16" t="str">
        <f t="shared" si="87"/>
        <v/>
      </c>
      <c r="O38" s="16" t="str">
        <f t="shared" si="6"/>
        <v/>
      </c>
      <c r="P38" s="50" t="s">
        <v>414</v>
      </c>
      <c r="Q38" s="16" t="str">
        <f t="shared" si="7"/>
        <v>UNDECIDED</v>
      </c>
      <c r="R38" s="16" t="b">
        <f>VLOOKUP($A38, Source!B:I, 8, FALSE)</f>
        <v>1</v>
      </c>
      <c r="S38" s="16">
        <f>VLOOKUP(A38,Source!B:H, 7, FALSE)</f>
        <v>0.6666666667</v>
      </c>
      <c r="T38" s="16" t="str">
        <f t="shared" ref="T38:T41" si="90">IF(COUNTIF(Q38:R38, "*SDG 7")&lt;2, "Unclear", IF(Q38=R38, "Yes", "No"))</f>
        <v>Unclear</v>
      </c>
    </row>
    <row r="39" ht="15.75" customHeight="1">
      <c r="A39" s="31" t="s">
        <v>170</v>
      </c>
      <c r="B39" s="31" t="s">
        <v>171</v>
      </c>
      <c r="C39" s="16" t="str">
        <f t="shared" ref="C39:H39" si="88">VLOOKUP($A39, INDIRECT(C$1&amp;"!B:D"), 3, FALSE)</f>
        <v>#REF!</v>
      </c>
      <c r="D39" s="16" t="b">
        <f t="shared" si="88"/>
        <v>0</v>
      </c>
      <c r="E39" s="16" t="str">
        <f t="shared" si="88"/>
        <v>TO DO</v>
      </c>
      <c r="F39" s="16" t="str">
        <f t="shared" si="88"/>
        <v>TO DO</v>
      </c>
      <c r="G39" s="16" t="b">
        <f t="shared" si="88"/>
        <v>0</v>
      </c>
      <c r="H39" s="16" t="b">
        <f t="shared" si="88"/>
        <v>0</v>
      </c>
      <c r="I39" s="49">
        <f t="shared" si="4"/>
        <v>0</v>
      </c>
      <c r="J39" s="16" t="str">
        <f t="shared" ref="J39:N39" si="89">VLOOKUP($A39, INDIRECT(D$1&amp;"!B:E"), 4, FALSE)</f>
        <v/>
      </c>
      <c r="K39" s="16" t="str">
        <f t="shared" si="89"/>
        <v/>
      </c>
      <c r="L39" s="16" t="str">
        <f t="shared" si="89"/>
        <v/>
      </c>
      <c r="M39" s="16" t="str">
        <f t="shared" si="89"/>
        <v/>
      </c>
      <c r="N39" s="16" t="str">
        <f t="shared" si="89"/>
        <v/>
      </c>
      <c r="O39" s="16" t="str">
        <f t="shared" si="6"/>
        <v/>
      </c>
      <c r="P39" s="50" t="s">
        <v>414</v>
      </c>
      <c r="Q39" s="16" t="str">
        <f t="shared" si="7"/>
        <v>UNDECIDED</v>
      </c>
      <c r="R39" s="16" t="b">
        <f>VLOOKUP($A39, Source!B:I, 8, FALSE)</f>
        <v>0</v>
      </c>
      <c r="S39" s="16">
        <f>VLOOKUP(A39,Source!B:H, 7, FALSE)</f>
        <v>0.5555555556</v>
      </c>
      <c r="T39" s="16" t="str">
        <f t="shared" si="90"/>
        <v>Unclear</v>
      </c>
    </row>
    <row r="40" ht="15.75" customHeight="1">
      <c r="A40" s="31" t="s">
        <v>72</v>
      </c>
      <c r="B40" s="31" t="s">
        <v>73</v>
      </c>
      <c r="C40" s="16" t="str">
        <f t="shared" ref="C40:H40" si="91">VLOOKUP($A40, INDIRECT(C$1&amp;"!B:D"), 3, FALSE)</f>
        <v>#REF!</v>
      </c>
      <c r="D40" s="16" t="b">
        <f t="shared" si="91"/>
        <v>1</v>
      </c>
      <c r="E40" s="16" t="str">
        <f t="shared" si="91"/>
        <v>TO DO</v>
      </c>
      <c r="F40" s="16" t="str">
        <f t="shared" si="91"/>
        <v>TO DO</v>
      </c>
      <c r="G40" s="16" t="b">
        <f t="shared" si="91"/>
        <v>1</v>
      </c>
      <c r="H40" s="16" t="b">
        <f t="shared" si="91"/>
        <v>1</v>
      </c>
      <c r="I40" s="49">
        <f t="shared" si="4"/>
        <v>0</v>
      </c>
      <c r="J40" s="16" t="str">
        <f t="shared" ref="J40:N40" si="92">VLOOKUP($A40, INDIRECT(D$1&amp;"!B:E"), 4, FALSE)</f>
        <v>in line with WHO tobacco control: https://www.who.int/teams/health-promotion/tobacco-control/implementing</v>
      </c>
      <c r="K40" s="16" t="str">
        <f t="shared" si="92"/>
        <v/>
      </c>
      <c r="L40" s="16" t="str">
        <f t="shared" si="92"/>
        <v/>
      </c>
      <c r="M40" s="16" t="str">
        <f t="shared" si="92"/>
        <v/>
      </c>
      <c r="N40" s="16" t="str">
        <f t="shared" si="92"/>
        <v>3.a</v>
      </c>
      <c r="O40" s="16" t="str">
        <f t="shared" si="6"/>
        <v>- in line with WHO tobacco control: https://www.who.int/teams/health-promotion/tobacco-control/implementing
- 3.a</v>
      </c>
      <c r="P40" s="50" t="s">
        <v>501</v>
      </c>
      <c r="Q40" s="16" t="str">
        <f t="shared" si="7"/>
        <v>UNDECIDED</v>
      </c>
      <c r="R40" s="16" t="b">
        <f>VLOOKUP($A40, Source!B:I, 8, FALSE)</f>
        <v>1</v>
      </c>
      <c r="S40" s="16">
        <f>VLOOKUP(A40,Source!B:H, 7, FALSE)</f>
        <v>0.6666666667</v>
      </c>
      <c r="T40" s="16" t="str">
        <f t="shared" si="90"/>
        <v>Unclear</v>
      </c>
    </row>
    <row r="41" ht="15.75" customHeight="1">
      <c r="A41" s="31" t="s">
        <v>109</v>
      </c>
      <c r="B41" s="31" t="s">
        <v>110</v>
      </c>
      <c r="C41" s="16" t="str">
        <f t="shared" ref="C41:H41" si="93">VLOOKUP($A41, INDIRECT(C$1&amp;"!B:D"), 3, FALSE)</f>
        <v>#REF!</v>
      </c>
      <c r="D41" s="16" t="b">
        <f t="shared" si="93"/>
        <v>0</v>
      </c>
      <c r="E41" s="16" t="str">
        <f t="shared" si="93"/>
        <v>TO DO</v>
      </c>
      <c r="F41" s="16" t="str">
        <f t="shared" si="93"/>
        <v>TO DO</v>
      </c>
      <c r="G41" s="16" t="b">
        <f t="shared" si="93"/>
        <v>0</v>
      </c>
      <c r="H41" s="16" t="b">
        <f t="shared" si="93"/>
        <v>1</v>
      </c>
      <c r="I41" s="49">
        <f t="shared" si="4"/>
        <v>0</v>
      </c>
      <c r="J41" s="16" t="str">
        <f t="shared" ref="J41:N41" si="94">VLOOKUP($A41, INDIRECT(D$1&amp;"!B:E"), 4, FALSE)</f>
        <v/>
      </c>
      <c r="K41" s="16" t="str">
        <f t="shared" si="94"/>
        <v/>
      </c>
      <c r="L41" s="16" t="str">
        <f t="shared" si="94"/>
        <v/>
      </c>
      <c r="M41" s="16" t="str">
        <f t="shared" si="94"/>
        <v/>
      </c>
      <c r="N41" s="16" t="str">
        <f t="shared" si="94"/>
        <v>a bit of a weak link to 3.3</v>
      </c>
      <c r="O41" s="16" t="str">
        <f t="shared" si="6"/>
        <v>- a bit of a weak link to 3.3</v>
      </c>
      <c r="P41" s="50" t="s">
        <v>502</v>
      </c>
      <c r="Q41" s="16" t="str">
        <f t="shared" si="7"/>
        <v>UNDECIDED</v>
      </c>
      <c r="R41" s="16" t="b">
        <f>VLOOKUP($A41, Source!B:I, 8, FALSE)</f>
        <v>1</v>
      </c>
      <c r="S41" s="16">
        <f>VLOOKUP(A41,Source!B:H, 7, FALSE)</f>
        <v>0.6363636364</v>
      </c>
      <c r="T41" s="16" t="str">
        <f t="shared" si="90"/>
        <v>Unclear</v>
      </c>
    </row>
    <row r="42" ht="15.75" customHeight="1">
      <c r="A42" s="31" t="s">
        <v>219</v>
      </c>
      <c r="B42" s="31" t="s">
        <v>220</v>
      </c>
      <c r="C42" s="16" t="str">
        <f t="shared" ref="C42:H42" si="95">VLOOKUP($A42, INDIRECT(C$1&amp;"!B:D"), 3, FALSE)</f>
        <v>#REF!</v>
      </c>
      <c r="D42" s="16" t="b">
        <f t="shared" si="95"/>
        <v>0</v>
      </c>
      <c r="E42" s="16" t="str">
        <f t="shared" si="95"/>
        <v>TO DO</v>
      </c>
      <c r="F42" s="16" t="str">
        <f t="shared" si="95"/>
        <v>TO DO</v>
      </c>
      <c r="G42" s="16" t="b">
        <f t="shared" si="95"/>
        <v>0</v>
      </c>
      <c r="H42" s="16" t="b">
        <f t="shared" si="95"/>
        <v>0</v>
      </c>
      <c r="I42" s="49">
        <f t="shared" si="4"/>
        <v>0</v>
      </c>
      <c r="J42" s="16" t="str">
        <f t="shared" ref="J42:N42" si="96">VLOOKUP($A42, INDIRECT(D$1&amp;"!B:E"), 4, FALSE)</f>
        <v/>
      </c>
      <c r="K42" s="16" t="str">
        <f t="shared" si="96"/>
        <v/>
      </c>
      <c r="L42" s="16" t="str">
        <f t="shared" si="96"/>
        <v/>
      </c>
      <c r="M42" s="16" t="str">
        <f t="shared" si="96"/>
        <v/>
      </c>
      <c r="N42" s="16" t="str">
        <f t="shared" si="96"/>
        <v/>
      </c>
      <c r="O42" s="16" t="str">
        <f t="shared" si="6"/>
        <v/>
      </c>
      <c r="P42" s="50" t="s">
        <v>414</v>
      </c>
      <c r="Q42" s="16" t="str">
        <f t="shared" si="7"/>
        <v>UNDECIDED</v>
      </c>
      <c r="R42" s="16" t="b">
        <f>VLOOKUP($A42, Source!B:I, 8, FALSE)</f>
        <v>0</v>
      </c>
      <c r="S42" s="16">
        <f>VLOOKUP(A42,Source!B:H, 7, FALSE)</f>
        <v>0.5555555556</v>
      </c>
      <c r="T42" s="16" t="str">
        <f t="shared" ref="T42:T43" si="99">IF(COUNTIF(Q42:R42, "UNDECIDED")&gt;0, "Unclear", IF((Q42="SDG 10")=R42, "Yes", "No"))</f>
        <v>Unclear</v>
      </c>
    </row>
    <row r="43" ht="15.75" customHeight="1">
      <c r="A43" s="31" t="s">
        <v>167</v>
      </c>
      <c r="B43" s="31" t="s">
        <v>168</v>
      </c>
      <c r="C43" s="16" t="str">
        <f t="shared" ref="C43:H43" si="97">VLOOKUP($A43, INDIRECT(C$1&amp;"!B:D"), 3, FALSE)</f>
        <v>#REF!</v>
      </c>
      <c r="D43" s="16" t="b">
        <f t="shared" si="97"/>
        <v>1</v>
      </c>
      <c r="E43" s="16" t="str">
        <f t="shared" si="97"/>
        <v>TO DO</v>
      </c>
      <c r="F43" s="16" t="str">
        <f t="shared" si="97"/>
        <v>TO DO</v>
      </c>
      <c r="G43" s="16" t="b">
        <f t="shared" si="97"/>
        <v>1</v>
      </c>
      <c r="H43" s="16" t="b">
        <f t="shared" si="97"/>
        <v>1</v>
      </c>
      <c r="I43" s="49">
        <f t="shared" si="4"/>
        <v>0</v>
      </c>
      <c r="J43" s="16" t="str">
        <f t="shared" ref="J43:N43" si="98">VLOOKUP($A43, INDIRECT(D$1&amp;"!B:E"), 4, FALSE)</f>
        <v/>
      </c>
      <c r="K43" s="16" t="str">
        <f t="shared" si="98"/>
        <v/>
      </c>
      <c r="L43" s="16" t="str">
        <f t="shared" si="98"/>
        <v/>
      </c>
      <c r="M43" s="16" t="str">
        <f t="shared" si="98"/>
        <v/>
      </c>
      <c r="N43" s="16">
        <f t="shared" si="98"/>
        <v>3.1</v>
      </c>
      <c r="O43" s="16" t="str">
        <f t="shared" si="6"/>
        <v>- 3.1</v>
      </c>
      <c r="P43" s="50" t="s">
        <v>503</v>
      </c>
      <c r="Q43" s="16" t="str">
        <f t="shared" si="7"/>
        <v>UNDECIDED</v>
      </c>
      <c r="R43" s="16" t="b">
        <f>VLOOKUP($A43, Source!B:I, 8, FALSE)</f>
        <v>1</v>
      </c>
      <c r="S43" s="16">
        <f>VLOOKUP(A43,Source!B:H, 7, FALSE)</f>
        <v>0.6</v>
      </c>
      <c r="T43" s="16" t="str">
        <f t="shared" si="99"/>
        <v>Unclear</v>
      </c>
    </row>
    <row r="44" ht="15.75" customHeight="1">
      <c r="A44" s="31" t="s">
        <v>216</v>
      </c>
      <c r="B44" s="31" t="s">
        <v>217</v>
      </c>
      <c r="C44" s="16" t="str">
        <f t="shared" ref="C44:H44" si="100">VLOOKUP($A44, INDIRECT(C$1&amp;"!B:D"), 3, FALSE)</f>
        <v>#REF!</v>
      </c>
      <c r="D44" s="16" t="b">
        <f t="shared" si="100"/>
        <v>1</v>
      </c>
      <c r="E44" s="16" t="str">
        <f t="shared" si="100"/>
        <v>TO DO</v>
      </c>
      <c r="F44" s="16" t="str">
        <f t="shared" si="100"/>
        <v>TO DO</v>
      </c>
      <c r="G44" s="16" t="b">
        <f t="shared" si="100"/>
        <v>1</v>
      </c>
      <c r="H44" s="16" t="b">
        <f t="shared" si="100"/>
        <v>1</v>
      </c>
      <c r="I44" s="49">
        <f t="shared" si="4"/>
        <v>0</v>
      </c>
      <c r="J44" s="16" t="str">
        <f t="shared" ref="J44:N44" si="101">VLOOKUP($A44, INDIRECT(D$1&amp;"!B:E"), 4, FALSE)</f>
        <v/>
      </c>
      <c r="K44" s="16" t="str">
        <f t="shared" si="101"/>
        <v/>
      </c>
      <c r="L44" s="16" t="str">
        <f t="shared" si="101"/>
        <v/>
      </c>
      <c r="M44" s="16" t="str">
        <f t="shared" si="101"/>
        <v/>
      </c>
      <c r="N44" s="16" t="str">
        <f t="shared" si="101"/>
        <v/>
      </c>
      <c r="O44" s="16" t="str">
        <f t="shared" si="6"/>
        <v/>
      </c>
      <c r="P44" s="50" t="s">
        <v>414</v>
      </c>
      <c r="Q44" s="16" t="str">
        <f t="shared" si="7"/>
        <v>UNDECIDED</v>
      </c>
      <c r="R44" s="16" t="b">
        <f>VLOOKUP($A44, Source!B:I, 8, FALSE)</f>
        <v>1</v>
      </c>
      <c r="S44" s="16">
        <f>VLOOKUP(A44,Source!B:H, 7, FALSE)</f>
        <v>0.6</v>
      </c>
      <c r="T44" s="16" t="str">
        <f t="shared" ref="T44:T45" si="104">IF(COUNTIF(Q44:R44, "*SDG 7")&lt;2, "Unclear", IF(Q44=R44, "Yes", "No"))</f>
        <v>Unclear</v>
      </c>
    </row>
    <row r="45" ht="15.75" customHeight="1">
      <c r="A45" s="31" t="s">
        <v>248</v>
      </c>
      <c r="B45" s="31" t="s">
        <v>249</v>
      </c>
      <c r="C45" s="16" t="str">
        <f t="shared" ref="C45:H45" si="102">VLOOKUP($A45, INDIRECT(C$1&amp;"!B:D"), 3, FALSE)</f>
        <v>#REF!</v>
      </c>
      <c r="D45" s="16" t="b">
        <f t="shared" si="102"/>
        <v>0</v>
      </c>
      <c r="E45" s="16" t="str">
        <f t="shared" si="102"/>
        <v>TO DO</v>
      </c>
      <c r="F45" s="16" t="str">
        <f t="shared" si="102"/>
        <v>TO DO</v>
      </c>
      <c r="G45" s="16" t="b">
        <f t="shared" si="102"/>
        <v>0</v>
      </c>
      <c r="H45" s="16" t="b">
        <f t="shared" si="102"/>
        <v>0</v>
      </c>
      <c r="I45" s="49">
        <f t="shared" si="4"/>
        <v>0</v>
      </c>
      <c r="J45" s="16" t="str">
        <f t="shared" ref="J45:N45" si="103">VLOOKUP($A45, INDIRECT(D$1&amp;"!B:E"), 4, FALSE)</f>
        <v/>
      </c>
      <c r="K45" s="16" t="str">
        <f t="shared" si="103"/>
        <v/>
      </c>
      <c r="L45" s="16" t="str">
        <f t="shared" si="103"/>
        <v/>
      </c>
      <c r="M45" s="16" t="str">
        <f t="shared" si="103"/>
        <v/>
      </c>
      <c r="N45" s="16" t="str">
        <f t="shared" si="103"/>
        <v>somehow linked to health services but not clear what exactly is referred to here</v>
      </c>
      <c r="O45" s="16" t="str">
        <f t="shared" si="6"/>
        <v>- somehow linked to health services but not clear what exactly is referred to here</v>
      </c>
      <c r="P45" s="50" t="s">
        <v>504</v>
      </c>
      <c r="Q45" s="16" t="str">
        <f t="shared" si="7"/>
        <v>UNDECIDED</v>
      </c>
      <c r="R45" s="16" t="b">
        <f>VLOOKUP($A45, Source!B:I, 8, FALSE)</f>
        <v>1</v>
      </c>
      <c r="S45" s="16">
        <f>VLOOKUP(A45,Source!B:H, 7, FALSE)</f>
        <v>0.6</v>
      </c>
      <c r="T45" s="16" t="str">
        <f t="shared" si="104"/>
        <v>Unclear</v>
      </c>
    </row>
    <row r="46" ht="15.75" customHeight="1">
      <c r="A46" s="31" t="s">
        <v>285</v>
      </c>
      <c r="B46" s="31" t="s">
        <v>286</v>
      </c>
      <c r="C46" s="16" t="str">
        <f t="shared" ref="C46:H46" si="105">VLOOKUP($A46, INDIRECT(C$1&amp;"!B:D"), 3, FALSE)</f>
        <v>#REF!</v>
      </c>
      <c r="D46" s="16" t="b">
        <f t="shared" si="105"/>
        <v>1</v>
      </c>
      <c r="E46" s="16" t="str">
        <f t="shared" si="105"/>
        <v>TO DO</v>
      </c>
      <c r="F46" s="16" t="str">
        <f t="shared" si="105"/>
        <v>TO DO</v>
      </c>
      <c r="G46" s="16" t="b">
        <f t="shared" si="105"/>
        <v>1</v>
      </c>
      <c r="H46" s="16" t="b">
        <f t="shared" si="105"/>
        <v>1</v>
      </c>
      <c r="I46" s="49">
        <f t="shared" si="4"/>
        <v>0</v>
      </c>
      <c r="J46" s="16" t="str">
        <f t="shared" ref="J46:N46" si="106">VLOOKUP($A46, INDIRECT(D$1&amp;"!B:E"), 4, FALSE)</f>
        <v/>
      </c>
      <c r="K46" s="16" t="str">
        <f t="shared" si="106"/>
        <v/>
      </c>
      <c r="L46" s="16" t="str">
        <f t="shared" si="106"/>
        <v/>
      </c>
      <c r="M46" s="16" t="str">
        <f t="shared" si="106"/>
        <v>affordable health care</v>
      </c>
      <c r="N46" s="16" t="str">
        <f t="shared" si="106"/>
        <v/>
      </c>
      <c r="O46" s="16" t="str">
        <f t="shared" si="6"/>
        <v>- affordable health care</v>
      </c>
      <c r="P46" s="50" t="s">
        <v>505</v>
      </c>
      <c r="Q46" s="16" t="str">
        <f t="shared" si="7"/>
        <v>UNDECIDED</v>
      </c>
      <c r="R46" s="16" t="b">
        <f>VLOOKUP($A46, Source!B:I, 8, FALSE)</f>
        <v>1</v>
      </c>
      <c r="S46" s="16">
        <f>VLOOKUP(A46,Source!B:H, 7, FALSE)</f>
        <v>0.5555555556</v>
      </c>
      <c r="T46" s="16" t="str">
        <f t="shared" ref="T46:T48" si="109">IF(COUNTIF(Q46:R46, "UNDECIDED")&gt;0, "Unclear", IF((Q46="SDG 10")=R46, "Yes", "No"))</f>
        <v>Unclear</v>
      </c>
    </row>
    <row r="47" ht="15.75" customHeight="1">
      <c r="A47" s="31" t="s">
        <v>82</v>
      </c>
      <c r="B47" s="31" t="s">
        <v>83</v>
      </c>
      <c r="C47" s="16" t="str">
        <f t="shared" ref="C47:H47" si="107">VLOOKUP($A47, INDIRECT(C$1&amp;"!B:D"), 3, FALSE)</f>
        <v>#REF!</v>
      </c>
      <c r="D47" s="16" t="b">
        <f t="shared" si="107"/>
        <v>1</v>
      </c>
      <c r="E47" s="16" t="str">
        <f t="shared" si="107"/>
        <v>TO DO</v>
      </c>
      <c r="F47" s="16" t="str">
        <f t="shared" si="107"/>
        <v>TO DO</v>
      </c>
      <c r="G47" s="16" t="b">
        <f t="shared" si="107"/>
        <v>0</v>
      </c>
      <c r="H47" s="16" t="b">
        <f t="shared" si="107"/>
        <v>1</v>
      </c>
      <c r="I47" s="49">
        <f t="shared" si="4"/>
        <v>0</v>
      </c>
      <c r="J47" s="16" t="str">
        <f t="shared" ref="J47:N47" si="108">VLOOKUP($A47, INDIRECT(D$1&amp;"!B:E"), 4, FALSE)</f>
        <v>affordability, target 3.8</v>
      </c>
      <c r="K47" s="16" t="str">
        <f t="shared" si="108"/>
        <v/>
      </c>
      <c r="L47" s="16" t="str">
        <f t="shared" si="108"/>
        <v/>
      </c>
      <c r="M47" s="16" t="str">
        <f t="shared" si="108"/>
        <v/>
      </c>
      <c r="N47" s="16" t="str">
        <f t="shared" si="108"/>
        <v/>
      </c>
      <c r="O47" s="16" t="str">
        <f t="shared" si="6"/>
        <v>- affordability, target 3.8</v>
      </c>
      <c r="P47" s="50" t="s">
        <v>506</v>
      </c>
      <c r="Q47" s="16" t="str">
        <f t="shared" si="7"/>
        <v>UNDECIDED</v>
      </c>
      <c r="R47" s="16" t="b">
        <f>VLOOKUP($A47, Source!B:I, 8, FALSE)</f>
        <v>1</v>
      </c>
      <c r="S47" s="16">
        <f>VLOOKUP(A47,Source!B:H, 7, FALSE)</f>
        <v>0.5555555556</v>
      </c>
      <c r="T47" s="16" t="str">
        <f t="shared" si="109"/>
        <v>Unclear</v>
      </c>
    </row>
    <row r="48" ht="15.75" customHeight="1">
      <c r="A48" s="31" t="s">
        <v>339</v>
      </c>
      <c r="B48" s="31" t="s">
        <v>340</v>
      </c>
      <c r="C48" s="16" t="str">
        <f t="shared" ref="C48:H48" si="110">VLOOKUP($A48, INDIRECT(C$1&amp;"!B:D"), 3, FALSE)</f>
        <v>#REF!</v>
      </c>
      <c r="D48" s="16" t="b">
        <f t="shared" si="110"/>
        <v>1</v>
      </c>
      <c r="E48" s="16" t="str">
        <f t="shared" si="110"/>
        <v>TO DO</v>
      </c>
      <c r="F48" s="16" t="str">
        <f t="shared" si="110"/>
        <v>TO DO</v>
      </c>
      <c r="G48" s="16" t="b">
        <f t="shared" si="110"/>
        <v>1</v>
      </c>
      <c r="H48" s="16" t="b">
        <f t="shared" si="110"/>
        <v>1</v>
      </c>
      <c r="I48" s="49">
        <f t="shared" si="4"/>
        <v>0</v>
      </c>
      <c r="J48" s="16" t="str">
        <f t="shared" ref="J48:N48" si="111">VLOOKUP($A48, INDIRECT(D$1&amp;"!B:E"), 4, FALSE)</f>
        <v/>
      </c>
      <c r="K48" s="16" t="str">
        <f t="shared" si="111"/>
        <v/>
      </c>
      <c r="L48" s="16" t="str">
        <f t="shared" si="111"/>
        <v/>
      </c>
      <c r="M48" s="16" t="str">
        <f t="shared" si="111"/>
        <v>facts, not describing how to reduce</v>
      </c>
      <c r="N48" s="16">
        <f t="shared" si="111"/>
        <v>3.2</v>
      </c>
      <c r="O48" s="16" t="str">
        <f t="shared" si="6"/>
        <v>- facts, not describing how to reduce
- 3.2</v>
      </c>
      <c r="P48" s="50" t="s">
        <v>507</v>
      </c>
      <c r="Q48" s="16" t="str">
        <f t="shared" si="7"/>
        <v>UNDECIDED</v>
      </c>
      <c r="R48" s="16" t="b">
        <f>VLOOKUP($A48, Source!B:I, 8, FALSE)</f>
        <v>1</v>
      </c>
      <c r="S48" s="16">
        <f>VLOOKUP(A48,Source!B:H, 7, FALSE)</f>
        <v>0.5555555556</v>
      </c>
      <c r="T48" s="16" t="str">
        <f t="shared" si="109"/>
        <v>Unclear</v>
      </c>
    </row>
    <row r="49" ht="15.75" customHeight="1">
      <c r="A49" s="31" t="s">
        <v>337</v>
      </c>
      <c r="B49" s="31" t="s">
        <v>338</v>
      </c>
      <c r="C49" s="16" t="str">
        <f t="shared" ref="C49:H49" si="112">VLOOKUP($A49, INDIRECT(C$1&amp;"!B:D"), 3, FALSE)</f>
        <v>#REF!</v>
      </c>
      <c r="D49" s="16" t="b">
        <f t="shared" si="112"/>
        <v>1</v>
      </c>
      <c r="E49" s="16" t="str">
        <f t="shared" si="112"/>
        <v>TO DO</v>
      </c>
      <c r="F49" s="16" t="str">
        <f t="shared" si="112"/>
        <v>TO DO</v>
      </c>
      <c r="G49" s="16" t="b">
        <f t="shared" si="112"/>
        <v>0</v>
      </c>
      <c r="H49" s="16" t="b">
        <f t="shared" si="112"/>
        <v>1</v>
      </c>
      <c r="I49" s="49">
        <f t="shared" si="4"/>
        <v>0</v>
      </c>
      <c r="J49" s="16" t="str">
        <f t="shared" ref="J49:N49" si="113">VLOOKUP($A49, INDIRECT(D$1&amp;"!B:E"), 4, FALSE)</f>
        <v/>
      </c>
      <c r="K49" s="16" t="str">
        <f t="shared" si="113"/>
        <v/>
      </c>
      <c r="L49" s="16" t="str">
        <f t="shared" si="113"/>
        <v/>
      </c>
      <c r="M49" s="16" t="str">
        <f t="shared" si="113"/>
        <v/>
      </c>
      <c r="N49" s="16" t="str">
        <f t="shared" si="113"/>
        <v/>
      </c>
      <c r="O49" s="16" t="str">
        <f t="shared" si="6"/>
        <v/>
      </c>
      <c r="P49" s="50" t="s">
        <v>414</v>
      </c>
      <c r="Q49" s="16" t="str">
        <f t="shared" si="7"/>
        <v>UNDECIDED</v>
      </c>
      <c r="R49" s="16" t="b">
        <f>VLOOKUP($A49, Source!B:I, 8, FALSE)</f>
        <v>1</v>
      </c>
      <c r="S49" s="16">
        <f>VLOOKUP(A49,Source!B:H, 7, FALSE)</f>
        <v>0.5555555556</v>
      </c>
      <c r="T49" s="16" t="str">
        <f>IF(COUNTIF(Q49:R49, "*SDG 7")&lt;2, "Unclear", IF(Q49=R49, "Yes", "No"))</f>
        <v>Unclear</v>
      </c>
    </row>
    <row r="50" ht="15.75" customHeight="1">
      <c r="A50" s="31" t="s">
        <v>194</v>
      </c>
      <c r="B50" s="31" t="s">
        <v>195</v>
      </c>
      <c r="C50" s="16" t="str">
        <f t="shared" ref="C50:H50" si="114">VLOOKUP($A50, INDIRECT(C$1&amp;"!B:D"), 3, FALSE)</f>
        <v>#REF!</v>
      </c>
      <c r="D50" s="16" t="b">
        <f t="shared" si="114"/>
        <v>0</v>
      </c>
      <c r="E50" s="16" t="str">
        <f t="shared" si="114"/>
        <v>TO DO</v>
      </c>
      <c r="F50" s="16" t="str">
        <f t="shared" si="114"/>
        <v>TO DO</v>
      </c>
      <c r="G50" s="16" t="b">
        <f t="shared" si="114"/>
        <v>0</v>
      </c>
      <c r="H50" s="16" t="b">
        <f t="shared" si="114"/>
        <v>0</v>
      </c>
      <c r="I50" s="49">
        <f t="shared" si="4"/>
        <v>0</v>
      </c>
      <c r="J50" s="16" t="str">
        <f t="shared" ref="J50:N50" si="115">VLOOKUP($A50, INDIRECT(D$1&amp;"!B:E"), 4, FALSE)</f>
        <v/>
      </c>
      <c r="K50" s="16" t="str">
        <f t="shared" si="115"/>
        <v/>
      </c>
      <c r="L50" s="16" t="str">
        <f t="shared" si="115"/>
        <v/>
      </c>
      <c r="M50" s="16" t="str">
        <f t="shared" si="115"/>
        <v/>
      </c>
      <c r="N50" s="16" t="str">
        <f t="shared" si="115"/>
        <v/>
      </c>
      <c r="O50" s="16" t="str">
        <f t="shared" si="6"/>
        <v/>
      </c>
      <c r="P50" s="50" t="s">
        <v>414</v>
      </c>
      <c r="Q50" s="16" t="str">
        <f t="shared" si="7"/>
        <v>UNDECIDED</v>
      </c>
      <c r="R50" s="16" t="b">
        <f>VLOOKUP($A50, Source!B:I, 8, FALSE)</f>
        <v>1</v>
      </c>
      <c r="S50" s="16">
        <f>VLOOKUP(A50,Source!B:H, 7, FALSE)</f>
        <v>0.5555555556</v>
      </c>
      <c r="T50" s="16" t="str">
        <f t="shared" ref="T50:T52" si="118">IF(COUNTIF(Q50:R50, "UNDECIDED")&gt;0, "Unclear", IF((Q50="SDG 10")=R50, "Yes", "No"))</f>
        <v>Unclear</v>
      </c>
    </row>
    <row r="51" ht="15.75" customHeight="1">
      <c r="A51" s="31" t="s">
        <v>160</v>
      </c>
      <c r="B51" s="31" t="s">
        <v>161</v>
      </c>
      <c r="C51" s="16" t="str">
        <f t="shared" ref="C51:H51" si="116">VLOOKUP($A51, INDIRECT(C$1&amp;"!B:D"), 3, FALSE)</f>
        <v>#REF!</v>
      </c>
      <c r="D51" s="16" t="b">
        <f t="shared" si="116"/>
        <v>1</v>
      </c>
      <c r="E51" s="16" t="str">
        <f t="shared" si="116"/>
        <v>TO DO</v>
      </c>
      <c r="F51" s="16" t="str">
        <f t="shared" si="116"/>
        <v>TO DO</v>
      </c>
      <c r="G51" s="16" t="b">
        <f t="shared" si="116"/>
        <v>1</v>
      </c>
      <c r="H51" s="16" t="b">
        <f t="shared" si="116"/>
        <v>1</v>
      </c>
      <c r="I51" s="49">
        <f t="shared" si="4"/>
        <v>0</v>
      </c>
      <c r="J51" s="16" t="str">
        <f t="shared" ref="J51:N51" si="117">VLOOKUP($A51, INDIRECT(D$1&amp;"!B:E"), 4, FALSE)</f>
        <v/>
      </c>
      <c r="K51" s="16" t="str">
        <f t="shared" si="117"/>
        <v/>
      </c>
      <c r="L51" s="16" t="str">
        <f t="shared" si="117"/>
        <v/>
      </c>
      <c r="M51" s="16" t="str">
        <f t="shared" si="117"/>
        <v/>
      </c>
      <c r="N51" s="16" t="str">
        <f t="shared" si="117"/>
        <v/>
      </c>
      <c r="O51" s="16" t="str">
        <f t="shared" si="6"/>
        <v/>
      </c>
      <c r="P51" s="50" t="s">
        <v>414</v>
      </c>
      <c r="Q51" s="16" t="str">
        <f t="shared" si="7"/>
        <v>UNDECIDED</v>
      </c>
      <c r="R51" s="16" t="b">
        <f>VLOOKUP($A51, Source!B:I, 8, FALSE)</f>
        <v>1</v>
      </c>
      <c r="S51" s="16">
        <f>VLOOKUP(A51,Source!B:H, 7, FALSE)</f>
        <v>0.5555555556</v>
      </c>
      <c r="T51" s="16" t="str">
        <f t="shared" si="118"/>
        <v>Unclear</v>
      </c>
    </row>
    <row r="52" ht="15.75" customHeight="1">
      <c r="A52" s="31" t="s">
        <v>177</v>
      </c>
      <c r="B52" s="31" t="s">
        <v>178</v>
      </c>
      <c r="C52" s="16" t="str">
        <f t="shared" ref="C52:H52" si="119">VLOOKUP($A52, INDIRECT(C$1&amp;"!B:D"), 3, FALSE)</f>
        <v>#REF!</v>
      </c>
      <c r="D52" s="16" t="b">
        <f t="shared" si="119"/>
        <v>1</v>
      </c>
      <c r="E52" s="16" t="str">
        <f t="shared" si="119"/>
        <v>TO DO</v>
      </c>
      <c r="F52" s="16" t="str">
        <f t="shared" si="119"/>
        <v>TO DO</v>
      </c>
      <c r="G52" s="16" t="b">
        <f t="shared" si="119"/>
        <v>1</v>
      </c>
      <c r="H52" s="16" t="b">
        <f t="shared" si="119"/>
        <v>1</v>
      </c>
      <c r="I52" s="49">
        <f t="shared" si="4"/>
        <v>0</v>
      </c>
      <c r="J52" s="16" t="str">
        <f t="shared" ref="J52:N52" si="120">VLOOKUP($A52, INDIRECT(D$1&amp;"!B:E"), 4, FALSE)</f>
        <v/>
      </c>
      <c r="K52" s="16" t="str">
        <f t="shared" si="120"/>
        <v/>
      </c>
      <c r="L52" s="16" t="str">
        <f t="shared" si="120"/>
        <v/>
      </c>
      <c r="M52" s="16" t="str">
        <f t="shared" si="120"/>
        <v/>
      </c>
      <c r="N52" s="16" t="str">
        <f t="shared" si="120"/>
        <v>3.5 on substance abuse</v>
      </c>
      <c r="O52" s="16" t="str">
        <f t="shared" si="6"/>
        <v>- 3.5 on substance abuse</v>
      </c>
      <c r="P52" s="50" t="s">
        <v>508</v>
      </c>
      <c r="Q52" s="16" t="str">
        <f t="shared" si="7"/>
        <v>UNDECIDED</v>
      </c>
      <c r="R52" s="16" t="b">
        <f>VLOOKUP($A52, Source!B:I, 8, FALSE)</f>
        <v>1</v>
      </c>
      <c r="S52" s="16">
        <f>VLOOKUP(A52,Source!B:H, 7, FALSE)</f>
        <v>0.5555555556</v>
      </c>
      <c r="T52" s="16" t="str">
        <f t="shared" si="118"/>
        <v>Unclear</v>
      </c>
    </row>
    <row r="53" ht="15.75" customHeight="1">
      <c r="A53" s="31" t="s">
        <v>189</v>
      </c>
      <c r="B53" s="31" t="s">
        <v>190</v>
      </c>
      <c r="C53" s="16" t="str">
        <f t="shared" ref="C53:H53" si="121">VLOOKUP($A53, INDIRECT(C$1&amp;"!B:D"), 3, FALSE)</f>
        <v>#REF!</v>
      </c>
      <c r="D53" s="16" t="b">
        <f t="shared" si="121"/>
        <v>0</v>
      </c>
      <c r="E53" s="16" t="str">
        <f t="shared" si="121"/>
        <v>TO DO</v>
      </c>
      <c r="F53" s="16" t="str">
        <f t="shared" si="121"/>
        <v>TO DO</v>
      </c>
      <c r="G53" s="16" t="b">
        <f t="shared" si="121"/>
        <v>1</v>
      </c>
      <c r="H53" s="16" t="b">
        <f t="shared" si="121"/>
        <v>0</v>
      </c>
      <c r="I53" s="49">
        <f t="shared" si="4"/>
        <v>0</v>
      </c>
      <c r="J53" s="16" t="str">
        <f t="shared" ref="J53:N53" si="122">VLOOKUP($A53, INDIRECT(D$1&amp;"!B:E"), 4, FALSE)</f>
        <v/>
      </c>
      <c r="K53" s="16" t="str">
        <f t="shared" si="122"/>
        <v/>
      </c>
      <c r="L53" s="16" t="str">
        <f t="shared" si="122"/>
        <v/>
      </c>
      <c r="M53" s="16" t="str">
        <f t="shared" si="122"/>
        <v/>
      </c>
      <c r="N53" s="16" t="str">
        <f t="shared" si="122"/>
        <v/>
      </c>
      <c r="O53" s="16" t="str">
        <f t="shared" si="6"/>
        <v/>
      </c>
      <c r="P53" s="50" t="s">
        <v>414</v>
      </c>
      <c r="Q53" s="16" t="str">
        <f t="shared" si="7"/>
        <v>UNDECIDED</v>
      </c>
      <c r="R53" s="16" t="b">
        <f>VLOOKUP($A53, Source!B:I, 8, FALSE)</f>
        <v>0</v>
      </c>
      <c r="S53" s="16">
        <f>VLOOKUP(A53,Source!B:H, 7, FALSE)</f>
        <v>0.5555555556</v>
      </c>
      <c r="T53" s="16" t="str">
        <f>IF(COUNTIF(Q53:R53, "*SDG 7")&lt;2, "Unclear", IF(Q53=R53, "Yes", "No"))</f>
        <v>Unclear</v>
      </c>
    </row>
    <row r="54" ht="15.75" customHeight="1">
      <c r="A54" s="31" t="s">
        <v>302</v>
      </c>
      <c r="B54" s="31" t="s">
        <v>303</v>
      </c>
      <c r="C54" s="16" t="str">
        <f t="shared" ref="C54:H54" si="123">VLOOKUP($A54, INDIRECT(C$1&amp;"!B:D"), 3, FALSE)</f>
        <v>#REF!</v>
      </c>
      <c r="D54" s="16" t="b">
        <f t="shared" si="123"/>
        <v>1</v>
      </c>
      <c r="E54" s="16" t="str">
        <f t="shared" si="123"/>
        <v>TO DO</v>
      </c>
      <c r="F54" s="16" t="str">
        <f t="shared" si="123"/>
        <v>TO DO</v>
      </c>
      <c r="G54" s="16" t="b">
        <f t="shared" si="123"/>
        <v>1</v>
      </c>
      <c r="H54" s="16" t="b">
        <f t="shared" si="123"/>
        <v>1</v>
      </c>
      <c r="I54" s="49">
        <f t="shared" si="4"/>
        <v>0</v>
      </c>
      <c r="J54" s="16" t="str">
        <f t="shared" ref="J54:N54" si="124">VLOOKUP($A54, INDIRECT(D$1&amp;"!B:E"), 4, FALSE)</f>
        <v/>
      </c>
      <c r="K54" s="16" t="str">
        <f t="shared" si="124"/>
        <v/>
      </c>
      <c r="L54" s="16" t="str">
        <f t="shared" si="124"/>
        <v/>
      </c>
      <c r="M54" s="16" t="str">
        <f t="shared" si="124"/>
        <v/>
      </c>
      <c r="N54" s="16" t="str">
        <f t="shared" si="124"/>
        <v/>
      </c>
      <c r="O54" s="16" t="str">
        <f t="shared" si="6"/>
        <v/>
      </c>
      <c r="P54" s="50" t="s">
        <v>414</v>
      </c>
      <c r="Q54" s="16" t="str">
        <f t="shared" si="7"/>
        <v>UNDECIDED</v>
      </c>
      <c r="R54" s="16" t="b">
        <f>VLOOKUP($A54, Source!B:I, 8, FALSE)</f>
        <v>1</v>
      </c>
      <c r="S54" s="16">
        <f>VLOOKUP(A54,Source!B:H, 7, FALSE)</f>
        <v>0.5555555556</v>
      </c>
      <c r="T54" s="16" t="str">
        <f>IF(COUNTIF(Q54:R54, "UNDECIDED")&gt;0, "Unclear", IF((Q54="SDG 10")=R54, "Yes", "No"))</f>
        <v>Unclear</v>
      </c>
    </row>
    <row r="55" ht="15.75" customHeight="1">
      <c r="A55" s="31" t="s">
        <v>266</v>
      </c>
      <c r="B55" s="31" t="s">
        <v>267</v>
      </c>
      <c r="C55" s="16" t="str">
        <f t="shared" ref="C55:H55" si="125">VLOOKUP($A55, INDIRECT(C$1&amp;"!B:D"), 3, FALSE)</f>
        <v>#REF!</v>
      </c>
      <c r="D55" s="16" t="b">
        <f t="shared" si="125"/>
        <v>1</v>
      </c>
      <c r="E55" s="16" t="str">
        <f t="shared" si="125"/>
        <v>TO DO</v>
      </c>
      <c r="F55" s="16" t="str">
        <f t="shared" si="125"/>
        <v>TO DO</v>
      </c>
      <c r="G55" s="16" t="b">
        <f t="shared" si="125"/>
        <v>1</v>
      </c>
      <c r="H55" s="16" t="b">
        <f t="shared" si="125"/>
        <v>1</v>
      </c>
      <c r="I55" s="49">
        <f t="shared" si="4"/>
        <v>0</v>
      </c>
      <c r="J55" s="16" t="str">
        <f t="shared" ref="J55:N55" si="126">VLOOKUP($A55, INDIRECT(D$1&amp;"!B:E"), 4, FALSE)</f>
        <v/>
      </c>
      <c r="K55" s="16" t="str">
        <f t="shared" si="126"/>
        <v/>
      </c>
      <c r="L55" s="16" t="str">
        <f t="shared" si="126"/>
        <v/>
      </c>
      <c r="M55" s="16" t="str">
        <f t="shared" si="126"/>
        <v>not really about how to reduce these diseases</v>
      </c>
      <c r="N55" s="16" t="str">
        <f t="shared" si="126"/>
        <v>NCDs (3.4)</v>
      </c>
      <c r="O55" s="16" t="str">
        <f t="shared" si="6"/>
        <v>- not really about how to reduce these diseases
- NCDs (3.4)</v>
      </c>
      <c r="P55" s="50" t="s">
        <v>509</v>
      </c>
      <c r="Q55" s="16" t="str">
        <f t="shared" si="7"/>
        <v>UNDECIDED</v>
      </c>
      <c r="R55" s="16" t="b">
        <f>VLOOKUP($A55, Source!B:I, 8, FALSE)</f>
        <v>1</v>
      </c>
      <c r="S55" s="16">
        <f>VLOOKUP(A55,Source!B:H, 7, FALSE)</f>
        <v>0.5555555556</v>
      </c>
      <c r="T55" s="16" t="str">
        <f>IF(COUNTIF(Q55:R55, "*SDG 7")&lt;2, "Unclear", IF(Q55=R55, "Yes", "No"))</f>
        <v>Unclear</v>
      </c>
    </row>
    <row r="56" ht="15.75" customHeight="1">
      <c r="A56" s="31" t="s">
        <v>254</v>
      </c>
      <c r="B56" s="31" t="s">
        <v>255</v>
      </c>
      <c r="C56" s="16" t="str">
        <f t="shared" ref="C56:H56" si="127">VLOOKUP($A56, INDIRECT(C$1&amp;"!B:D"), 3, FALSE)</f>
        <v>#REF!</v>
      </c>
      <c r="D56" s="16" t="b">
        <f t="shared" si="127"/>
        <v>0</v>
      </c>
      <c r="E56" s="16" t="str">
        <f t="shared" si="127"/>
        <v>TO DO</v>
      </c>
      <c r="F56" s="16" t="str">
        <f t="shared" si="127"/>
        <v>TO DO</v>
      </c>
      <c r="G56" s="16" t="b">
        <f t="shared" si="127"/>
        <v>0</v>
      </c>
      <c r="H56" s="16" t="b">
        <f t="shared" si="127"/>
        <v>0</v>
      </c>
      <c r="I56" s="49">
        <f t="shared" si="4"/>
        <v>0</v>
      </c>
      <c r="J56" s="16" t="str">
        <f t="shared" ref="J56:N56" si="128">VLOOKUP($A56, INDIRECT(D$1&amp;"!B:E"), 4, FALSE)</f>
        <v/>
      </c>
      <c r="K56" s="16" t="str">
        <f t="shared" si="128"/>
        <v/>
      </c>
      <c r="L56" s="16" t="str">
        <f t="shared" si="128"/>
        <v/>
      </c>
      <c r="M56" s="16" t="str">
        <f t="shared" si="128"/>
        <v/>
      </c>
      <c r="N56" s="16" t="str">
        <f t="shared" si="128"/>
        <v/>
      </c>
      <c r="O56" s="16" t="str">
        <f t="shared" si="6"/>
        <v/>
      </c>
      <c r="P56" s="50" t="s">
        <v>414</v>
      </c>
      <c r="Q56" s="16" t="str">
        <f t="shared" si="7"/>
        <v>UNDECIDED</v>
      </c>
      <c r="R56" s="16" t="b">
        <f>VLOOKUP($A56, Source!B:I, 8, FALSE)</f>
        <v>0</v>
      </c>
      <c r="S56" s="16">
        <f>VLOOKUP(A56,Source!B:H, 7, FALSE)</f>
        <v>0.5555555556</v>
      </c>
      <c r="T56" s="16" t="str">
        <f t="shared" ref="T56:T60" si="131">IF(COUNTIF(Q56:R56, "UNDECIDED")&gt;0, "Unclear", IF((Q56="SDG 10")=R56, "Yes", "No"))</f>
        <v>Unclear</v>
      </c>
    </row>
    <row r="57" ht="15.75" customHeight="1">
      <c r="A57" s="31" t="s">
        <v>198</v>
      </c>
      <c r="B57" s="31" t="s">
        <v>199</v>
      </c>
      <c r="C57" s="16" t="str">
        <f t="shared" ref="C57:H57" si="129">VLOOKUP($A57, INDIRECT(C$1&amp;"!B:D"), 3, FALSE)</f>
        <v>#REF!</v>
      </c>
      <c r="D57" s="16" t="b">
        <f t="shared" si="129"/>
        <v>0</v>
      </c>
      <c r="E57" s="16" t="str">
        <f t="shared" si="129"/>
        <v>TO DO</v>
      </c>
      <c r="F57" s="16" t="str">
        <f t="shared" si="129"/>
        <v>TO DO</v>
      </c>
      <c r="G57" s="16" t="b">
        <f t="shared" si="129"/>
        <v>0</v>
      </c>
      <c r="H57" s="16" t="b">
        <f t="shared" si="129"/>
        <v>0</v>
      </c>
      <c r="I57" s="49">
        <f t="shared" si="4"/>
        <v>0</v>
      </c>
      <c r="J57" s="16" t="str">
        <f t="shared" ref="J57:N57" si="130">VLOOKUP($A57, INDIRECT(D$1&amp;"!B:E"), 4, FALSE)</f>
        <v/>
      </c>
      <c r="K57" s="16" t="str">
        <f t="shared" si="130"/>
        <v/>
      </c>
      <c r="L57" s="16" t="str">
        <f t="shared" si="130"/>
        <v/>
      </c>
      <c r="M57" s="16" t="str">
        <f t="shared" si="130"/>
        <v/>
      </c>
      <c r="N57" s="16" t="str">
        <f t="shared" si="130"/>
        <v/>
      </c>
      <c r="O57" s="16" t="str">
        <f t="shared" si="6"/>
        <v/>
      </c>
      <c r="P57" s="50" t="s">
        <v>414</v>
      </c>
      <c r="Q57" s="16" t="str">
        <f t="shared" si="7"/>
        <v>UNDECIDED</v>
      </c>
      <c r="R57" s="16" t="b">
        <f>VLOOKUP($A57, Source!B:I, 8, FALSE)</f>
        <v>0</v>
      </c>
      <c r="S57" s="16">
        <f>VLOOKUP(A57,Source!B:H, 7, FALSE)</f>
        <v>0.3333333333</v>
      </c>
      <c r="T57" s="16" t="str">
        <f t="shared" si="131"/>
        <v>Unclear</v>
      </c>
    </row>
    <row r="58" ht="15.75" customHeight="1">
      <c r="A58" s="31" t="s">
        <v>245</v>
      </c>
      <c r="B58" s="31" t="s">
        <v>246</v>
      </c>
      <c r="C58" s="16" t="str">
        <f t="shared" ref="C58:H58" si="132">VLOOKUP($A58, INDIRECT(C$1&amp;"!B:D"), 3, FALSE)</f>
        <v>#REF!</v>
      </c>
      <c r="D58" s="16" t="b">
        <f t="shared" si="132"/>
        <v>0</v>
      </c>
      <c r="E58" s="16" t="str">
        <f t="shared" si="132"/>
        <v>TO DO</v>
      </c>
      <c r="F58" s="16" t="str">
        <f t="shared" si="132"/>
        <v>TO DO</v>
      </c>
      <c r="G58" s="16" t="b">
        <f t="shared" si="132"/>
        <v>1</v>
      </c>
      <c r="H58" s="16" t="b">
        <f t="shared" si="132"/>
        <v>0</v>
      </c>
      <c r="I58" s="49">
        <f t="shared" si="4"/>
        <v>0</v>
      </c>
      <c r="J58" s="16" t="str">
        <f t="shared" ref="J58:N58" si="133">VLOOKUP($A58, INDIRECT(D$1&amp;"!B:E"), 4, FALSE)</f>
        <v/>
      </c>
      <c r="K58" s="16" t="str">
        <f t="shared" si="133"/>
        <v/>
      </c>
      <c r="L58" s="16" t="str">
        <f t="shared" si="133"/>
        <v/>
      </c>
      <c r="M58" s="16" t="str">
        <f t="shared" si="133"/>
        <v/>
      </c>
      <c r="N58" s="16" t="str">
        <f t="shared" si="133"/>
        <v/>
      </c>
      <c r="O58" s="16" t="str">
        <f t="shared" si="6"/>
        <v/>
      </c>
      <c r="P58" s="50" t="s">
        <v>414</v>
      </c>
      <c r="Q58" s="16" t="str">
        <f t="shared" si="7"/>
        <v>UNDECIDED</v>
      </c>
      <c r="R58" s="16" t="b">
        <f>VLOOKUP($A58, Source!B:I, 8, FALSE)</f>
        <v>0</v>
      </c>
      <c r="S58" s="16">
        <f>VLOOKUP(A58,Source!B:H, 7, FALSE)</f>
        <v>0.3333333333</v>
      </c>
      <c r="T58" s="16" t="str">
        <f t="shared" si="131"/>
        <v>Unclear</v>
      </c>
    </row>
    <row r="59" ht="15.75" customHeight="1">
      <c r="A59" s="31" t="s">
        <v>331</v>
      </c>
      <c r="B59" s="31" t="s">
        <v>332</v>
      </c>
      <c r="C59" s="16" t="str">
        <f t="shared" ref="C59:H59" si="134">VLOOKUP($A59, INDIRECT(C$1&amp;"!B:D"), 3, FALSE)</f>
        <v>#REF!</v>
      </c>
      <c r="D59" s="16" t="b">
        <f t="shared" si="134"/>
        <v>1</v>
      </c>
      <c r="E59" s="16" t="str">
        <f t="shared" si="134"/>
        <v>TO DO</v>
      </c>
      <c r="F59" s="16" t="str">
        <f t="shared" si="134"/>
        <v>TO DO</v>
      </c>
      <c r="G59" s="16" t="b">
        <f t="shared" si="134"/>
        <v>1</v>
      </c>
      <c r="H59" s="16" t="b">
        <f t="shared" si="134"/>
        <v>1</v>
      </c>
      <c r="I59" s="49">
        <f t="shared" si="4"/>
        <v>0</v>
      </c>
      <c r="J59" s="16" t="str">
        <f t="shared" ref="J59:N59" si="135">VLOOKUP($A59, INDIRECT(D$1&amp;"!B:E"), 4, FALSE)</f>
        <v/>
      </c>
      <c r="K59" s="16" t="str">
        <f t="shared" si="135"/>
        <v/>
      </c>
      <c r="L59" s="16" t="str">
        <f t="shared" si="135"/>
        <v/>
      </c>
      <c r="M59" s="16" t="str">
        <f t="shared" si="135"/>
        <v>not explicitly about how to reduce mortality</v>
      </c>
      <c r="N59" s="16" t="str">
        <f t="shared" si="135"/>
        <v/>
      </c>
      <c r="O59" s="16" t="str">
        <f t="shared" si="6"/>
        <v>- not explicitly about how to reduce mortality</v>
      </c>
      <c r="P59" s="50" t="s">
        <v>510</v>
      </c>
      <c r="Q59" s="16" t="str">
        <f t="shared" si="7"/>
        <v>UNDECIDED</v>
      </c>
      <c r="R59" s="16" t="b">
        <f>VLOOKUP($A59, Source!B:I, 8, FALSE)</f>
        <v>1</v>
      </c>
      <c r="S59" s="16">
        <f>VLOOKUP(A59,Source!B:H, 7, FALSE)</f>
        <v>0.5555555556</v>
      </c>
      <c r="T59" s="16" t="str">
        <f t="shared" si="131"/>
        <v>Unclear</v>
      </c>
    </row>
    <row r="60" ht="15.75" customHeight="1">
      <c r="A60" s="31" t="s">
        <v>263</v>
      </c>
      <c r="B60" s="31" t="s">
        <v>264</v>
      </c>
      <c r="C60" s="16" t="str">
        <f t="shared" ref="C60:H60" si="136">VLOOKUP($A60, INDIRECT(C$1&amp;"!B:D"), 3, FALSE)</f>
        <v>#REF!</v>
      </c>
      <c r="D60" s="16" t="b">
        <f t="shared" si="136"/>
        <v>0</v>
      </c>
      <c r="E60" s="16" t="str">
        <f t="shared" si="136"/>
        <v>TO DO</v>
      </c>
      <c r="F60" s="16" t="str">
        <f t="shared" si="136"/>
        <v>TO DO</v>
      </c>
      <c r="G60" s="16" t="b">
        <f t="shared" si="136"/>
        <v>1</v>
      </c>
      <c r="H60" s="16" t="b">
        <f t="shared" si="136"/>
        <v>0</v>
      </c>
      <c r="I60" s="49">
        <f t="shared" si="4"/>
        <v>0</v>
      </c>
      <c r="J60" s="16" t="str">
        <f t="shared" ref="J60:N60" si="137">VLOOKUP($A60, INDIRECT(D$1&amp;"!B:E"), 4, FALSE)</f>
        <v/>
      </c>
      <c r="K60" s="16" t="str">
        <f t="shared" si="137"/>
        <v/>
      </c>
      <c r="L60" s="16" t="str">
        <f t="shared" si="137"/>
        <v/>
      </c>
      <c r="M60" s="16" t="str">
        <f t="shared" si="137"/>
        <v/>
      </c>
      <c r="N60" s="16" t="str">
        <f t="shared" si="137"/>
        <v/>
      </c>
      <c r="O60" s="16" t="str">
        <f t="shared" si="6"/>
        <v/>
      </c>
      <c r="P60" s="50" t="s">
        <v>414</v>
      </c>
      <c r="Q60" s="16" t="str">
        <f t="shared" si="7"/>
        <v>UNDECIDED</v>
      </c>
      <c r="R60" s="16" t="b">
        <f>VLOOKUP($A60, Source!B:I, 8, FALSE)</f>
        <v>0</v>
      </c>
      <c r="S60" s="16">
        <f>VLOOKUP(A60,Source!B:H, 7, FALSE)</f>
        <v>0.3333333333</v>
      </c>
      <c r="T60" s="16" t="str">
        <f t="shared" si="131"/>
        <v>Unclear</v>
      </c>
    </row>
    <row r="61" ht="15.75" customHeight="1">
      <c r="A61" s="31" t="s">
        <v>230</v>
      </c>
      <c r="B61" s="31" t="s">
        <v>231</v>
      </c>
      <c r="C61" s="16" t="str">
        <f t="shared" ref="C61:H61" si="138">VLOOKUP($A61, INDIRECT(C$1&amp;"!B:D"), 3, FALSE)</f>
        <v>#REF!</v>
      </c>
      <c r="D61" s="16" t="b">
        <f t="shared" si="138"/>
        <v>1</v>
      </c>
      <c r="E61" s="16" t="str">
        <f t="shared" si="138"/>
        <v>TO DO</v>
      </c>
      <c r="F61" s="16" t="str">
        <f t="shared" si="138"/>
        <v>TO DO</v>
      </c>
      <c r="G61" s="16" t="b">
        <f t="shared" si="138"/>
        <v>1</v>
      </c>
      <c r="H61" s="16" t="b">
        <f t="shared" si="138"/>
        <v>1</v>
      </c>
      <c r="I61" s="49">
        <f t="shared" si="4"/>
        <v>0</v>
      </c>
      <c r="J61" s="16" t="str">
        <f t="shared" ref="J61:N61" si="139">VLOOKUP($A61, INDIRECT(D$1&amp;"!B:E"), 4, FALSE)</f>
        <v/>
      </c>
      <c r="K61" s="16" t="str">
        <f t="shared" si="139"/>
        <v/>
      </c>
      <c r="L61" s="16" t="str">
        <f t="shared" si="139"/>
        <v/>
      </c>
      <c r="M61" s="16" t="str">
        <f t="shared" si="139"/>
        <v/>
      </c>
      <c r="N61" s="16" t="str">
        <f t="shared" si="139"/>
        <v/>
      </c>
      <c r="O61" s="16" t="str">
        <f t="shared" si="6"/>
        <v/>
      </c>
      <c r="P61" s="50" t="s">
        <v>414</v>
      </c>
      <c r="Q61" s="16" t="str">
        <f t="shared" si="7"/>
        <v>UNDECIDED</v>
      </c>
      <c r="R61" s="16" t="b">
        <f>VLOOKUP($A61, Source!B:I, 8, FALSE)</f>
        <v>1</v>
      </c>
      <c r="S61" s="16">
        <f>VLOOKUP(A61,Source!B:H, 7, FALSE)</f>
        <v>0.5555555556</v>
      </c>
      <c r="T61" s="16" t="str">
        <f t="shared" ref="T61:T64" si="142">IF(COUNTIF(Q61:R61, "*SDG 7")&lt;2, "Unclear", IF(Q61=R61, "Yes", "No"))</f>
        <v>Unclear</v>
      </c>
    </row>
    <row r="62" ht="15.75" customHeight="1">
      <c r="A62" s="31" t="s">
        <v>86</v>
      </c>
      <c r="B62" s="31" t="s">
        <v>87</v>
      </c>
      <c r="C62" s="16" t="str">
        <f t="shared" ref="C62:H62" si="140">VLOOKUP($A62, INDIRECT(C$1&amp;"!B:D"), 3, FALSE)</f>
        <v>#REF!</v>
      </c>
      <c r="D62" s="16" t="b">
        <f t="shared" si="140"/>
        <v>0</v>
      </c>
      <c r="E62" s="16" t="str">
        <f t="shared" si="140"/>
        <v>TO DO</v>
      </c>
      <c r="F62" s="16" t="str">
        <f t="shared" si="140"/>
        <v>TO DO</v>
      </c>
      <c r="G62" s="16" t="b">
        <f t="shared" si="140"/>
        <v>0</v>
      </c>
      <c r="H62" s="16" t="b">
        <f t="shared" si="140"/>
        <v>0</v>
      </c>
      <c r="I62" s="49">
        <f t="shared" si="4"/>
        <v>0</v>
      </c>
      <c r="J62" s="16" t="str">
        <f t="shared" ref="J62:N62" si="141">VLOOKUP($A62, INDIRECT(D$1&amp;"!B:E"), 4, FALSE)</f>
        <v>unclear what kind of insurance: remove from dataset</v>
      </c>
      <c r="K62" s="16" t="str">
        <f t="shared" si="141"/>
        <v/>
      </c>
      <c r="L62" s="16" t="str">
        <f t="shared" si="141"/>
        <v/>
      </c>
      <c r="M62" s="16" t="str">
        <f t="shared" si="141"/>
        <v/>
      </c>
      <c r="N62" s="16" t="str">
        <f t="shared" si="141"/>
        <v/>
      </c>
      <c r="O62" s="16" t="str">
        <f t="shared" si="6"/>
        <v>- unclear what kind of insurance: remove from dataset</v>
      </c>
      <c r="P62" s="50" t="s">
        <v>511</v>
      </c>
      <c r="Q62" s="16" t="str">
        <f t="shared" si="7"/>
        <v>UNDECIDED</v>
      </c>
      <c r="R62" s="16" t="b">
        <f>VLOOKUP($A62, Source!B:I, 8, FALSE)</f>
        <v>0</v>
      </c>
      <c r="S62" s="16">
        <f>VLOOKUP(A62,Source!B:H, 7, FALSE)</f>
        <v>0.3333333333</v>
      </c>
      <c r="T62" s="16" t="str">
        <f t="shared" si="142"/>
        <v>Unclear</v>
      </c>
    </row>
    <row r="63" ht="15.75" customHeight="1">
      <c r="A63" s="31" t="s">
        <v>209</v>
      </c>
      <c r="B63" s="31" t="s">
        <v>210</v>
      </c>
      <c r="C63" s="16" t="str">
        <f t="shared" ref="C63:H63" si="143">VLOOKUP($A63, INDIRECT(C$1&amp;"!B:D"), 3, FALSE)</f>
        <v>#REF!</v>
      </c>
      <c r="D63" s="16" t="b">
        <f t="shared" si="143"/>
        <v>0</v>
      </c>
      <c r="E63" s="16" t="str">
        <f t="shared" si="143"/>
        <v>TO DO</v>
      </c>
      <c r="F63" s="16" t="str">
        <f t="shared" si="143"/>
        <v>TO DO</v>
      </c>
      <c r="G63" s="16" t="str">
        <f t="shared" si="143"/>
        <v>TO DO</v>
      </c>
      <c r="H63" s="16" t="b">
        <f t="shared" si="143"/>
        <v>0</v>
      </c>
      <c r="I63" s="49">
        <f t="shared" si="4"/>
        <v>0</v>
      </c>
      <c r="J63" s="16" t="str">
        <f t="shared" ref="J63:N63" si="144">VLOOKUP($A63, INDIRECT(D$1&amp;"!B:E"), 4, FALSE)</f>
        <v/>
      </c>
      <c r="K63" s="16" t="str">
        <f t="shared" si="144"/>
        <v/>
      </c>
      <c r="L63" s="16" t="str">
        <f t="shared" si="144"/>
        <v/>
      </c>
      <c r="M63" s="16" t="str">
        <f t="shared" si="144"/>
        <v/>
      </c>
      <c r="N63" s="16" t="str">
        <f t="shared" si="144"/>
        <v/>
      </c>
      <c r="O63" s="16" t="str">
        <f t="shared" si="6"/>
        <v/>
      </c>
      <c r="P63" s="50" t="s">
        <v>414</v>
      </c>
      <c r="Q63" s="16" t="str">
        <f t="shared" si="7"/>
        <v>UNDECIDED</v>
      </c>
      <c r="R63" s="16" t="b">
        <f>VLOOKUP($A63, Source!B:I, 8, FALSE)</f>
        <v>0</v>
      </c>
      <c r="S63" s="16">
        <f>VLOOKUP(A63,Source!B:H, 7, FALSE)</f>
        <v>0.3333333333</v>
      </c>
      <c r="T63" s="16" t="str">
        <f t="shared" si="142"/>
        <v>Unclear</v>
      </c>
    </row>
    <row r="64" ht="15.75" customHeight="1">
      <c r="A64" s="31" t="s">
        <v>271</v>
      </c>
      <c r="B64" s="31" t="s">
        <v>272</v>
      </c>
      <c r="C64" s="16" t="str">
        <f t="shared" ref="C64:H64" si="145">VLOOKUP($A64, INDIRECT(C$1&amp;"!B:D"), 3, FALSE)</f>
        <v>#REF!</v>
      </c>
      <c r="D64" s="16" t="b">
        <f t="shared" si="145"/>
        <v>0</v>
      </c>
      <c r="E64" s="16" t="str">
        <f t="shared" si="145"/>
        <v>TO DO</v>
      </c>
      <c r="F64" s="16" t="str">
        <f t="shared" si="145"/>
        <v>TO DO</v>
      </c>
      <c r="G64" s="16" t="b">
        <f t="shared" si="145"/>
        <v>0</v>
      </c>
      <c r="H64" s="16" t="b">
        <f t="shared" si="145"/>
        <v>0</v>
      </c>
      <c r="I64" s="49">
        <f t="shared" si="4"/>
        <v>0</v>
      </c>
      <c r="J64" s="16" t="str">
        <f t="shared" ref="J64:N64" si="146">VLOOKUP($A64, INDIRECT(D$1&amp;"!B:E"), 4, FALSE)</f>
        <v/>
      </c>
      <c r="K64" s="16" t="str">
        <f t="shared" si="146"/>
        <v/>
      </c>
      <c r="L64" s="16" t="str">
        <f t="shared" si="146"/>
        <v/>
      </c>
      <c r="M64" s="16" t="str">
        <f t="shared" si="146"/>
        <v>it is about patents for eye drops but does not refer to the diseases in the targets</v>
      </c>
      <c r="N64" s="16" t="str">
        <f t="shared" si="146"/>
        <v/>
      </c>
      <c r="O64" s="16" t="str">
        <f t="shared" si="6"/>
        <v>- it is about patents for eye drops but does not refer to the diseases in the targets</v>
      </c>
      <c r="P64" s="50" t="s">
        <v>512</v>
      </c>
      <c r="Q64" s="16" t="str">
        <f t="shared" si="7"/>
        <v>UNDECIDED</v>
      </c>
      <c r="R64" s="16" t="b">
        <f>VLOOKUP($A64, Source!B:I, 8, FALSE)</f>
        <v>1</v>
      </c>
      <c r="S64" s="16">
        <f>VLOOKUP(A64,Source!B:H, 7, FALSE)</f>
        <v>0.5555555556</v>
      </c>
      <c r="T64" s="16" t="str">
        <f t="shared" si="142"/>
        <v>Unclear</v>
      </c>
    </row>
    <row r="65" ht="15.75" customHeight="1">
      <c r="A65" s="31" t="s">
        <v>121</v>
      </c>
      <c r="B65" s="31" t="s">
        <v>122</v>
      </c>
      <c r="C65" s="16" t="str">
        <f t="shared" ref="C65:H65" si="147">VLOOKUP($A65, INDIRECT(C$1&amp;"!B:D"), 3, FALSE)</f>
        <v>#REF!</v>
      </c>
      <c r="D65" s="16" t="b">
        <f t="shared" si="147"/>
        <v>1</v>
      </c>
      <c r="E65" s="16" t="str">
        <f t="shared" si="147"/>
        <v>TO DO</v>
      </c>
      <c r="F65" s="16" t="str">
        <f t="shared" si="147"/>
        <v>TO DO</v>
      </c>
      <c r="G65" s="16" t="b">
        <f t="shared" si="147"/>
        <v>0</v>
      </c>
      <c r="H65" s="16" t="b">
        <f t="shared" si="147"/>
        <v>1</v>
      </c>
      <c r="I65" s="49">
        <f t="shared" si="4"/>
        <v>0</v>
      </c>
      <c r="J65" s="16" t="str">
        <f t="shared" ref="J65:N65" si="148">VLOOKUP($A65, INDIRECT(D$1&amp;"!B:E"), 4, FALSE)</f>
        <v/>
      </c>
      <c r="K65" s="16" t="str">
        <f t="shared" si="148"/>
        <v/>
      </c>
      <c r="L65" s="16" t="str">
        <f t="shared" si="148"/>
        <v/>
      </c>
      <c r="M65" s="16" t="str">
        <f t="shared" si="148"/>
        <v/>
      </c>
      <c r="N65" s="16" t="str">
        <f t="shared" si="148"/>
        <v/>
      </c>
      <c r="O65" s="16" t="str">
        <f t="shared" si="6"/>
        <v/>
      </c>
      <c r="P65" s="50" t="s">
        <v>414</v>
      </c>
      <c r="Q65" s="16" t="str">
        <f t="shared" si="7"/>
        <v>UNDECIDED</v>
      </c>
      <c r="R65" s="16" t="b">
        <f>VLOOKUP($A65, Source!B:I, 8, FALSE)</f>
        <v>1</v>
      </c>
      <c r="S65" s="16">
        <f>VLOOKUP(A65,Source!B:H, 7, FALSE)</f>
        <v>0.4</v>
      </c>
      <c r="T65" s="16" t="str">
        <f>IF(COUNTIF(Q65:R65, "UNDECIDED")&gt;0, "Unclear", IF((Q65="SDG 10")=R65, "Yes", "No"))</f>
        <v>Unclear</v>
      </c>
    </row>
    <row r="66" ht="15.75" customHeight="1">
      <c r="A66" s="31" t="s">
        <v>227</v>
      </c>
      <c r="B66" s="31" t="s">
        <v>228</v>
      </c>
      <c r="C66" s="16" t="str">
        <f t="shared" ref="C66:H66" si="149">VLOOKUP($A66, INDIRECT(C$1&amp;"!B:D"), 3, FALSE)</f>
        <v>#REF!</v>
      </c>
      <c r="D66" s="16" t="b">
        <f t="shared" si="149"/>
        <v>0</v>
      </c>
      <c r="E66" s="16" t="str">
        <f t="shared" si="149"/>
        <v>TO DO</v>
      </c>
      <c r="F66" s="16" t="str">
        <f t="shared" si="149"/>
        <v>TO DO</v>
      </c>
      <c r="G66" s="16" t="b">
        <f t="shared" si="149"/>
        <v>1</v>
      </c>
      <c r="H66" s="16" t="b">
        <f t="shared" si="149"/>
        <v>1</v>
      </c>
      <c r="I66" s="49">
        <f t="shared" si="4"/>
        <v>0</v>
      </c>
      <c r="J66" s="16" t="str">
        <f t="shared" ref="J66:N66" si="150">VLOOKUP($A66, INDIRECT(D$1&amp;"!B:E"), 4, FALSE)</f>
        <v/>
      </c>
      <c r="K66" s="16" t="str">
        <f t="shared" si="150"/>
        <v/>
      </c>
      <c r="L66" s="16" t="str">
        <f t="shared" si="150"/>
        <v/>
      </c>
      <c r="M66" s="16" t="str">
        <f t="shared" si="150"/>
        <v/>
      </c>
      <c r="N66" s="16" t="str">
        <f t="shared" si="150"/>
        <v>links weakly to mental wellbeing (last sentence on psychological strength being exhausted)</v>
      </c>
      <c r="O66" s="16" t="str">
        <f t="shared" si="6"/>
        <v>- links weakly to mental wellbeing (last sentence on psychological strength being exhausted)</v>
      </c>
      <c r="P66" s="50" t="s">
        <v>513</v>
      </c>
      <c r="Q66" s="16" t="str">
        <f t="shared" si="7"/>
        <v>UNDECIDED</v>
      </c>
      <c r="R66" s="16" t="b">
        <f>VLOOKUP($A66, Source!B:I, 8, FALSE)</f>
        <v>1</v>
      </c>
      <c r="S66" s="16">
        <f>VLOOKUP(A66,Source!B:H, 7, FALSE)</f>
        <v>0.4</v>
      </c>
      <c r="T66" s="16" t="str">
        <f>IF(COUNTIF(Q66:R66, "*SDG 7")&lt;2, "Unclear", IF(Q66=R66, "Yes", "No"))</f>
        <v>Unclear</v>
      </c>
    </row>
    <row r="67" ht="15.75" customHeight="1">
      <c r="A67" s="31" t="s">
        <v>93</v>
      </c>
      <c r="B67" s="31" t="s">
        <v>94</v>
      </c>
      <c r="C67" s="16" t="str">
        <f t="shared" ref="C67:H67" si="151">VLOOKUP($A67, INDIRECT(C$1&amp;"!B:D"), 3, FALSE)</f>
        <v>#REF!</v>
      </c>
      <c r="D67" s="16" t="b">
        <f t="shared" si="151"/>
        <v>1</v>
      </c>
      <c r="E67" s="16" t="str">
        <f t="shared" si="151"/>
        <v>TO DO</v>
      </c>
      <c r="F67" s="16" t="str">
        <f t="shared" si="151"/>
        <v>TO DO</v>
      </c>
      <c r="G67" s="16" t="b">
        <f t="shared" si="151"/>
        <v>1</v>
      </c>
      <c r="H67" s="16" t="b">
        <f t="shared" si="151"/>
        <v>1</v>
      </c>
      <c r="I67" s="49">
        <f t="shared" si="4"/>
        <v>0</v>
      </c>
      <c r="J67" s="16" t="str">
        <f t="shared" ref="J67:N67" si="152">VLOOKUP($A67, INDIRECT(D$1&amp;"!B:E"), 4, FALSE)</f>
        <v/>
      </c>
      <c r="K67" s="16" t="str">
        <f t="shared" si="152"/>
        <v/>
      </c>
      <c r="L67" s="16" t="str">
        <f t="shared" si="152"/>
        <v/>
      </c>
      <c r="M67" s="16" t="str">
        <f t="shared" si="152"/>
        <v/>
      </c>
      <c r="N67" s="16" t="str">
        <f t="shared" si="152"/>
        <v>universal health care access</v>
      </c>
      <c r="O67" s="16" t="str">
        <f t="shared" si="6"/>
        <v>- universal health care access</v>
      </c>
      <c r="P67" s="50" t="s">
        <v>514</v>
      </c>
      <c r="Q67" s="16" t="str">
        <f t="shared" si="7"/>
        <v>UNDECIDED</v>
      </c>
      <c r="R67" s="16" t="b">
        <f>VLOOKUP($A67, Source!B:I, 8, FALSE)</f>
        <v>1</v>
      </c>
      <c r="S67" s="16">
        <f>VLOOKUP(A67,Source!B:H, 7, FALSE)</f>
        <v>0.4</v>
      </c>
      <c r="T67" s="16" t="str">
        <f>IF(COUNTIF(Q67:R67, "UNDECIDED")&gt;0, "Unclear", IF((Q67="SDG 10")=R67, "Yes", "No"))</f>
        <v>Unclear</v>
      </c>
    </row>
    <row r="68" ht="15.75" customHeight="1">
      <c r="A68" s="31" t="s">
        <v>315</v>
      </c>
      <c r="B68" s="31" t="s">
        <v>316</v>
      </c>
      <c r="C68" s="16" t="str">
        <f t="shared" ref="C68:H68" si="153">VLOOKUP($A68, INDIRECT(C$1&amp;"!B:D"), 3, FALSE)</f>
        <v>#REF!</v>
      </c>
      <c r="D68" s="16" t="b">
        <f t="shared" si="153"/>
        <v>1</v>
      </c>
      <c r="E68" s="16" t="str">
        <f t="shared" si="153"/>
        <v>TO DO</v>
      </c>
      <c r="F68" s="16" t="str">
        <f t="shared" si="153"/>
        <v>TO DO</v>
      </c>
      <c r="G68" s="16" t="b">
        <f t="shared" si="153"/>
        <v>1</v>
      </c>
      <c r="H68" s="16" t="b">
        <f t="shared" si="153"/>
        <v>1</v>
      </c>
      <c r="I68" s="49">
        <f t="shared" si="4"/>
        <v>0</v>
      </c>
      <c r="J68" s="16" t="str">
        <f t="shared" ref="J68:N68" si="154">VLOOKUP($A68, INDIRECT(D$1&amp;"!B:E"), 4, FALSE)</f>
        <v/>
      </c>
      <c r="K68" s="16" t="str">
        <f t="shared" si="154"/>
        <v/>
      </c>
      <c r="L68" s="16" t="str">
        <f t="shared" si="154"/>
        <v/>
      </c>
      <c r="M68" s="16" t="str">
        <f t="shared" si="154"/>
        <v/>
      </c>
      <c r="N68" s="16" t="str">
        <f t="shared" si="154"/>
        <v/>
      </c>
      <c r="O68" s="16" t="str">
        <f t="shared" si="6"/>
        <v/>
      </c>
      <c r="P68" s="50" t="s">
        <v>414</v>
      </c>
      <c r="Q68" s="16" t="str">
        <f t="shared" si="7"/>
        <v>UNDECIDED</v>
      </c>
      <c r="R68" s="16" t="b">
        <f>VLOOKUP($A68, Source!B:I, 8, FALSE)</f>
        <v>1</v>
      </c>
      <c r="S68" s="16">
        <f>VLOOKUP(A68,Source!B:H, 7, FALSE)</f>
        <v>0.3333333333</v>
      </c>
      <c r="T68" s="16" t="str">
        <f t="shared" ref="T68:T69" si="157">IF(COUNTIF(Q68:R68, "*SDG 7")&lt;2, "Unclear", IF(Q68=R68, "Yes", "No"))</f>
        <v>Unclear</v>
      </c>
    </row>
    <row r="69" ht="15.75" customHeight="1">
      <c r="A69" s="31" t="s">
        <v>318</v>
      </c>
      <c r="B69" s="31" t="s">
        <v>319</v>
      </c>
      <c r="C69" s="16" t="str">
        <f t="shared" ref="C69:H69" si="155">VLOOKUP($A69, INDIRECT(C$1&amp;"!B:D"), 3, FALSE)</f>
        <v>#REF!</v>
      </c>
      <c r="D69" s="16" t="b">
        <f t="shared" si="155"/>
        <v>1</v>
      </c>
      <c r="E69" s="16" t="str">
        <f t="shared" si="155"/>
        <v>TO DO</v>
      </c>
      <c r="F69" s="16" t="str">
        <f t="shared" si="155"/>
        <v>TO DO</v>
      </c>
      <c r="G69" s="16" t="b">
        <f t="shared" si="155"/>
        <v>0</v>
      </c>
      <c r="H69" s="16" t="b">
        <f t="shared" si="155"/>
        <v>1</v>
      </c>
      <c r="I69" s="49">
        <f t="shared" si="4"/>
        <v>0</v>
      </c>
      <c r="J69" s="16" t="str">
        <f t="shared" ref="J69:N69" si="156">VLOOKUP($A69, INDIRECT(D$1&amp;"!B:E"), 4, FALSE)</f>
        <v/>
      </c>
      <c r="K69" s="16" t="str">
        <f t="shared" si="156"/>
        <v/>
      </c>
      <c r="L69" s="16" t="str">
        <f t="shared" si="156"/>
        <v/>
      </c>
      <c r="M69" s="16" t="str">
        <f t="shared" si="156"/>
        <v/>
      </c>
      <c r="N69" s="16" t="str">
        <f t="shared" si="156"/>
        <v>mental health</v>
      </c>
      <c r="O69" s="16" t="str">
        <f t="shared" si="6"/>
        <v>- mental health</v>
      </c>
      <c r="P69" s="50" t="s">
        <v>515</v>
      </c>
      <c r="Q69" s="16" t="str">
        <f t="shared" si="7"/>
        <v>UNDECIDED</v>
      </c>
      <c r="R69" s="16" t="b">
        <f>VLOOKUP($A69, Source!B:I, 8, FALSE)</f>
        <v>1</v>
      </c>
      <c r="S69" s="16">
        <f>VLOOKUP(A69,Source!B:H, 7, FALSE)</f>
        <v>0.3333333333</v>
      </c>
      <c r="T69" s="16" t="str">
        <f t="shared" si="157"/>
        <v>Unclear</v>
      </c>
    </row>
    <row r="70" ht="15.75" customHeight="1">
      <c r="A70" s="31" t="s">
        <v>123</v>
      </c>
      <c r="B70" s="31" t="s">
        <v>124</v>
      </c>
      <c r="C70" s="16" t="str">
        <f t="shared" ref="C70:H70" si="158">VLOOKUP($A70, INDIRECT(C$1&amp;"!B:D"), 3, FALSE)</f>
        <v>#REF!</v>
      </c>
      <c r="D70" s="16" t="b">
        <f t="shared" si="158"/>
        <v>1</v>
      </c>
      <c r="E70" s="16" t="str">
        <f t="shared" si="158"/>
        <v>TO DO</v>
      </c>
      <c r="F70" s="16" t="str">
        <f t="shared" si="158"/>
        <v>TO DO</v>
      </c>
      <c r="G70" s="16" t="b">
        <f t="shared" si="158"/>
        <v>0</v>
      </c>
      <c r="H70" s="16" t="b">
        <f t="shared" si="158"/>
        <v>0</v>
      </c>
      <c r="I70" s="49">
        <f t="shared" si="4"/>
        <v>0</v>
      </c>
      <c r="J70" s="16" t="str">
        <f t="shared" ref="J70:N70" si="159">VLOOKUP($A70, INDIRECT(D$1&amp;"!B:E"), 4, FALSE)</f>
        <v/>
      </c>
      <c r="K70" s="16" t="str">
        <f t="shared" si="159"/>
        <v/>
      </c>
      <c r="L70" s="16" t="str">
        <f t="shared" si="159"/>
        <v/>
      </c>
      <c r="M70" s="16" t="str">
        <f t="shared" si="159"/>
        <v/>
      </c>
      <c r="N70" s="16" t="str">
        <f t="shared" si="159"/>
        <v>vaguely linked, though only mentions health systems</v>
      </c>
      <c r="O70" s="16" t="str">
        <f t="shared" si="6"/>
        <v>- vaguely linked, though only mentions health systems</v>
      </c>
      <c r="P70" s="50" t="s">
        <v>516</v>
      </c>
      <c r="Q70" s="16" t="str">
        <f t="shared" si="7"/>
        <v>UNDECIDED</v>
      </c>
      <c r="R70" s="16" t="b">
        <f>VLOOKUP($A70, Source!B:I, 8, FALSE)</f>
        <v>0</v>
      </c>
      <c r="S70" s="16">
        <f>VLOOKUP(A70,Source!B:H, 7, FALSE)</f>
        <v>0.3333333333</v>
      </c>
      <c r="T70" s="16" t="str">
        <f t="shared" ref="T70:T72" si="162">IF(COUNTIF(Q70:R70, "UNDECIDED")&gt;0, "Unclear", IF((Q70="SDG 10")=R70, "Yes", "No"))</f>
        <v>Unclear</v>
      </c>
    </row>
    <row r="71" ht="15.75" customHeight="1">
      <c r="A71" s="31" t="s">
        <v>283</v>
      </c>
      <c r="B71" s="31" t="s">
        <v>284</v>
      </c>
      <c r="C71" s="16" t="str">
        <f t="shared" ref="C71:H71" si="160">VLOOKUP($A71, INDIRECT(C$1&amp;"!B:D"), 3, FALSE)</f>
        <v>#REF!</v>
      </c>
      <c r="D71" s="16" t="b">
        <f t="shared" si="160"/>
        <v>0</v>
      </c>
      <c r="E71" s="16" t="str">
        <f t="shared" si="160"/>
        <v>TO DO</v>
      </c>
      <c r="F71" s="16" t="str">
        <f t="shared" si="160"/>
        <v>TO DO</v>
      </c>
      <c r="G71" s="16" t="b">
        <f t="shared" si="160"/>
        <v>0</v>
      </c>
      <c r="H71" s="16" t="b">
        <f t="shared" si="160"/>
        <v>0</v>
      </c>
      <c r="I71" s="49">
        <f t="shared" si="4"/>
        <v>0</v>
      </c>
      <c r="J71" s="16" t="str">
        <f t="shared" ref="J71:N71" si="161">VLOOKUP($A71, INDIRECT(D$1&amp;"!B:E"), 4, FALSE)</f>
        <v/>
      </c>
      <c r="K71" s="16" t="str">
        <f t="shared" si="161"/>
        <v/>
      </c>
      <c r="L71" s="16" t="str">
        <f t="shared" si="161"/>
        <v/>
      </c>
      <c r="M71" s="16" t="str">
        <f t="shared" si="161"/>
        <v/>
      </c>
      <c r="N71" s="16" t="str">
        <f t="shared" si="161"/>
        <v/>
      </c>
      <c r="O71" s="16" t="str">
        <f t="shared" si="6"/>
        <v/>
      </c>
      <c r="P71" s="50" t="s">
        <v>414</v>
      </c>
      <c r="Q71" s="16" t="str">
        <f t="shared" si="7"/>
        <v>UNDECIDED</v>
      </c>
      <c r="R71" s="16" t="b">
        <f>VLOOKUP($A71, Source!B:I, 8, FALSE)</f>
        <v>0</v>
      </c>
      <c r="S71" s="16">
        <f>VLOOKUP(A71,Source!B:H, 7, FALSE)</f>
        <v>0.3333333333</v>
      </c>
      <c r="T71" s="16" t="str">
        <f t="shared" si="162"/>
        <v>Unclear</v>
      </c>
    </row>
    <row r="72" ht="15.75" customHeight="1">
      <c r="A72" s="31" t="s">
        <v>324</v>
      </c>
      <c r="B72" s="31" t="s">
        <v>325</v>
      </c>
      <c r="C72" s="16" t="str">
        <f t="shared" ref="C72:H72" si="163">VLOOKUP($A72, INDIRECT(C$1&amp;"!B:D"), 3, FALSE)</f>
        <v>#REF!</v>
      </c>
      <c r="D72" s="16" t="b">
        <f t="shared" si="163"/>
        <v>0</v>
      </c>
      <c r="E72" s="16" t="str">
        <f t="shared" si="163"/>
        <v>TO DO</v>
      </c>
      <c r="F72" s="16" t="str">
        <f t="shared" si="163"/>
        <v>TO DO</v>
      </c>
      <c r="G72" s="16" t="b">
        <f t="shared" si="163"/>
        <v>0</v>
      </c>
      <c r="H72" s="16" t="b">
        <f t="shared" si="163"/>
        <v>0</v>
      </c>
      <c r="I72" s="49">
        <f t="shared" si="4"/>
        <v>0</v>
      </c>
      <c r="J72" s="16" t="str">
        <f t="shared" ref="J72:N72" si="164">VLOOKUP($A72, INDIRECT(D$1&amp;"!B:E"), 4, FALSE)</f>
        <v/>
      </c>
      <c r="K72" s="16" t="str">
        <f t="shared" si="164"/>
        <v/>
      </c>
      <c r="L72" s="16" t="str">
        <f t="shared" si="164"/>
        <v/>
      </c>
      <c r="M72" s="16" t="str">
        <f t="shared" si="164"/>
        <v/>
      </c>
      <c r="N72" s="16" t="str">
        <f t="shared" si="164"/>
        <v/>
      </c>
      <c r="O72" s="16" t="str">
        <f t="shared" si="6"/>
        <v/>
      </c>
      <c r="P72" s="50" t="s">
        <v>414</v>
      </c>
      <c r="Q72" s="16" t="str">
        <f t="shared" si="7"/>
        <v>UNDECIDED</v>
      </c>
      <c r="R72" s="16" t="b">
        <f>VLOOKUP($A72, Source!B:I, 8, FALSE)</f>
        <v>0</v>
      </c>
      <c r="S72" s="16">
        <f>VLOOKUP(A72,Source!B:H, 7, FALSE)</f>
        <v>0.3333333333</v>
      </c>
      <c r="T72" s="16" t="str">
        <f t="shared" si="162"/>
        <v>Unclear</v>
      </c>
    </row>
    <row r="73" ht="15.75" customHeight="1">
      <c r="A73" s="31" t="s">
        <v>142</v>
      </c>
      <c r="B73" s="31" t="s">
        <v>143</v>
      </c>
      <c r="C73" s="16" t="str">
        <f t="shared" ref="C73:H73" si="165">VLOOKUP($A73, INDIRECT(C$1&amp;"!B:D"), 3, FALSE)</f>
        <v>#REF!</v>
      </c>
      <c r="D73" s="16" t="b">
        <f t="shared" si="165"/>
        <v>1</v>
      </c>
      <c r="E73" s="16" t="str">
        <f t="shared" si="165"/>
        <v>TO DO</v>
      </c>
      <c r="F73" s="16" t="str">
        <f t="shared" si="165"/>
        <v>TO DO</v>
      </c>
      <c r="G73" s="16" t="b">
        <f t="shared" si="165"/>
        <v>1</v>
      </c>
      <c r="H73" s="16" t="b">
        <f t="shared" si="165"/>
        <v>1</v>
      </c>
      <c r="I73" s="49">
        <f t="shared" si="4"/>
        <v>0</v>
      </c>
      <c r="J73" s="16" t="str">
        <f t="shared" ref="J73:N73" si="166">VLOOKUP($A73, INDIRECT(D$1&amp;"!B:E"), 4, FALSE)</f>
        <v/>
      </c>
      <c r="K73" s="16" t="str">
        <f t="shared" si="166"/>
        <v/>
      </c>
      <c r="L73" s="16" t="str">
        <f t="shared" si="166"/>
        <v/>
      </c>
      <c r="M73" s="16" t="str">
        <f t="shared" si="166"/>
        <v/>
      </c>
      <c r="N73" s="16" t="str">
        <f t="shared" si="166"/>
        <v/>
      </c>
      <c r="O73" s="16" t="str">
        <f t="shared" si="6"/>
        <v/>
      </c>
      <c r="P73" s="50" t="s">
        <v>414</v>
      </c>
      <c r="Q73" s="16" t="str">
        <f t="shared" si="7"/>
        <v>UNDECIDED</v>
      </c>
      <c r="R73" s="16" t="b">
        <f>VLOOKUP($A73, Source!B:I, 8, FALSE)</f>
        <v>1</v>
      </c>
      <c r="S73" s="16">
        <f>VLOOKUP(A73,Source!B:H, 7, FALSE)</f>
        <v>0.3333333333</v>
      </c>
      <c r="T73" s="16" t="str">
        <f>IF(COUNTIF(Q73:R73, "*SDG 7")&lt;2, "Unclear", IF(Q73=R73, "Yes", "No"))</f>
        <v>Unclear</v>
      </c>
    </row>
    <row r="74" ht="15.75" customHeight="1">
      <c r="A74" s="31" t="s">
        <v>201</v>
      </c>
      <c r="B74" s="31" t="s">
        <v>202</v>
      </c>
      <c r="C74" s="16" t="str">
        <f t="shared" ref="C74:H74" si="167">VLOOKUP($A74, INDIRECT(C$1&amp;"!B:D"), 3, FALSE)</f>
        <v>#REF!</v>
      </c>
      <c r="D74" s="16" t="b">
        <f t="shared" si="167"/>
        <v>1</v>
      </c>
      <c r="E74" s="16" t="str">
        <f t="shared" si="167"/>
        <v>TO DO</v>
      </c>
      <c r="F74" s="16" t="str">
        <f t="shared" si="167"/>
        <v>TO DO</v>
      </c>
      <c r="G74" s="16" t="b">
        <f t="shared" si="167"/>
        <v>1</v>
      </c>
      <c r="H74" s="16" t="b">
        <f t="shared" si="167"/>
        <v>1</v>
      </c>
      <c r="I74" s="49">
        <f t="shared" si="4"/>
        <v>0</v>
      </c>
      <c r="J74" s="16" t="str">
        <f t="shared" ref="J74:N74" si="168">VLOOKUP($A74, INDIRECT(D$1&amp;"!B:E"), 4, FALSE)</f>
        <v/>
      </c>
      <c r="K74" s="16" t="str">
        <f t="shared" si="168"/>
        <v/>
      </c>
      <c r="L74" s="16" t="str">
        <f t="shared" si="168"/>
        <v/>
      </c>
      <c r="M74" s="16" t="str">
        <f t="shared" si="168"/>
        <v/>
      </c>
      <c r="N74" s="16">
        <f t="shared" si="168"/>
        <v>3.6</v>
      </c>
      <c r="O74" s="16" t="str">
        <f t="shared" si="6"/>
        <v>- 3.6</v>
      </c>
      <c r="P74" s="50" t="s">
        <v>517</v>
      </c>
      <c r="Q74" s="16" t="str">
        <f t="shared" si="7"/>
        <v>UNDECIDED</v>
      </c>
      <c r="R74" s="16" t="b">
        <f>VLOOKUP($A74, Source!B:I, 8, FALSE)</f>
        <v>1</v>
      </c>
      <c r="S74" s="16">
        <f>VLOOKUP(A74,Source!B:H, 7, FALSE)</f>
        <v>0.3333333333</v>
      </c>
      <c r="T74" s="16" t="str">
        <f>IF(COUNTIF(Q74:R74, "UNDECIDED")&gt;0, "Unclear", IF((Q74="SDG 10")=R74, "Yes", "No"))</f>
        <v>Unclear</v>
      </c>
    </row>
    <row r="75" ht="15.75" customHeight="1">
      <c r="A75" s="31" t="s">
        <v>151</v>
      </c>
      <c r="B75" s="31" t="s">
        <v>152</v>
      </c>
      <c r="C75" s="16" t="str">
        <f t="shared" ref="C75:H75" si="169">VLOOKUP($A75, INDIRECT(C$1&amp;"!B:D"), 3, FALSE)</f>
        <v>#REF!</v>
      </c>
      <c r="D75" s="16" t="b">
        <f t="shared" si="169"/>
        <v>1</v>
      </c>
      <c r="E75" s="16" t="str">
        <f t="shared" si="169"/>
        <v>TO DO</v>
      </c>
      <c r="F75" s="16" t="str">
        <f t="shared" si="169"/>
        <v>TO DO</v>
      </c>
      <c r="G75" s="16" t="b">
        <f t="shared" si="169"/>
        <v>0</v>
      </c>
      <c r="H75" s="16" t="b">
        <f t="shared" si="169"/>
        <v>0</v>
      </c>
      <c r="I75" s="49">
        <f t="shared" si="4"/>
        <v>0</v>
      </c>
      <c r="J75" s="16" t="str">
        <f t="shared" ref="J75:N75" si="170">VLOOKUP($A75, INDIRECT(D$1&amp;"!B:E"), 4, FALSE)</f>
        <v>target 3.c</v>
      </c>
      <c r="K75" s="16" t="str">
        <f t="shared" si="170"/>
        <v/>
      </c>
      <c r="L75" s="16" t="str">
        <f t="shared" si="170"/>
        <v/>
      </c>
      <c r="M75" s="16" t="str">
        <f t="shared" si="170"/>
        <v/>
      </c>
      <c r="N75" s="16" t="str">
        <f t="shared" si="170"/>
        <v>cultural barriers of abroad-trained health personnel is not really an element of SDG 3 or its targets explicitly</v>
      </c>
      <c r="O75" s="16" t="str">
        <f t="shared" si="6"/>
        <v>- target 3.c
- cultural barriers of abroad-trained health personnel is not really an element of SDG 3 or its targets explicitly</v>
      </c>
      <c r="P75" s="50" t="s">
        <v>518</v>
      </c>
      <c r="Q75" s="16" t="str">
        <f t="shared" si="7"/>
        <v>UNDECIDED</v>
      </c>
      <c r="R75" s="16" t="b">
        <f>VLOOKUP($A75, Source!B:I, 8, FALSE)</f>
        <v>1</v>
      </c>
      <c r="S75" s="16">
        <f>VLOOKUP(A75,Source!B:H, 7, FALSE)</f>
        <v>0.3333333333</v>
      </c>
      <c r="T75" s="16" t="str">
        <f>IF(COUNTIF(Q75:R75, "*SDG 7")&lt;2, "Unclear", IF(Q75=R75, "Yes", "No"))</f>
        <v>Unclear</v>
      </c>
    </row>
    <row r="76" ht="15.75" customHeight="1">
      <c r="A76" s="31" t="s">
        <v>207</v>
      </c>
      <c r="B76" s="31" t="s">
        <v>208</v>
      </c>
      <c r="C76" s="16" t="str">
        <f t="shared" ref="C76:H76" si="171">VLOOKUP($A76, INDIRECT(C$1&amp;"!B:D"), 3, FALSE)</f>
        <v>#REF!</v>
      </c>
      <c r="D76" s="16" t="b">
        <f t="shared" si="171"/>
        <v>0</v>
      </c>
      <c r="E76" s="16" t="str">
        <f t="shared" si="171"/>
        <v>TO DO</v>
      </c>
      <c r="F76" s="16" t="str">
        <f t="shared" si="171"/>
        <v>TO DO</v>
      </c>
      <c r="G76" s="16" t="b">
        <f t="shared" si="171"/>
        <v>0</v>
      </c>
      <c r="H76" s="16" t="b">
        <f t="shared" si="171"/>
        <v>0</v>
      </c>
      <c r="I76" s="49">
        <f t="shared" si="4"/>
        <v>0</v>
      </c>
      <c r="J76" s="16" t="str">
        <f t="shared" ref="J76:N76" si="172">VLOOKUP($A76, INDIRECT(D$1&amp;"!B:E"), 4, FALSE)</f>
        <v/>
      </c>
      <c r="K76" s="16" t="str">
        <f t="shared" si="172"/>
        <v/>
      </c>
      <c r="L76" s="16" t="str">
        <f t="shared" si="172"/>
        <v/>
      </c>
      <c r="M76" s="16" t="str">
        <f t="shared" si="172"/>
        <v/>
      </c>
      <c r="N76" s="16" t="str">
        <f t="shared" si="172"/>
        <v/>
      </c>
      <c r="O76" s="16" t="str">
        <f t="shared" si="6"/>
        <v/>
      </c>
      <c r="P76" s="50" t="s">
        <v>414</v>
      </c>
      <c r="Q76" s="16" t="str">
        <f t="shared" si="7"/>
        <v>UNDECIDED</v>
      </c>
      <c r="R76" s="16" t="b">
        <f>VLOOKUP($A76, Source!B:I, 8, FALSE)</f>
        <v>0</v>
      </c>
      <c r="S76" s="16">
        <f>VLOOKUP(A76,Source!B:H, 7, FALSE)</f>
        <v>0.3333333333</v>
      </c>
      <c r="T76" s="16" t="str">
        <f>IF(COUNTIF(Q76:R76, "UNDECIDED")&gt;0, "Unclear", IF((Q76="SDG 10")=R76, "Yes", "No"))</f>
        <v>Unclear</v>
      </c>
    </row>
    <row r="77" ht="15.75" customHeight="1">
      <c r="A77" s="31" t="s">
        <v>225</v>
      </c>
      <c r="B77" s="31" t="s">
        <v>226</v>
      </c>
      <c r="C77" s="16" t="str">
        <f t="shared" ref="C77:H77" si="173">VLOOKUP($A77, INDIRECT(C$1&amp;"!B:D"), 3, FALSE)</f>
        <v>#REF!</v>
      </c>
      <c r="D77" s="16" t="b">
        <f t="shared" si="173"/>
        <v>0</v>
      </c>
      <c r="E77" s="16" t="str">
        <f t="shared" si="173"/>
        <v>TO DO</v>
      </c>
      <c r="F77" s="16" t="str">
        <f t="shared" si="173"/>
        <v>TO DO</v>
      </c>
      <c r="G77" s="16" t="b">
        <f t="shared" si="173"/>
        <v>0</v>
      </c>
      <c r="H77" s="16" t="b">
        <f t="shared" si="173"/>
        <v>0</v>
      </c>
      <c r="I77" s="49">
        <f t="shared" si="4"/>
        <v>0</v>
      </c>
      <c r="J77" s="16" t="str">
        <f t="shared" ref="J77:N77" si="174">VLOOKUP($A77, INDIRECT(D$1&amp;"!B:E"), 4, FALSE)</f>
        <v/>
      </c>
      <c r="K77" s="16" t="str">
        <f t="shared" si="174"/>
        <v/>
      </c>
      <c r="L77" s="16" t="str">
        <f t="shared" si="174"/>
        <v/>
      </c>
      <c r="M77" s="16" t="str">
        <f t="shared" si="174"/>
        <v/>
      </c>
      <c r="N77" s="16" t="str">
        <f t="shared" si="174"/>
        <v/>
      </c>
      <c r="O77" s="16" t="str">
        <f t="shared" si="6"/>
        <v/>
      </c>
      <c r="P77" s="50" t="s">
        <v>414</v>
      </c>
      <c r="Q77" s="16" t="str">
        <f t="shared" si="7"/>
        <v>UNDECIDED</v>
      </c>
      <c r="R77" s="16" t="b">
        <f>VLOOKUP($A77, Source!B:I, 8, FALSE)</f>
        <v>0</v>
      </c>
      <c r="S77" s="16">
        <f>VLOOKUP(A77,Source!B:H, 7, FALSE)</f>
        <v>0.3333333333</v>
      </c>
      <c r="T77" s="16" t="str">
        <f t="shared" ref="T77:T79" si="177">IF(COUNTIF(Q77:R77, "*SDG 7")&lt;2, "Unclear", IF(Q77=R77, "Yes", "No"))</f>
        <v>Unclear</v>
      </c>
    </row>
    <row r="78" ht="15.75" customHeight="1">
      <c r="A78" s="31" t="s">
        <v>98</v>
      </c>
      <c r="B78" s="31" t="s">
        <v>99</v>
      </c>
      <c r="C78" s="16" t="str">
        <f t="shared" ref="C78:H78" si="175">VLOOKUP($A78, INDIRECT(C$1&amp;"!B:D"), 3, FALSE)</f>
        <v>#REF!</v>
      </c>
      <c r="D78" s="16" t="b">
        <f t="shared" si="175"/>
        <v>0</v>
      </c>
      <c r="E78" s="16" t="str">
        <f t="shared" si="175"/>
        <v>TO DO</v>
      </c>
      <c r="F78" s="16" t="str">
        <f t="shared" si="175"/>
        <v>TO DO</v>
      </c>
      <c r="G78" s="16" t="b">
        <f t="shared" si="175"/>
        <v>0</v>
      </c>
      <c r="H78" s="16" t="b">
        <f t="shared" si="175"/>
        <v>0</v>
      </c>
      <c r="I78" s="49">
        <f t="shared" si="4"/>
        <v>0</v>
      </c>
      <c r="J78" s="16" t="str">
        <f t="shared" ref="J78:N78" si="176">VLOOKUP($A78, INDIRECT(D$1&amp;"!B:E"), 4, FALSE)</f>
        <v>primary health care mandate = ???</v>
      </c>
      <c r="K78" s="16" t="str">
        <f t="shared" si="176"/>
        <v/>
      </c>
      <c r="L78" s="16" t="str">
        <f t="shared" si="176"/>
        <v/>
      </c>
      <c r="M78" s="16" t="str">
        <f t="shared" si="176"/>
        <v/>
      </c>
      <c r="N78" s="16" t="str">
        <f t="shared" si="176"/>
        <v>not strongly linked to SDG 3 or its targets though health care is mentioned but without commitment, sentiment etc</v>
      </c>
      <c r="O78" s="16" t="str">
        <f t="shared" si="6"/>
        <v>- primary health care mandate = ???
- not strongly linked to SDG 3 or its targets though health care is mentioned but without commitment, sentiment etc</v>
      </c>
      <c r="P78" s="50" t="s">
        <v>519</v>
      </c>
      <c r="Q78" s="16" t="str">
        <f t="shared" si="7"/>
        <v>UNDECIDED</v>
      </c>
      <c r="R78" s="16" t="b">
        <f>VLOOKUP($A78, Source!B:I, 8, FALSE)</f>
        <v>0</v>
      </c>
      <c r="S78" s="16">
        <f>VLOOKUP(A78,Source!B:H, 7, FALSE)</f>
        <v>0.2</v>
      </c>
      <c r="T78" s="16" t="str">
        <f t="shared" si="177"/>
        <v>Unclear</v>
      </c>
    </row>
    <row r="79" ht="15.75" customHeight="1">
      <c r="A79" s="31" t="s">
        <v>307</v>
      </c>
      <c r="B79" s="31" t="s">
        <v>308</v>
      </c>
      <c r="C79" s="16" t="str">
        <f t="shared" ref="C79:H79" si="178">VLOOKUP($A79, INDIRECT(C$1&amp;"!B:D"), 3, FALSE)</f>
        <v>#REF!</v>
      </c>
      <c r="D79" s="16" t="b">
        <f t="shared" si="178"/>
        <v>0</v>
      </c>
      <c r="E79" s="16" t="str">
        <f t="shared" si="178"/>
        <v>TO DO</v>
      </c>
      <c r="F79" s="16" t="str">
        <f t="shared" si="178"/>
        <v>TO DO</v>
      </c>
      <c r="G79" s="16" t="b">
        <f t="shared" si="178"/>
        <v>0</v>
      </c>
      <c r="H79" s="16" t="b">
        <f t="shared" si="178"/>
        <v>0</v>
      </c>
      <c r="I79" s="49">
        <f t="shared" si="4"/>
        <v>0</v>
      </c>
      <c r="J79" s="16" t="str">
        <f t="shared" ref="J79:N79" si="179">VLOOKUP($A79, INDIRECT(D$1&amp;"!B:E"), 4, FALSE)</f>
        <v/>
      </c>
      <c r="K79" s="16" t="str">
        <f t="shared" si="179"/>
        <v/>
      </c>
      <c r="L79" s="16" t="str">
        <f t="shared" si="179"/>
        <v/>
      </c>
      <c r="M79" s="16" t="str">
        <f t="shared" si="179"/>
        <v/>
      </c>
      <c r="N79" s="16" t="str">
        <f t="shared" si="179"/>
        <v/>
      </c>
      <c r="O79" s="16" t="str">
        <f t="shared" si="6"/>
        <v/>
      </c>
      <c r="P79" s="50" t="s">
        <v>414</v>
      </c>
      <c r="Q79" s="16" t="str">
        <f t="shared" si="7"/>
        <v>UNDECIDED</v>
      </c>
      <c r="R79" s="16" t="b">
        <f>VLOOKUP($A79, Source!B:I, 8, FALSE)</f>
        <v>0</v>
      </c>
      <c r="S79" s="16">
        <f>VLOOKUP(A79,Source!B:H, 7, FALSE)</f>
        <v>0.2</v>
      </c>
      <c r="T79" s="16" t="str">
        <f t="shared" si="177"/>
        <v>Unclear</v>
      </c>
    </row>
    <row r="80" ht="15.75" customHeight="1">
      <c r="A80" s="31" t="s">
        <v>294</v>
      </c>
      <c r="B80" s="31" t="s">
        <v>295</v>
      </c>
      <c r="C80" s="16" t="str">
        <f t="shared" ref="C80:H80" si="180">VLOOKUP($A80, INDIRECT(C$1&amp;"!B:D"), 3, FALSE)</f>
        <v>#REF!</v>
      </c>
      <c r="D80" s="16" t="b">
        <f t="shared" si="180"/>
        <v>1</v>
      </c>
      <c r="E80" s="16" t="str">
        <f t="shared" si="180"/>
        <v>TO DO</v>
      </c>
      <c r="F80" s="16" t="str">
        <f t="shared" si="180"/>
        <v>TO DO</v>
      </c>
      <c r="G80" s="16" t="b">
        <f t="shared" si="180"/>
        <v>1</v>
      </c>
      <c r="H80" s="16" t="b">
        <f t="shared" si="180"/>
        <v>1</v>
      </c>
      <c r="I80" s="49">
        <f t="shared" si="4"/>
        <v>0</v>
      </c>
      <c r="J80" s="16" t="str">
        <f t="shared" ref="J80:N80" si="181">VLOOKUP($A80, INDIRECT(D$1&amp;"!B:E"), 4, FALSE)</f>
        <v/>
      </c>
      <c r="K80" s="16" t="str">
        <f t="shared" si="181"/>
        <v/>
      </c>
      <c r="L80" s="16" t="str">
        <f t="shared" si="181"/>
        <v/>
      </c>
      <c r="M80" s="16" t="str">
        <f t="shared" si="181"/>
        <v/>
      </c>
      <c r="N80" s="16" t="str">
        <f t="shared" si="181"/>
        <v/>
      </c>
      <c r="O80" s="16" t="str">
        <f t="shared" si="6"/>
        <v/>
      </c>
      <c r="P80" s="50" t="s">
        <v>414</v>
      </c>
      <c r="Q80" s="16" t="str">
        <f t="shared" si="7"/>
        <v>UNDECIDED</v>
      </c>
      <c r="R80" s="16" t="b">
        <f>VLOOKUP($A80, Source!B:I, 8, FALSE)</f>
        <v>1</v>
      </c>
      <c r="S80" s="16">
        <f>VLOOKUP(A80,Source!B:H, 7, FALSE)</f>
        <v>0.3333333333</v>
      </c>
      <c r="T80" s="16" t="str">
        <f>IF(COUNTIF(Q80:R80, "UNDECIDED")&gt;0, "Unclear", IF((Q80="SDG 10")=R80, "Yes", "No"))</f>
        <v>Unclear</v>
      </c>
    </row>
    <row r="81" ht="15.75" customHeight="1">
      <c r="A81" s="31" t="s">
        <v>79</v>
      </c>
      <c r="B81" s="31" t="s">
        <v>80</v>
      </c>
      <c r="C81" s="16" t="str">
        <f t="shared" ref="C81:H81" si="182">VLOOKUP($A81, INDIRECT(C$1&amp;"!B:D"), 3, FALSE)</f>
        <v>#REF!</v>
      </c>
      <c r="D81" s="16" t="b">
        <f t="shared" si="182"/>
        <v>1</v>
      </c>
      <c r="E81" s="16" t="str">
        <f t="shared" si="182"/>
        <v>TO DO</v>
      </c>
      <c r="F81" s="16" t="str">
        <f t="shared" si="182"/>
        <v>TO DO</v>
      </c>
      <c r="G81" s="16" t="b">
        <f t="shared" si="182"/>
        <v>1</v>
      </c>
      <c r="H81" s="16" t="b">
        <f t="shared" si="182"/>
        <v>0</v>
      </c>
      <c r="I81" s="49">
        <f t="shared" si="4"/>
        <v>0</v>
      </c>
      <c r="J81" s="16" t="str">
        <f t="shared" ref="J81:N81" si="183">VLOOKUP($A81, INDIRECT(D$1&amp;"!B:E"), 4, FALSE)</f>
        <v/>
      </c>
      <c r="K81" s="16" t="str">
        <f t="shared" si="183"/>
        <v/>
      </c>
      <c r="L81" s="16" t="str">
        <f t="shared" si="183"/>
        <v/>
      </c>
      <c r="M81" s="16" t="str">
        <f t="shared" si="183"/>
        <v/>
      </c>
      <c r="N81" s="16" t="str">
        <f t="shared" si="183"/>
        <v/>
      </c>
      <c r="O81" s="16" t="str">
        <f t="shared" si="6"/>
        <v/>
      </c>
      <c r="P81" s="50" t="s">
        <v>414</v>
      </c>
      <c r="Q81" s="16" t="str">
        <f t="shared" si="7"/>
        <v>UNDECIDED</v>
      </c>
      <c r="R81" s="16" t="b">
        <f>VLOOKUP($A81, Source!B:I, 8, FALSE)</f>
        <v>1</v>
      </c>
      <c r="S81" s="16">
        <f>VLOOKUP(A81,Source!B:H, 7, FALSE)</f>
        <v>0.2727272727</v>
      </c>
      <c r="T81" s="16" t="str">
        <f t="shared" ref="T81:T82" si="186">IF(COUNTIF(Q81:R81, "*SDG 7")&lt;2, "Unclear", IF(Q81=R81, "Yes", "No"))</f>
        <v>Unclear</v>
      </c>
    </row>
    <row r="82" ht="15.75" customHeight="1">
      <c r="A82" s="31" t="s">
        <v>276</v>
      </c>
      <c r="B82" s="31" t="s">
        <v>277</v>
      </c>
      <c r="C82" s="16" t="str">
        <f t="shared" ref="C82:H82" si="184">VLOOKUP($A82, INDIRECT(C$1&amp;"!B:D"), 3, FALSE)</f>
        <v>#REF!</v>
      </c>
      <c r="D82" s="16" t="b">
        <f t="shared" si="184"/>
        <v>1</v>
      </c>
      <c r="E82" s="16" t="str">
        <f t="shared" si="184"/>
        <v>TO DO</v>
      </c>
      <c r="F82" s="16" t="str">
        <f t="shared" si="184"/>
        <v>TO DO</v>
      </c>
      <c r="G82" s="16" t="b">
        <f t="shared" si="184"/>
        <v>1</v>
      </c>
      <c r="H82" s="16" t="b">
        <f t="shared" si="184"/>
        <v>1</v>
      </c>
      <c r="I82" s="49">
        <f t="shared" si="4"/>
        <v>0</v>
      </c>
      <c r="J82" s="16" t="str">
        <f t="shared" ref="J82:N82" si="185">VLOOKUP($A82, INDIRECT(D$1&amp;"!B:E"), 4, FALSE)</f>
        <v/>
      </c>
      <c r="K82" s="16" t="str">
        <f t="shared" si="185"/>
        <v/>
      </c>
      <c r="L82" s="16" t="str">
        <f t="shared" si="185"/>
        <v/>
      </c>
      <c r="M82" s="16" t="str">
        <f t="shared" si="185"/>
        <v/>
      </c>
      <c r="N82" s="16" t="str">
        <f t="shared" si="185"/>
        <v/>
      </c>
      <c r="O82" s="16" t="str">
        <f t="shared" si="6"/>
        <v/>
      </c>
      <c r="P82" s="50" t="s">
        <v>414</v>
      </c>
      <c r="Q82" s="16" t="str">
        <f t="shared" si="7"/>
        <v>UNDECIDED</v>
      </c>
      <c r="R82" s="16" t="b">
        <f>VLOOKUP($A82, Source!B:I, 8, FALSE)</f>
        <v>1</v>
      </c>
      <c r="S82" s="16">
        <f>VLOOKUP(A82,Source!B:H, 7, FALSE)</f>
        <v>0.2727272727</v>
      </c>
      <c r="T82" s="16" t="str">
        <f t="shared" si="186"/>
        <v>Unclear</v>
      </c>
    </row>
    <row r="83" ht="15.75" customHeight="1">
      <c r="A83" s="31" t="s">
        <v>320</v>
      </c>
      <c r="B83" s="31" t="s">
        <v>321</v>
      </c>
      <c r="C83" s="16" t="str">
        <f t="shared" ref="C83:H83" si="187">VLOOKUP($A83, INDIRECT(C$1&amp;"!B:D"), 3, FALSE)</f>
        <v>#REF!</v>
      </c>
      <c r="D83" s="16" t="b">
        <f t="shared" si="187"/>
        <v>0</v>
      </c>
      <c r="E83" s="16" t="str">
        <f t="shared" si="187"/>
        <v>TO DO</v>
      </c>
      <c r="F83" s="16" t="str">
        <f t="shared" si="187"/>
        <v>TO DO</v>
      </c>
      <c r="G83" s="16" t="b">
        <f t="shared" si="187"/>
        <v>0</v>
      </c>
      <c r="H83" s="16" t="b">
        <f t="shared" si="187"/>
        <v>0</v>
      </c>
      <c r="I83" s="49">
        <f t="shared" si="4"/>
        <v>0</v>
      </c>
      <c r="J83" s="16" t="str">
        <f t="shared" ref="J83:N83" si="188">VLOOKUP($A83, INDIRECT(D$1&amp;"!B:E"), 4, FALSE)</f>
        <v/>
      </c>
      <c r="K83" s="16" t="str">
        <f t="shared" si="188"/>
        <v/>
      </c>
      <c r="L83" s="16" t="str">
        <f t="shared" si="188"/>
        <v/>
      </c>
      <c r="M83" s="16" t="str">
        <f t="shared" si="188"/>
        <v/>
      </c>
      <c r="N83" s="16" t="str">
        <f t="shared" si="188"/>
        <v>no sentiment, value in the statement, it does not state if this new health insurance option will have any impact on things like universal health care access etc.</v>
      </c>
      <c r="O83" s="16" t="str">
        <f t="shared" si="6"/>
        <v>- no sentiment, value in the statement, it does not state if this new health insurance option will have any impact on things like universal health care access etc.</v>
      </c>
      <c r="P83" s="50" t="s">
        <v>520</v>
      </c>
      <c r="Q83" s="16" t="str">
        <f t="shared" si="7"/>
        <v>UNDECIDED</v>
      </c>
      <c r="R83" s="16" t="b">
        <f>VLOOKUP($A83, Source!B:I, 8, FALSE)</f>
        <v>0</v>
      </c>
      <c r="S83" s="16">
        <f>VLOOKUP(A83,Source!B:H, 7, FALSE)</f>
        <v>0.1111111111</v>
      </c>
      <c r="T83" s="16" t="str">
        <f>IF(COUNTIF(Q83:R83, "UNDECIDED")&gt;0, "Unclear", IF((Q83="SDG 10")=R83, "Yes", "No"))</f>
        <v>Unclear</v>
      </c>
    </row>
    <row r="84" ht="15.75" customHeight="1">
      <c r="A84" s="31" t="s">
        <v>181</v>
      </c>
      <c r="B84" s="31" t="s">
        <v>182</v>
      </c>
      <c r="C84" s="16" t="str">
        <f t="shared" ref="C84:H84" si="189">VLOOKUP($A84, INDIRECT(C$1&amp;"!B:D"), 3, FALSE)</f>
        <v>#REF!</v>
      </c>
      <c r="D84" s="16" t="b">
        <f t="shared" si="189"/>
        <v>0</v>
      </c>
      <c r="E84" s="16" t="str">
        <f t="shared" si="189"/>
        <v>TO DO</v>
      </c>
      <c r="F84" s="16" t="str">
        <f t="shared" si="189"/>
        <v>TO DO</v>
      </c>
      <c r="G84" s="16" t="b">
        <f t="shared" si="189"/>
        <v>0</v>
      </c>
      <c r="H84" s="16" t="b">
        <f t="shared" si="189"/>
        <v>0</v>
      </c>
      <c r="I84" s="49">
        <f t="shared" si="4"/>
        <v>0</v>
      </c>
      <c r="J84" s="16" t="str">
        <f t="shared" ref="J84:N84" si="190">VLOOKUP($A84, INDIRECT(D$1&amp;"!B:E"), 4, FALSE)</f>
        <v/>
      </c>
      <c r="K84" s="16" t="str">
        <f t="shared" si="190"/>
        <v/>
      </c>
      <c r="L84" s="16" t="str">
        <f t="shared" si="190"/>
        <v/>
      </c>
      <c r="M84" s="16" t="str">
        <f t="shared" si="190"/>
        <v/>
      </c>
      <c r="N84" s="16" t="str">
        <f t="shared" si="190"/>
        <v/>
      </c>
      <c r="O84" s="16" t="str">
        <f t="shared" si="6"/>
        <v/>
      </c>
      <c r="P84" s="50" t="s">
        <v>414</v>
      </c>
      <c r="Q84" s="16" t="str">
        <f t="shared" si="7"/>
        <v>UNDECIDED</v>
      </c>
      <c r="R84" s="16" t="b">
        <f>VLOOKUP($A84, Source!B:I, 8, FALSE)</f>
        <v>1</v>
      </c>
      <c r="S84" s="16">
        <f>VLOOKUP(A84,Source!B:H, 7, FALSE)</f>
        <v>0.2</v>
      </c>
      <c r="T84" s="16" t="str">
        <f>IF(COUNTIF(Q84:R84, "*SDG 7")&lt;2, "Unclear", IF(Q84=R84, "Yes", "No"))</f>
        <v>Unclear</v>
      </c>
    </row>
    <row r="85" ht="15.75" customHeight="1">
      <c r="A85" s="31" t="s">
        <v>269</v>
      </c>
      <c r="B85" s="31" t="s">
        <v>270</v>
      </c>
      <c r="C85" s="16" t="str">
        <f t="shared" ref="C85:H85" si="191">VLOOKUP($A85, INDIRECT(C$1&amp;"!B:D"), 3, FALSE)</f>
        <v>#REF!</v>
      </c>
      <c r="D85" s="16" t="b">
        <f t="shared" si="191"/>
        <v>1</v>
      </c>
      <c r="E85" s="16" t="str">
        <f t="shared" si="191"/>
        <v>TO DO</v>
      </c>
      <c r="F85" s="16" t="str">
        <f t="shared" si="191"/>
        <v>TO DO</v>
      </c>
      <c r="G85" s="16" t="b">
        <f t="shared" si="191"/>
        <v>0</v>
      </c>
      <c r="H85" s="16" t="b">
        <f t="shared" si="191"/>
        <v>0</v>
      </c>
      <c r="I85" s="49">
        <f t="shared" si="4"/>
        <v>0</v>
      </c>
      <c r="J85" s="16" t="str">
        <f t="shared" ref="J85:N85" si="192">VLOOKUP($A85, INDIRECT(D$1&amp;"!B:E"), 4, FALSE)</f>
        <v/>
      </c>
      <c r="K85" s="16" t="str">
        <f t="shared" si="192"/>
        <v/>
      </c>
      <c r="L85" s="16" t="str">
        <f t="shared" si="192"/>
        <v/>
      </c>
      <c r="M85" s="16" t="str">
        <f t="shared" si="192"/>
        <v/>
      </c>
      <c r="N85" s="16" t="str">
        <f t="shared" si="192"/>
        <v>vaguely linked to healthcare access and affordability, but not strong enough and without value/sentiment</v>
      </c>
      <c r="O85" s="16" t="str">
        <f t="shared" si="6"/>
        <v>- vaguely linked to healthcare access and affordability, but not strong enough and without value/sentiment</v>
      </c>
      <c r="P85" s="50" t="s">
        <v>521</v>
      </c>
      <c r="Q85" s="16" t="str">
        <f t="shared" si="7"/>
        <v>UNDECIDED</v>
      </c>
      <c r="R85" s="16" t="b">
        <f>VLOOKUP($A85, Source!B:I, 8, FALSE)</f>
        <v>1</v>
      </c>
      <c r="S85" s="16">
        <f>VLOOKUP(A85,Source!B:H, 7, FALSE)</f>
        <v>0.2</v>
      </c>
      <c r="T85" s="16" t="str">
        <f t="shared" ref="T85:T86" si="195">IF(COUNTIF(Q85:R85, "UNDECIDED")&gt;0, "Unclear", IF((Q85="SDG 10")=R85, "Yes", "No"))</f>
        <v>Unclear</v>
      </c>
    </row>
    <row r="86" ht="15.75" customHeight="1">
      <c r="A86" s="31" t="s">
        <v>333</v>
      </c>
      <c r="B86" s="31" t="s">
        <v>334</v>
      </c>
      <c r="C86" s="16" t="str">
        <f t="shared" ref="C86:H86" si="193">VLOOKUP($A86, INDIRECT(C$1&amp;"!B:D"), 3, FALSE)</f>
        <v>#REF!</v>
      </c>
      <c r="D86" s="16" t="b">
        <f t="shared" si="193"/>
        <v>1</v>
      </c>
      <c r="E86" s="16" t="str">
        <f t="shared" si="193"/>
        <v>TO DO</v>
      </c>
      <c r="F86" s="16" t="str">
        <f t="shared" si="193"/>
        <v>TO DO</v>
      </c>
      <c r="G86" s="16" t="b">
        <f t="shared" si="193"/>
        <v>1</v>
      </c>
      <c r="H86" s="16" t="b">
        <f t="shared" si="193"/>
        <v>0</v>
      </c>
      <c r="I86" s="49">
        <f t="shared" si="4"/>
        <v>0</v>
      </c>
      <c r="J86" s="16" t="str">
        <f t="shared" ref="J86:N86" si="194">VLOOKUP($A86, INDIRECT(D$1&amp;"!B:E"), 4, FALSE)</f>
        <v/>
      </c>
      <c r="K86" s="16" t="str">
        <f t="shared" si="194"/>
        <v/>
      </c>
      <c r="L86" s="16" t="str">
        <f t="shared" si="194"/>
        <v/>
      </c>
      <c r="M86" s="16" t="str">
        <f t="shared" si="194"/>
        <v/>
      </c>
      <c r="N86" s="16" t="str">
        <f t="shared" si="194"/>
        <v>not so much on substance abuse but more on trafficking </v>
      </c>
      <c r="O86" s="16" t="str">
        <f t="shared" si="6"/>
        <v>- not so much on substance abuse but more on trafficking </v>
      </c>
      <c r="P86" s="50" t="s">
        <v>522</v>
      </c>
      <c r="Q86" s="16" t="str">
        <f t="shared" si="7"/>
        <v>UNDECIDED</v>
      </c>
      <c r="R86" s="16" t="b">
        <f>VLOOKUP($A86, Source!B:I, 8, FALSE)</f>
        <v>0</v>
      </c>
      <c r="S86" s="16">
        <f>VLOOKUP(A86,Source!B:H, 7, FALSE)</f>
        <v>0.1111111111</v>
      </c>
      <c r="T86" s="16" t="str">
        <f t="shared" si="195"/>
        <v>Unclear</v>
      </c>
    </row>
    <row r="87" ht="15.75" customHeight="1">
      <c r="A87" s="31" t="s">
        <v>129</v>
      </c>
      <c r="B87" s="31" t="s">
        <v>130</v>
      </c>
      <c r="C87" s="16" t="str">
        <f t="shared" ref="C87:H87" si="196">VLOOKUP($A87, INDIRECT(C$1&amp;"!B:D"), 3, FALSE)</f>
        <v>#REF!</v>
      </c>
      <c r="D87" s="16" t="b">
        <f t="shared" si="196"/>
        <v>1</v>
      </c>
      <c r="E87" s="16" t="str">
        <f t="shared" si="196"/>
        <v>TO DO</v>
      </c>
      <c r="F87" s="16" t="str">
        <f t="shared" si="196"/>
        <v>TO DO</v>
      </c>
      <c r="G87" s="16" t="b">
        <f t="shared" si="196"/>
        <v>1</v>
      </c>
      <c r="H87" s="16" t="b">
        <f t="shared" si="196"/>
        <v>0</v>
      </c>
      <c r="I87" s="49">
        <f t="shared" si="4"/>
        <v>0</v>
      </c>
      <c r="J87" s="16" t="str">
        <f t="shared" ref="J87:N87" si="197">VLOOKUP($A87, INDIRECT(D$1&amp;"!B:E"), 4, FALSE)</f>
        <v/>
      </c>
      <c r="K87" s="16" t="str">
        <f t="shared" si="197"/>
        <v/>
      </c>
      <c r="L87" s="16" t="str">
        <f t="shared" si="197"/>
        <v/>
      </c>
      <c r="M87" s="16" t="str">
        <f t="shared" si="197"/>
        <v/>
      </c>
      <c r="N87" s="16" t="str">
        <f t="shared" si="197"/>
        <v/>
      </c>
      <c r="O87" s="16" t="str">
        <f t="shared" si="6"/>
        <v/>
      </c>
      <c r="P87" s="50" t="s">
        <v>414</v>
      </c>
      <c r="Q87" s="16" t="str">
        <f t="shared" si="7"/>
        <v>UNDECIDED</v>
      </c>
      <c r="R87" s="16" t="b">
        <f>VLOOKUP($A87, Source!B:I, 8, FALSE)</f>
        <v>1</v>
      </c>
      <c r="S87" s="16">
        <f>VLOOKUP(A87,Source!B:H, 7, FALSE)</f>
        <v>0.2</v>
      </c>
      <c r="T87" s="16" t="str">
        <f>IF(COUNTIF(Q87:R87, "*SDG 7")&lt;2, "Unclear", IF(Q87=R87, "Yes", "No"))</f>
        <v>Unclear</v>
      </c>
    </row>
    <row r="88" ht="15.75" customHeight="1">
      <c r="A88" s="31" t="s">
        <v>134</v>
      </c>
      <c r="B88" s="31" t="s">
        <v>135</v>
      </c>
      <c r="C88" s="16" t="str">
        <f t="shared" ref="C88:H88" si="198">VLOOKUP($A88, INDIRECT(C$1&amp;"!B:D"), 3, FALSE)</f>
        <v>#REF!</v>
      </c>
      <c r="D88" s="16" t="b">
        <f t="shared" si="198"/>
        <v>0</v>
      </c>
      <c r="E88" s="16" t="str">
        <f t="shared" si="198"/>
        <v>TO DO</v>
      </c>
      <c r="F88" s="16" t="str">
        <f t="shared" si="198"/>
        <v>TO DO</v>
      </c>
      <c r="G88" s="16" t="b">
        <f t="shared" si="198"/>
        <v>0</v>
      </c>
      <c r="H88" s="16" t="b">
        <f t="shared" si="198"/>
        <v>0</v>
      </c>
      <c r="I88" s="49">
        <f t="shared" si="4"/>
        <v>0</v>
      </c>
      <c r="J88" s="16" t="str">
        <f t="shared" ref="J88:N88" si="199">VLOOKUP($A88, INDIRECT(D$1&amp;"!B:E"), 4, FALSE)</f>
        <v/>
      </c>
      <c r="K88" s="16" t="str">
        <f t="shared" si="199"/>
        <v/>
      </c>
      <c r="L88" s="16" t="str">
        <f t="shared" si="199"/>
        <v/>
      </c>
      <c r="M88" s="16" t="str">
        <f t="shared" si="199"/>
        <v/>
      </c>
      <c r="N88" s="16" t="str">
        <f t="shared" si="199"/>
        <v/>
      </c>
      <c r="O88" s="16" t="str">
        <f t="shared" si="6"/>
        <v/>
      </c>
      <c r="P88" s="50" t="s">
        <v>414</v>
      </c>
      <c r="Q88" s="16" t="str">
        <f t="shared" si="7"/>
        <v>UNDECIDED</v>
      </c>
      <c r="R88" s="16" t="b">
        <f>VLOOKUP($A88, Source!B:I, 8, FALSE)</f>
        <v>0</v>
      </c>
      <c r="S88" s="16">
        <f>VLOOKUP(A88,Source!B:H, 7, FALSE)</f>
        <v>0.1111111111</v>
      </c>
      <c r="T88" s="16" t="str">
        <f>IF(COUNTIF(Q88:R88, "UNDECIDED")&gt;0, "Unclear", IF((Q88="SDG 10")=R88, "Yes", "No"))</f>
        <v>Unclear</v>
      </c>
    </row>
    <row r="89" ht="15.75" customHeight="1">
      <c r="A89" s="31" t="s">
        <v>212</v>
      </c>
      <c r="B89" s="31" t="s">
        <v>213</v>
      </c>
      <c r="C89" s="16" t="str">
        <f t="shared" ref="C89:H89" si="200">VLOOKUP($A89, INDIRECT(C$1&amp;"!B:D"), 3, FALSE)</f>
        <v>#REF!</v>
      </c>
      <c r="D89" s="16" t="b">
        <f t="shared" si="200"/>
        <v>0</v>
      </c>
      <c r="E89" s="16" t="str">
        <f t="shared" si="200"/>
        <v>TO DO</v>
      </c>
      <c r="F89" s="16" t="str">
        <f t="shared" si="200"/>
        <v>TO DO</v>
      </c>
      <c r="G89" s="16" t="b">
        <f t="shared" si="200"/>
        <v>0</v>
      </c>
      <c r="H89" s="16" t="b">
        <f t="shared" si="200"/>
        <v>0</v>
      </c>
      <c r="I89" s="49">
        <f t="shared" si="4"/>
        <v>0</v>
      </c>
      <c r="J89" s="16" t="str">
        <f t="shared" ref="J89:N89" si="201">VLOOKUP($A89, INDIRECT(D$1&amp;"!B:E"), 4, FALSE)</f>
        <v>indirect</v>
      </c>
      <c r="K89" s="16" t="str">
        <f t="shared" si="201"/>
        <v/>
      </c>
      <c r="L89" s="16" t="str">
        <f t="shared" si="201"/>
        <v/>
      </c>
      <c r="M89" s="16" t="str">
        <f t="shared" si="201"/>
        <v/>
      </c>
      <c r="N89" s="16" t="str">
        <f t="shared" si="201"/>
        <v>linked to obesity but not really to specific SDG 3 objectives</v>
      </c>
      <c r="O89" s="16" t="str">
        <f t="shared" si="6"/>
        <v>- indirect
- linked to obesity but not really to specific SDG 3 objectives</v>
      </c>
      <c r="P89" s="50" t="s">
        <v>523</v>
      </c>
      <c r="Q89" s="16" t="str">
        <f t="shared" si="7"/>
        <v>UNDECIDED</v>
      </c>
      <c r="R89" s="16" t="b">
        <f>VLOOKUP($A89, Source!B:I, 8, FALSE)</f>
        <v>0</v>
      </c>
      <c r="S89" s="16">
        <f>VLOOKUP(A89,Source!B:H, 7, FALSE)</f>
        <v>0.1111111111</v>
      </c>
      <c r="T89" s="16" t="str">
        <f>IF(COUNTIF(Q89:R89, "*SDG 7")&lt;2, "Unclear", IF(Q89=R89, "Yes", "No"))</f>
        <v>Unclear</v>
      </c>
    </row>
    <row r="90" ht="15.75" customHeight="1">
      <c r="A90" s="31" t="s">
        <v>292</v>
      </c>
      <c r="B90" s="31" t="s">
        <v>293</v>
      </c>
      <c r="C90" s="16" t="str">
        <f t="shared" ref="C90:H90" si="202">VLOOKUP($A90, INDIRECT(C$1&amp;"!B:D"), 3, FALSE)</f>
        <v>#REF!</v>
      </c>
      <c r="D90" s="16" t="b">
        <f t="shared" si="202"/>
        <v>0</v>
      </c>
      <c r="E90" s="16" t="str">
        <f t="shared" si="202"/>
        <v>TO DO</v>
      </c>
      <c r="F90" s="16" t="str">
        <f t="shared" si="202"/>
        <v>TO DO</v>
      </c>
      <c r="G90" s="16" t="b">
        <f t="shared" si="202"/>
        <v>0</v>
      </c>
      <c r="H90" s="16" t="b">
        <f t="shared" si="202"/>
        <v>0</v>
      </c>
      <c r="I90" s="49">
        <f t="shared" si="4"/>
        <v>0</v>
      </c>
      <c r="J90" s="16" t="str">
        <f t="shared" ref="J90:N90" si="203">VLOOKUP($A90, INDIRECT(D$1&amp;"!B:E"), 4, FALSE)</f>
        <v/>
      </c>
      <c r="K90" s="16" t="str">
        <f t="shared" si="203"/>
        <v/>
      </c>
      <c r="L90" s="16" t="str">
        <f t="shared" si="203"/>
        <v/>
      </c>
      <c r="M90" s="16" t="str">
        <f t="shared" si="203"/>
        <v/>
      </c>
      <c r="N90" s="16" t="str">
        <f t="shared" si="203"/>
        <v/>
      </c>
      <c r="O90" s="16" t="str">
        <f t="shared" si="6"/>
        <v/>
      </c>
      <c r="P90" s="50" t="s">
        <v>414</v>
      </c>
      <c r="Q90" s="16" t="str">
        <f t="shared" si="7"/>
        <v>UNDECIDED</v>
      </c>
      <c r="R90" s="16" t="b">
        <f>VLOOKUP($A90, Source!B:I, 8, FALSE)</f>
        <v>0</v>
      </c>
      <c r="S90" s="16">
        <f>VLOOKUP(A90,Source!B:H, 7, FALSE)</f>
        <v>0.1111111111</v>
      </c>
      <c r="T90" s="16" t="str">
        <f t="shared" ref="T90:T92" si="206">IF(COUNTIF(Q90:R90, "UNDECIDED")&gt;0, "Unclear", IF((Q90="SDG 10")=R90, "Yes", "No"))</f>
        <v>Unclear</v>
      </c>
    </row>
    <row r="91" ht="15.75" customHeight="1">
      <c r="A91" s="31" t="s">
        <v>148</v>
      </c>
      <c r="B91" s="31" t="s">
        <v>149</v>
      </c>
      <c r="C91" s="16" t="str">
        <f t="shared" ref="C91:H91" si="204">VLOOKUP($A91, INDIRECT(C$1&amp;"!B:D"), 3, FALSE)</f>
        <v>#REF!</v>
      </c>
      <c r="D91" s="16" t="b">
        <f t="shared" si="204"/>
        <v>1</v>
      </c>
      <c r="E91" s="16" t="str">
        <f t="shared" si="204"/>
        <v>TO DO</v>
      </c>
      <c r="F91" s="16" t="str">
        <f t="shared" si="204"/>
        <v>TO DO</v>
      </c>
      <c r="G91" s="16" t="b">
        <f t="shared" si="204"/>
        <v>0</v>
      </c>
      <c r="H91" s="16" t="b">
        <f t="shared" si="204"/>
        <v>1</v>
      </c>
      <c r="I91" s="49">
        <f t="shared" si="4"/>
        <v>0</v>
      </c>
      <c r="J91" s="16" t="str">
        <f t="shared" ref="J91:N91" si="205">VLOOKUP($A91, INDIRECT(D$1&amp;"!B:E"), 4, FALSE)</f>
        <v/>
      </c>
      <c r="K91" s="16" t="str">
        <f t="shared" si="205"/>
        <v/>
      </c>
      <c r="L91" s="16" t="str">
        <f t="shared" si="205"/>
        <v/>
      </c>
      <c r="M91" s="16" t="str">
        <f t="shared" si="205"/>
        <v/>
      </c>
      <c r="N91" s="16">
        <f t="shared" si="205"/>
        <v>3.6</v>
      </c>
      <c r="O91" s="16" t="str">
        <f t="shared" si="6"/>
        <v>- 3.6</v>
      </c>
      <c r="P91" s="50" t="s">
        <v>517</v>
      </c>
      <c r="Q91" s="16" t="str">
        <f t="shared" si="7"/>
        <v>UNDECIDED</v>
      </c>
      <c r="R91" s="16" t="b">
        <f>VLOOKUP($A91, Source!B:I, 8, FALSE)</f>
        <v>1</v>
      </c>
      <c r="S91" s="16">
        <f>VLOOKUP(A91,Source!B:H, 7, FALSE)</f>
        <v>0.1111111111</v>
      </c>
      <c r="T91" s="16" t="str">
        <f t="shared" si="206"/>
        <v>Unclear</v>
      </c>
    </row>
    <row r="92" ht="15.75" customHeight="1">
      <c r="A92" s="31" t="s">
        <v>237</v>
      </c>
      <c r="B92" s="31" t="s">
        <v>238</v>
      </c>
      <c r="C92" s="16" t="str">
        <f t="shared" ref="C92:H92" si="207">VLOOKUP($A92, INDIRECT(C$1&amp;"!B:D"), 3, FALSE)</f>
        <v>#REF!</v>
      </c>
      <c r="D92" s="16" t="b">
        <f t="shared" si="207"/>
        <v>1</v>
      </c>
      <c r="E92" s="16" t="str">
        <f t="shared" si="207"/>
        <v>TO DO</v>
      </c>
      <c r="F92" s="16" t="str">
        <f t="shared" si="207"/>
        <v>TO DO</v>
      </c>
      <c r="G92" s="16" t="b">
        <f t="shared" si="207"/>
        <v>1</v>
      </c>
      <c r="H92" s="16" t="b">
        <f t="shared" si="207"/>
        <v>1</v>
      </c>
      <c r="I92" s="49">
        <f t="shared" si="4"/>
        <v>0</v>
      </c>
      <c r="J92" s="16" t="str">
        <f t="shared" ref="J92:N92" si="208">VLOOKUP($A92, INDIRECT(D$1&amp;"!B:E"), 4, FALSE)</f>
        <v>target 3.2</v>
      </c>
      <c r="K92" s="16" t="str">
        <f t="shared" si="208"/>
        <v/>
      </c>
      <c r="L92" s="16" t="str">
        <f t="shared" si="208"/>
        <v/>
      </c>
      <c r="M92" s="16" t="str">
        <f t="shared" si="208"/>
        <v/>
      </c>
      <c r="N92" s="16" t="str">
        <f t="shared" si="208"/>
        <v>child mortality</v>
      </c>
      <c r="O92" s="16" t="str">
        <f t="shared" si="6"/>
        <v>- target 3.2
- child mortality</v>
      </c>
      <c r="P92" s="50" t="s">
        <v>524</v>
      </c>
      <c r="Q92" s="16" t="str">
        <f t="shared" si="7"/>
        <v>UNDECIDED</v>
      </c>
      <c r="R92" s="16" t="b">
        <f>VLOOKUP($A92, Source!B:I, 8, FALSE)</f>
        <v>1</v>
      </c>
      <c r="S92" s="16">
        <f>VLOOKUP(A92,Source!B:H, 7, FALSE)</f>
        <v>0.1111111111</v>
      </c>
      <c r="T92" s="16" t="str">
        <f t="shared" si="206"/>
        <v>Unclear</v>
      </c>
    </row>
    <row r="93" ht="15.75" customHeight="1">
      <c r="A93" s="31" t="s">
        <v>311</v>
      </c>
      <c r="B93" s="31" t="s">
        <v>312</v>
      </c>
      <c r="C93" s="16" t="str">
        <f t="shared" ref="C93:H93" si="209">VLOOKUP($A93, INDIRECT(C$1&amp;"!B:D"), 3, FALSE)</f>
        <v>#REF!</v>
      </c>
      <c r="D93" s="16" t="b">
        <f t="shared" si="209"/>
        <v>0</v>
      </c>
      <c r="E93" s="16" t="str">
        <f t="shared" si="209"/>
        <v>TO DO</v>
      </c>
      <c r="F93" s="16" t="str">
        <f t="shared" si="209"/>
        <v>TO DO</v>
      </c>
      <c r="G93" s="16" t="b">
        <f t="shared" si="209"/>
        <v>1</v>
      </c>
      <c r="H93" s="16" t="b">
        <f t="shared" si="209"/>
        <v>0</v>
      </c>
      <c r="I93" s="49">
        <f t="shared" si="4"/>
        <v>0</v>
      </c>
      <c r="J93" s="16" t="str">
        <f t="shared" ref="J93:N93" si="210">VLOOKUP($A93, INDIRECT(D$1&amp;"!B:E"), 4, FALSE)</f>
        <v>too generic</v>
      </c>
      <c r="K93" s="16" t="str">
        <f t="shared" si="210"/>
        <v/>
      </c>
      <c r="L93" s="16" t="str">
        <f t="shared" si="210"/>
        <v/>
      </c>
      <c r="M93" s="16" t="str">
        <f t="shared" si="210"/>
        <v>it is about drug trafficing but not about use of drugs</v>
      </c>
      <c r="N93" s="16" t="str">
        <f t="shared" si="210"/>
        <v/>
      </c>
      <c r="O93" s="16" t="str">
        <f t="shared" si="6"/>
        <v>- too generic
- it is about drug trafficing but not about use of drugs</v>
      </c>
      <c r="P93" s="50" t="s">
        <v>525</v>
      </c>
      <c r="Q93" s="16" t="str">
        <f t="shared" si="7"/>
        <v>UNDECIDED</v>
      </c>
      <c r="R93" s="16" t="b">
        <f>VLOOKUP($A93, Source!B:I, 8, FALSE)</f>
        <v>0</v>
      </c>
      <c r="S93" s="16">
        <f>VLOOKUP(A93,Source!B:H, 7, FALSE)</f>
        <v>0.1111111111</v>
      </c>
      <c r="T93" s="16" t="str">
        <f t="shared" ref="T93:T94" si="213">IF(COUNTIF(Q93:R93, "*SDG 7")&lt;2, "Unclear", IF(Q93=R93, "Yes", "No"))</f>
        <v>Unclear</v>
      </c>
    </row>
    <row r="94" ht="15.75" customHeight="1">
      <c r="A94" s="31" t="s">
        <v>154</v>
      </c>
      <c r="B94" s="31" t="s">
        <v>155</v>
      </c>
      <c r="C94" s="16" t="str">
        <f t="shared" ref="C94:H94" si="211">VLOOKUP($A94, INDIRECT(C$1&amp;"!B:D"), 3, FALSE)</f>
        <v>#REF!</v>
      </c>
      <c r="D94" s="16" t="b">
        <f t="shared" si="211"/>
        <v>0</v>
      </c>
      <c r="E94" s="16" t="str">
        <f t="shared" si="211"/>
        <v>TO DO</v>
      </c>
      <c r="F94" s="16" t="str">
        <f t="shared" si="211"/>
        <v>TO DO</v>
      </c>
      <c r="G94" s="16" t="b">
        <f t="shared" si="211"/>
        <v>0</v>
      </c>
      <c r="H94" s="16" t="b">
        <f t="shared" si="211"/>
        <v>0</v>
      </c>
      <c r="I94" s="49">
        <f t="shared" si="4"/>
        <v>0</v>
      </c>
      <c r="J94" s="16" t="str">
        <f t="shared" ref="J94:N94" si="212">VLOOKUP($A94, INDIRECT(D$1&amp;"!B:E"), 4, FALSE)</f>
        <v/>
      </c>
      <c r="K94" s="16" t="str">
        <f t="shared" si="212"/>
        <v/>
      </c>
      <c r="L94" s="16" t="str">
        <f t="shared" si="212"/>
        <v/>
      </c>
      <c r="M94" s="16" t="str">
        <f t="shared" si="212"/>
        <v/>
      </c>
      <c r="N94" s="16" t="str">
        <f t="shared" si="212"/>
        <v/>
      </c>
      <c r="O94" s="16" t="str">
        <f t="shared" si="6"/>
        <v/>
      </c>
      <c r="P94" s="50" t="s">
        <v>414</v>
      </c>
      <c r="Q94" s="16" t="str">
        <f t="shared" si="7"/>
        <v>UNDECIDED</v>
      </c>
      <c r="R94" s="16" t="b">
        <f>VLOOKUP($A94, Source!B:I, 8, FALSE)</f>
        <v>1</v>
      </c>
      <c r="S94" s="16">
        <f>VLOOKUP(A94,Source!B:H, 7, FALSE)</f>
        <v>0.1111111111</v>
      </c>
      <c r="T94" s="16" t="str">
        <f t="shared" si="213"/>
        <v>Unclear</v>
      </c>
    </row>
    <row r="95" ht="15.75" customHeight="1">
      <c r="A95" s="31" t="s">
        <v>105</v>
      </c>
      <c r="B95" s="31" t="s">
        <v>106</v>
      </c>
      <c r="C95" s="16" t="str">
        <f t="shared" ref="C95:H95" si="214">VLOOKUP($A95, INDIRECT(C$1&amp;"!B:D"), 3, FALSE)</f>
        <v>#REF!</v>
      </c>
      <c r="D95" s="16" t="b">
        <f t="shared" si="214"/>
        <v>1</v>
      </c>
      <c r="E95" s="16" t="str">
        <f t="shared" si="214"/>
        <v>TO DO</v>
      </c>
      <c r="F95" s="16" t="str">
        <f t="shared" si="214"/>
        <v>TO DO</v>
      </c>
      <c r="G95" s="16" t="b">
        <f t="shared" si="214"/>
        <v>0</v>
      </c>
      <c r="H95" s="16" t="b">
        <f t="shared" si="214"/>
        <v>0</v>
      </c>
      <c r="I95" s="49">
        <f t="shared" si="4"/>
        <v>0</v>
      </c>
      <c r="J95" s="16" t="str">
        <f t="shared" ref="J95:N95" si="215">VLOOKUP($A95, INDIRECT(D$1&amp;"!B:E"), 4, FALSE)</f>
        <v>gender equality and health</v>
      </c>
      <c r="K95" s="16" t="str">
        <f t="shared" si="215"/>
        <v/>
      </c>
      <c r="L95" s="16" t="str">
        <f t="shared" si="215"/>
        <v/>
      </c>
      <c r="M95" s="16" t="str">
        <f t="shared" si="215"/>
        <v>life expectancy, not about targets</v>
      </c>
      <c r="N95" s="16" t="str">
        <f t="shared" si="215"/>
        <v>on life expectancy divided by gender, not really linked to SDG 3 or its targets</v>
      </c>
      <c r="O95" s="16" t="str">
        <f t="shared" si="6"/>
        <v>- gender equality and health
- life expectancy, not about targets
- on life expectancy divided by gender, not really linked to SDG 3 or its targets</v>
      </c>
      <c r="P95" s="50" t="s">
        <v>526</v>
      </c>
      <c r="Q95" s="16" t="str">
        <f t="shared" si="7"/>
        <v>UNDECIDED</v>
      </c>
      <c r="R95" s="16" t="b">
        <f>VLOOKUP($A95, Source!B:I, 8, FALSE)</f>
        <v>0</v>
      </c>
      <c r="S95" s="16">
        <f>VLOOKUP(A95,Source!B:H, 7, FALSE)</f>
        <v>0.1111111111</v>
      </c>
      <c r="T95" s="16" t="str">
        <f>IF(COUNTIF(Q95:R95, "UNDECIDED")&gt;0, "Unclear", IF((Q95="SDG 10")=R95, "Yes", "No"))</f>
        <v>Unclear</v>
      </c>
    </row>
    <row r="96" ht="15.75" customHeight="1">
      <c r="A96" s="31" t="s">
        <v>179</v>
      </c>
      <c r="B96" s="31" t="s">
        <v>180</v>
      </c>
      <c r="C96" s="16" t="str">
        <f t="shared" ref="C96:H96" si="216">VLOOKUP($A96, INDIRECT(C$1&amp;"!B:D"), 3, FALSE)</f>
        <v>#REF!</v>
      </c>
      <c r="D96" s="16" t="b">
        <f t="shared" si="216"/>
        <v>1</v>
      </c>
      <c r="E96" s="16" t="str">
        <f t="shared" si="216"/>
        <v>TO DO</v>
      </c>
      <c r="F96" s="16" t="str">
        <f t="shared" si="216"/>
        <v>TO DO</v>
      </c>
      <c r="G96" s="16" t="b">
        <f t="shared" si="216"/>
        <v>0</v>
      </c>
      <c r="H96" s="16" t="b">
        <f t="shared" si="216"/>
        <v>1</v>
      </c>
      <c r="I96" s="49">
        <f t="shared" si="4"/>
        <v>0</v>
      </c>
      <c r="J96" s="16" t="str">
        <f t="shared" ref="J96:N96" si="217">VLOOKUP($A96, INDIRECT(D$1&amp;"!B:E"), 4, FALSE)</f>
        <v/>
      </c>
      <c r="K96" s="16" t="str">
        <f t="shared" si="217"/>
        <v/>
      </c>
      <c r="L96" s="16" t="str">
        <f t="shared" si="217"/>
        <v/>
      </c>
      <c r="M96" s="16" t="str">
        <f t="shared" si="217"/>
        <v/>
      </c>
      <c r="N96" s="16" t="str">
        <f t="shared" si="217"/>
        <v/>
      </c>
      <c r="O96" s="16" t="str">
        <f t="shared" si="6"/>
        <v/>
      </c>
      <c r="P96" s="50" t="s">
        <v>414</v>
      </c>
      <c r="Q96" s="16" t="str">
        <f t="shared" si="7"/>
        <v>UNDECIDED</v>
      </c>
      <c r="R96" s="16" t="b">
        <f>VLOOKUP($A96, Source!B:I, 8, FALSE)</f>
        <v>0</v>
      </c>
      <c r="S96" s="16">
        <f>VLOOKUP(A96,Source!B:H, 7, FALSE)</f>
        <v>0.1111111111</v>
      </c>
      <c r="T96" s="16" t="str">
        <f>IF(COUNTIF(Q96:R96, "*SDG 7")&lt;2, "Unclear", IF(Q96=R96, "Yes", "No"))</f>
        <v>Unclear</v>
      </c>
    </row>
    <row r="97" ht="15.75" customHeight="1">
      <c r="A97" s="31" t="s">
        <v>243</v>
      </c>
      <c r="B97" s="31" t="s">
        <v>244</v>
      </c>
      <c r="C97" s="16" t="str">
        <f t="shared" ref="C97:H97" si="218">VLOOKUP($A97, INDIRECT(C$1&amp;"!B:D"), 3, FALSE)</f>
        <v>#REF!</v>
      </c>
      <c r="D97" s="16" t="b">
        <f t="shared" si="218"/>
        <v>0</v>
      </c>
      <c r="E97" s="16" t="str">
        <f t="shared" si="218"/>
        <v>TO DO</v>
      </c>
      <c r="F97" s="16" t="str">
        <f t="shared" si="218"/>
        <v>TO DO</v>
      </c>
      <c r="G97" s="16" t="b">
        <f t="shared" si="218"/>
        <v>0</v>
      </c>
      <c r="H97" s="16" t="b">
        <f t="shared" si="218"/>
        <v>0</v>
      </c>
      <c r="I97" s="49">
        <f t="shared" si="4"/>
        <v>0</v>
      </c>
      <c r="J97" s="16" t="str">
        <f t="shared" ref="J97:N97" si="219">VLOOKUP($A97, INDIRECT(D$1&amp;"!B:E"), 4, FALSE)</f>
        <v/>
      </c>
      <c r="K97" s="16" t="str">
        <f t="shared" si="219"/>
        <v/>
      </c>
      <c r="L97" s="16" t="str">
        <f t="shared" si="219"/>
        <v/>
      </c>
      <c r="M97" s="16" t="str">
        <f t="shared" si="219"/>
        <v>factual</v>
      </c>
      <c r="N97" s="16" t="str">
        <f t="shared" si="219"/>
        <v/>
      </c>
      <c r="O97" s="16" t="str">
        <f t="shared" si="6"/>
        <v>- factual</v>
      </c>
      <c r="P97" s="50" t="s">
        <v>527</v>
      </c>
      <c r="Q97" s="16" t="str">
        <f t="shared" si="7"/>
        <v>UNDECIDED</v>
      </c>
      <c r="R97" s="16" t="b">
        <f>VLOOKUP($A97, Source!B:I, 8, FALSE)</f>
        <v>0</v>
      </c>
      <c r="S97" s="16">
        <f>VLOOKUP(A97,Source!B:H, 7, FALSE)</f>
        <v>0.1111111111</v>
      </c>
      <c r="T97" s="16" t="str">
        <f t="shared" ref="T97:T101" si="222">IF(COUNTIF(Q97:R97, "UNDECIDED")&gt;0, "Unclear", IF((Q97="SDG 10")=R97, "Yes", "No"))</f>
        <v>Unclear</v>
      </c>
    </row>
    <row r="98" ht="15.75" customHeight="1">
      <c r="A98" s="31" t="s">
        <v>305</v>
      </c>
      <c r="B98" s="31" t="s">
        <v>306</v>
      </c>
      <c r="C98" s="16" t="str">
        <f t="shared" ref="C98:H98" si="220">VLOOKUP($A98, INDIRECT(C$1&amp;"!B:D"), 3, FALSE)</f>
        <v>#REF!</v>
      </c>
      <c r="D98" s="16" t="b">
        <f t="shared" si="220"/>
        <v>0</v>
      </c>
      <c r="E98" s="16" t="str">
        <f t="shared" si="220"/>
        <v>TO DO</v>
      </c>
      <c r="F98" s="16" t="str">
        <f t="shared" si="220"/>
        <v>TO DO</v>
      </c>
      <c r="G98" s="16" t="b">
        <f t="shared" si="220"/>
        <v>0</v>
      </c>
      <c r="H98" s="16" t="b">
        <f t="shared" si="220"/>
        <v>0</v>
      </c>
      <c r="I98" s="49">
        <f t="shared" si="4"/>
        <v>0</v>
      </c>
      <c r="J98" s="16" t="str">
        <f t="shared" ref="J98:N98" si="221">VLOOKUP($A98, INDIRECT(D$1&amp;"!B:E"), 4, FALSE)</f>
        <v/>
      </c>
      <c r="K98" s="16" t="str">
        <f t="shared" si="221"/>
        <v/>
      </c>
      <c r="L98" s="16" t="str">
        <f t="shared" si="221"/>
        <v/>
      </c>
      <c r="M98" s="16" t="str">
        <f t="shared" si="221"/>
        <v/>
      </c>
      <c r="N98" s="16" t="str">
        <f t="shared" si="221"/>
        <v>Workers rights, health and safety, but no directly addressed by SDG 3 (SDG 8 instead)</v>
      </c>
      <c r="O98" s="16" t="str">
        <f t="shared" si="6"/>
        <v>- Workers rights, health and safety, but no directly addressed by SDG 3 (SDG 8 instead)</v>
      </c>
      <c r="P98" s="50" t="s">
        <v>528</v>
      </c>
      <c r="Q98" s="16" t="str">
        <f t="shared" si="7"/>
        <v>UNDECIDED</v>
      </c>
      <c r="R98" s="16" t="str">
        <f>VLOOKUP($A98, Source!B:I, 8, FALSE)</f>
        <v>UNDECIDED</v>
      </c>
      <c r="S98" s="16">
        <f>VLOOKUP(A98,Source!B:H, 7, FALSE)</f>
        <v>0</v>
      </c>
      <c r="T98" s="16" t="str">
        <f t="shared" si="222"/>
        <v>Unclear</v>
      </c>
    </row>
    <row r="99" ht="15.75" customHeight="1">
      <c r="A99" s="31" t="s">
        <v>234</v>
      </c>
      <c r="B99" s="31" t="s">
        <v>235</v>
      </c>
      <c r="C99" s="16" t="str">
        <f t="shared" ref="C99:H99" si="223">VLOOKUP($A99, INDIRECT(C$1&amp;"!B:D"), 3, FALSE)</f>
        <v>#REF!</v>
      </c>
      <c r="D99" s="16" t="b">
        <f t="shared" si="223"/>
        <v>1</v>
      </c>
      <c r="E99" s="16" t="str">
        <f t="shared" si="223"/>
        <v>TO DO</v>
      </c>
      <c r="F99" s="16" t="str">
        <f t="shared" si="223"/>
        <v>TO DO</v>
      </c>
      <c r="G99" s="16" t="b">
        <f t="shared" si="223"/>
        <v>1</v>
      </c>
      <c r="H99" s="16" t="b">
        <f t="shared" si="223"/>
        <v>1</v>
      </c>
      <c r="I99" s="49">
        <f t="shared" si="4"/>
        <v>0</v>
      </c>
      <c r="J99" s="16" t="str">
        <f t="shared" ref="J99:N99" si="224">VLOOKUP($A99, INDIRECT(D$1&amp;"!B:E"), 4, FALSE)</f>
        <v/>
      </c>
      <c r="K99" s="16" t="str">
        <f t="shared" si="224"/>
        <v/>
      </c>
      <c r="L99" s="16" t="str">
        <f t="shared" si="224"/>
        <v/>
      </c>
      <c r="M99" s="16" t="str">
        <f t="shared" si="224"/>
        <v>idem</v>
      </c>
      <c r="N99" s="16" t="str">
        <f t="shared" si="224"/>
        <v>substance abuse (not only trafficking)</v>
      </c>
      <c r="O99" s="16" t="str">
        <f t="shared" si="6"/>
        <v>- idem
- substance abuse (not only trafficking)</v>
      </c>
      <c r="P99" s="50" t="s">
        <v>529</v>
      </c>
      <c r="Q99" s="16" t="str">
        <f t="shared" si="7"/>
        <v>UNDECIDED</v>
      </c>
      <c r="R99" s="16" t="str">
        <f>VLOOKUP($A99, Source!B:I, 8, FALSE)</f>
        <v>UNDECIDED</v>
      </c>
      <c r="S99" s="16">
        <f>VLOOKUP(A99,Source!B:H, 7, FALSE)</f>
        <v>0</v>
      </c>
      <c r="T99" s="16" t="str">
        <f t="shared" si="222"/>
        <v>Unclear</v>
      </c>
    </row>
    <row r="100" ht="15.75" customHeight="1">
      <c r="A100" s="31" t="s">
        <v>126</v>
      </c>
      <c r="B100" s="31" t="s">
        <v>127</v>
      </c>
      <c r="C100" s="16" t="str">
        <f t="shared" ref="C100:H100" si="225">VLOOKUP($A100, INDIRECT(C$1&amp;"!B:D"), 3, FALSE)</f>
        <v>#REF!</v>
      </c>
      <c r="D100" s="16" t="b">
        <f t="shared" si="225"/>
        <v>1</v>
      </c>
      <c r="E100" s="16" t="str">
        <f t="shared" si="225"/>
        <v>TO DO</v>
      </c>
      <c r="F100" s="16" t="str">
        <f t="shared" si="225"/>
        <v>TO DO</v>
      </c>
      <c r="G100" s="16" t="b">
        <f t="shared" si="225"/>
        <v>0</v>
      </c>
      <c r="H100" s="16" t="b">
        <f t="shared" si="225"/>
        <v>1</v>
      </c>
      <c r="I100" s="49">
        <f t="shared" si="4"/>
        <v>0</v>
      </c>
      <c r="J100" s="16" t="str">
        <f t="shared" ref="J100:N100" si="226">VLOOKUP($A100, INDIRECT(D$1&amp;"!B:E"), 4, FALSE)</f>
        <v/>
      </c>
      <c r="K100" s="16" t="str">
        <f t="shared" si="226"/>
        <v/>
      </c>
      <c r="L100" s="16" t="str">
        <f t="shared" si="226"/>
        <v/>
      </c>
      <c r="M100" s="16" t="str">
        <f t="shared" si="226"/>
        <v/>
      </c>
      <c r="N100" s="16" t="str">
        <f t="shared" si="226"/>
        <v>NCDs (3.4)</v>
      </c>
      <c r="O100" s="16" t="str">
        <f t="shared" si="6"/>
        <v>- NCDs (3.4)</v>
      </c>
      <c r="P100" s="50" t="s">
        <v>530</v>
      </c>
      <c r="Q100" s="16" t="str">
        <f t="shared" si="7"/>
        <v>UNDECIDED</v>
      </c>
      <c r="R100" s="16" t="str">
        <f>VLOOKUP($A100, Source!B:I, 8, FALSE)</f>
        <v>UNDECIDED</v>
      </c>
      <c r="S100" s="16">
        <f>VLOOKUP(A100,Source!B:H, 7, FALSE)</f>
        <v>0</v>
      </c>
      <c r="T100" s="16" t="str">
        <f t="shared" si="222"/>
        <v>Unclear</v>
      </c>
    </row>
    <row r="101" ht="15.75" customHeight="1">
      <c r="A101" s="31" t="s">
        <v>278</v>
      </c>
      <c r="B101" s="31" t="s">
        <v>279</v>
      </c>
      <c r="C101" s="16" t="str">
        <f t="shared" ref="C101:H101" si="227">VLOOKUP($A101, INDIRECT(C$1&amp;"!B:D"), 3, FALSE)</f>
        <v>#REF!</v>
      </c>
      <c r="D101" s="16" t="b">
        <f t="shared" si="227"/>
        <v>1</v>
      </c>
      <c r="E101" s="16" t="str">
        <f t="shared" si="227"/>
        <v>TO DO</v>
      </c>
      <c r="F101" s="16" t="str">
        <f t="shared" si="227"/>
        <v>TO DO</v>
      </c>
      <c r="G101" s="16" t="b">
        <f t="shared" si="227"/>
        <v>0</v>
      </c>
      <c r="H101" s="16" t="b">
        <f t="shared" si="227"/>
        <v>0</v>
      </c>
      <c r="I101" s="49">
        <f t="shared" si="4"/>
        <v>0</v>
      </c>
      <c r="J101" s="16" t="str">
        <f t="shared" ref="J101:N101" si="228">VLOOKUP($A101, INDIRECT(D$1&amp;"!B:E"), 4, FALSE)</f>
        <v/>
      </c>
      <c r="K101" s="16" t="str">
        <f t="shared" si="228"/>
        <v/>
      </c>
      <c r="L101" s="16" t="str">
        <f t="shared" si="228"/>
        <v/>
      </c>
      <c r="M101" s="16" t="str">
        <f t="shared" si="228"/>
        <v/>
      </c>
      <c r="N101" s="16" t="str">
        <f t="shared" si="228"/>
        <v>not clear what text is about</v>
      </c>
      <c r="O101" s="16" t="str">
        <f t="shared" si="6"/>
        <v>- not clear what text is about</v>
      </c>
      <c r="P101" s="50" t="s">
        <v>531</v>
      </c>
      <c r="Q101" s="16" t="str">
        <f t="shared" si="7"/>
        <v>UNDECIDED</v>
      </c>
      <c r="R101" s="16" t="str">
        <f>VLOOKUP($A101, Source!B:I, 8, FALSE)</f>
        <v>UNDECIDED</v>
      </c>
      <c r="S101" s="16">
        <f>VLOOKUP(A101,Source!B:H, 7, FALSE)</f>
        <v>0</v>
      </c>
      <c r="T101" s="16" t="str">
        <f t="shared" si="222"/>
        <v>Unclear</v>
      </c>
    </row>
    <row r="102">
      <c r="B102" s="51"/>
      <c r="I102" s="52"/>
      <c r="P102" s="50"/>
    </row>
    <row r="103">
      <c r="B103" s="51"/>
      <c r="I103" s="52"/>
      <c r="P103" s="50"/>
    </row>
    <row r="104">
      <c r="B104" s="51"/>
      <c r="I104" s="52"/>
      <c r="P104" s="50"/>
    </row>
    <row r="105">
      <c r="B105" s="51"/>
      <c r="I105" s="52"/>
      <c r="P105" s="50"/>
    </row>
    <row r="106">
      <c r="B106" s="51"/>
      <c r="I106" s="52"/>
      <c r="P106" s="50"/>
    </row>
    <row r="107">
      <c r="B107" s="51"/>
      <c r="I107" s="52"/>
      <c r="P107" s="50"/>
    </row>
    <row r="108">
      <c r="B108" s="51"/>
      <c r="I108" s="52"/>
      <c r="P108" s="50"/>
    </row>
    <row r="109">
      <c r="B109" s="51"/>
      <c r="I109" s="52"/>
      <c r="P109" s="50"/>
    </row>
    <row r="110">
      <c r="B110" s="51"/>
      <c r="I110" s="52"/>
      <c r="P110" s="50"/>
    </row>
    <row r="111">
      <c r="B111" s="51"/>
      <c r="I111" s="52"/>
      <c r="P111" s="50"/>
    </row>
    <row r="112">
      <c r="B112" s="51"/>
      <c r="I112" s="52"/>
      <c r="P112" s="50"/>
    </row>
    <row r="113">
      <c r="B113" s="51"/>
      <c r="I113" s="52"/>
      <c r="P113" s="50"/>
    </row>
    <row r="114">
      <c r="B114" s="51"/>
      <c r="I114" s="52"/>
      <c r="P114" s="50"/>
    </row>
    <row r="115">
      <c r="B115" s="51"/>
      <c r="I115" s="52"/>
      <c r="P115" s="50"/>
    </row>
    <row r="116">
      <c r="B116" s="51"/>
      <c r="I116" s="52"/>
      <c r="P116" s="50"/>
    </row>
    <row r="117">
      <c r="B117" s="51"/>
      <c r="I117" s="52"/>
      <c r="P117" s="50"/>
    </row>
    <row r="118">
      <c r="B118" s="51"/>
      <c r="I118" s="52"/>
      <c r="P118" s="50"/>
    </row>
    <row r="119">
      <c r="B119" s="51"/>
      <c r="I119" s="52"/>
      <c r="P119" s="50"/>
    </row>
    <row r="120">
      <c r="B120" s="51"/>
      <c r="I120" s="52"/>
      <c r="P120" s="50"/>
    </row>
    <row r="121">
      <c r="B121" s="51"/>
      <c r="I121" s="52"/>
      <c r="P121" s="50"/>
    </row>
    <row r="122">
      <c r="B122" s="51"/>
      <c r="I122" s="52"/>
      <c r="P122" s="50"/>
    </row>
    <row r="123">
      <c r="B123" s="51"/>
      <c r="I123" s="52"/>
      <c r="P123" s="50"/>
    </row>
    <row r="124">
      <c r="B124" s="51"/>
      <c r="I124" s="52"/>
      <c r="P124" s="50"/>
    </row>
    <row r="125">
      <c r="B125" s="51"/>
      <c r="I125" s="52"/>
      <c r="P125" s="50"/>
    </row>
    <row r="126">
      <c r="B126" s="51"/>
      <c r="I126" s="52"/>
      <c r="P126" s="50"/>
    </row>
    <row r="127">
      <c r="B127" s="51"/>
      <c r="I127" s="52"/>
      <c r="P127" s="50"/>
    </row>
    <row r="128">
      <c r="B128" s="51"/>
      <c r="I128" s="52"/>
      <c r="P128" s="50"/>
    </row>
    <row r="129">
      <c r="B129" s="51"/>
      <c r="I129" s="52"/>
      <c r="P129" s="50"/>
    </row>
    <row r="130">
      <c r="B130" s="51"/>
      <c r="I130" s="52"/>
      <c r="P130" s="50"/>
    </row>
    <row r="131">
      <c r="B131" s="51"/>
      <c r="I131" s="52"/>
      <c r="P131" s="50"/>
    </row>
    <row r="132">
      <c r="B132" s="51"/>
      <c r="I132" s="52"/>
      <c r="P132" s="50"/>
    </row>
    <row r="133">
      <c r="B133" s="51"/>
      <c r="I133" s="52"/>
      <c r="P133" s="50"/>
    </row>
    <row r="134">
      <c r="B134" s="51"/>
      <c r="I134" s="52"/>
      <c r="P134" s="50"/>
    </row>
    <row r="135">
      <c r="B135" s="51"/>
      <c r="I135" s="52"/>
      <c r="P135" s="50"/>
    </row>
    <row r="136">
      <c r="B136" s="51"/>
      <c r="I136" s="52"/>
      <c r="P136" s="50"/>
    </row>
    <row r="137">
      <c r="B137" s="51"/>
      <c r="I137" s="52"/>
      <c r="P137" s="50"/>
    </row>
    <row r="138">
      <c r="B138" s="51"/>
      <c r="I138" s="52"/>
      <c r="P138" s="50"/>
    </row>
    <row r="139">
      <c r="B139" s="51"/>
      <c r="I139" s="52"/>
      <c r="P139" s="50"/>
    </row>
    <row r="140">
      <c r="B140" s="51"/>
      <c r="I140" s="52"/>
      <c r="P140" s="50"/>
    </row>
    <row r="141">
      <c r="B141" s="51"/>
      <c r="I141" s="52"/>
      <c r="P141" s="50"/>
    </row>
    <row r="142">
      <c r="B142" s="51"/>
      <c r="I142" s="52"/>
      <c r="P142" s="50"/>
    </row>
    <row r="143">
      <c r="B143" s="51"/>
      <c r="I143" s="52"/>
      <c r="P143" s="50"/>
    </row>
    <row r="144">
      <c r="B144" s="51"/>
      <c r="I144" s="52"/>
      <c r="P144" s="50"/>
    </row>
    <row r="145">
      <c r="B145" s="51"/>
      <c r="I145" s="52"/>
      <c r="P145" s="50"/>
    </row>
    <row r="146">
      <c r="B146" s="51"/>
      <c r="I146" s="52"/>
      <c r="P146" s="50"/>
    </row>
    <row r="147">
      <c r="B147" s="51"/>
      <c r="I147" s="52"/>
      <c r="P147" s="50"/>
    </row>
    <row r="148">
      <c r="B148" s="51"/>
      <c r="I148" s="52"/>
      <c r="P148" s="50"/>
    </row>
    <row r="149">
      <c r="B149" s="51"/>
      <c r="I149" s="52"/>
      <c r="P149" s="50"/>
    </row>
    <row r="150">
      <c r="B150" s="51"/>
      <c r="I150" s="52"/>
      <c r="P150" s="50"/>
    </row>
    <row r="151">
      <c r="B151" s="51"/>
      <c r="I151" s="52"/>
      <c r="P151" s="50"/>
    </row>
    <row r="152">
      <c r="B152" s="51"/>
      <c r="I152" s="52"/>
      <c r="P152" s="50"/>
    </row>
    <row r="153">
      <c r="B153" s="51"/>
      <c r="I153" s="52"/>
      <c r="P153" s="50"/>
    </row>
    <row r="154">
      <c r="B154" s="51"/>
      <c r="I154" s="52"/>
      <c r="P154" s="50"/>
    </row>
    <row r="155">
      <c r="B155" s="51"/>
      <c r="I155" s="52"/>
      <c r="P155" s="50"/>
    </row>
    <row r="156">
      <c r="B156" s="51"/>
      <c r="I156" s="52"/>
      <c r="P156" s="50"/>
    </row>
    <row r="157">
      <c r="B157" s="51"/>
      <c r="I157" s="52"/>
      <c r="P157" s="50"/>
    </row>
    <row r="158">
      <c r="B158" s="51"/>
      <c r="I158" s="52"/>
      <c r="P158" s="50"/>
    </row>
    <row r="159">
      <c r="B159" s="51"/>
      <c r="I159" s="52"/>
      <c r="P159" s="50"/>
    </row>
    <row r="160">
      <c r="B160" s="51"/>
      <c r="I160" s="52"/>
      <c r="P160" s="50"/>
    </row>
    <row r="161">
      <c r="B161" s="51"/>
      <c r="I161" s="52"/>
      <c r="P161" s="50"/>
    </row>
    <row r="162">
      <c r="B162" s="51"/>
      <c r="I162" s="52"/>
      <c r="P162" s="50"/>
    </row>
    <row r="163">
      <c r="B163" s="51"/>
      <c r="I163" s="52"/>
      <c r="P163" s="50"/>
    </row>
    <row r="164">
      <c r="B164" s="51"/>
      <c r="I164" s="52"/>
      <c r="P164" s="50"/>
    </row>
    <row r="165">
      <c r="B165" s="51"/>
      <c r="I165" s="52"/>
      <c r="P165" s="50"/>
    </row>
    <row r="166">
      <c r="B166" s="51"/>
      <c r="I166" s="52"/>
      <c r="P166" s="50"/>
    </row>
    <row r="167">
      <c r="B167" s="51"/>
      <c r="I167" s="52"/>
      <c r="P167" s="50"/>
    </row>
    <row r="168">
      <c r="B168" s="51"/>
      <c r="I168" s="52"/>
      <c r="P168" s="50"/>
    </row>
    <row r="169">
      <c r="B169" s="51"/>
      <c r="I169" s="52"/>
      <c r="P169" s="50"/>
    </row>
    <row r="170">
      <c r="B170" s="51"/>
      <c r="I170" s="52"/>
      <c r="P170" s="50"/>
    </row>
    <row r="171">
      <c r="B171" s="51"/>
      <c r="I171" s="52"/>
      <c r="P171" s="50"/>
    </row>
    <row r="172">
      <c r="B172" s="51"/>
      <c r="I172" s="52"/>
      <c r="P172" s="50"/>
    </row>
    <row r="173">
      <c r="B173" s="51"/>
      <c r="I173" s="52"/>
      <c r="P173" s="50"/>
    </row>
    <row r="174">
      <c r="B174" s="51"/>
      <c r="I174" s="52"/>
      <c r="P174" s="50"/>
    </row>
    <row r="175">
      <c r="B175" s="51"/>
      <c r="I175" s="52"/>
      <c r="P175" s="50"/>
    </row>
    <row r="176">
      <c r="B176" s="51"/>
      <c r="I176" s="52"/>
      <c r="P176" s="50"/>
    </row>
    <row r="177">
      <c r="B177" s="51"/>
      <c r="I177" s="52"/>
      <c r="P177" s="50"/>
    </row>
    <row r="178">
      <c r="B178" s="51"/>
      <c r="I178" s="52"/>
      <c r="P178" s="50"/>
    </row>
    <row r="179">
      <c r="B179" s="51"/>
      <c r="I179" s="52"/>
      <c r="P179" s="50"/>
    </row>
    <row r="180">
      <c r="B180" s="51"/>
      <c r="I180" s="52"/>
      <c r="P180" s="50"/>
    </row>
    <row r="181">
      <c r="B181" s="51"/>
      <c r="I181" s="52"/>
      <c r="P181" s="50"/>
    </row>
    <row r="182">
      <c r="B182" s="51"/>
      <c r="I182" s="52"/>
      <c r="P182" s="50"/>
    </row>
    <row r="183">
      <c r="B183" s="51"/>
      <c r="I183" s="52"/>
      <c r="P183" s="50"/>
    </row>
    <row r="184">
      <c r="B184" s="51"/>
      <c r="I184" s="52"/>
      <c r="P184" s="50"/>
    </row>
    <row r="185">
      <c r="B185" s="51"/>
      <c r="I185" s="52"/>
      <c r="P185" s="50"/>
    </row>
    <row r="186">
      <c r="B186" s="51"/>
      <c r="I186" s="52"/>
      <c r="P186" s="50"/>
    </row>
    <row r="187">
      <c r="B187" s="51"/>
      <c r="I187" s="52"/>
      <c r="P187" s="50"/>
    </row>
    <row r="188">
      <c r="B188" s="51"/>
      <c r="I188" s="52"/>
      <c r="P188" s="50"/>
    </row>
    <row r="189">
      <c r="B189" s="51"/>
      <c r="I189" s="52"/>
      <c r="P189" s="50"/>
    </row>
    <row r="190">
      <c r="B190" s="51"/>
      <c r="I190" s="52"/>
      <c r="P190" s="50"/>
    </row>
    <row r="191">
      <c r="B191" s="51"/>
      <c r="I191" s="52"/>
      <c r="P191" s="50"/>
    </row>
    <row r="192">
      <c r="B192" s="51"/>
      <c r="I192" s="52"/>
      <c r="P192" s="50"/>
    </row>
    <row r="193">
      <c r="B193" s="51"/>
      <c r="I193" s="52"/>
      <c r="P193" s="50"/>
    </row>
    <row r="194">
      <c r="B194" s="51"/>
      <c r="I194" s="52"/>
      <c r="P194" s="50"/>
    </row>
    <row r="195">
      <c r="B195" s="51"/>
      <c r="I195" s="52"/>
      <c r="P195" s="50"/>
    </row>
    <row r="196">
      <c r="B196" s="51"/>
      <c r="I196" s="52"/>
      <c r="P196" s="50"/>
    </row>
    <row r="197">
      <c r="B197" s="51"/>
      <c r="I197" s="52"/>
      <c r="P197" s="50"/>
    </row>
    <row r="198">
      <c r="B198" s="51"/>
      <c r="I198" s="52"/>
      <c r="P198" s="50"/>
    </row>
    <row r="199">
      <c r="B199" s="51"/>
      <c r="I199" s="52"/>
      <c r="P199" s="50"/>
    </row>
    <row r="200">
      <c r="B200" s="51"/>
      <c r="I200" s="52"/>
      <c r="P200" s="50"/>
    </row>
    <row r="201">
      <c r="B201" s="51"/>
      <c r="I201" s="52"/>
      <c r="P201" s="50"/>
    </row>
    <row r="202">
      <c r="B202" s="51"/>
      <c r="I202" s="52"/>
      <c r="P202" s="50"/>
    </row>
    <row r="203">
      <c r="B203" s="51"/>
      <c r="I203" s="52"/>
      <c r="P203" s="50"/>
    </row>
    <row r="204">
      <c r="B204" s="51"/>
      <c r="I204" s="52"/>
      <c r="P204" s="50"/>
    </row>
    <row r="205">
      <c r="B205" s="51"/>
      <c r="I205" s="52"/>
      <c r="P205" s="50"/>
    </row>
    <row r="206">
      <c r="B206" s="51"/>
      <c r="I206" s="52"/>
      <c r="P206" s="50"/>
    </row>
    <row r="207">
      <c r="B207" s="51"/>
      <c r="I207" s="52"/>
      <c r="P207" s="50"/>
    </row>
    <row r="208">
      <c r="B208" s="51"/>
      <c r="I208" s="52"/>
      <c r="P208" s="50"/>
    </row>
    <row r="209">
      <c r="B209" s="51"/>
      <c r="I209" s="52"/>
      <c r="P209" s="50"/>
    </row>
    <row r="210">
      <c r="B210" s="51"/>
      <c r="I210" s="52"/>
      <c r="P210" s="50"/>
    </row>
    <row r="211">
      <c r="B211" s="51"/>
      <c r="I211" s="52"/>
      <c r="P211" s="50"/>
    </row>
    <row r="212">
      <c r="B212" s="51"/>
      <c r="I212" s="52"/>
      <c r="P212" s="50"/>
    </row>
    <row r="213">
      <c r="B213" s="51"/>
      <c r="I213" s="52"/>
      <c r="P213" s="50"/>
    </row>
    <row r="214">
      <c r="B214" s="51"/>
      <c r="I214" s="52"/>
      <c r="P214" s="50"/>
    </row>
    <row r="215">
      <c r="B215" s="51"/>
      <c r="I215" s="52"/>
      <c r="P215" s="50"/>
    </row>
    <row r="216">
      <c r="B216" s="51"/>
      <c r="I216" s="52"/>
      <c r="P216" s="50"/>
    </row>
    <row r="217">
      <c r="B217" s="51"/>
      <c r="I217" s="52"/>
      <c r="P217" s="50"/>
    </row>
    <row r="218">
      <c r="B218" s="51"/>
      <c r="I218" s="52"/>
      <c r="P218" s="50"/>
    </row>
    <row r="219">
      <c r="B219" s="51"/>
      <c r="I219" s="52"/>
      <c r="P219" s="50"/>
    </row>
    <row r="220">
      <c r="B220" s="51"/>
      <c r="I220" s="52"/>
      <c r="P220" s="50"/>
    </row>
    <row r="221">
      <c r="B221" s="51"/>
      <c r="I221" s="52"/>
      <c r="P221" s="50"/>
    </row>
    <row r="222">
      <c r="B222" s="51"/>
      <c r="I222" s="52"/>
      <c r="P222" s="50"/>
    </row>
    <row r="223">
      <c r="B223" s="51"/>
      <c r="I223" s="52"/>
      <c r="P223" s="50"/>
    </row>
    <row r="224">
      <c r="B224" s="51"/>
      <c r="I224" s="52"/>
      <c r="P224" s="50"/>
    </row>
    <row r="225">
      <c r="B225" s="51"/>
      <c r="I225" s="52"/>
      <c r="P225" s="50"/>
    </row>
    <row r="226">
      <c r="B226" s="51"/>
      <c r="I226" s="52"/>
      <c r="P226" s="50"/>
    </row>
    <row r="227">
      <c r="B227" s="51"/>
      <c r="I227" s="52"/>
      <c r="P227" s="50"/>
    </row>
    <row r="228">
      <c r="B228" s="51"/>
      <c r="I228" s="52"/>
      <c r="P228" s="50"/>
    </row>
    <row r="229">
      <c r="B229" s="51"/>
      <c r="I229" s="52"/>
      <c r="P229" s="50"/>
    </row>
    <row r="230">
      <c r="B230" s="51"/>
      <c r="I230" s="52"/>
      <c r="P230" s="50"/>
    </row>
    <row r="231">
      <c r="B231" s="51"/>
      <c r="I231" s="52"/>
      <c r="P231" s="50"/>
    </row>
    <row r="232">
      <c r="B232" s="51"/>
      <c r="I232" s="52"/>
      <c r="P232" s="50"/>
    </row>
    <row r="233">
      <c r="B233" s="51"/>
      <c r="I233" s="52"/>
      <c r="P233" s="50"/>
    </row>
    <row r="234">
      <c r="B234" s="51"/>
      <c r="I234" s="52"/>
      <c r="P234" s="50"/>
    </row>
    <row r="235">
      <c r="B235" s="51"/>
      <c r="I235" s="52"/>
      <c r="P235" s="50"/>
    </row>
    <row r="236">
      <c r="B236" s="51"/>
      <c r="I236" s="52"/>
      <c r="P236" s="50"/>
    </row>
    <row r="237">
      <c r="B237" s="51"/>
      <c r="I237" s="52"/>
      <c r="P237" s="50"/>
    </row>
    <row r="238">
      <c r="B238" s="51"/>
      <c r="I238" s="52"/>
      <c r="P238" s="50"/>
    </row>
    <row r="239">
      <c r="B239" s="51"/>
      <c r="I239" s="52"/>
      <c r="P239" s="50"/>
    </row>
    <row r="240">
      <c r="B240" s="51"/>
      <c r="I240" s="52"/>
      <c r="P240" s="50"/>
    </row>
    <row r="241">
      <c r="B241" s="51"/>
      <c r="I241" s="52"/>
      <c r="P241" s="50"/>
    </row>
    <row r="242">
      <c r="B242" s="51"/>
      <c r="I242" s="52"/>
      <c r="P242" s="50"/>
    </row>
    <row r="243">
      <c r="B243" s="51"/>
      <c r="I243" s="52"/>
      <c r="P243" s="50"/>
    </row>
    <row r="244">
      <c r="B244" s="51"/>
      <c r="I244" s="52"/>
      <c r="P244" s="50"/>
    </row>
    <row r="245">
      <c r="B245" s="51"/>
      <c r="I245" s="52"/>
      <c r="P245" s="50"/>
    </row>
    <row r="246">
      <c r="B246" s="51"/>
      <c r="I246" s="52"/>
      <c r="P246" s="50"/>
    </row>
    <row r="247">
      <c r="B247" s="51"/>
      <c r="I247" s="52"/>
      <c r="P247" s="50"/>
    </row>
    <row r="248">
      <c r="B248" s="51"/>
      <c r="I248" s="52"/>
      <c r="P248" s="50"/>
    </row>
    <row r="249">
      <c r="B249" s="51"/>
      <c r="I249" s="52"/>
      <c r="P249" s="50"/>
    </row>
    <row r="250">
      <c r="B250" s="51"/>
      <c r="I250" s="52"/>
      <c r="P250" s="50"/>
    </row>
    <row r="251">
      <c r="B251" s="51"/>
      <c r="I251" s="52"/>
      <c r="P251" s="50"/>
    </row>
    <row r="252">
      <c r="B252" s="51"/>
      <c r="I252" s="52"/>
      <c r="P252" s="50"/>
    </row>
    <row r="253">
      <c r="B253" s="51"/>
      <c r="I253" s="52"/>
      <c r="P253" s="50"/>
    </row>
    <row r="254">
      <c r="B254" s="51"/>
      <c r="I254" s="52"/>
      <c r="P254" s="50"/>
    </row>
    <row r="255">
      <c r="B255" s="51"/>
      <c r="I255" s="52"/>
      <c r="P255" s="50"/>
    </row>
    <row r="256">
      <c r="B256" s="51"/>
      <c r="I256" s="52"/>
      <c r="P256" s="50"/>
    </row>
    <row r="257">
      <c r="B257" s="51"/>
      <c r="I257" s="52"/>
      <c r="P257" s="50"/>
    </row>
    <row r="258">
      <c r="B258" s="51"/>
      <c r="I258" s="52"/>
      <c r="P258" s="50"/>
    </row>
    <row r="259">
      <c r="B259" s="51"/>
      <c r="I259" s="52"/>
      <c r="P259" s="50"/>
    </row>
    <row r="260">
      <c r="B260" s="51"/>
      <c r="I260" s="52"/>
      <c r="P260" s="50"/>
    </row>
    <row r="261">
      <c r="B261" s="51"/>
      <c r="I261" s="52"/>
      <c r="P261" s="50"/>
    </row>
    <row r="262">
      <c r="B262" s="51"/>
      <c r="I262" s="52"/>
      <c r="P262" s="50"/>
    </row>
    <row r="263">
      <c r="B263" s="51"/>
      <c r="I263" s="52"/>
      <c r="P263" s="50"/>
    </row>
    <row r="264">
      <c r="B264" s="51"/>
      <c r="I264" s="52"/>
      <c r="P264" s="50"/>
    </row>
    <row r="265">
      <c r="B265" s="51"/>
      <c r="I265" s="52"/>
      <c r="P265" s="50"/>
    </row>
    <row r="266">
      <c r="B266" s="51"/>
      <c r="I266" s="52"/>
      <c r="P266" s="50"/>
    </row>
    <row r="267">
      <c r="B267" s="51"/>
      <c r="I267" s="52"/>
      <c r="P267" s="50"/>
    </row>
    <row r="268">
      <c r="B268" s="51"/>
      <c r="I268" s="52"/>
      <c r="P268" s="50"/>
    </row>
    <row r="269">
      <c r="B269" s="51"/>
      <c r="I269" s="52"/>
      <c r="P269" s="50"/>
    </row>
    <row r="270">
      <c r="B270" s="51"/>
      <c r="I270" s="52"/>
      <c r="P270" s="50"/>
    </row>
    <row r="271">
      <c r="B271" s="51"/>
      <c r="I271" s="52"/>
      <c r="P271" s="50"/>
    </row>
    <row r="272">
      <c r="B272" s="51"/>
      <c r="I272" s="52"/>
      <c r="P272" s="50"/>
    </row>
    <row r="273">
      <c r="B273" s="51"/>
      <c r="I273" s="52"/>
      <c r="P273" s="50"/>
    </row>
    <row r="274">
      <c r="B274" s="51"/>
      <c r="I274" s="52"/>
      <c r="P274" s="50"/>
    </row>
    <row r="275">
      <c r="B275" s="51"/>
      <c r="I275" s="52"/>
      <c r="P275" s="50"/>
    </row>
    <row r="276">
      <c r="B276" s="51"/>
      <c r="I276" s="52"/>
      <c r="P276" s="50"/>
    </row>
    <row r="277">
      <c r="B277" s="51"/>
      <c r="I277" s="52"/>
      <c r="P277" s="50"/>
    </row>
    <row r="278">
      <c r="B278" s="51"/>
      <c r="I278" s="52"/>
      <c r="P278" s="50"/>
    </row>
    <row r="279">
      <c r="B279" s="51"/>
      <c r="I279" s="52"/>
      <c r="P279" s="50"/>
    </row>
    <row r="280">
      <c r="B280" s="51"/>
      <c r="I280" s="52"/>
      <c r="P280" s="50"/>
    </row>
    <row r="281">
      <c r="B281" s="51"/>
      <c r="I281" s="52"/>
      <c r="P281" s="50"/>
    </row>
    <row r="282">
      <c r="B282" s="51"/>
      <c r="I282" s="52"/>
      <c r="P282" s="50"/>
    </row>
    <row r="283">
      <c r="B283" s="51"/>
      <c r="I283" s="52"/>
      <c r="P283" s="50"/>
    </row>
    <row r="284">
      <c r="B284" s="51"/>
      <c r="I284" s="52"/>
      <c r="P284" s="50"/>
    </row>
    <row r="285">
      <c r="B285" s="51"/>
      <c r="I285" s="52"/>
      <c r="P285" s="50"/>
    </row>
    <row r="286">
      <c r="B286" s="51"/>
      <c r="I286" s="52"/>
      <c r="P286" s="50"/>
    </row>
    <row r="287">
      <c r="B287" s="51"/>
      <c r="I287" s="52"/>
      <c r="P287" s="50"/>
    </row>
    <row r="288">
      <c r="B288" s="51"/>
      <c r="I288" s="52"/>
      <c r="P288" s="50"/>
    </row>
    <row r="289">
      <c r="B289" s="51"/>
      <c r="I289" s="52"/>
      <c r="P289" s="50"/>
    </row>
    <row r="290">
      <c r="B290" s="51"/>
      <c r="I290" s="52"/>
      <c r="P290" s="50"/>
    </row>
    <row r="291">
      <c r="B291" s="51"/>
      <c r="I291" s="52"/>
      <c r="P291" s="50"/>
    </row>
    <row r="292">
      <c r="B292" s="51"/>
      <c r="I292" s="52"/>
      <c r="P292" s="50"/>
    </row>
    <row r="293">
      <c r="B293" s="51"/>
      <c r="I293" s="52"/>
      <c r="P293" s="50"/>
    </row>
    <row r="294">
      <c r="B294" s="51"/>
      <c r="I294" s="52"/>
      <c r="P294" s="50"/>
    </row>
    <row r="295">
      <c r="B295" s="51"/>
      <c r="I295" s="52"/>
      <c r="P295" s="50"/>
    </row>
    <row r="296">
      <c r="B296" s="51"/>
      <c r="I296" s="52"/>
      <c r="P296" s="50"/>
    </row>
    <row r="297">
      <c r="B297" s="51"/>
      <c r="I297" s="52"/>
      <c r="P297" s="50"/>
    </row>
    <row r="298">
      <c r="B298" s="51"/>
      <c r="I298" s="52"/>
      <c r="P298" s="50"/>
    </row>
    <row r="299">
      <c r="B299" s="51"/>
      <c r="I299" s="52"/>
      <c r="P299" s="50"/>
    </row>
    <row r="300">
      <c r="B300" s="51"/>
      <c r="I300" s="52"/>
      <c r="P300" s="50"/>
    </row>
    <row r="301">
      <c r="B301" s="51"/>
      <c r="I301" s="52"/>
      <c r="P301" s="50"/>
    </row>
    <row r="302">
      <c r="B302" s="51"/>
      <c r="I302" s="52"/>
      <c r="P302" s="50"/>
    </row>
    <row r="303">
      <c r="B303" s="51"/>
      <c r="I303" s="52"/>
      <c r="P303" s="50"/>
    </row>
    <row r="304">
      <c r="B304" s="51"/>
      <c r="I304" s="52"/>
      <c r="P304" s="50"/>
    </row>
    <row r="305">
      <c r="B305" s="51"/>
      <c r="I305" s="52"/>
      <c r="P305" s="50"/>
    </row>
    <row r="306">
      <c r="B306" s="51"/>
      <c r="I306" s="52"/>
      <c r="P306" s="50"/>
    </row>
    <row r="307">
      <c r="B307" s="51"/>
      <c r="I307" s="52"/>
      <c r="P307" s="50"/>
    </row>
    <row r="308">
      <c r="B308" s="51"/>
      <c r="I308" s="52"/>
      <c r="P308" s="50"/>
    </row>
    <row r="309">
      <c r="B309" s="51"/>
      <c r="I309" s="52"/>
      <c r="P309" s="50"/>
    </row>
    <row r="310">
      <c r="B310" s="51"/>
      <c r="I310" s="52"/>
      <c r="P310" s="50"/>
    </row>
    <row r="311">
      <c r="B311" s="51"/>
      <c r="I311" s="52"/>
      <c r="P311" s="50"/>
    </row>
    <row r="312">
      <c r="B312" s="51"/>
      <c r="I312" s="52"/>
      <c r="P312" s="50"/>
    </row>
    <row r="313">
      <c r="B313" s="51"/>
      <c r="I313" s="52"/>
      <c r="P313" s="50"/>
    </row>
    <row r="314">
      <c r="B314" s="51"/>
      <c r="I314" s="52"/>
      <c r="P314" s="50"/>
    </row>
    <row r="315">
      <c r="B315" s="51"/>
      <c r="I315" s="52"/>
      <c r="P315" s="50"/>
    </row>
    <row r="316">
      <c r="B316" s="51"/>
      <c r="I316" s="52"/>
      <c r="P316" s="50"/>
    </row>
    <row r="317">
      <c r="B317" s="51"/>
      <c r="I317" s="52"/>
      <c r="P317" s="50"/>
    </row>
    <row r="318">
      <c r="B318" s="51"/>
      <c r="I318" s="52"/>
      <c r="P318" s="50"/>
    </row>
    <row r="319">
      <c r="B319" s="51"/>
      <c r="I319" s="52"/>
      <c r="P319" s="50"/>
    </row>
    <row r="320">
      <c r="B320" s="51"/>
      <c r="I320" s="52"/>
      <c r="P320" s="50"/>
    </row>
    <row r="321">
      <c r="B321" s="51"/>
      <c r="I321" s="52"/>
      <c r="P321" s="50"/>
    </row>
    <row r="322">
      <c r="B322" s="51"/>
      <c r="I322" s="52"/>
      <c r="P322" s="50"/>
    </row>
    <row r="323">
      <c r="B323" s="51"/>
      <c r="I323" s="52"/>
      <c r="P323" s="50"/>
    </row>
    <row r="324">
      <c r="B324" s="51"/>
      <c r="I324" s="52"/>
      <c r="P324" s="50"/>
    </row>
    <row r="325">
      <c r="B325" s="51"/>
      <c r="I325" s="52"/>
      <c r="P325" s="50"/>
    </row>
    <row r="326">
      <c r="B326" s="51"/>
      <c r="I326" s="52"/>
      <c r="P326" s="50"/>
    </row>
    <row r="327">
      <c r="B327" s="51"/>
      <c r="I327" s="52"/>
      <c r="P327" s="50"/>
    </row>
    <row r="328">
      <c r="B328" s="51"/>
      <c r="I328" s="52"/>
      <c r="P328" s="50"/>
    </row>
    <row r="329">
      <c r="B329" s="51"/>
      <c r="I329" s="52"/>
      <c r="P329" s="50"/>
    </row>
    <row r="330">
      <c r="B330" s="51"/>
      <c r="I330" s="52"/>
      <c r="P330" s="50"/>
    </row>
    <row r="331">
      <c r="B331" s="51"/>
      <c r="I331" s="52"/>
      <c r="P331" s="50"/>
    </row>
    <row r="332">
      <c r="B332" s="51"/>
      <c r="I332" s="52"/>
      <c r="P332" s="50"/>
    </row>
    <row r="333">
      <c r="B333" s="51"/>
      <c r="I333" s="52"/>
      <c r="P333" s="50"/>
    </row>
    <row r="334">
      <c r="B334" s="51"/>
      <c r="I334" s="52"/>
      <c r="P334" s="50"/>
    </row>
    <row r="335">
      <c r="B335" s="51"/>
      <c r="I335" s="52"/>
      <c r="P335" s="50"/>
    </row>
    <row r="336">
      <c r="B336" s="51"/>
      <c r="I336" s="52"/>
      <c r="P336" s="50"/>
    </row>
    <row r="337">
      <c r="B337" s="51"/>
      <c r="I337" s="52"/>
      <c r="P337" s="50"/>
    </row>
    <row r="338">
      <c r="B338" s="51"/>
      <c r="I338" s="52"/>
      <c r="P338" s="50"/>
    </row>
    <row r="339">
      <c r="B339" s="51"/>
      <c r="I339" s="52"/>
      <c r="P339" s="50"/>
    </row>
    <row r="340">
      <c r="B340" s="51"/>
      <c r="I340" s="52"/>
      <c r="P340" s="50"/>
    </row>
    <row r="341">
      <c r="B341" s="51"/>
      <c r="I341" s="52"/>
      <c r="P341" s="50"/>
    </row>
    <row r="342">
      <c r="B342" s="51"/>
      <c r="I342" s="52"/>
      <c r="P342" s="50"/>
    </row>
    <row r="343">
      <c r="B343" s="51"/>
      <c r="I343" s="52"/>
      <c r="P343" s="50"/>
    </row>
    <row r="344">
      <c r="B344" s="51"/>
      <c r="I344" s="52"/>
      <c r="P344" s="50"/>
    </row>
    <row r="345">
      <c r="B345" s="51"/>
      <c r="I345" s="52"/>
      <c r="P345" s="50"/>
    </row>
    <row r="346">
      <c r="B346" s="51"/>
      <c r="I346" s="52"/>
      <c r="P346" s="50"/>
    </row>
    <row r="347">
      <c r="B347" s="51"/>
      <c r="I347" s="52"/>
      <c r="P347" s="50"/>
    </row>
    <row r="348">
      <c r="B348" s="51"/>
      <c r="I348" s="52"/>
      <c r="P348" s="50"/>
    </row>
    <row r="349">
      <c r="B349" s="51"/>
      <c r="I349" s="52"/>
      <c r="P349" s="50"/>
    </row>
    <row r="350">
      <c r="B350" s="51"/>
      <c r="I350" s="52"/>
      <c r="P350" s="50"/>
    </row>
    <row r="351">
      <c r="B351" s="51"/>
      <c r="I351" s="52"/>
      <c r="P351" s="50"/>
    </row>
    <row r="352">
      <c r="B352" s="51"/>
      <c r="I352" s="52"/>
      <c r="P352" s="50"/>
    </row>
    <row r="353">
      <c r="B353" s="51"/>
      <c r="I353" s="52"/>
      <c r="P353" s="50"/>
    </row>
    <row r="354">
      <c r="B354" s="51"/>
      <c r="I354" s="52"/>
      <c r="P354" s="50"/>
    </row>
    <row r="355">
      <c r="B355" s="51"/>
      <c r="I355" s="52"/>
      <c r="P355" s="50"/>
    </row>
    <row r="356">
      <c r="B356" s="51"/>
      <c r="I356" s="52"/>
      <c r="P356" s="50"/>
    </row>
    <row r="357">
      <c r="B357" s="51"/>
      <c r="I357" s="52"/>
      <c r="P357" s="50"/>
    </row>
    <row r="358">
      <c r="B358" s="51"/>
      <c r="I358" s="52"/>
      <c r="P358" s="50"/>
    </row>
    <row r="359">
      <c r="B359" s="51"/>
      <c r="I359" s="52"/>
      <c r="P359" s="50"/>
    </row>
    <row r="360">
      <c r="B360" s="51"/>
      <c r="I360" s="52"/>
      <c r="P360" s="50"/>
    </row>
    <row r="361">
      <c r="B361" s="51"/>
      <c r="I361" s="52"/>
      <c r="P361" s="50"/>
    </row>
    <row r="362">
      <c r="B362" s="51"/>
      <c r="I362" s="52"/>
      <c r="P362" s="50"/>
    </row>
    <row r="363">
      <c r="B363" s="51"/>
      <c r="I363" s="52"/>
      <c r="P363" s="50"/>
    </row>
    <row r="364">
      <c r="B364" s="51"/>
      <c r="I364" s="52"/>
      <c r="P364" s="50"/>
    </row>
    <row r="365">
      <c r="B365" s="51"/>
      <c r="I365" s="52"/>
      <c r="P365" s="50"/>
    </row>
    <row r="366">
      <c r="B366" s="51"/>
      <c r="I366" s="52"/>
      <c r="P366" s="50"/>
    </row>
    <row r="367">
      <c r="B367" s="51"/>
      <c r="I367" s="52"/>
      <c r="P367" s="50"/>
    </row>
    <row r="368">
      <c r="B368" s="51"/>
      <c r="I368" s="52"/>
      <c r="P368" s="50"/>
    </row>
    <row r="369">
      <c r="B369" s="51"/>
      <c r="I369" s="52"/>
      <c r="P369" s="50"/>
    </row>
    <row r="370">
      <c r="B370" s="51"/>
      <c r="I370" s="52"/>
      <c r="P370" s="50"/>
    </row>
    <row r="371">
      <c r="B371" s="51"/>
      <c r="I371" s="52"/>
      <c r="P371" s="50"/>
    </row>
    <row r="372">
      <c r="B372" s="51"/>
      <c r="I372" s="52"/>
      <c r="P372" s="50"/>
    </row>
    <row r="373">
      <c r="B373" s="51"/>
      <c r="I373" s="52"/>
      <c r="P373" s="50"/>
    </row>
    <row r="374">
      <c r="B374" s="51"/>
      <c r="I374" s="52"/>
      <c r="P374" s="50"/>
    </row>
    <row r="375">
      <c r="B375" s="51"/>
      <c r="I375" s="52"/>
      <c r="P375" s="50"/>
    </row>
    <row r="376">
      <c r="B376" s="51"/>
      <c r="I376" s="52"/>
      <c r="P376" s="50"/>
    </row>
    <row r="377">
      <c r="B377" s="51"/>
      <c r="I377" s="52"/>
      <c r="P377" s="50"/>
    </row>
    <row r="378">
      <c r="B378" s="51"/>
      <c r="I378" s="52"/>
      <c r="P378" s="50"/>
    </row>
    <row r="379">
      <c r="B379" s="51"/>
      <c r="I379" s="52"/>
      <c r="P379" s="50"/>
    </row>
    <row r="380">
      <c r="B380" s="51"/>
      <c r="I380" s="52"/>
      <c r="P380" s="50"/>
    </row>
    <row r="381">
      <c r="B381" s="51"/>
      <c r="I381" s="52"/>
      <c r="P381" s="50"/>
    </row>
    <row r="382">
      <c r="B382" s="51"/>
      <c r="I382" s="52"/>
      <c r="P382" s="50"/>
    </row>
    <row r="383">
      <c r="B383" s="51"/>
      <c r="I383" s="52"/>
      <c r="P383" s="50"/>
    </row>
    <row r="384">
      <c r="B384" s="51"/>
      <c r="I384" s="52"/>
      <c r="P384" s="50"/>
    </row>
    <row r="385">
      <c r="B385" s="51"/>
      <c r="I385" s="52"/>
      <c r="P385" s="50"/>
    </row>
    <row r="386">
      <c r="B386" s="51"/>
      <c r="I386" s="52"/>
      <c r="P386" s="50"/>
    </row>
    <row r="387">
      <c r="B387" s="51"/>
      <c r="I387" s="52"/>
      <c r="P387" s="50"/>
    </row>
    <row r="388">
      <c r="B388" s="51"/>
      <c r="I388" s="52"/>
      <c r="P388" s="50"/>
    </row>
    <row r="389">
      <c r="B389" s="51"/>
      <c r="I389" s="52"/>
      <c r="P389" s="50"/>
    </row>
    <row r="390">
      <c r="B390" s="51"/>
      <c r="I390" s="52"/>
      <c r="P390" s="50"/>
    </row>
    <row r="391">
      <c r="B391" s="51"/>
      <c r="I391" s="52"/>
      <c r="P391" s="50"/>
    </row>
    <row r="392">
      <c r="B392" s="51"/>
      <c r="I392" s="52"/>
      <c r="P392" s="50"/>
    </row>
    <row r="393">
      <c r="B393" s="51"/>
      <c r="I393" s="52"/>
      <c r="P393" s="50"/>
    </row>
    <row r="394">
      <c r="B394" s="51"/>
      <c r="I394" s="52"/>
      <c r="P394" s="50"/>
    </row>
    <row r="395">
      <c r="B395" s="51"/>
      <c r="I395" s="52"/>
      <c r="P395" s="50"/>
    </row>
    <row r="396">
      <c r="B396" s="51"/>
      <c r="I396" s="52"/>
      <c r="P396" s="50"/>
    </row>
    <row r="397">
      <c r="B397" s="51"/>
      <c r="I397" s="52"/>
      <c r="P397" s="50"/>
    </row>
    <row r="398">
      <c r="B398" s="51"/>
      <c r="I398" s="52"/>
      <c r="P398" s="50"/>
    </row>
    <row r="399">
      <c r="B399" s="51"/>
      <c r="I399" s="52"/>
      <c r="P399" s="50"/>
    </row>
    <row r="400">
      <c r="B400" s="51"/>
      <c r="I400" s="52"/>
      <c r="P400" s="50"/>
    </row>
    <row r="401">
      <c r="B401" s="51"/>
      <c r="I401" s="52"/>
      <c r="P401" s="50"/>
    </row>
    <row r="402">
      <c r="B402" s="51"/>
      <c r="I402" s="52"/>
      <c r="P402" s="50"/>
    </row>
    <row r="403">
      <c r="B403" s="51"/>
      <c r="I403" s="52"/>
      <c r="P403" s="50"/>
    </row>
    <row r="404">
      <c r="B404" s="51"/>
      <c r="I404" s="52"/>
      <c r="P404" s="50"/>
    </row>
    <row r="405">
      <c r="B405" s="51"/>
      <c r="I405" s="52"/>
      <c r="P405" s="50"/>
    </row>
    <row r="406">
      <c r="B406" s="51"/>
      <c r="I406" s="52"/>
      <c r="P406" s="50"/>
    </row>
    <row r="407">
      <c r="B407" s="51"/>
      <c r="I407" s="52"/>
      <c r="P407" s="50"/>
    </row>
    <row r="408">
      <c r="B408" s="51"/>
      <c r="I408" s="52"/>
      <c r="P408" s="50"/>
    </row>
    <row r="409">
      <c r="B409" s="51"/>
      <c r="I409" s="52"/>
      <c r="P409" s="50"/>
    </row>
    <row r="410">
      <c r="B410" s="51"/>
      <c r="I410" s="52"/>
      <c r="P410" s="50"/>
    </row>
    <row r="411">
      <c r="B411" s="51"/>
      <c r="I411" s="52"/>
      <c r="P411" s="50"/>
    </row>
    <row r="412">
      <c r="B412" s="51"/>
      <c r="I412" s="52"/>
      <c r="P412" s="50"/>
    </row>
    <row r="413">
      <c r="B413" s="51"/>
      <c r="I413" s="52"/>
      <c r="P413" s="50"/>
    </row>
    <row r="414">
      <c r="B414" s="51"/>
      <c r="I414" s="52"/>
      <c r="P414" s="50"/>
    </row>
    <row r="415">
      <c r="B415" s="51"/>
      <c r="I415" s="52"/>
      <c r="P415" s="50"/>
    </row>
    <row r="416">
      <c r="B416" s="51"/>
      <c r="I416" s="52"/>
      <c r="P416" s="50"/>
    </row>
    <row r="417">
      <c r="B417" s="51"/>
      <c r="I417" s="52"/>
      <c r="P417" s="50"/>
    </row>
    <row r="418">
      <c r="B418" s="51"/>
      <c r="I418" s="52"/>
      <c r="P418" s="50"/>
    </row>
    <row r="419">
      <c r="B419" s="51"/>
      <c r="I419" s="52"/>
      <c r="P419" s="50"/>
    </row>
    <row r="420">
      <c r="B420" s="51"/>
      <c r="I420" s="52"/>
      <c r="P420" s="50"/>
    </row>
    <row r="421">
      <c r="B421" s="51"/>
      <c r="I421" s="52"/>
      <c r="P421" s="50"/>
    </row>
    <row r="422">
      <c r="B422" s="51"/>
      <c r="I422" s="52"/>
      <c r="P422" s="50"/>
    </row>
    <row r="423">
      <c r="B423" s="51"/>
      <c r="I423" s="52"/>
      <c r="P423" s="50"/>
    </row>
    <row r="424">
      <c r="B424" s="51"/>
      <c r="I424" s="52"/>
      <c r="P424" s="50"/>
    </row>
    <row r="425">
      <c r="B425" s="51"/>
      <c r="I425" s="52"/>
      <c r="P425" s="50"/>
    </row>
    <row r="426">
      <c r="B426" s="51"/>
      <c r="I426" s="52"/>
      <c r="P426" s="50"/>
    </row>
    <row r="427">
      <c r="B427" s="51"/>
      <c r="I427" s="52"/>
      <c r="P427" s="50"/>
    </row>
    <row r="428">
      <c r="B428" s="51"/>
      <c r="I428" s="52"/>
      <c r="P428" s="50"/>
    </row>
    <row r="429">
      <c r="B429" s="51"/>
      <c r="I429" s="52"/>
      <c r="P429" s="50"/>
    </row>
    <row r="430">
      <c r="B430" s="51"/>
      <c r="I430" s="52"/>
      <c r="P430" s="50"/>
    </row>
    <row r="431">
      <c r="B431" s="51"/>
      <c r="I431" s="52"/>
      <c r="P431" s="50"/>
    </row>
    <row r="432">
      <c r="B432" s="51"/>
      <c r="I432" s="52"/>
      <c r="P432" s="50"/>
    </row>
    <row r="433">
      <c r="B433" s="51"/>
      <c r="I433" s="52"/>
      <c r="P433" s="50"/>
    </row>
    <row r="434">
      <c r="B434" s="51"/>
      <c r="I434" s="52"/>
      <c r="P434" s="50"/>
    </row>
    <row r="435">
      <c r="B435" s="51"/>
      <c r="I435" s="52"/>
      <c r="P435" s="50"/>
    </row>
    <row r="436">
      <c r="B436" s="51"/>
      <c r="I436" s="52"/>
      <c r="P436" s="50"/>
    </row>
    <row r="437">
      <c r="B437" s="51"/>
      <c r="I437" s="52"/>
      <c r="P437" s="50"/>
    </row>
    <row r="438">
      <c r="B438" s="51"/>
      <c r="I438" s="52"/>
      <c r="P438" s="50"/>
    </row>
    <row r="439">
      <c r="B439" s="51"/>
      <c r="I439" s="52"/>
      <c r="P439" s="50"/>
    </row>
    <row r="440">
      <c r="B440" s="51"/>
      <c r="I440" s="52"/>
      <c r="P440" s="50"/>
    </row>
    <row r="441">
      <c r="B441" s="51"/>
      <c r="I441" s="52"/>
      <c r="P441" s="50"/>
    </row>
    <row r="442">
      <c r="B442" s="51"/>
      <c r="I442" s="52"/>
      <c r="P442" s="50"/>
    </row>
    <row r="443">
      <c r="B443" s="51"/>
      <c r="I443" s="52"/>
      <c r="P443" s="50"/>
    </row>
    <row r="444">
      <c r="B444" s="51"/>
      <c r="I444" s="52"/>
      <c r="P444" s="50"/>
    </row>
    <row r="445">
      <c r="B445" s="51"/>
      <c r="I445" s="52"/>
      <c r="P445" s="50"/>
    </row>
    <row r="446">
      <c r="B446" s="51"/>
      <c r="I446" s="52"/>
      <c r="P446" s="50"/>
    </row>
    <row r="447">
      <c r="B447" s="51"/>
      <c r="I447" s="52"/>
      <c r="P447" s="50"/>
    </row>
    <row r="448">
      <c r="B448" s="51"/>
      <c r="I448" s="52"/>
      <c r="P448" s="50"/>
    </row>
    <row r="449">
      <c r="B449" s="51"/>
      <c r="I449" s="52"/>
      <c r="P449" s="50"/>
    </row>
    <row r="450">
      <c r="B450" s="51"/>
      <c r="I450" s="52"/>
      <c r="P450" s="50"/>
    </row>
    <row r="451">
      <c r="B451" s="51"/>
      <c r="I451" s="52"/>
      <c r="P451" s="50"/>
    </row>
    <row r="452">
      <c r="B452" s="51"/>
      <c r="I452" s="52"/>
      <c r="P452" s="50"/>
    </row>
    <row r="453">
      <c r="B453" s="51"/>
      <c r="I453" s="52"/>
      <c r="P453" s="50"/>
    </row>
    <row r="454">
      <c r="B454" s="51"/>
      <c r="I454" s="52"/>
      <c r="P454" s="50"/>
    </row>
    <row r="455">
      <c r="B455" s="51"/>
      <c r="I455" s="52"/>
      <c r="P455" s="50"/>
    </row>
    <row r="456">
      <c r="B456" s="51"/>
      <c r="I456" s="52"/>
      <c r="P456" s="50"/>
    </row>
    <row r="457">
      <c r="B457" s="51"/>
      <c r="I457" s="52"/>
      <c r="P457" s="50"/>
    </row>
    <row r="458">
      <c r="B458" s="51"/>
      <c r="I458" s="52"/>
      <c r="P458" s="50"/>
    </row>
    <row r="459">
      <c r="B459" s="51"/>
      <c r="I459" s="52"/>
      <c r="P459" s="50"/>
    </row>
    <row r="460">
      <c r="B460" s="51"/>
      <c r="I460" s="52"/>
      <c r="P460" s="50"/>
    </row>
    <row r="461">
      <c r="B461" s="51"/>
      <c r="I461" s="52"/>
      <c r="P461" s="50"/>
    </row>
    <row r="462">
      <c r="B462" s="51"/>
      <c r="I462" s="52"/>
      <c r="P462" s="50"/>
    </row>
    <row r="463">
      <c r="B463" s="51"/>
      <c r="I463" s="52"/>
      <c r="P463" s="50"/>
    </row>
    <row r="464">
      <c r="B464" s="51"/>
      <c r="I464" s="52"/>
      <c r="P464" s="50"/>
    </row>
    <row r="465">
      <c r="B465" s="51"/>
      <c r="I465" s="52"/>
      <c r="P465" s="50"/>
    </row>
    <row r="466">
      <c r="B466" s="51"/>
      <c r="I466" s="52"/>
      <c r="P466" s="50"/>
    </row>
    <row r="467">
      <c r="B467" s="51"/>
      <c r="I467" s="52"/>
      <c r="P467" s="50"/>
    </row>
    <row r="468">
      <c r="B468" s="51"/>
      <c r="I468" s="52"/>
      <c r="P468" s="50"/>
    </row>
    <row r="469">
      <c r="B469" s="51"/>
      <c r="I469" s="52"/>
      <c r="P469" s="50"/>
    </row>
    <row r="470">
      <c r="B470" s="51"/>
      <c r="I470" s="52"/>
      <c r="P470" s="50"/>
    </row>
    <row r="471">
      <c r="B471" s="51"/>
      <c r="I471" s="52"/>
      <c r="P471" s="50"/>
    </row>
    <row r="472">
      <c r="B472" s="51"/>
      <c r="I472" s="52"/>
      <c r="P472" s="50"/>
    </row>
    <row r="473">
      <c r="B473" s="51"/>
      <c r="I473" s="52"/>
      <c r="P473" s="50"/>
    </row>
    <row r="474">
      <c r="B474" s="51"/>
      <c r="I474" s="52"/>
      <c r="P474" s="50"/>
    </row>
    <row r="475">
      <c r="B475" s="51"/>
      <c r="I475" s="52"/>
      <c r="P475" s="50"/>
    </row>
    <row r="476">
      <c r="B476" s="51"/>
      <c r="I476" s="52"/>
      <c r="P476" s="50"/>
    </row>
    <row r="477">
      <c r="B477" s="51"/>
      <c r="I477" s="52"/>
      <c r="P477" s="50"/>
    </row>
    <row r="478">
      <c r="B478" s="51"/>
      <c r="I478" s="52"/>
      <c r="P478" s="50"/>
    </row>
    <row r="479">
      <c r="B479" s="51"/>
      <c r="I479" s="52"/>
      <c r="P479" s="50"/>
    </row>
    <row r="480">
      <c r="B480" s="51"/>
      <c r="I480" s="52"/>
      <c r="P480" s="50"/>
    </row>
    <row r="481">
      <c r="B481" s="51"/>
      <c r="I481" s="52"/>
      <c r="P481" s="50"/>
    </row>
    <row r="482">
      <c r="B482" s="51"/>
      <c r="I482" s="52"/>
      <c r="P482" s="50"/>
    </row>
    <row r="483">
      <c r="B483" s="51"/>
      <c r="I483" s="52"/>
      <c r="P483" s="50"/>
    </row>
    <row r="484">
      <c r="B484" s="51"/>
      <c r="I484" s="52"/>
      <c r="P484" s="50"/>
    </row>
    <row r="485">
      <c r="B485" s="51"/>
      <c r="I485" s="52"/>
      <c r="P485" s="50"/>
    </row>
    <row r="486">
      <c r="B486" s="51"/>
      <c r="I486" s="52"/>
      <c r="P486" s="50"/>
    </row>
    <row r="487">
      <c r="B487" s="51"/>
      <c r="I487" s="52"/>
      <c r="P487" s="50"/>
    </row>
    <row r="488">
      <c r="B488" s="51"/>
      <c r="I488" s="52"/>
      <c r="P488" s="50"/>
    </row>
    <row r="489">
      <c r="B489" s="51"/>
      <c r="I489" s="52"/>
      <c r="P489" s="50"/>
    </row>
    <row r="490">
      <c r="B490" s="51"/>
      <c r="I490" s="52"/>
      <c r="P490" s="50"/>
    </row>
    <row r="491">
      <c r="B491" s="51"/>
      <c r="I491" s="52"/>
      <c r="P491" s="50"/>
    </row>
    <row r="492">
      <c r="B492" s="51"/>
      <c r="I492" s="52"/>
      <c r="P492" s="50"/>
    </row>
    <row r="493">
      <c r="B493" s="51"/>
      <c r="I493" s="52"/>
      <c r="P493" s="50"/>
    </row>
    <row r="494">
      <c r="B494" s="51"/>
      <c r="I494" s="52"/>
      <c r="P494" s="50"/>
    </row>
    <row r="495">
      <c r="B495" s="51"/>
      <c r="I495" s="52"/>
      <c r="P495" s="50"/>
    </row>
    <row r="496">
      <c r="B496" s="51"/>
      <c r="I496" s="52"/>
      <c r="P496" s="50"/>
    </row>
    <row r="497">
      <c r="B497" s="51"/>
      <c r="I497" s="52"/>
      <c r="P497" s="50"/>
    </row>
    <row r="498">
      <c r="B498" s="51"/>
      <c r="I498" s="52"/>
      <c r="P498" s="50"/>
    </row>
    <row r="499">
      <c r="B499" s="51"/>
      <c r="I499" s="52"/>
      <c r="P499" s="50"/>
    </row>
    <row r="500">
      <c r="B500" s="51"/>
      <c r="I500" s="52"/>
      <c r="P500" s="50"/>
    </row>
    <row r="501">
      <c r="B501" s="51"/>
      <c r="I501" s="52"/>
      <c r="P501" s="50"/>
    </row>
    <row r="502">
      <c r="B502" s="51"/>
      <c r="I502" s="52"/>
      <c r="P502" s="50"/>
    </row>
    <row r="503">
      <c r="B503" s="51"/>
      <c r="I503" s="52"/>
      <c r="P503" s="50"/>
    </row>
    <row r="504">
      <c r="B504" s="51"/>
      <c r="I504" s="52"/>
      <c r="P504" s="50"/>
    </row>
    <row r="505">
      <c r="B505" s="51"/>
      <c r="I505" s="52"/>
      <c r="P505" s="50"/>
    </row>
    <row r="506">
      <c r="B506" s="51"/>
      <c r="I506" s="52"/>
      <c r="P506" s="50"/>
    </row>
    <row r="507">
      <c r="B507" s="51"/>
      <c r="I507" s="52"/>
      <c r="P507" s="50"/>
    </row>
    <row r="508">
      <c r="B508" s="51"/>
      <c r="I508" s="52"/>
      <c r="P508" s="50"/>
    </row>
    <row r="509">
      <c r="B509" s="51"/>
      <c r="I509" s="52"/>
      <c r="P509" s="50"/>
    </row>
    <row r="510">
      <c r="B510" s="51"/>
      <c r="I510" s="52"/>
      <c r="P510" s="50"/>
    </row>
    <row r="511">
      <c r="B511" s="51"/>
      <c r="I511" s="52"/>
      <c r="P511" s="50"/>
    </row>
    <row r="512">
      <c r="B512" s="51"/>
      <c r="I512" s="52"/>
      <c r="P512" s="50"/>
    </row>
    <row r="513">
      <c r="B513" s="51"/>
      <c r="I513" s="52"/>
      <c r="P513" s="50"/>
    </row>
    <row r="514">
      <c r="B514" s="51"/>
      <c r="I514" s="52"/>
      <c r="P514" s="50"/>
    </row>
    <row r="515">
      <c r="B515" s="51"/>
      <c r="I515" s="52"/>
      <c r="P515" s="50"/>
    </row>
    <row r="516">
      <c r="B516" s="51"/>
      <c r="I516" s="52"/>
      <c r="P516" s="50"/>
    </row>
    <row r="517">
      <c r="B517" s="51"/>
      <c r="I517" s="52"/>
      <c r="P517" s="50"/>
    </row>
    <row r="518">
      <c r="B518" s="51"/>
      <c r="I518" s="52"/>
      <c r="P518" s="50"/>
    </row>
    <row r="519">
      <c r="B519" s="51"/>
      <c r="I519" s="52"/>
      <c r="P519" s="50"/>
    </row>
    <row r="520">
      <c r="B520" s="51"/>
      <c r="I520" s="52"/>
      <c r="P520" s="50"/>
    </row>
    <row r="521">
      <c r="B521" s="51"/>
      <c r="I521" s="52"/>
      <c r="P521" s="50"/>
    </row>
    <row r="522">
      <c r="B522" s="51"/>
      <c r="I522" s="52"/>
      <c r="P522" s="50"/>
    </row>
    <row r="523">
      <c r="B523" s="51"/>
      <c r="I523" s="52"/>
      <c r="P523" s="50"/>
    </row>
    <row r="524">
      <c r="B524" s="51"/>
      <c r="I524" s="52"/>
      <c r="P524" s="50"/>
    </row>
    <row r="525">
      <c r="B525" s="51"/>
      <c r="I525" s="52"/>
      <c r="P525" s="50"/>
    </row>
    <row r="526">
      <c r="B526" s="51"/>
      <c r="I526" s="52"/>
      <c r="P526" s="50"/>
    </row>
    <row r="527">
      <c r="B527" s="51"/>
      <c r="I527" s="52"/>
      <c r="P527" s="50"/>
    </row>
    <row r="528">
      <c r="B528" s="51"/>
      <c r="I528" s="52"/>
      <c r="P528" s="50"/>
    </row>
    <row r="529">
      <c r="B529" s="51"/>
      <c r="I529" s="52"/>
      <c r="P529" s="50"/>
    </row>
    <row r="530">
      <c r="B530" s="51"/>
      <c r="I530" s="52"/>
      <c r="P530" s="50"/>
    </row>
    <row r="531">
      <c r="B531" s="51"/>
      <c r="I531" s="52"/>
      <c r="P531" s="50"/>
    </row>
    <row r="532">
      <c r="B532" s="51"/>
      <c r="I532" s="52"/>
      <c r="P532" s="50"/>
    </row>
    <row r="533">
      <c r="B533" s="51"/>
      <c r="I533" s="52"/>
      <c r="P533" s="50"/>
    </row>
    <row r="534">
      <c r="B534" s="51"/>
      <c r="I534" s="52"/>
      <c r="P534" s="50"/>
    </row>
    <row r="535">
      <c r="B535" s="51"/>
      <c r="I535" s="52"/>
      <c r="P535" s="50"/>
    </row>
    <row r="536">
      <c r="B536" s="51"/>
      <c r="I536" s="52"/>
      <c r="P536" s="50"/>
    </row>
    <row r="537">
      <c r="B537" s="51"/>
      <c r="I537" s="52"/>
      <c r="P537" s="50"/>
    </row>
    <row r="538">
      <c r="B538" s="51"/>
      <c r="I538" s="52"/>
      <c r="P538" s="50"/>
    </row>
    <row r="539">
      <c r="B539" s="51"/>
      <c r="I539" s="52"/>
      <c r="P539" s="50"/>
    </row>
    <row r="540">
      <c r="B540" s="51"/>
      <c r="I540" s="52"/>
      <c r="P540" s="50"/>
    </row>
    <row r="541">
      <c r="B541" s="51"/>
      <c r="I541" s="52"/>
      <c r="P541" s="50"/>
    </row>
    <row r="542">
      <c r="B542" s="51"/>
      <c r="I542" s="52"/>
      <c r="P542" s="50"/>
    </row>
    <row r="543">
      <c r="B543" s="51"/>
      <c r="I543" s="52"/>
      <c r="P543" s="50"/>
    </row>
    <row r="544">
      <c r="B544" s="51"/>
      <c r="I544" s="52"/>
      <c r="P544" s="50"/>
    </row>
    <row r="545">
      <c r="B545" s="51"/>
      <c r="I545" s="52"/>
      <c r="P545" s="50"/>
    </row>
    <row r="546">
      <c r="B546" s="51"/>
      <c r="I546" s="52"/>
      <c r="P546" s="50"/>
    </row>
    <row r="547">
      <c r="B547" s="51"/>
      <c r="I547" s="52"/>
      <c r="P547" s="50"/>
    </row>
    <row r="548">
      <c r="B548" s="51"/>
      <c r="I548" s="52"/>
      <c r="P548" s="50"/>
    </row>
    <row r="549">
      <c r="B549" s="51"/>
      <c r="I549" s="52"/>
      <c r="P549" s="50"/>
    </row>
    <row r="550">
      <c r="B550" s="51"/>
      <c r="I550" s="52"/>
      <c r="P550" s="50"/>
    </row>
    <row r="551">
      <c r="B551" s="51"/>
      <c r="I551" s="52"/>
      <c r="P551" s="50"/>
    </row>
    <row r="552">
      <c r="B552" s="51"/>
      <c r="I552" s="52"/>
      <c r="P552" s="50"/>
    </row>
    <row r="553">
      <c r="B553" s="51"/>
      <c r="I553" s="52"/>
      <c r="P553" s="50"/>
    </row>
    <row r="554">
      <c r="B554" s="51"/>
      <c r="I554" s="52"/>
      <c r="P554" s="50"/>
    </row>
    <row r="555">
      <c r="B555" s="51"/>
      <c r="I555" s="52"/>
      <c r="P555" s="50"/>
    </row>
    <row r="556">
      <c r="B556" s="51"/>
      <c r="I556" s="52"/>
      <c r="P556" s="50"/>
    </row>
    <row r="557">
      <c r="B557" s="51"/>
      <c r="I557" s="52"/>
      <c r="P557" s="50"/>
    </row>
    <row r="558">
      <c r="B558" s="51"/>
      <c r="I558" s="52"/>
      <c r="P558" s="50"/>
    </row>
    <row r="559">
      <c r="B559" s="51"/>
      <c r="I559" s="52"/>
      <c r="P559" s="50"/>
    </row>
    <row r="560">
      <c r="B560" s="51"/>
      <c r="I560" s="52"/>
      <c r="P560" s="50"/>
    </row>
    <row r="561">
      <c r="B561" s="51"/>
      <c r="I561" s="52"/>
      <c r="P561" s="50"/>
    </row>
    <row r="562">
      <c r="B562" s="51"/>
      <c r="I562" s="52"/>
      <c r="P562" s="50"/>
    </row>
    <row r="563">
      <c r="B563" s="51"/>
      <c r="I563" s="52"/>
      <c r="P563" s="50"/>
    </row>
    <row r="564">
      <c r="B564" s="51"/>
      <c r="I564" s="52"/>
      <c r="P564" s="50"/>
    </row>
    <row r="565">
      <c r="B565" s="51"/>
      <c r="I565" s="52"/>
      <c r="P565" s="50"/>
    </row>
    <row r="566">
      <c r="B566" s="51"/>
      <c r="I566" s="52"/>
      <c r="P566" s="50"/>
    </row>
    <row r="567">
      <c r="B567" s="51"/>
      <c r="I567" s="52"/>
      <c r="P567" s="50"/>
    </row>
    <row r="568">
      <c r="B568" s="51"/>
      <c r="I568" s="52"/>
      <c r="P568" s="50"/>
    </row>
    <row r="569">
      <c r="B569" s="51"/>
      <c r="I569" s="52"/>
      <c r="P569" s="50"/>
    </row>
    <row r="570">
      <c r="B570" s="51"/>
      <c r="I570" s="52"/>
      <c r="P570" s="50"/>
    </row>
    <row r="571">
      <c r="B571" s="51"/>
      <c r="I571" s="52"/>
      <c r="P571" s="50"/>
    </row>
    <row r="572">
      <c r="B572" s="51"/>
      <c r="I572" s="52"/>
      <c r="P572" s="50"/>
    </row>
    <row r="573">
      <c r="B573" s="51"/>
      <c r="I573" s="52"/>
      <c r="P573" s="50"/>
    </row>
    <row r="574">
      <c r="B574" s="51"/>
      <c r="I574" s="52"/>
      <c r="P574" s="50"/>
    </row>
    <row r="575">
      <c r="B575" s="51"/>
      <c r="I575" s="52"/>
      <c r="P575" s="50"/>
    </row>
    <row r="576">
      <c r="B576" s="51"/>
      <c r="I576" s="52"/>
      <c r="P576" s="50"/>
    </row>
    <row r="577">
      <c r="B577" s="51"/>
      <c r="I577" s="52"/>
      <c r="P577" s="50"/>
    </row>
    <row r="578">
      <c r="B578" s="51"/>
      <c r="I578" s="52"/>
      <c r="P578" s="50"/>
    </row>
    <row r="579">
      <c r="B579" s="51"/>
      <c r="I579" s="52"/>
      <c r="P579" s="50"/>
    </row>
    <row r="580">
      <c r="B580" s="51"/>
      <c r="I580" s="52"/>
      <c r="P580" s="50"/>
    </row>
    <row r="581">
      <c r="B581" s="51"/>
      <c r="I581" s="52"/>
      <c r="P581" s="50"/>
    </row>
    <row r="582">
      <c r="B582" s="51"/>
      <c r="I582" s="52"/>
      <c r="P582" s="50"/>
    </row>
    <row r="583">
      <c r="B583" s="51"/>
      <c r="I583" s="52"/>
      <c r="P583" s="50"/>
    </row>
    <row r="584">
      <c r="B584" s="51"/>
      <c r="I584" s="52"/>
      <c r="P584" s="50"/>
    </row>
    <row r="585">
      <c r="B585" s="51"/>
      <c r="I585" s="52"/>
      <c r="P585" s="50"/>
    </row>
    <row r="586">
      <c r="B586" s="51"/>
      <c r="I586" s="52"/>
      <c r="P586" s="50"/>
    </row>
    <row r="587">
      <c r="B587" s="51"/>
      <c r="I587" s="52"/>
      <c r="P587" s="50"/>
    </row>
    <row r="588">
      <c r="B588" s="51"/>
      <c r="I588" s="52"/>
      <c r="P588" s="50"/>
    </row>
    <row r="589">
      <c r="B589" s="51"/>
      <c r="I589" s="52"/>
      <c r="P589" s="50"/>
    </row>
    <row r="590">
      <c r="B590" s="51"/>
      <c r="I590" s="52"/>
      <c r="P590" s="50"/>
    </row>
    <row r="591">
      <c r="B591" s="51"/>
      <c r="I591" s="52"/>
      <c r="P591" s="50"/>
    </row>
    <row r="592">
      <c r="B592" s="51"/>
      <c r="I592" s="52"/>
      <c r="P592" s="50"/>
    </row>
    <row r="593">
      <c r="B593" s="51"/>
      <c r="I593" s="52"/>
      <c r="P593" s="50"/>
    </row>
    <row r="594">
      <c r="B594" s="51"/>
      <c r="I594" s="52"/>
      <c r="P594" s="50"/>
    </row>
    <row r="595">
      <c r="B595" s="51"/>
      <c r="I595" s="52"/>
      <c r="P595" s="50"/>
    </row>
    <row r="596">
      <c r="B596" s="51"/>
      <c r="I596" s="52"/>
      <c r="P596" s="50"/>
    </row>
    <row r="597">
      <c r="B597" s="51"/>
      <c r="I597" s="52"/>
      <c r="P597" s="50"/>
    </row>
    <row r="598">
      <c r="B598" s="51"/>
      <c r="I598" s="52"/>
      <c r="P598" s="50"/>
    </row>
    <row r="599">
      <c r="B599" s="51"/>
      <c r="I599" s="52"/>
      <c r="P599" s="50"/>
    </row>
    <row r="600">
      <c r="B600" s="51"/>
      <c r="I600" s="52"/>
      <c r="P600" s="50"/>
    </row>
    <row r="601">
      <c r="B601" s="51"/>
      <c r="I601" s="52"/>
      <c r="P601" s="50"/>
    </row>
    <row r="602">
      <c r="B602" s="51"/>
      <c r="I602" s="52"/>
      <c r="P602" s="50"/>
    </row>
    <row r="603">
      <c r="B603" s="51"/>
      <c r="I603" s="52"/>
      <c r="P603" s="50"/>
    </row>
    <row r="604">
      <c r="B604" s="51"/>
      <c r="I604" s="52"/>
      <c r="P604" s="50"/>
    </row>
    <row r="605">
      <c r="B605" s="51"/>
      <c r="I605" s="52"/>
      <c r="P605" s="50"/>
    </row>
    <row r="606">
      <c r="B606" s="51"/>
      <c r="I606" s="52"/>
      <c r="P606" s="50"/>
    </row>
    <row r="607">
      <c r="B607" s="51"/>
      <c r="I607" s="52"/>
      <c r="P607" s="50"/>
    </row>
    <row r="608">
      <c r="B608" s="51"/>
      <c r="I608" s="52"/>
      <c r="P608" s="50"/>
    </row>
    <row r="609">
      <c r="B609" s="51"/>
      <c r="I609" s="52"/>
      <c r="P609" s="50"/>
    </row>
    <row r="610">
      <c r="B610" s="51"/>
      <c r="I610" s="52"/>
      <c r="P610" s="50"/>
    </row>
    <row r="611">
      <c r="B611" s="51"/>
      <c r="I611" s="52"/>
      <c r="P611" s="50"/>
    </row>
    <row r="612">
      <c r="B612" s="51"/>
      <c r="I612" s="52"/>
      <c r="P612" s="50"/>
    </row>
    <row r="613">
      <c r="B613" s="51"/>
      <c r="I613" s="52"/>
      <c r="P613" s="50"/>
    </row>
    <row r="614">
      <c r="B614" s="51"/>
      <c r="I614" s="52"/>
      <c r="P614" s="50"/>
    </row>
    <row r="615">
      <c r="B615" s="51"/>
      <c r="I615" s="52"/>
      <c r="P615" s="50"/>
    </row>
    <row r="616">
      <c r="B616" s="51"/>
      <c r="I616" s="52"/>
      <c r="P616" s="50"/>
    </row>
    <row r="617">
      <c r="B617" s="51"/>
      <c r="I617" s="52"/>
      <c r="P617" s="50"/>
    </row>
    <row r="618">
      <c r="B618" s="51"/>
      <c r="I618" s="52"/>
      <c r="P618" s="50"/>
    </row>
    <row r="619">
      <c r="B619" s="51"/>
      <c r="I619" s="52"/>
      <c r="P619" s="50"/>
    </row>
    <row r="620">
      <c r="B620" s="51"/>
      <c r="I620" s="52"/>
      <c r="P620" s="50"/>
    </row>
    <row r="621">
      <c r="B621" s="51"/>
      <c r="I621" s="52"/>
      <c r="P621" s="50"/>
    </row>
    <row r="622">
      <c r="B622" s="51"/>
      <c r="I622" s="52"/>
      <c r="P622" s="50"/>
    </row>
    <row r="623">
      <c r="B623" s="51"/>
      <c r="I623" s="52"/>
      <c r="P623" s="50"/>
    </row>
    <row r="624">
      <c r="B624" s="51"/>
      <c r="I624" s="52"/>
      <c r="P624" s="50"/>
    </row>
    <row r="625">
      <c r="B625" s="51"/>
      <c r="I625" s="52"/>
      <c r="P625" s="50"/>
    </row>
    <row r="626">
      <c r="B626" s="51"/>
      <c r="I626" s="52"/>
      <c r="P626" s="50"/>
    </row>
    <row r="627">
      <c r="B627" s="51"/>
      <c r="I627" s="52"/>
      <c r="P627" s="50"/>
    </row>
    <row r="628">
      <c r="B628" s="51"/>
      <c r="I628" s="52"/>
      <c r="P628" s="50"/>
    </row>
    <row r="629">
      <c r="B629" s="51"/>
      <c r="I629" s="52"/>
      <c r="P629" s="50"/>
    </row>
    <row r="630">
      <c r="B630" s="51"/>
      <c r="I630" s="52"/>
      <c r="P630" s="50"/>
    </row>
    <row r="631">
      <c r="B631" s="51"/>
      <c r="I631" s="52"/>
      <c r="P631" s="50"/>
    </row>
    <row r="632">
      <c r="B632" s="51"/>
      <c r="I632" s="52"/>
      <c r="P632" s="50"/>
    </row>
    <row r="633">
      <c r="B633" s="51"/>
      <c r="I633" s="52"/>
      <c r="P633" s="50"/>
    </row>
    <row r="634">
      <c r="B634" s="51"/>
      <c r="I634" s="52"/>
      <c r="P634" s="50"/>
    </row>
    <row r="635">
      <c r="B635" s="51"/>
      <c r="I635" s="52"/>
      <c r="P635" s="50"/>
    </row>
    <row r="636">
      <c r="B636" s="51"/>
      <c r="I636" s="52"/>
      <c r="P636" s="50"/>
    </row>
    <row r="637">
      <c r="B637" s="51"/>
      <c r="I637" s="52"/>
      <c r="P637" s="50"/>
    </row>
    <row r="638">
      <c r="B638" s="51"/>
      <c r="I638" s="52"/>
      <c r="P638" s="50"/>
    </row>
    <row r="639">
      <c r="B639" s="51"/>
      <c r="I639" s="52"/>
      <c r="P639" s="50"/>
    </row>
    <row r="640">
      <c r="B640" s="51"/>
      <c r="I640" s="52"/>
      <c r="P640" s="50"/>
    </row>
    <row r="641">
      <c r="B641" s="51"/>
      <c r="I641" s="52"/>
      <c r="P641" s="50"/>
    </row>
    <row r="642">
      <c r="B642" s="51"/>
      <c r="I642" s="52"/>
      <c r="P642" s="50"/>
    </row>
    <row r="643">
      <c r="B643" s="51"/>
      <c r="I643" s="52"/>
      <c r="P643" s="50"/>
    </row>
    <row r="644">
      <c r="B644" s="51"/>
      <c r="I644" s="52"/>
      <c r="P644" s="50"/>
    </row>
    <row r="645">
      <c r="B645" s="51"/>
      <c r="I645" s="52"/>
      <c r="P645" s="50"/>
    </row>
    <row r="646">
      <c r="B646" s="51"/>
      <c r="I646" s="52"/>
      <c r="P646" s="50"/>
    </row>
    <row r="647">
      <c r="B647" s="51"/>
      <c r="I647" s="52"/>
      <c r="P647" s="50"/>
    </row>
    <row r="648">
      <c r="B648" s="51"/>
      <c r="I648" s="52"/>
      <c r="P648" s="50"/>
    </row>
    <row r="649">
      <c r="B649" s="51"/>
      <c r="I649" s="52"/>
      <c r="P649" s="50"/>
    </row>
    <row r="650">
      <c r="B650" s="51"/>
      <c r="I650" s="52"/>
      <c r="P650" s="50"/>
    </row>
    <row r="651">
      <c r="B651" s="51"/>
      <c r="I651" s="52"/>
      <c r="P651" s="50"/>
    </row>
    <row r="652">
      <c r="B652" s="51"/>
      <c r="I652" s="52"/>
      <c r="P652" s="50"/>
    </row>
    <row r="653">
      <c r="B653" s="51"/>
      <c r="I653" s="52"/>
      <c r="P653" s="50"/>
    </row>
    <row r="654">
      <c r="B654" s="51"/>
      <c r="I654" s="52"/>
      <c r="P654" s="50"/>
    </row>
    <row r="655">
      <c r="B655" s="51"/>
      <c r="I655" s="52"/>
      <c r="P655" s="50"/>
    </row>
    <row r="656">
      <c r="B656" s="51"/>
      <c r="I656" s="52"/>
      <c r="P656" s="50"/>
    </row>
    <row r="657">
      <c r="B657" s="51"/>
      <c r="I657" s="52"/>
      <c r="P657" s="50"/>
    </row>
    <row r="658">
      <c r="B658" s="51"/>
      <c r="I658" s="52"/>
      <c r="P658" s="50"/>
    </row>
    <row r="659">
      <c r="B659" s="51"/>
      <c r="I659" s="52"/>
      <c r="P659" s="50"/>
    </row>
    <row r="660">
      <c r="B660" s="51"/>
      <c r="I660" s="52"/>
      <c r="P660" s="50"/>
    </row>
    <row r="661">
      <c r="B661" s="51"/>
      <c r="I661" s="52"/>
      <c r="P661" s="50"/>
    </row>
    <row r="662">
      <c r="B662" s="51"/>
      <c r="I662" s="52"/>
      <c r="P662" s="50"/>
    </row>
    <row r="663">
      <c r="B663" s="51"/>
      <c r="I663" s="52"/>
      <c r="P663" s="50"/>
    </row>
    <row r="664">
      <c r="B664" s="51"/>
      <c r="I664" s="52"/>
      <c r="P664" s="50"/>
    </row>
    <row r="665">
      <c r="B665" s="51"/>
      <c r="I665" s="52"/>
      <c r="P665" s="50"/>
    </row>
    <row r="666">
      <c r="B666" s="51"/>
      <c r="I666" s="52"/>
      <c r="P666" s="50"/>
    </row>
    <row r="667">
      <c r="B667" s="51"/>
      <c r="I667" s="52"/>
      <c r="P667" s="50"/>
    </row>
    <row r="668">
      <c r="B668" s="51"/>
      <c r="I668" s="52"/>
      <c r="P668" s="50"/>
    </row>
    <row r="669">
      <c r="B669" s="51"/>
      <c r="I669" s="52"/>
      <c r="P669" s="50"/>
    </row>
    <row r="670">
      <c r="B670" s="51"/>
      <c r="I670" s="52"/>
      <c r="P670" s="50"/>
    </row>
    <row r="671">
      <c r="B671" s="51"/>
      <c r="I671" s="52"/>
      <c r="P671" s="50"/>
    </row>
    <row r="672">
      <c r="B672" s="51"/>
      <c r="I672" s="52"/>
      <c r="P672" s="50"/>
    </row>
    <row r="673">
      <c r="B673" s="51"/>
      <c r="I673" s="52"/>
      <c r="P673" s="50"/>
    </row>
    <row r="674">
      <c r="B674" s="51"/>
      <c r="I674" s="52"/>
      <c r="P674" s="50"/>
    </row>
    <row r="675">
      <c r="B675" s="51"/>
      <c r="I675" s="52"/>
      <c r="P675" s="50"/>
    </row>
    <row r="676">
      <c r="B676" s="51"/>
      <c r="I676" s="52"/>
      <c r="P676" s="50"/>
    </row>
    <row r="677">
      <c r="B677" s="51"/>
      <c r="I677" s="52"/>
      <c r="P677" s="50"/>
    </row>
    <row r="678">
      <c r="B678" s="51"/>
      <c r="I678" s="52"/>
      <c r="P678" s="50"/>
    </row>
    <row r="679">
      <c r="B679" s="51"/>
      <c r="I679" s="52"/>
      <c r="P679" s="50"/>
    </row>
    <row r="680">
      <c r="B680" s="51"/>
      <c r="I680" s="52"/>
      <c r="P680" s="50"/>
    </row>
    <row r="681">
      <c r="B681" s="51"/>
      <c r="I681" s="52"/>
      <c r="P681" s="50"/>
    </row>
    <row r="682">
      <c r="B682" s="51"/>
      <c r="I682" s="52"/>
      <c r="P682" s="50"/>
    </row>
    <row r="683">
      <c r="B683" s="51"/>
      <c r="I683" s="52"/>
      <c r="P683" s="50"/>
    </row>
    <row r="684">
      <c r="B684" s="51"/>
      <c r="I684" s="52"/>
      <c r="P684" s="50"/>
    </row>
    <row r="685">
      <c r="B685" s="51"/>
      <c r="I685" s="52"/>
      <c r="P685" s="50"/>
    </row>
    <row r="686">
      <c r="B686" s="51"/>
      <c r="I686" s="52"/>
      <c r="P686" s="50"/>
    </row>
    <row r="687">
      <c r="B687" s="51"/>
      <c r="I687" s="52"/>
      <c r="P687" s="50"/>
    </row>
    <row r="688">
      <c r="B688" s="51"/>
      <c r="I688" s="52"/>
      <c r="P688" s="50"/>
    </row>
    <row r="689">
      <c r="B689" s="51"/>
      <c r="I689" s="52"/>
      <c r="P689" s="50"/>
    </row>
    <row r="690">
      <c r="B690" s="51"/>
      <c r="I690" s="52"/>
      <c r="P690" s="50"/>
    </row>
    <row r="691">
      <c r="B691" s="51"/>
      <c r="I691" s="52"/>
      <c r="P691" s="50"/>
    </row>
    <row r="692">
      <c r="B692" s="51"/>
      <c r="I692" s="52"/>
      <c r="P692" s="50"/>
    </row>
    <row r="693">
      <c r="B693" s="51"/>
      <c r="I693" s="52"/>
      <c r="P693" s="50"/>
    </row>
    <row r="694">
      <c r="B694" s="51"/>
      <c r="I694" s="52"/>
      <c r="P694" s="50"/>
    </row>
    <row r="695">
      <c r="B695" s="51"/>
      <c r="I695" s="52"/>
      <c r="P695" s="50"/>
    </row>
    <row r="696">
      <c r="B696" s="51"/>
      <c r="I696" s="52"/>
      <c r="P696" s="50"/>
    </row>
    <row r="697">
      <c r="B697" s="51"/>
      <c r="I697" s="52"/>
      <c r="P697" s="50"/>
    </row>
    <row r="698">
      <c r="B698" s="51"/>
      <c r="I698" s="52"/>
      <c r="P698" s="50"/>
    </row>
    <row r="699">
      <c r="B699" s="51"/>
      <c r="I699" s="52"/>
      <c r="P699" s="50"/>
    </row>
    <row r="700">
      <c r="B700" s="51"/>
      <c r="I700" s="52"/>
      <c r="P700" s="50"/>
    </row>
    <row r="701">
      <c r="B701" s="51"/>
      <c r="I701" s="52"/>
      <c r="P701" s="50"/>
    </row>
    <row r="702">
      <c r="B702" s="51"/>
      <c r="I702" s="52"/>
      <c r="P702" s="50"/>
    </row>
    <row r="703">
      <c r="B703" s="51"/>
      <c r="I703" s="52"/>
      <c r="P703" s="50"/>
    </row>
    <row r="704">
      <c r="B704" s="51"/>
      <c r="I704" s="52"/>
      <c r="P704" s="50"/>
    </row>
    <row r="705">
      <c r="B705" s="51"/>
      <c r="I705" s="52"/>
      <c r="P705" s="50"/>
    </row>
    <row r="706">
      <c r="B706" s="51"/>
      <c r="I706" s="52"/>
      <c r="P706" s="50"/>
    </row>
    <row r="707">
      <c r="B707" s="51"/>
      <c r="I707" s="52"/>
      <c r="P707" s="50"/>
    </row>
    <row r="708">
      <c r="B708" s="51"/>
      <c r="I708" s="52"/>
      <c r="P708" s="50"/>
    </row>
    <row r="709">
      <c r="B709" s="51"/>
      <c r="I709" s="52"/>
      <c r="P709" s="50"/>
    </row>
    <row r="710">
      <c r="B710" s="51"/>
      <c r="I710" s="52"/>
      <c r="P710" s="50"/>
    </row>
    <row r="711">
      <c r="B711" s="51"/>
      <c r="I711" s="52"/>
      <c r="P711" s="50"/>
    </row>
    <row r="712">
      <c r="B712" s="51"/>
      <c r="I712" s="52"/>
      <c r="P712" s="50"/>
    </row>
    <row r="713">
      <c r="B713" s="51"/>
      <c r="I713" s="52"/>
      <c r="P713" s="50"/>
    </row>
    <row r="714">
      <c r="B714" s="51"/>
      <c r="I714" s="52"/>
      <c r="P714" s="50"/>
    </row>
    <row r="715">
      <c r="B715" s="51"/>
      <c r="I715" s="52"/>
      <c r="P715" s="50"/>
    </row>
    <row r="716">
      <c r="B716" s="51"/>
      <c r="I716" s="52"/>
      <c r="P716" s="50"/>
    </row>
    <row r="717">
      <c r="B717" s="51"/>
      <c r="I717" s="52"/>
      <c r="P717" s="50"/>
    </row>
    <row r="718">
      <c r="B718" s="51"/>
      <c r="I718" s="52"/>
      <c r="P718" s="50"/>
    </row>
    <row r="719">
      <c r="B719" s="51"/>
      <c r="I719" s="52"/>
      <c r="P719" s="50"/>
    </row>
    <row r="720">
      <c r="B720" s="51"/>
      <c r="I720" s="52"/>
      <c r="P720" s="50"/>
    </row>
    <row r="721">
      <c r="B721" s="51"/>
      <c r="I721" s="52"/>
      <c r="P721" s="50"/>
    </row>
    <row r="722">
      <c r="B722" s="51"/>
      <c r="I722" s="52"/>
      <c r="P722" s="50"/>
    </row>
    <row r="723">
      <c r="B723" s="51"/>
      <c r="I723" s="52"/>
      <c r="P723" s="50"/>
    </row>
    <row r="724">
      <c r="B724" s="51"/>
      <c r="I724" s="52"/>
      <c r="P724" s="50"/>
    </row>
    <row r="725">
      <c r="B725" s="51"/>
      <c r="I725" s="52"/>
      <c r="P725" s="50"/>
    </row>
    <row r="726">
      <c r="B726" s="51"/>
      <c r="I726" s="52"/>
      <c r="P726" s="50"/>
    </row>
    <row r="727">
      <c r="B727" s="51"/>
      <c r="I727" s="52"/>
      <c r="P727" s="50"/>
    </row>
    <row r="728">
      <c r="B728" s="51"/>
      <c r="I728" s="52"/>
      <c r="P728" s="50"/>
    </row>
    <row r="729">
      <c r="B729" s="51"/>
      <c r="I729" s="52"/>
      <c r="P729" s="50"/>
    </row>
    <row r="730">
      <c r="B730" s="51"/>
      <c r="I730" s="52"/>
      <c r="P730" s="50"/>
    </row>
    <row r="731">
      <c r="B731" s="51"/>
      <c r="I731" s="52"/>
      <c r="P731" s="50"/>
    </row>
    <row r="732">
      <c r="B732" s="51"/>
      <c r="I732" s="52"/>
      <c r="P732" s="50"/>
    </row>
    <row r="733">
      <c r="B733" s="51"/>
      <c r="I733" s="52"/>
      <c r="P733" s="50"/>
    </row>
    <row r="734">
      <c r="B734" s="51"/>
      <c r="I734" s="52"/>
      <c r="P734" s="50"/>
    </row>
    <row r="735">
      <c r="B735" s="51"/>
      <c r="I735" s="52"/>
      <c r="P735" s="50"/>
    </row>
    <row r="736">
      <c r="B736" s="51"/>
      <c r="I736" s="52"/>
      <c r="P736" s="50"/>
    </row>
    <row r="737">
      <c r="B737" s="51"/>
      <c r="I737" s="52"/>
      <c r="P737" s="50"/>
    </row>
    <row r="738">
      <c r="B738" s="51"/>
      <c r="I738" s="52"/>
      <c r="P738" s="50"/>
    </row>
    <row r="739">
      <c r="B739" s="51"/>
      <c r="I739" s="52"/>
      <c r="P739" s="50"/>
    </row>
    <row r="740">
      <c r="B740" s="51"/>
      <c r="I740" s="52"/>
      <c r="P740" s="50"/>
    </row>
    <row r="741">
      <c r="B741" s="51"/>
      <c r="I741" s="52"/>
      <c r="P741" s="50"/>
    </row>
    <row r="742">
      <c r="B742" s="51"/>
      <c r="I742" s="52"/>
      <c r="P742" s="50"/>
    </row>
    <row r="743">
      <c r="B743" s="51"/>
      <c r="I743" s="52"/>
      <c r="P743" s="50"/>
    </row>
    <row r="744">
      <c r="B744" s="51"/>
      <c r="I744" s="52"/>
      <c r="P744" s="50"/>
    </row>
    <row r="745">
      <c r="B745" s="51"/>
      <c r="I745" s="52"/>
      <c r="P745" s="50"/>
    </row>
    <row r="746">
      <c r="B746" s="51"/>
      <c r="I746" s="52"/>
      <c r="P746" s="50"/>
    </row>
    <row r="747">
      <c r="B747" s="51"/>
      <c r="I747" s="52"/>
      <c r="P747" s="50"/>
    </row>
    <row r="748">
      <c r="B748" s="51"/>
      <c r="I748" s="52"/>
      <c r="P748" s="50"/>
    </row>
    <row r="749">
      <c r="B749" s="51"/>
      <c r="I749" s="52"/>
      <c r="P749" s="50"/>
    </row>
    <row r="750">
      <c r="B750" s="51"/>
      <c r="I750" s="52"/>
      <c r="P750" s="50"/>
    </row>
    <row r="751">
      <c r="B751" s="51"/>
      <c r="I751" s="52"/>
      <c r="P751" s="50"/>
    </row>
    <row r="752">
      <c r="B752" s="51"/>
      <c r="I752" s="52"/>
      <c r="P752" s="50"/>
    </row>
    <row r="753">
      <c r="B753" s="51"/>
      <c r="I753" s="52"/>
      <c r="P753" s="50"/>
    </row>
    <row r="754">
      <c r="B754" s="51"/>
      <c r="I754" s="52"/>
      <c r="P754" s="50"/>
    </row>
    <row r="755">
      <c r="B755" s="51"/>
      <c r="I755" s="52"/>
      <c r="P755" s="50"/>
    </row>
    <row r="756">
      <c r="B756" s="51"/>
      <c r="I756" s="52"/>
      <c r="P756" s="50"/>
    </row>
    <row r="757">
      <c r="B757" s="51"/>
      <c r="I757" s="52"/>
      <c r="P757" s="50"/>
    </row>
    <row r="758">
      <c r="B758" s="51"/>
      <c r="I758" s="52"/>
      <c r="P758" s="50"/>
    </row>
    <row r="759">
      <c r="B759" s="51"/>
      <c r="I759" s="52"/>
      <c r="P759" s="50"/>
    </row>
    <row r="760">
      <c r="B760" s="51"/>
      <c r="I760" s="52"/>
      <c r="P760" s="50"/>
    </row>
    <row r="761">
      <c r="B761" s="51"/>
      <c r="I761" s="52"/>
      <c r="P761" s="50"/>
    </row>
    <row r="762">
      <c r="B762" s="51"/>
      <c r="I762" s="52"/>
      <c r="P762" s="50"/>
    </row>
    <row r="763">
      <c r="B763" s="51"/>
      <c r="I763" s="52"/>
      <c r="P763" s="50"/>
    </row>
    <row r="764">
      <c r="B764" s="51"/>
      <c r="I764" s="52"/>
      <c r="P764" s="50"/>
    </row>
    <row r="765">
      <c r="B765" s="51"/>
      <c r="I765" s="52"/>
      <c r="P765" s="50"/>
    </row>
    <row r="766">
      <c r="B766" s="51"/>
      <c r="I766" s="52"/>
      <c r="P766" s="50"/>
    </row>
    <row r="767">
      <c r="B767" s="51"/>
      <c r="I767" s="52"/>
      <c r="P767" s="50"/>
    </row>
    <row r="768">
      <c r="B768" s="51"/>
      <c r="I768" s="52"/>
      <c r="P768" s="50"/>
    </row>
    <row r="769">
      <c r="B769" s="51"/>
      <c r="I769" s="52"/>
      <c r="P769" s="50"/>
    </row>
    <row r="770">
      <c r="B770" s="51"/>
      <c r="I770" s="52"/>
      <c r="P770" s="50"/>
    </row>
    <row r="771">
      <c r="B771" s="51"/>
      <c r="I771" s="52"/>
      <c r="P771" s="50"/>
    </row>
    <row r="772">
      <c r="B772" s="51"/>
      <c r="I772" s="52"/>
      <c r="P772" s="50"/>
    </row>
    <row r="773">
      <c r="B773" s="51"/>
      <c r="I773" s="52"/>
      <c r="P773" s="50"/>
    </row>
    <row r="774">
      <c r="B774" s="51"/>
      <c r="I774" s="52"/>
      <c r="P774" s="50"/>
    </row>
    <row r="775">
      <c r="B775" s="51"/>
      <c r="I775" s="52"/>
      <c r="P775" s="50"/>
    </row>
    <row r="776">
      <c r="B776" s="51"/>
      <c r="I776" s="52"/>
      <c r="P776" s="50"/>
    </row>
    <row r="777">
      <c r="B777" s="51"/>
      <c r="I777" s="52"/>
      <c r="P777" s="50"/>
    </row>
    <row r="778">
      <c r="B778" s="51"/>
      <c r="I778" s="52"/>
      <c r="P778" s="50"/>
    </row>
    <row r="779">
      <c r="B779" s="51"/>
      <c r="I779" s="52"/>
      <c r="P779" s="50"/>
    </row>
    <row r="780">
      <c r="B780" s="51"/>
      <c r="I780" s="52"/>
      <c r="P780" s="50"/>
    </row>
    <row r="781">
      <c r="B781" s="51"/>
      <c r="I781" s="52"/>
      <c r="P781" s="50"/>
    </row>
    <row r="782">
      <c r="B782" s="51"/>
      <c r="I782" s="52"/>
      <c r="P782" s="50"/>
    </row>
    <row r="783">
      <c r="B783" s="51"/>
      <c r="I783" s="52"/>
      <c r="P783" s="50"/>
    </row>
    <row r="784">
      <c r="B784" s="51"/>
      <c r="I784" s="52"/>
      <c r="P784" s="50"/>
    </row>
    <row r="785">
      <c r="B785" s="51"/>
      <c r="I785" s="52"/>
      <c r="P785" s="50"/>
    </row>
    <row r="786">
      <c r="B786" s="51"/>
      <c r="I786" s="52"/>
      <c r="P786" s="50"/>
    </row>
    <row r="787">
      <c r="B787" s="51"/>
      <c r="I787" s="52"/>
      <c r="P787" s="50"/>
    </row>
    <row r="788">
      <c r="B788" s="51"/>
      <c r="I788" s="52"/>
      <c r="P788" s="50"/>
    </row>
    <row r="789">
      <c r="B789" s="51"/>
      <c r="I789" s="52"/>
      <c r="P789" s="50"/>
    </row>
    <row r="790">
      <c r="B790" s="51"/>
      <c r="I790" s="52"/>
      <c r="P790" s="50"/>
    </row>
    <row r="791">
      <c r="B791" s="51"/>
      <c r="I791" s="52"/>
      <c r="P791" s="50"/>
    </row>
    <row r="792">
      <c r="B792" s="51"/>
      <c r="I792" s="52"/>
      <c r="P792" s="50"/>
    </row>
    <row r="793">
      <c r="B793" s="51"/>
      <c r="I793" s="52"/>
      <c r="P793" s="50"/>
    </row>
    <row r="794">
      <c r="B794" s="51"/>
      <c r="I794" s="52"/>
      <c r="P794" s="50"/>
    </row>
    <row r="795">
      <c r="B795" s="51"/>
      <c r="I795" s="52"/>
      <c r="P795" s="50"/>
    </row>
    <row r="796">
      <c r="B796" s="51"/>
      <c r="I796" s="52"/>
      <c r="P796" s="50"/>
    </row>
    <row r="797">
      <c r="B797" s="51"/>
      <c r="I797" s="52"/>
      <c r="P797" s="50"/>
    </row>
    <row r="798">
      <c r="B798" s="51"/>
      <c r="I798" s="52"/>
      <c r="P798" s="50"/>
    </row>
    <row r="799">
      <c r="B799" s="51"/>
      <c r="I799" s="52"/>
      <c r="P799" s="50"/>
    </row>
    <row r="800">
      <c r="B800" s="51"/>
      <c r="I800" s="52"/>
      <c r="P800" s="50"/>
    </row>
    <row r="801">
      <c r="B801" s="51"/>
      <c r="I801" s="52"/>
      <c r="P801" s="50"/>
    </row>
    <row r="802">
      <c r="B802" s="51"/>
      <c r="I802" s="52"/>
      <c r="P802" s="50"/>
    </row>
    <row r="803">
      <c r="B803" s="51"/>
      <c r="I803" s="52"/>
      <c r="P803" s="50"/>
    </row>
    <row r="804">
      <c r="B804" s="51"/>
      <c r="I804" s="52"/>
      <c r="P804" s="50"/>
    </row>
    <row r="805">
      <c r="B805" s="51"/>
      <c r="I805" s="52"/>
      <c r="P805" s="50"/>
    </row>
    <row r="806">
      <c r="B806" s="51"/>
      <c r="I806" s="52"/>
      <c r="P806" s="50"/>
    </row>
    <row r="807">
      <c r="B807" s="51"/>
      <c r="I807" s="52"/>
      <c r="P807" s="50"/>
    </row>
    <row r="808">
      <c r="B808" s="51"/>
      <c r="I808" s="52"/>
      <c r="P808" s="50"/>
    </row>
    <row r="809">
      <c r="B809" s="51"/>
      <c r="I809" s="52"/>
      <c r="P809" s="50"/>
    </row>
    <row r="810">
      <c r="B810" s="51"/>
      <c r="I810" s="52"/>
      <c r="P810" s="50"/>
    </row>
    <row r="811">
      <c r="B811" s="51"/>
      <c r="I811" s="52"/>
      <c r="P811" s="50"/>
    </row>
    <row r="812">
      <c r="B812" s="51"/>
      <c r="I812" s="52"/>
      <c r="P812" s="50"/>
    </row>
    <row r="813">
      <c r="B813" s="51"/>
      <c r="I813" s="52"/>
      <c r="P813" s="50"/>
    </row>
    <row r="814">
      <c r="B814" s="51"/>
      <c r="I814" s="52"/>
      <c r="P814" s="50"/>
    </row>
    <row r="815">
      <c r="B815" s="51"/>
      <c r="I815" s="52"/>
      <c r="P815" s="50"/>
    </row>
    <row r="816">
      <c r="B816" s="51"/>
      <c r="I816" s="52"/>
      <c r="P816" s="50"/>
    </row>
    <row r="817">
      <c r="B817" s="51"/>
      <c r="I817" s="52"/>
      <c r="P817" s="50"/>
    </row>
    <row r="818">
      <c r="B818" s="51"/>
      <c r="I818" s="52"/>
      <c r="P818" s="50"/>
    </row>
    <row r="819">
      <c r="B819" s="51"/>
      <c r="I819" s="52"/>
      <c r="P819" s="50"/>
    </row>
    <row r="820">
      <c r="B820" s="51"/>
      <c r="I820" s="52"/>
      <c r="P820" s="50"/>
    </row>
    <row r="821">
      <c r="B821" s="51"/>
      <c r="I821" s="52"/>
      <c r="P821" s="50"/>
    </row>
    <row r="822">
      <c r="B822" s="51"/>
      <c r="I822" s="52"/>
      <c r="P822" s="50"/>
    </row>
    <row r="823">
      <c r="B823" s="51"/>
      <c r="I823" s="52"/>
      <c r="P823" s="50"/>
    </row>
    <row r="824">
      <c r="B824" s="51"/>
      <c r="I824" s="52"/>
      <c r="P824" s="50"/>
    </row>
    <row r="825">
      <c r="B825" s="51"/>
      <c r="I825" s="52"/>
      <c r="P825" s="50"/>
    </row>
    <row r="826">
      <c r="B826" s="51"/>
      <c r="I826" s="52"/>
      <c r="P826" s="50"/>
    </row>
    <row r="827">
      <c r="B827" s="51"/>
      <c r="I827" s="52"/>
      <c r="P827" s="50"/>
    </row>
    <row r="828">
      <c r="B828" s="51"/>
      <c r="I828" s="52"/>
      <c r="P828" s="50"/>
    </row>
    <row r="829">
      <c r="B829" s="51"/>
      <c r="I829" s="52"/>
      <c r="P829" s="50"/>
    </row>
    <row r="830">
      <c r="B830" s="51"/>
      <c r="I830" s="52"/>
      <c r="P830" s="50"/>
    </row>
    <row r="831">
      <c r="B831" s="51"/>
      <c r="I831" s="52"/>
      <c r="P831" s="50"/>
    </row>
    <row r="832">
      <c r="B832" s="51"/>
      <c r="I832" s="52"/>
      <c r="P832" s="50"/>
    </row>
    <row r="833">
      <c r="B833" s="51"/>
      <c r="I833" s="52"/>
      <c r="P833" s="50"/>
    </row>
    <row r="834">
      <c r="B834" s="51"/>
      <c r="I834" s="52"/>
      <c r="P834" s="50"/>
    </row>
    <row r="835">
      <c r="B835" s="51"/>
      <c r="I835" s="52"/>
      <c r="P835" s="50"/>
    </row>
    <row r="836">
      <c r="B836" s="51"/>
      <c r="I836" s="52"/>
      <c r="P836" s="50"/>
    </row>
    <row r="837">
      <c r="B837" s="51"/>
      <c r="I837" s="52"/>
      <c r="P837" s="50"/>
    </row>
    <row r="838">
      <c r="B838" s="51"/>
      <c r="I838" s="52"/>
      <c r="P838" s="50"/>
    </row>
    <row r="839">
      <c r="B839" s="51"/>
      <c r="I839" s="52"/>
      <c r="P839" s="50"/>
    </row>
    <row r="840">
      <c r="B840" s="51"/>
      <c r="I840" s="52"/>
      <c r="P840" s="50"/>
    </row>
    <row r="841">
      <c r="B841" s="51"/>
      <c r="I841" s="52"/>
      <c r="P841" s="50"/>
    </row>
    <row r="842">
      <c r="B842" s="51"/>
      <c r="I842" s="52"/>
      <c r="P842" s="50"/>
    </row>
    <row r="843">
      <c r="B843" s="51"/>
      <c r="I843" s="52"/>
      <c r="P843" s="50"/>
    </row>
    <row r="844">
      <c r="B844" s="51"/>
      <c r="I844" s="52"/>
      <c r="P844" s="50"/>
    </row>
    <row r="845">
      <c r="B845" s="51"/>
      <c r="I845" s="52"/>
      <c r="P845" s="50"/>
    </row>
    <row r="846">
      <c r="B846" s="51"/>
      <c r="I846" s="52"/>
      <c r="P846" s="50"/>
    </row>
    <row r="847">
      <c r="B847" s="51"/>
      <c r="I847" s="52"/>
      <c r="P847" s="50"/>
    </row>
    <row r="848">
      <c r="B848" s="51"/>
      <c r="I848" s="52"/>
      <c r="P848" s="50"/>
    </row>
    <row r="849">
      <c r="B849" s="51"/>
      <c r="I849" s="52"/>
      <c r="P849" s="50"/>
    </row>
    <row r="850">
      <c r="B850" s="51"/>
      <c r="I850" s="52"/>
      <c r="P850" s="50"/>
    </row>
    <row r="851">
      <c r="B851" s="51"/>
      <c r="I851" s="52"/>
      <c r="P851" s="50"/>
    </row>
    <row r="852">
      <c r="B852" s="51"/>
      <c r="I852" s="52"/>
      <c r="P852" s="50"/>
    </row>
    <row r="853">
      <c r="B853" s="51"/>
      <c r="I853" s="52"/>
      <c r="P853" s="50"/>
    </row>
    <row r="854">
      <c r="B854" s="51"/>
      <c r="I854" s="52"/>
      <c r="P854" s="50"/>
    </row>
    <row r="855">
      <c r="B855" s="51"/>
      <c r="I855" s="52"/>
      <c r="P855" s="50"/>
    </row>
    <row r="856">
      <c r="B856" s="51"/>
      <c r="I856" s="52"/>
      <c r="P856" s="50"/>
    </row>
    <row r="857">
      <c r="B857" s="51"/>
      <c r="I857" s="52"/>
      <c r="P857" s="50"/>
    </row>
    <row r="858">
      <c r="B858" s="51"/>
      <c r="I858" s="52"/>
      <c r="P858" s="50"/>
    </row>
    <row r="859">
      <c r="B859" s="51"/>
      <c r="I859" s="52"/>
      <c r="P859" s="50"/>
    </row>
    <row r="860">
      <c r="B860" s="51"/>
      <c r="I860" s="52"/>
      <c r="P860" s="50"/>
    </row>
    <row r="861">
      <c r="B861" s="51"/>
      <c r="I861" s="52"/>
      <c r="P861" s="50"/>
    </row>
    <row r="862">
      <c r="B862" s="51"/>
      <c r="I862" s="52"/>
      <c r="P862" s="50"/>
    </row>
    <row r="863">
      <c r="B863" s="51"/>
      <c r="I863" s="52"/>
      <c r="P863" s="50"/>
    </row>
    <row r="864">
      <c r="B864" s="51"/>
      <c r="I864" s="52"/>
      <c r="P864" s="50"/>
    </row>
    <row r="865">
      <c r="B865" s="51"/>
      <c r="I865" s="52"/>
      <c r="P865" s="50"/>
    </row>
    <row r="866">
      <c r="B866" s="51"/>
      <c r="I866" s="52"/>
      <c r="P866" s="50"/>
    </row>
    <row r="867">
      <c r="B867" s="51"/>
      <c r="I867" s="52"/>
      <c r="P867" s="50"/>
    </row>
    <row r="868">
      <c r="B868" s="51"/>
      <c r="I868" s="52"/>
      <c r="P868" s="50"/>
    </row>
    <row r="869">
      <c r="B869" s="51"/>
      <c r="I869" s="52"/>
      <c r="P869" s="50"/>
    </row>
    <row r="870">
      <c r="B870" s="51"/>
      <c r="I870" s="52"/>
      <c r="P870" s="50"/>
    </row>
    <row r="871">
      <c r="B871" s="51"/>
      <c r="I871" s="52"/>
      <c r="P871" s="50"/>
    </row>
    <row r="872">
      <c r="B872" s="51"/>
      <c r="I872" s="52"/>
      <c r="P872" s="50"/>
    </row>
    <row r="873">
      <c r="B873" s="51"/>
      <c r="I873" s="52"/>
      <c r="P873" s="50"/>
    </row>
    <row r="874">
      <c r="B874" s="51"/>
      <c r="I874" s="52"/>
      <c r="P874" s="50"/>
    </row>
    <row r="875">
      <c r="B875" s="51"/>
      <c r="I875" s="52"/>
      <c r="P875" s="50"/>
    </row>
    <row r="876">
      <c r="B876" s="51"/>
      <c r="I876" s="52"/>
      <c r="P876" s="50"/>
    </row>
    <row r="877">
      <c r="B877" s="51"/>
      <c r="I877" s="52"/>
      <c r="P877" s="50"/>
    </row>
    <row r="878">
      <c r="B878" s="51"/>
      <c r="I878" s="52"/>
      <c r="P878" s="50"/>
    </row>
    <row r="879">
      <c r="B879" s="51"/>
      <c r="I879" s="52"/>
      <c r="P879" s="50"/>
    </row>
    <row r="880">
      <c r="B880" s="51"/>
      <c r="I880" s="52"/>
      <c r="P880" s="50"/>
    </row>
    <row r="881">
      <c r="B881" s="51"/>
      <c r="I881" s="52"/>
      <c r="P881" s="50"/>
    </row>
    <row r="882">
      <c r="B882" s="51"/>
      <c r="I882" s="52"/>
      <c r="P882" s="50"/>
    </row>
    <row r="883">
      <c r="B883" s="51"/>
      <c r="I883" s="52"/>
      <c r="P883" s="50"/>
    </row>
    <row r="884">
      <c r="B884" s="51"/>
      <c r="I884" s="52"/>
      <c r="P884" s="50"/>
    </row>
    <row r="885">
      <c r="B885" s="51"/>
      <c r="I885" s="52"/>
      <c r="P885" s="50"/>
    </row>
    <row r="886">
      <c r="B886" s="51"/>
      <c r="I886" s="52"/>
      <c r="P886" s="50"/>
    </row>
    <row r="887">
      <c r="B887" s="51"/>
      <c r="I887" s="52"/>
      <c r="P887" s="50"/>
    </row>
    <row r="888">
      <c r="B888" s="51"/>
      <c r="I888" s="52"/>
      <c r="P888" s="50"/>
    </row>
    <row r="889">
      <c r="B889" s="51"/>
      <c r="I889" s="52"/>
      <c r="P889" s="50"/>
    </row>
    <row r="890">
      <c r="B890" s="51"/>
      <c r="I890" s="52"/>
      <c r="P890" s="50"/>
    </row>
    <row r="891">
      <c r="B891" s="51"/>
      <c r="I891" s="52"/>
      <c r="P891" s="50"/>
    </row>
    <row r="892">
      <c r="B892" s="51"/>
      <c r="I892" s="52"/>
      <c r="P892" s="50"/>
    </row>
    <row r="893">
      <c r="B893" s="51"/>
      <c r="I893" s="52"/>
      <c r="P893" s="50"/>
    </row>
    <row r="894">
      <c r="B894" s="51"/>
      <c r="I894" s="52"/>
      <c r="P894" s="50"/>
    </row>
    <row r="895">
      <c r="B895" s="51"/>
      <c r="I895" s="52"/>
      <c r="P895" s="50"/>
    </row>
    <row r="896">
      <c r="B896" s="51"/>
      <c r="I896" s="52"/>
      <c r="P896" s="50"/>
    </row>
    <row r="897">
      <c r="B897" s="51"/>
      <c r="I897" s="52"/>
      <c r="P897" s="50"/>
    </row>
    <row r="898">
      <c r="B898" s="51"/>
      <c r="I898" s="52"/>
      <c r="P898" s="50"/>
    </row>
    <row r="899">
      <c r="B899" s="51"/>
      <c r="I899" s="52"/>
      <c r="P899" s="50"/>
    </row>
    <row r="900">
      <c r="B900" s="51"/>
      <c r="I900" s="52"/>
      <c r="P900" s="50"/>
    </row>
    <row r="901">
      <c r="B901" s="51"/>
      <c r="I901" s="52"/>
      <c r="P901" s="50"/>
    </row>
    <row r="902">
      <c r="B902" s="51"/>
      <c r="I902" s="52"/>
      <c r="P902" s="50"/>
    </row>
    <row r="903">
      <c r="B903" s="51"/>
      <c r="I903" s="52"/>
      <c r="P903" s="50"/>
    </row>
    <row r="904">
      <c r="B904" s="51"/>
      <c r="I904" s="52"/>
      <c r="P904" s="50"/>
    </row>
    <row r="905">
      <c r="B905" s="51"/>
      <c r="I905" s="52"/>
      <c r="P905" s="50"/>
    </row>
    <row r="906">
      <c r="B906" s="51"/>
      <c r="I906" s="52"/>
      <c r="P906" s="50"/>
    </row>
    <row r="907">
      <c r="B907" s="51"/>
      <c r="I907" s="52"/>
      <c r="P907" s="50"/>
    </row>
    <row r="908">
      <c r="B908" s="51"/>
      <c r="I908" s="52"/>
      <c r="P908" s="50"/>
    </row>
    <row r="909">
      <c r="B909" s="51"/>
      <c r="I909" s="52"/>
      <c r="P909" s="50"/>
    </row>
    <row r="910">
      <c r="B910" s="51"/>
      <c r="I910" s="52"/>
      <c r="P910" s="50"/>
    </row>
    <row r="911">
      <c r="B911" s="51"/>
      <c r="I911" s="52"/>
      <c r="P911" s="50"/>
    </row>
    <row r="912">
      <c r="B912" s="51"/>
      <c r="I912" s="52"/>
      <c r="P912" s="50"/>
    </row>
    <row r="913">
      <c r="B913" s="51"/>
      <c r="I913" s="52"/>
      <c r="P913" s="50"/>
    </row>
    <row r="914">
      <c r="B914" s="51"/>
      <c r="I914" s="52"/>
      <c r="P914" s="50"/>
    </row>
    <row r="915">
      <c r="B915" s="51"/>
      <c r="I915" s="52"/>
      <c r="P915" s="50"/>
    </row>
    <row r="916">
      <c r="B916" s="51"/>
      <c r="I916" s="52"/>
      <c r="P916" s="50"/>
    </row>
    <row r="917">
      <c r="B917" s="51"/>
      <c r="I917" s="52"/>
      <c r="P917" s="50"/>
    </row>
    <row r="918">
      <c r="B918" s="51"/>
      <c r="I918" s="52"/>
      <c r="P918" s="50"/>
    </row>
    <row r="919">
      <c r="B919" s="51"/>
      <c r="I919" s="52"/>
      <c r="P919" s="50"/>
    </row>
    <row r="920">
      <c r="B920" s="51"/>
      <c r="I920" s="52"/>
      <c r="P920" s="50"/>
    </row>
    <row r="921">
      <c r="B921" s="51"/>
      <c r="I921" s="52"/>
      <c r="P921" s="50"/>
    </row>
    <row r="922">
      <c r="B922" s="51"/>
      <c r="I922" s="52"/>
      <c r="P922" s="50"/>
    </row>
    <row r="923">
      <c r="B923" s="51"/>
      <c r="I923" s="52"/>
      <c r="P923" s="50"/>
    </row>
    <row r="924">
      <c r="B924" s="51"/>
      <c r="I924" s="52"/>
      <c r="P924" s="50"/>
    </row>
    <row r="925">
      <c r="B925" s="51"/>
      <c r="I925" s="52"/>
      <c r="P925" s="50"/>
    </row>
    <row r="926">
      <c r="B926" s="51"/>
      <c r="I926" s="52"/>
      <c r="P926" s="50"/>
    </row>
    <row r="927">
      <c r="B927" s="51"/>
      <c r="I927" s="52"/>
      <c r="P927" s="50"/>
    </row>
    <row r="928">
      <c r="B928" s="51"/>
      <c r="I928" s="52"/>
      <c r="P928" s="50"/>
    </row>
    <row r="929">
      <c r="B929" s="51"/>
      <c r="I929" s="52"/>
      <c r="P929" s="50"/>
    </row>
    <row r="930">
      <c r="B930" s="51"/>
      <c r="I930" s="52"/>
      <c r="P930" s="50"/>
    </row>
    <row r="931">
      <c r="B931" s="51"/>
      <c r="I931" s="52"/>
      <c r="P931" s="50"/>
    </row>
    <row r="932">
      <c r="B932" s="51"/>
      <c r="I932" s="52"/>
      <c r="P932" s="50"/>
    </row>
    <row r="933">
      <c r="B933" s="51"/>
      <c r="I933" s="52"/>
      <c r="P933" s="50"/>
    </row>
    <row r="934">
      <c r="B934" s="51"/>
      <c r="I934" s="52"/>
      <c r="P934" s="50"/>
    </row>
    <row r="935">
      <c r="B935" s="51"/>
      <c r="I935" s="52"/>
      <c r="P935" s="50"/>
    </row>
    <row r="936">
      <c r="B936" s="51"/>
      <c r="I936" s="52"/>
      <c r="P936" s="50"/>
    </row>
    <row r="937">
      <c r="B937" s="51"/>
      <c r="I937" s="52"/>
      <c r="P937" s="50"/>
    </row>
    <row r="938">
      <c r="B938" s="51"/>
      <c r="I938" s="52"/>
      <c r="P938" s="50"/>
    </row>
    <row r="939">
      <c r="B939" s="51"/>
      <c r="I939" s="52"/>
      <c r="P939" s="50"/>
    </row>
    <row r="940">
      <c r="B940" s="51"/>
      <c r="I940" s="52"/>
      <c r="P940" s="50"/>
    </row>
    <row r="941">
      <c r="B941" s="51"/>
      <c r="I941" s="52"/>
      <c r="P941" s="50"/>
    </row>
    <row r="942">
      <c r="B942" s="51"/>
      <c r="I942" s="52"/>
      <c r="P942" s="50"/>
    </row>
    <row r="943">
      <c r="B943" s="51"/>
      <c r="I943" s="52"/>
      <c r="P943" s="50"/>
    </row>
    <row r="944">
      <c r="B944" s="51"/>
      <c r="I944" s="52"/>
      <c r="P944" s="50"/>
    </row>
    <row r="945">
      <c r="B945" s="51"/>
      <c r="I945" s="52"/>
      <c r="P945" s="50"/>
    </row>
    <row r="946">
      <c r="B946" s="51"/>
      <c r="I946" s="52"/>
      <c r="P946" s="50"/>
    </row>
    <row r="947">
      <c r="B947" s="51"/>
      <c r="I947" s="52"/>
      <c r="P947" s="50"/>
    </row>
    <row r="948">
      <c r="B948" s="51"/>
      <c r="I948" s="52"/>
      <c r="P948" s="50"/>
    </row>
    <row r="949">
      <c r="B949" s="51"/>
      <c r="I949" s="52"/>
      <c r="P949" s="50"/>
    </row>
    <row r="950">
      <c r="B950" s="51"/>
      <c r="I950" s="52"/>
      <c r="P950" s="50"/>
    </row>
    <row r="951">
      <c r="B951" s="51"/>
      <c r="I951" s="52"/>
      <c r="P951" s="50"/>
    </row>
    <row r="952">
      <c r="B952" s="51"/>
      <c r="I952" s="52"/>
      <c r="P952" s="50"/>
    </row>
    <row r="953">
      <c r="B953" s="51"/>
      <c r="I953" s="52"/>
      <c r="P953" s="50"/>
    </row>
    <row r="954">
      <c r="B954" s="51"/>
      <c r="I954" s="52"/>
      <c r="P954" s="50"/>
    </row>
    <row r="955">
      <c r="B955" s="51"/>
      <c r="I955" s="52"/>
      <c r="P955" s="50"/>
    </row>
    <row r="956">
      <c r="B956" s="51"/>
      <c r="I956" s="52"/>
      <c r="P956" s="50"/>
    </row>
    <row r="957">
      <c r="B957" s="51"/>
      <c r="I957" s="52"/>
      <c r="P957" s="50"/>
    </row>
    <row r="958">
      <c r="B958" s="51"/>
      <c r="I958" s="52"/>
      <c r="P958" s="50"/>
    </row>
    <row r="959">
      <c r="B959" s="51"/>
      <c r="I959" s="52"/>
      <c r="P959" s="50"/>
    </row>
    <row r="960">
      <c r="B960" s="51"/>
      <c r="I960" s="52"/>
      <c r="P960" s="50"/>
    </row>
    <row r="961">
      <c r="B961" s="51"/>
      <c r="I961" s="52"/>
      <c r="P961" s="50"/>
    </row>
    <row r="962">
      <c r="B962" s="51"/>
      <c r="I962" s="52"/>
      <c r="P962" s="50"/>
    </row>
    <row r="963">
      <c r="B963" s="51"/>
      <c r="I963" s="52"/>
      <c r="P963" s="50"/>
    </row>
    <row r="964">
      <c r="B964" s="51"/>
      <c r="I964" s="52"/>
      <c r="P964" s="50"/>
    </row>
    <row r="965">
      <c r="B965" s="51"/>
      <c r="I965" s="52"/>
      <c r="P965" s="50"/>
    </row>
    <row r="966">
      <c r="B966" s="51"/>
      <c r="I966" s="52"/>
      <c r="P966" s="50"/>
    </row>
    <row r="967">
      <c r="B967" s="51"/>
      <c r="I967" s="52"/>
      <c r="P967" s="50"/>
    </row>
    <row r="968">
      <c r="B968" s="51"/>
      <c r="I968" s="52"/>
      <c r="P968" s="50"/>
    </row>
    <row r="969">
      <c r="B969" s="51"/>
      <c r="I969" s="52"/>
      <c r="P969" s="50"/>
    </row>
    <row r="970">
      <c r="B970" s="51"/>
      <c r="I970" s="52"/>
      <c r="P970" s="50"/>
    </row>
    <row r="971">
      <c r="B971" s="51"/>
      <c r="I971" s="52"/>
      <c r="P971" s="50"/>
    </row>
    <row r="972">
      <c r="B972" s="51"/>
      <c r="I972" s="52"/>
      <c r="P972" s="50"/>
    </row>
    <row r="973">
      <c r="B973" s="51"/>
      <c r="I973" s="52"/>
      <c r="P973" s="50"/>
    </row>
    <row r="974">
      <c r="B974" s="51"/>
      <c r="I974" s="52"/>
      <c r="P974" s="50"/>
    </row>
    <row r="975">
      <c r="B975" s="51"/>
      <c r="I975" s="52"/>
      <c r="P975" s="50"/>
    </row>
    <row r="976">
      <c r="B976" s="51"/>
      <c r="I976" s="52"/>
      <c r="P976" s="50"/>
    </row>
    <row r="977">
      <c r="B977" s="51"/>
      <c r="I977" s="52"/>
      <c r="P977" s="50"/>
    </row>
    <row r="978">
      <c r="B978" s="51"/>
      <c r="I978" s="52"/>
      <c r="P978" s="50"/>
    </row>
    <row r="979">
      <c r="B979" s="51"/>
      <c r="I979" s="52"/>
      <c r="P979" s="50"/>
    </row>
    <row r="980">
      <c r="B980" s="51"/>
      <c r="I980" s="52"/>
      <c r="P980" s="50"/>
    </row>
    <row r="981">
      <c r="B981" s="51"/>
      <c r="I981" s="52"/>
      <c r="P981" s="50"/>
    </row>
    <row r="982">
      <c r="B982" s="51"/>
      <c r="I982" s="52"/>
      <c r="P982" s="50"/>
    </row>
    <row r="983">
      <c r="B983" s="51"/>
      <c r="I983" s="52"/>
      <c r="P983" s="50"/>
    </row>
    <row r="984">
      <c r="B984" s="51"/>
      <c r="I984" s="52"/>
      <c r="P984" s="50"/>
    </row>
    <row r="985">
      <c r="B985" s="51"/>
      <c r="I985" s="52"/>
      <c r="P985" s="50"/>
    </row>
    <row r="986">
      <c r="B986" s="51"/>
      <c r="I986" s="52"/>
      <c r="P986" s="50"/>
    </row>
    <row r="987">
      <c r="B987" s="51"/>
      <c r="I987" s="52"/>
      <c r="P987" s="50"/>
    </row>
    <row r="988">
      <c r="B988" s="51"/>
      <c r="I988" s="52"/>
      <c r="P988" s="50"/>
    </row>
    <row r="989">
      <c r="B989" s="51"/>
      <c r="I989" s="52"/>
      <c r="P989" s="50"/>
    </row>
    <row r="990">
      <c r="B990" s="51"/>
      <c r="I990" s="52"/>
      <c r="P990" s="50"/>
    </row>
    <row r="991">
      <c r="B991" s="51"/>
      <c r="I991" s="52"/>
      <c r="P991" s="50"/>
    </row>
    <row r="992">
      <c r="B992" s="51"/>
      <c r="I992" s="52"/>
      <c r="P992" s="50"/>
    </row>
    <row r="993">
      <c r="B993" s="51"/>
      <c r="I993" s="52"/>
      <c r="P993" s="50"/>
    </row>
    <row r="994">
      <c r="B994" s="51"/>
      <c r="I994" s="52"/>
      <c r="P994" s="50"/>
    </row>
    <row r="995">
      <c r="B995" s="51"/>
      <c r="I995" s="52"/>
      <c r="P995" s="50"/>
    </row>
    <row r="996">
      <c r="B996" s="51"/>
      <c r="I996" s="52"/>
      <c r="P996" s="50"/>
    </row>
    <row r="997">
      <c r="B997" s="51"/>
      <c r="I997" s="52"/>
      <c r="P997" s="50"/>
    </row>
    <row r="998">
      <c r="B998" s="51"/>
      <c r="I998" s="52"/>
      <c r="P998" s="50"/>
    </row>
    <row r="999">
      <c r="B999" s="51"/>
      <c r="I999" s="52"/>
      <c r="P999" s="50"/>
    </row>
    <row r="1000">
      <c r="B1000" s="51"/>
      <c r="I1000" s="52"/>
      <c r="P1000" s="50"/>
    </row>
  </sheetData>
  <autoFilter ref="$A$1:$T$101"/>
  <conditionalFormatting sqref="C1:R1000">
    <cfRule type="cellIs" dxfId="0" priority="1" operator="equal">
      <formula>"SDG 7"</formula>
    </cfRule>
  </conditionalFormatting>
  <conditionalFormatting sqref="C1:R1000">
    <cfRule type="cellIs" dxfId="1" priority="2" operator="equal">
      <formula>"NOT SDG 7"</formula>
    </cfRule>
  </conditionalFormatting>
  <conditionalFormatting sqref="C1:R1000">
    <cfRule type="cellIs" dxfId="2" priority="3" operator="equal">
      <formula>"TO DO"</formula>
    </cfRule>
  </conditionalFormatting>
  <conditionalFormatting sqref="C1:R1000">
    <cfRule type="cellIs" dxfId="3" priority="4" operator="equal">
      <formula>"SKIP"</formula>
    </cfRule>
  </conditionalFormatting>
  <drawing r:id="rId1"/>
</worksheet>
</file>