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Ivan" sheetId="4" r:id="rId7"/>
    <sheet state="visible" name="Jean-Baptiste" sheetId="5" r:id="rId8"/>
    <sheet state="visible" name="Meike" sheetId="6" r:id="rId9"/>
    <sheet state="visible" name="Steve" sheetId="7" r:id="rId10"/>
    <sheet state="visible" name="Source" sheetId="8" r:id="rId11"/>
    <sheet state="visible" name="Final Review" sheetId="9" r:id="rId12"/>
    <sheet state="visible" name="Output" sheetId="10" r:id="rId13"/>
  </sheets>
  <definedNames>
    <definedName hidden="1" localSheetId="7" name="_xlnm._FilterDatabase">Source!$A$1:$K$101</definedName>
    <definedName hidden="1" localSheetId="8" name="_xlnm._FilterDatabase">'Final Review'!$A$1:$T$101</definedName>
  </definedNames>
  <calcPr/>
</workbook>
</file>

<file path=xl/sharedStrings.xml><?xml version="1.0" encoding="utf-8"?>
<sst xmlns="http://schemas.openxmlformats.org/spreadsheetml/2006/main" count="2530" uniqueCount="515">
  <si>
    <t>Hello 👋</t>
  </si>
  <si>
    <t>Welcome to the labeling exercise for SDG 15.</t>
  </si>
  <si>
    <t>The objective of this exercise is to label 100 texts in terms of their relevance to SDG 15.</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</si>
  <si>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</si>
  <si>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</si>
  <si>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</si>
  <si>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</si>
  <si>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</si>
  <si>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</si>
  <si>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</si>
  <si>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</si>
  <si>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</si>
  <si>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15</t>
  </si>
  <si>
    <t>This text is not relevant to SDG 15</t>
  </si>
  <si>
    <t>SKIP</t>
  </si>
  <si>
    <t>You can use this if you are not sure about the label</t>
  </si>
  <si>
    <t>If you want, you can put any comments in column D.</t>
  </si>
  <si>
    <t>Instructions for Labeling</t>
  </si>
  <si>
    <t>The text should be annotated as SDG 15 only if:</t>
  </si>
  <si>
    <r>
      <rPr>
        <rFont val="Arial"/>
        <color theme="1"/>
        <u/>
      </rPr>
      <t xml:space="preserve">1. The text addresses </t>
    </r>
    <r>
      <rPr>
        <rFont val="Arial"/>
        <b/>
        <color theme="1"/>
        <u/>
      </rPr>
      <t>SDG 15 or one of its targets</t>
    </r>
  </si>
  <si>
    <t>See the official definitions of SDG 15 and its targets below ("SDG 15 Description &amp; Targets").</t>
  </si>
  <si>
    <t>AND</t>
  </si>
  <si>
    <r>
      <rPr>
        <rFont val="Arial"/>
        <color theme="1"/>
        <u/>
      </rPr>
      <t xml:space="preserve">2. The text addresses SDG 15 or its targets </t>
    </r>
    <r>
      <rPr>
        <rFont val="Arial"/>
        <b/>
        <color theme="1"/>
        <u/>
      </rPr>
      <t>directly</t>
    </r>
    <r>
      <rPr>
        <rFont val="Arial"/>
        <color theme="1"/>
        <u/>
      </rPr>
      <t>:</t>
    </r>
  </si>
  <si>
    <t>- the text should be directly relevant to SDG 15 or to achieving SDG 15</t>
  </si>
  <si>
    <t>- if a text only has an indirect or implicit relevance, it should not be labeled SDG 15</t>
  </si>
  <si>
    <r>
      <rPr>
        <rFont val="Arial"/>
        <color theme="1"/>
        <u/>
      </rPr>
      <t xml:space="preserve">3. The text addresses SDG 15 or its targets </t>
    </r>
    <r>
      <rPr>
        <rFont val="Arial"/>
        <b/>
        <color theme="1"/>
        <u/>
      </rPr>
      <t>specifically</t>
    </r>
    <r>
      <rPr>
        <rFont val="Arial"/>
        <color theme="1"/>
        <u/>
      </rPr>
      <t>:</t>
    </r>
  </si>
  <si>
    <t>- the text should be specific to SDG 15 and its targets</t>
  </si>
  <si>
    <t>- if fact stating, the text should contain value-laden words (e.g. renewable energy instead of energy, drug abuse instead of drugs, infant mortality instead of premature deaths)</t>
  </si>
  <si>
    <r>
      <rPr>
        <rFont val="Arial"/>
        <color theme="1"/>
        <u/>
      </rPr>
      <t xml:space="preserve">4. Annotate as SDG 15 regardless of </t>
    </r>
    <r>
      <rPr>
        <rFont val="Arial"/>
        <b/>
        <color theme="1"/>
        <u/>
      </rPr>
      <t>valence</t>
    </r>
    <r>
      <rPr>
        <rFont val="Arial"/>
        <color theme="1"/>
        <u/>
      </rPr>
      <t xml:space="preserve"> and </t>
    </r>
    <r>
      <rPr>
        <rFont val="Arial"/>
        <b/>
        <color theme="1"/>
        <u/>
      </rPr>
      <t>other SDGs</t>
    </r>
    <r>
      <rPr>
        <rFont val="Arial"/>
        <color theme="1"/>
        <u/>
      </rPr>
      <t>:</t>
    </r>
  </si>
  <si>
    <t>- annotate as SDG 15 regardless of whether the content is discussed in a positive or negative light. We ignore valence (sentiment) for now.</t>
  </si>
  <si>
    <t>- annotate as SDG 15 even if other SDGs are mentioned and annotate as SDG 15 even if SDG 15 is not the "most important" SDG in the text</t>
  </si>
  <si>
    <t>With all that said, please do trust your judgment! I am sure we will have important discussions about these issues next time — which is exactly what we want 😊</t>
  </si>
  <si>
    <t>SDG 15 Description &amp; Targets</t>
  </si>
  <si>
    <t>SDG 15</t>
  </si>
  <si>
    <t>Protect, restore and promote sustainable use of terrestrial ecosystems, sustainably manage forests, combat desertification, and halt and reverse land degradation and halt biodiversity loss</t>
  </si>
  <si>
    <t>Target 15.1</t>
  </si>
  <si>
    <t>By 2020, ensure the conservation, restoration and sustainable use of terrestrial and inland freshwater ecosystems and their services, in particular forests, wetlands, mountains and drylands, in line with obligations under international agreements</t>
  </si>
  <si>
    <t>Target 15.2</t>
  </si>
  <si>
    <t>By 2020, promote the implementation of sustainable management of all types of forests, halt deforestation, restore degraded forests and substantially increase afforestation and reforestation globally</t>
  </si>
  <si>
    <t>Target 15.3</t>
  </si>
  <si>
    <t>By 2030, combat desertification, restore degraded land and soil, including land affected by desertification, drought and floods, and strive to achieve a land degradation-neutral world</t>
  </si>
  <si>
    <t>Target 15.4</t>
  </si>
  <si>
    <t>By 2030, ensure the conservation of mountain ecosystems, including their biodiversity, in order to enhance their capacity to provide benefits that are essential for sustainable development</t>
  </si>
  <si>
    <t>Target 15.5</t>
  </si>
  <si>
    <t>Take urgent and significant action to reduce the degradation of natural habitats, halt the loss of biodiversity and, by 2020, protect and prevent the extinction of threatened species</t>
  </si>
  <si>
    <t>Target 15.6</t>
  </si>
  <si>
    <t>Promote fair and equitable sharing of the benefits arising from the utilization of genetic resources and promote appropriate access to such resources, as internationally agreed</t>
  </si>
  <si>
    <t>Target 15.7</t>
  </si>
  <si>
    <t>Take urgent action to end poaching and trafficking of protected species of flora and fauna and address both demand and supply of illegal wildlife products</t>
  </si>
  <si>
    <t>Target 15.8</t>
  </si>
  <si>
    <t>By 2020, introduce measures to prevent the introduction and significantly reduce the impact of invasive alien species on land and water ecosystems and control or eradicate the priority species</t>
  </si>
  <si>
    <t>Target 15.9</t>
  </si>
  <si>
    <t>By 2020, integrate ecosystem and biodiversity values into national and local planning, development processes, poverty reduction strategies and accounts</t>
  </si>
  <si>
    <t>Target 15.a</t>
  </si>
  <si>
    <t>Mobilize and significantly increase financial resources from all sources to conserve and sustainably use biodiversity and ecosystems</t>
  </si>
  <si>
    <t>Target 15.b</t>
  </si>
  <si>
    <t>Mobilize significant resources from all sources and at all levels to finance sustainable forest management and provide adequate incentives to developing countries to advance such management, including for conservation and reforestation</t>
  </si>
  <si>
    <t>Target 15.c</t>
  </si>
  <si>
    <t>Enhance global support for efforts to combat poaching and trafficking of protected species, including by increasing the capacity of local communities to pursue sustainable livelihood opportunities</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</si>
  <si>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</si>
  <si>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</si>
  <si>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</si>
  <si>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</si>
  <si>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</si>
  <si>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</si>
  <si>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</si>
  <si>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Ivan</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</si>
  <si>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</si>
  <si>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</si>
  <si>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</si>
  <si>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</si>
  <si>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</si>
  <si>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</si>
  <si>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15. The reason for selecting each text is documented in the "Source" sheet.</t>
  </si>
  <si>
    <t>Automatic Selection (50 texts)</t>
  </si>
  <si>
    <t>50 texts were selected automatically</t>
  </si>
  <si>
    <t>- 25 texts that OSDG community labeled as "SDG 15"</t>
  </si>
  <si>
    <t>- 25 texts that OSDG community labeled as "not SDG 15"</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</si>
  <si>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</si>
  <si>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</si>
  <si>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</si>
  <si>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</si>
  <si>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</si>
  <si>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</si>
  <si>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</si>
  <si>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</si>
  <si>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</si>
  <si>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25 texts that OSDG community labeled as "SDG 15"</t>
  </si>
  <si>
    <t>- 1 texts that relate to the goal as a whole</t>
  </si>
  <si>
    <t>- 24 texts (2 per target) that relate to the SDG targets</t>
  </si>
  <si>
    <t>25 texts that OSDG community labeled as "not SDG 15"</t>
  </si>
  <si>
    <t>- 1 texts that contain words relating to the goal as a whole</t>
  </si>
  <si>
    <t>- 24 texts (2 per target) that contain words relating to the SDG targets</t>
  </si>
  <si>
    <t>Text ID</t>
  </si>
  <si>
    <t>Text</t>
  </si>
  <si>
    <t>SDG 15 Label</t>
  </si>
  <si>
    <t>Comments (optional)</t>
  </si>
  <si>
    <t>e7a972ad2da05b3c864665aafa4ea127</t>
  </si>
  <si>
    <t>The lack of funds presents a large risk factor to the fulfilment of the project plan. The Nordic hubs in support of authors should apply for funds for all sub-parts of the assessment, but there are no guarantees as to how successful they will be, nor is it yet clear if the project will be able to establish such hubs. There is also a need for funds to cover the co-chairs' hours of work, and the meeting costs and DSA.</t>
  </si>
  <si>
    <t>a07e615c0d81f939880ca96aa50f350e</t>
  </si>
  <si>
    <t>Vittel paid $230 per hectare/year for seven years to cover the reduced profitability resulting from the changed management practices. Threats to water quality have now shifted from the rural to the urban areas, and Agrivair is moving its focus to programmes targeting pollution from storm- and waste- water management. ( The forest is partly located in a natural park, the "Domaine d'Henniez": 100 hectares with no intensive agriculture.</t>
  </si>
  <si>
    <t>280f82164057b73ab5d48a16724b85d6</t>
  </si>
  <si>
    <t>If policies are collectively implemented and sanctions broadly enforced, for example in the level of sentencing imposed on illicit trade, their impact can be broadcast across different countries in a region. These can be applied in areas where the nexus of illicit trade funds extremist groups. Groups like Boko Haram heavily leverage the illicit trade apparatus in Africa to finance their operations. The human trafficking and kidnapping for ransom in Nigeria, for instance, is associated with the illegal fishing trade down the Kamadougou River in the northeastern area of Nigeria via Boko Haram.</t>
  </si>
  <si>
    <t>0335babfeb31e672e6346a7c1715e1ce</t>
  </si>
  <si>
    <t>Yet if our climate is to be stabilised, today’s developing countries need to lead the world to a solution - and as has been emphasised elsewhere in this chapter, there is no solution to climate change without halting deforestation. Climate change had already caused suffering in the country. In 2005, floods inflicted damage equivalent to 60% of that year’s gross domestic product (GDP). Yet, as a country with 85% of its land mass under forest, an area larger than Great Britain, our people didn’t want to just complain about climate change - we were prepared to act. We were prepared to deploy almost our entire forest in the global fight against climate change, providing: 1) we could access the right economic incentives to value our standing forests, and 2) our people’s sovereignty over their forests would not be diminished.</t>
  </si>
  <si>
    <t>36df24c01741ea3abcb004852c6a0fcf</t>
  </si>
  <si>
    <t>Meeting the restoration targets is likely to require significant financial resources and innovative finance mechanisms, such as green bonds for restoration investment. The CAR will allow to identify high-biodiversity-value areas and to prioritise restoration actions. Most such instruments aim to reward biodiversity-friendly actions, such as good agricultural practices or sustainable forest use.</t>
  </si>
  <si>
    <t>c3d421de5ef3d1d3f0e67264e704af9d</t>
  </si>
  <si>
    <t>Time series data are also available for each of these. While the FD accounted for two-thirds of MOECAF spending (MMK 13.62 billion or USD 13.29 million), the share of FD funding going to NWCD was relatively low' at 8.5% (MMK 1.15 billion or USD 1.12 million). Overall, the MOECAF budget (MMK 21.46 billion or USD 20.93 million) accounted for just 0.18% of total union expenditures on line ministries and departments (MMK 12.13 billion or USD 11.8 billion).</t>
  </si>
  <si>
    <t>FD: Forest Department
MOECAF: Ministry of Environmental Conservation and Forestry
NWCD: Nature and Wildlife Conservation Division</t>
  </si>
  <si>
    <t>b4052014ec9fd88925a67a9235eb6e04</t>
  </si>
  <si>
    <t>Around one million hand pumps supply water to over 200 million rural water users across the continent, yet as many as one third of all hand pumps are thought to be broken at any given time, with 30-70% of pumps breaking within two years. The Smith School Water Programme at Oxford University launched a 12-month 'smart hand pump’ trial in Kyuso, Kenya, in 2013 in an attempt to resolve problems related to broken water pumps and to test a new maintenance model for universal and reliable water services. The team opted for non-rechargeable batteries, with a replacement lifetime longer than the pump maintenance cycle.</t>
  </si>
  <si>
    <t>03d5b2a1ccc62b72bf6a45ecd0036bad</t>
  </si>
  <si>
    <t>Among these, 23 species have been declared natural monuments, 74 species are extinct, 39 species are endangered, 171 species are vulnerable and 1,253 species are rare. Grassland species account for 37 per cent of the total species represented. Some 600 algae species and over 700 species of marine and coastal plants exist. A very high percentage of the plant species (4 per cent) are endemic.</t>
  </si>
  <si>
    <t>3eb02006704d8fd736c115cecb0a1ea1</t>
  </si>
  <si>
    <t>It is to be achieved primarily through the national land use planning framework, and secondarily by means of interventions in key sectors such as agriculture, forestry and fishing. Sectoral interventions include pro-active measures promoting biodiversity conservation (e.g. sustainable agriculture, ecotourism), as well as corrective measures that eliminate perverse incentives that are detrimental to biodiversity (e.g. removal of certain agricultural support programmes). Mainstreaming biodiversity into other policy sectors also requires looking into synergies and possible trade-offs (e.g. between biodiversity and food production, or biodiversity and climate change policies), as well as integrating biodiversity policy with equity objectives. How it may be used is determined by the national land use planning policy.</t>
  </si>
  <si>
    <t>14e341e992d9f3de407cb88383ae7d4e</t>
  </si>
  <si>
    <t>The projected rise in aquaculture is also expected to exert increasing pressure on biodiversity. A fundamental prerequisite for effective fisheries management is reliable comprehensive data on fish stocks, which are lacking in many countries. Australia is a notable exception, and its data collection, together with fisheries management plans, has achieved near 100% sustainable stocks at national level.</t>
  </si>
  <si>
    <t>9c62f1947e83237d87e70c1be7b774e9</t>
  </si>
  <si>
    <t>It reflects changes in total production of goods and services. It is a powerful summary indicator of economic development, even though it does not account for social and environmental cost of production and consumption. It is obtained by calculating gross capital formation as percentage of gross domestic product.</t>
  </si>
  <si>
    <t>3017c1ad7bf498e9dccc4cb2619e737f</t>
  </si>
  <si>
    <t>The calculation method is shown on the positive list for each project type under the heading “methodology”. Therefore, the party in charge of a project simply needs to use the capture volume calculation formula shown there. The party carrying out the project monitors it in accordance with these guidelines, collects the data and calculates the results.</t>
  </si>
  <si>
    <t>d5f27cfddcd537f00ad7d2af50a81faf</t>
  </si>
  <si>
    <t>For instance, those who have completed upper secondary education can be expected either to have an adequate set of skills relevant to the labour market or to have demonstrated the ability to acquire such skills. Life-long learning is essential to sustainable development. The scale and quality of human resources are major determinants of both the creation of new knowledge and its dissemination.</t>
  </si>
  <si>
    <t>1949aae73664def25e12339c25979a4e</t>
  </si>
  <si>
    <t>Wetlands are highly valued habitats for biodiversity and their loss is of international significance. However, for some types of seminatural agricultural habitats (farm woodland and fallow land) the area has increased or remained stable for a number of countries. Depending on the degree of sealing, it reduces or completely prevents natural soil functions and ecosystem services on the area concerned. This excludes woodland or forest predominantly under agricultural or urban land use and used only for recreation purposes.</t>
  </si>
  <si>
    <t>485f207fdc72743b18ba3790c96f4f12</t>
  </si>
  <si>
    <t>In these areas, primary biological production - animal breeding - supports an important sector of the economy upon which the majority of the population depends. This activity, if managed appropriately, conserves vegetation cover, thereby preventing soil erosion on mountain slopes, and reducing the likelihood of flooding. The latter has the potential to cause annual agricultural losses in the millions of United States dollars.</t>
  </si>
  <si>
    <t>2a879fe196a4858f286d4da994f52cb5</t>
  </si>
  <si>
    <t>The Network of Networks on Impact Evaluation (NONIE), comprised of the OECD DAC Evaluation Network, the United Nations Evaluation Group (UNEG), the Evaluation Cooperation Group (ECG), and the International Organisation for Cooperation in Evaluation (IOCE), was formed in 2006 to promote quality impact evaluations. The group has also developed NONIE guidance on impact evaluation (Leeuw and Vaessen, 2009). Systematic reviews examine the results of a synthesis of individual impact evaluation studies to identify general relationships and treatment effects.</t>
  </si>
  <si>
    <t>e8917db1d4b272a73c15d6608eef8884</t>
  </si>
  <si>
    <t>With big data and technologies, the time for companies and governments underplaying deforestation, wildlife trade, poaching or illegal fishing is over. Artificial intelligence can now be used to help boost protection and resilience of natural systems instead. The Natural Capital Project uses remote-sensing-based natural capital assessment to guide jurisdictional development planning, mapping supply risk for corporate sourcing decision, and helping conservation organizations target investments in forest restoration.</t>
  </si>
  <si>
    <t>6e48e899afde84786d924e809aef2c9f</t>
  </si>
  <si>
    <t>The share of the population with access to improved water sources increased from 88% in 1990 to almost 98% in 2012. Water supply in urban areas is almost universal, though 15% of the rural population still lacks access to an improved water source (Annex 3.A). The share of households connected to water pipe networks reached 94% in urban areas in 2013. Regional disparity is wide, however, with most of the urban dwellers still not connected to a water network found in the North-east region and, particularly, the North, where less than 60% are connected (MCid, 2014).</t>
  </si>
  <si>
    <t>5778983e5fa474b76438c796993b64aa</t>
  </si>
  <si>
    <t>More specific planning efforts in the biodiversity field - be they in the format of a new BSAP or another appropriate format - will flow from the general priorities identified by that plan. This is a significant policy gap, which calls for concerted planning efforts. At the same time, the expiry of the old plans offers an opportunity to look back at both plans and their implementation and to identify lessons learned and areas for improvement. They appealed inadequate to address the pressures and threats that affect biodiversity in Turkmenistan.</t>
  </si>
  <si>
    <t>27567a70f19c5a35c346fd6535564302</t>
  </si>
  <si>
    <t>An action plan is now needed to put the new strategy into operation. Implementation of the strategy would also benefit from an assessment of the efficiency and effectiveness of existing policy instruments. The government is committed to achieving the Aichi targets of protecting 17% of terrestrial areas and 10% of marine areas by 2020. Colombia considers that protected areas cover about 12% of terrestrial areas and 9.2% of marine areas. However, the latter estimate is more than that which is currently assessed using IUCN criteria and includes an area which has been the subject of an international dispute. This suggests that a significant effort will be required, particularly for marine areas.</t>
  </si>
  <si>
    <t>99664848a5373d9052f7af7921aabdad</t>
  </si>
  <si>
    <t>Most fishing is carried out by obsolete fleets and very often directed at fish stocks that are already heavily exploited. Further increasing aquaculture production could contribute to supplying seafood and fish at lower costs to the population, thereby reducing pressure on natural fishery resources. However, its potentially negative impact on aquatic ecosystems should be taken into account. Efforts are being made to develop new approaches and techniques, including run-of-river projects in suitable conditions, as development of dams for large hydro can have an adverse impact on river ecosystems and local communities.</t>
  </si>
  <si>
    <t>895fb9ff3cae1cd93b263f1e98a5decd</t>
  </si>
  <si>
    <t>However, the pilot projects encountered a number of difficulties including buyers unwilling to enter into complex agreements to pay for services, regulatory issues, complicated supply chains and poor communication. Ultimately, the potential buyers of services were unwilling to enter into long-term payment contracts with an uncertain return on investment. In parallel, SANBI embarked on a series of dialogues aimed at improving the communication of the essential PES messages.</t>
  </si>
  <si>
    <t>95339ccd6e82c39311546419c538b9e4</t>
  </si>
  <si>
    <t>More than four-fifths of the forests are available for wood production, and all but some small areas of plantations are classified as semi-natural. The amount of acres burned in 2007 was 10 times higher than the prior two years (Figure 9.3). Other disturbance agents that contribute to loss of forest cover and timber volume include insects, pathogens, and illegal logging. Since then, the country has acquired suppression equipment such as planes, tractors, and fire engines.</t>
  </si>
  <si>
    <t>813bab2a1619c17c29334183a3666c61</t>
  </si>
  <si>
    <t>Prioritise responses to address these pressures, and consider the types of policy measures likely to be most effective in terms of environmental impact as well as cost. A few other indicators may also merit further consideration. Selecting a core set of indicators (Step 6) is an important element of this, and aims should be made for these to be as consistent as possible across countries, so as to enable aggregation of data at regional and global levels.</t>
  </si>
  <si>
    <t>d8c7faa85b23b153a598cc47fd82976c</t>
  </si>
  <si>
    <t>Approval signifies that the material has been subject to detailed, line-by-line discussion and agreement by consensus. However, if a reader should report an error (e.g., a miscalculation or a factual inaccuracy) in an accepted report chapter or approved summary for policymakers, the issue should be brought to the attention of the Secretariat, which should implement a process for error correction. The text below is adapted from the IPBES procedure for the Nordic Assessment.</t>
  </si>
  <si>
    <t>e6a911d72e1afb5b0890da2a441e76ca</t>
  </si>
  <si>
    <t>Debt constitutes a burden for future generations as it reduces the amount available for their consumption and investments. High and increasing debt ratios can be seen as an indication of unsustainable public finances. With regard to external debt, this is one of the indicators that measures the burden of servicing the external debt of a country in relation to its total income (GNI).</t>
  </si>
  <si>
    <t>67ed2af3b43607d211063aa9dd9aec5d</t>
  </si>
  <si>
    <t>The UN-REDD programme developed guidance to promote gender-sensitive processes in the preparation, implementation and monitoring of REDD+ projects and other action plans which focus on strengthening a bottom-up approach, including priority alignment to national needs and capacities (FAO/UNDP/UNEP 2013). However, mainstreaming gender in national policies, in which is often interpreted as an increased number of women participating at local level, is not sufficient to realize the full potential of women and men as agents of change at community level. Systematic gender-responsive analysis should be carried out, including information on decision-making, gender perceptions and actual gender differences in interests in, as well as needs for effective engagement of women and men in REDD+ implementation in local contexts (Eggerts 2016, Larson etal.</t>
  </si>
  <si>
    <t>aee7944e117d150ceccc6136e5a02e49</t>
  </si>
  <si>
    <t>The unclear status of these areas resulted in growing pressures (e.g. for grazing areas) which, in some cases, led to their deterioration. Finally, in late 2015, the legal protective status of 12 nature preserves has been extended, for the next 10 years (until 2025). Therefore, the legal status alone of 13 nature preserves cannot currently be perceived as an effective solution to ensuring their protection, due to the uncertainty of their continued existence in the future. This is attributable in large part to the fact that all state nature reserves are legal entities with a stable and clear legal mandate, have valid land use certificates, are managed solely for nature conservation purposes, and receive more attention and support from the Government, foreign donors, international organizations and conservation NGOs.</t>
  </si>
  <si>
    <t>9d6ec508850f03b7096418349e022e93</t>
  </si>
  <si>
    <t>Each district is led by a forest district manager, who has autonomy in managing forests according to the forest management plan and who is responsible for their condition. There are 430 forest districts, with average area of 17 500 ha. This means timber sales must finance the “basic forest management tasks” (e.g. silviculture, forest protection) that the LP carries out. When the Forest Act was passed in 1991, it included no taxation of timber sales income, the aim being to facilitate the LP’s transition to a market economy.</t>
  </si>
  <si>
    <t>ec3a149758fe2c6a4418bbea645529cc</t>
  </si>
  <si>
    <t>An important concept is opportunity costs, or the value foregone when a given alternative is undertaken: e.g., the cost of choosing scenario 1 over scenario 2. If we protect a resource today, the opportunity cost is the value that would have been generated had we consumed it instead. Alternatively, if we choose to consume a resource today, the opportunity cost is the value that would have been generated from protecting it.</t>
  </si>
  <si>
    <t>d925d4a8e8c26c4f9805e713d051715b</t>
  </si>
  <si>
    <t>The adverse trends of forest decline and degradation would immediately result in increased government expenditures on risk management, protective and emergency measures. Reforestation has to be perceived in the long term, as, due to climate and soil conditions in mountain regions, the success of such activities would require at least several decades of effort and investment. This is particularly so in the case of the 13 nature preserves, which are traditionally designated for 10 years only, which status is not always prolonged in a timely manner for the subsequent period.</t>
  </si>
  <si>
    <t>1b0f2ddc8620632c8a15d48f6b0f461a</t>
  </si>
  <si>
    <t>The project therefore had direct relevance to the water resource protection component of the NWRS2. The Department of Water Affairs appointed a set of consultants to develop a first draft of the revised strategy. Key individuals based at different institutions are well known to each other and maintain strong connections through consistent working relationships.</t>
  </si>
  <si>
    <t>f7dd38de3d6f8ce72467848d76daf2bc</t>
  </si>
  <si>
    <t>Article 5 states that "Local populations should be associated with tourism activities and share equitably in the economic, social and cultural benefits they generate, and particularly in the creation of direct and indirect jobs resulting from them." Considering nature-based tourism from a sustainability perspective will inevitably take us to the concept of ecotourism, which can be seen as a normative sub-category of nature-based tourism. Donohoe and Needham (2006) reviewed 42 definitions and conclude that ecotourism is characterized as nature-based, preservative, educative, sustainable, responsible and ethical tourism.</t>
  </si>
  <si>
    <t>f1dcc964f0d6ea36be55cd848551dfdc</t>
  </si>
  <si>
    <t>Known poaching activity accounts for a high percentage of illegally killed elephants in Central and Eastern Africa, with lower rates in Western and Southern Africa. The chief transit points were found in central Chad, Lubumbashi, the DRC, as well as in the centre of the country, Uganda, Nairobi, Kenya, Lilongwe, Malawi, Beitbridge, Zimbabwe (on the border of South Africa) and Lusaka and Livingstone in Zambia (Nellemann et al. To adapt to this challenge a coordinated and comprehensive strategy is needed that both reduces demand for illegal products and enhances enforcement capacities.4 Law enforcement agencies would benefit from access to strategic intelligence, which enhances the capacity to interpret trends and reevaluate on the ground tactics before the traffickers can adapt. It is important to build capacity amongst national law enforcement agencies and local monitoring networks.</t>
  </si>
  <si>
    <t>3015af7e57a4578b93954780d270bbc7</t>
  </si>
  <si>
    <t>This shows that the present value of net losses are an order of magnitude higher when taking into account the effect of deforestation on the full range of forest ecosystem services. Hence, investments in the forestry sector could potentially also be beneficial from the perspective of poverty alleviation. In that sense, this report provides further rationale for efforts to accelerate the implementation ofthe REDD+ National Strategy and Action Plan.</t>
  </si>
  <si>
    <t>a735740fcf026814dba2c2909f6deae2</t>
  </si>
  <si>
    <t>Its provisions include procedures for the registration and monitoring of LMOs and LMO products, risk assessment and transboundarv movements of LMOs and border checkpoints. They also address LMO production, manufacturing and use. Provisions on managing LMOs and LMO products are also included in the 2012 Law on Food and 2012 Law on Ensuring the Safety of Food Products, in the National Security' Concept, adopted by the State Great Khural in 2010 and in the NBP 2015-2025. Prior to 2015, a draft national action plan for biosafety was developed but it was not adopted. However these two objectives of the NBP 2015-2025 cannot substitute for a national action plan for biosafety. A-27 and revised by the 2013 Ministerial Order No.</t>
  </si>
  <si>
    <t>more on safety than equal access</t>
  </si>
  <si>
    <t>51e6d2529e8340c1602b36e089182799</t>
  </si>
  <si>
    <t>The data plan also needs to cover issues such as ownership of compiled data. Although it is a metadatabase, it might be necessary to have different types of options for access and use, and to establish some kind of agreement and different levels of logins, depending on metadata stored. The data plan needs to include a strategy for the use of data and knowledge that is not publicly available, such as local or traditional knowledge that cannot be shared outside the group of knowledge holders, or medical/psychological data collected with prior informed consent restricting the use of data, as well as for quality management. Whenever possible, the sets of metadata should contain information on the geographical location and temporal reference of the underlying data as well as the scientific and ILK protocol with which they were collected.</t>
  </si>
  <si>
    <t>c5a22c53899d819fbbb938289e6f3cdf</t>
  </si>
  <si>
    <t>Similar to the biodiversity tagging workshop, target agencies for this activity include: the Department of Agriculture and Bureau of Fisheries and Aquatic Resources, the Department of Science and Technology', the Commission on Higher Education and the Department of Education, the Department of Tourism, the National Research Council of the Philippines, the Department of Social Welfare and Development, the Department of the Interior and Local Government, and leagues. The bulk of this amount is expected to come from the private sector - including businesses, financial institutions, venture capital, foundations, philanthropies, privately run academic institutions, and for-profit and not-for-profit organisations. Thus, one of the core functions of the PBSAP secretariat will be to monitor financial flows related to PBSAP implementation.</t>
  </si>
  <si>
    <t>0d9a070eecdf2f4205aa5ca27c83b8cd</t>
  </si>
  <si>
    <t>These respondents criticized that cooperation depends too much on the disposition of the directors and therefore the prioritization of cooperation by the senior management as well as simply the chemistry between individuals. The best options for each country will therefore depend on its characteristics and context. The case study examples below are intended as suggestions or inspiration to help each country strengthen its institutional arrangements in the most appropriate manner.</t>
  </si>
  <si>
    <t>757f4dbd11a9aea2eb9bd70ea765f391</t>
  </si>
  <si>
    <t>A replacement ratio of 1.33 is applied for offsets with a time to maturity of between 5 and 25 years and 1.67 for those with time to maturity between 25 and 100 years (de Bie and van Dessel, 2011). The size of the replacement ratio applied is usually related to the assessed risk that an offset will successfully mature (McKinney and Kiesecker, 2010). Guidance material for the biodiversity offset pilots in England, for example, recommends multipliers of ten times the measured size of the clearing site for habitats that are classified as having a “very high difficulty of restoration/recreation” (DEFRA, 2012).</t>
  </si>
  <si>
    <t>58555719c749edf8d9646badbd8e191f</t>
  </si>
  <si>
    <t>They wall also be more collectively informed about the disparate data, and benefit from a forum where data analysis can be explored and shared. The platform could serve as a resource for research to inform public policy. The volume and granularity of trafficking details could be used to update routine engagements, providing the latest information for meetings with policy partners. Dynamic tools used by the platform can provide this information for reporting, analysis and presentations to influence policy related to trends, hotspots and changes in illicit trade.</t>
  </si>
  <si>
    <t>49728de4aaab5b1239627464d3e5e7ad</t>
  </si>
  <si>
    <t>Moreover, with reference to the source database, the OECD Secretariat is better able to identify and explain discrepancies between this indicator, national data or other sources. The WDPA is updated continuously, which means that updates to the indicator can be done more regularly (e.g. annually). The method allows the data on protected areas to be summarised in a harmonised and more detailed way than is currently available, without requiring any additional reporting by countries.</t>
  </si>
  <si>
    <t>1a640c81720f30f2219faa7171417444</t>
  </si>
  <si>
    <t>Technical and political challenges, particularly linked to ensuring wide stakeholder acceptance and equitable market access by small and medium-sized enterprises (SMEs), continue to delay the issuance of the first licences. Indonesia is expected to deliver the first FLEGT-licensed timber to the EU in early 2016, followed by Ghana later in the same year. A five-year ITTO project was launched in March 2014 with EU financial support to establish the FLEGT Independent Market Monitoring (IMM) mechanism with the aim of regularly assessing the market influence of the FLEGT process.</t>
  </si>
  <si>
    <t>FLEGT: Forest Law Enforcement, Governance and Trade
EU: European Union
ITTO: International Tropical Timber Organization
IMM: Independent Market Monitoring</t>
  </si>
  <si>
    <t>7d0138c6a5b3d10694be8971ecd97c89</t>
  </si>
  <si>
    <t>Related to "Nature's benefits to people" and "quality of life" there are also indirect drivers and policy options, and many others as well, such as outdoor recreation organisations, local development groups etc. Examples are the PISUNA project in Greenland and the Snowchange Deatnu Oral History Project in Finland. This includes the implementation of the Strategic Plan for Biodiversity and its Aichi Biodiversity Targets, see Annex 8, and the Nordic region and countries' specific policy questions. It should present Nordic aspects of priority regarding the thematic challenges identified by the IPBES, such as land degradation and restoration, invasive alien species, and sustainable use of biodiversity.</t>
  </si>
  <si>
    <t>656609046218d7cf0c3c48a1557109c6</t>
  </si>
  <si>
    <t>For example, the personnel of a given protected area focus not only on issues related to that area, but also assume thematic responsibilities across the entire mosaic. The mosaic structure helps address environmental and socio-economic challenges, many of which are common to all protected areas, and facilitates the resolution of conflicts arising in border areas. Such conflicts are often linked to the monitoring and control of natural resource use. While these are mostly carried out for community consumption as traditional activities, product sales to commercial companies are increasing, turtle trafficking, for example, has become a major challenge in the region. Enforcement of park regulations has caused many families to move to the neighbouring extractive reserve, where natural resource use is permitted. This plan probably has too many potentially conflicting objectives and has not been fully implemented.</t>
  </si>
  <si>
    <t>1bbfe4483b6786110d4d1efb044bdeb2</t>
  </si>
  <si>
    <t>Given that PNG, Samoa, Tonga, Tuvalu and Vanuatu are unlikely to meet Goal 1, achieving Target 10.1 will also be difficult without serious reform. Fiji is, however, likely to meet Target 10.1 based on its positive outlook for Goal 1. Ensuring equal opportunities and reducing inequalities of outcome (Target 10.3) are also closely dependent on the outcome of Target 5.1 to end all forms of discrimination against women and girls.</t>
  </si>
  <si>
    <t>793c707da80508eaea7c66cc1e08c1b6</t>
  </si>
  <si>
    <t>Other key species in the Baltic region are iconic species including salmon (Salmo salar), cod (Gadus morhua), great cormorant (Phalacrocorax carbo sinensis), white-tailed eagle (Haliaeetus albicilla), grey seal (Halichoerusgrypus), harbour seal (Phoca vitulina) and ringed seal (Phoca hispida). During the winter, approximately 90% of the sea ducks living in the Baltic Sea region gather in areas that constitute less than 5% of the Baltic Sea. Bladder wrack forms one of the most diverse Baltic Sea habitats down to 10-11 m depth. The lowest depth limit of bladder wrack (and other macroalgae) is widely used as one of the ecological quality indicators in the Water Framework Directive assessments in the Baltic Sea (Zettler et al., The mussels modify the environment and support a rich diversity of associated species (P. Norling &amp; Kautsky, 2007, Ojaveer et al., Mussel beds uphold an important filter-feeding function: they regulate the availability and flow of resources such as nutrients and organic matter, thereby forming an important link between benthic and pelagic ecosystems.</t>
  </si>
  <si>
    <t>SDG 14</t>
  </si>
  <si>
    <t>7a68736d97bb6570b2c0cfba16f234fb</t>
  </si>
  <si>
    <t>The first to emerge was the national Rice Improvement Programme, founded in the early 1970s. The majority of seeds introduced to Nepal since the 1988 act have been improved varieties, only a handful of which are of local origin. One hybrid maize — Gaurab — could not be commercially produced, and another — Rampin' hybrid 2, or RML2 — is still contending with the lengthy approval process.</t>
  </si>
  <si>
    <t>not about fair access</t>
  </si>
  <si>
    <t>b730184a4e2c08d75a73a4f119a7aef2</t>
  </si>
  <si>
    <t>At its 8th meeting, on 14 May, the Forum held its high-level round table 1 on the topic “Integration of forests in the post-2015 development agenda”. At the same meeting, the Forum held its high-level round table 2 on the topic “Renewed commitments to the implementation of the international arrangement on forests beyond 2015”. At its 9th meeting, on 14 May, the Forum held a high-level dialogue with heads of the member organizations of the Collaborative Partnership on Forests, heads of the regional organizations and representatives of major groups.</t>
  </si>
  <si>
    <t>335b8a7105b28dc4bf7c927111ac3782</t>
  </si>
  <si>
    <t>On World Environment Day, June 5, 1999, former prime minister Krishna Prasad Bhattarai made a public appeal to resist cutting standing trees. But his words were later twisted into a blanket ban on felling living trees in community forests. This happened in 2010 following increased reports of smuggled goods from valuable forests in the southern plains.</t>
  </si>
  <si>
    <t>8bb7c4d98c49f23d4e67a2496d069bb6</t>
  </si>
  <si>
    <t>The demand for wildlife products — in particular ivory and rhino horn — has led to a resurgence of elephant and rhino poaching. In addition, there has also been a shift in the areas targeted by poachers and the weapons used, with snaring and poisoning of animals used in place of firearms, especially in areas that hitherto never experienced poaching. The methods, trade routes and concealment techniques used by poachers to traffic wildlife products and engage in the illegal wildlife trade have also evolved.</t>
  </si>
  <si>
    <t>675cb263519ae1ff0d2dc5cb6579c71c</t>
  </si>
  <si>
    <t>Equivalent work is also expected to start in 2014 on a range of finished wood products, including doors, windows, shutters, curtain-walling and flooring (Anderson, 2014). Efforts are being made to assist with the development of EPDs at the national level by compiling comprehensive LCA data for timber and wood products, for example through the United Kingdom's Wood First Plus Initiative. These EPDs are independently verified by Underwriters Laboratories to ensure that EPDs conform to ISO 14025 requirements.</t>
  </si>
  <si>
    <t>d7caad17ba0835bb9266c4b3fab3932b</t>
  </si>
  <si>
    <t>Although the use of secondary species has increased in recent years, the adoption of strategic diversification measures is not yet generating the expected results. This situation hampers the economic growth of the chain, of Peten and of the Guatemalan forestry sector in general. Current forest-governance mechanisms do not yet guarantee the eradication of illegal activities or their reduction to minimal levels.</t>
  </si>
  <si>
    <t>451987635956182a2b5cc66cf4e63606</t>
  </si>
  <si>
    <t>They are often subject to sexual abuse and health risks such as HIV/AIDS. Women's contributions to mining enterprises are often invisible because they perform unrecognized and undervalued care and domestic work. Despite heavy involvement of women in ASM, men control and own most of the family's assets, including land, the income from mining and farming, tools, homes, crops and the benefits yielded. Contamination by mercury used in gold recovery has significant impacts not only on women, men and children working at ASM sites, but on other people in the vicinity and those living in downstream areas (specifically young children and women who are pregnant and breastfeeding) (AU and AMCC 2015, Cordy etal.</t>
  </si>
  <si>
    <t>ffc71ea75e4ee9bcce35a0ba6eff51b9</t>
  </si>
  <si>
    <t>Statistics Norway participates in work on SEEA experimental accounts on ecosystem services. Indicators are chosen from a variety of species groups for each ecosystem, and they are used to measure deviation from a reference state, which is intended to represent ecological sustainability. All indicators and the overall Nature Index have values between 1 [for the reference state] and 0 [very poor state).</t>
  </si>
  <si>
    <t>7a8207f850fc98cbab69a762802b2d75</t>
  </si>
  <si>
    <t>The location and accessibility of forests and the availability of recreation facilities are important to forest-based recreation and tourism. Levels of use are an indication of the extent to which forests are valued by society for these uses. This criterion is comparable to FOREST EUROPE Indicator 6.10.</t>
  </si>
  <si>
    <t>d118aea53800f990f46acec73ce002af</t>
  </si>
  <si>
    <t>As indicated above, the main challenge in CEA is that investment comparisons and choices need to be based on a constant outcome metric. In other w'ords, species and landscape scale outcomes need to be scaled using a comparable scale. Another challenge is that CEA generally only looks at one outcome and does not consider other impacts such as co-benefits.</t>
  </si>
  <si>
    <t>ed4897ebbac2f96a1e78dab0299b4b8b</t>
  </si>
  <si>
    <t>These measures are needed to provide incentives to farmers for implementing voluntary measures that are beneficial for nature protection but that may affect agricultural production. Regarding seeds and genetic resources, Croatia has been following OECD and FAO advice on the use of plant species. Effectively, GMOs cannot be planted, not even for testing purposes, and GMO products cannot be sold in the countiy (0.2 per cent of GMO content in a product is the maximum allowed).</t>
  </si>
  <si>
    <t>6a006da311dd1f0f27028957a70e95db</t>
  </si>
  <si>
    <t>However, there are no reported data for the relevant Tier 1 indicators, preventing an overall assessment on this goal. In this regard, given the prevailing high levels of violence against women (see Goal 5), Commonwealth Pacific small states will also find it challenging to achieve Target 16.1. In addition, human trafficking (Target 16.2) is an emerging issue, with cases reported in Fiji, PNG, Samoa, Tonga and Vanuatu (Lindley and Beacroft, 2011). On the other hand, percentile rankings have declined for the majority of the nine states on the rule of law, government effectiveness and regulatory quality (Figure 2.8).</t>
  </si>
  <si>
    <t>a4a6bc0951fced043d194390db857d3e</t>
  </si>
  <si>
    <t>Government activities were divided into government expenditure (GOV) and five different kinds of taxes direct tax on domestic institutions (DIRTAX), import tariffs (IMPTAX), value added tax (VATAX), indirect or sales taxes (INDTAX) and factor taxes (FACTAX). Lastly, savings and investment (S-l) represent the capital account, while the rest of the world (ROW) is modelled as a single sector. The framework set out below is based on that prepared by Parra and Wodon (2009). Thus, in 2001, forestry and hunting contributed TSh 296.7 billion to the GDP in 2001of the United Republic of Tanzania, which translates into TSh.</t>
  </si>
  <si>
    <t>9364c5f1d721b61bb5e5896783e9f798</t>
  </si>
  <si>
    <t>Nature Geoscience, 9(10), 737-+. Seasonal sea ice cover as principal driver of spatial and temporal variation in depth extension and annual production of kelp in Greenland. Global Change Biology, 18(10), 2981-2994. Description of diatoms from the Southwest to west Greenland coastel and open marine waters.</t>
  </si>
  <si>
    <t>f0d064d6b5d9d5d7be7b49b7a69d8485</t>
  </si>
  <si>
    <t>Studies have highlighted the entrepreneurial role that women play in value-added activities, especially in the informal sector, as well as their leadership role in community and participatory forest management. However, more work is needed to investigate issues such as women's access to forest rights and the impact on gender equity, as well as their empowerment in transitioning from the informal to the formal sector. Forests are integral to the water cycle.</t>
  </si>
  <si>
    <t>5e799a497ed480469265a426de3651b6</t>
  </si>
  <si>
    <t>The deserts of central, Zaunguzskij and south-eastern Karakum, as well as other deserted lands, occupy more than 80 per cent of the country. Almost 20 per cent of the country’s territory is covered by mountains: the Kopetdag Mountains and, to the north, the separated mountain ridges of Small and Grand Balkhany. The Koytendag Mountains are located to the east, as well as the highest peaks of the country, up to 3,140 m above sea level.</t>
  </si>
  <si>
    <t>03c193d1c1e364a12f7e8728b3aada5f</t>
  </si>
  <si>
    <t>Building on the success of the PPCDAm, the government launched a similar programme to control deforestation in the Cerrado biome. In addition to strict monitoring and enforcement, further reducing deforestation will increasingly require making sustainable agriculture and forest management more attractive than illegal logging and land grabbing, and ensuring that sustainable practices provide a viable income source for traditional communities (CEPAL et al., Concessions still cover less than 1% of the eligible forest area, mainly because of red tape, high transaction costs, lack of infrastructure and land tenure conflicts. Many rural communities do not have the knowledge or means to adopt sustainable forest practices or to compete in concession processes. Much of the international finance is used through extrabudgetary funds, including the innovative Amazon Fund. Established in 2008 and managed by the BNDES in co-ordination with the MMA, the fund invests in deforestation prevention and sustainable forest use, thereby contributing to reducing GHG emissions.</t>
  </si>
  <si>
    <t>61a6159bccfe0ef4546659b370eac877</t>
  </si>
  <si>
    <t>Challenges that remain include the need for further and more explicit prioritisation of biodiversity within development finance portfolios and programming, by better capturing the synergies with climate and other environmental and development objectives. The persistent limitations in individual expertise, human resources and organisational capacity and a lack of funding for biodiversity in partner countries also hinder the continuity of positive change initiated by development co-operation activities beyond project lifetimes. Doing so in a more consistent manner would also facilitate comparison of experiences across countries and their effectiveness, and an exchange of lessons learned. This challenge is due in part to the lack of consistent data and indicators to develop baselines and to monitor and report on progress towards achieving mainstreaming goals and targets. In terms of responses, further consideration on how to monitor and evaluate mainstreaming efforts across the full range of responses, namely inputs, process, outputs, outcomes and impacts, would be useful.</t>
  </si>
  <si>
    <t>aa01319f4f6506fccb9d3d71e9bc922b</t>
  </si>
  <si>
    <t>Existing management plans are often based on sound scientific information and analysis, yet tend to lack management tools and practical applicability, resulting in a generally low level of implementation. In 2012, half the management plans of Amazonian federal and state protected areas were being applied very little, if at all, according to the TCU (2013). Other studies pointed to even lower levels of implementation (Semeia, 2012b).</t>
  </si>
  <si>
    <t>328132c079c25b53b9f2e5c3819c5165</t>
  </si>
  <si>
    <t>Valuable comments were received from Denny Lewis-Bynoe, John Connell, Garry Wiseman and Anthony Polack. Cook Islands and Niue are self-governing states in free association with New Zealand. Although New Zealand is a member of the Commonwealth, Cook Islands and Niue are not included as Commonwealth Pacific small states in this Report.</t>
  </si>
  <si>
    <t>a40c73e1caa3011a447a92e58f4c61a7</t>
  </si>
  <si>
    <t>At present, one license was issued, however, it is outdated. According to the estimates of experts, there are no obvious signs of reduction in the volumes of these products. Nonetheless, there is no legislation which takes full account of good international practices and principles in river water management, assigning specific responsibilities to the various institutions and for the different water usages. A river basin management planning approach is lacking, as opposed to a sectorial planning approach. Erosion processes are very intensive and this, together with desertification on winter pastures, poses threats to biodiversity and local agriculture. Sustainable pasture management has huge potential for the protection of biodiversity and local economic development.</t>
  </si>
  <si>
    <t>f6a4bec88b9926a217afbcb2499e353c</t>
  </si>
  <si>
    <t>Are the indicators in the jurisdiction with the regulation different than in other jurisdictions (again, regardless of whether the regulation contributed to any of the difference)? This is in line with suggested approaches to e.g. monitor progress tow'ards biodiversity' mainstreaming (see OECD, 2018). As part of the OECD (2014) work, a survey was conducted to obtain information on OECD country practices with respect to regulatory policy evaluation. In particular, few countries assess whether underlying policy goals of regulation have been achieved, whether any unintended consequences have occurred and whether there is a more efficient solution to achieve the same objective. While not all countries will be in a position to collect information at all stages, there is already great value in collecting data on the actual implementation of regulatory policy (outputs) and its impact on regulations (intermediate outcomes). The latest insights on regulatory' policy evaluation are available in the 2018 Regulatory Policy Outlook (OECD, 2018).</t>
  </si>
  <si>
    <t>139b92caa80c3f82f7d0ff1140dbb003</t>
  </si>
  <si>
    <t>For policy purposes, employment-to-population ratios of youth and old are particular relevant. The indicator is based on the broader indicator ‘status in employment’ which distinguishes between three categories of the total employed. These are: age and salaried workers (also known as employees), self-employed workers (employers, own-account workers and members of producers’ cooperatives), contributing family workers (also known as unpaid family workers).</t>
  </si>
  <si>
    <t>a6a1d5897318af74411ac8de103c556c</t>
  </si>
  <si>
    <t>In September 2011, Mexico announced to the United Nations a plan to ban shark and stingray fishing from 2012. The temporary ban covers Mexico's territorial seas and expansive exclusive economic zone in the Pacific Ocean, Caribbean Sea and Gulf of Mexico. It will be in force during the period of greatest reproductive intensity, May to August. The gill net ban dates from 1992, it covers the use of a specific type of gill net (12 inch mesh) in order to protect the vaquita.13 More recently, a vaquita refuge was designated in 2005, and there are complete bans on both gill nets and shrimp trawling in this area (Sanjurjo et al., The area affected by fires varies yearly due to weather variations and other factors (USAID, 2009). There may be a good rationale for such approaches when natural resource users are especially poor, though the objectives and means of achieving them require careful consideration.</t>
  </si>
  <si>
    <t>a63bf54bd7d1a6c1deaf9e872f8bdfca</t>
  </si>
  <si>
    <t>This activity will be the responsibility of the managers, who will work in conjunction with staff responsible for the use and management of the industrial machinery in question. This planning system would also afford access to the after-sales services offered by prestigious suppliers, involving the provision of specialist technical assistance on the use of their inputs. Such certifications would be added to those already granted by the Forest Stewardship Council.</t>
  </si>
  <si>
    <t>df050db4b773fbaae76d2a1c5e840735</t>
  </si>
  <si>
    <t>For example, technology platforms now support real-time reporting, rather than yearly reports, to present visual information overlaid with display data on other illicit enterprises. This analysis would produce concrete and timely metrics, and reveal nexuses among activity that may not have been evident in the past. The aggregation of mobile reporting is just scratching the surface of potential value of the data analytics.</t>
  </si>
  <si>
    <t>3f437e093356d4ac0f2746d9545d3027</t>
  </si>
  <si>
    <t>Detailed information is available in the methodology sheets contained in the accompanying CD-Rom as well as on the internet at http:/huww.un.org/esalsnstdevlnatlinfol indicators/isd. National estimates are based on population-weighted subgroup estimates derived from household surveys. It provides information on progress towards poverty alleviation, a central objective and requirement of sustainable development.</t>
  </si>
  <si>
    <t>4d55e974f80ce0f5fc893332fe777ff5</t>
  </si>
  <si>
    <t>Roe (2010) examined the degree to which biodiversity-poverty links have been recognised in NDPs (predominantly PRSPs but including other development plans listed by the World Bank as the equivalent of PRSPs) and found that just over 25% show a relatively high level of recognition of the importance of biodiversity, just under 25% have a low level of recognition and 50% fall in between). Just under half of the PRSPs reviewed have a relatively narrow interpretation of biodiversity - the focus being on wildlife, forests or protected areas - but some interpret biodiversity in a broader sense, noting the importance of genetic resources (e.g. Dominica) and agricultural biodiversity (e.g. Bangladesh, Nepal, Viet Nam) and others recognise the link between biodiversity and ecosystem services (e.g. Cambodia, Lao, Liberia, Uganda, Zambia). Following liberalisation, Myanmar has faced the need to revisit its policy directions and formulate new short-term and long-term strategies (OECD, 2015a).</t>
  </si>
  <si>
    <t>03911d277e11161a1b6408758f5ad12d</t>
  </si>
  <si>
    <t>Lakes, rivers and marine waters are probably of good or very good ecological status. Habitat degradation is not regarded as a major issue in Greenland. However, climate driven changes in physical properties might alter the biological balance and regional biodiversity. For instance, northward retreatment of the sea ice edge has been linked to an increase in the distribution of kelp beds and increase in the seasonal productivity of seaweeds along the Greenland West coast (Krause-Jensen et al., Wild species, and to some degree pollution and invasive species, may threaten the present good status. In addition, copepod droppings constitute a food resource for bottom-living animals as they sink to the seafloor.</t>
  </si>
  <si>
    <t>e057e064f5d6280342cedc6d5ea30ae8</t>
  </si>
  <si>
    <t>It has four main strategic thrusts: knowledge management, valuation of biodiversity, conservation, and diversification of use. Some of the more specific and tangible biodiversity and forestry goals and targets include: expanding protected areas to 16% by 2020 from 12.9% today, significantly reducing (also by 2020) the national forest degradation rate and maintaining forest biodiversity under the REDD+ programme on greenhouse gas emissions from deforestation and degradation, and, by 2020, having efficient prevention, detection and early response systems and instruments in place so as to prevent, mitigate, control and eradicate invasive species. A major effort currently under way is to decentralise implementation through the development of state biodiversity strategies.</t>
  </si>
  <si>
    <t>ce0a00cd836661238ed2927532234345</t>
  </si>
  <si>
    <t>The UN-REDD programme developed guidance to promote gender-sensitive processes in the preparation, implementation and monitoring of REDD+ projects and other action plans which focus on strengthening a bottom-up approach, including priority alignment to national needs and capacities (UN-REDD 2013). However, mainstreaming gender national policies, which is often interpreted as an increased number of women participating at local level, is not sufficient to realize the full potential of women and men as agents of change at community level. Several reports have suggested that gender should be carefully integrated in the design, monitoring and evaluation of REDD+ programmes, including gender-sensitive indicators and safeguard approaches.</t>
  </si>
  <si>
    <t>436c508f73fae7a14ad81cab4338303c</t>
  </si>
  <si>
    <t>The growth in real wages accelerated after 2010, reflecting tight labour market conditions and skills shortages (OECD, 2013a). However, unemployment has been on the rise since early 2015 (OECD, 2015b). The economic structure has shifted towards stronger reliance on services in recent decades while the share of the primary sector and industry in value added has declined. Nevertheless, the primary sector accounts for a larger share of GDP than in OECD countries (see Basic Statistics) and remains a mainstay of the economy.</t>
  </si>
  <si>
    <t>e1b3c66d5ac7d9894a4e285e45315f20</t>
  </si>
  <si>
    <t>Continued decline of the bladderwrack, Fucus vesiculosus, in the Archipelago Sea, northern Baltic proper. Boreal Environment Research, 21(5-6), 373-386. Vikingsson, G. A., Pike, D. G., Desportes, G., 0ien, N., Gunnlaugsson, T., &amp; Bloch, D. (2009). Distribution and abundance of fin whales (Balaenoptera physalus) in the Northeast and Central Atlantic as inferred from the North Atlantic Sightings Surveys 1987-2001.</t>
  </si>
  <si>
    <t>b8091fae8db995180c409a47e302c5f8</t>
  </si>
  <si>
    <t>The few rivers discharging into the Caspian Sea from Turkmenistan are not major sturgeon spawning areas, but the Turkmen coast between Esenguly and Ogurchinsky Island is a key wintering area for them and other fish, as well as a regular habitat of the Caspian seal. Annual sturgeon catches throughout the Caspian declined from &gt; 25,000 t in the 1970s to 470 t in 2000. Sturgeon fishing in the Caspian Sea is now forbidden and there are no significant sturgeon spawning rivers in Turkmenistan, so there is no official sturgeon fishery there. Turkmenistan has had zero CITES export quotas for sturgeon products since 2007.</t>
  </si>
  <si>
    <t>1e0009e044486e3803b769f4bc0b40d7</t>
  </si>
  <si>
    <t>For instance, across seven districts, the percentage of mitigation banks inspected ranged from 13-78% (Table 4.6) (Government Accountability Office, 2005). Likewise, under the Policy for the Management of Fish Habitat, a recent audit by the Office of the Auditor General of Canada found that the required self-monitoring was completed in only 38% of cases involving ministerial authorisations and in just 3% of cases involving letters of advice (OAGC, 2009). A central and transparent information database can assist regulators and the public to locate offsets, assess their performance over time and contribute to the evaluation of a scheme. In Switzerland, for example, a transparent offset registry is under construction to assist in MRV as the audit of offset projects is largely undertaken by NGOs (Morandeau and Vilaysack, 2012). The table represents banks approved from November 1995 to December 2003. Calculated as a percentage of the mitigation banking agreements requiring monitoring reports.</t>
  </si>
  <si>
    <t>fish habitats includes freshwater?</t>
  </si>
  <si>
    <t>a881bb38585fb01dee7972a1548384e7</t>
  </si>
  <si>
    <t>The server sends regular messages to designated recipients regarding current temperatures, and also warnings when the temperature exceeds critical thresholds. For example, in India, monthly cellular connectivity for connected temperature monitor devices are in the range of around a dollar a month or less per fridge. The most expensive component is often the cell radio, while conversely, the temperature sensors are relatively cheap. In some cases, advantageous mobile cellular terms can be negotiated, resulting in reduced operating costs.</t>
  </si>
  <si>
    <t>4d62964535d62bfaf1be8ecf858753d8</t>
  </si>
  <si>
    <t>Increasingly, fisheries, the seafood-supply sector, governments and NGO partners have the opportunity to apply electronic catch documentation, seafood-traceability technologies and electronic trade information, together with big data, about the ocean and its ecosystems to enable real-time tracking, informed decisionmaking and responsible seafood sourcing. We are working with governments and enforcement agencies to explore, fund, and test a wide range of technologies becoming available for wildlife conservation - from drones and wildlife tracking to radar, thermal cameras and gunshot detectors. To that end, WWF is evaluating civilian-grade UAVs for conservation applications with plans to rigorously test the technology in protected areas in southern Africa (including in Malawi, Namibia and Zimbabwe).</t>
  </si>
  <si>
    <t>a71a14c399d4765cbd870a4000d35f8e</t>
  </si>
  <si>
    <t>Providing a real-time collection of participator}- information related to illicit trade can engage a broader base of contributors. National policy could also benefit from the dynamic views that allow for a “story-telling” approach to presentations. This simple means of relaying the information could reinforce commitment to the prevention of cross-border illegal activity.</t>
  </si>
  <si>
    <t>not specific to wildlife</t>
  </si>
  <si>
    <t>5592f180996ad6e57f3ad7f455dc760f</t>
  </si>
  <si>
    <t>First, the multitude of different strategic documents of equal status with either the same or, to a large extent, overlapping objectives, all valid for the same period and therefore expected to be simultaneously implemented, resulted in competition for the limited available state budget funding and limited institutional and staff capacities. Similarly, foreign donors have difficulty understanding what the priorities are among several similar and overlapping policy documents. In some cases, substantive contents of the strategic documents are not fully reflected in the corresponding implementation action plans.</t>
  </si>
  <si>
    <t>ee6581152a19696f8b07b32900dd6423</t>
  </si>
  <si>
    <t>Land degradation can have numerous impacts on local communities. These include the direct impacts of loss of income and employment, resulting in deterioration of the material standards of living, and diversion of time from education and social opportunities to production activities to increase labour input and compensate for deterioration in land productivity. There are also indirect impacts in terms of undermining the rural economic and social base, and health impacts from risks of exposure to degraded land, as well as changes to the way of life of local communities engaged in semi-nomadic pastoralism.</t>
  </si>
  <si>
    <t>08ef73ee85d78d8eb3f16713a2058935</t>
  </si>
  <si>
    <t>In spite of the country’s rich biodiversity, international obligations and growing anthropogenic pressures, nature conservation efforts remain insufficient. In Bosnia and Herzegovina, these floods killed more than 20 people and displaced a further 90,000 and resulted in billions of dollars worth of damage across the region. The floods are estimated to have cost the country some 15 per cent of overall GDP in lost output and damages.</t>
  </si>
  <si>
    <t>92949ef27607aa62e8c0275daec8c813</t>
  </si>
  <si>
    <t>An advanced charter for the Directorate has been developed, providing for effective management and for economic instruments to ensure additional financial resources. This is based on the regulations adopted at cantonal level, for example on the content of the management plan. A similar situation exists at cantonal level. The management bodies of certain protected areas - directorates including rangers - are bigger but require additional training and investment.</t>
  </si>
  <si>
    <t>too unclear, probably "true"</t>
  </si>
  <si>
    <t>5b73c6d15e2376c8d0b4917cedd7555f</t>
  </si>
  <si>
    <t>A key driver of demand for urban nature recreation is user preferences for site attributes. For example, mountain bikers may tend to prefer (and are willing to pay for) artificially designed and engineered trails while hikers may prefer a "wilder" trail (Table 1 identifies some common attributes that provide welfare for different recreation users). Note also that the availability of nearby substitutes sites can affect the value of a given site.</t>
  </si>
  <si>
    <t>99e99f26c2c1687d5202861924031051</t>
  </si>
  <si>
    <t>What have been the contributions of afforestation and reforestation? The net increase between 2000 and 2015 was 28.1 million ha, or 1.5% of the total area of forest and other wooded land in 2000. Natural expansion onto former agricultural land accounts for most of the increase, but afforestation in the context of public programmes has played a significant role in some countries.</t>
  </si>
  <si>
    <t>f19eca41e4b43652db8b9b924e4042aa</t>
  </si>
  <si>
    <t>Kiribati, Nauru and PNG are not expected to achieve this target, with an increasing trend in TB incidence, and work also remaining to eliminate NTDs - Kiribati (filariasis, trachoma, leprosy), Nauru (trachoma), PNG (filariasis, trachoma, leprosy, yaws, soil-transmitted helminthiases and foodborne trematodiases) (WHO, 2013). On the other hand, Samoa and Tonga’s alcohol per capita consumption is expected to increase significantly, making it difficult for these countries to achieve this target. It should also be noted that while there are no Tier 1 indicators at present to make an assessment on Target 3.4 on reducing NCDs, the outlook on NCDs is expected to be grim if efforts are not scaled up (see Chapter 6). The IAEG-SDGs proposed 11 indicators to monitor this goal, of which three were Tier 1 indicators (see Appendix 2.1). The only relevant indicator relevant for assessment relates to quality early childhood development but there are only sparse data available for some of the countries (Table 2.4). Given these limitations, an overall assessment for Commonwealth Pacific small states on Goal 4 is not possible.</t>
  </si>
  <si>
    <t>b9455188d5eca6791b7550f571578d4d</t>
  </si>
  <si>
    <t>Significant progress in the development of an effective management system for protected areas has been made since 2008 in Sarajevo Canton. The cantonal Ministry of Physical Planning and Environmental Protection has adopted a new system of management for three established protected areas: natural monuments Vrelo Bosne and Scacovac and protected landscape Biambare. All three protected areas were transferred for management purposes to the newly established Directorate for Protected Areas (a public institution under the control of the Ministry), currently with 22 staff, to be expanded to 29.</t>
  </si>
  <si>
    <t>68bf5e2d81a5c0746f768a72c6a69c19</t>
  </si>
  <si>
    <t>Because the Macedonian waters have a rich endemic ichthyofauna, MoEPP is also involved for biodiversity conservation matters. However, all fishing is now prohibited on Lake Ohrid to protect the Ohrid trout. Five-year concessions are given to a single fishing company on each waterbody, and the company is expected to develop a master plan for protection, improvement, and usage of the relevant fish stock during their license period.</t>
  </si>
  <si>
    <t>but not for the mention of fishing</t>
  </si>
  <si>
    <t>42f640a093b8ef838b3d4e709f8b7dca</t>
  </si>
  <si>
    <t>Main concerns relate to the impacts of human activities on fish stocks and habitats in the marine and fresh waters, and to their consequences for biodiversity and for the supply of marine protein (fish) for human consumption and other uses. The trend towards increased global fish catch has been achieved partly through exploitation of new and/or less valuable species and partly through aquaculture. Though global fish catch seems to have stabilised recently, Illegal, Unreported and Unregulated (IUU) fishing is widespread and hinders the achievement of sustainable fishery management objectives. Within the framework of the FAO Code of Conduct for Responsible Fishing, international efforts are being made to address the issue of illegal, unreported and unregulated (IUU) fishing.</t>
  </si>
  <si>
    <t>98b05a094f16df118cf34ad6d28d301d</t>
  </si>
  <si>
    <t>The intention is to have a pragmatic focus on the site level, using case studies, information exchange between managers and good engagement with local communities. Further options for synergies are joint preparation for COPs for the two conventions, and encouraging a greater exchange of expertise - both scientific and managerial - to supplement one another’s knowledge and avoid duplication. A case study in the Capacity building section also describes and lUCN-led project to support managers of jointly designated sites (Case study 43, pg.</t>
  </si>
  <si>
    <t>375bc06c90577281228cbf256410cb00</t>
  </si>
  <si>
    <t>The summary or summaries for policymakers should be available in all Nordic languages, including the main Sami languages, and kalaallisut (West Green-landic), in printed format. However, the costs of translation will be subject to additional applications for funding. A Nordic Assessment website could be set up, where the reports could be available in electronic format. Outreach should be based on the IPBES Platform’s communication and outreach strategy, adapted by the Secretariat for the Nordic Assessment to Nordic circumstances.</t>
  </si>
  <si>
    <t>3027d8a8a6aa1fec2565f15458b08463</t>
  </si>
  <si>
    <t>In the outer coastal region, visiting baleen whales migrate northward toward the productive Barents Sea during summer months, where they feed on the large abundance of zooplankton and smaller fish species. These species include the humpback whale (Megaptera novaeangliae), minke whale (Balaenoptera acutorostrata) and fin whale (Balaenopters physalus). It is beyond the scope to provide a complete overview of trends in biodiversity and ecosystem function of the entire North-East Atlantic region here. Indicators within the Nature Index of Norway represent populations of characteristic indigenous species, and the indicator values are based on data from monitoring, model estimates and expert assessments.</t>
  </si>
  <si>
    <t>d88ce3e0410cb6c86d312bdf853cdc55</t>
  </si>
  <si>
    <t>Mongolia is the eighteenth largest country and the second largest landlocked country in the world. Northern Mongolia is covered by forest and mountain ranges, while desert, desert steppe and steppe areas cover the south. The western region is dominated by the Altai and Khangai Mountains and the east is covered by vast plains and wild heaths. In 2015, these six categories of land accounted for 73.5 per cent, 0.5 per cent, 0.3 per cent, 16.1 per cent, 9.2 per cent, and 0.4 per cent of the total land area, respectively (figure 12.1).</t>
  </si>
  <si>
    <t>ca7fb139f40263f9b82512a9af3dd059</t>
  </si>
  <si>
    <t>Seed banks “enhance social relationships, build community trust, contribute to local governance and community institution-building, and strengthen farmer-to-farmer networks.” In March 2013, almost 40 farmers representing seed banks across the country gathered in Kachorwa to share their experiences and formalise linkages. A team led by Madan Bliatta, chief of the National Agriculture Genetic Resources Centre had driven all the way from Kathmandu to Kachorwa — a day’s worth of travel — to start the process of funnelling seeds from the community seed bank to the national gene bank. The government-run CSB’s have also begun to take their conservation mandate seriously, and a new seed regulation published last year introduced a simpler mechanism of landrace registration, which enables farmers to legally sell their seeds, but not to brand or commercialise them.</t>
  </si>
  <si>
    <t>TO DO</t>
  </si>
  <si>
    <t>It just mentions that forests are burned and it seems to be bad for timber production not for the environment, so it is False based on point 3</t>
  </si>
  <si>
    <t>This is not about terrestrial ecosystems so it is related to another SDG</t>
  </si>
  <si>
    <t>Not sure</t>
  </si>
  <si>
    <t>Fishing is no terrestrial and what else illicit trade includes is unclear</t>
  </si>
  <si>
    <t>Water is not part of this SDG?</t>
  </si>
  <si>
    <t>Not sure, could be undirectly related and label should be False</t>
  </si>
  <si>
    <t>Not sure, sustainability is directly mentioned here but it seems that it along with ecotourism is used just as a buzz word</t>
  </si>
  <si>
    <t>NWSD is Nature and Wildlife Conservation Division, I think it is important positive case because such texts would be easily missed by keyword based classifiers but LLM might have a lot of contextual knowledge to understand what is going on</t>
  </si>
  <si>
    <t>Sea rather than terrestrial</t>
  </si>
  <si>
    <t>FLEGT is Forest Law Enforcement, Governance and Trade, I think it is an important true positive (see comment above)</t>
  </si>
  <si>
    <t>Not sure, whales are not terrestrial but also a Nature Index is mentioned that is probably related to SDG</t>
  </si>
  <si>
    <t>Sea</t>
  </si>
  <si>
    <t>It is about fishing but in fresh waters which seems to be covered by this SDG</t>
  </si>
  <si>
    <t>WDPA is World Database on Protected Areas</t>
  </si>
  <si>
    <t>It doesn't seem to satisfy requirement 3</t>
  </si>
  <si>
    <t>Something about fish is mentioned but that is probably not enough</t>
  </si>
  <si>
    <t>Not sure, but the acronym is for Intergovernmental Science-Policy Platform on Biodiversity and Ecosystem Services</t>
  </si>
  <si>
    <t>LMO is Living modified organisms, related to 15.8?</t>
  </si>
  <si>
    <t>Talks about environmental impact but it is not neccessarily 15</t>
  </si>
  <si>
    <t>South African National Biodiversity Institute</t>
  </si>
  <si>
    <t>That is probably SDG 6</t>
  </si>
  <si>
    <t>Not sure if it is directly related</t>
  </si>
  <si>
    <t>Intergovernmental Science-Policy Platform on Biodiversity and Ecosystem Services</t>
  </si>
  <si>
    <t>not talking about halting or preventing land degradation, more about socioeconomic impacts</t>
  </si>
  <si>
    <t>Should it be marked because it mentions IPBES?</t>
  </si>
  <si>
    <t xml:space="preserve">ecotourism needs to sustainably manage natural resources and contribute to conservation </t>
  </si>
  <si>
    <t>REDD+</t>
  </si>
  <si>
    <t>doesn't really sound that deforestation or sustainable forestry is a priority here...</t>
  </si>
  <si>
    <t>15.1 mentions inland freshwater ecosystems</t>
  </si>
  <si>
    <t>on species loss? though only fact stating</t>
  </si>
  <si>
    <t xml:space="preserve">more on SDG 14 </t>
  </si>
  <si>
    <t>SANBI = South African National Biodiversity Institute, PES = Present Ecological State, 15.9?</t>
  </si>
  <si>
    <t>links to inland freshwater ecosystems, but more on SDG 14?</t>
  </si>
  <si>
    <t>IUCN-related but more on management approaches, though not clear management of what?</t>
  </si>
  <si>
    <t>Measurement, Reporting, and Verification (MRV) of carbon credits for cc mitigation</t>
  </si>
  <si>
    <t>implementation action plans of what?</t>
  </si>
  <si>
    <t>There's an interplay between Living modified organisms (LMO) and the risk of biodiversity loss but not super clear here in the text as it focuses more on biosafety</t>
  </si>
  <si>
    <t>illicit trade of what?</t>
  </si>
  <si>
    <t>PAs</t>
  </si>
  <si>
    <t>river ecosystems in the last sentence</t>
  </si>
  <si>
    <t>15.6? what's the difference to 2.5?</t>
  </si>
  <si>
    <t>though the government bodies focus on forest management, e.g. Ministry of Environmental Conservation and Forestry, but only fact and number stating</t>
  </si>
  <si>
    <t>fact stating only</t>
  </si>
  <si>
    <t>on SDG 3</t>
  </si>
  <si>
    <t>not on inland freshwater ecosystems</t>
  </si>
  <si>
    <t>CD-ROM :D :D :D</t>
  </si>
  <si>
    <t>not sure what CEA is</t>
  </si>
  <si>
    <t>doi</t>
  </si>
  <si>
    <t>text_id</t>
  </si>
  <si>
    <t>text</t>
  </si>
  <si>
    <t>sdg</t>
  </si>
  <si>
    <t>labels_negative</t>
  </si>
  <si>
    <t>labels_positive</t>
  </si>
  <si>
    <t>labels_total</t>
  </si>
  <si>
    <t>agreement</t>
  </si>
  <si>
    <t>label</t>
  </si>
  <si>
    <t>difficulty</t>
  </si>
  <si>
    <t>selection reason</t>
  </si>
  <si>
    <t>10.14217/9781848599574-6-en</t>
  </si>
  <si>
    <t>very easy</t>
  </si>
  <si>
    <t>automated selection</t>
  </si>
  <si>
    <t>10.1787/ff87fd8d-en</t>
  </si>
  <si>
    <t>10.18356/d79235bc-en</t>
  </si>
  <si>
    <t>10.18356/0476b8f9-en</t>
  </si>
  <si>
    <t>10.18356/fe43e5e4-en</t>
  </si>
  <si>
    <t>10.6027/9789289329491-6-en</t>
  </si>
  <si>
    <t>10.18356/36457e13-en</t>
  </si>
  <si>
    <t>10.1787/e0796071-en</t>
  </si>
  <si>
    <t>10.1787/9789264240094-8-en</t>
  </si>
  <si>
    <t>easy</t>
  </si>
  <si>
    <t>10.6027/9789289345644-6-en</t>
  </si>
  <si>
    <t>10.18356/062acf72-en</t>
  </si>
  <si>
    <t>10.6027/9789289328913-3-en</t>
  </si>
  <si>
    <t>10.18356/d4cf57fb-en</t>
  </si>
  <si>
    <t>10.6027/4594b3f8-en</t>
  </si>
  <si>
    <t>10.18356/e95f1f91-en</t>
  </si>
  <si>
    <t>medium</t>
  </si>
  <si>
    <t>10.18356/d7485e6e-en</t>
  </si>
  <si>
    <t>10.18356/20f4eda5-en</t>
  </si>
  <si>
    <t>10.1787/9789264222519-7-en</t>
  </si>
  <si>
    <t>10.6027/9789289349536-6-en</t>
  </si>
  <si>
    <t>10.18356/6bc3a3cf-en</t>
  </si>
  <si>
    <t>10.1787/9789264251847-6-en</t>
  </si>
  <si>
    <t>10.18356/7b47f5b8-en</t>
  </si>
  <si>
    <t>10.18356/872035ff-en</t>
  </si>
  <si>
    <t>hard</t>
  </si>
  <si>
    <t>11.1002/pub/80d1ac90-585ea8d4-en</t>
  </si>
  <si>
    <t>10.1787/9789264303201-5-en</t>
  </si>
  <si>
    <t>10.1787/9789264240094-7-en</t>
  </si>
  <si>
    <t>10.1787/5jlzgj1s4h5h-en</t>
  </si>
  <si>
    <t>very hard</t>
  </si>
  <si>
    <t>10.18356/61b4958d-en</t>
  </si>
  <si>
    <t>10.1787/9789264240094-12-en</t>
  </si>
  <si>
    <t>10.18356/0611e938-en</t>
  </si>
  <si>
    <t>10.18356/644f1023-en</t>
  </si>
  <si>
    <t>11.1002/pub/80f4cf5d-0fe9c6d1-en</t>
  </si>
  <si>
    <t>10.1787/9789264180109-9-en</t>
  </si>
  <si>
    <t>10.1787/9789264208292-11-en</t>
  </si>
  <si>
    <t>10.1787/9789264111356-10-en</t>
  </si>
  <si>
    <t>target 15.1</t>
  </si>
  <si>
    <t>10.18356/d3389ea7-en</t>
  </si>
  <si>
    <t>target 15.2</t>
  </si>
  <si>
    <t>10.18356/d0d8dc3c-en</t>
  </si>
  <si>
    <t>10.1787/dcr-2015-23-en</t>
  </si>
  <si>
    <t>10.18356/a954f690-en</t>
  </si>
  <si>
    <t>target 15.3</t>
  </si>
  <si>
    <t>10.18356/1fc801d4-en</t>
  </si>
  <si>
    <t>10.18356/e3c062fb-en</t>
  </si>
  <si>
    <t>10.18356/be112931-en</t>
  </si>
  <si>
    <t>target 15.4</t>
  </si>
  <si>
    <t>10.6027/4ba0e2cc-en</t>
  </si>
  <si>
    <t>10.18356/0543d374-en</t>
  </si>
  <si>
    <t>10.18356/fb3022f3-en</t>
  </si>
  <si>
    <t>target 15.5</t>
  </si>
  <si>
    <t>10.1787/9789264303201-4-en</t>
  </si>
  <si>
    <t>10.18356/cb1665cb-en</t>
  </si>
  <si>
    <t>target 15.6</t>
  </si>
  <si>
    <t>10.18356/13c3d6e4-en</t>
  </si>
  <si>
    <t>10.18356/373196a2-en</t>
  </si>
  <si>
    <t>target 15.7</t>
  </si>
  <si>
    <t>target 15.8</t>
  </si>
  <si>
    <t>target 15.9</t>
  </si>
  <si>
    <t>10.1787/9789264117563-9-en</t>
  </si>
  <si>
    <t>10.1787/9789264303201-3-en</t>
  </si>
  <si>
    <t>target 15.a</t>
  </si>
  <si>
    <t>10.18356/4ed7c373-en</t>
  </si>
  <si>
    <t>target 15.b</t>
  </si>
  <si>
    <t>10.1787/9789264227385-8-en</t>
  </si>
  <si>
    <t>10.18356/847ad7f3-en</t>
  </si>
  <si>
    <t>10.18356/0ec10acd-en</t>
  </si>
  <si>
    <t>target 15.c</t>
  </si>
  <si>
    <t>Group</t>
  </si>
  <si>
    <t>Alignment</t>
  </si>
  <si>
    <t>Comments</t>
  </si>
  <si>
    <t>Consensus</t>
  </si>
  <si>
    <t>Rationale</t>
  </si>
  <si>
    <t>Notes</t>
  </si>
  <si>
    <t/>
  </si>
  <si>
    <t>3v1</t>
  </si>
  <si>
    <t>loss of forest cover and illegal logging</t>
  </si>
  <si>
    <t>- Steve: PAs</t>
  </si>
  <si>
    <t>skipped</t>
  </si>
  <si>
    <t>UNDECIDED</t>
  </si>
  <si>
    <t>- Steve: implementation action plans of what?</t>
  </si>
  <si>
    <t>2v1</t>
  </si>
  <si>
    <t>consider switching to no because EDP and Forest First do not seem to be specific to sustainable forest management</t>
  </si>
  <si>
    <t>UN-REDD+ program covers sustainable forest management</t>
  </si>
  <si>
    <t>2v2</t>
  </si>
  <si>
    <t>- Finn: fish habitats includes freshwater?
- Steve: Measurement, Reporting, and Verification (MRV) of carbon credits for cc mitigation</t>
  </si>
  <si>
    <t>not clear whether the certificates focus on sustainable forest management</t>
  </si>
  <si>
    <t xml:space="preserve">- Steve: ecotourism needs to sustainably manage natural resources and contribute to conservation </t>
  </si>
  <si>
    <t>- Steve: river ecosystems in the last sentence</t>
  </si>
  <si>
    <t>covers fish in freshwater ecosystems</t>
  </si>
  <si>
    <t>- Steve: 15.1 mentions inland freshwater ecosystems</t>
  </si>
  <si>
    <t>- Finn: FD: Forest Department
MOECAF: Ministry of Environmental Conservation and Forestry
NWCD: Nature and Wildlife Conservation Division
- Steve: though the government bodies focus on forest management, e.g. Ministry of Environmental Conservation and Forestry, but only fact and number stating</t>
  </si>
  <si>
    <t>NWCD is the nature and wildlife conservation division</t>
  </si>
  <si>
    <t>- Finn: more on safety than equal access
- Steve: There's an interplay between Living modified organisms (LMO) and the risk of biodiversity loss but not super clear here in the text as it focuses more on biosafety</t>
  </si>
  <si>
    <t>not clear whether biosafety relates to ecosystem health or not</t>
  </si>
  <si>
    <t>covers freshwater ecosystem</t>
  </si>
  <si>
    <t>- Steve: Should it be marked because it mentions IPBES?</t>
  </si>
  <si>
    <t>- Steve: on species loss? though only fact stating</t>
  </si>
  <si>
    <t>- Steve: REDD+</t>
  </si>
  <si>
    <t>IGNORE</t>
  </si>
  <si>
    <t>very similar to 67ed2af3b43607d211063aa9dd9aec5d</t>
  </si>
  <si>
    <t>- Steve: SANBI = South African National Biodiversity Institute, PES = Present Ecological State, 15.9?</t>
  </si>
  <si>
    <t xml:space="preserve">- Finn: SDG 14
- Steve: more on SDG 14 </t>
  </si>
  <si>
    <t>- Finn: SDG 14</t>
  </si>
  <si>
    <t>consider switching to `false` because it only talks about marine species</t>
  </si>
  <si>
    <t>- Finn: but not for the mention of fishing</t>
  </si>
  <si>
    <t>- Steve: on SDG 3</t>
  </si>
  <si>
    <t>- Steve: not talking about halting or preventing land degradation, more about socioeconomic impacts</t>
  </si>
  <si>
    <t>depends on our stance on fact-stating</t>
  </si>
  <si>
    <t>- Steve: fact stating only</t>
  </si>
  <si>
    <t>- Finn: not specific to wildlife
- Steve: illicit trade of what?</t>
  </si>
  <si>
    <t>- Steve: not on inland freshwater ecosystems</t>
  </si>
  <si>
    <t>unclear whether it's only SDG 14 or also SDG 15</t>
  </si>
  <si>
    <t>- Steve: links to inland freshwater ecosystems, but more on SDG 14?</t>
  </si>
  <si>
    <t>mentions freshwater ecosystems</t>
  </si>
  <si>
    <t>- Finn: FLEGT: Forest Law Enforcement, Governance and Trade
EU: European Union
ITTO: International Tropical Timber Organization
IMM: Independent Market Monitoring</t>
  </si>
  <si>
    <t>- Finn: not about fair access</t>
  </si>
  <si>
    <t>- Steve: 15.6? what's the difference to 2.5?</t>
  </si>
  <si>
    <t>- Steve: CD-ROM :D :D :D</t>
  </si>
  <si>
    <t>- Finn: too unclear, probably "true"</t>
  </si>
  <si>
    <t>- Steve: doesn't really sound that deforestation or sustainable forestry is a priority here...</t>
  </si>
  <si>
    <t>- Steve: IUCN-related but more on management approaches, though not clear management of what?</t>
  </si>
  <si>
    <t>- Steve: not sure what CEA is</t>
  </si>
  <si>
    <t>id</t>
  </si>
  <si>
    <t>osdg_text_id</t>
  </si>
  <si>
    <t>comment</t>
  </si>
  <si>
    <t>It reflects changes in total production of goods and services. It is a powerful summary indicator of economic development, even though it does not account for social and environmental cost of production and consumption. It is obtained by calculating gross capital formation as a percentage of gross domestic product.</t>
  </si>
  <si>
    <t>fixed grammar</t>
  </si>
  <si>
    <t>The adverse trends of forest decline and degradation would immediately result in increased government expenditures on risk management, protective and emergency measures. Reforestation has to be perceived in the long term, as, due to climate and soil conditions in mountain regions, the success of such activities would require at least several decades of effort and investment. This is particularly so in the case of the 13 nature preserves, which are traditionally designated for 10 years only, whose status is not always prolonged in a timely manner for the subsequent period.</t>
  </si>
  <si>
    <t>Nature Geoscience, 9(10), 737-+. Seasonal sea ice cover as principal driver of spatial and temporal variation in depth extension and annual production of kelp in Greenland. Global Change Biology, 18(10), 2981-2994. Description of diatoms from the Southwest to west Greenland coastal and open marine waters.</t>
  </si>
  <si>
    <t>fixed typo</t>
  </si>
  <si>
    <t>More specific planning efforts in the biodiversity field - be they in the format of a new BSAP or another appropriate format - will flow from the general priorities identified by that plan. This is a significant policy gap, which calls for concerted planning efforts. At the same time, the expiry of the old plans offers an opportunity to look back at both plans and their implementation and to identify lessons learned and areas for improvement. They appeared inadequate to address the pressures and threats that affect biodiversity in Turkmenistan.</t>
  </si>
  <si>
    <t>The UN-REDD programme developed guidance to promote gender-sensitive processes in the preparation, implementation and monitoring of REDD+ projects and other action plans which focus on strengthening a bottom-up approach, including priority alignment to national needs and capacities (FAO/UNDP/UNEP 2013). However, mainstreaming gender in national policies, which is often interpreted as an increased number of women participating at local level, is not sufficient to realize the full potential of women and men as agents of change at community level. Systematic gender-responsive analysis should be carried out, including information on decision-making, gender perceptions and actual gender differences in interests in, as well as needs for effective engagement of women and men in REDD+ implementation in local contexts (Eggerts 2016, Larson et al.</t>
  </si>
  <si>
    <t>For policy purposes, employment-to-population ratios of youth and old are particularly relevant. The indicator is based on the broader indicator ‘status in employment’ which distinguishes between three categories of the total employed. These are: age and salaried workers (also known as employees), self-employed workers (employers, own-account workers and members of producers’ cooperatives), contributing family workers (also known as unpaid family workers).</t>
  </si>
  <si>
    <t>They are often subject to sexual abuse and health risks such as HIV/AIDS. Women's contributions to mining enterprises are often invisible because they perform unrecognized and undervalued care and domestic work. Despite heavy involvement of women in ASM, men control and own most of the family's assets, including land, the income from mining and farming, tools, homes, crops and the benefits yielded. Contamination by mercury used in gold recovery has significant impacts not only on women, men and children working at ASM sites, but on other people in the vicinity and those living in downstream areas (specifically young children and women who are pregnant and breastfeeding) (AU and AMCC 2015, Cordy et al.</t>
  </si>
  <si>
    <t>added whitespace</t>
  </si>
  <si>
    <t>Time series data are also available for each of these. While the FD accounted for two-thirds of MOECAF spending (MMK 13.62 billion or USD 13.29 million), the share of FD funding going to NWCD was relatively low at 8.5% (MMK 1.15 billion or USD 1.12 million). Overall, the MOECAF budget (MMK 21.46 billion or USD 20.93 million) accounted for just 0.18% of total union expenditures on line ministries and departments (MMK 12.13 billion or USD 11.8 billion).</t>
  </si>
  <si>
    <t>Wetlands are highly valued habitats for biodiversity and their loss is of international significance. However, for some types of seminatural agricultural habitats (farm woodland and fallow land) the area has increased or remained stable for a number of countries. Depending on the degree of sealing, it reduces or completely prevents natural soil functions and ecosystem services in the area concerned. This excludes woodland or forest predominantly under agricultural or urban land use and used only for recreation purposes.</t>
  </si>
  <si>
    <t>Government activities were divided into government expenditure (GOV) and five different kinds of taxes direct tax on domestic institutions (DIRTAX), import tariffs (IMPTAX), value added tax (VATAX), indirect or sales taxes (INDTAX) and factor taxes (FACTAX). Lastly, savings and investment (S-l) represent the capital account, while the rest of the world (ROW) is modelled as a single sector. The framework set out below is based on that prepared by Parra and Wodon (2009). Thus, in 2001, forestry and hunting contributed TSh 296.7 billion to the GDP in 2001 of the United Republic of Tanzania, which translates into TSh.</t>
  </si>
  <si>
    <t>This shows that the present value of net losses are an order of magnitude higher when taking into account the effect of deforestation on the full range of forest ecosystem services. Hence, investments in the forestry sector could potentially also be beneficial from the perspective of poverty alleviation. In that sense, this report provides further rationale for efforts to accelerate the implementation of the REDD+ National Strategy and Action Plan.</t>
  </si>
  <si>
    <t>A key driver of demand for urban nature recreation is user preferences for site attributes. For example, mountain bikers may tend to prefer (and are willing to pay for) artificially designed and engineered trails while hikers may prefer a "wilder" trail (Table 1 identifies some common attributes that provide welfare for different recreation users). Note also that the availability of nearby substitute sites can affect the value of a given site.</t>
  </si>
  <si>
    <t>Providing a real-time collection of participatory information related to illicit trade can engage a broader base of contributors. National policy could also benefit from the dynamic views that allow for a “story-telling” approach to presentations. This simple means of relaying the information could reinforce commitment to the prevention of cross-border illegal activity.</t>
  </si>
  <si>
    <t>These measures are needed to provide incentives to farmers for implementing voluntary measures that are beneficial for nature protection but that may affect agricultural production. Regarding seeds and genetic resources, Croatia has been following OECD and FAO advice on the use of plant species. Effectively, GMOs cannot be planted, not even for testing purposes, and GMO products cannot be sold in the country (0.2 per cent of GMO content in a product is the maximum allowed).</t>
  </si>
  <si>
    <t>With big data and technologies, the time for companies and governments underplaying deforestation, wildlife trade, poaching or illegal fishing is over. Artificial intelligence can now be used to help boost protection and resilience of natural systems instead. The Natural Capital Project uses remote-sensing-based natural capital assessment to guide jurisdictional development planning, mapping supply risk for corporate sourcing decisions, and helping conservation organizations target investments in forest restoration.</t>
  </si>
  <si>
    <t>The intention is to have a pragmatic focus on the site level, using case studies, information exchange between managers and good engagement with local communities. Further options for synergies are joint preparation for COPs for the two conventions, and encouraging a greater exchange of expertise - both scientific and managerial - to supplement one another’s knowledge and avoid duplication. A case study in the Capacity building section also describes an IUCN-led project to support managers of jointly designated sites (Case study 43, pg.</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</si>
</sst>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color rgb="FFFFFFFF"/>
      <name val="Arial"/>
    </font>
    <font>
      <b/>
      <color theme="1"/>
      <name val="Arial"/>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sz val="10.0"/>
      <color theme="1"/>
      <name val="Arial"/>
    </font>
    <font>
      <sz val="10.0"/>
      <color theme="1"/>
      <name val="Arial"/>
      <scheme val="minor"/>
    </font>
    <font>
      <sz val="9.0"/>
      <color theme="1"/>
      <name val="Arial"/>
      <scheme val="minor"/>
    </font>
    <font>
      <b/>
      <sz val="9.0"/>
      <color theme="1"/>
      <name val="Arial"/>
      <scheme val="minor"/>
    </font>
  </fonts>
  <fills count="6">
    <fill>
      <patternFill patternType="none"/>
    </fill>
    <fill>
      <patternFill patternType="lightGray"/>
    </fill>
    <fill>
      <patternFill patternType="solid">
        <fgColor rgb="FF56C02B"/>
        <bgColor rgb="FF56C02B"/>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s>
  <borders count="5">
    <border/>
    <border>
      <right style="thin">
        <color rgb="FF999999"/>
      </right>
    </border>
    <border>
      <right style="thin">
        <color rgb="FF999999"/>
      </right>
      <top style="thin">
        <color rgb="FF999999"/>
      </top>
      <bottom style="thin">
        <color rgb="FF999999"/>
      </bottom>
    </border>
    <border>
      <right style="thin">
        <color rgb="FF999999"/>
      </right>
      <bottom style="thin">
        <color rgb="FF999999"/>
      </bottom>
    </border>
    <border>
      <left style="thick">
        <color rgb="FF000000"/>
      </lef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1" fillId="0" fontId="9" numFmtId="0" xfId="0" applyAlignment="1" applyBorder="1" applyFont="1">
      <alignment vertical="bottom"/>
    </xf>
    <xf borderId="2" fillId="2" fontId="11" numFmtId="0" xfId="0" applyAlignment="1" applyBorder="1" applyFill="1" applyFont="1">
      <alignment horizontal="center" readingOrder="0" vertical="center"/>
    </xf>
    <xf borderId="2" fillId="0" fontId="12" numFmtId="0" xfId="0" applyAlignment="1" applyBorder="1" applyFont="1">
      <alignment readingOrder="0" shrinkToFit="0" vertical="bottom" wrapText="1"/>
    </xf>
    <xf borderId="3" fillId="2" fontId="11" numFmtId="0" xfId="0" applyAlignment="1" applyBorder="1" applyFont="1">
      <alignment horizontal="center" readingOrder="0" shrinkToFit="0" vertical="center" wrapText="1"/>
    </xf>
    <xf borderId="3" fillId="0" fontId="9" numFmtId="0" xfId="0" applyAlignment="1" applyBorder="1" applyFont="1">
      <alignment readingOrder="0" shrinkToFit="0" vertical="bottom" wrapText="1"/>
    </xf>
    <xf borderId="0" fillId="0" fontId="13" numFmtId="0" xfId="0" applyAlignment="1" applyFont="1">
      <alignment readingOrder="0"/>
    </xf>
    <xf borderId="0" fillId="0" fontId="14" numFmtId="0" xfId="0" applyAlignment="1" applyFont="1">
      <alignment readingOrder="0"/>
    </xf>
    <xf borderId="0" fillId="0" fontId="5" numFmtId="0" xfId="0" applyFont="1"/>
    <xf borderId="0" fillId="0" fontId="0" numFmtId="0" xfId="0" applyAlignment="1" applyFont="1">
      <alignment horizontal="right"/>
    </xf>
    <xf borderId="0" fillId="0" fontId="15" numFmtId="0" xfId="0" applyAlignment="1" applyFont="1">
      <alignment readingOrder="0"/>
    </xf>
    <xf borderId="0" fillId="0" fontId="16" numFmtId="0" xfId="0" applyAlignment="1" applyFont="1">
      <alignment readingOrder="0"/>
    </xf>
    <xf borderId="0" fillId="0" fontId="9" numFmtId="0" xfId="0" applyAlignment="1" applyFont="1">
      <alignment readingOrder="0" shrinkToFit="0" vertical="bottom" wrapText="0"/>
    </xf>
    <xf borderId="0" fillId="0" fontId="17" numFmtId="0" xfId="0" applyAlignment="1" applyFont="1">
      <alignment readingOrder="0" vertical="bottom"/>
    </xf>
    <xf borderId="0" fillId="0" fontId="17" numFmtId="0" xfId="0" applyAlignment="1" applyFont="1">
      <alignment readingOrder="0" shrinkToFit="0" vertical="bottom" wrapText="1"/>
    </xf>
    <xf borderId="0" fillId="0" fontId="18"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shrinkToFit="0" vertical="bottom" wrapText="1"/>
    </xf>
    <xf borderId="0" fillId="0" fontId="20" numFmtId="0" xfId="0" applyAlignment="1" applyFont="1">
      <alignment horizontal="center" readingOrder="0" vertical="center"/>
    </xf>
    <xf borderId="0" fillId="3" fontId="19" numFmtId="0" xfId="0" applyAlignment="1" applyFill="1" applyFont="1">
      <alignment shrinkToFit="0" vertical="bottom" wrapText="1"/>
    </xf>
    <xf borderId="0" fillId="4" fontId="19" numFmtId="0" xfId="0" applyAlignment="1" applyFill="1" applyFont="1">
      <alignment shrinkToFit="0" vertical="bottom" wrapText="1"/>
    </xf>
    <xf borderId="0" fillId="5" fontId="19" numFmtId="0" xfId="0" applyAlignment="1" applyFill="1" applyFont="1">
      <alignment shrinkToFit="0" vertical="bottom" wrapText="1"/>
    </xf>
    <xf borderId="0" fillId="0" fontId="14" numFmtId="0" xfId="0" applyAlignment="1" applyFont="1">
      <alignment readingOrder="0" shrinkToFit="0" wrapText="1"/>
    </xf>
    <xf borderId="0" fillId="0" fontId="5" numFmtId="0" xfId="0" applyAlignment="1" applyFont="1">
      <alignment shrinkToFit="0" wrapText="1"/>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21" numFmtId="0" xfId="0" applyAlignment="1" applyFont="1">
      <alignment readingOrder="0" vertical="bottom"/>
    </xf>
    <xf borderId="4" fillId="0" fontId="14" numFmtId="0" xfId="0" applyAlignment="1" applyBorder="1" applyFont="1">
      <alignment horizontal="center"/>
    </xf>
    <xf borderId="0" fillId="0" fontId="5" numFmtId="0" xfId="0" applyAlignment="1" applyFont="1">
      <alignment horizontal="center"/>
    </xf>
    <xf borderId="0" fillId="0" fontId="22" numFmtId="10" xfId="0" applyFont="1" applyNumberFormat="1"/>
    <xf borderId="0" fillId="0" fontId="23" numFmtId="10" xfId="0" applyFont="1" applyNumberFormat="1"/>
    <xf borderId="4" fillId="0" fontId="5" numFmtId="0" xfId="0" applyAlignment="1" applyBorder="1" applyFont="1">
      <alignment horizontal="center"/>
    </xf>
    <xf borderId="4"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5" numFmtId="0" xfId="0" applyFont="1"/>
    <xf borderId="0" fillId="0" fontId="14" numFmtId="0" xfId="0" applyFont="1"/>
    <xf borderId="0" fillId="0" fontId="24" numFmtId="0" xfId="0" applyFont="1"/>
    <xf borderId="0" fillId="0" fontId="23" numFmtId="0" xfId="0" applyFont="1"/>
    <xf borderId="0" fillId="0" fontId="23" numFmtId="0" xfId="0" applyFont="1"/>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78.88"/>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A49" s="17"/>
      <c r="B49" s="18" t="s">
        <v>33</v>
      </c>
      <c r="C49" s="19" t="s">
        <v>34</v>
      </c>
      <c r="D49" s="12"/>
      <c r="E49" s="12"/>
      <c r="F49" s="12"/>
      <c r="G49" s="12"/>
      <c r="H49" s="12"/>
      <c r="I49" s="12"/>
      <c r="J49" s="12"/>
      <c r="K49" s="12"/>
      <c r="L49" s="12"/>
      <c r="M49" s="12"/>
      <c r="N49" s="12"/>
      <c r="O49" s="12"/>
      <c r="P49" s="12"/>
      <c r="Q49" s="12"/>
      <c r="R49" s="12"/>
      <c r="S49" s="12"/>
      <c r="T49" s="12"/>
      <c r="U49" s="12"/>
      <c r="V49" s="12"/>
      <c r="W49" s="12"/>
      <c r="X49" s="12"/>
      <c r="Y49" s="12"/>
      <c r="Z49" s="12"/>
    </row>
    <row r="50">
      <c r="A50" s="17"/>
      <c r="B50" s="20" t="s">
        <v>35</v>
      </c>
      <c r="C50" s="21" t="s">
        <v>36</v>
      </c>
      <c r="D50" s="12"/>
      <c r="E50" s="12"/>
      <c r="F50" s="12"/>
      <c r="G50" s="12"/>
      <c r="H50" s="12"/>
      <c r="I50" s="12"/>
      <c r="J50" s="12"/>
      <c r="K50" s="12"/>
      <c r="L50" s="12"/>
      <c r="M50" s="12"/>
      <c r="N50" s="12"/>
      <c r="O50" s="12"/>
      <c r="P50" s="12"/>
      <c r="Q50" s="12"/>
      <c r="R50" s="12"/>
      <c r="S50" s="12"/>
      <c r="T50" s="12"/>
      <c r="U50" s="12"/>
      <c r="V50" s="12"/>
      <c r="W50" s="12"/>
      <c r="X50" s="12"/>
      <c r="Y50" s="12"/>
      <c r="Z50" s="12"/>
    </row>
    <row r="51">
      <c r="A51" s="17"/>
      <c r="B51" s="20" t="s">
        <v>37</v>
      </c>
      <c r="C51" s="21" t="s">
        <v>38</v>
      </c>
      <c r="D51" s="12"/>
      <c r="E51" s="12"/>
      <c r="F51" s="12"/>
      <c r="G51" s="12"/>
      <c r="H51" s="12"/>
      <c r="I51" s="12"/>
      <c r="J51" s="12"/>
      <c r="K51" s="12"/>
      <c r="L51" s="12"/>
      <c r="M51" s="12"/>
      <c r="N51" s="12"/>
      <c r="O51" s="12"/>
      <c r="P51" s="12"/>
      <c r="Q51" s="12"/>
      <c r="R51" s="12"/>
      <c r="S51" s="12"/>
      <c r="T51" s="12"/>
      <c r="U51" s="12"/>
      <c r="V51" s="12"/>
      <c r="W51" s="12"/>
      <c r="X51" s="12"/>
      <c r="Y51" s="12"/>
      <c r="Z51" s="12"/>
    </row>
    <row r="52">
      <c r="A52" s="17"/>
      <c r="B52" s="20" t="s">
        <v>39</v>
      </c>
      <c r="C52" s="21" t="s">
        <v>40</v>
      </c>
      <c r="D52" s="12"/>
      <c r="E52" s="12"/>
      <c r="F52" s="12"/>
      <c r="G52" s="12"/>
      <c r="H52" s="12"/>
      <c r="I52" s="12"/>
      <c r="J52" s="12"/>
      <c r="K52" s="12"/>
      <c r="L52" s="12"/>
      <c r="M52" s="12"/>
      <c r="N52" s="12"/>
      <c r="O52" s="12"/>
      <c r="P52" s="12"/>
      <c r="Q52" s="12"/>
      <c r="R52" s="12"/>
      <c r="S52" s="12"/>
      <c r="T52" s="12"/>
      <c r="U52" s="12"/>
      <c r="V52" s="12"/>
      <c r="W52" s="12"/>
      <c r="X52" s="12"/>
      <c r="Y52" s="12"/>
      <c r="Z52" s="12"/>
    </row>
    <row r="53">
      <c r="A53" s="17"/>
      <c r="B53" s="20" t="s">
        <v>41</v>
      </c>
      <c r="C53" s="21" t="s">
        <v>42</v>
      </c>
      <c r="D53" s="12"/>
      <c r="E53" s="12"/>
      <c r="F53" s="12"/>
      <c r="G53" s="12"/>
      <c r="H53" s="12"/>
      <c r="I53" s="12"/>
      <c r="J53" s="12"/>
      <c r="K53" s="12"/>
      <c r="L53" s="12"/>
      <c r="M53" s="12"/>
      <c r="N53" s="12"/>
      <c r="O53" s="12"/>
      <c r="P53" s="12"/>
      <c r="Q53" s="12"/>
      <c r="R53" s="12"/>
      <c r="S53" s="12"/>
      <c r="T53" s="12"/>
      <c r="U53" s="12"/>
      <c r="V53" s="12"/>
      <c r="W53" s="12"/>
      <c r="X53" s="12"/>
      <c r="Y53" s="12"/>
      <c r="Z53" s="12"/>
    </row>
    <row r="54">
      <c r="A54" s="17"/>
      <c r="B54" s="20" t="s">
        <v>43</v>
      </c>
      <c r="C54" s="21" t="s">
        <v>44</v>
      </c>
      <c r="D54" s="12"/>
      <c r="E54" s="12"/>
      <c r="F54" s="12"/>
      <c r="G54" s="12"/>
      <c r="H54" s="12"/>
      <c r="I54" s="12"/>
      <c r="J54" s="12"/>
      <c r="K54" s="12"/>
      <c r="L54" s="12"/>
      <c r="M54" s="12"/>
      <c r="N54" s="12"/>
      <c r="O54" s="12"/>
      <c r="P54" s="12"/>
      <c r="Q54" s="12"/>
      <c r="R54" s="12"/>
      <c r="S54" s="12"/>
      <c r="T54" s="12"/>
      <c r="U54" s="12"/>
      <c r="V54" s="12"/>
      <c r="W54" s="12"/>
      <c r="X54" s="12"/>
      <c r="Y54" s="12"/>
      <c r="Z54" s="12"/>
    </row>
    <row r="55">
      <c r="A55" s="17"/>
      <c r="B55" s="20" t="s">
        <v>45</v>
      </c>
      <c r="C55" s="21" t="s">
        <v>46</v>
      </c>
      <c r="D55" s="12"/>
      <c r="E55" s="12"/>
      <c r="F55" s="12"/>
      <c r="G55" s="12"/>
      <c r="H55" s="12"/>
      <c r="I55" s="12"/>
      <c r="J55" s="12"/>
      <c r="K55" s="12"/>
      <c r="L55" s="12"/>
      <c r="M55" s="12"/>
      <c r="N55" s="12"/>
      <c r="O55" s="12"/>
      <c r="P55" s="12"/>
      <c r="Q55" s="12"/>
      <c r="R55" s="12"/>
      <c r="S55" s="12"/>
      <c r="T55" s="12"/>
      <c r="U55" s="12"/>
      <c r="V55" s="12"/>
      <c r="W55" s="12"/>
      <c r="X55" s="12"/>
      <c r="Y55" s="12"/>
      <c r="Z55" s="12"/>
    </row>
    <row r="56">
      <c r="A56" s="17"/>
      <c r="B56" s="20" t="s">
        <v>47</v>
      </c>
      <c r="C56" s="21" t="s">
        <v>48</v>
      </c>
      <c r="D56" s="12"/>
      <c r="E56" s="12"/>
      <c r="F56" s="12"/>
      <c r="G56" s="12"/>
      <c r="H56" s="12"/>
      <c r="I56" s="12"/>
      <c r="J56" s="12"/>
      <c r="K56" s="12"/>
      <c r="L56" s="12"/>
      <c r="M56" s="12"/>
      <c r="N56" s="12"/>
      <c r="O56" s="12"/>
      <c r="P56" s="12"/>
      <c r="Q56" s="12"/>
      <c r="R56" s="12"/>
      <c r="S56" s="12"/>
      <c r="T56" s="12"/>
      <c r="U56" s="12"/>
      <c r="V56" s="12"/>
      <c r="W56" s="12"/>
      <c r="X56" s="12"/>
      <c r="Y56" s="12"/>
      <c r="Z56" s="12"/>
    </row>
    <row r="57">
      <c r="A57" s="17"/>
      <c r="B57" s="20" t="s">
        <v>49</v>
      </c>
      <c r="C57" s="21" t="s">
        <v>50</v>
      </c>
      <c r="D57" s="12"/>
      <c r="E57" s="12"/>
      <c r="F57" s="12"/>
      <c r="G57" s="12"/>
      <c r="H57" s="12"/>
      <c r="I57" s="12"/>
      <c r="J57" s="12"/>
      <c r="K57" s="12"/>
      <c r="L57" s="12"/>
      <c r="M57" s="12"/>
      <c r="N57" s="12"/>
      <c r="O57" s="12"/>
      <c r="P57" s="12"/>
      <c r="Q57" s="12"/>
      <c r="R57" s="12"/>
      <c r="S57" s="12"/>
      <c r="T57" s="12"/>
      <c r="U57" s="12"/>
      <c r="V57" s="12"/>
      <c r="W57" s="12"/>
      <c r="X57" s="12"/>
      <c r="Y57" s="12"/>
      <c r="Z57" s="12"/>
    </row>
    <row r="58">
      <c r="A58" s="17"/>
      <c r="B58" s="20" t="s">
        <v>51</v>
      </c>
      <c r="C58" s="21" t="s">
        <v>52</v>
      </c>
      <c r="D58" s="12"/>
      <c r="E58" s="12"/>
      <c r="F58" s="12"/>
      <c r="G58" s="12"/>
      <c r="H58" s="12"/>
      <c r="I58" s="12"/>
      <c r="J58" s="12"/>
      <c r="K58" s="12"/>
      <c r="L58" s="12"/>
      <c r="M58" s="12"/>
      <c r="N58" s="12"/>
      <c r="O58" s="12"/>
      <c r="P58" s="12"/>
      <c r="Q58" s="12"/>
      <c r="R58" s="12"/>
      <c r="S58" s="12"/>
      <c r="T58" s="12"/>
      <c r="U58" s="12"/>
      <c r="V58" s="12"/>
      <c r="W58" s="12"/>
      <c r="X58" s="12"/>
      <c r="Y58" s="12"/>
      <c r="Z58" s="12"/>
    </row>
    <row r="59">
      <c r="A59" s="17"/>
      <c r="B59" s="20" t="s">
        <v>53</v>
      </c>
      <c r="C59" s="21" t="s">
        <v>54</v>
      </c>
      <c r="D59" s="12"/>
      <c r="E59" s="12"/>
      <c r="F59" s="12"/>
      <c r="G59" s="12"/>
      <c r="H59" s="12"/>
      <c r="I59" s="12"/>
      <c r="J59" s="12"/>
      <c r="K59" s="12"/>
      <c r="L59" s="12"/>
      <c r="M59" s="12"/>
      <c r="N59" s="12"/>
      <c r="O59" s="12"/>
      <c r="P59" s="12"/>
      <c r="Q59" s="12"/>
      <c r="R59" s="12"/>
      <c r="S59" s="12"/>
      <c r="T59" s="12"/>
      <c r="U59" s="12"/>
      <c r="V59" s="12"/>
      <c r="W59" s="12"/>
      <c r="X59" s="12"/>
      <c r="Y59" s="12"/>
      <c r="Z59" s="12"/>
    </row>
    <row r="60">
      <c r="A60" s="17"/>
      <c r="B60" s="20" t="s">
        <v>55</v>
      </c>
      <c r="C60" s="21" t="s">
        <v>56</v>
      </c>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20" t="s">
        <v>57</v>
      </c>
      <c r="C61" s="21" t="s">
        <v>58</v>
      </c>
      <c r="D61" s="12"/>
      <c r="E61" s="12"/>
      <c r="F61" s="12"/>
      <c r="G61" s="12"/>
      <c r="H61" s="12"/>
      <c r="I61" s="12"/>
      <c r="J61" s="12"/>
      <c r="K61" s="12"/>
      <c r="L61" s="12"/>
      <c r="M61" s="12"/>
      <c r="N61" s="12"/>
      <c r="O61" s="12"/>
      <c r="P61" s="12"/>
      <c r="Q61" s="12"/>
      <c r="R61" s="12"/>
      <c r="S61" s="12"/>
      <c r="T61" s="12"/>
      <c r="U61" s="12"/>
      <c r="V61" s="12"/>
      <c r="W61" s="12"/>
      <c r="X61" s="12"/>
      <c r="Y61" s="12"/>
      <c r="Z61" s="12"/>
    </row>
    <row r="62">
      <c r="B62" s="22" t="s">
        <v>59</v>
      </c>
    </row>
    <row r="64">
      <c r="B64" s="6" t="s">
        <v>60</v>
      </c>
    </row>
    <row r="65">
      <c r="B65" s="5" t="s">
        <v>61</v>
      </c>
    </row>
    <row r="66">
      <c r="B66" s="5"/>
    </row>
    <row r="67">
      <c r="B67" s="23" t="s">
        <v>62</v>
      </c>
      <c r="C67" s="23" t="s">
        <v>63</v>
      </c>
    </row>
    <row r="68">
      <c r="B68" s="22" t="s">
        <v>64</v>
      </c>
      <c r="C68" s="24" t="str">
        <f>IFERROR(__xludf.DUMMYFUNCTION("SPARKLINE((100-COUNTIF(INDIRECT(B68&amp;""!C:C""), ""TO DO""))/100+0.01,{""charttype"",""bar"";""max"",1.01;""min"",0; ""color1"", ""#4285f4""})"),"")</f>
        <v/>
      </c>
      <c r="D68" s="25" t="str">
        <f t="shared" ref="D68:D73" si="1">(100-COUNTIF(INDIRECT(B68&amp;"!C:C"), "TO DO")) &amp; " / 100"</f>
        <v>100 / 100</v>
      </c>
    </row>
    <row r="69">
      <c r="B69" s="22" t="s">
        <v>65</v>
      </c>
      <c r="C69" s="24" t="str">
        <f>IFERROR(__xludf.DUMMYFUNCTION("SPARKLINE((100-COUNTIF(INDIRECT(B69&amp;""!C:C""), ""TO DO""))/100+0.01,{""charttype"",""bar"";""max"",1.01;""min"",0; ""color1"", ""#4285f4""})"),"")</f>
        <v/>
      </c>
      <c r="D69" s="25" t="str">
        <f t="shared" si="1"/>
        <v>0 / 100</v>
      </c>
    </row>
    <row r="70">
      <c r="B70" s="22" t="s">
        <v>66</v>
      </c>
      <c r="C70" s="24" t="str">
        <f>IFERROR(__xludf.DUMMYFUNCTION("SPARKLINE((100-COUNTIF(INDIRECT(B70&amp;""!C:C""), ""TO DO""))/100+0.01,{""charttype"",""bar"";""max"",1.01;""min"",0; ""color1"", ""#4285f4""})"),"")</f>
        <v/>
      </c>
      <c r="D70" s="25" t="str">
        <f t="shared" si="1"/>
        <v>100 / 100</v>
      </c>
    </row>
    <row r="71">
      <c r="B71" s="22" t="s">
        <v>67</v>
      </c>
      <c r="C71" s="24" t="str">
        <f>IFERROR(__xludf.DUMMYFUNCTION("SPARKLINE((100-COUNTIF(INDIRECT(B71&amp;""!C:C""), ""TO DO""))/100+0.01,{""charttype"",""bar"";""max"",1.01;""min"",0; ""color1"", ""#4285f4""})"),"")</f>
        <v/>
      </c>
      <c r="D71" s="25" t="str">
        <f t="shared" si="1"/>
        <v>0 / 100</v>
      </c>
    </row>
    <row r="72">
      <c r="B72" s="22" t="s">
        <v>68</v>
      </c>
      <c r="C72" s="24" t="str">
        <f>IFERROR(__xludf.DUMMYFUNCTION("SPARKLINE((100-COUNTIF(INDIRECT(B72&amp;""!C:C""), ""TO DO""))/100+0.01,{""charttype"",""bar"";""max"",1.01;""min"",0; ""color1"", ""#4285f4""})"),"")</f>
        <v/>
      </c>
      <c r="D72" s="25" t="str">
        <f t="shared" si="1"/>
        <v>100 / 100</v>
      </c>
    </row>
    <row r="73">
      <c r="B73" s="22" t="s">
        <v>69</v>
      </c>
      <c r="C73" s="24" t="str">
        <f>IFERROR(__xludf.DUMMYFUNCTION("SPARKLINE((100-COUNTIF(INDIRECT(B73&amp;""!C:C""), ""TO DO""))/100+0.01,{""charttype"",""bar"";""max"",1.01;""min"",0; ""color1"", ""#4285f4""})"),"")</f>
        <v/>
      </c>
      <c r="D73" s="25" t="str">
        <f t="shared" si="1"/>
        <v>100 / 100</v>
      </c>
    </row>
    <row r="75">
      <c r="B75" s="26" t="s">
        <v>70</v>
      </c>
    </row>
    <row r="77">
      <c r="B77" s="6" t="s">
        <v>71</v>
      </c>
    </row>
    <row r="78">
      <c r="B78" s="5" t="s">
        <v>72</v>
      </c>
    </row>
    <row r="79">
      <c r="B79" s="5"/>
    </row>
    <row r="80">
      <c r="B80" s="5" t="s">
        <v>73</v>
      </c>
    </row>
    <row r="81">
      <c r="B81" s="5"/>
    </row>
    <row r="82">
      <c r="B82" s="27" t="s">
        <v>74</v>
      </c>
    </row>
    <row r="83">
      <c r="B83" s="5" t="s">
        <v>75</v>
      </c>
    </row>
    <row r="84">
      <c r="B84" s="5" t="s">
        <v>76</v>
      </c>
    </row>
    <row r="85">
      <c r="B85" s="5" t="s">
        <v>77</v>
      </c>
    </row>
    <row r="86">
      <c r="B86" s="5" t="s">
        <v>78</v>
      </c>
    </row>
    <row r="87">
      <c r="B87" s="5" t="s">
        <v>79</v>
      </c>
    </row>
    <row r="88">
      <c r="B88" s="5" t="s">
        <v>80</v>
      </c>
    </row>
    <row r="89">
      <c r="B89" s="5" t="s">
        <v>81</v>
      </c>
    </row>
    <row r="90">
      <c r="B90" s="5" t="s">
        <v>82</v>
      </c>
    </row>
    <row r="91">
      <c r="B91" s="5" t="s">
        <v>83</v>
      </c>
    </row>
    <row r="92">
      <c r="B92" s="5" t="s">
        <v>84</v>
      </c>
    </row>
    <row r="93">
      <c r="B93" s="5" t="s">
        <v>85</v>
      </c>
    </row>
    <row r="95">
      <c r="B95" s="27" t="s">
        <v>86</v>
      </c>
    </row>
    <row r="96">
      <c r="B96" s="28" t="s">
        <v>87</v>
      </c>
    </row>
    <row r="97">
      <c r="B97" s="28" t="s">
        <v>88</v>
      </c>
    </row>
    <row r="98">
      <c r="B98" s="28" t="s">
        <v>89</v>
      </c>
    </row>
    <row r="99">
      <c r="B99" s="28" t="s">
        <v>90</v>
      </c>
    </row>
    <row r="100">
      <c r="B100" s="28" t="s">
        <v>91</v>
      </c>
    </row>
    <row r="101">
      <c r="B101" s="28" t="s">
        <v>92</v>
      </c>
    </row>
    <row r="103">
      <c r="B103" s="13"/>
    </row>
    <row r="104">
      <c r="B104" s="13"/>
    </row>
    <row r="105">
      <c r="B105" s="13"/>
    </row>
    <row r="106">
      <c r="B106" s="13"/>
    </row>
    <row r="107">
      <c r="B107" s="13"/>
    </row>
  </sheetData>
  <dataValidations>
    <dataValidation type="list" allowBlank="1" showErrorMessage="1" sqref="B18:B20">
      <formula1>"TRUE,FALSE,SKIP"</formula1>
    </dataValidation>
  </dataValidations>
  <hyperlinks>
    <hyperlink r:id="rId1" ref="B62"/>
    <hyperlink display="Finn" location="Finn!A1" ref="B68"/>
    <hyperlink display="Gib" location="Gib!A1" ref="B69"/>
    <hyperlink display="Ivan" location="Ivan!A1" ref="B70"/>
    <hyperlink display="Jean-Baptiste" location="'Jean-Baptiste'!A1" ref="B71"/>
    <hyperlink display="Meike" location="Meike!A1" ref="B72"/>
    <hyperlink display="Steve" location="Steve!A1" ref="B7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9" t="s">
        <v>93</v>
      </c>
      <c r="B1" s="30" t="s">
        <v>94</v>
      </c>
      <c r="C1" s="31" t="s">
        <v>95</v>
      </c>
      <c r="D1" s="23" t="s">
        <v>96</v>
      </c>
    </row>
    <row r="2">
      <c r="A2" s="32" t="s">
        <v>97</v>
      </c>
      <c r="B2" s="33" t="s">
        <v>98</v>
      </c>
      <c r="C2" s="34" t="b">
        <v>0</v>
      </c>
    </row>
    <row r="3">
      <c r="A3" s="32" t="s">
        <v>99</v>
      </c>
      <c r="B3" s="33" t="s">
        <v>100</v>
      </c>
      <c r="C3" s="34" t="b">
        <v>0</v>
      </c>
    </row>
    <row r="4">
      <c r="A4" s="32" t="s">
        <v>101</v>
      </c>
      <c r="B4" s="33" t="s">
        <v>102</v>
      </c>
      <c r="C4" s="34" t="b">
        <v>1</v>
      </c>
    </row>
    <row r="5">
      <c r="A5" s="32" t="s">
        <v>103</v>
      </c>
      <c r="B5" s="33" t="s">
        <v>104</v>
      </c>
      <c r="C5" s="34" t="b">
        <v>1</v>
      </c>
    </row>
    <row r="6">
      <c r="A6" s="32" t="s">
        <v>105</v>
      </c>
      <c r="B6" s="33" t="s">
        <v>106</v>
      </c>
      <c r="C6" s="34" t="b">
        <v>1</v>
      </c>
    </row>
    <row r="7">
      <c r="A7" s="32" t="s">
        <v>107</v>
      </c>
      <c r="B7" s="33" t="s">
        <v>108</v>
      </c>
      <c r="C7" s="34" t="b">
        <v>1</v>
      </c>
      <c r="D7" s="5" t="s">
        <v>109</v>
      </c>
    </row>
    <row r="8">
      <c r="A8" s="32" t="s">
        <v>110</v>
      </c>
      <c r="B8" s="33" t="s">
        <v>111</v>
      </c>
      <c r="C8" s="34" t="b">
        <v>0</v>
      </c>
    </row>
    <row r="9">
      <c r="A9" s="32" t="s">
        <v>112</v>
      </c>
      <c r="B9" s="33" t="s">
        <v>113</v>
      </c>
      <c r="C9" s="34" t="b">
        <v>1</v>
      </c>
    </row>
    <row r="10">
      <c r="A10" s="32" t="s">
        <v>114</v>
      </c>
      <c r="B10" s="33" t="s">
        <v>115</v>
      </c>
      <c r="C10" s="34" t="b">
        <v>1</v>
      </c>
    </row>
    <row r="11">
      <c r="A11" s="32" t="s">
        <v>116</v>
      </c>
      <c r="B11" s="33" t="s">
        <v>117</v>
      </c>
      <c r="C11" s="34" t="b">
        <v>1</v>
      </c>
    </row>
    <row r="12">
      <c r="A12" s="32" t="s">
        <v>118</v>
      </c>
      <c r="B12" s="33" t="s">
        <v>119</v>
      </c>
      <c r="C12" s="34" t="b">
        <v>0</v>
      </c>
    </row>
    <row r="13">
      <c r="A13" s="32" t="s">
        <v>120</v>
      </c>
      <c r="B13" s="33" t="s">
        <v>121</v>
      </c>
      <c r="C13" s="34" t="b">
        <v>0</v>
      </c>
    </row>
    <row r="14">
      <c r="A14" s="32" t="s">
        <v>122</v>
      </c>
      <c r="B14" s="33" t="s">
        <v>123</v>
      </c>
      <c r="C14" s="34" t="b">
        <v>0</v>
      </c>
    </row>
    <row r="15">
      <c r="A15" s="32" t="s">
        <v>124</v>
      </c>
      <c r="B15" s="33" t="s">
        <v>125</v>
      </c>
      <c r="C15" s="34" t="b">
        <v>1</v>
      </c>
    </row>
    <row r="16">
      <c r="A16" s="32" t="s">
        <v>126</v>
      </c>
      <c r="B16" s="33" t="s">
        <v>127</v>
      </c>
      <c r="C16" s="34" t="b">
        <v>1</v>
      </c>
    </row>
    <row r="17">
      <c r="A17" s="32" t="s">
        <v>128</v>
      </c>
      <c r="B17" s="33" t="s">
        <v>129</v>
      </c>
      <c r="C17" s="34" t="b">
        <v>0</v>
      </c>
    </row>
    <row r="18">
      <c r="A18" s="32" t="s">
        <v>130</v>
      </c>
      <c r="B18" s="33" t="s">
        <v>131</v>
      </c>
      <c r="C18" s="34" t="b">
        <v>1</v>
      </c>
    </row>
    <row r="19">
      <c r="A19" s="32" t="s">
        <v>132</v>
      </c>
      <c r="B19" s="33" t="s">
        <v>133</v>
      </c>
      <c r="C19" s="34" t="b">
        <v>0</v>
      </c>
    </row>
    <row r="20">
      <c r="A20" s="32" t="s">
        <v>134</v>
      </c>
      <c r="B20" s="33" t="s">
        <v>135</v>
      </c>
      <c r="C20" s="34" t="b">
        <v>1</v>
      </c>
    </row>
    <row r="21">
      <c r="A21" s="32" t="s">
        <v>136</v>
      </c>
      <c r="B21" s="33" t="s">
        <v>137</v>
      </c>
      <c r="C21" s="34" t="b">
        <v>1</v>
      </c>
    </row>
    <row r="22">
      <c r="A22" s="32" t="s">
        <v>138</v>
      </c>
      <c r="B22" s="33" t="s">
        <v>139</v>
      </c>
      <c r="C22" s="34" t="b">
        <v>1</v>
      </c>
    </row>
    <row r="23">
      <c r="A23" s="32" t="s">
        <v>140</v>
      </c>
      <c r="B23" s="33" t="s">
        <v>141</v>
      </c>
      <c r="C23" s="34" t="b">
        <v>0</v>
      </c>
    </row>
    <row r="24">
      <c r="A24" s="32" t="s">
        <v>142</v>
      </c>
      <c r="B24" s="33" t="s">
        <v>143</v>
      </c>
      <c r="C24" s="34" t="b">
        <v>1</v>
      </c>
    </row>
    <row r="25">
      <c r="A25" s="32" t="s">
        <v>144</v>
      </c>
      <c r="B25" s="33" t="s">
        <v>145</v>
      </c>
      <c r="C25" s="34" t="b">
        <v>1</v>
      </c>
    </row>
    <row r="26">
      <c r="A26" s="32" t="s">
        <v>146</v>
      </c>
      <c r="B26" s="33" t="s">
        <v>147</v>
      </c>
      <c r="C26" s="34" t="b">
        <v>0</v>
      </c>
    </row>
    <row r="27">
      <c r="A27" s="32" t="s">
        <v>148</v>
      </c>
      <c r="B27" s="33" t="s">
        <v>149</v>
      </c>
      <c r="C27" s="34" t="b">
        <v>0</v>
      </c>
    </row>
    <row r="28">
      <c r="A28" s="32" t="s">
        <v>150</v>
      </c>
      <c r="B28" s="33" t="s">
        <v>151</v>
      </c>
      <c r="C28" s="34" t="b">
        <v>1</v>
      </c>
    </row>
    <row r="29">
      <c r="A29" s="32" t="s">
        <v>152</v>
      </c>
      <c r="B29" s="33" t="s">
        <v>153</v>
      </c>
      <c r="C29" s="34" t="b">
        <v>1</v>
      </c>
    </row>
    <row r="30">
      <c r="A30" s="32" t="s">
        <v>154</v>
      </c>
      <c r="B30" s="33" t="s">
        <v>155</v>
      </c>
      <c r="C30" s="34" t="b">
        <v>1</v>
      </c>
    </row>
    <row r="31">
      <c r="A31" s="32" t="s">
        <v>156</v>
      </c>
      <c r="B31" s="33" t="s">
        <v>157</v>
      </c>
      <c r="C31" s="34" t="b">
        <v>0</v>
      </c>
    </row>
    <row r="32">
      <c r="A32" s="32" t="s">
        <v>158</v>
      </c>
      <c r="B32" s="33" t="s">
        <v>159</v>
      </c>
      <c r="C32" s="34" t="b">
        <v>1</v>
      </c>
    </row>
    <row r="33">
      <c r="A33" s="32" t="s">
        <v>160</v>
      </c>
      <c r="B33" s="33" t="s">
        <v>161</v>
      </c>
      <c r="C33" s="34" t="b">
        <v>0</v>
      </c>
    </row>
    <row r="34">
      <c r="A34" s="32" t="s">
        <v>162</v>
      </c>
      <c r="B34" s="33" t="s">
        <v>163</v>
      </c>
      <c r="C34" s="34" t="b">
        <v>0</v>
      </c>
    </row>
    <row r="35">
      <c r="A35" s="32" t="s">
        <v>164</v>
      </c>
      <c r="B35" s="33" t="s">
        <v>165</v>
      </c>
      <c r="C35" s="34" t="b">
        <v>1</v>
      </c>
    </row>
    <row r="36">
      <c r="A36" s="32" t="s">
        <v>166</v>
      </c>
      <c r="B36" s="33" t="s">
        <v>167</v>
      </c>
      <c r="C36" s="34" t="b">
        <v>1</v>
      </c>
    </row>
    <row r="37">
      <c r="A37" s="32" t="s">
        <v>168</v>
      </c>
      <c r="B37" s="33" t="s">
        <v>169</v>
      </c>
      <c r="C37" s="34" t="b">
        <v>0</v>
      </c>
      <c r="D37" s="5" t="s">
        <v>170</v>
      </c>
    </row>
    <row r="38">
      <c r="A38" s="32" t="s">
        <v>171</v>
      </c>
      <c r="B38" s="33" t="s">
        <v>172</v>
      </c>
      <c r="C38" s="34" t="b">
        <v>0</v>
      </c>
    </row>
    <row r="39">
      <c r="A39" s="32" t="s">
        <v>173</v>
      </c>
      <c r="B39" s="33" t="s">
        <v>174</v>
      </c>
      <c r="C39" s="34" t="b">
        <v>1</v>
      </c>
    </row>
    <row r="40">
      <c r="A40" s="32" t="s">
        <v>175</v>
      </c>
      <c r="B40" s="33" t="s">
        <v>176</v>
      </c>
      <c r="C40" s="34" t="b">
        <v>0</v>
      </c>
    </row>
    <row r="41">
      <c r="A41" s="32" t="s">
        <v>177</v>
      </c>
      <c r="B41" s="33" t="s">
        <v>178</v>
      </c>
      <c r="C41" s="34" t="b">
        <v>1</v>
      </c>
    </row>
    <row r="42">
      <c r="A42" s="32" t="s">
        <v>179</v>
      </c>
      <c r="B42" s="33" t="s">
        <v>180</v>
      </c>
      <c r="C42" s="34" t="b">
        <v>1</v>
      </c>
    </row>
    <row r="43">
      <c r="A43" s="32" t="s">
        <v>181</v>
      </c>
      <c r="B43" s="33" t="s">
        <v>182</v>
      </c>
      <c r="C43" s="34" t="b">
        <v>1</v>
      </c>
    </row>
    <row r="44">
      <c r="A44" s="32" t="s">
        <v>183</v>
      </c>
      <c r="B44" s="33" t="s">
        <v>184</v>
      </c>
      <c r="C44" s="34" t="b">
        <v>1</v>
      </c>
      <c r="D44" s="5" t="s">
        <v>185</v>
      </c>
    </row>
    <row r="45">
      <c r="A45" s="32" t="s">
        <v>186</v>
      </c>
      <c r="B45" s="33" t="s">
        <v>187</v>
      </c>
      <c r="C45" s="34" t="b">
        <v>1</v>
      </c>
    </row>
    <row r="46">
      <c r="A46" s="32" t="s">
        <v>188</v>
      </c>
      <c r="B46" s="33" t="s">
        <v>189</v>
      </c>
      <c r="C46" s="34" t="b">
        <v>1</v>
      </c>
    </row>
    <row r="47">
      <c r="A47" s="32" t="s">
        <v>190</v>
      </c>
      <c r="B47" s="33" t="s">
        <v>191</v>
      </c>
      <c r="C47" s="34" t="b">
        <v>0</v>
      </c>
    </row>
    <row r="48">
      <c r="A48" s="32" t="s">
        <v>192</v>
      </c>
      <c r="B48" s="33" t="s">
        <v>193</v>
      </c>
      <c r="C48" s="34" t="b">
        <v>0</v>
      </c>
      <c r="D48" s="5" t="s">
        <v>194</v>
      </c>
    </row>
    <row r="49">
      <c r="A49" s="32" t="s">
        <v>195</v>
      </c>
      <c r="B49" s="33" t="s">
        <v>196</v>
      </c>
      <c r="C49" s="34" t="b">
        <v>0</v>
      </c>
      <c r="D49" s="5" t="s">
        <v>197</v>
      </c>
    </row>
    <row r="50">
      <c r="A50" s="32" t="s">
        <v>198</v>
      </c>
      <c r="B50" s="33" t="s">
        <v>199</v>
      </c>
      <c r="C50" s="34" t="b">
        <v>1</v>
      </c>
    </row>
    <row r="51">
      <c r="A51" s="32" t="s">
        <v>200</v>
      </c>
      <c r="B51" s="33" t="s">
        <v>201</v>
      </c>
      <c r="C51" s="34" t="b">
        <v>1</v>
      </c>
    </row>
    <row r="52">
      <c r="A52" s="32" t="s">
        <v>202</v>
      </c>
      <c r="B52" s="33" t="s">
        <v>203</v>
      </c>
      <c r="C52" s="34" t="b">
        <v>1</v>
      </c>
    </row>
    <row r="53">
      <c r="A53" s="32" t="s">
        <v>204</v>
      </c>
      <c r="B53" s="33" t="s">
        <v>205</v>
      </c>
      <c r="C53" s="34" t="b">
        <v>0</v>
      </c>
    </row>
    <row r="54">
      <c r="A54" s="32" t="s">
        <v>206</v>
      </c>
      <c r="B54" s="33" t="s">
        <v>207</v>
      </c>
      <c r="C54" s="34" t="b">
        <v>1</v>
      </c>
    </row>
    <row r="55">
      <c r="A55" s="32" t="s">
        <v>208</v>
      </c>
      <c r="B55" s="33" t="s">
        <v>209</v>
      </c>
      <c r="C55" s="34" t="b">
        <v>0</v>
      </c>
    </row>
    <row r="56">
      <c r="A56" s="32" t="s">
        <v>210</v>
      </c>
      <c r="B56" s="33" t="s">
        <v>211</v>
      </c>
      <c r="C56" s="34" t="b">
        <v>1</v>
      </c>
    </row>
    <row r="57">
      <c r="A57" s="32" t="s">
        <v>212</v>
      </c>
      <c r="B57" s="33" t="s">
        <v>213</v>
      </c>
      <c r="C57" s="34" t="b">
        <v>0</v>
      </c>
    </row>
    <row r="58">
      <c r="A58" s="32" t="s">
        <v>214</v>
      </c>
      <c r="B58" s="33" t="s">
        <v>215</v>
      </c>
      <c r="C58" s="34" t="b">
        <v>0</v>
      </c>
    </row>
    <row r="59">
      <c r="A59" s="32" t="s">
        <v>216</v>
      </c>
      <c r="B59" s="33" t="s">
        <v>217</v>
      </c>
      <c r="C59" s="34" t="b">
        <v>1</v>
      </c>
    </row>
    <row r="60">
      <c r="A60" s="32" t="s">
        <v>218</v>
      </c>
      <c r="B60" s="33" t="s">
        <v>219</v>
      </c>
      <c r="C60" s="34" t="b">
        <v>0</v>
      </c>
    </row>
    <row r="61">
      <c r="A61" s="32" t="s">
        <v>220</v>
      </c>
      <c r="B61" s="33" t="s">
        <v>221</v>
      </c>
      <c r="C61" s="34" t="b">
        <v>0</v>
      </c>
    </row>
    <row r="62">
      <c r="A62" s="32" t="s">
        <v>222</v>
      </c>
      <c r="B62" s="33" t="s">
        <v>223</v>
      </c>
      <c r="C62" s="34" t="b">
        <v>0</v>
      </c>
    </row>
    <row r="63">
      <c r="A63" s="32" t="s">
        <v>224</v>
      </c>
      <c r="B63" s="33" t="s">
        <v>225</v>
      </c>
      <c r="C63" s="34" t="b">
        <v>1</v>
      </c>
    </row>
    <row r="64">
      <c r="A64" s="32" t="s">
        <v>226</v>
      </c>
      <c r="B64" s="33" t="s">
        <v>227</v>
      </c>
      <c r="C64" s="34" t="b">
        <v>0</v>
      </c>
    </row>
    <row r="65">
      <c r="A65" s="32" t="s">
        <v>228</v>
      </c>
      <c r="B65" s="33" t="s">
        <v>229</v>
      </c>
      <c r="C65" s="34" t="b">
        <v>1</v>
      </c>
    </row>
    <row r="66">
      <c r="A66" s="32" t="s">
        <v>230</v>
      </c>
      <c r="B66" s="33" t="s">
        <v>231</v>
      </c>
      <c r="C66" s="34" t="b">
        <v>1</v>
      </c>
    </row>
    <row r="67">
      <c r="A67" s="32" t="s">
        <v>232</v>
      </c>
      <c r="B67" s="33" t="s">
        <v>233</v>
      </c>
      <c r="C67" s="34" t="b">
        <v>1</v>
      </c>
    </row>
    <row r="68">
      <c r="A68" s="32" t="s">
        <v>234</v>
      </c>
      <c r="B68" s="33" t="s">
        <v>235</v>
      </c>
      <c r="C68" s="34" t="b">
        <v>0</v>
      </c>
    </row>
    <row r="69">
      <c r="A69" s="32" t="s">
        <v>236</v>
      </c>
      <c r="B69" s="33" t="s">
        <v>237</v>
      </c>
      <c r="C69" s="34" t="b">
        <v>1</v>
      </c>
    </row>
    <row r="70">
      <c r="A70" s="32" t="s">
        <v>238</v>
      </c>
      <c r="B70" s="33" t="s">
        <v>239</v>
      </c>
      <c r="C70" s="34" t="b">
        <v>1</v>
      </c>
    </row>
    <row r="71">
      <c r="A71" s="32" t="s">
        <v>240</v>
      </c>
      <c r="B71" s="33" t="s">
        <v>241</v>
      </c>
      <c r="C71" s="34" t="b">
        <v>0</v>
      </c>
    </row>
    <row r="72">
      <c r="A72" s="32" t="s">
        <v>242</v>
      </c>
      <c r="B72" s="33" t="s">
        <v>243</v>
      </c>
      <c r="C72" s="34" t="b">
        <v>0</v>
      </c>
      <c r="D72" s="5" t="s">
        <v>194</v>
      </c>
    </row>
    <row r="73">
      <c r="A73" s="32" t="s">
        <v>244</v>
      </c>
      <c r="B73" s="33" t="s">
        <v>245</v>
      </c>
      <c r="C73" s="34" t="b">
        <v>1</v>
      </c>
    </row>
    <row r="74">
      <c r="A74" s="32" t="s">
        <v>246</v>
      </c>
      <c r="B74" s="33" t="s">
        <v>247</v>
      </c>
      <c r="C74" s="34" t="b">
        <v>0</v>
      </c>
    </row>
    <row r="75">
      <c r="A75" s="32" t="s">
        <v>248</v>
      </c>
      <c r="B75" s="33" t="s">
        <v>249</v>
      </c>
      <c r="C75" s="34" t="b">
        <v>0</v>
      </c>
    </row>
    <row r="76">
      <c r="A76" s="32" t="s">
        <v>250</v>
      </c>
      <c r="B76" s="33" t="s">
        <v>251</v>
      </c>
      <c r="C76" s="34" t="b">
        <v>1</v>
      </c>
    </row>
    <row r="77">
      <c r="A77" s="32" t="s">
        <v>252</v>
      </c>
      <c r="B77" s="33" t="s">
        <v>253</v>
      </c>
      <c r="C77" s="34" t="b">
        <v>1</v>
      </c>
    </row>
    <row r="78">
      <c r="A78" s="32" t="s">
        <v>254</v>
      </c>
      <c r="B78" s="33" t="s">
        <v>255</v>
      </c>
      <c r="C78" s="34" t="b">
        <v>1</v>
      </c>
    </row>
    <row r="79">
      <c r="A79" s="32" t="s">
        <v>256</v>
      </c>
      <c r="B79" s="33" t="s">
        <v>257</v>
      </c>
      <c r="C79" s="34" t="b">
        <v>1</v>
      </c>
    </row>
    <row r="80">
      <c r="A80" s="32" t="s">
        <v>258</v>
      </c>
      <c r="B80" s="33" t="s">
        <v>259</v>
      </c>
      <c r="C80" s="34" t="b">
        <v>0</v>
      </c>
    </row>
    <row r="81">
      <c r="A81" s="32" t="s">
        <v>260</v>
      </c>
      <c r="B81" s="33" t="s">
        <v>261</v>
      </c>
      <c r="C81" s="34" t="b">
        <v>0</v>
      </c>
    </row>
    <row r="82">
      <c r="A82" s="32" t="s">
        <v>262</v>
      </c>
      <c r="B82" s="33" t="s">
        <v>263</v>
      </c>
      <c r="C82" s="34" t="b">
        <v>0</v>
      </c>
    </row>
    <row r="83">
      <c r="A83" s="32" t="s">
        <v>264</v>
      </c>
      <c r="B83" s="33" t="s">
        <v>265</v>
      </c>
      <c r="C83" s="34" t="b">
        <v>1</v>
      </c>
      <c r="D83" s="5" t="s">
        <v>266</v>
      </c>
    </row>
    <row r="84">
      <c r="A84" s="32" t="s">
        <v>267</v>
      </c>
      <c r="B84" s="33" t="s">
        <v>268</v>
      </c>
      <c r="C84" s="34" t="b">
        <v>0</v>
      </c>
    </row>
    <row r="85">
      <c r="A85" s="32" t="s">
        <v>269</v>
      </c>
      <c r="B85" s="33" t="s">
        <v>270</v>
      </c>
      <c r="C85" s="34" t="b">
        <v>1</v>
      </c>
    </row>
    <row r="86">
      <c r="A86" s="32" t="s">
        <v>271</v>
      </c>
      <c r="B86" s="33" t="s">
        <v>272</v>
      </c>
      <c r="C86" s="34" t="b">
        <v>0</v>
      </c>
      <c r="D86" s="5" t="s">
        <v>273</v>
      </c>
    </row>
    <row r="87">
      <c r="A87" s="32" t="s">
        <v>274</v>
      </c>
      <c r="B87" s="33" t="s">
        <v>275</v>
      </c>
      <c r="C87" s="34" t="b">
        <v>0</v>
      </c>
    </row>
    <row r="88">
      <c r="A88" s="32" t="s">
        <v>276</v>
      </c>
      <c r="B88" s="33" t="s">
        <v>277</v>
      </c>
      <c r="C88" s="34" t="b">
        <v>1</v>
      </c>
    </row>
    <row r="89">
      <c r="A89" s="32" t="s">
        <v>278</v>
      </c>
      <c r="B89" s="33" t="s">
        <v>279</v>
      </c>
      <c r="C89" s="34" t="b">
        <v>1</v>
      </c>
    </row>
    <row r="90">
      <c r="A90" s="32" t="s">
        <v>280</v>
      </c>
      <c r="B90" s="33" t="s">
        <v>281</v>
      </c>
      <c r="C90" s="34" t="s">
        <v>14</v>
      </c>
      <c r="D90" s="5" t="s">
        <v>282</v>
      </c>
    </row>
    <row r="91">
      <c r="A91" s="32" t="s">
        <v>283</v>
      </c>
      <c r="B91" s="33" t="s">
        <v>284</v>
      </c>
      <c r="C91" s="34" t="b">
        <v>0</v>
      </c>
    </row>
    <row r="92">
      <c r="A92" s="32" t="s">
        <v>285</v>
      </c>
      <c r="B92" s="33" t="s">
        <v>286</v>
      </c>
      <c r="C92" s="34" t="b">
        <v>1</v>
      </c>
    </row>
    <row r="93">
      <c r="A93" s="32" t="s">
        <v>287</v>
      </c>
      <c r="B93" s="33" t="s">
        <v>288</v>
      </c>
      <c r="C93" s="34" t="b">
        <v>0</v>
      </c>
    </row>
    <row r="94">
      <c r="A94" s="32" t="s">
        <v>289</v>
      </c>
      <c r="B94" s="33" t="s">
        <v>290</v>
      </c>
      <c r="C94" s="34" t="b">
        <v>1</v>
      </c>
    </row>
    <row r="95">
      <c r="A95" s="32" t="s">
        <v>291</v>
      </c>
      <c r="B95" s="33" t="s">
        <v>292</v>
      </c>
      <c r="C95" s="34" t="b">
        <v>1</v>
      </c>
      <c r="D95" s="5" t="s">
        <v>293</v>
      </c>
    </row>
    <row r="96">
      <c r="A96" s="32" t="s">
        <v>294</v>
      </c>
      <c r="B96" s="33" t="s">
        <v>295</v>
      </c>
      <c r="C96" s="34" t="b">
        <v>1</v>
      </c>
    </row>
    <row r="97">
      <c r="A97" s="32" t="s">
        <v>296</v>
      </c>
      <c r="B97" s="33" t="s">
        <v>297</v>
      </c>
      <c r="C97" s="34" t="b">
        <v>0</v>
      </c>
    </row>
    <row r="98">
      <c r="A98" s="32" t="s">
        <v>298</v>
      </c>
      <c r="B98" s="33" t="s">
        <v>299</v>
      </c>
      <c r="C98" s="34" t="b">
        <v>0</v>
      </c>
    </row>
    <row r="99">
      <c r="A99" s="32" t="s">
        <v>300</v>
      </c>
      <c r="B99" s="33" t="s">
        <v>301</v>
      </c>
      <c r="C99" s="34" t="b">
        <v>0</v>
      </c>
    </row>
    <row r="100">
      <c r="A100" s="32" t="s">
        <v>302</v>
      </c>
      <c r="B100" s="33" t="s">
        <v>303</v>
      </c>
      <c r="C100" s="34" t="b">
        <v>0</v>
      </c>
    </row>
    <row r="101">
      <c r="A101" s="32" t="s">
        <v>304</v>
      </c>
      <c r="B101" s="33" t="s">
        <v>305</v>
      </c>
      <c r="C101" s="34" t="b">
        <v>1</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93</v>
      </c>
      <c r="B1" s="30" t="s">
        <v>94</v>
      </c>
      <c r="C1" s="31" t="s">
        <v>95</v>
      </c>
      <c r="D1" s="23" t="s">
        <v>96</v>
      </c>
    </row>
    <row r="2">
      <c r="A2" s="32" t="s">
        <v>162</v>
      </c>
      <c r="B2" s="33" t="s">
        <v>163</v>
      </c>
      <c r="C2" s="34" t="s">
        <v>306</v>
      </c>
    </row>
    <row r="3">
      <c r="A3" s="32" t="s">
        <v>114</v>
      </c>
      <c r="B3" s="33" t="s">
        <v>115</v>
      </c>
      <c r="C3" s="34" t="s">
        <v>306</v>
      </c>
    </row>
    <row r="4">
      <c r="A4" s="32" t="s">
        <v>287</v>
      </c>
      <c r="B4" s="33" t="s">
        <v>288</v>
      </c>
      <c r="C4" s="34" t="s">
        <v>306</v>
      </c>
    </row>
    <row r="5">
      <c r="A5" s="32" t="s">
        <v>173</v>
      </c>
      <c r="B5" s="33" t="s">
        <v>174</v>
      </c>
      <c r="C5" s="34" t="s">
        <v>306</v>
      </c>
    </row>
    <row r="6">
      <c r="A6" s="32" t="s">
        <v>188</v>
      </c>
      <c r="B6" s="33" t="s">
        <v>189</v>
      </c>
      <c r="C6" s="34" t="s">
        <v>306</v>
      </c>
    </row>
    <row r="7">
      <c r="A7" s="32" t="s">
        <v>302</v>
      </c>
      <c r="B7" s="33" t="s">
        <v>303</v>
      </c>
      <c r="C7" s="34" t="s">
        <v>306</v>
      </c>
    </row>
    <row r="8">
      <c r="A8" s="32" t="s">
        <v>202</v>
      </c>
      <c r="B8" s="33" t="s">
        <v>203</v>
      </c>
      <c r="C8" s="34" t="s">
        <v>306</v>
      </c>
    </row>
    <row r="9">
      <c r="A9" s="32" t="s">
        <v>246</v>
      </c>
      <c r="B9" s="33" t="s">
        <v>247</v>
      </c>
      <c r="C9" s="34" t="s">
        <v>306</v>
      </c>
    </row>
    <row r="10">
      <c r="A10" s="32" t="s">
        <v>212</v>
      </c>
      <c r="B10" s="33" t="s">
        <v>213</v>
      </c>
      <c r="C10" s="34" t="s">
        <v>306</v>
      </c>
    </row>
    <row r="11">
      <c r="A11" s="32" t="s">
        <v>101</v>
      </c>
      <c r="B11" s="33" t="s">
        <v>102</v>
      </c>
      <c r="C11" s="34" t="s">
        <v>306</v>
      </c>
    </row>
    <row r="12">
      <c r="A12" s="32" t="s">
        <v>230</v>
      </c>
      <c r="B12" s="33" t="s">
        <v>231</v>
      </c>
      <c r="C12" s="34" t="s">
        <v>306</v>
      </c>
    </row>
    <row r="13">
      <c r="A13" s="32" t="s">
        <v>214</v>
      </c>
      <c r="B13" s="33" t="s">
        <v>215</v>
      </c>
      <c r="C13" s="34" t="s">
        <v>306</v>
      </c>
    </row>
    <row r="14">
      <c r="A14" s="32" t="s">
        <v>271</v>
      </c>
      <c r="B14" s="33" t="s">
        <v>272</v>
      </c>
      <c r="C14" s="34" t="s">
        <v>306</v>
      </c>
    </row>
    <row r="15">
      <c r="A15" s="32" t="s">
        <v>280</v>
      </c>
      <c r="B15" s="33" t="s">
        <v>281</v>
      </c>
      <c r="C15" s="34" t="s">
        <v>306</v>
      </c>
    </row>
    <row r="16">
      <c r="A16" s="32" t="s">
        <v>252</v>
      </c>
      <c r="B16" s="33" t="s">
        <v>253</v>
      </c>
      <c r="C16" s="34" t="s">
        <v>306</v>
      </c>
    </row>
    <row r="17">
      <c r="A17" s="32" t="s">
        <v>105</v>
      </c>
      <c r="B17" s="33" t="s">
        <v>106</v>
      </c>
      <c r="C17" s="34" t="s">
        <v>306</v>
      </c>
    </row>
    <row r="18">
      <c r="A18" s="32" t="s">
        <v>258</v>
      </c>
      <c r="B18" s="33" t="s">
        <v>259</v>
      </c>
      <c r="C18" s="34" t="s">
        <v>306</v>
      </c>
    </row>
    <row r="19">
      <c r="A19" s="32" t="s">
        <v>254</v>
      </c>
      <c r="B19" s="33" t="s">
        <v>255</v>
      </c>
      <c r="C19" s="34" t="s">
        <v>306</v>
      </c>
    </row>
    <row r="20">
      <c r="A20" s="32" t="s">
        <v>242</v>
      </c>
      <c r="B20" s="33" t="s">
        <v>243</v>
      </c>
      <c r="C20" s="34" t="s">
        <v>306</v>
      </c>
    </row>
    <row r="21">
      <c r="A21" s="32" t="s">
        <v>150</v>
      </c>
      <c r="B21" s="33" t="s">
        <v>151</v>
      </c>
      <c r="C21" s="34" t="s">
        <v>306</v>
      </c>
    </row>
    <row r="22">
      <c r="A22" s="32" t="s">
        <v>130</v>
      </c>
      <c r="B22" s="33" t="s">
        <v>131</v>
      </c>
      <c r="C22" s="34" t="s">
        <v>306</v>
      </c>
    </row>
    <row r="23">
      <c r="A23" s="32" t="s">
        <v>107</v>
      </c>
      <c r="B23" s="33" t="s">
        <v>108</v>
      </c>
      <c r="C23" s="34" t="s">
        <v>306</v>
      </c>
    </row>
    <row r="24">
      <c r="A24" s="32" t="s">
        <v>278</v>
      </c>
      <c r="B24" s="33" t="s">
        <v>279</v>
      </c>
      <c r="C24" s="34" t="s">
        <v>306</v>
      </c>
    </row>
    <row r="25">
      <c r="A25" s="32" t="s">
        <v>99</v>
      </c>
      <c r="B25" s="33" t="s">
        <v>100</v>
      </c>
      <c r="C25" s="34" t="s">
        <v>306</v>
      </c>
    </row>
    <row r="26">
      <c r="A26" s="32" t="s">
        <v>97</v>
      </c>
      <c r="B26" s="33" t="s">
        <v>98</v>
      </c>
      <c r="C26" s="34" t="s">
        <v>306</v>
      </c>
    </row>
    <row r="27">
      <c r="A27" s="32" t="s">
        <v>144</v>
      </c>
      <c r="B27" s="33" t="s">
        <v>145</v>
      </c>
      <c r="C27" s="34" t="s">
        <v>306</v>
      </c>
    </row>
    <row r="28">
      <c r="A28" s="32" t="s">
        <v>283</v>
      </c>
      <c r="B28" s="33" t="s">
        <v>284</v>
      </c>
      <c r="C28" s="34" t="s">
        <v>306</v>
      </c>
    </row>
    <row r="29">
      <c r="A29" s="32" t="s">
        <v>220</v>
      </c>
      <c r="B29" s="33" t="s">
        <v>221</v>
      </c>
      <c r="C29" s="34" t="s">
        <v>306</v>
      </c>
    </row>
    <row r="30">
      <c r="A30" s="32" t="s">
        <v>148</v>
      </c>
      <c r="B30" s="33" t="s">
        <v>149</v>
      </c>
      <c r="C30" s="34" t="s">
        <v>306</v>
      </c>
    </row>
    <row r="31">
      <c r="A31" s="32" t="s">
        <v>128</v>
      </c>
      <c r="B31" s="33" t="s">
        <v>129</v>
      </c>
      <c r="C31" s="34" t="s">
        <v>306</v>
      </c>
    </row>
    <row r="32">
      <c r="A32" s="32" t="s">
        <v>179</v>
      </c>
      <c r="B32" s="33" t="s">
        <v>180</v>
      </c>
      <c r="C32" s="34" t="s">
        <v>306</v>
      </c>
    </row>
    <row r="33">
      <c r="A33" s="32" t="s">
        <v>122</v>
      </c>
      <c r="B33" s="33" t="s">
        <v>123</v>
      </c>
      <c r="C33" s="34" t="s">
        <v>306</v>
      </c>
    </row>
    <row r="34">
      <c r="A34" s="32" t="s">
        <v>164</v>
      </c>
      <c r="B34" s="33" t="s">
        <v>165</v>
      </c>
      <c r="C34" s="34" t="s">
        <v>306</v>
      </c>
    </row>
    <row r="35">
      <c r="A35" s="32" t="s">
        <v>289</v>
      </c>
      <c r="B35" s="33" t="s">
        <v>290</v>
      </c>
      <c r="C35" s="34" t="s">
        <v>306</v>
      </c>
    </row>
    <row r="36">
      <c r="A36" s="32" t="s">
        <v>240</v>
      </c>
      <c r="B36" s="33" t="s">
        <v>241</v>
      </c>
      <c r="C36" s="34" t="s">
        <v>306</v>
      </c>
    </row>
    <row r="37">
      <c r="A37" s="32" t="s">
        <v>250</v>
      </c>
      <c r="B37" s="33" t="s">
        <v>251</v>
      </c>
      <c r="C37" s="34" t="s">
        <v>306</v>
      </c>
    </row>
    <row r="38">
      <c r="A38" s="32" t="s">
        <v>200</v>
      </c>
      <c r="B38" s="33" t="s">
        <v>201</v>
      </c>
      <c r="C38" s="34" t="s">
        <v>306</v>
      </c>
    </row>
    <row r="39">
      <c r="A39" s="32" t="s">
        <v>198</v>
      </c>
      <c r="B39" s="33" t="s">
        <v>199</v>
      </c>
      <c r="C39" s="34" t="s">
        <v>306</v>
      </c>
    </row>
    <row r="40">
      <c r="A40" s="32" t="s">
        <v>192</v>
      </c>
      <c r="B40" s="33" t="s">
        <v>193</v>
      </c>
      <c r="C40" s="34" t="s">
        <v>306</v>
      </c>
    </row>
    <row r="41">
      <c r="A41" s="32" t="s">
        <v>136</v>
      </c>
      <c r="B41" s="33" t="s">
        <v>137</v>
      </c>
      <c r="C41" s="34" t="s">
        <v>306</v>
      </c>
    </row>
    <row r="42">
      <c r="A42" s="32" t="s">
        <v>206</v>
      </c>
      <c r="B42" s="33" t="s">
        <v>207</v>
      </c>
      <c r="C42" s="34" t="s">
        <v>306</v>
      </c>
    </row>
    <row r="43">
      <c r="A43" s="32" t="s">
        <v>175</v>
      </c>
      <c r="B43" s="33" t="s">
        <v>176</v>
      </c>
      <c r="C43" s="34" t="s">
        <v>306</v>
      </c>
    </row>
    <row r="44">
      <c r="A44" s="32" t="s">
        <v>210</v>
      </c>
      <c r="B44" s="33" t="s">
        <v>211</v>
      </c>
      <c r="C44" s="34" t="s">
        <v>306</v>
      </c>
    </row>
    <row r="45">
      <c r="A45" s="32" t="s">
        <v>142</v>
      </c>
      <c r="B45" s="33" t="s">
        <v>143</v>
      </c>
      <c r="C45" s="34" t="s">
        <v>306</v>
      </c>
    </row>
    <row r="46">
      <c r="A46" s="32" t="s">
        <v>234</v>
      </c>
      <c r="B46" s="33" t="s">
        <v>235</v>
      </c>
      <c r="C46" s="34" t="s">
        <v>306</v>
      </c>
    </row>
    <row r="47">
      <c r="A47" s="32" t="s">
        <v>274</v>
      </c>
      <c r="B47" s="33" t="s">
        <v>275</v>
      </c>
      <c r="C47" s="34" t="s">
        <v>306</v>
      </c>
    </row>
    <row r="48">
      <c r="A48" s="32" t="s">
        <v>126</v>
      </c>
      <c r="B48" s="33" t="s">
        <v>127</v>
      </c>
      <c r="C48" s="34" t="s">
        <v>306</v>
      </c>
    </row>
    <row r="49">
      <c r="A49" s="32" t="s">
        <v>166</v>
      </c>
      <c r="B49" s="33" t="s">
        <v>167</v>
      </c>
      <c r="C49" s="34" t="s">
        <v>306</v>
      </c>
    </row>
    <row r="50">
      <c r="A50" s="32" t="s">
        <v>177</v>
      </c>
      <c r="B50" s="33" t="s">
        <v>178</v>
      </c>
      <c r="C50" s="34" t="s">
        <v>306</v>
      </c>
    </row>
    <row r="51">
      <c r="A51" s="32" t="s">
        <v>264</v>
      </c>
      <c r="B51" s="33" t="s">
        <v>265</v>
      </c>
      <c r="C51" s="34" t="s">
        <v>306</v>
      </c>
    </row>
    <row r="52">
      <c r="A52" s="32" t="s">
        <v>120</v>
      </c>
      <c r="B52" s="33" t="s">
        <v>121</v>
      </c>
      <c r="C52" s="34" t="s">
        <v>306</v>
      </c>
    </row>
    <row r="53">
      <c r="A53" s="32" t="s">
        <v>168</v>
      </c>
      <c r="B53" s="33" t="s">
        <v>169</v>
      </c>
      <c r="C53" s="34" t="s">
        <v>306</v>
      </c>
    </row>
    <row r="54">
      <c r="A54" s="32" t="s">
        <v>132</v>
      </c>
      <c r="B54" s="33" t="s">
        <v>133</v>
      </c>
      <c r="C54" s="34" t="s">
        <v>306</v>
      </c>
    </row>
    <row r="55">
      <c r="A55" s="32" t="s">
        <v>124</v>
      </c>
      <c r="B55" s="33" t="s">
        <v>125</v>
      </c>
      <c r="C55" s="34" t="s">
        <v>306</v>
      </c>
    </row>
    <row r="56">
      <c r="A56" s="32" t="s">
        <v>244</v>
      </c>
      <c r="B56" s="33" t="s">
        <v>245</v>
      </c>
      <c r="C56" s="34" t="s">
        <v>306</v>
      </c>
    </row>
    <row r="57">
      <c r="A57" s="32" t="s">
        <v>146</v>
      </c>
      <c r="B57" s="33" t="s">
        <v>147</v>
      </c>
      <c r="C57" s="34" t="s">
        <v>306</v>
      </c>
    </row>
    <row r="58">
      <c r="A58" s="32" t="s">
        <v>152</v>
      </c>
      <c r="B58" s="33" t="s">
        <v>153</v>
      </c>
      <c r="C58" s="34" t="s">
        <v>306</v>
      </c>
    </row>
    <row r="59">
      <c r="A59" s="32" t="s">
        <v>267</v>
      </c>
      <c r="B59" s="33" t="s">
        <v>268</v>
      </c>
      <c r="C59" s="34" t="s">
        <v>306</v>
      </c>
    </row>
    <row r="60">
      <c r="A60" s="32" t="s">
        <v>296</v>
      </c>
      <c r="B60" s="33" t="s">
        <v>297</v>
      </c>
      <c r="C60" s="34" t="s">
        <v>306</v>
      </c>
    </row>
    <row r="61">
      <c r="A61" s="32" t="s">
        <v>154</v>
      </c>
      <c r="B61" s="33" t="s">
        <v>155</v>
      </c>
      <c r="C61" s="34" t="s">
        <v>306</v>
      </c>
    </row>
    <row r="62">
      <c r="A62" s="32" t="s">
        <v>260</v>
      </c>
      <c r="B62" s="33" t="s">
        <v>261</v>
      </c>
      <c r="C62" s="34" t="s">
        <v>306</v>
      </c>
    </row>
    <row r="63">
      <c r="A63" s="32" t="s">
        <v>181</v>
      </c>
      <c r="B63" s="33" t="s">
        <v>182</v>
      </c>
      <c r="C63" s="34" t="s">
        <v>306</v>
      </c>
    </row>
    <row r="64">
      <c r="A64" s="32" t="s">
        <v>256</v>
      </c>
      <c r="B64" s="33" t="s">
        <v>257</v>
      </c>
      <c r="C64" s="34" t="s">
        <v>306</v>
      </c>
    </row>
    <row r="65">
      <c r="A65" s="32" t="s">
        <v>158</v>
      </c>
      <c r="B65" s="33" t="s">
        <v>159</v>
      </c>
      <c r="C65" s="34" t="s">
        <v>306</v>
      </c>
    </row>
    <row r="66">
      <c r="A66" s="32" t="s">
        <v>285</v>
      </c>
      <c r="B66" s="33" t="s">
        <v>286</v>
      </c>
      <c r="C66" s="34" t="s">
        <v>306</v>
      </c>
    </row>
    <row r="67">
      <c r="A67" s="32" t="s">
        <v>269</v>
      </c>
      <c r="B67" s="33" t="s">
        <v>270</v>
      </c>
      <c r="C67" s="34" t="s">
        <v>306</v>
      </c>
    </row>
    <row r="68">
      <c r="A68" s="32" t="s">
        <v>156</v>
      </c>
      <c r="B68" s="33" t="s">
        <v>157</v>
      </c>
      <c r="C68" s="34" t="s">
        <v>306</v>
      </c>
    </row>
    <row r="69">
      <c r="A69" s="32" t="s">
        <v>186</v>
      </c>
      <c r="B69" s="33" t="s">
        <v>187</v>
      </c>
      <c r="C69" s="34" t="s">
        <v>306</v>
      </c>
    </row>
    <row r="70">
      <c r="A70" s="32" t="s">
        <v>304</v>
      </c>
      <c r="B70" s="33" t="s">
        <v>305</v>
      </c>
      <c r="C70" s="34" t="s">
        <v>306</v>
      </c>
    </row>
    <row r="71">
      <c r="A71" s="32" t="s">
        <v>218</v>
      </c>
      <c r="B71" s="33" t="s">
        <v>219</v>
      </c>
      <c r="C71" s="34" t="s">
        <v>306</v>
      </c>
    </row>
    <row r="72">
      <c r="A72" s="32" t="s">
        <v>222</v>
      </c>
      <c r="B72" s="33" t="s">
        <v>223</v>
      </c>
      <c r="C72" s="34" t="s">
        <v>306</v>
      </c>
    </row>
    <row r="73">
      <c r="A73" s="32" t="s">
        <v>224</v>
      </c>
      <c r="B73" s="33" t="s">
        <v>225</v>
      </c>
      <c r="C73" s="34" t="s">
        <v>306</v>
      </c>
    </row>
    <row r="74">
      <c r="A74" s="32" t="s">
        <v>298</v>
      </c>
      <c r="B74" s="33" t="s">
        <v>299</v>
      </c>
      <c r="C74" s="34" t="s">
        <v>306</v>
      </c>
    </row>
    <row r="75">
      <c r="A75" s="32" t="s">
        <v>248</v>
      </c>
      <c r="B75" s="33" t="s">
        <v>249</v>
      </c>
      <c r="C75" s="34" t="s">
        <v>306</v>
      </c>
    </row>
    <row r="76">
      <c r="A76" s="32" t="s">
        <v>138</v>
      </c>
      <c r="B76" s="33" t="s">
        <v>139</v>
      </c>
      <c r="C76" s="34" t="s">
        <v>306</v>
      </c>
    </row>
    <row r="77">
      <c r="A77" s="32" t="s">
        <v>116</v>
      </c>
      <c r="B77" s="33" t="s">
        <v>117</v>
      </c>
      <c r="C77" s="34" t="s">
        <v>306</v>
      </c>
    </row>
    <row r="78">
      <c r="A78" s="32" t="s">
        <v>110</v>
      </c>
      <c r="B78" s="33" t="s">
        <v>111</v>
      </c>
      <c r="C78" s="34" t="s">
        <v>306</v>
      </c>
    </row>
    <row r="79">
      <c r="A79" s="32" t="s">
        <v>300</v>
      </c>
      <c r="B79" s="33" t="s">
        <v>301</v>
      </c>
      <c r="C79" s="34" t="s">
        <v>306</v>
      </c>
    </row>
    <row r="80">
      <c r="A80" s="32" t="s">
        <v>228</v>
      </c>
      <c r="B80" s="33" t="s">
        <v>229</v>
      </c>
      <c r="C80" s="34" t="s">
        <v>306</v>
      </c>
    </row>
    <row r="81">
      <c r="A81" s="32" t="s">
        <v>226</v>
      </c>
      <c r="B81" s="33" t="s">
        <v>227</v>
      </c>
      <c r="C81" s="34" t="s">
        <v>306</v>
      </c>
    </row>
    <row r="82">
      <c r="A82" s="32" t="s">
        <v>276</v>
      </c>
      <c r="B82" s="33" t="s">
        <v>277</v>
      </c>
      <c r="C82" s="34" t="s">
        <v>306</v>
      </c>
    </row>
    <row r="83">
      <c r="A83" s="32" t="s">
        <v>112</v>
      </c>
      <c r="B83" s="33" t="s">
        <v>113</v>
      </c>
      <c r="C83" s="34" t="s">
        <v>306</v>
      </c>
    </row>
    <row r="84">
      <c r="A84" s="32" t="s">
        <v>118</v>
      </c>
      <c r="B84" s="33" t="s">
        <v>119</v>
      </c>
      <c r="C84" s="34" t="s">
        <v>306</v>
      </c>
    </row>
    <row r="85">
      <c r="A85" s="32" t="s">
        <v>208</v>
      </c>
      <c r="B85" s="33" t="s">
        <v>209</v>
      </c>
      <c r="C85" s="34" t="s">
        <v>306</v>
      </c>
    </row>
    <row r="86">
      <c r="A86" s="32" t="s">
        <v>236</v>
      </c>
      <c r="B86" s="33" t="s">
        <v>237</v>
      </c>
      <c r="C86" s="34" t="s">
        <v>306</v>
      </c>
    </row>
    <row r="87">
      <c r="A87" s="32" t="s">
        <v>134</v>
      </c>
      <c r="B87" s="33" t="s">
        <v>135</v>
      </c>
      <c r="C87" s="34" t="s">
        <v>306</v>
      </c>
    </row>
    <row r="88">
      <c r="A88" s="32" t="s">
        <v>291</v>
      </c>
      <c r="B88" s="33" t="s">
        <v>292</v>
      </c>
      <c r="C88" s="34" t="s">
        <v>306</v>
      </c>
    </row>
    <row r="89">
      <c r="A89" s="32" t="s">
        <v>216</v>
      </c>
      <c r="B89" s="33" t="s">
        <v>217</v>
      </c>
      <c r="C89" s="34" t="s">
        <v>306</v>
      </c>
    </row>
    <row r="90">
      <c r="A90" s="32" t="s">
        <v>160</v>
      </c>
      <c r="B90" s="33" t="s">
        <v>161</v>
      </c>
      <c r="C90" s="34" t="s">
        <v>306</v>
      </c>
    </row>
    <row r="91">
      <c r="A91" s="32" t="s">
        <v>204</v>
      </c>
      <c r="B91" s="33" t="s">
        <v>205</v>
      </c>
      <c r="C91" s="34" t="s">
        <v>306</v>
      </c>
    </row>
    <row r="92">
      <c r="A92" s="32" t="s">
        <v>183</v>
      </c>
      <c r="B92" s="33" t="s">
        <v>184</v>
      </c>
      <c r="C92" s="34" t="s">
        <v>306</v>
      </c>
    </row>
    <row r="93">
      <c r="A93" s="32" t="s">
        <v>262</v>
      </c>
      <c r="B93" s="33" t="s">
        <v>263</v>
      </c>
      <c r="C93" s="34" t="s">
        <v>306</v>
      </c>
    </row>
    <row r="94">
      <c r="A94" s="32" t="s">
        <v>140</v>
      </c>
      <c r="B94" s="33" t="s">
        <v>141</v>
      </c>
      <c r="C94" s="34" t="s">
        <v>306</v>
      </c>
    </row>
    <row r="95">
      <c r="A95" s="32" t="s">
        <v>232</v>
      </c>
      <c r="B95" s="33" t="s">
        <v>233</v>
      </c>
      <c r="C95" s="34" t="s">
        <v>306</v>
      </c>
    </row>
    <row r="96">
      <c r="A96" s="32" t="s">
        <v>103</v>
      </c>
      <c r="B96" s="33" t="s">
        <v>104</v>
      </c>
      <c r="C96" s="34" t="s">
        <v>306</v>
      </c>
    </row>
    <row r="97">
      <c r="A97" s="32" t="s">
        <v>294</v>
      </c>
      <c r="B97" s="33" t="s">
        <v>295</v>
      </c>
      <c r="C97" s="34" t="s">
        <v>306</v>
      </c>
    </row>
    <row r="98">
      <c r="A98" s="32" t="s">
        <v>190</v>
      </c>
      <c r="B98" s="33" t="s">
        <v>191</v>
      </c>
      <c r="C98" s="34" t="s">
        <v>306</v>
      </c>
    </row>
    <row r="99">
      <c r="A99" s="32" t="s">
        <v>238</v>
      </c>
      <c r="B99" s="33" t="s">
        <v>239</v>
      </c>
      <c r="C99" s="34" t="s">
        <v>306</v>
      </c>
    </row>
    <row r="100">
      <c r="A100" s="32" t="s">
        <v>171</v>
      </c>
      <c r="B100" s="33" t="s">
        <v>172</v>
      </c>
      <c r="C100" s="34" t="s">
        <v>306</v>
      </c>
    </row>
    <row r="101">
      <c r="A101" s="32" t="s">
        <v>195</v>
      </c>
      <c r="B101" s="33" t="s">
        <v>196</v>
      </c>
      <c r="C101" s="34" t="s">
        <v>306</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93</v>
      </c>
      <c r="B1" s="30" t="s">
        <v>94</v>
      </c>
      <c r="C1" s="31" t="s">
        <v>95</v>
      </c>
      <c r="D1" s="23" t="s">
        <v>96</v>
      </c>
    </row>
    <row r="2">
      <c r="A2" s="32" t="s">
        <v>186</v>
      </c>
      <c r="B2" s="33" t="s">
        <v>187</v>
      </c>
      <c r="C2" s="34" t="b">
        <v>1</v>
      </c>
    </row>
    <row r="3">
      <c r="A3" s="32" t="s">
        <v>246</v>
      </c>
      <c r="B3" s="33" t="s">
        <v>247</v>
      </c>
      <c r="C3" s="34" t="b">
        <v>0</v>
      </c>
    </row>
    <row r="4">
      <c r="A4" s="32" t="s">
        <v>142</v>
      </c>
      <c r="B4" s="33" t="s">
        <v>143</v>
      </c>
      <c r="C4" s="34" t="b">
        <v>0</v>
      </c>
      <c r="D4" s="5" t="s">
        <v>307</v>
      </c>
    </row>
    <row r="5">
      <c r="A5" s="32" t="s">
        <v>269</v>
      </c>
      <c r="B5" s="33" t="s">
        <v>270</v>
      </c>
      <c r="C5" s="34" t="b">
        <v>0</v>
      </c>
    </row>
    <row r="6">
      <c r="A6" s="32" t="s">
        <v>224</v>
      </c>
      <c r="B6" s="33" t="s">
        <v>225</v>
      </c>
      <c r="C6" s="34" t="b">
        <v>0</v>
      </c>
    </row>
    <row r="7">
      <c r="A7" s="32" t="s">
        <v>220</v>
      </c>
      <c r="B7" s="33" t="s">
        <v>221</v>
      </c>
      <c r="C7" s="34" t="b">
        <v>0</v>
      </c>
    </row>
    <row r="8">
      <c r="A8" s="32" t="s">
        <v>138</v>
      </c>
      <c r="B8" s="33" t="s">
        <v>139</v>
      </c>
      <c r="C8" s="34" t="b">
        <v>0</v>
      </c>
      <c r="D8" s="5" t="s">
        <v>308</v>
      </c>
    </row>
    <row r="9">
      <c r="A9" s="32" t="s">
        <v>240</v>
      </c>
      <c r="B9" s="33" t="s">
        <v>241</v>
      </c>
      <c r="C9" s="34" t="b">
        <v>0</v>
      </c>
    </row>
    <row r="10">
      <c r="A10" s="32" t="s">
        <v>171</v>
      </c>
      <c r="B10" s="33" t="s">
        <v>172</v>
      </c>
      <c r="C10" s="34" t="b">
        <v>0</v>
      </c>
    </row>
    <row r="11">
      <c r="A11" s="32" t="s">
        <v>126</v>
      </c>
      <c r="B11" s="33" t="s">
        <v>127</v>
      </c>
      <c r="C11" s="34" t="b">
        <v>1</v>
      </c>
      <c r="D11" s="5"/>
    </row>
    <row r="12">
      <c r="A12" s="32" t="s">
        <v>97</v>
      </c>
      <c r="B12" s="33" t="s">
        <v>98</v>
      </c>
      <c r="C12" s="34" t="b">
        <v>0</v>
      </c>
    </row>
    <row r="13">
      <c r="A13" s="32" t="s">
        <v>230</v>
      </c>
      <c r="B13" s="33" t="s">
        <v>231</v>
      </c>
      <c r="C13" s="34" t="b">
        <v>1</v>
      </c>
    </row>
    <row r="14">
      <c r="A14" s="32" t="s">
        <v>238</v>
      </c>
      <c r="B14" s="33" t="s">
        <v>239</v>
      </c>
      <c r="C14" s="34" t="s">
        <v>14</v>
      </c>
      <c r="D14" s="5" t="s">
        <v>309</v>
      </c>
    </row>
    <row r="15">
      <c r="A15" s="32" t="s">
        <v>173</v>
      </c>
      <c r="B15" s="33" t="s">
        <v>174</v>
      </c>
      <c r="C15" s="34" t="b">
        <v>1</v>
      </c>
    </row>
    <row r="16">
      <c r="A16" s="32" t="s">
        <v>124</v>
      </c>
      <c r="B16" s="33" t="s">
        <v>125</v>
      </c>
      <c r="C16" s="34" t="b">
        <v>1</v>
      </c>
    </row>
    <row r="17">
      <c r="A17" s="32" t="s">
        <v>200</v>
      </c>
      <c r="B17" s="33" t="s">
        <v>201</v>
      </c>
      <c r="C17" s="34" t="b">
        <v>1</v>
      </c>
    </row>
    <row r="18">
      <c r="A18" s="32" t="s">
        <v>101</v>
      </c>
      <c r="B18" s="33" t="s">
        <v>102</v>
      </c>
      <c r="C18" s="34" t="b">
        <v>0</v>
      </c>
      <c r="D18" s="5" t="s">
        <v>310</v>
      </c>
    </row>
    <row r="19">
      <c r="A19" s="32" t="s">
        <v>154</v>
      </c>
      <c r="B19" s="33" t="s">
        <v>155</v>
      </c>
      <c r="C19" s="34" t="b">
        <v>1</v>
      </c>
    </row>
    <row r="20">
      <c r="A20" s="32" t="s">
        <v>160</v>
      </c>
      <c r="B20" s="33" t="s">
        <v>161</v>
      </c>
      <c r="C20" s="34" t="b">
        <v>0</v>
      </c>
      <c r="D20" s="5" t="s">
        <v>311</v>
      </c>
    </row>
    <row r="21">
      <c r="A21" s="32" t="s">
        <v>212</v>
      </c>
      <c r="B21" s="33" t="s">
        <v>213</v>
      </c>
      <c r="C21" s="34" t="s">
        <v>14</v>
      </c>
      <c r="D21" s="5" t="s">
        <v>312</v>
      </c>
    </row>
    <row r="22">
      <c r="A22" s="32" t="s">
        <v>162</v>
      </c>
      <c r="B22" s="33" t="s">
        <v>163</v>
      </c>
      <c r="C22" s="34" t="s">
        <v>14</v>
      </c>
      <c r="D22" s="5" t="s">
        <v>313</v>
      </c>
    </row>
    <row r="23">
      <c r="A23" s="32" t="s">
        <v>256</v>
      </c>
      <c r="B23" s="33" t="s">
        <v>257</v>
      </c>
      <c r="C23" s="34" t="b">
        <v>0</v>
      </c>
    </row>
    <row r="24">
      <c r="A24" s="32" t="s">
        <v>164</v>
      </c>
      <c r="B24" s="33" t="s">
        <v>165</v>
      </c>
      <c r="C24" s="34" t="b">
        <v>1</v>
      </c>
    </row>
    <row r="25">
      <c r="A25" s="32" t="s">
        <v>136</v>
      </c>
      <c r="B25" s="33" t="s">
        <v>137</v>
      </c>
      <c r="C25" s="34" t="b">
        <v>1</v>
      </c>
    </row>
    <row r="26">
      <c r="A26" s="32" t="s">
        <v>179</v>
      </c>
      <c r="B26" s="33" t="s">
        <v>180</v>
      </c>
      <c r="C26" s="34" t="b">
        <v>0</v>
      </c>
    </row>
    <row r="27">
      <c r="A27" s="32" t="s">
        <v>112</v>
      </c>
      <c r="B27" s="33" t="s">
        <v>113</v>
      </c>
      <c r="C27" s="34" t="b">
        <v>1</v>
      </c>
    </row>
    <row r="28">
      <c r="A28" s="32" t="s">
        <v>252</v>
      </c>
      <c r="B28" s="33" t="s">
        <v>253</v>
      </c>
      <c r="C28" s="34" t="b">
        <v>1</v>
      </c>
    </row>
    <row r="29">
      <c r="A29" s="32" t="s">
        <v>232</v>
      </c>
      <c r="B29" s="33" t="s">
        <v>233</v>
      </c>
      <c r="C29" s="34" t="b">
        <v>1</v>
      </c>
    </row>
    <row r="30">
      <c r="A30" s="32" t="s">
        <v>278</v>
      </c>
      <c r="B30" s="33" t="s">
        <v>279</v>
      </c>
      <c r="C30" s="34" t="b">
        <v>1</v>
      </c>
    </row>
    <row r="31">
      <c r="A31" s="32" t="s">
        <v>130</v>
      </c>
      <c r="B31" s="33" t="s">
        <v>131</v>
      </c>
      <c r="C31" s="34" t="b">
        <v>1</v>
      </c>
    </row>
    <row r="32">
      <c r="A32" s="32" t="s">
        <v>110</v>
      </c>
      <c r="B32" s="33" t="s">
        <v>111</v>
      </c>
      <c r="C32" s="34" t="b">
        <v>0</v>
      </c>
    </row>
    <row r="33">
      <c r="A33" s="32" t="s">
        <v>271</v>
      </c>
      <c r="B33" s="33" t="s">
        <v>272</v>
      </c>
      <c r="C33" s="34" t="b">
        <v>0</v>
      </c>
    </row>
    <row r="34">
      <c r="A34" s="32" t="s">
        <v>134</v>
      </c>
      <c r="B34" s="33" t="s">
        <v>135</v>
      </c>
      <c r="C34" s="34" t="b">
        <v>1</v>
      </c>
    </row>
    <row r="35">
      <c r="A35" s="32" t="s">
        <v>276</v>
      </c>
      <c r="B35" s="33" t="s">
        <v>277</v>
      </c>
      <c r="C35" s="34" t="b">
        <v>1</v>
      </c>
    </row>
    <row r="36">
      <c r="A36" s="32" t="s">
        <v>289</v>
      </c>
      <c r="B36" s="33" t="s">
        <v>290</v>
      </c>
      <c r="C36" s="34" t="b">
        <v>1</v>
      </c>
    </row>
    <row r="37">
      <c r="A37" s="32" t="s">
        <v>248</v>
      </c>
      <c r="B37" s="33" t="s">
        <v>249</v>
      </c>
      <c r="C37" s="34" t="b">
        <v>0</v>
      </c>
    </row>
    <row r="38">
      <c r="A38" s="32" t="s">
        <v>156</v>
      </c>
      <c r="B38" s="33" t="s">
        <v>157</v>
      </c>
      <c r="C38" s="34" t="b">
        <v>0</v>
      </c>
    </row>
    <row r="39">
      <c r="A39" s="32" t="s">
        <v>107</v>
      </c>
      <c r="B39" s="33" t="s">
        <v>108</v>
      </c>
      <c r="C39" s="34" t="b">
        <v>1</v>
      </c>
      <c r="D39" s="5" t="s">
        <v>314</v>
      </c>
    </row>
    <row r="40">
      <c r="A40" s="32" t="s">
        <v>242</v>
      </c>
      <c r="B40" s="33" t="s">
        <v>243</v>
      </c>
      <c r="C40" s="34" t="b">
        <v>0</v>
      </c>
      <c r="D40" s="5" t="s">
        <v>315</v>
      </c>
    </row>
    <row r="41">
      <c r="A41" s="32" t="s">
        <v>274</v>
      </c>
      <c r="B41" s="33" t="s">
        <v>275</v>
      </c>
      <c r="C41" s="34" t="b">
        <v>0</v>
      </c>
    </row>
    <row r="42">
      <c r="A42" s="32" t="s">
        <v>183</v>
      </c>
      <c r="B42" s="33" t="s">
        <v>184</v>
      </c>
      <c r="C42" s="34" t="b">
        <v>1</v>
      </c>
      <c r="D42" s="5" t="s">
        <v>316</v>
      </c>
    </row>
    <row r="43">
      <c r="A43" s="32" t="s">
        <v>296</v>
      </c>
      <c r="B43" s="33" t="s">
        <v>297</v>
      </c>
      <c r="C43" s="34" t="b">
        <v>0</v>
      </c>
    </row>
    <row r="44">
      <c r="A44" s="32" t="s">
        <v>210</v>
      </c>
      <c r="B44" s="33" t="s">
        <v>211</v>
      </c>
      <c r="C44" s="34" t="b">
        <v>1</v>
      </c>
    </row>
    <row r="45">
      <c r="A45" s="32" t="s">
        <v>300</v>
      </c>
      <c r="B45" s="33" t="s">
        <v>301</v>
      </c>
      <c r="C45" s="34" t="s">
        <v>14</v>
      </c>
      <c r="D45" s="5" t="s">
        <v>317</v>
      </c>
    </row>
    <row r="46">
      <c r="A46" s="32" t="s">
        <v>222</v>
      </c>
      <c r="B46" s="33" t="s">
        <v>223</v>
      </c>
      <c r="C46" s="34" t="b">
        <v>0</v>
      </c>
      <c r="D46" s="5" t="s">
        <v>318</v>
      </c>
    </row>
    <row r="47">
      <c r="A47" s="32" t="s">
        <v>122</v>
      </c>
      <c r="B47" s="33" t="s">
        <v>123</v>
      </c>
      <c r="C47" s="34" t="b">
        <v>0</v>
      </c>
    </row>
    <row r="48">
      <c r="A48" s="32" t="s">
        <v>177</v>
      </c>
      <c r="B48" s="33" t="s">
        <v>178</v>
      </c>
      <c r="C48" s="34" t="b">
        <v>1</v>
      </c>
    </row>
    <row r="49">
      <c r="A49" s="32" t="s">
        <v>294</v>
      </c>
      <c r="B49" s="33" t="s">
        <v>295</v>
      </c>
      <c r="C49" s="34" t="b">
        <v>1</v>
      </c>
      <c r="D49" s="5" t="s">
        <v>319</v>
      </c>
    </row>
    <row r="50">
      <c r="A50" s="32" t="s">
        <v>150</v>
      </c>
      <c r="B50" s="33" t="s">
        <v>151</v>
      </c>
      <c r="C50" s="34" t="b">
        <v>0</v>
      </c>
    </row>
    <row r="51">
      <c r="A51" s="32" t="s">
        <v>181</v>
      </c>
      <c r="B51" s="33" t="s">
        <v>182</v>
      </c>
      <c r="C51" s="34" t="b">
        <v>1</v>
      </c>
      <c r="D51" s="5" t="s">
        <v>320</v>
      </c>
    </row>
    <row r="52">
      <c r="A52" s="32" t="s">
        <v>304</v>
      </c>
      <c r="B52" s="33" t="s">
        <v>305</v>
      </c>
      <c r="C52" s="34" t="b">
        <v>1</v>
      </c>
    </row>
    <row r="53">
      <c r="A53" s="32" t="s">
        <v>283</v>
      </c>
      <c r="B53" s="33" t="s">
        <v>284</v>
      </c>
      <c r="C53" s="34" t="b">
        <v>0</v>
      </c>
      <c r="D53" s="5" t="s">
        <v>321</v>
      </c>
    </row>
    <row r="54">
      <c r="A54" s="32" t="s">
        <v>280</v>
      </c>
      <c r="B54" s="33" t="s">
        <v>281</v>
      </c>
      <c r="C54" s="34" t="b">
        <v>0</v>
      </c>
    </row>
    <row r="55">
      <c r="A55" s="32" t="s">
        <v>264</v>
      </c>
      <c r="B55" s="33" t="s">
        <v>265</v>
      </c>
      <c r="C55" s="34" t="b">
        <v>0</v>
      </c>
      <c r="D55" s="5" t="s">
        <v>322</v>
      </c>
    </row>
    <row r="56">
      <c r="A56" s="32" t="s">
        <v>158</v>
      </c>
      <c r="B56" s="33" t="s">
        <v>159</v>
      </c>
      <c r="C56" s="34" t="b">
        <v>1</v>
      </c>
    </row>
    <row r="57">
      <c r="A57" s="32" t="s">
        <v>118</v>
      </c>
      <c r="B57" s="33" t="s">
        <v>119</v>
      </c>
      <c r="C57" s="34" t="b">
        <v>0</v>
      </c>
    </row>
    <row r="58">
      <c r="A58" s="32" t="s">
        <v>236</v>
      </c>
      <c r="B58" s="33" t="s">
        <v>237</v>
      </c>
      <c r="C58" s="34" t="b">
        <v>1</v>
      </c>
    </row>
    <row r="59">
      <c r="A59" s="32" t="s">
        <v>214</v>
      </c>
      <c r="B59" s="33" t="s">
        <v>215</v>
      </c>
      <c r="C59" s="34" t="b">
        <v>1</v>
      </c>
    </row>
    <row r="60">
      <c r="A60" s="32" t="s">
        <v>298</v>
      </c>
      <c r="B60" s="33" t="s">
        <v>299</v>
      </c>
      <c r="C60" s="34" t="s">
        <v>14</v>
      </c>
      <c r="D60" s="5" t="s">
        <v>323</v>
      </c>
    </row>
    <row r="61">
      <c r="A61" s="32" t="s">
        <v>175</v>
      </c>
      <c r="B61" s="33" t="s">
        <v>176</v>
      </c>
      <c r="C61" s="34" t="b">
        <v>0</v>
      </c>
    </row>
    <row r="62">
      <c r="A62" s="32" t="s">
        <v>188</v>
      </c>
      <c r="B62" s="33" t="s">
        <v>189</v>
      </c>
      <c r="C62" s="34" t="b">
        <v>1</v>
      </c>
    </row>
    <row r="63">
      <c r="A63" s="32" t="s">
        <v>267</v>
      </c>
      <c r="B63" s="33" t="s">
        <v>268</v>
      </c>
      <c r="C63" s="34" t="b">
        <v>0</v>
      </c>
    </row>
    <row r="64">
      <c r="A64" s="32" t="s">
        <v>195</v>
      </c>
      <c r="B64" s="33" t="s">
        <v>196</v>
      </c>
      <c r="C64" s="34" t="b">
        <v>1</v>
      </c>
    </row>
    <row r="65">
      <c r="A65" s="32" t="s">
        <v>99</v>
      </c>
      <c r="B65" s="33" t="s">
        <v>100</v>
      </c>
      <c r="C65" s="34" t="b">
        <v>1</v>
      </c>
    </row>
    <row r="66">
      <c r="A66" s="32" t="s">
        <v>168</v>
      </c>
      <c r="B66" s="33" t="s">
        <v>169</v>
      </c>
      <c r="C66" s="34" t="b">
        <v>1</v>
      </c>
      <c r="D66" s="5" t="s">
        <v>324</v>
      </c>
    </row>
    <row r="67">
      <c r="A67" s="32" t="s">
        <v>204</v>
      </c>
      <c r="B67" s="33" t="s">
        <v>205</v>
      </c>
      <c r="C67" s="34" t="b">
        <v>1</v>
      </c>
    </row>
    <row r="68">
      <c r="A68" s="32" t="s">
        <v>254</v>
      </c>
      <c r="B68" s="33" t="s">
        <v>255</v>
      </c>
      <c r="C68" s="34" t="b">
        <v>1</v>
      </c>
    </row>
    <row r="69">
      <c r="A69" s="32" t="s">
        <v>144</v>
      </c>
      <c r="B69" s="33" t="s">
        <v>145</v>
      </c>
      <c r="C69" s="34" t="b">
        <v>0</v>
      </c>
      <c r="D69" s="5" t="s">
        <v>325</v>
      </c>
    </row>
    <row r="70">
      <c r="A70" s="32" t="s">
        <v>228</v>
      </c>
      <c r="B70" s="33" t="s">
        <v>229</v>
      </c>
      <c r="C70" s="34" t="b">
        <v>1</v>
      </c>
    </row>
    <row r="71">
      <c r="A71" s="32" t="s">
        <v>218</v>
      </c>
      <c r="B71" s="33" t="s">
        <v>219</v>
      </c>
      <c r="C71" s="34" t="b">
        <v>0</v>
      </c>
    </row>
    <row r="72">
      <c r="A72" s="32" t="s">
        <v>105</v>
      </c>
      <c r="B72" s="33" t="s">
        <v>106</v>
      </c>
      <c r="C72" s="34" t="b">
        <v>1</v>
      </c>
    </row>
    <row r="73">
      <c r="A73" s="32" t="s">
        <v>198</v>
      </c>
      <c r="B73" s="33" t="s">
        <v>199</v>
      </c>
      <c r="C73" s="34" t="b">
        <v>1</v>
      </c>
    </row>
    <row r="74">
      <c r="A74" s="32" t="s">
        <v>260</v>
      </c>
      <c r="B74" s="33" t="s">
        <v>261</v>
      </c>
      <c r="C74" s="34" t="b">
        <v>0</v>
      </c>
      <c r="D74" s="5" t="s">
        <v>318</v>
      </c>
    </row>
    <row r="75">
      <c r="A75" s="32" t="s">
        <v>302</v>
      </c>
      <c r="B75" s="33" t="s">
        <v>303</v>
      </c>
      <c r="C75" s="34" t="b">
        <v>0</v>
      </c>
    </row>
    <row r="76">
      <c r="A76" s="32" t="s">
        <v>244</v>
      </c>
      <c r="B76" s="33" t="s">
        <v>245</v>
      </c>
      <c r="C76" s="34" t="b">
        <v>0</v>
      </c>
    </row>
    <row r="77">
      <c r="A77" s="32" t="s">
        <v>202</v>
      </c>
      <c r="B77" s="33" t="s">
        <v>203</v>
      </c>
      <c r="C77" s="34" t="b">
        <v>1</v>
      </c>
    </row>
    <row r="78">
      <c r="A78" s="32" t="s">
        <v>140</v>
      </c>
      <c r="B78" s="33" t="s">
        <v>141</v>
      </c>
      <c r="C78" s="34" t="b">
        <v>1</v>
      </c>
      <c r="D78" s="5" t="s">
        <v>326</v>
      </c>
    </row>
    <row r="79">
      <c r="A79" s="32" t="s">
        <v>234</v>
      </c>
      <c r="B79" s="33" t="s">
        <v>235</v>
      </c>
      <c r="C79" s="34" t="b">
        <v>0</v>
      </c>
    </row>
    <row r="80">
      <c r="A80" s="32" t="s">
        <v>258</v>
      </c>
      <c r="B80" s="33" t="s">
        <v>259</v>
      </c>
      <c r="C80" s="34" t="b">
        <v>0</v>
      </c>
    </row>
    <row r="81">
      <c r="A81" s="32" t="s">
        <v>190</v>
      </c>
      <c r="B81" s="33" t="s">
        <v>191</v>
      </c>
      <c r="C81" s="34" t="b">
        <v>0</v>
      </c>
    </row>
    <row r="82">
      <c r="A82" s="32" t="s">
        <v>216</v>
      </c>
      <c r="B82" s="33" t="s">
        <v>217</v>
      </c>
      <c r="C82" s="34" t="b">
        <v>1</v>
      </c>
    </row>
    <row r="83">
      <c r="A83" s="32" t="s">
        <v>132</v>
      </c>
      <c r="B83" s="33" t="s">
        <v>133</v>
      </c>
      <c r="C83" s="34" t="b">
        <v>0</v>
      </c>
      <c r="D83" s="5" t="s">
        <v>327</v>
      </c>
    </row>
    <row r="84">
      <c r="A84" s="32" t="s">
        <v>192</v>
      </c>
      <c r="B84" s="33" t="s">
        <v>193</v>
      </c>
      <c r="C84" s="34" t="b">
        <v>1</v>
      </c>
      <c r="D84" s="5" t="s">
        <v>328</v>
      </c>
    </row>
    <row r="85">
      <c r="A85" s="32" t="s">
        <v>287</v>
      </c>
      <c r="B85" s="33" t="s">
        <v>288</v>
      </c>
      <c r="C85" s="34" t="b">
        <v>0</v>
      </c>
    </row>
    <row r="86">
      <c r="A86" s="32" t="s">
        <v>114</v>
      </c>
      <c r="B86" s="33" t="s">
        <v>115</v>
      </c>
      <c r="C86" s="34" t="b">
        <v>1</v>
      </c>
    </row>
    <row r="87">
      <c r="A87" s="32" t="s">
        <v>208</v>
      </c>
      <c r="B87" s="33" t="s">
        <v>209</v>
      </c>
      <c r="C87" s="34" t="b">
        <v>0</v>
      </c>
    </row>
    <row r="88">
      <c r="A88" s="32" t="s">
        <v>120</v>
      </c>
      <c r="B88" s="33" t="s">
        <v>121</v>
      </c>
      <c r="C88" s="34" t="b">
        <v>0</v>
      </c>
    </row>
    <row r="89">
      <c r="A89" s="32" t="s">
        <v>166</v>
      </c>
      <c r="B89" s="33" t="s">
        <v>167</v>
      </c>
      <c r="C89" s="34" t="b">
        <v>1</v>
      </c>
    </row>
    <row r="90">
      <c r="A90" s="32" t="s">
        <v>128</v>
      </c>
      <c r="B90" s="33" t="s">
        <v>129</v>
      </c>
      <c r="C90" s="34" t="b">
        <v>0</v>
      </c>
    </row>
    <row r="91">
      <c r="A91" s="32" t="s">
        <v>291</v>
      </c>
      <c r="B91" s="33" t="s">
        <v>292</v>
      </c>
      <c r="C91" s="34" t="b">
        <v>1</v>
      </c>
    </row>
    <row r="92">
      <c r="A92" s="32" t="s">
        <v>206</v>
      </c>
      <c r="B92" s="33" t="s">
        <v>207</v>
      </c>
      <c r="C92" s="34" t="b">
        <v>1</v>
      </c>
    </row>
    <row r="93">
      <c r="A93" s="32" t="s">
        <v>148</v>
      </c>
      <c r="B93" s="33" t="s">
        <v>149</v>
      </c>
      <c r="C93" s="34" t="b">
        <v>0</v>
      </c>
    </row>
    <row r="94">
      <c r="A94" s="32" t="s">
        <v>116</v>
      </c>
      <c r="B94" s="33" t="s">
        <v>117</v>
      </c>
      <c r="C94" s="34" t="b">
        <v>1</v>
      </c>
    </row>
    <row r="95">
      <c r="A95" s="32" t="s">
        <v>226</v>
      </c>
      <c r="B95" s="33" t="s">
        <v>227</v>
      </c>
      <c r="C95" s="34" t="b">
        <v>0</v>
      </c>
    </row>
    <row r="96">
      <c r="A96" s="32" t="s">
        <v>285</v>
      </c>
      <c r="B96" s="33" t="s">
        <v>286</v>
      </c>
      <c r="C96" s="34" t="b">
        <v>1</v>
      </c>
    </row>
    <row r="97">
      <c r="A97" s="32" t="s">
        <v>152</v>
      </c>
      <c r="B97" s="33" t="s">
        <v>153</v>
      </c>
      <c r="C97" s="34" t="b">
        <v>1</v>
      </c>
    </row>
    <row r="98">
      <c r="A98" s="32" t="s">
        <v>103</v>
      </c>
      <c r="B98" s="33" t="s">
        <v>104</v>
      </c>
      <c r="C98" s="34" t="b">
        <v>1</v>
      </c>
    </row>
    <row r="99">
      <c r="A99" s="32" t="s">
        <v>250</v>
      </c>
      <c r="B99" s="33" t="s">
        <v>251</v>
      </c>
      <c r="C99" s="34" t="b">
        <v>1</v>
      </c>
    </row>
    <row r="100">
      <c r="A100" s="32" t="s">
        <v>146</v>
      </c>
      <c r="B100" s="33" t="s">
        <v>147</v>
      </c>
      <c r="C100" s="34" t="b">
        <v>0</v>
      </c>
      <c r="D100" s="5" t="s">
        <v>329</v>
      </c>
    </row>
    <row r="101">
      <c r="A101" s="32" t="s">
        <v>262</v>
      </c>
      <c r="B101" s="33" t="s">
        <v>263</v>
      </c>
      <c r="C101" s="34" t="b">
        <v>1</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93</v>
      </c>
      <c r="B1" s="30" t="s">
        <v>94</v>
      </c>
      <c r="C1" s="31" t="s">
        <v>95</v>
      </c>
      <c r="D1" s="23" t="s">
        <v>96</v>
      </c>
    </row>
    <row r="2">
      <c r="A2" s="32" t="s">
        <v>148</v>
      </c>
      <c r="B2" s="33" t="s">
        <v>149</v>
      </c>
      <c r="C2" s="34" t="s">
        <v>306</v>
      </c>
    </row>
    <row r="3">
      <c r="A3" s="32" t="s">
        <v>256</v>
      </c>
      <c r="B3" s="33" t="s">
        <v>257</v>
      </c>
      <c r="C3" s="34" t="s">
        <v>306</v>
      </c>
    </row>
    <row r="4">
      <c r="A4" s="32" t="s">
        <v>262</v>
      </c>
      <c r="B4" s="33" t="s">
        <v>263</v>
      </c>
      <c r="C4" s="34" t="s">
        <v>306</v>
      </c>
    </row>
    <row r="5">
      <c r="A5" s="32" t="s">
        <v>254</v>
      </c>
      <c r="B5" s="33" t="s">
        <v>255</v>
      </c>
      <c r="C5" s="34" t="s">
        <v>306</v>
      </c>
    </row>
    <row r="6">
      <c r="A6" s="32" t="s">
        <v>138</v>
      </c>
      <c r="B6" s="33" t="s">
        <v>139</v>
      </c>
      <c r="C6" s="34" t="s">
        <v>306</v>
      </c>
    </row>
    <row r="7">
      <c r="A7" s="32" t="s">
        <v>296</v>
      </c>
      <c r="B7" s="33" t="s">
        <v>297</v>
      </c>
      <c r="C7" s="34" t="s">
        <v>306</v>
      </c>
    </row>
    <row r="8">
      <c r="A8" s="32" t="s">
        <v>144</v>
      </c>
      <c r="B8" s="33" t="s">
        <v>145</v>
      </c>
      <c r="C8" s="34" t="s">
        <v>306</v>
      </c>
    </row>
    <row r="9">
      <c r="A9" s="32" t="s">
        <v>140</v>
      </c>
      <c r="B9" s="33" t="s">
        <v>141</v>
      </c>
      <c r="C9" s="34" t="s">
        <v>306</v>
      </c>
    </row>
    <row r="10">
      <c r="A10" s="32" t="s">
        <v>112</v>
      </c>
      <c r="B10" s="33" t="s">
        <v>113</v>
      </c>
      <c r="C10" s="34" t="s">
        <v>306</v>
      </c>
    </row>
    <row r="11">
      <c r="A11" s="32" t="s">
        <v>260</v>
      </c>
      <c r="B11" s="33" t="s">
        <v>261</v>
      </c>
      <c r="C11" s="34" t="s">
        <v>306</v>
      </c>
    </row>
    <row r="12">
      <c r="A12" s="32" t="s">
        <v>101</v>
      </c>
      <c r="B12" s="33" t="s">
        <v>102</v>
      </c>
      <c r="C12" s="34" t="s">
        <v>306</v>
      </c>
    </row>
    <row r="13">
      <c r="A13" s="32" t="s">
        <v>285</v>
      </c>
      <c r="B13" s="33" t="s">
        <v>286</v>
      </c>
      <c r="C13" s="34" t="s">
        <v>306</v>
      </c>
    </row>
    <row r="14">
      <c r="A14" s="32" t="s">
        <v>103</v>
      </c>
      <c r="B14" s="33" t="s">
        <v>104</v>
      </c>
      <c r="C14" s="34" t="s">
        <v>306</v>
      </c>
    </row>
    <row r="15">
      <c r="A15" s="32" t="s">
        <v>202</v>
      </c>
      <c r="B15" s="33" t="s">
        <v>203</v>
      </c>
      <c r="C15" s="34" t="s">
        <v>306</v>
      </c>
    </row>
    <row r="16">
      <c r="A16" s="32" t="s">
        <v>156</v>
      </c>
      <c r="B16" s="33" t="s">
        <v>157</v>
      </c>
      <c r="C16" s="34" t="s">
        <v>306</v>
      </c>
    </row>
    <row r="17">
      <c r="A17" s="32" t="s">
        <v>300</v>
      </c>
      <c r="B17" s="33" t="s">
        <v>301</v>
      </c>
      <c r="C17" s="34" t="s">
        <v>306</v>
      </c>
    </row>
    <row r="18">
      <c r="A18" s="32" t="s">
        <v>200</v>
      </c>
      <c r="B18" s="33" t="s">
        <v>201</v>
      </c>
      <c r="C18" s="34" t="s">
        <v>306</v>
      </c>
    </row>
    <row r="19">
      <c r="A19" s="32" t="s">
        <v>190</v>
      </c>
      <c r="B19" s="33" t="s">
        <v>191</v>
      </c>
      <c r="C19" s="34" t="s">
        <v>306</v>
      </c>
    </row>
    <row r="20">
      <c r="A20" s="32" t="s">
        <v>158</v>
      </c>
      <c r="B20" s="33" t="s">
        <v>159</v>
      </c>
      <c r="C20" s="34" t="s">
        <v>306</v>
      </c>
    </row>
    <row r="21">
      <c r="A21" s="32" t="s">
        <v>107</v>
      </c>
      <c r="B21" s="33" t="s">
        <v>108</v>
      </c>
      <c r="C21" s="34" t="s">
        <v>306</v>
      </c>
    </row>
    <row r="22">
      <c r="A22" s="32" t="s">
        <v>294</v>
      </c>
      <c r="B22" s="33" t="s">
        <v>295</v>
      </c>
      <c r="C22" s="34" t="s">
        <v>306</v>
      </c>
    </row>
    <row r="23">
      <c r="A23" s="32" t="s">
        <v>246</v>
      </c>
      <c r="B23" s="33" t="s">
        <v>247</v>
      </c>
      <c r="C23" s="34" t="s">
        <v>306</v>
      </c>
    </row>
    <row r="24">
      <c r="A24" s="32" t="s">
        <v>240</v>
      </c>
      <c r="B24" s="33" t="s">
        <v>241</v>
      </c>
      <c r="C24" s="34" t="s">
        <v>306</v>
      </c>
    </row>
    <row r="25">
      <c r="A25" s="32" t="s">
        <v>264</v>
      </c>
      <c r="B25" s="33" t="s">
        <v>265</v>
      </c>
      <c r="C25" s="34" t="s">
        <v>306</v>
      </c>
    </row>
    <row r="26">
      <c r="A26" s="32" t="s">
        <v>230</v>
      </c>
      <c r="B26" s="33" t="s">
        <v>231</v>
      </c>
      <c r="C26" s="34" t="s">
        <v>306</v>
      </c>
    </row>
    <row r="27">
      <c r="A27" s="32" t="s">
        <v>162</v>
      </c>
      <c r="B27" s="33" t="s">
        <v>163</v>
      </c>
      <c r="C27" s="34" t="s">
        <v>306</v>
      </c>
    </row>
    <row r="28">
      <c r="A28" s="32" t="s">
        <v>195</v>
      </c>
      <c r="B28" s="33" t="s">
        <v>196</v>
      </c>
      <c r="C28" s="34" t="s">
        <v>306</v>
      </c>
    </row>
    <row r="29">
      <c r="A29" s="32" t="s">
        <v>274</v>
      </c>
      <c r="B29" s="33" t="s">
        <v>275</v>
      </c>
      <c r="C29" s="34" t="s">
        <v>306</v>
      </c>
    </row>
    <row r="30">
      <c r="A30" s="32" t="s">
        <v>206</v>
      </c>
      <c r="B30" s="33" t="s">
        <v>207</v>
      </c>
      <c r="C30" s="34" t="s">
        <v>306</v>
      </c>
    </row>
    <row r="31">
      <c r="A31" s="32" t="s">
        <v>302</v>
      </c>
      <c r="B31" s="33" t="s">
        <v>303</v>
      </c>
      <c r="C31" s="34" t="s">
        <v>306</v>
      </c>
    </row>
    <row r="32">
      <c r="A32" s="32" t="s">
        <v>236</v>
      </c>
      <c r="B32" s="33" t="s">
        <v>237</v>
      </c>
      <c r="C32" s="34" t="s">
        <v>306</v>
      </c>
    </row>
    <row r="33">
      <c r="A33" s="32" t="s">
        <v>280</v>
      </c>
      <c r="B33" s="33" t="s">
        <v>281</v>
      </c>
      <c r="C33" s="34" t="s">
        <v>306</v>
      </c>
    </row>
    <row r="34">
      <c r="A34" s="32" t="s">
        <v>175</v>
      </c>
      <c r="B34" s="33" t="s">
        <v>176</v>
      </c>
      <c r="C34" s="34" t="s">
        <v>306</v>
      </c>
    </row>
    <row r="35">
      <c r="A35" s="32" t="s">
        <v>214</v>
      </c>
      <c r="B35" s="33" t="s">
        <v>215</v>
      </c>
      <c r="C35" s="34" t="s">
        <v>306</v>
      </c>
    </row>
    <row r="36">
      <c r="A36" s="32" t="s">
        <v>244</v>
      </c>
      <c r="B36" s="33" t="s">
        <v>245</v>
      </c>
      <c r="C36" s="34" t="s">
        <v>306</v>
      </c>
    </row>
    <row r="37">
      <c r="A37" s="32" t="s">
        <v>132</v>
      </c>
      <c r="B37" s="33" t="s">
        <v>133</v>
      </c>
      <c r="C37" s="34" t="s">
        <v>306</v>
      </c>
    </row>
    <row r="38">
      <c r="A38" s="32" t="s">
        <v>152</v>
      </c>
      <c r="B38" s="33" t="s">
        <v>153</v>
      </c>
      <c r="C38" s="34" t="s">
        <v>306</v>
      </c>
    </row>
    <row r="39">
      <c r="A39" s="32" t="s">
        <v>110</v>
      </c>
      <c r="B39" s="33" t="s">
        <v>111</v>
      </c>
      <c r="C39" s="34" t="s">
        <v>306</v>
      </c>
    </row>
    <row r="40">
      <c r="A40" s="32" t="s">
        <v>99</v>
      </c>
      <c r="B40" s="33" t="s">
        <v>100</v>
      </c>
      <c r="C40" s="34" t="s">
        <v>306</v>
      </c>
    </row>
    <row r="41">
      <c r="A41" s="32" t="s">
        <v>248</v>
      </c>
      <c r="B41" s="33" t="s">
        <v>249</v>
      </c>
      <c r="C41" s="34" t="s">
        <v>306</v>
      </c>
    </row>
    <row r="42">
      <c r="A42" s="32" t="s">
        <v>267</v>
      </c>
      <c r="B42" s="33" t="s">
        <v>268</v>
      </c>
      <c r="C42" s="34" t="s">
        <v>306</v>
      </c>
    </row>
    <row r="43">
      <c r="A43" s="32" t="s">
        <v>250</v>
      </c>
      <c r="B43" s="33" t="s">
        <v>251</v>
      </c>
      <c r="C43" s="34" t="s">
        <v>306</v>
      </c>
    </row>
    <row r="44">
      <c r="A44" s="32" t="s">
        <v>146</v>
      </c>
      <c r="B44" s="33" t="s">
        <v>147</v>
      </c>
      <c r="C44" s="34" t="s">
        <v>306</v>
      </c>
    </row>
    <row r="45">
      <c r="A45" s="32" t="s">
        <v>124</v>
      </c>
      <c r="B45" s="33" t="s">
        <v>125</v>
      </c>
      <c r="C45" s="34" t="s">
        <v>306</v>
      </c>
    </row>
    <row r="46">
      <c r="A46" s="32" t="s">
        <v>136</v>
      </c>
      <c r="B46" s="33" t="s">
        <v>137</v>
      </c>
      <c r="C46" s="34" t="s">
        <v>306</v>
      </c>
    </row>
    <row r="47">
      <c r="A47" s="32" t="s">
        <v>232</v>
      </c>
      <c r="B47" s="33" t="s">
        <v>233</v>
      </c>
      <c r="C47" s="34" t="s">
        <v>306</v>
      </c>
    </row>
    <row r="48">
      <c r="A48" s="32" t="s">
        <v>198</v>
      </c>
      <c r="B48" s="33" t="s">
        <v>199</v>
      </c>
      <c r="C48" s="34" t="s">
        <v>306</v>
      </c>
    </row>
    <row r="49">
      <c r="A49" s="32" t="s">
        <v>150</v>
      </c>
      <c r="B49" s="33" t="s">
        <v>151</v>
      </c>
      <c r="C49" s="34" t="s">
        <v>306</v>
      </c>
    </row>
    <row r="50">
      <c r="A50" s="32" t="s">
        <v>212</v>
      </c>
      <c r="B50" s="33" t="s">
        <v>213</v>
      </c>
      <c r="C50" s="34" t="s">
        <v>306</v>
      </c>
    </row>
    <row r="51">
      <c r="A51" s="32" t="s">
        <v>122</v>
      </c>
      <c r="B51" s="33" t="s">
        <v>123</v>
      </c>
      <c r="C51" s="34" t="s">
        <v>306</v>
      </c>
    </row>
    <row r="52">
      <c r="A52" s="32" t="s">
        <v>181</v>
      </c>
      <c r="B52" s="33" t="s">
        <v>182</v>
      </c>
      <c r="C52" s="34" t="s">
        <v>306</v>
      </c>
    </row>
    <row r="53">
      <c r="A53" s="32" t="s">
        <v>105</v>
      </c>
      <c r="B53" s="33" t="s">
        <v>106</v>
      </c>
      <c r="C53" s="34" t="s">
        <v>306</v>
      </c>
    </row>
    <row r="54">
      <c r="A54" s="32" t="s">
        <v>192</v>
      </c>
      <c r="B54" s="33" t="s">
        <v>193</v>
      </c>
      <c r="C54" s="34" t="s">
        <v>306</v>
      </c>
    </row>
    <row r="55">
      <c r="A55" s="32" t="s">
        <v>210</v>
      </c>
      <c r="B55" s="33" t="s">
        <v>211</v>
      </c>
      <c r="C55" s="34" t="s">
        <v>306</v>
      </c>
    </row>
    <row r="56">
      <c r="A56" s="32" t="s">
        <v>166</v>
      </c>
      <c r="B56" s="33" t="s">
        <v>167</v>
      </c>
      <c r="C56" s="34" t="s">
        <v>306</v>
      </c>
    </row>
    <row r="57">
      <c r="A57" s="32" t="s">
        <v>298</v>
      </c>
      <c r="B57" s="33" t="s">
        <v>299</v>
      </c>
      <c r="C57" s="34" t="s">
        <v>306</v>
      </c>
    </row>
    <row r="58">
      <c r="A58" s="32" t="s">
        <v>220</v>
      </c>
      <c r="B58" s="33" t="s">
        <v>221</v>
      </c>
      <c r="C58" s="34" t="s">
        <v>306</v>
      </c>
    </row>
    <row r="59">
      <c r="A59" s="32" t="s">
        <v>291</v>
      </c>
      <c r="B59" s="33" t="s">
        <v>292</v>
      </c>
      <c r="C59" s="34" t="s">
        <v>306</v>
      </c>
    </row>
    <row r="60">
      <c r="A60" s="32" t="s">
        <v>97</v>
      </c>
      <c r="B60" s="33" t="s">
        <v>98</v>
      </c>
      <c r="C60" s="34" t="s">
        <v>306</v>
      </c>
    </row>
    <row r="61">
      <c r="A61" s="32" t="s">
        <v>242</v>
      </c>
      <c r="B61" s="33" t="s">
        <v>243</v>
      </c>
      <c r="C61" s="34" t="s">
        <v>306</v>
      </c>
    </row>
    <row r="62">
      <c r="A62" s="32" t="s">
        <v>128</v>
      </c>
      <c r="B62" s="33" t="s">
        <v>129</v>
      </c>
      <c r="C62" s="34" t="s">
        <v>306</v>
      </c>
    </row>
    <row r="63">
      <c r="A63" s="32" t="s">
        <v>252</v>
      </c>
      <c r="B63" s="33" t="s">
        <v>253</v>
      </c>
      <c r="C63" s="34" t="s">
        <v>306</v>
      </c>
    </row>
    <row r="64">
      <c r="A64" s="32" t="s">
        <v>258</v>
      </c>
      <c r="B64" s="33" t="s">
        <v>259</v>
      </c>
      <c r="C64" s="34" t="s">
        <v>306</v>
      </c>
    </row>
    <row r="65">
      <c r="A65" s="32" t="s">
        <v>218</v>
      </c>
      <c r="B65" s="33" t="s">
        <v>219</v>
      </c>
      <c r="C65" s="34" t="s">
        <v>306</v>
      </c>
    </row>
    <row r="66">
      <c r="A66" s="32" t="s">
        <v>276</v>
      </c>
      <c r="B66" s="33" t="s">
        <v>277</v>
      </c>
      <c r="C66" s="34" t="s">
        <v>306</v>
      </c>
    </row>
    <row r="67">
      <c r="A67" s="32" t="s">
        <v>134</v>
      </c>
      <c r="B67" s="33" t="s">
        <v>135</v>
      </c>
      <c r="C67" s="34" t="s">
        <v>306</v>
      </c>
    </row>
    <row r="68">
      <c r="A68" s="32" t="s">
        <v>188</v>
      </c>
      <c r="B68" s="33" t="s">
        <v>189</v>
      </c>
      <c r="C68" s="34" t="s">
        <v>306</v>
      </c>
    </row>
    <row r="69">
      <c r="A69" s="32" t="s">
        <v>287</v>
      </c>
      <c r="B69" s="33" t="s">
        <v>288</v>
      </c>
      <c r="C69" s="34" t="s">
        <v>306</v>
      </c>
    </row>
    <row r="70">
      <c r="A70" s="32" t="s">
        <v>269</v>
      </c>
      <c r="B70" s="33" t="s">
        <v>270</v>
      </c>
      <c r="C70" s="34" t="s">
        <v>306</v>
      </c>
    </row>
    <row r="71">
      <c r="A71" s="32" t="s">
        <v>120</v>
      </c>
      <c r="B71" s="33" t="s">
        <v>121</v>
      </c>
      <c r="C71" s="34" t="s">
        <v>306</v>
      </c>
    </row>
    <row r="72">
      <c r="A72" s="32" t="s">
        <v>177</v>
      </c>
      <c r="B72" s="33" t="s">
        <v>178</v>
      </c>
      <c r="C72" s="34" t="s">
        <v>306</v>
      </c>
    </row>
    <row r="73">
      <c r="A73" s="32" t="s">
        <v>164</v>
      </c>
      <c r="B73" s="33" t="s">
        <v>165</v>
      </c>
      <c r="C73" s="34" t="s">
        <v>306</v>
      </c>
    </row>
    <row r="74">
      <c r="A74" s="32" t="s">
        <v>173</v>
      </c>
      <c r="B74" s="33" t="s">
        <v>174</v>
      </c>
      <c r="C74" s="34" t="s">
        <v>306</v>
      </c>
    </row>
    <row r="75">
      <c r="A75" s="32" t="s">
        <v>216</v>
      </c>
      <c r="B75" s="33" t="s">
        <v>217</v>
      </c>
      <c r="C75" s="34" t="s">
        <v>306</v>
      </c>
    </row>
    <row r="76">
      <c r="A76" s="32" t="s">
        <v>168</v>
      </c>
      <c r="B76" s="33" t="s">
        <v>169</v>
      </c>
      <c r="C76" s="34" t="s">
        <v>306</v>
      </c>
    </row>
    <row r="77">
      <c r="A77" s="32" t="s">
        <v>116</v>
      </c>
      <c r="B77" s="33" t="s">
        <v>117</v>
      </c>
      <c r="C77" s="34" t="s">
        <v>306</v>
      </c>
    </row>
    <row r="78">
      <c r="A78" s="32" t="s">
        <v>208</v>
      </c>
      <c r="B78" s="33" t="s">
        <v>209</v>
      </c>
      <c r="C78" s="34" t="s">
        <v>306</v>
      </c>
    </row>
    <row r="79">
      <c r="A79" s="32" t="s">
        <v>154</v>
      </c>
      <c r="B79" s="33" t="s">
        <v>155</v>
      </c>
      <c r="C79" s="34" t="s">
        <v>306</v>
      </c>
    </row>
    <row r="80">
      <c r="A80" s="32" t="s">
        <v>224</v>
      </c>
      <c r="B80" s="33" t="s">
        <v>225</v>
      </c>
      <c r="C80" s="34" t="s">
        <v>306</v>
      </c>
    </row>
    <row r="81">
      <c r="A81" s="32" t="s">
        <v>278</v>
      </c>
      <c r="B81" s="33" t="s">
        <v>279</v>
      </c>
      <c r="C81" s="34" t="s">
        <v>306</v>
      </c>
    </row>
    <row r="82">
      <c r="A82" s="32" t="s">
        <v>304</v>
      </c>
      <c r="B82" s="33" t="s">
        <v>305</v>
      </c>
      <c r="C82" s="34" t="s">
        <v>306</v>
      </c>
    </row>
    <row r="83">
      <c r="A83" s="32" t="s">
        <v>118</v>
      </c>
      <c r="B83" s="33" t="s">
        <v>119</v>
      </c>
      <c r="C83" s="34" t="s">
        <v>306</v>
      </c>
    </row>
    <row r="84">
      <c r="A84" s="32" t="s">
        <v>238</v>
      </c>
      <c r="B84" s="33" t="s">
        <v>239</v>
      </c>
      <c r="C84" s="34" t="s">
        <v>306</v>
      </c>
    </row>
    <row r="85">
      <c r="A85" s="32" t="s">
        <v>183</v>
      </c>
      <c r="B85" s="33" t="s">
        <v>184</v>
      </c>
      <c r="C85" s="34" t="s">
        <v>306</v>
      </c>
    </row>
    <row r="86">
      <c r="A86" s="32" t="s">
        <v>234</v>
      </c>
      <c r="B86" s="33" t="s">
        <v>235</v>
      </c>
      <c r="C86" s="34" t="s">
        <v>306</v>
      </c>
    </row>
    <row r="87">
      <c r="A87" s="32" t="s">
        <v>160</v>
      </c>
      <c r="B87" s="33" t="s">
        <v>161</v>
      </c>
      <c r="C87" s="34" t="s">
        <v>306</v>
      </c>
    </row>
    <row r="88">
      <c r="A88" s="32" t="s">
        <v>271</v>
      </c>
      <c r="B88" s="33" t="s">
        <v>272</v>
      </c>
      <c r="C88" s="34" t="s">
        <v>306</v>
      </c>
    </row>
    <row r="89">
      <c r="A89" s="32" t="s">
        <v>204</v>
      </c>
      <c r="B89" s="33" t="s">
        <v>205</v>
      </c>
      <c r="C89" s="34" t="s">
        <v>306</v>
      </c>
    </row>
    <row r="90">
      <c r="A90" s="32" t="s">
        <v>114</v>
      </c>
      <c r="B90" s="33" t="s">
        <v>115</v>
      </c>
      <c r="C90" s="34" t="s">
        <v>306</v>
      </c>
    </row>
    <row r="91">
      <c r="A91" s="32" t="s">
        <v>228</v>
      </c>
      <c r="B91" s="33" t="s">
        <v>229</v>
      </c>
      <c r="C91" s="34" t="s">
        <v>306</v>
      </c>
    </row>
    <row r="92">
      <c r="A92" s="32" t="s">
        <v>222</v>
      </c>
      <c r="B92" s="33" t="s">
        <v>223</v>
      </c>
      <c r="C92" s="34" t="s">
        <v>306</v>
      </c>
    </row>
    <row r="93">
      <c r="A93" s="32" t="s">
        <v>289</v>
      </c>
      <c r="B93" s="33" t="s">
        <v>290</v>
      </c>
      <c r="C93" s="34" t="s">
        <v>306</v>
      </c>
    </row>
    <row r="94">
      <c r="A94" s="32" t="s">
        <v>186</v>
      </c>
      <c r="B94" s="33" t="s">
        <v>187</v>
      </c>
      <c r="C94" s="34" t="s">
        <v>306</v>
      </c>
    </row>
    <row r="95">
      <c r="A95" s="32" t="s">
        <v>130</v>
      </c>
      <c r="B95" s="33" t="s">
        <v>131</v>
      </c>
      <c r="C95" s="34" t="s">
        <v>306</v>
      </c>
    </row>
    <row r="96">
      <c r="A96" s="32" t="s">
        <v>179</v>
      </c>
      <c r="B96" s="33" t="s">
        <v>180</v>
      </c>
      <c r="C96" s="34" t="s">
        <v>306</v>
      </c>
    </row>
    <row r="97">
      <c r="A97" s="32" t="s">
        <v>226</v>
      </c>
      <c r="B97" s="33" t="s">
        <v>227</v>
      </c>
      <c r="C97" s="34" t="s">
        <v>306</v>
      </c>
    </row>
    <row r="98">
      <c r="A98" s="32" t="s">
        <v>126</v>
      </c>
      <c r="B98" s="33" t="s">
        <v>127</v>
      </c>
      <c r="C98" s="34" t="s">
        <v>306</v>
      </c>
    </row>
    <row r="99">
      <c r="A99" s="32" t="s">
        <v>283</v>
      </c>
      <c r="B99" s="33" t="s">
        <v>284</v>
      </c>
      <c r="C99" s="34" t="s">
        <v>306</v>
      </c>
    </row>
    <row r="100">
      <c r="A100" s="32" t="s">
        <v>142</v>
      </c>
      <c r="B100" s="33" t="s">
        <v>143</v>
      </c>
      <c r="C100" s="34" t="s">
        <v>306</v>
      </c>
    </row>
    <row r="101">
      <c r="A101" s="32" t="s">
        <v>171</v>
      </c>
      <c r="B101" s="33" t="s">
        <v>172</v>
      </c>
      <c r="C101" s="34" t="s">
        <v>306</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9.0"/>
    <col customWidth="1" min="3" max="4" width="19.75"/>
  </cols>
  <sheetData>
    <row r="1">
      <c r="A1" s="29" t="s">
        <v>93</v>
      </c>
      <c r="B1" s="30" t="s">
        <v>94</v>
      </c>
      <c r="C1" s="31" t="s">
        <v>95</v>
      </c>
      <c r="D1" s="23" t="s">
        <v>96</v>
      </c>
    </row>
    <row r="2">
      <c r="A2" s="32" t="s">
        <v>258</v>
      </c>
      <c r="B2" s="33" t="s">
        <v>259</v>
      </c>
      <c r="C2" s="34" t="b">
        <v>0</v>
      </c>
    </row>
    <row r="3">
      <c r="A3" s="32" t="s">
        <v>171</v>
      </c>
      <c r="B3" s="33" t="s">
        <v>172</v>
      </c>
      <c r="C3" s="34" t="b">
        <v>0</v>
      </c>
    </row>
    <row r="4">
      <c r="A4" s="32" t="s">
        <v>283</v>
      </c>
      <c r="B4" s="33" t="s">
        <v>284</v>
      </c>
      <c r="C4" s="34" t="b">
        <v>0</v>
      </c>
    </row>
    <row r="5">
      <c r="A5" s="32" t="s">
        <v>220</v>
      </c>
      <c r="B5" s="33" t="s">
        <v>221</v>
      </c>
      <c r="C5" s="34" t="b">
        <v>0</v>
      </c>
    </row>
    <row r="6">
      <c r="A6" s="32" t="s">
        <v>186</v>
      </c>
      <c r="B6" s="33" t="s">
        <v>187</v>
      </c>
      <c r="C6" s="34" t="b">
        <v>1</v>
      </c>
    </row>
    <row r="7">
      <c r="A7" s="32" t="s">
        <v>126</v>
      </c>
      <c r="B7" s="33" t="s">
        <v>127</v>
      </c>
      <c r="C7" s="34" t="b">
        <v>1</v>
      </c>
    </row>
    <row r="8">
      <c r="A8" s="32" t="s">
        <v>224</v>
      </c>
      <c r="B8" s="33" t="s">
        <v>225</v>
      </c>
      <c r="C8" s="34" t="b">
        <v>0</v>
      </c>
    </row>
    <row r="9">
      <c r="A9" s="32" t="s">
        <v>190</v>
      </c>
      <c r="B9" s="33" t="s">
        <v>191</v>
      </c>
      <c r="C9" s="34" t="b">
        <v>0</v>
      </c>
    </row>
    <row r="10">
      <c r="A10" s="32" t="s">
        <v>212</v>
      </c>
      <c r="B10" s="33" t="s">
        <v>213</v>
      </c>
      <c r="C10" s="34" t="b">
        <v>0</v>
      </c>
    </row>
    <row r="11">
      <c r="A11" s="32" t="s">
        <v>294</v>
      </c>
      <c r="B11" s="33" t="s">
        <v>295</v>
      </c>
      <c r="C11" s="34" t="b">
        <v>1</v>
      </c>
    </row>
    <row r="12">
      <c r="A12" s="32" t="s">
        <v>238</v>
      </c>
      <c r="B12" s="33" t="s">
        <v>239</v>
      </c>
      <c r="C12" s="34" t="b">
        <v>0</v>
      </c>
    </row>
    <row r="13">
      <c r="A13" s="32" t="s">
        <v>105</v>
      </c>
      <c r="B13" s="33" t="s">
        <v>106</v>
      </c>
      <c r="C13" s="34" t="b">
        <v>1</v>
      </c>
    </row>
    <row r="14">
      <c r="A14" s="32" t="s">
        <v>287</v>
      </c>
      <c r="B14" s="33" t="s">
        <v>288</v>
      </c>
      <c r="C14" s="34" t="b">
        <v>0</v>
      </c>
    </row>
    <row r="15">
      <c r="A15" s="32" t="s">
        <v>198</v>
      </c>
      <c r="B15" s="33" t="s">
        <v>199</v>
      </c>
      <c r="C15" s="34" t="b">
        <v>1</v>
      </c>
    </row>
    <row r="16">
      <c r="A16" s="32" t="s">
        <v>264</v>
      </c>
      <c r="B16" s="33" t="s">
        <v>265</v>
      </c>
      <c r="C16" s="34" t="b">
        <v>1</v>
      </c>
    </row>
    <row r="17">
      <c r="A17" s="32" t="s">
        <v>202</v>
      </c>
      <c r="B17" s="33" t="s">
        <v>203</v>
      </c>
      <c r="C17" s="34" t="b">
        <v>1</v>
      </c>
    </row>
    <row r="18">
      <c r="A18" s="32" t="s">
        <v>101</v>
      </c>
      <c r="B18" s="35" t="s">
        <v>102</v>
      </c>
      <c r="C18" s="34" t="b">
        <v>1</v>
      </c>
    </row>
    <row r="19">
      <c r="A19" s="32" t="s">
        <v>181</v>
      </c>
      <c r="B19" s="33" t="s">
        <v>182</v>
      </c>
      <c r="C19" s="34" t="b">
        <v>1</v>
      </c>
    </row>
    <row r="20">
      <c r="A20" s="32" t="s">
        <v>142</v>
      </c>
      <c r="B20" s="33" t="s">
        <v>143</v>
      </c>
      <c r="C20" s="34" t="b">
        <v>1</v>
      </c>
    </row>
    <row r="21">
      <c r="A21" s="32" t="s">
        <v>200</v>
      </c>
      <c r="B21" s="33" t="s">
        <v>201</v>
      </c>
      <c r="C21" s="34" t="b">
        <v>1</v>
      </c>
    </row>
    <row r="22">
      <c r="A22" s="32" t="s">
        <v>136</v>
      </c>
      <c r="B22" s="33" t="s">
        <v>137</v>
      </c>
      <c r="C22" s="34" t="b">
        <v>1</v>
      </c>
    </row>
    <row r="23">
      <c r="A23" s="32" t="s">
        <v>164</v>
      </c>
      <c r="B23" s="33" t="s">
        <v>165</v>
      </c>
      <c r="C23" s="34" t="b">
        <v>1</v>
      </c>
    </row>
    <row r="24">
      <c r="A24" s="32" t="s">
        <v>226</v>
      </c>
      <c r="B24" s="33" t="s">
        <v>227</v>
      </c>
      <c r="C24" s="34" t="b">
        <v>0</v>
      </c>
    </row>
    <row r="25">
      <c r="A25" s="32" t="s">
        <v>244</v>
      </c>
      <c r="B25" s="33" t="s">
        <v>245</v>
      </c>
      <c r="C25" s="34" t="b">
        <v>1</v>
      </c>
    </row>
    <row r="26">
      <c r="A26" s="32" t="s">
        <v>183</v>
      </c>
      <c r="B26" s="33" t="s">
        <v>184</v>
      </c>
      <c r="C26" s="34" t="b">
        <v>0</v>
      </c>
    </row>
    <row r="27">
      <c r="A27" s="32" t="s">
        <v>242</v>
      </c>
      <c r="B27" s="33" t="s">
        <v>243</v>
      </c>
      <c r="C27" s="34" t="b">
        <v>1</v>
      </c>
    </row>
    <row r="28">
      <c r="A28" s="32" t="s">
        <v>112</v>
      </c>
      <c r="B28" s="35" t="s">
        <v>113</v>
      </c>
      <c r="C28" s="34" t="b">
        <v>1</v>
      </c>
    </row>
    <row r="29">
      <c r="A29" s="32" t="s">
        <v>302</v>
      </c>
      <c r="B29" s="33" t="s">
        <v>303</v>
      </c>
      <c r="C29" s="34" t="b">
        <v>0</v>
      </c>
    </row>
    <row r="30">
      <c r="A30" s="32" t="s">
        <v>162</v>
      </c>
      <c r="B30" s="33" t="s">
        <v>163</v>
      </c>
      <c r="C30" s="34" t="b">
        <v>0</v>
      </c>
    </row>
    <row r="31">
      <c r="A31" s="32" t="s">
        <v>114</v>
      </c>
      <c r="B31" s="33" t="s">
        <v>115</v>
      </c>
      <c r="C31" s="34" t="b">
        <v>1</v>
      </c>
    </row>
    <row r="32">
      <c r="A32" s="32" t="s">
        <v>120</v>
      </c>
      <c r="B32" s="33" t="s">
        <v>121</v>
      </c>
      <c r="C32" s="34" t="b">
        <v>0</v>
      </c>
    </row>
    <row r="33">
      <c r="A33" s="32" t="s">
        <v>140</v>
      </c>
      <c r="B33" s="33" t="s">
        <v>141</v>
      </c>
      <c r="C33" s="34" t="b">
        <v>0</v>
      </c>
    </row>
    <row r="34">
      <c r="A34" s="32" t="s">
        <v>280</v>
      </c>
      <c r="B34" s="33" t="s">
        <v>281</v>
      </c>
      <c r="C34" s="34" t="b">
        <v>0</v>
      </c>
    </row>
    <row r="35">
      <c r="A35" s="32" t="s">
        <v>206</v>
      </c>
      <c r="B35" s="33" t="s">
        <v>207</v>
      </c>
      <c r="C35" s="34" t="b">
        <v>1</v>
      </c>
    </row>
    <row r="36">
      <c r="A36" s="32" t="s">
        <v>173</v>
      </c>
      <c r="B36" s="33" t="s">
        <v>174</v>
      </c>
      <c r="C36" s="34" t="b">
        <v>0</v>
      </c>
    </row>
    <row r="37">
      <c r="A37" s="32" t="s">
        <v>152</v>
      </c>
      <c r="B37" s="33" t="s">
        <v>153</v>
      </c>
      <c r="C37" s="34" t="b">
        <v>1</v>
      </c>
    </row>
    <row r="38">
      <c r="A38" s="32" t="s">
        <v>214</v>
      </c>
      <c r="B38" s="33" t="s">
        <v>215</v>
      </c>
      <c r="C38" s="34" t="b">
        <v>1</v>
      </c>
    </row>
    <row r="39">
      <c r="A39" s="32" t="s">
        <v>234</v>
      </c>
      <c r="B39" s="33" t="s">
        <v>235</v>
      </c>
      <c r="C39" s="34" t="b">
        <v>0</v>
      </c>
    </row>
    <row r="40">
      <c r="A40" s="32" t="s">
        <v>278</v>
      </c>
      <c r="B40" s="33" t="s">
        <v>279</v>
      </c>
      <c r="C40" s="34" t="b">
        <v>1</v>
      </c>
    </row>
    <row r="41">
      <c r="A41" s="32" t="s">
        <v>216</v>
      </c>
      <c r="B41" s="36" t="s">
        <v>217</v>
      </c>
      <c r="C41" s="34" t="b">
        <v>1</v>
      </c>
    </row>
    <row r="42">
      <c r="A42" s="32" t="s">
        <v>116</v>
      </c>
      <c r="B42" s="33" t="s">
        <v>117</v>
      </c>
      <c r="C42" s="34" t="b">
        <v>1</v>
      </c>
    </row>
    <row r="43">
      <c r="A43" s="32" t="s">
        <v>128</v>
      </c>
      <c r="B43" s="33" t="s">
        <v>129</v>
      </c>
      <c r="C43" s="34" t="b">
        <v>0</v>
      </c>
    </row>
    <row r="44">
      <c r="A44" s="32" t="s">
        <v>222</v>
      </c>
      <c r="B44" s="33" t="s">
        <v>223</v>
      </c>
      <c r="C44" s="34" t="b">
        <v>0</v>
      </c>
    </row>
    <row r="45">
      <c r="A45" s="32" t="s">
        <v>285</v>
      </c>
      <c r="B45" s="33" t="s">
        <v>286</v>
      </c>
      <c r="C45" s="34" t="b">
        <v>1</v>
      </c>
    </row>
    <row r="46">
      <c r="A46" s="32" t="s">
        <v>298</v>
      </c>
      <c r="B46" s="33" t="s">
        <v>299</v>
      </c>
      <c r="C46" s="34" t="b">
        <v>0</v>
      </c>
    </row>
    <row r="47">
      <c r="A47" s="32" t="s">
        <v>267</v>
      </c>
      <c r="B47" s="33" t="s">
        <v>268</v>
      </c>
      <c r="C47" s="34" t="b">
        <v>0</v>
      </c>
    </row>
    <row r="48">
      <c r="A48" s="32" t="s">
        <v>274</v>
      </c>
      <c r="B48" s="33" t="s">
        <v>275</v>
      </c>
      <c r="C48" s="34" t="b">
        <v>0</v>
      </c>
    </row>
    <row r="49">
      <c r="A49" s="32" t="s">
        <v>132</v>
      </c>
      <c r="B49" s="33" t="s">
        <v>133</v>
      </c>
      <c r="C49" s="34" t="b">
        <v>0</v>
      </c>
    </row>
    <row r="50">
      <c r="A50" s="32" t="s">
        <v>175</v>
      </c>
      <c r="B50" s="33" t="s">
        <v>176</v>
      </c>
      <c r="C50" s="34" t="b">
        <v>0</v>
      </c>
    </row>
    <row r="51">
      <c r="A51" s="32" t="s">
        <v>154</v>
      </c>
      <c r="B51" s="33" t="s">
        <v>155</v>
      </c>
      <c r="C51" s="34" t="b">
        <v>1</v>
      </c>
    </row>
    <row r="52">
      <c r="A52" s="32" t="s">
        <v>246</v>
      </c>
      <c r="B52" s="33" t="s">
        <v>247</v>
      </c>
      <c r="C52" s="34" t="b">
        <v>0</v>
      </c>
    </row>
    <row r="53">
      <c r="A53" s="32" t="s">
        <v>99</v>
      </c>
      <c r="B53" s="33" t="s">
        <v>100</v>
      </c>
      <c r="C53" s="34" t="b">
        <v>1</v>
      </c>
    </row>
    <row r="54">
      <c r="A54" s="32" t="s">
        <v>103</v>
      </c>
      <c r="B54" s="33" t="s">
        <v>104</v>
      </c>
      <c r="C54" s="34" t="b">
        <v>1</v>
      </c>
    </row>
    <row r="55">
      <c r="A55" s="32" t="s">
        <v>166</v>
      </c>
      <c r="B55" s="33" t="s">
        <v>167</v>
      </c>
      <c r="C55" s="34" t="b">
        <v>1</v>
      </c>
    </row>
    <row r="56">
      <c r="A56" s="32" t="s">
        <v>276</v>
      </c>
      <c r="B56" s="33" t="s">
        <v>277</v>
      </c>
      <c r="C56" s="34" t="b">
        <v>1</v>
      </c>
    </row>
    <row r="57">
      <c r="A57" s="32" t="s">
        <v>300</v>
      </c>
      <c r="B57" s="33" t="s">
        <v>301</v>
      </c>
      <c r="C57" s="34" t="b">
        <v>1</v>
      </c>
    </row>
    <row r="58">
      <c r="A58" s="32" t="s">
        <v>122</v>
      </c>
      <c r="B58" s="33" t="s">
        <v>123</v>
      </c>
      <c r="C58" s="34" t="b">
        <v>0</v>
      </c>
    </row>
    <row r="59">
      <c r="A59" s="32" t="s">
        <v>289</v>
      </c>
      <c r="B59" s="33" t="s">
        <v>290</v>
      </c>
      <c r="C59" s="34" t="b">
        <v>1</v>
      </c>
    </row>
    <row r="60">
      <c r="A60" s="32" t="s">
        <v>232</v>
      </c>
      <c r="B60" s="33" t="s">
        <v>233</v>
      </c>
      <c r="C60" s="34" t="b">
        <v>1</v>
      </c>
    </row>
    <row r="61">
      <c r="A61" s="32" t="s">
        <v>148</v>
      </c>
      <c r="B61" s="33" t="s">
        <v>149</v>
      </c>
      <c r="C61" s="34" t="b">
        <v>0</v>
      </c>
    </row>
    <row r="62">
      <c r="A62" s="32" t="s">
        <v>252</v>
      </c>
      <c r="B62" s="33" t="s">
        <v>253</v>
      </c>
      <c r="C62" s="34" t="b">
        <v>1</v>
      </c>
    </row>
    <row r="63">
      <c r="A63" s="32" t="s">
        <v>204</v>
      </c>
      <c r="B63" s="33" t="s">
        <v>205</v>
      </c>
      <c r="C63" s="34" t="b">
        <v>1</v>
      </c>
    </row>
    <row r="64">
      <c r="A64" s="32" t="s">
        <v>97</v>
      </c>
      <c r="B64" s="33" t="s">
        <v>98</v>
      </c>
      <c r="C64" s="34" t="b">
        <v>0</v>
      </c>
    </row>
    <row r="65">
      <c r="A65" s="32" t="s">
        <v>138</v>
      </c>
      <c r="B65" s="33" t="s">
        <v>139</v>
      </c>
      <c r="C65" s="34" t="b">
        <v>1</v>
      </c>
    </row>
    <row r="66">
      <c r="A66" s="32" t="s">
        <v>144</v>
      </c>
      <c r="B66" s="33" t="s">
        <v>145</v>
      </c>
      <c r="C66" s="34" t="b">
        <v>0</v>
      </c>
    </row>
    <row r="67">
      <c r="A67" s="32" t="s">
        <v>134</v>
      </c>
      <c r="B67" s="33" t="s">
        <v>135</v>
      </c>
      <c r="C67" s="34" t="b">
        <v>1</v>
      </c>
    </row>
    <row r="68">
      <c r="A68" s="32" t="s">
        <v>291</v>
      </c>
      <c r="B68" s="33" t="s">
        <v>292</v>
      </c>
      <c r="C68" s="34" t="b">
        <v>1</v>
      </c>
    </row>
    <row r="69">
      <c r="A69" s="32" t="s">
        <v>160</v>
      </c>
      <c r="B69" s="33" t="s">
        <v>161</v>
      </c>
      <c r="C69" s="34" t="b">
        <v>1</v>
      </c>
    </row>
    <row r="70">
      <c r="A70" s="32" t="s">
        <v>156</v>
      </c>
      <c r="B70" s="33" t="s">
        <v>157</v>
      </c>
      <c r="C70" s="34" t="b">
        <v>0</v>
      </c>
    </row>
    <row r="71">
      <c r="A71" s="32" t="s">
        <v>296</v>
      </c>
      <c r="B71" s="33" t="s">
        <v>297</v>
      </c>
      <c r="C71" s="34" t="b">
        <v>0</v>
      </c>
    </row>
    <row r="72">
      <c r="A72" s="32" t="s">
        <v>177</v>
      </c>
      <c r="B72" s="33" t="s">
        <v>178</v>
      </c>
      <c r="C72" s="34" t="b">
        <v>1</v>
      </c>
    </row>
    <row r="73">
      <c r="A73" s="32" t="s">
        <v>262</v>
      </c>
      <c r="B73" s="33" t="s">
        <v>263</v>
      </c>
      <c r="C73" s="34" t="b">
        <v>1</v>
      </c>
    </row>
    <row r="74">
      <c r="A74" s="32" t="s">
        <v>228</v>
      </c>
      <c r="B74" s="33" t="s">
        <v>229</v>
      </c>
      <c r="C74" s="34" t="b">
        <v>1</v>
      </c>
    </row>
    <row r="75">
      <c r="A75" s="32" t="s">
        <v>271</v>
      </c>
      <c r="B75" s="33" t="s">
        <v>272</v>
      </c>
      <c r="C75" s="34" t="b">
        <v>0</v>
      </c>
    </row>
    <row r="76">
      <c r="A76" s="32" t="s">
        <v>150</v>
      </c>
      <c r="B76" s="37" t="s">
        <v>151</v>
      </c>
      <c r="C76" s="34" t="b">
        <v>1</v>
      </c>
    </row>
    <row r="77">
      <c r="A77" s="32" t="s">
        <v>192</v>
      </c>
      <c r="B77" s="33" t="s">
        <v>193</v>
      </c>
      <c r="C77" s="34" t="b">
        <v>1</v>
      </c>
    </row>
    <row r="78">
      <c r="A78" s="32" t="s">
        <v>240</v>
      </c>
      <c r="B78" s="33" t="s">
        <v>241</v>
      </c>
      <c r="C78" s="34" t="b">
        <v>0</v>
      </c>
    </row>
    <row r="79">
      <c r="A79" s="32" t="s">
        <v>118</v>
      </c>
      <c r="B79" s="33" t="s">
        <v>119</v>
      </c>
      <c r="C79" s="34" t="b">
        <v>0</v>
      </c>
    </row>
    <row r="80">
      <c r="A80" s="32" t="s">
        <v>230</v>
      </c>
      <c r="B80" s="33" t="s">
        <v>231</v>
      </c>
      <c r="C80" s="34" t="b">
        <v>1</v>
      </c>
    </row>
    <row r="81">
      <c r="A81" s="32" t="s">
        <v>110</v>
      </c>
      <c r="B81" s="33" t="s">
        <v>111</v>
      </c>
      <c r="C81" s="34" t="b">
        <v>1</v>
      </c>
    </row>
    <row r="82">
      <c r="A82" s="32" t="s">
        <v>124</v>
      </c>
      <c r="B82" s="33" t="s">
        <v>125</v>
      </c>
      <c r="C82" s="34" t="b">
        <v>1</v>
      </c>
    </row>
    <row r="83">
      <c r="A83" s="32" t="s">
        <v>218</v>
      </c>
      <c r="B83" s="33" t="s">
        <v>219</v>
      </c>
      <c r="C83" s="34" t="b">
        <v>0</v>
      </c>
    </row>
    <row r="84">
      <c r="A84" s="32" t="s">
        <v>250</v>
      </c>
      <c r="B84" s="33" t="s">
        <v>251</v>
      </c>
      <c r="C84" s="34" t="b">
        <v>1</v>
      </c>
    </row>
    <row r="85">
      <c r="A85" s="32" t="s">
        <v>195</v>
      </c>
      <c r="B85" s="33" t="s">
        <v>196</v>
      </c>
      <c r="C85" s="34" t="b">
        <v>1</v>
      </c>
    </row>
    <row r="86">
      <c r="A86" s="32" t="s">
        <v>179</v>
      </c>
      <c r="B86" s="36" t="s">
        <v>180</v>
      </c>
      <c r="C86" s="34" t="b">
        <v>0</v>
      </c>
    </row>
    <row r="87">
      <c r="A87" s="32" t="s">
        <v>236</v>
      </c>
      <c r="B87" s="33" t="s">
        <v>237</v>
      </c>
      <c r="C87" s="34" t="b">
        <v>1</v>
      </c>
    </row>
    <row r="88">
      <c r="A88" s="32" t="s">
        <v>210</v>
      </c>
      <c r="B88" s="33" t="s">
        <v>211</v>
      </c>
      <c r="C88" s="34" t="b">
        <v>1</v>
      </c>
    </row>
    <row r="89">
      <c r="A89" s="32" t="s">
        <v>256</v>
      </c>
      <c r="B89" s="37" t="s">
        <v>257</v>
      </c>
      <c r="C89" s="34" t="b">
        <v>1</v>
      </c>
    </row>
    <row r="90">
      <c r="A90" s="32" t="s">
        <v>130</v>
      </c>
      <c r="B90" s="33" t="s">
        <v>131</v>
      </c>
      <c r="C90" s="34" t="b">
        <v>1</v>
      </c>
    </row>
    <row r="91">
      <c r="A91" s="32" t="s">
        <v>146</v>
      </c>
      <c r="B91" s="33" t="s">
        <v>147</v>
      </c>
      <c r="C91" s="34" t="b">
        <v>0</v>
      </c>
    </row>
    <row r="92">
      <c r="A92" s="32" t="s">
        <v>107</v>
      </c>
      <c r="B92" s="33" t="s">
        <v>108</v>
      </c>
      <c r="C92" s="34" t="b">
        <v>1</v>
      </c>
    </row>
    <row r="93">
      <c r="A93" s="32" t="s">
        <v>188</v>
      </c>
      <c r="B93" s="33" t="s">
        <v>189</v>
      </c>
      <c r="C93" s="34" t="b">
        <v>1</v>
      </c>
    </row>
    <row r="94">
      <c r="A94" s="32" t="s">
        <v>260</v>
      </c>
      <c r="B94" s="33" t="s">
        <v>261</v>
      </c>
      <c r="C94" s="34" t="b">
        <v>0</v>
      </c>
    </row>
    <row r="95">
      <c r="A95" s="32" t="s">
        <v>269</v>
      </c>
      <c r="B95" s="33" t="s">
        <v>270</v>
      </c>
      <c r="C95" s="34" t="b">
        <v>1</v>
      </c>
    </row>
    <row r="96">
      <c r="A96" s="32" t="s">
        <v>208</v>
      </c>
      <c r="B96" s="33" t="s">
        <v>209</v>
      </c>
      <c r="C96" s="34" t="b">
        <v>0</v>
      </c>
    </row>
    <row r="97">
      <c r="A97" s="32" t="s">
        <v>248</v>
      </c>
      <c r="B97" s="33" t="s">
        <v>249</v>
      </c>
      <c r="C97" s="34" t="b">
        <v>0</v>
      </c>
    </row>
    <row r="98">
      <c r="A98" s="32" t="s">
        <v>158</v>
      </c>
      <c r="B98" s="33" t="s">
        <v>159</v>
      </c>
      <c r="C98" s="34" t="b">
        <v>1</v>
      </c>
    </row>
    <row r="99">
      <c r="A99" s="32" t="s">
        <v>168</v>
      </c>
      <c r="B99" s="33" t="s">
        <v>169</v>
      </c>
      <c r="C99" s="34" t="b">
        <v>0</v>
      </c>
    </row>
    <row r="100">
      <c r="A100" s="32" t="s">
        <v>254</v>
      </c>
      <c r="B100" s="33" t="s">
        <v>255</v>
      </c>
      <c r="C100" s="34" t="b">
        <v>1</v>
      </c>
    </row>
    <row r="101">
      <c r="A101" s="32" t="s">
        <v>304</v>
      </c>
      <c r="B101" s="33" t="s">
        <v>305</v>
      </c>
      <c r="C101" s="34" t="b">
        <v>1</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9" t="s">
        <v>93</v>
      </c>
      <c r="B1" s="30" t="s">
        <v>94</v>
      </c>
      <c r="C1" s="31" t="s">
        <v>95</v>
      </c>
      <c r="D1" s="38" t="s">
        <v>96</v>
      </c>
    </row>
    <row r="2">
      <c r="A2" s="32" t="s">
        <v>130</v>
      </c>
      <c r="B2" s="33" t="s">
        <v>131</v>
      </c>
      <c r="C2" s="34" t="b">
        <v>1</v>
      </c>
      <c r="D2" s="39"/>
    </row>
    <row r="3">
      <c r="A3" s="32" t="s">
        <v>228</v>
      </c>
      <c r="B3" s="33" t="s">
        <v>229</v>
      </c>
      <c r="C3" s="34" t="b">
        <v>1</v>
      </c>
      <c r="D3" s="39"/>
    </row>
    <row r="4">
      <c r="A4" s="32" t="s">
        <v>222</v>
      </c>
      <c r="B4" s="33" t="s">
        <v>223</v>
      </c>
      <c r="C4" s="34" t="b">
        <v>0</v>
      </c>
      <c r="D4" s="39"/>
    </row>
    <row r="5">
      <c r="A5" s="32" t="s">
        <v>283</v>
      </c>
      <c r="B5" s="33" t="s">
        <v>284</v>
      </c>
      <c r="C5" s="34" t="b">
        <v>0</v>
      </c>
      <c r="D5" s="39"/>
    </row>
    <row r="6">
      <c r="A6" s="32" t="s">
        <v>300</v>
      </c>
      <c r="B6" s="33" t="s">
        <v>301</v>
      </c>
      <c r="C6" s="34" t="b">
        <v>0</v>
      </c>
      <c r="D6" s="39"/>
    </row>
    <row r="7">
      <c r="A7" s="32" t="s">
        <v>298</v>
      </c>
      <c r="B7" s="33" t="s">
        <v>299</v>
      </c>
      <c r="C7" s="34" t="b">
        <v>0</v>
      </c>
      <c r="D7" s="39"/>
    </row>
    <row r="8">
      <c r="A8" s="32" t="s">
        <v>220</v>
      </c>
      <c r="B8" s="33" t="s">
        <v>221</v>
      </c>
      <c r="C8" s="34" t="b">
        <v>0</v>
      </c>
      <c r="D8" s="39"/>
    </row>
    <row r="9">
      <c r="A9" s="32" t="s">
        <v>240</v>
      </c>
      <c r="B9" s="33" t="s">
        <v>241</v>
      </c>
      <c r="C9" s="34" t="b">
        <v>0</v>
      </c>
      <c r="D9" s="39"/>
    </row>
    <row r="10">
      <c r="A10" s="32" t="s">
        <v>276</v>
      </c>
      <c r="B10" s="33" t="s">
        <v>277</v>
      </c>
      <c r="C10" s="34" t="b">
        <v>0</v>
      </c>
      <c r="D10" s="15" t="s">
        <v>330</v>
      </c>
    </row>
    <row r="11">
      <c r="A11" s="32" t="s">
        <v>226</v>
      </c>
      <c r="B11" s="33" t="s">
        <v>227</v>
      </c>
      <c r="C11" s="34" t="b">
        <v>0</v>
      </c>
      <c r="D11" s="39"/>
    </row>
    <row r="12">
      <c r="A12" s="32" t="s">
        <v>230</v>
      </c>
      <c r="B12" s="33" t="s">
        <v>231</v>
      </c>
      <c r="C12" s="34" t="b">
        <v>1</v>
      </c>
      <c r="D12" s="39"/>
    </row>
    <row r="13">
      <c r="A13" s="32" t="s">
        <v>114</v>
      </c>
      <c r="B13" s="33" t="s">
        <v>115</v>
      </c>
      <c r="C13" s="34" t="b">
        <v>1</v>
      </c>
      <c r="D13" s="39"/>
    </row>
    <row r="14">
      <c r="A14" s="32" t="s">
        <v>146</v>
      </c>
      <c r="B14" s="33" t="s">
        <v>147</v>
      </c>
      <c r="C14" s="34" t="b">
        <v>0</v>
      </c>
      <c r="D14" s="15" t="s">
        <v>331</v>
      </c>
    </row>
    <row r="15">
      <c r="A15" s="32" t="s">
        <v>162</v>
      </c>
      <c r="B15" s="33" t="s">
        <v>163</v>
      </c>
      <c r="C15" s="34" t="b">
        <v>1</v>
      </c>
      <c r="D15" s="15" t="s">
        <v>332</v>
      </c>
    </row>
    <row r="16">
      <c r="A16" s="32" t="s">
        <v>218</v>
      </c>
      <c r="B16" s="33" t="s">
        <v>219</v>
      </c>
      <c r="C16" s="34" t="b">
        <v>0</v>
      </c>
      <c r="D16" s="39"/>
    </row>
    <row r="17">
      <c r="A17" s="32" t="s">
        <v>256</v>
      </c>
      <c r="B17" s="33" t="s">
        <v>257</v>
      </c>
      <c r="C17" s="34" t="b">
        <v>1</v>
      </c>
      <c r="D17" s="15" t="s">
        <v>333</v>
      </c>
    </row>
    <row r="18">
      <c r="A18" s="32" t="s">
        <v>250</v>
      </c>
      <c r="B18" s="33" t="s">
        <v>251</v>
      </c>
      <c r="C18" s="34" t="b">
        <v>1</v>
      </c>
      <c r="D18" s="39"/>
    </row>
    <row r="19">
      <c r="A19" s="32" t="s">
        <v>154</v>
      </c>
      <c r="B19" s="33" t="s">
        <v>155</v>
      </c>
      <c r="C19" s="34" t="b">
        <v>0</v>
      </c>
      <c r="D19" s="15" t="s">
        <v>334</v>
      </c>
    </row>
    <row r="20">
      <c r="A20" s="32" t="s">
        <v>110</v>
      </c>
      <c r="B20" s="33" t="s">
        <v>111</v>
      </c>
      <c r="C20" s="34" t="b">
        <v>0</v>
      </c>
      <c r="D20" s="39"/>
    </row>
    <row r="21">
      <c r="A21" s="32" t="s">
        <v>160</v>
      </c>
      <c r="B21" s="33" t="s">
        <v>161</v>
      </c>
      <c r="C21" s="34" t="b">
        <v>1</v>
      </c>
      <c r="D21" s="15" t="s">
        <v>335</v>
      </c>
    </row>
    <row r="22">
      <c r="A22" s="32" t="s">
        <v>200</v>
      </c>
      <c r="B22" s="33" t="s">
        <v>201</v>
      </c>
      <c r="C22" s="34" t="b">
        <v>1</v>
      </c>
      <c r="D22" s="39"/>
    </row>
    <row r="23">
      <c r="A23" s="32" t="s">
        <v>252</v>
      </c>
      <c r="B23" s="33" t="s">
        <v>253</v>
      </c>
      <c r="C23" s="34" t="b">
        <v>1</v>
      </c>
      <c r="D23" s="39"/>
    </row>
    <row r="24">
      <c r="A24" s="32" t="s">
        <v>97</v>
      </c>
      <c r="B24" s="33" t="s">
        <v>98</v>
      </c>
      <c r="C24" s="34" t="b">
        <v>0</v>
      </c>
      <c r="D24" s="39"/>
    </row>
    <row r="25">
      <c r="A25" s="32" t="s">
        <v>260</v>
      </c>
      <c r="B25" s="33" t="s">
        <v>261</v>
      </c>
      <c r="C25" s="34" t="b">
        <v>0</v>
      </c>
      <c r="D25" s="15" t="s">
        <v>336</v>
      </c>
    </row>
    <row r="26">
      <c r="A26" s="32" t="s">
        <v>242</v>
      </c>
      <c r="B26" s="33" t="s">
        <v>243</v>
      </c>
      <c r="C26" s="34" t="b">
        <v>0</v>
      </c>
      <c r="D26" s="15" t="s">
        <v>337</v>
      </c>
    </row>
    <row r="27">
      <c r="A27" s="32" t="s">
        <v>140</v>
      </c>
      <c r="B27" s="33" t="s">
        <v>141</v>
      </c>
      <c r="C27" s="34" t="b">
        <v>1</v>
      </c>
      <c r="D27" s="15" t="s">
        <v>338</v>
      </c>
    </row>
    <row r="28">
      <c r="A28" s="32" t="s">
        <v>144</v>
      </c>
      <c r="B28" s="33" t="s">
        <v>145</v>
      </c>
      <c r="C28" s="34" t="b">
        <v>0</v>
      </c>
      <c r="D28" s="39"/>
    </row>
    <row r="29">
      <c r="A29" s="32" t="s">
        <v>112</v>
      </c>
      <c r="B29" s="33" t="s">
        <v>113</v>
      </c>
      <c r="C29" s="34" t="b">
        <v>1</v>
      </c>
      <c r="D29" s="39"/>
    </row>
    <row r="30">
      <c r="A30" s="32" t="s">
        <v>177</v>
      </c>
      <c r="B30" s="33" t="s">
        <v>178</v>
      </c>
      <c r="C30" s="34" t="b">
        <v>1</v>
      </c>
      <c r="D30" s="39"/>
    </row>
    <row r="31">
      <c r="A31" s="32" t="s">
        <v>294</v>
      </c>
      <c r="B31" s="33" t="s">
        <v>295</v>
      </c>
      <c r="C31" s="34" t="b">
        <v>0</v>
      </c>
      <c r="D31" s="15" t="s">
        <v>339</v>
      </c>
    </row>
    <row r="32">
      <c r="A32" s="32" t="s">
        <v>238</v>
      </c>
      <c r="B32" s="33" t="s">
        <v>239</v>
      </c>
      <c r="C32" s="34" t="b">
        <v>1</v>
      </c>
      <c r="D32" s="39"/>
    </row>
    <row r="33">
      <c r="A33" s="32" t="s">
        <v>105</v>
      </c>
      <c r="B33" s="33" t="s">
        <v>106</v>
      </c>
      <c r="C33" s="34" t="b">
        <v>1</v>
      </c>
      <c r="D33" s="39"/>
    </row>
    <row r="34">
      <c r="A34" s="32" t="s">
        <v>188</v>
      </c>
      <c r="B34" s="33" t="s">
        <v>189</v>
      </c>
      <c r="C34" s="34" t="b">
        <v>1</v>
      </c>
      <c r="D34" s="39"/>
    </row>
    <row r="35">
      <c r="A35" s="32" t="s">
        <v>296</v>
      </c>
      <c r="B35" s="33" t="s">
        <v>297</v>
      </c>
      <c r="C35" s="34" t="b">
        <v>0</v>
      </c>
      <c r="D35" s="15" t="s">
        <v>340</v>
      </c>
    </row>
    <row r="36">
      <c r="A36" s="32" t="s">
        <v>285</v>
      </c>
      <c r="B36" s="33" t="s">
        <v>286</v>
      </c>
      <c r="C36" s="34" t="b">
        <v>1</v>
      </c>
      <c r="D36" s="39"/>
    </row>
    <row r="37">
      <c r="A37" s="32" t="s">
        <v>158</v>
      </c>
      <c r="B37" s="33" t="s">
        <v>159</v>
      </c>
      <c r="C37" s="34" t="b">
        <v>1</v>
      </c>
      <c r="D37" s="39"/>
    </row>
    <row r="38">
      <c r="A38" s="32" t="s">
        <v>166</v>
      </c>
      <c r="B38" s="33" t="s">
        <v>167</v>
      </c>
      <c r="C38" s="34" t="b">
        <v>1</v>
      </c>
      <c r="D38" s="39"/>
    </row>
    <row r="39">
      <c r="A39" s="32" t="s">
        <v>264</v>
      </c>
      <c r="B39" s="33" t="s">
        <v>265</v>
      </c>
      <c r="C39" s="34" t="b">
        <v>0</v>
      </c>
      <c r="D39" s="15" t="s">
        <v>341</v>
      </c>
    </row>
    <row r="40">
      <c r="A40" s="32" t="s">
        <v>236</v>
      </c>
      <c r="B40" s="33" t="s">
        <v>237</v>
      </c>
      <c r="C40" s="34" t="b">
        <v>1</v>
      </c>
      <c r="D40" s="39"/>
    </row>
    <row r="41">
      <c r="A41" s="32" t="s">
        <v>269</v>
      </c>
      <c r="B41" s="33" t="s">
        <v>270</v>
      </c>
      <c r="C41" s="34" t="b">
        <v>0</v>
      </c>
      <c r="D41" s="39"/>
    </row>
    <row r="42">
      <c r="A42" s="32" t="s">
        <v>171</v>
      </c>
      <c r="B42" s="33" t="s">
        <v>172</v>
      </c>
      <c r="C42" s="34" t="b">
        <v>0</v>
      </c>
      <c r="D42" s="39"/>
    </row>
    <row r="43">
      <c r="A43" s="32" t="s">
        <v>254</v>
      </c>
      <c r="B43" s="33" t="s">
        <v>255</v>
      </c>
      <c r="C43" s="34" t="b">
        <v>1</v>
      </c>
      <c r="D43" s="39"/>
    </row>
    <row r="44">
      <c r="A44" s="32" t="s">
        <v>291</v>
      </c>
      <c r="B44" s="33" t="s">
        <v>292</v>
      </c>
      <c r="C44" s="34" t="b">
        <v>1</v>
      </c>
      <c r="D44" s="39"/>
    </row>
    <row r="45">
      <c r="A45" s="32" t="s">
        <v>156</v>
      </c>
      <c r="B45" s="33" t="s">
        <v>157</v>
      </c>
      <c r="C45" s="34" t="b">
        <v>0</v>
      </c>
      <c r="D45" s="39"/>
    </row>
    <row r="46">
      <c r="A46" s="32" t="s">
        <v>186</v>
      </c>
      <c r="B46" s="33" t="s">
        <v>187</v>
      </c>
      <c r="C46" s="34" t="b">
        <v>1</v>
      </c>
      <c r="D46" s="39"/>
    </row>
    <row r="47">
      <c r="A47" s="32" t="s">
        <v>280</v>
      </c>
      <c r="B47" s="33" t="s">
        <v>281</v>
      </c>
      <c r="C47" s="34" t="b">
        <v>1</v>
      </c>
      <c r="D47" s="39"/>
    </row>
    <row r="48">
      <c r="A48" s="32" t="s">
        <v>212</v>
      </c>
      <c r="B48" s="33" t="s">
        <v>213</v>
      </c>
      <c r="C48" s="34" t="b">
        <v>1</v>
      </c>
      <c r="D48" s="39"/>
    </row>
    <row r="49">
      <c r="A49" s="32" t="s">
        <v>103</v>
      </c>
      <c r="B49" s="33" t="s">
        <v>104</v>
      </c>
      <c r="C49" s="34" t="b">
        <v>1</v>
      </c>
      <c r="D49" s="39"/>
    </row>
    <row r="50">
      <c r="A50" s="32" t="s">
        <v>124</v>
      </c>
      <c r="B50" s="33" t="s">
        <v>125</v>
      </c>
      <c r="C50" s="34" t="b">
        <v>1</v>
      </c>
      <c r="D50" s="39"/>
    </row>
    <row r="51">
      <c r="A51" s="32" t="s">
        <v>152</v>
      </c>
      <c r="B51" s="33" t="s">
        <v>153</v>
      </c>
      <c r="C51" s="34" t="b">
        <v>1</v>
      </c>
      <c r="D51" s="39"/>
    </row>
    <row r="52">
      <c r="A52" s="32" t="s">
        <v>274</v>
      </c>
      <c r="B52" s="33" t="s">
        <v>275</v>
      </c>
      <c r="C52" s="34" t="b">
        <v>0</v>
      </c>
      <c r="D52" s="15" t="s">
        <v>342</v>
      </c>
    </row>
    <row r="53">
      <c r="A53" s="32" t="s">
        <v>164</v>
      </c>
      <c r="B53" s="33" t="s">
        <v>165</v>
      </c>
      <c r="C53" s="34" t="b">
        <v>1</v>
      </c>
      <c r="D53" s="39"/>
    </row>
    <row r="54">
      <c r="A54" s="32" t="s">
        <v>120</v>
      </c>
      <c r="B54" s="33" t="s">
        <v>121</v>
      </c>
      <c r="C54" s="34" t="b">
        <v>0</v>
      </c>
      <c r="D54" s="39"/>
    </row>
    <row r="55">
      <c r="A55" s="32" t="s">
        <v>168</v>
      </c>
      <c r="B55" s="33" t="s">
        <v>169</v>
      </c>
      <c r="C55" s="34" t="b">
        <v>0</v>
      </c>
      <c r="D55" s="15" t="s">
        <v>343</v>
      </c>
    </row>
    <row r="56">
      <c r="A56" s="32" t="s">
        <v>271</v>
      </c>
      <c r="B56" s="33" t="s">
        <v>272</v>
      </c>
      <c r="C56" s="34" t="b">
        <v>0</v>
      </c>
      <c r="D56" s="15" t="s">
        <v>344</v>
      </c>
    </row>
    <row r="57">
      <c r="A57" s="32" t="s">
        <v>258</v>
      </c>
      <c r="B57" s="33" t="s">
        <v>259</v>
      </c>
      <c r="C57" s="34" t="b">
        <v>0</v>
      </c>
      <c r="D57" s="39"/>
    </row>
    <row r="58">
      <c r="A58" s="32" t="s">
        <v>244</v>
      </c>
      <c r="B58" s="33" t="s">
        <v>245</v>
      </c>
      <c r="C58" s="34" t="b">
        <v>1</v>
      </c>
      <c r="D58" s="39"/>
    </row>
    <row r="59">
      <c r="A59" s="32" t="s">
        <v>132</v>
      </c>
      <c r="B59" s="33" t="s">
        <v>133</v>
      </c>
      <c r="C59" s="34" t="b">
        <v>0</v>
      </c>
      <c r="D59" s="39"/>
    </row>
    <row r="60">
      <c r="A60" s="32" t="s">
        <v>224</v>
      </c>
      <c r="B60" s="33" t="s">
        <v>225</v>
      </c>
      <c r="C60" s="34" t="b">
        <v>1</v>
      </c>
      <c r="D60" s="39"/>
    </row>
    <row r="61">
      <c r="A61" s="32" t="s">
        <v>136</v>
      </c>
      <c r="B61" s="33" t="s">
        <v>137</v>
      </c>
      <c r="C61" s="34" t="b">
        <v>1</v>
      </c>
      <c r="D61" s="39"/>
    </row>
    <row r="62">
      <c r="A62" s="32" t="s">
        <v>216</v>
      </c>
      <c r="B62" s="33" t="s">
        <v>217</v>
      </c>
      <c r="C62" s="34" t="b">
        <v>1</v>
      </c>
      <c r="D62" s="39"/>
    </row>
    <row r="63">
      <c r="A63" s="32" t="s">
        <v>181</v>
      </c>
      <c r="B63" s="33" t="s">
        <v>182</v>
      </c>
      <c r="C63" s="34" t="b">
        <v>1</v>
      </c>
      <c r="D63" s="15" t="s">
        <v>345</v>
      </c>
    </row>
    <row r="64">
      <c r="A64" s="32" t="s">
        <v>138</v>
      </c>
      <c r="B64" s="33" t="s">
        <v>139</v>
      </c>
      <c r="C64" s="34" t="b">
        <v>1</v>
      </c>
      <c r="D64" s="15" t="s">
        <v>346</v>
      </c>
    </row>
    <row r="65">
      <c r="A65" s="32" t="s">
        <v>304</v>
      </c>
      <c r="B65" s="33" t="s">
        <v>305</v>
      </c>
      <c r="C65" s="34" t="b">
        <v>1</v>
      </c>
      <c r="D65" s="15" t="s">
        <v>347</v>
      </c>
    </row>
    <row r="66">
      <c r="A66" s="32" t="s">
        <v>150</v>
      </c>
      <c r="B66" s="33" t="s">
        <v>151</v>
      </c>
      <c r="C66" s="34" t="b">
        <v>1</v>
      </c>
      <c r="D66" s="39"/>
    </row>
    <row r="67">
      <c r="A67" s="32" t="s">
        <v>262</v>
      </c>
      <c r="B67" s="33" t="s">
        <v>263</v>
      </c>
      <c r="C67" s="34" t="b">
        <v>1</v>
      </c>
      <c r="D67" s="39"/>
    </row>
    <row r="68">
      <c r="A68" s="32" t="s">
        <v>183</v>
      </c>
      <c r="B68" s="33" t="s">
        <v>184</v>
      </c>
      <c r="C68" s="34" t="b">
        <v>1</v>
      </c>
      <c r="D68" s="39"/>
    </row>
    <row r="69">
      <c r="A69" s="32" t="s">
        <v>234</v>
      </c>
      <c r="B69" s="33" t="s">
        <v>235</v>
      </c>
      <c r="C69" s="34" t="b">
        <v>0</v>
      </c>
      <c r="D69" s="39"/>
    </row>
    <row r="70">
      <c r="A70" s="32" t="s">
        <v>128</v>
      </c>
      <c r="B70" s="33" t="s">
        <v>129</v>
      </c>
      <c r="C70" s="34" t="b">
        <v>0</v>
      </c>
      <c r="D70" s="39"/>
    </row>
    <row r="71">
      <c r="A71" s="32" t="s">
        <v>232</v>
      </c>
      <c r="B71" s="33" t="s">
        <v>233</v>
      </c>
      <c r="C71" s="34" t="b">
        <v>1</v>
      </c>
      <c r="D71" s="39"/>
    </row>
    <row r="72">
      <c r="A72" s="32" t="s">
        <v>278</v>
      </c>
      <c r="B72" s="33" t="s">
        <v>279</v>
      </c>
      <c r="C72" s="34" t="b">
        <v>1</v>
      </c>
      <c r="D72" s="39"/>
    </row>
    <row r="73">
      <c r="A73" s="32" t="s">
        <v>126</v>
      </c>
      <c r="B73" s="33" t="s">
        <v>127</v>
      </c>
      <c r="C73" s="34" t="b">
        <v>1</v>
      </c>
      <c r="D73" s="39"/>
    </row>
    <row r="74">
      <c r="A74" s="32" t="s">
        <v>118</v>
      </c>
      <c r="B74" s="33" t="s">
        <v>119</v>
      </c>
      <c r="C74" s="34" t="b">
        <v>0</v>
      </c>
      <c r="D74" s="39"/>
    </row>
    <row r="75">
      <c r="A75" s="32" t="s">
        <v>101</v>
      </c>
      <c r="B75" s="33" t="s">
        <v>102</v>
      </c>
      <c r="C75" s="34" t="b">
        <v>0</v>
      </c>
      <c r="D75" s="39"/>
    </row>
    <row r="76">
      <c r="A76" s="32" t="s">
        <v>99</v>
      </c>
      <c r="B76" s="33" t="s">
        <v>100</v>
      </c>
      <c r="C76" s="34" t="b">
        <v>0</v>
      </c>
      <c r="D76" s="39"/>
    </row>
    <row r="77">
      <c r="A77" s="32" t="s">
        <v>122</v>
      </c>
      <c r="B77" s="33" t="s">
        <v>123</v>
      </c>
      <c r="C77" s="34" t="b">
        <v>0</v>
      </c>
      <c r="D77" s="39"/>
    </row>
    <row r="78">
      <c r="A78" s="32" t="s">
        <v>210</v>
      </c>
      <c r="B78" s="33" t="s">
        <v>211</v>
      </c>
      <c r="C78" s="34" t="b">
        <v>1</v>
      </c>
      <c r="D78" s="39"/>
    </row>
    <row r="79">
      <c r="A79" s="32" t="s">
        <v>179</v>
      </c>
      <c r="B79" s="33" t="s">
        <v>180</v>
      </c>
      <c r="C79" s="34" t="b">
        <v>0</v>
      </c>
      <c r="D79" s="39"/>
    </row>
    <row r="80">
      <c r="A80" s="32" t="s">
        <v>202</v>
      </c>
      <c r="B80" s="33" t="s">
        <v>203</v>
      </c>
      <c r="C80" s="34" t="b">
        <v>1</v>
      </c>
      <c r="D80" s="39"/>
    </row>
    <row r="81">
      <c r="A81" s="32" t="s">
        <v>107</v>
      </c>
      <c r="B81" s="33" t="s">
        <v>108</v>
      </c>
      <c r="C81" s="34" t="b">
        <v>0</v>
      </c>
      <c r="D81" s="15" t="s">
        <v>348</v>
      </c>
    </row>
    <row r="82">
      <c r="A82" s="32" t="s">
        <v>289</v>
      </c>
      <c r="B82" s="33" t="s">
        <v>290</v>
      </c>
      <c r="C82" s="34" t="b">
        <v>1</v>
      </c>
      <c r="D82" s="39"/>
    </row>
    <row r="83">
      <c r="A83" s="32" t="s">
        <v>204</v>
      </c>
      <c r="B83" s="33" t="s">
        <v>205</v>
      </c>
      <c r="C83" s="34" t="b">
        <v>1</v>
      </c>
      <c r="D83" s="39"/>
    </row>
    <row r="84">
      <c r="A84" s="32" t="s">
        <v>142</v>
      </c>
      <c r="B84" s="33" t="s">
        <v>143</v>
      </c>
      <c r="C84" s="34" t="b">
        <v>1</v>
      </c>
      <c r="D84" s="39"/>
    </row>
    <row r="85">
      <c r="A85" s="32" t="s">
        <v>198</v>
      </c>
      <c r="B85" s="33" t="s">
        <v>199</v>
      </c>
      <c r="C85" s="34" t="b">
        <v>1</v>
      </c>
      <c r="D85" s="39"/>
    </row>
    <row r="86">
      <c r="A86" s="32" t="s">
        <v>192</v>
      </c>
      <c r="B86" s="33" t="s">
        <v>193</v>
      </c>
      <c r="C86" s="34" t="b">
        <v>1</v>
      </c>
      <c r="D86" s="39"/>
    </row>
    <row r="87">
      <c r="A87" s="32" t="s">
        <v>195</v>
      </c>
      <c r="B87" s="33" t="s">
        <v>196</v>
      </c>
      <c r="C87" s="34" t="b">
        <v>0</v>
      </c>
      <c r="D87" s="39"/>
    </row>
    <row r="88">
      <c r="A88" s="32" t="s">
        <v>148</v>
      </c>
      <c r="B88" s="33" t="s">
        <v>149</v>
      </c>
      <c r="C88" s="34" t="b">
        <v>0</v>
      </c>
      <c r="D88" s="39"/>
    </row>
    <row r="89">
      <c r="A89" s="32" t="s">
        <v>246</v>
      </c>
      <c r="B89" s="33" t="s">
        <v>247</v>
      </c>
      <c r="C89" s="34" t="b">
        <v>0</v>
      </c>
      <c r="D89" s="39"/>
    </row>
    <row r="90">
      <c r="A90" s="32" t="s">
        <v>302</v>
      </c>
      <c r="B90" s="33" t="s">
        <v>303</v>
      </c>
      <c r="C90" s="34" t="b">
        <v>0</v>
      </c>
      <c r="D90" s="15" t="s">
        <v>349</v>
      </c>
    </row>
    <row r="91">
      <c r="A91" s="32" t="s">
        <v>287</v>
      </c>
      <c r="B91" s="33" t="s">
        <v>288</v>
      </c>
      <c r="C91" s="34" t="b">
        <v>0</v>
      </c>
      <c r="D91" s="15" t="s">
        <v>350</v>
      </c>
    </row>
    <row r="92">
      <c r="A92" s="32" t="s">
        <v>267</v>
      </c>
      <c r="B92" s="33" t="s">
        <v>268</v>
      </c>
      <c r="C92" s="34" t="b">
        <v>0</v>
      </c>
      <c r="D92" s="39"/>
    </row>
    <row r="93">
      <c r="A93" s="32" t="s">
        <v>116</v>
      </c>
      <c r="B93" s="33" t="s">
        <v>117</v>
      </c>
      <c r="C93" s="34" t="b">
        <v>0</v>
      </c>
      <c r="D93" s="15" t="s">
        <v>351</v>
      </c>
    </row>
    <row r="94">
      <c r="A94" s="32" t="s">
        <v>190</v>
      </c>
      <c r="B94" s="33" t="s">
        <v>191</v>
      </c>
      <c r="C94" s="34" t="b">
        <v>0</v>
      </c>
      <c r="D94" s="39"/>
    </row>
    <row r="95">
      <c r="A95" s="32" t="s">
        <v>208</v>
      </c>
      <c r="B95" s="33" t="s">
        <v>209</v>
      </c>
      <c r="C95" s="34" t="b">
        <v>0</v>
      </c>
      <c r="D95" s="39"/>
    </row>
    <row r="96">
      <c r="A96" s="32" t="s">
        <v>206</v>
      </c>
      <c r="B96" s="33" t="s">
        <v>207</v>
      </c>
      <c r="C96" s="34" t="b">
        <v>1</v>
      </c>
      <c r="D96" s="39"/>
    </row>
    <row r="97">
      <c r="A97" s="32" t="s">
        <v>248</v>
      </c>
      <c r="B97" s="33" t="s">
        <v>249</v>
      </c>
      <c r="C97" s="34" t="b">
        <v>0</v>
      </c>
      <c r="D97" s="15" t="s">
        <v>352</v>
      </c>
    </row>
    <row r="98">
      <c r="A98" s="32" t="s">
        <v>173</v>
      </c>
      <c r="B98" s="33" t="s">
        <v>174</v>
      </c>
      <c r="C98" s="34" t="b">
        <v>1</v>
      </c>
      <c r="D98" s="39"/>
    </row>
    <row r="99">
      <c r="A99" s="32" t="s">
        <v>134</v>
      </c>
      <c r="B99" s="33" t="s">
        <v>135</v>
      </c>
      <c r="C99" s="34" t="b">
        <v>1</v>
      </c>
      <c r="D99" s="39"/>
    </row>
    <row r="100">
      <c r="A100" s="32" t="s">
        <v>214</v>
      </c>
      <c r="B100" s="33" t="s">
        <v>215</v>
      </c>
      <c r="C100" s="34" t="b">
        <v>0</v>
      </c>
      <c r="D100" s="15" t="s">
        <v>353</v>
      </c>
    </row>
    <row r="101">
      <c r="A101" s="32" t="s">
        <v>175</v>
      </c>
      <c r="B101" s="33" t="s">
        <v>176</v>
      </c>
      <c r="C101" s="34" t="b">
        <v>0</v>
      </c>
      <c r="D101" s="39"/>
    </row>
  </sheetData>
  <dataValidations>
    <dataValidation type="list" allowBlank="1" showErrorMessage="1" sqref="C2:C101">
      <formula1>"TO DO,TRUE,FALSE,SKIP"</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40" t="s">
        <v>354</v>
      </c>
      <c r="B1" s="40" t="s">
        <v>355</v>
      </c>
      <c r="C1" s="40" t="s">
        <v>356</v>
      </c>
      <c r="D1" s="40" t="s">
        <v>357</v>
      </c>
      <c r="E1" s="40" t="s">
        <v>358</v>
      </c>
      <c r="F1" s="40" t="s">
        <v>359</v>
      </c>
      <c r="G1" s="40" t="s">
        <v>360</v>
      </c>
      <c r="H1" s="40" t="s">
        <v>361</v>
      </c>
      <c r="I1" s="41" t="s">
        <v>362</v>
      </c>
      <c r="J1" s="40" t="s">
        <v>363</v>
      </c>
      <c r="K1" s="42" t="s">
        <v>364</v>
      </c>
    </row>
    <row r="2">
      <c r="A2" s="43" t="s">
        <v>365</v>
      </c>
      <c r="B2" s="43" t="s">
        <v>190</v>
      </c>
      <c r="C2" s="43" t="s">
        <v>191</v>
      </c>
      <c r="D2" s="44">
        <v>15.0</v>
      </c>
      <c r="E2" s="45">
        <v>9.0</v>
      </c>
      <c r="F2" s="45">
        <v>0.0</v>
      </c>
      <c r="G2" s="45">
        <v>9.0</v>
      </c>
      <c r="H2" s="45">
        <v>1.0</v>
      </c>
      <c r="I2" s="46" t="b">
        <v>0</v>
      </c>
      <c r="J2" s="12" t="s">
        <v>366</v>
      </c>
      <c r="K2" s="13" t="s">
        <v>367</v>
      </c>
    </row>
    <row r="3">
      <c r="A3" s="43" t="s">
        <v>368</v>
      </c>
      <c r="B3" s="43" t="s">
        <v>128</v>
      </c>
      <c r="C3" s="43" t="s">
        <v>129</v>
      </c>
      <c r="D3" s="44">
        <v>15.0</v>
      </c>
      <c r="E3" s="45">
        <v>9.0</v>
      </c>
      <c r="F3" s="45">
        <v>0.0</v>
      </c>
      <c r="G3" s="45">
        <v>9.0</v>
      </c>
      <c r="H3" s="45">
        <v>1.0</v>
      </c>
      <c r="I3" s="46" t="b">
        <v>0</v>
      </c>
      <c r="J3" s="12" t="s">
        <v>366</v>
      </c>
      <c r="K3" s="13" t="s">
        <v>367</v>
      </c>
    </row>
    <row r="4">
      <c r="A4" s="43" t="s">
        <v>369</v>
      </c>
      <c r="B4" s="43" t="s">
        <v>118</v>
      </c>
      <c r="C4" s="43" t="s">
        <v>119</v>
      </c>
      <c r="D4" s="44">
        <v>15.0</v>
      </c>
      <c r="E4" s="45">
        <v>9.0</v>
      </c>
      <c r="F4" s="45">
        <v>0.0</v>
      </c>
      <c r="G4" s="45">
        <v>9.0</v>
      </c>
      <c r="H4" s="45">
        <v>1.0</v>
      </c>
      <c r="I4" s="46" t="b">
        <v>0</v>
      </c>
      <c r="J4" s="12" t="s">
        <v>366</v>
      </c>
      <c r="K4" s="13" t="s">
        <v>367</v>
      </c>
    </row>
    <row r="5">
      <c r="A5" s="43" t="s">
        <v>369</v>
      </c>
      <c r="B5" s="43" t="s">
        <v>122</v>
      </c>
      <c r="C5" s="43" t="s">
        <v>123</v>
      </c>
      <c r="D5" s="44">
        <v>15.0</v>
      </c>
      <c r="E5" s="45">
        <v>9.0</v>
      </c>
      <c r="F5" s="45">
        <v>0.0</v>
      </c>
      <c r="G5" s="45">
        <v>9.0</v>
      </c>
      <c r="H5" s="45">
        <v>1.0</v>
      </c>
      <c r="I5" s="46" t="b">
        <v>0</v>
      </c>
      <c r="J5" s="12" t="s">
        <v>366</v>
      </c>
      <c r="K5" s="13" t="s">
        <v>367</v>
      </c>
    </row>
    <row r="6">
      <c r="A6" s="43" t="s">
        <v>370</v>
      </c>
      <c r="B6" s="43" t="s">
        <v>142</v>
      </c>
      <c r="C6" s="43" t="s">
        <v>143</v>
      </c>
      <c r="D6" s="44">
        <v>15.0</v>
      </c>
      <c r="E6" s="45">
        <v>2.0</v>
      </c>
      <c r="F6" s="45">
        <v>103.0</v>
      </c>
      <c r="G6" s="45">
        <v>105.0</v>
      </c>
      <c r="H6" s="45">
        <v>0.961904761904761</v>
      </c>
      <c r="I6" s="46" t="b">
        <v>1</v>
      </c>
      <c r="J6" s="12" t="s">
        <v>366</v>
      </c>
      <c r="K6" s="13" t="s">
        <v>367</v>
      </c>
    </row>
    <row r="7">
      <c r="A7" s="43" t="s">
        <v>371</v>
      </c>
      <c r="B7" s="43" t="s">
        <v>198</v>
      </c>
      <c r="C7" s="43" t="s">
        <v>199</v>
      </c>
      <c r="D7" s="44">
        <v>15.0</v>
      </c>
      <c r="E7" s="45">
        <v>1.0</v>
      </c>
      <c r="F7" s="45">
        <v>25.0</v>
      </c>
      <c r="G7" s="45">
        <v>26.0</v>
      </c>
      <c r="H7" s="45">
        <v>0.923076923076923</v>
      </c>
      <c r="I7" s="46" t="b">
        <v>1</v>
      </c>
      <c r="J7" s="12" t="s">
        <v>366</v>
      </c>
      <c r="K7" s="13" t="s">
        <v>367</v>
      </c>
    </row>
    <row r="8">
      <c r="A8" s="43" t="s">
        <v>372</v>
      </c>
      <c r="B8" s="43" t="s">
        <v>210</v>
      </c>
      <c r="C8" s="43" t="s">
        <v>211</v>
      </c>
      <c r="D8" s="44">
        <v>15.0</v>
      </c>
      <c r="E8" s="45">
        <v>1.0</v>
      </c>
      <c r="F8" s="45">
        <v>17.0</v>
      </c>
      <c r="G8" s="45">
        <v>18.0</v>
      </c>
      <c r="H8" s="45">
        <v>0.888888888888888</v>
      </c>
      <c r="I8" s="46" t="b">
        <v>1</v>
      </c>
      <c r="J8" s="12" t="s">
        <v>366</v>
      </c>
      <c r="K8" s="13" t="s">
        <v>367</v>
      </c>
    </row>
    <row r="9">
      <c r="A9" s="43" t="s">
        <v>373</v>
      </c>
      <c r="B9" s="43" t="s">
        <v>289</v>
      </c>
      <c r="C9" s="43" t="s">
        <v>290</v>
      </c>
      <c r="D9" s="44">
        <v>15.0</v>
      </c>
      <c r="E9" s="45">
        <v>1.0</v>
      </c>
      <c r="F9" s="45">
        <v>15.0</v>
      </c>
      <c r="G9" s="45">
        <v>16.0</v>
      </c>
      <c r="H9" s="45">
        <v>0.875</v>
      </c>
      <c r="I9" s="46" t="b">
        <v>1</v>
      </c>
      <c r="J9" s="12" t="s">
        <v>366</v>
      </c>
      <c r="K9" s="13" t="s">
        <v>367</v>
      </c>
    </row>
    <row r="10">
      <c r="A10" s="43" t="s">
        <v>374</v>
      </c>
      <c r="B10" s="43" t="s">
        <v>181</v>
      </c>
      <c r="C10" s="43" t="s">
        <v>182</v>
      </c>
      <c r="D10" s="44">
        <v>15.0</v>
      </c>
      <c r="E10" s="45">
        <v>4.0</v>
      </c>
      <c r="F10" s="45">
        <v>53.0</v>
      </c>
      <c r="G10" s="45">
        <v>57.0</v>
      </c>
      <c r="H10" s="45">
        <v>0.859649122807017</v>
      </c>
      <c r="I10" s="46" t="b">
        <v>1</v>
      </c>
      <c r="J10" s="12" t="s">
        <v>366</v>
      </c>
      <c r="K10" s="13" t="s">
        <v>367</v>
      </c>
    </row>
    <row r="11">
      <c r="A11" s="43" t="s">
        <v>375</v>
      </c>
      <c r="B11" s="43" t="s">
        <v>258</v>
      </c>
      <c r="C11" s="43" t="s">
        <v>259</v>
      </c>
      <c r="D11" s="44">
        <v>15.0</v>
      </c>
      <c r="E11" s="45">
        <v>10.0</v>
      </c>
      <c r="F11" s="45">
        <v>1.0</v>
      </c>
      <c r="G11" s="45">
        <v>11.0</v>
      </c>
      <c r="H11" s="45">
        <v>0.818181818181818</v>
      </c>
      <c r="I11" s="46" t="b">
        <v>0</v>
      </c>
      <c r="J11" s="12" t="s">
        <v>366</v>
      </c>
      <c r="K11" s="13" t="s">
        <v>367</v>
      </c>
    </row>
    <row r="12">
      <c r="A12" s="43" t="s">
        <v>365</v>
      </c>
      <c r="B12" s="43" t="s">
        <v>234</v>
      </c>
      <c r="C12" s="43" t="s">
        <v>235</v>
      </c>
      <c r="D12" s="44">
        <v>15.0</v>
      </c>
      <c r="E12" s="45">
        <v>8.0</v>
      </c>
      <c r="F12" s="45">
        <v>1.0</v>
      </c>
      <c r="G12" s="45">
        <v>9.0</v>
      </c>
      <c r="H12" s="45">
        <v>0.777777777777777</v>
      </c>
      <c r="I12" s="46" t="b">
        <v>0</v>
      </c>
      <c r="J12" s="12" t="s">
        <v>376</v>
      </c>
      <c r="K12" s="13" t="s">
        <v>367</v>
      </c>
    </row>
    <row r="13">
      <c r="A13" s="43" t="s">
        <v>377</v>
      </c>
      <c r="B13" s="43" t="s">
        <v>298</v>
      </c>
      <c r="C13" s="43" t="s">
        <v>299</v>
      </c>
      <c r="D13" s="44">
        <v>15.0</v>
      </c>
      <c r="E13" s="45">
        <v>8.0</v>
      </c>
      <c r="F13" s="45">
        <v>1.0</v>
      </c>
      <c r="G13" s="45">
        <v>9.0</v>
      </c>
      <c r="H13" s="45">
        <v>0.777777777777777</v>
      </c>
      <c r="I13" s="46" t="b">
        <v>0</v>
      </c>
      <c r="J13" s="12" t="s">
        <v>376</v>
      </c>
      <c r="K13" s="13" t="s">
        <v>367</v>
      </c>
    </row>
    <row r="14">
      <c r="A14" s="43" t="s">
        <v>377</v>
      </c>
      <c r="B14" s="43" t="s">
        <v>171</v>
      </c>
      <c r="C14" s="43" t="s">
        <v>172</v>
      </c>
      <c r="D14" s="44">
        <v>15.0</v>
      </c>
      <c r="E14" s="45">
        <v>8.0</v>
      </c>
      <c r="F14" s="45">
        <v>1.0</v>
      </c>
      <c r="G14" s="45">
        <v>9.0</v>
      </c>
      <c r="H14" s="45">
        <v>0.777777777777777</v>
      </c>
      <c r="I14" s="46" t="b">
        <v>0</v>
      </c>
      <c r="J14" s="12" t="s">
        <v>376</v>
      </c>
      <c r="K14" s="13" t="s">
        <v>367</v>
      </c>
    </row>
    <row r="15">
      <c r="A15" s="43" t="s">
        <v>378</v>
      </c>
      <c r="B15" s="43" t="s">
        <v>274</v>
      </c>
      <c r="C15" s="43" t="s">
        <v>275</v>
      </c>
      <c r="D15" s="44">
        <v>15.0</v>
      </c>
      <c r="E15" s="45">
        <v>8.0</v>
      </c>
      <c r="F15" s="45">
        <v>1.0</v>
      </c>
      <c r="G15" s="45">
        <v>9.0</v>
      </c>
      <c r="H15" s="45">
        <v>0.777777777777777</v>
      </c>
      <c r="I15" s="46" t="b">
        <v>0</v>
      </c>
      <c r="J15" s="12" t="s">
        <v>376</v>
      </c>
      <c r="K15" s="13" t="s">
        <v>367</v>
      </c>
    </row>
    <row r="16">
      <c r="A16" s="43" t="s">
        <v>377</v>
      </c>
      <c r="B16" s="43" t="s">
        <v>97</v>
      </c>
      <c r="C16" s="43" t="s">
        <v>98</v>
      </c>
      <c r="D16" s="44">
        <v>15.0</v>
      </c>
      <c r="E16" s="45">
        <v>8.0</v>
      </c>
      <c r="F16" s="45">
        <v>1.0</v>
      </c>
      <c r="G16" s="45">
        <v>9.0</v>
      </c>
      <c r="H16" s="45">
        <v>0.777777777777777</v>
      </c>
      <c r="I16" s="46" t="b">
        <v>0</v>
      </c>
      <c r="J16" s="12" t="s">
        <v>376</v>
      </c>
      <c r="K16" s="13" t="s">
        <v>367</v>
      </c>
    </row>
    <row r="17">
      <c r="A17" s="43" t="s">
        <v>379</v>
      </c>
      <c r="B17" s="43" t="s">
        <v>212</v>
      </c>
      <c r="C17" s="43" t="s">
        <v>213</v>
      </c>
      <c r="D17" s="44">
        <v>15.0</v>
      </c>
      <c r="E17" s="45">
        <v>2.0</v>
      </c>
      <c r="F17" s="45">
        <v>15.0</v>
      </c>
      <c r="G17" s="45">
        <v>17.0</v>
      </c>
      <c r="H17" s="45">
        <v>0.764705882352941</v>
      </c>
      <c r="I17" s="46" t="b">
        <v>1</v>
      </c>
      <c r="J17" s="12" t="s">
        <v>376</v>
      </c>
      <c r="K17" s="13" t="s">
        <v>367</v>
      </c>
    </row>
    <row r="18">
      <c r="A18" s="43" t="s">
        <v>378</v>
      </c>
      <c r="B18" s="43" t="s">
        <v>158</v>
      </c>
      <c r="C18" s="43" t="s">
        <v>159</v>
      </c>
      <c r="D18" s="44">
        <v>15.0</v>
      </c>
      <c r="E18" s="45">
        <v>2.0</v>
      </c>
      <c r="F18" s="45">
        <v>10.0</v>
      </c>
      <c r="G18" s="45">
        <v>12.0</v>
      </c>
      <c r="H18" s="45">
        <v>0.666666666666666</v>
      </c>
      <c r="I18" s="46" t="b">
        <v>1</v>
      </c>
      <c r="J18" s="12" t="s">
        <v>376</v>
      </c>
      <c r="K18" s="13" t="s">
        <v>367</v>
      </c>
    </row>
    <row r="19">
      <c r="A19" s="43" t="s">
        <v>380</v>
      </c>
      <c r="B19" s="43" t="s">
        <v>204</v>
      </c>
      <c r="C19" s="43" t="s">
        <v>205</v>
      </c>
      <c r="D19" s="44">
        <v>15.0</v>
      </c>
      <c r="E19" s="45">
        <v>2.0</v>
      </c>
      <c r="F19" s="45">
        <v>9.0</v>
      </c>
      <c r="G19" s="45">
        <v>11.0</v>
      </c>
      <c r="H19" s="45">
        <v>0.636363636363636</v>
      </c>
      <c r="I19" s="46" t="b">
        <v>1</v>
      </c>
      <c r="J19" s="12" t="s">
        <v>376</v>
      </c>
      <c r="K19" s="13" t="s">
        <v>367</v>
      </c>
    </row>
    <row r="20">
      <c r="A20" s="43" t="s">
        <v>381</v>
      </c>
      <c r="B20" s="43" t="s">
        <v>222</v>
      </c>
      <c r="C20" s="43" t="s">
        <v>223</v>
      </c>
      <c r="D20" s="44">
        <v>15.0</v>
      </c>
      <c r="E20" s="45">
        <v>2.0</v>
      </c>
      <c r="F20" s="45">
        <v>9.0</v>
      </c>
      <c r="G20" s="45">
        <v>11.0</v>
      </c>
      <c r="H20" s="45">
        <v>0.636363636363636</v>
      </c>
      <c r="I20" s="46" t="b">
        <v>1</v>
      </c>
      <c r="J20" s="12" t="s">
        <v>376</v>
      </c>
      <c r="K20" s="13" t="s">
        <v>367</v>
      </c>
    </row>
    <row r="21">
      <c r="A21" s="43" t="s">
        <v>378</v>
      </c>
      <c r="B21" s="43" t="s">
        <v>152</v>
      </c>
      <c r="C21" s="43" t="s">
        <v>153</v>
      </c>
      <c r="D21" s="44">
        <v>15.0</v>
      </c>
      <c r="E21" s="45">
        <v>2.0</v>
      </c>
      <c r="F21" s="45">
        <v>9.0</v>
      </c>
      <c r="G21" s="45">
        <v>11.0</v>
      </c>
      <c r="H21" s="45">
        <v>0.636363636363636</v>
      </c>
      <c r="I21" s="46" t="b">
        <v>1</v>
      </c>
      <c r="J21" s="12" t="s">
        <v>376</v>
      </c>
      <c r="K21" s="13" t="s">
        <v>367</v>
      </c>
    </row>
    <row r="22">
      <c r="A22" s="43" t="s">
        <v>382</v>
      </c>
      <c r="B22" s="43" t="s">
        <v>175</v>
      </c>
      <c r="C22" s="43" t="s">
        <v>176</v>
      </c>
      <c r="D22" s="44">
        <v>15.0</v>
      </c>
      <c r="E22" s="45">
        <v>8.0</v>
      </c>
      <c r="F22" s="45">
        <v>2.0</v>
      </c>
      <c r="G22" s="45">
        <v>10.0</v>
      </c>
      <c r="H22" s="45">
        <v>0.6</v>
      </c>
      <c r="I22" s="46" t="b">
        <v>0</v>
      </c>
      <c r="J22" s="12" t="s">
        <v>383</v>
      </c>
      <c r="K22" s="13" t="s">
        <v>367</v>
      </c>
    </row>
    <row r="23">
      <c r="A23" s="43" t="s">
        <v>384</v>
      </c>
      <c r="B23" s="43" t="s">
        <v>134</v>
      </c>
      <c r="C23" s="43" t="s">
        <v>135</v>
      </c>
      <c r="D23" s="44">
        <v>15.0</v>
      </c>
      <c r="E23" s="45">
        <v>2.0</v>
      </c>
      <c r="F23" s="45">
        <v>8.0</v>
      </c>
      <c r="G23" s="45">
        <v>10.0</v>
      </c>
      <c r="H23" s="45">
        <v>0.6</v>
      </c>
      <c r="I23" s="46" t="b">
        <v>1</v>
      </c>
      <c r="J23" s="12" t="s">
        <v>383</v>
      </c>
      <c r="K23" s="13" t="s">
        <v>367</v>
      </c>
    </row>
    <row r="24">
      <c r="A24" s="43" t="s">
        <v>385</v>
      </c>
      <c r="B24" s="43" t="s">
        <v>150</v>
      </c>
      <c r="C24" s="43" t="s">
        <v>151</v>
      </c>
      <c r="D24" s="44">
        <v>15.0</v>
      </c>
      <c r="E24" s="45">
        <v>8.0</v>
      </c>
      <c r="F24" s="45">
        <v>2.0</v>
      </c>
      <c r="G24" s="45">
        <v>10.0</v>
      </c>
      <c r="H24" s="45">
        <v>0.6</v>
      </c>
      <c r="I24" s="46" t="b">
        <v>0</v>
      </c>
      <c r="J24" s="12" t="s">
        <v>383</v>
      </c>
      <c r="K24" s="13" t="s">
        <v>367</v>
      </c>
    </row>
    <row r="25">
      <c r="A25" s="43" t="s">
        <v>386</v>
      </c>
      <c r="B25" s="43" t="s">
        <v>177</v>
      </c>
      <c r="C25" s="43" t="s">
        <v>178</v>
      </c>
      <c r="D25" s="44">
        <v>15.0</v>
      </c>
      <c r="E25" s="45">
        <v>2.0</v>
      </c>
      <c r="F25" s="45">
        <v>8.0</v>
      </c>
      <c r="G25" s="45">
        <v>10.0</v>
      </c>
      <c r="H25" s="45">
        <v>0.6</v>
      </c>
      <c r="I25" s="46" t="b">
        <v>1</v>
      </c>
      <c r="J25" s="12" t="s">
        <v>383</v>
      </c>
      <c r="K25" s="13" t="s">
        <v>367</v>
      </c>
    </row>
    <row r="26">
      <c r="A26" s="43" t="s">
        <v>387</v>
      </c>
      <c r="B26" s="43" t="s">
        <v>156</v>
      </c>
      <c r="C26" s="43" t="s">
        <v>157</v>
      </c>
      <c r="D26" s="44">
        <v>15.0</v>
      </c>
      <c r="E26" s="45">
        <v>2.0</v>
      </c>
      <c r="F26" s="45">
        <v>8.0</v>
      </c>
      <c r="G26" s="45">
        <v>10.0</v>
      </c>
      <c r="H26" s="45">
        <v>0.6</v>
      </c>
      <c r="I26" s="46" t="b">
        <v>1</v>
      </c>
      <c r="J26" s="12" t="s">
        <v>383</v>
      </c>
      <c r="K26" s="13" t="s">
        <v>367</v>
      </c>
    </row>
    <row r="27">
      <c r="A27" s="43" t="s">
        <v>386</v>
      </c>
      <c r="B27" s="43" t="s">
        <v>264</v>
      </c>
      <c r="C27" s="43" t="s">
        <v>265</v>
      </c>
      <c r="D27" s="44">
        <v>15.0</v>
      </c>
      <c r="E27" s="45">
        <v>7.0</v>
      </c>
      <c r="F27" s="45">
        <v>2.0</v>
      </c>
      <c r="G27" s="45">
        <v>9.0</v>
      </c>
      <c r="H27" s="45">
        <v>0.555555555555555</v>
      </c>
      <c r="I27" s="46" t="b">
        <v>0</v>
      </c>
      <c r="J27" s="12" t="s">
        <v>383</v>
      </c>
      <c r="K27" s="13" t="s">
        <v>367</v>
      </c>
    </row>
    <row r="28">
      <c r="A28" s="43" t="s">
        <v>388</v>
      </c>
      <c r="B28" s="43" t="s">
        <v>120</v>
      </c>
      <c r="C28" s="43" t="s">
        <v>121</v>
      </c>
      <c r="D28" s="44">
        <v>15.0</v>
      </c>
      <c r="E28" s="45">
        <v>7.0</v>
      </c>
      <c r="F28" s="45">
        <v>2.0</v>
      </c>
      <c r="G28" s="45">
        <v>9.0</v>
      </c>
      <c r="H28" s="45">
        <v>0.555555555555555</v>
      </c>
      <c r="I28" s="46" t="b">
        <v>0</v>
      </c>
      <c r="J28" s="12" t="s">
        <v>383</v>
      </c>
      <c r="K28" s="13" t="s">
        <v>367</v>
      </c>
    </row>
    <row r="29">
      <c r="A29" s="43" t="s">
        <v>389</v>
      </c>
      <c r="B29" s="43" t="s">
        <v>246</v>
      </c>
      <c r="C29" s="43" t="s">
        <v>247</v>
      </c>
      <c r="D29" s="44">
        <v>15.0</v>
      </c>
      <c r="E29" s="45">
        <v>7.0</v>
      </c>
      <c r="F29" s="45">
        <v>2.0</v>
      </c>
      <c r="G29" s="45">
        <v>9.0</v>
      </c>
      <c r="H29" s="45">
        <v>0.555555555555555</v>
      </c>
      <c r="I29" s="46" t="b">
        <v>0</v>
      </c>
      <c r="J29" s="12" t="s">
        <v>383</v>
      </c>
      <c r="K29" s="13" t="s">
        <v>367</v>
      </c>
    </row>
    <row r="30">
      <c r="A30" s="43" t="s">
        <v>390</v>
      </c>
      <c r="B30" s="43" t="s">
        <v>244</v>
      </c>
      <c r="C30" s="43" t="s">
        <v>245</v>
      </c>
      <c r="D30" s="44">
        <v>15.0</v>
      </c>
      <c r="E30" s="45">
        <v>3.0</v>
      </c>
      <c r="F30" s="45">
        <v>9.0</v>
      </c>
      <c r="G30" s="45">
        <v>12.0</v>
      </c>
      <c r="H30" s="45">
        <v>0.5</v>
      </c>
      <c r="I30" s="46" t="b">
        <v>1</v>
      </c>
      <c r="J30" s="12" t="s">
        <v>383</v>
      </c>
      <c r="K30" s="13" t="s">
        <v>367</v>
      </c>
    </row>
    <row r="31">
      <c r="A31" s="43" t="s">
        <v>379</v>
      </c>
      <c r="B31" s="43" t="s">
        <v>162</v>
      </c>
      <c r="C31" s="43" t="s">
        <v>163</v>
      </c>
      <c r="D31" s="44">
        <v>15.0</v>
      </c>
      <c r="E31" s="45">
        <v>3.0</v>
      </c>
      <c r="F31" s="45">
        <v>9.0</v>
      </c>
      <c r="G31" s="45">
        <v>12.0</v>
      </c>
      <c r="H31" s="45">
        <v>0.5</v>
      </c>
      <c r="I31" s="46" t="b">
        <v>1</v>
      </c>
      <c r="J31" s="12" t="s">
        <v>383</v>
      </c>
      <c r="K31" s="13" t="s">
        <v>367</v>
      </c>
    </row>
    <row r="32">
      <c r="A32" s="43" t="s">
        <v>391</v>
      </c>
      <c r="B32" s="43" t="s">
        <v>99</v>
      </c>
      <c r="C32" s="43" t="s">
        <v>100</v>
      </c>
      <c r="D32" s="44">
        <v>15.0</v>
      </c>
      <c r="E32" s="45">
        <v>3.0</v>
      </c>
      <c r="F32" s="45">
        <v>7.0</v>
      </c>
      <c r="G32" s="45">
        <v>10.0</v>
      </c>
      <c r="H32" s="45">
        <v>0.4</v>
      </c>
      <c r="I32" s="46" t="b">
        <v>1</v>
      </c>
      <c r="J32" s="12" t="s">
        <v>392</v>
      </c>
      <c r="K32" s="13" t="s">
        <v>367</v>
      </c>
    </row>
    <row r="33">
      <c r="A33" s="43" t="s">
        <v>393</v>
      </c>
      <c r="B33" s="43" t="s">
        <v>267</v>
      </c>
      <c r="C33" s="43" t="s">
        <v>268</v>
      </c>
      <c r="D33" s="44">
        <v>15.0</v>
      </c>
      <c r="E33" s="45">
        <v>7.0</v>
      </c>
      <c r="F33" s="45">
        <v>3.0</v>
      </c>
      <c r="G33" s="45">
        <v>10.0</v>
      </c>
      <c r="H33" s="45">
        <v>0.4</v>
      </c>
      <c r="I33" s="46" t="b">
        <v>0</v>
      </c>
      <c r="J33" s="12" t="s">
        <v>392</v>
      </c>
      <c r="K33" s="13" t="s">
        <v>367</v>
      </c>
    </row>
    <row r="34">
      <c r="A34" s="43" t="s">
        <v>394</v>
      </c>
      <c r="B34" s="43" t="s">
        <v>173</v>
      </c>
      <c r="C34" s="43" t="s">
        <v>174</v>
      </c>
      <c r="D34" s="44">
        <v>15.0</v>
      </c>
      <c r="E34" s="45">
        <v>3.0</v>
      </c>
      <c r="F34" s="45">
        <v>7.0</v>
      </c>
      <c r="G34" s="45">
        <v>10.0</v>
      </c>
      <c r="H34" s="45">
        <v>0.4</v>
      </c>
      <c r="I34" s="46" t="b">
        <v>1</v>
      </c>
      <c r="J34" s="12" t="s">
        <v>392</v>
      </c>
      <c r="K34" s="13" t="s">
        <v>367</v>
      </c>
    </row>
    <row r="35">
      <c r="A35" s="43" t="s">
        <v>368</v>
      </c>
      <c r="B35" s="43" t="s">
        <v>238</v>
      </c>
      <c r="C35" s="43" t="s">
        <v>239</v>
      </c>
      <c r="D35" s="44">
        <v>15.0</v>
      </c>
      <c r="E35" s="45">
        <v>6.0</v>
      </c>
      <c r="F35" s="45">
        <v>14.0</v>
      </c>
      <c r="G35" s="45">
        <v>20.0</v>
      </c>
      <c r="H35" s="45">
        <v>0.4</v>
      </c>
      <c r="I35" s="46" t="b">
        <v>1</v>
      </c>
      <c r="J35" s="12" t="s">
        <v>392</v>
      </c>
      <c r="K35" s="13" t="s">
        <v>367</v>
      </c>
    </row>
    <row r="36">
      <c r="A36" s="43" t="s">
        <v>369</v>
      </c>
      <c r="B36" s="43" t="s">
        <v>240</v>
      </c>
      <c r="C36" s="43" t="s">
        <v>241</v>
      </c>
      <c r="D36" s="44">
        <v>15.0</v>
      </c>
      <c r="E36" s="45">
        <v>6.0</v>
      </c>
      <c r="F36" s="45">
        <v>3.0</v>
      </c>
      <c r="G36" s="45">
        <v>9.0</v>
      </c>
      <c r="H36" s="45">
        <v>0.333333333333333</v>
      </c>
      <c r="I36" s="46" t="b">
        <v>0</v>
      </c>
      <c r="J36" s="12" t="s">
        <v>392</v>
      </c>
      <c r="K36" s="13" t="s">
        <v>367</v>
      </c>
    </row>
    <row r="37">
      <c r="A37" s="43" t="s">
        <v>381</v>
      </c>
      <c r="B37" s="43" t="s">
        <v>300</v>
      </c>
      <c r="C37" s="43" t="s">
        <v>301</v>
      </c>
      <c r="D37" s="44">
        <v>15.0</v>
      </c>
      <c r="E37" s="45">
        <v>6.0</v>
      </c>
      <c r="F37" s="45">
        <v>3.0</v>
      </c>
      <c r="G37" s="45">
        <v>9.0</v>
      </c>
      <c r="H37" s="45">
        <v>0.333333333333333</v>
      </c>
      <c r="I37" s="46" t="b">
        <v>0</v>
      </c>
      <c r="J37" s="12" t="s">
        <v>392</v>
      </c>
      <c r="K37" s="13" t="s">
        <v>367</v>
      </c>
    </row>
    <row r="38">
      <c r="A38" s="43" t="s">
        <v>385</v>
      </c>
      <c r="B38" s="43" t="s">
        <v>208</v>
      </c>
      <c r="C38" s="43" t="s">
        <v>209</v>
      </c>
      <c r="D38" s="44">
        <v>15.0</v>
      </c>
      <c r="E38" s="45">
        <v>6.0</v>
      </c>
      <c r="F38" s="45">
        <v>3.0</v>
      </c>
      <c r="G38" s="45">
        <v>9.0</v>
      </c>
      <c r="H38" s="45">
        <v>0.333333333333333</v>
      </c>
      <c r="I38" s="46" t="b">
        <v>0</v>
      </c>
      <c r="J38" s="12" t="s">
        <v>392</v>
      </c>
      <c r="K38" s="13" t="s">
        <v>367</v>
      </c>
    </row>
    <row r="39">
      <c r="A39" s="43" t="s">
        <v>395</v>
      </c>
      <c r="B39" s="43" t="s">
        <v>138</v>
      </c>
      <c r="C39" s="43" t="s">
        <v>139</v>
      </c>
      <c r="D39" s="44">
        <v>15.0</v>
      </c>
      <c r="E39" s="45">
        <v>4.0</v>
      </c>
      <c r="F39" s="45">
        <v>8.0</v>
      </c>
      <c r="G39" s="45">
        <v>12.0</v>
      </c>
      <c r="H39" s="45">
        <v>0.333333333333333</v>
      </c>
      <c r="I39" s="46" t="b">
        <v>1</v>
      </c>
      <c r="J39" s="12" t="s">
        <v>392</v>
      </c>
      <c r="K39" s="13" t="s">
        <v>367</v>
      </c>
    </row>
    <row r="40">
      <c r="A40" s="43" t="s">
        <v>396</v>
      </c>
      <c r="B40" s="43" t="s">
        <v>160</v>
      </c>
      <c r="C40" s="43" t="s">
        <v>161</v>
      </c>
      <c r="D40" s="44">
        <v>15.0</v>
      </c>
      <c r="E40" s="45">
        <v>6.0</v>
      </c>
      <c r="F40" s="45">
        <v>11.0</v>
      </c>
      <c r="G40" s="45">
        <v>17.0</v>
      </c>
      <c r="H40" s="45">
        <v>0.294117647058823</v>
      </c>
      <c r="I40" s="46" t="b">
        <v>1</v>
      </c>
      <c r="J40" s="12" t="s">
        <v>392</v>
      </c>
      <c r="K40" s="13" t="s">
        <v>367</v>
      </c>
    </row>
    <row r="41">
      <c r="A41" s="43" t="s">
        <v>394</v>
      </c>
      <c r="B41" s="43" t="s">
        <v>107</v>
      </c>
      <c r="C41" s="43" t="s">
        <v>108</v>
      </c>
      <c r="D41" s="44">
        <v>15.0</v>
      </c>
      <c r="E41" s="45">
        <v>7.0</v>
      </c>
      <c r="F41" s="45">
        <v>4.0</v>
      </c>
      <c r="G41" s="45">
        <v>11.0</v>
      </c>
      <c r="H41" s="45">
        <v>0.272727272727272</v>
      </c>
      <c r="I41" s="46" t="b">
        <v>0</v>
      </c>
      <c r="J41" s="12" t="s">
        <v>392</v>
      </c>
      <c r="K41" s="13" t="s">
        <v>367</v>
      </c>
    </row>
    <row r="42">
      <c r="A42" s="43" t="s">
        <v>375</v>
      </c>
      <c r="B42" s="43" t="s">
        <v>132</v>
      </c>
      <c r="C42" s="43" t="s">
        <v>133</v>
      </c>
      <c r="D42" s="44">
        <v>15.0</v>
      </c>
      <c r="E42" s="45">
        <v>6.0</v>
      </c>
      <c r="F42" s="45">
        <v>4.0</v>
      </c>
      <c r="G42" s="45">
        <v>10.0</v>
      </c>
      <c r="H42" s="45">
        <v>0.2</v>
      </c>
      <c r="I42" s="46" t="b">
        <v>0</v>
      </c>
      <c r="J42" s="12" t="s">
        <v>397</v>
      </c>
      <c r="K42" s="13" t="s">
        <v>367</v>
      </c>
    </row>
    <row r="43">
      <c r="A43" s="43" t="s">
        <v>398</v>
      </c>
      <c r="B43" s="43" t="s">
        <v>168</v>
      </c>
      <c r="C43" s="43" t="s">
        <v>169</v>
      </c>
      <c r="D43" s="44">
        <v>15.0</v>
      </c>
      <c r="E43" s="45">
        <v>6.0</v>
      </c>
      <c r="F43" s="45">
        <v>4.0</v>
      </c>
      <c r="G43" s="45">
        <v>10.0</v>
      </c>
      <c r="H43" s="45">
        <v>0.2</v>
      </c>
      <c r="I43" s="46" t="b">
        <v>0</v>
      </c>
      <c r="J43" s="12" t="s">
        <v>397</v>
      </c>
      <c r="K43" s="13" t="s">
        <v>367</v>
      </c>
    </row>
    <row r="44">
      <c r="A44" s="43" t="s">
        <v>384</v>
      </c>
      <c r="B44" s="43" t="s">
        <v>262</v>
      </c>
      <c r="C44" s="43" t="s">
        <v>263</v>
      </c>
      <c r="D44" s="44">
        <v>15.0</v>
      </c>
      <c r="E44" s="45">
        <v>6.0</v>
      </c>
      <c r="F44" s="45">
        <v>4.0</v>
      </c>
      <c r="G44" s="45">
        <v>10.0</v>
      </c>
      <c r="H44" s="45">
        <v>0.2</v>
      </c>
      <c r="I44" s="46" t="b">
        <v>0</v>
      </c>
      <c r="J44" s="12" t="s">
        <v>397</v>
      </c>
      <c r="K44" s="13" t="s">
        <v>367</v>
      </c>
    </row>
    <row r="45">
      <c r="A45" s="43" t="s">
        <v>377</v>
      </c>
      <c r="B45" s="43" t="s">
        <v>146</v>
      </c>
      <c r="C45" s="43" t="s">
        <v>147</v>
      </c>
      <c r="D45" s="44">
        <v>15.0</v>
      </c>
      <c r="E45" s="45">
        <v>6.0</v>
      </c>
      <c r="F45" s="45">
        <v>4.0</v>
      </c>
      <c r="G45" s="45">
        <v>10.0</v>
      </c>
      <c r="H45" s="45">
        <v>0.2</v>
      </c>
      <c r="I45" s="46" t="b">
        <v>0</v>
      </c>
      <c r="J45" s="12" t="s">
        <v>397</v>
      </c>
      <c r="K45" s="13" t="s">
        <v>367</v>
      </c>
    </row>
    <row r="46">
      <c r="A46" s="43" t="s">
        <v>381</v>
      </c>
      <c r="B46" s="43" t="s">
        <v>260</v>
      </c>
      <c r="C46" s="43" t="s">
        <v>261</v>
      </c>
      <c r="D46" s="44">
        <v>15.0</v>
      </c>
      <c r="E46" s="45">
        <v>6.0</v>
      </c>
      <c r="F46" s="45">
        <v>4.0</v>
      </c>
      <c r="G46" s="45">
        <v>10.0</v>
      </c>
      <c r="H46" s="45">
        <v>0.2</v>
      </c>
      <c r="I46" s="46" t="b">
        <v>0</v>
      </c>
      <c r="J46" s="12" t="s">
        <v>397</v>
      </c>
      <c r="K46" s="13" t="s">
        <v>367</v>
      </c>
    </row>
    <row r="47">
      <c r="A47" s="43" t="s">
        <v>399</v>
      </c>
      <c r="B47" s="43" t="s">
        <v>232</v>
      </c>
      <c r="C47" s="43" t="s">
        <v>233</v>
      </c>
      <c r="D47" s="44">
        <v>15.0</v>
      </c>
      <c r="E47" s="45">
        <v>5.0</v>
      </c>
      <c r="F47" s="45">
        <v>7.0</v>
      </c>
      <c r="G47" s="45">
        <v>12.0</v>
      </c>
      <c r="H47" s="45">
        <v>0.166666666666666</v>
      </c>
      <c r="I47" s="46" t="b">
        <v>1</v>
      </c>
      <c r="J47" s="12" t="s">
        <v>397</v>
      </c>
      <c r="K47" s="13" t="s">
        <v>367</v>
      </c>
    </row>
    <row r="48">
      <c r="A48" s="43" t="s">
        <v>400</v>
      </c>
      <c r="B48" s="43" t="s">
        <v>256</v>
      </c>
      <c r="C48" s="43" t="s">
        <v>257</v>
      </c>
      <c r="D48" s="44">
        <v>15.0</v>
      </c>
      <c r="E48" s="45">
        <v>5.0</v>
      </c>
      <c r="F48" s="45">
        <v>7.0</v>
      </c>
      <c r="G48" s="45">
        <v>12.0</v>
      </c>
      <c r="H48" s="45">
        <v>0.166666666666666</v>
      </c>
      <c r="I48" s="46" t="b">
        <v>1</v>
      </c>
      <c r="J48" s="12" t="s">
        <v>397</v>
      </c>
      <c r="K48" s="13" t="s">
        <v>367</v>
      </c>
    </row>
    <row r="49">
      <c r="A49" s="43" t="s">
        <v>401</v>
      </c>
      <c r="B49" s="43" t="s">
        <v>200</v>
      </c>
      <c r="C49" s="43" t="s">
        <v>201</v>
      </c>
      <c r="D49" s="44">
        <v>15.0</v>
      </c>
      <c r="E49" s="45">
        <v>5.0</v>
      </c>
      <c r="F49" s="45">
        <v>6.0</v>
      </c>
      <c r="G49" s="45">
        <v>11.0</v>
      </c>
      <c r="H49" s="45">
        <v>0.0909090909090909</v>
      </c>
      <c r="I49" s="46" t="b">
        <v>1</v>
      </c>
      <c r="J49" s="12" t="s">
        <v>397</v>
      </c>
      <c r="K49" s="13" t="s">
        <v>367</v>
      </c>
    </row>
    <row r="50">
      <c r="A50" s="43" t="s">
        <v>396</v>
      </c>
      <c r="B50" s="43" t="s">
        <v>140</v>
      </c>
      <c r="C50" s="43" t="s">
        <v>141</v>
      </c>
      <c r="D50" s="44">
        <v>15.0</v>
      </c>
      <c r="E50" s="45">
        <v>5.0</v>
      </c>
      <c r="F50" s="45">
        <v>6.0</v>
      </c>
      <c r="G50" s="45">
        <v>11.0</v>
      </c>
      <c r="H50" s="45">
        <v>0.0909090909090909</v>
      </c>
      <c r="I50" s="46" t="b">
        <v>1</v>
      </c>
      <c r="J50" s="12" t="s">
        <v>397</v>
      </c>
      <c r="K50" s="13" t="s">
        <v>367</v>
      </c>
    </row>
    <row r="51">
      <c r="A51" s="43" t="s">
        <v>402</v>
      </c>
      <c r="B51" s="43" t="s">
        <v>269</v>
      </c>
      <c r="C51" s="43" t="s">
        <v>270</v>
      </c>
      <c r="D51" s="44">
        <v>15.0</v>
      </c>
      <c r="E51" s="45">
        <v>449.0</v>
      </c>
      <c r="F51" s="45">
        <v>522.0</v>
      </c>
      <c r="G51" s="45">
        <v>971.0</v>
      </c>
      <c r="H51" s="45">
        <v>0.0751802265705458</v>
      </c>
      <c r="I51" s="46" t="b">
        <v>1</v>
      </c>
      <c r="J51" s="12" t="s">
        <v>397</v>
      </c>
      <c r="K51" s="13" t="s">
        <v>367</v>
      </c>
    </row>
    <row r="52">
      <c r="A52" s="43" t="s">
        <v>403</v>
      </c>
      <c r="B52" s="43" t="s">
        <v>242</v>
      </c>
      <c r="C52" s="43" t="s">
        <v>243</v>
      </c>
      <c r="D52" s="44">
        <v>15.0</v>
      </c>
      <c r="E52" s="45">
        <v>7.0</v>
      </c>
      <c r="F52" s="45">
        <v>1.0</v>
      </c>
      <c r="G52" s="45">
        <v>8.0</v>
      </c>
      <c r="H52" s="45">
        <v>0.75</v>
      </c>
      <c r="I52" s="46" t="b">
        <v>0</v>
      </c>
      <c r="J52" s="12" t="s">
        <v>376</v>
      </c>
      <c r="K52" s="12" t="s">
        <v>33</v>
      </c>
    </row>
    <row r="53">
      <c r="A53" s="43" t="s">
        <v>404</v>
      </c>
      <c r="B53" s="43" t="s">
        <v>136</v>
      </c>
      <c r="C53" s="43" t="s">
        <v>137</v>
      </c>
      <c r="D53" s="44">
        <v>15.0</v>
      </c>
      <c r="E53" s="45">
        <v>1.0</v>
      </c>
      <c r="F53" s="45">
        <v>2.0</v>
      </c>
      <c r="G53" s="45">
        <v>3.0</v>
      </c>
      <c r="H53" s="45">
        <v>0.333333333333333</v>
      </c>
      <c r="I53" s="46" t="b">
        <v>1</v>
      </c>
      <c r="J53" s="12" t="s">
        <v>392</v>
      </c>
      <c r="K53" s="12" t="s">
        <v>33</v>
      </c>
    </row>
    <row r="54">
      <c r="A54" s="43" t="s">
        <v>405</v>
      </c>
      <c r="B54" s="43" t="s">
        <v>124</v>
      </c>
      <c r="C54" s="43" t="s">
        <v>125</v>
      </c>
      <c r="D54" s="44">
        <v>15.0</v>
      </c>
      <c r="E54" s="45">
        <v>0.0</v>
      </c>
      <c r="F54" s="45">
        <v>9.0</v>
      </c>
      <c r="G54" s="45">
        <v>9.0</v>
      </c>
      <c r="H54" s="45">
        <v>1.0</v>
      </c>
      <c r="I54" s="46" t="b">
        <v>1</v>
      </c>
      <c r="J54" s="12" t="s">
        <v>366</v>
      </c>
      <c r="K54" s="12" t="s">
        <v>406</v>
      </c>
    </row>
    <row r="55">
      <c r="A55" s="43" t="s">
        <v>393</v>
      </c>
      <c r="B55" s="43" t="s">
        <v>110</v>
      </c>
      <c r="C55" s="43" t="s">
        <v>111</v>
      </c>
      <c r="D55" s="44">
        <v>15.0</v>
      </c>
      <c r="E55" s="45">
        <v>8.0</v>
      </c>
      <c r="F55" s="45">
        <v>1.0</v>
      </c>
      <c r="G55" s="45">
        <v>9.0</v>
      </c>
      <c r="H55" s="45">
        <v>0.777777777777777</v>
      </c>
      <c r="I55" s="46" t="b">
        <v>0</v>
      </c>
      <c r="J55" s="12" t="s">
        <v>376</v>
      </c>
      <c r="K55" s="12" t="s">
        <v>406</v>
      </c>
    </row>
    <row r="56">
      <c r="A56" s="43" t="s">
        <v>381</v>
      </c>
      <c r="B56" s="43" t="s">
        <v>192</v>
      </c>
      <c r="C56" s="43" t="s">
        <v>193</v>
      </c>
      <c r="D56" s="44">
        <v>15.0</v>
      </c>
      <c r="E56" s="45">
        <v>3.0</v>
      </c>
      <c r="F56" s="45">
        <v>2.0</v>
      </c>
      <c r="G56" s="45">
        <v>5.0</v>
      </c>
      <c r="H56" s="45">
        <v>0.2</v>
      </c>
      <c r="I56" s="46" t="b">
        <v>0</v>
      </c>
      <c r="J56" s="12" t="s">
        <v>397</v>
      </c>
      <c r="K56" s="12" t="s">
        <v>406</v>
      </c>
    </row>
    <row r="57">
      <c r="A57" s="43" t="s">
        <v>370</v>
      </c>
      <c r="B57" s="43" t="s">
        <v>291</v>
      </c>
      <c r="C57" s="43" t="s">
        <v>292</v>
      </c>
      <c r="D57" s="44">
        <v>15.0</v>
      </c>
      <c r="E57" s="45">
        <v>4.0</v>
      </c>
      <c r="F57" s="45">
        <v>5.0</v>
      </c>
      <c r="G57" s="45">
        <v>9.0</v>
      </c>
      <c r="H57" s="45">
        <v>0.111111111111111</v>
      </c>
      <c r="I57" s="46" t="b">
        <v>1</v>
      </c>
      <c r="J57" s="12" t="s">
        <v>397</v>
      </c>
      <c r="K57" s="12" t="s">
        <v>406</v>
      </c>
    </row>
    <row r="58">
      <c r="A58" s="43" t="s">
        <v>407</v>
      </c>
      <c r="B58" s="43" t="s">
        <v>220</v>
      </c>
      <c r="C58" s="43" t="s">
        <v>221</v>
      </c>
      <c r="D58" s="44">
        <v>15.0</v>
      </c>
      <c r="E58" s="45">
        <v>3.0</v>
      </c>
      <c r="F58" s="45">
        <v>0.0</v>
      </c>
      <c r="G58" s="45">
        <v>3.0</v>
      </c>
      <c r="H58" s="45">
        <v>1.0</v>
      </c>
      <c r="I58" s="46" t="b">
        <v>0</v>
      </c>
      <c r="J58" s="12" t="s">
        <v>366</v>
      </c>
      <c r="K58" s="12" t="s">
        <v>408</v>
      </c>
    </row>
    <row r="59">
      <c r="A59" s="43" t="s">
        <v>409</v>
      </c>
      <c r="B59" s="43" t="s">
        <v>285</v>
      </c>
      <c r="C59" s="43" t="s">
        <v>286</v>
      </c>
      <c r="D59" s="44">
        <v>15.0</v>
      </c>
      <c r="E59" s="45">
        <v>1.0</v>
      </c>
      <c r="F59" s="45">
        <v>8.0</v>
      </c>
      <c r="G59" s="45">
        <v>9.0</v>
      </c>
      <c r="H59" s="45">
        <v>0.777777777777777</v>
      </c>
      <c r="I59" s="46" t="b">
        <v>1</v>
      </c>
      <c r="J59" s="12" t="s">
        <v>376</v>
      </c>
      <c r="K59" s="12" t="s">
        <v>408</v>
      </c>
    </row>
    <row r="60">
      <c r="A60" s="43" t="s">
        <v>410</v>
      </c>
      <c r="B60" s="43" t="s">
        <v>103</v>
      </c>
      <c r="C60" s="43" t="s">
        <v>104</v>
      </c>
      <c r="D60" s="44">
        <v>15.0</v>
      </c>
      <c r="E60" s="45">
        <v>2.0</v>
      </c>
      <c r="F60" s="45">
        <v>7.0</v>
      </c>
      <c r="G60" s="45">
        <v>9.0</v>
      </c>
      <c r="H60" s="45">
        <v>0.555555555555555</v>
      </c>
      <c r="I60" s="46" t="b">
        <v>1</v>
      </c>
      <c r="J60" s="12" t="s">
        <v>383</v>
      </c>
      <c r="K60" s="12" t="s">
        <v>408</v>
      </c>
    </row>
    <row r="61">
      <c r="A61" s="43" t="s">
        <v>411</v>
      </c>
      <c r="B61" s="43" t="s">
        <v>166</v>
      </c>
      <c r="C61" s="43" t="s">
        <v>167</v>
      </c>
      <c r="D61" s="44">
        <v>15.0</v>
      </c>
      <c r="E61" s="45">
        <v>2.0</v>
      </c>
      <c r="F61" s="45">
        <v>1.0</v>
      </c>
      <c r="G61" s="45">
        <v>3.0</v>
      </c>
      <c r="H61" s="45">
        <v>0.333333333333333</v>
      </c>
      <c r="I61" s="46" t="b">
        <v>0</v>
      </c>
      <c r="J61" s="12" t="s">
        <v>392</v>
      </c>
      <c r="K61" s="12" t="s">
        <v>408</v>
      </c>
    </row>
    <row r="62">
      <c r="A62" s="43" t="s">
        <v>365</v>
      </c>
      <c r="B62" s="43" t="s">
        <v>287</v>
      </c>
      <c r="C62" s="43" t="s">
        <v>288</v>
      </c>
      <c r="D62" s="44">
        <v>15.0</v>
      </c>
      <c r="E62" s="45">
        <v>9.0</v>
      </c>
      <c r="F62" s="45">
        <v>0.0</v>
      </c>
      <c r="G62" s="45">
        <v>9.0</v>
      </c>
      <c r="H62" s="45">
        <v>1.0</v>
      </c>
      <c r="I62" s="46" t="b">
        <v>0</v>
      </c>
      <c r="J62" s="12" t="s">
        <v>366</v>
      </c>
      <c r="K62" s="12" t="s">
        <v>412</v>
      </c>
    </row>
    <row r="63">
      <c r="A63" s="43" t="s">
        <v>413</v>
      </c>
      <c r="B63" s="43" t="s">
        <v>276</v>
      </c>
      <c r="C63" s="43" t="s">
        <v>277</v>
      </c>
      <c r="D63" s="44">
        <v>15.0</v>
      </c>
      <c r="E63" s="45">
        <v>1.0</v>
      </c>
      <c r="F63" s="45">
        <v>4.0</v>
      </c>
      <c r="G63" s="45">
        <v>5.0</v>
      </c>
      <c r="H63" s="45">
        <v>0.6</v>
      </c>
      <c r="I63" s="46" t="b">
        <v>1</v>
      </c>
      <c r="J63" s="12" t="s">
        <v>383</v>
      </c>
      <c r="K63" s="12" t="s">
        <v>412</v>
      </c>
    </row>
    <row r="64">
      <c r="A64" s="43" t="s">
        <v>381</v>
      </c>
      <c r="B64" s="43" t="s">
        <v>252</v>
      </c>
      <c r="C64" s="43" t="s">
        <v>253</v>
      </c>
      <c r="D64" s="44">
        <v>15.0</v>
      </c>
      <c r="E64" s="45">
        <v>7.0</v>
      </c>
      <c r="F64" s="45">
        <v>2.0</v>
      </c>
      <c r="G64" s="45">
        <v>9.0</v>
      </c>
      <c r="H64" s="45">
        <v>0.555555555555555</v>
      </c>
      <c r="I64" s="46" t="b">
        <v>0</v>
      </c>
      <c r="J64" s="12" t="s">
        <v>383</v>
      </c>
      <c r="K64" s="12" t="s">
        <v>412</v>
      </c>
    </row>
    <row r="65">
      <c r="A65" s="43" t="s">
        <v>414</v>
      </c>
      <c r="B65" s="43" t="s">
        <v>236</v>
      </c>
      <c r="C65" s="43" t="s">
        <v>237</v>
      </c>
      <c r="D65" s="44">
        <v>15.0</v>
      </c>
      <c r="E65" s="45">
        <v>3.0</v>
      </c>
      <c r="F65" s="45">
        <v>6.0</v>
      </c>
      <c r="G65" s="45">
        <v>9.0</v>
      </c>
      <c r="H65" s="45">
        <v>0.333333333333333</v>
      </c>
      <c r="I65" s="46" t="b">
        <v>1</v>
      </c>
      <c r="J65" s="12" t="s">
        <v>392</v>
      </c>
      <c r="K65" s="12" t="s">
        <v>412</v>
      </c>
    </row>
    <row r="66">
      <c r="A66" s="43" t="s">
        <v>415</v>
      </c>
      <c r="B66" s="43" t="s">
        <v>126</v>
      </c>
      <c r="C66" s="43" t="s">
        <v>127</v>
      </c>
      <c r="D66" s="44">
        <v>15.0</v>
      </c>
      <c r="E66" s="45">
        <v>1.0</v>
      </c>
      <c r="F66" s="45">
        <v>8.0</v>
      </c>
      <c r="G66" s="45">
        <v>9.0</v>
      </c>
      <c r="H66" s="45">
        <v>0.777777777777777</v>
      </c>
      <c r="I66" s="46" t="b">
        <v>1</v>
      </c>
      <c r="J66" s="12" t="s">
        <v>376</v>
      </c>
      <c r="K66" s="12" t="s">
        <v>416</v>
      </c>
    </row>
    <row r="67">
      <c r="A67" s="43" t="s">
        <v>417</v>
      </c>
      <c r="B67" s="43" t="s">
        <v>283</v>
      </c>
      <c r="C67" s="43" t="s">
        <v>284</v>
      </c>
      <c r="D67" s="44">
        <v>15.0</v>
      </c>
      <c r="E67" s="45">
        <v>3.0</v>
      </c>
      <c r="F67" s="45">
        <v>1.0</v>
      </c>
      <c r="G67" s="45">
        <v>4.0</v>
      </c>
      <c r="H67" s="45">
        <v>0.5</v>
      </c>
      <c r="I67" s="46" t="b">
        <v>0</v>
      </c>
      <c r="J67" s="12" t="s">
        <v>383</v>
      </c>
      <c r="K67" s="12" t="s">
        <v>416</v>
      </c>
    </row>
    <row r="68">
      <c r="A68" s="43" t="s">
        <v>418</v>
      </c>
      <c r="B68" s="43" t="s">
        <v>226</v>
      </c>
      <c r="C68" s="43" t="s">
        <v>227</v>
      </c>
      <c r="D68" s="44">
        <v>15.0</v>
      </c>
      <c r="E68" s="45">
        <v>4.0</v>
      </c>
      <c r="F68" s="45">
        <v>2.0</v>
      </c>
      <c r="G68" s="45">
        <v>6.0</v>
      </c>
      <c r="H68" s="45">
        <v>0.333333333333333</v>
      </c>
      <c r="I68" s="46" t="b">
        <v>0</v>
      </c>
      <c r="J68" s="12" t="s">
        <v>392</v>
      </c>
      <c r="K68" s="12" t="s">
        <v>416</v>
      </c>
    </row>
    <row r="69">
      <c r="A69" s="43" t="s">
        <v>413</v>
      </c>
      <c r="B69" s="43" t="s">
        <v>302</v>
      </c>
      <c r="C69" s="43" t="s">
        <v>303</v>
      </c>
      <c r="D69" s="44">
        <v>15.0</v>
      </c>
      <c r="E69" s="45">
        <v>1.0</v>
      </c>
      <c r="F69" s="45">
        <v>2.0</v>
      </c>
      <c r="G69" s="45">
        <v>3.0</v>
      </c>
      <c r="H69" s="45">
        <v>0.333333333333333</v>
      </c>
      <c r="I69" s="46" t="b">
        <v>1</v>
      </c>
      <c r="J69" s="12" t="s">
        <v>392</v>
      </c>
      <c r="K69" s="12" t="s">
        <v>416</v>
      </c>
    </row>
    <row r="70">
      <c r="A70" s="43" t="s">
        <v>419</v>
      </c>
      <c r="B70" s="43" t="s">
        <v>112</v>
      </c>
      <c r="C70" s="43" t="s">
        <v>113</v>
      </c>
      <c r="D70" s="44">
        <v>15.0</v>
      </c>
      <c r="E70" s="45">
        <v>0.0</v>
      </c>
      <c r="F70" s="45">
        <v>7.0</v>
      </c>
      <c r="G70" s="45">
        <v>7.0</v>
      </c>
      <c r="H70" s="45">
        <v>1.0</v>
      </c>
      <c r="I70" s="46" t="b">
        <v>1</v>
      </c>
      <c r="J70" s="12" t="s">
        <v>366</v>
      </c>
      <c r="K70" s="12" t="s">
        <v>420</v>
      </c>
    </row>
    <row r="71">
      <c r="A71" s="43" t="s">
        <v>389</v>
      </c>
      <c r="B71" s="43" t="s">
        <v>271</v>
      </c>
      <c r="C71" s="43" t="s">
        <v>272</v>
      </c>
      <c r="D71" s="44">
        <v>15.0</v>
      </c>
      <c r="E71" s="45">
        <v>5.0</v>
      </c>
      <c r="F71" s="45">
        <v>1.0</v>
      </c>
      <c r="G71" s="45">
        <v>6.0</v>
      </c>
      <c r="H71" s="45">
        <v>0.666666666666666</v>
      </c>
      <c r="I71" s="46" t="b">
        <v>0</v>
      </c>
      <c r="J71" s="12" t="s">
        <v>376</v>
      </c>
      <c r="K71" s="12" t="s">
        <v>420</v>
      </c>
    </row>
    <row r="72">
      <c r="A72" s="43" t="s">
        <v>421</v>
      </c>
      <c r="B72" s="43" t="s">
        <v>116</v>
      </c>
      <c r="C72" s="43" t="s">
        <v>117</v>
      </c>
      <c r="D72" s="44">
        <v>15.0</v>
      </c>
      <c r="E72" s="45">
        <v>5.0</v>
      </c>
      <c r="F72" s="45">
        <v>4.0</v>
      </c>
      <c r="G72" s="45">
        <v>9.0</v>
      </c>
      <c r="H72" s="45">
        <v>0.111111111111111</v>
      </c>
      <c r="I72" s="46" t="b">
        <v>0</v>
      </c>
      <c r="J72" s="12" t="s">
        <v>397</v>
      </c>
      <c r="K72" s="12" t="s">
        <v>420</v>
      </c>
    </row>
    <row r="73">
      <c r="A73" s="43" t="s">
        <v>405</v>
      </c>
      <c r="B73" s="43" t="s">
        <v>294</v>
      </c>
      <c r="C73" s="43" t="s">
        <v>295</v>
      </c>
      <c r="D73" s="44">
        <v>15.0</v>
      </c>
      <c r="E73" s="45">
        <v>4.0</v>
      </c>
      <c r="F73" s="45">
        <v>5.0</v>
      </c>
      <c r="G73" s="45">
        <v>9.0</v>
      </c>
      <c r="H73" s="45">
        <v>0.111111111111111</v>
      </c>
      <c r="I73" s="46" t="b">
        <v>1</v>
      </c>
      <c r="J73" s="12" t="s">
        <v>397</v>
      </c>
      <c r="K73" s="12" t="s">
        <v>420</v>
      </c>
    </row>
    <row r="74">
      <c r="A74" s="43" t="s">
        <v>422</v>
      </c>
      <c r="B74" s="43" t="s">
        <v>183</v>
      </c>
      <c r="C74" s="43" t="s">
        <v>184</v>
      </c>
      <c r="D74" s="44">
        <v>15.0</v>
      </c>
      <c r="E74" s="45">
        <v>7.0</v>
      </c>
      <c r="F74" s="45">
        <v>1.0</v>
      </c>
      <c r="G74" s="45">
        <v>8.0</v>
      </c>
      <c r="H74" s="45">
        <v>0.75</v>
      </c>
      <c r="I74" s="46" t="b">
        <v>0</v>
      </c>
      <c r="J74" s="12" t="s">
        <v>376</v>
      </c>
      <c r="K74" s="12" t="s">
        <v>423</v>
      </c>
    </row>
    <row r="75">
      <c r="A75" s="43" t="s">
        <v>424</v>
      </c>
      <c r="B75" s="43" t="s">
        <v>216</v>
      </c>
      <c r="C75" s="43" t="s">
        <v>217</v>
      </c>
      <c r="D75" s="44">
        <v>15.0</v>
      </c>
      <c r="E75" s="45">
        <v>2.0</v>
      </c>
      <c r="F75" s="45">
        <v>7.0</v>
      </c>
      <c r="G75" s="45">
        <v>9.0</v>
      </c>
      <c r="H75" s="45">
        <v>0.555555555555555</v>
      </c>
      <c r="I75" s="46" t="b">
        <v>1</v>
      </c>
      <c r="J75" s="12" t="s">
        <v>383</v>
      </c>
      <c r="K75" s="12" t="s">
        <v>423</v>
      </c>
    </row>
    <row r="76">
      <c r="A76" s="43" t="s">
        <v>401</v>
      </c>
      <c r="B76" s="43" t="s">
        <v>195</v>
      </c>
      <c r="C76" s="43" t="s">
        <v>196</v>
      </c>
      <c r="D76" s="44">
        <v>15.0</v>
      </c>
      <c r="E76" s="45">
        <v>4.0</v>
      </c>
      <c r="F76" s="45">
        <v>5.0</v>
      </c>
      <c r="G76" s="45">
        <v>9.0</v>
      </c>
      <c r="H76" s="45">
        <v>0.111111111111111</v>
      </c>
      <c r="I76" s="46" t="b">
        <v>1</v>
      </c>
      <c r="J76" s="12" t="s">
        <v>397</v>
      </c>
      <c r="K76" s="12" t="s">
        <v>423</v>
      </c>
    </row>
    <row r="77">
      <c r="A77" s="43" t="s">
        <v>401</v>
      </c>
      <c r="B77" s="43" t="s">
        <v>304</v>
      </c>
      <c r="C77" s="43" t="s">
        <v>305</v>
      </c>
      <c r="D77" s="44">
        <v>15.0</v>
      </c>
      <c r="E77" s="45">
        <v>5.0</v>
      </c>
      <c r="F77" s="45">
        <v>4.0</v>
      </c>
      <c r="G77" s="45">
        <v>9.0</v>
      </c>
      <c r="H77" s="45">
        <v>0.111111111111111</v>
      </c>
      <c r="I77" s="46" t="b">
        <v>0</v>
      </c>
      <c r="J77" s="12" t="s">
        <v>397</v>
      </c>
      <c r="K77" s="12" t="s">
        <v>423</v>
      </c>
    </row>
    <row r="78">
      <c r="A78" s="43" t="s">
        <v>425</v>
      </c>
      <c r="B78" s="43" t="s">
        <v>202</v>
      </c>
      <c r="C78" s="43" t="s">
        <v>203</v>
      </c>
      <c r="D78" s="44">
        <v>15.0</v>
      </c>
      <c r="E78" s="45">
        <v>0.0</v>
      </c>
      <c r="F78" s="45">
        <v>4.0</v>
      </c>
      <c r="G78" s="45">
        <v>4.0</v>
      </c>
      <c r="H78" s="45">
        <v>1.0</v>
      </c>
      <c r="I78" s="46" t="b">
        <v>1</v>
      </c>
      <c r="J78" s="12" t="s">
        <v>366</v>
      </c>
      <c r="K78" s="12" t="s">
        <v>426</v>
      </c>
    </row>
    <row r="79">
      <c r="A79" s="43" t="s">
        <v>365</v>
      </c>
      <c r="B79" s="43" t="s">
        <v>218</v>
      </c>
      <c r="C79" s="43" t="s">
        <v>219</v>
      </c>
      <c r="D79" s="44">
        <v>15.0</v>
      </c>
      <c r="E79" s="45">
        <v>4.0</v>
      </c>
      <c r="F79" s="45">
        <v>1.0</v>
      </c>
      <c r="G79" s="45">
        <v>5.0</v>
      </c>
      <c r="H79" s="45">
        <v>0.6</v>
      </c>
      <c r="I79" s="46" t="b">
        <v>0</v>
      </c>
      <c r="J79" s="12" t="s">
        <v>383</v>
      </c>
      <c r="K79" s="12" t="s">
        <v>426</v>
      </c>
    </row>
    <row r="80">
      <c r="A80" s="43" t="s">
        <v>389</v>
      </c>
      <c r="B80" s="43" t="s">
        <v>179</v>
      </c>
      <c r="C80" s="43" t="s">
        <v>180</v>
      </c>
      <c r="D80" s="44">
        <v>15.0</v>
      </c>
      <c r="E80" s="45">
        <v>6.0</v>
      </c>
      <c r="F80" s="45">
        <v>3.0</v>
      </c>
      <c r="G80" s="45">
        <v>9.0</v>
      </c>
      <c r="H80" s="45">
        <v>0.333333333333333</v>
      </c>
      <c r="I80" s="46" t="b">
        <v>0</v>
      </c>
      <c r="J80" s="12" t="s">
        <v>392</v>
      </c>
      <c r="K80" s="12" t="s">
        <v>426</v>
      </c>
    </row>
    <row r="81">
      <c r="A81" s="43" t="s">
        <v>402</v>
      </c>
      <c r="B81" s="43" t="s">
        <v>130</v>
      </c>
      <c r="C81" s="43" t="s">
        <v>131</v>
      </c>
      <c r="D81" s="44">
        <v>15.0</v>
      </c>
      <c r="E81" s="45">
        <v>1.0</v>
      </c>
      <c r="F81" s="45">
        <v>2.0</v>
      </c>
      <c r="G81" s="45">
        <v>3.0</v>
      </c>
      <c r="H81" s="45">
        <v>0.333333333333333</v>
      </c>
      <c r="I81" s="46" t="b">
        <v>1</v>
      </c>
      <c r="J81" s="12" t="s">
        <v>392</v>
      </c>
      <c r="K81" s="12" t="s">
        <v>426</v>
      </c>
    </row>
    <row r="82">
      <c r="A82" s="43" t="s">
        <v>377</v>
      </c>
      <c r="B82" s="43" t="s">
        <v>186</v>
      </c>
      <c r="C82" s="43" t="s">
        <v>187</v>
      </c>
      <c r="D82" s="44">
        <v>15.0</v>
      </c>
      <c r="E82" s="45">
        <v>1.0</v>
      </c>
      <c r="F82" s="45">
        <v>8.0</v>
      </c>
      <c r="G82" s="45">
        <v>9.0</v>
      </c>
      <c r="H82" s="45">
        <v>0.777777777777777</v>
      </c>
      <c r="I82" s="46" t="b">
        <v>1</v>
      </c>
      <c r="J82" s="12" t="s">
        <v>376</v>
      </c>
      <c r="K82" s="12" t="s">
        <v>427</v>
      </c>
    </row>
    <row r="83">
      <c r="A83" s="43" t="s">
        <v>403</v>
      </c>
      <c r="B83" s="43" t="s">
        <v>254</v>
      </c>
      <c r="C83" s="43" t="s">
        <v>255</v>
      </c>
      <c r="D83" s="44">
        <v>15.0</v>
      </c>
      <c r="E83" s="45">
        <v>1.0</v>
      </c>
      <c r="F83" s="45">
        <v>8.0</v>
      </c>
      <c r="G83" s="45">
        <v>9.0</v>
      </c>
      <c r="H83" s="45">
        <v>0.777777777777777</v>
      </c>
      <c r="I83" s="46" t="b">
        <v>1</v>
      </c>
      <c r="J83" s="12" t="s">
        <v>376</v>
      </c>
      <c r="K83" s="12" t="s">
        <v>427</v>
      </c>
    </row>
    <row r="84">
      <c r="A84" s="43" t="s">
        <v>389</v>
      </c>
      <c r="B84" s="43" t="s">
        <v>101</v>
      </c>
      <c r="C84" s="43" t="s">
        <v>102</v>
      </c>
      <c r="D84" s="44">
        <v>15.0</v>
      </c>
      <c r="E84" s="45">
        <v>3.0</v>
      </c>
      <c r="F84" s="45">
        <v>1.0</v>
      </c>
      <c r="G84" s="45">
        <v>4.0</v>
      </c>
      <c r="H84" s="45">
        <v>0.5</v>
      </c>
      <c r="I84" s="46" t="b">
        <v>0</v>
      </c>
      <c r="J84" s="12" t="s">
        <v>383</v>
      </c>
      <c r="K84" s="12" t="s">
        <v>427</v>
      </c>
    </row>
    <row r="85">
      <c r="A85" s="43" t="s">
        <v>390</v>
      </c>
      <c r="B85" s="43" t="s">
        <v>206</v>
      </c>
      <c r="C85" s="43" t="s">
        <v>207</v>
      </c>
      <c r="D85" s="44">
        <v>15.0</v>
      </c>
      <c r="E85" s="45">
        <v>2.0</v>
      </c>
      <c r="F85" s="45">
        <v>1.0</v>
      </c>
      <c r="G85" s="45">
        <v>3.0</v>
      </c>
      <c r="H85" s="45">
        <v>0.333333333333333</v>
      </c>
      <c r="I85" s="46" t="b">
        <v>0</v>
      </c>
      <c r="J85" s="12" t="s">
        <v>392</v>
      </c>
      <c r="K85" s="12" t="s">
        <v>427</v>
      </c>
    </row>
    <row r="86">
      <c r="A86" s="43" t="s">
        <v>369</v>
      </c>
      <c r="B86" s="43" t="s">
        <v>248</v>
      </c>
      <c r="C86" s="43" t="s">
        <v>249</v>
      </c>
      <c r="D86" s="44">
        <v>15.0</v>
      </c>
      <c r="E86" s="45">
        <v>6.0</v>
      </c>
      <c r="F86" s="45">
        <v>0.0</v>
      </c>
      <c r="G86" s="45">
        <v>6.0</v>
      </c>
      <c r="H86" s="45">
        <v>1.0</v>
      </c>
      <c r="I86" s="46" t="b">
        <v>0</v>
      </c>
      <c r="J86" s="12" t="s">
        <v>366</v>
      </c>
      <c r="K86" s="12" t="s">
        <v>428</v>
      </c>
    </row>
    <row r="87">
      <c r="A87" s="43" t="s">
        <v>394</v>
      </c>
      <c r="B87" s="43" t="s">
        <v>250</v>
      </c>
      <c r="C87" s="43" t="s">
        <v>251</v>
      </c>
      <c r="D87" s="44">
        <v>15.0</v>
      </c>
      <c r="E87" s="45">
        <v>1.0</v>
      </c>
      <c r="F87" s="45">
        <v>8.0</v>
      </c>
      <c r="G87" s="45">
        <v>9.0</v>
      </c>
      <c r="H87" s="45">
        <v>0.777777777777777</v>
      </c>
      <c r="I87" s="46" t="b">
        <v>1</v>
      </c>
      <c r="J87" s="12" t="s">
        <v>376</v>
      </c>
      <c r="K87" s="12" t="s">
        <v>428</v>
      </c>
    </row>
    <row r="88">
      <c r="A88" s="43" t="s">
        <v>429</v>
      </c>
      <c r="B88" s="43" t="s">
        <v>114</v>
      </c>
      <c r="C88" s="43" t="s">
        <v>115</v>
      </c>
      <c r="D88" s="44">
        <v>15.0</v>
      </c>
      <c r="E88" s="45">
        <v>1.0</v>
      </c>
      <c r="F88" s="45">
        <v>3.0</v>
      </c>
      <c r="G88" s="45">
        <v>4.0</v>
      </c>
      <c r="H88" s="45">
        <v>0.5</v>
      </c>
      <c r="I88" s="46" t="b">
        <v>1</v>
      </c>
      <c r="J88" s="12" t="s">
        <v>383</v>
      </c>
      <c r="K88" s="12" t="s">
        <v>428</v>
      </c>
    </row>
    <row r="89">
      <c r="A89" s="43" t="s">
        <v>430</v>
      </c>
      <c r="B89" s="43" t="s">
        <v>144</v>
      </c>
      <c r="C89" s="43" t="s">
        <v>145</v>
      </c>
      <c r="D89" s="44">
        <v>15.0</v>
      </c>
      <c r="E89" s="45">
        <v>5.0</v>
      </c>
      <c r="F89" s="45">
        <v>4.0</v>
      </c>
      <c r="G89" s="45">
        <v>9.0</v>
      </c>
      <c r="H89" s="45">
        <v>0.111111111111111</v>
      </c>
      <c r="I89" s="46" t="b">
        <v>0</v>
      </c>
      <c r="J89" s="12" t="s">
        <v>397</v>
      </c>
      <c r="K89" s="12" t="s">
        <v>428</v>
      </c>
    </row>
    <row r="90">
      <c r="A90" s="43" t="s">
        <v>395</v>
      </c>
      <c r="B90" s="43" t="s">
        <v>105</v>
      </c>
      <c r="C90" s="43" t="s">
        <v>106</v>
      </c>
      <c r="D90" s="44">
        <v>15.0</v>
      </c>
      <c r="E90" s="45">
        <v>0.0</v>
      </c>
      <c r="F90" s="45">
        <v>9.0</v>
      </c>
      <c r="G90" s="45">
        <v>9.0</v>
      </c>
      <c r="H90" s="45">
        <v>1.0</v>
      </c>
      <c r="I90" s="46" t="b">
        <v>1</v>
      </c>
      <c r="J90" s="12" t="s">
        <v>366</v>
      </c>
      <c r="K90" s="12" t="s">
        <v>431</v>
      </c>
    </row>
    <row r="91">
      <c r="A91" s="43" t="s">
        <v>369</v>
      </c>
      <c r="B91" s="43" t="s">
        <v>148</v>
      </c>
      <c r="C91" s="43" t="s">
        <v>149</v>
      </c>
      <c r="D91" s="44">
        <v>15.0</v>
      </c>
      <c r="E91" s="45">
        <v>5.0</v>
      </c>
      <c r="F91" s="45">
        <v>0.0</v>
      </c>
      <c r="G91" s="45">
        <v>5.0</v>
      </c>
      <c r="H91" s="45">
        <v>1.0</v>
      </c>
      <c r="I91" s="46" t="b">
        <v>0</v>
      </c>
      <c r="J91" s="12" t="s">
        <v>366</v>
      </c>
      <c r="K91" s="12" t="s">
        <v>431</v>
      </c>
    </row>
    <row r="92">
      <c r="A92" s="43" t="s">
        <v>432</v>
      </c>
      <c r="B92" s="43" t="s">
        <v>278</v>
      </c>
      <c r="C92" s="43" t="s">
        <v>279</v>
      </c>
      <c r="D92" s="44">
        <v>15.0</v>
      </c>
      <c r="E92" s="45">
        <v>2.0</v>
      </c>
      <c r="F92" s="45">
        <v>1.0</v>
      </c>
      <c r="G92" s="45">
        <v>3.0</v>
      </c>
      <c r="H92" s="45">
        <v>0.333333333333333</v>
      </c>
      <c r="I92" s="46" t="b">
        <v>0</v>
      </c>
      <c r="J92" s="12" t="s">
        <v>392</v>
      </c>
      <c r="K92" s="12" t="s">
        <v>431</v>
      </c>
    </row>
    <row r="93">
      <c r="A93" s="43" t="s">
        <v>430</v>
      </c>
      <c r="B93" s="43" t="s">
        <v>230</v>
      </c>
      <c r="C93" s="43" t="s">
        <v>231</v>
      </c>
      <c r="D93" s="44">
        <v>15.0</v>
      </c>
      <c r="E93" s="45">
        <v>4.0</v>
      </c>
      <c r="F93" s="45">
        <v>5.0</v>
      </c>
      <c r="G93" s="45">
        <v>9.0</v>
      </c>
      <c r="H93" s="45">
        <v>0.111111111111111</v>
      </c>
      <c r="I93" s="46" t="b">
        <v>1</v>
      </c>
      <c r="J93" s="12" t="s">
        <v>397</v>
      </c>
      <c r="K93" s="12" t="s">
        <v>431</v>
      </c>
    </row>
    <row r="94">
      <c r="A94" s="43" t="s">
        <v>395</v>
      </c>
      <c r="B94" s="43" t="s">
        <v>228</v>
      </c>
      <c r="C94" s="43" t="s">
        <v>229</v>
      </c>
      <c r="D94" s="44">
        <v>15.0</v>
      </c>
      <c r="E94" s="45">
        <v>0.0</v>
      </c>
      <c r="F94" s="45">
        <v>9.0</v>
      </c>
      <c r="G94" s="45">
        <v>9.0</v>
      </c>
      <c r="H94" s="45">
        <v>1.0</v>
      </c>
      <c r="I94" s="46" t="b">
        <v>1</v>
      </c>
      <c r="J94" s="12" t="s">
        <v>366</v>
      </c>
      <c r="K94" s="12" t="s">
        <v>433</v>
      </c>
    </row>
    <row r="95">
      <c r="A95" s="43" t="s">
        <v>373</v>
      </c>
      <c r="B95" s="43" t="s">
        <v>280</v>
      </c>
      <c r="C95" s="43" t="s">
        <v>281</v>
      </c>
      <c r="D95" s="44">
        <v>15.0</v>
      </c>
      <c r="E95" s="45">
        <v>5.0</v>
      </c>
      <c r="F95" s="45">
        <v>1.0</v>
      </c>
      <c r="G95" s="45">
        <v>6.0</v>
      </c>
      <c r="H95" s="45">
        <v>0.666666666666666</v>
      </c>
      <c r="I95" s="46" t="b">
        <v>0</v>
      </c>
      <c r="J95" s="12" t="s">
        <v>376</v>
      </c>
      <c r="K95" s="12" t="s">
        <v>433</v>
      </c>
    </row>
    <row r="96">
      <c r="A96" s="43" t="s">
        <v>434</v>
      </c>
      <c r="B96" s="43" t="s">
        <v>154</v>
      </c>
      <c r="C96" s="43" t="s">
        <v>155</v>
      </c>
      <c r="D96" s="44">
        <v>15.0</v>
      </c>
      <c r="E96" s="45">
        <v>1.0</v>
      </c>
      <c r="F96" s="45">
        <v>2.0</v>
      </c>
      <c r="G96" s="45">
        <v>3.0</v>
      </c>
      <c r="H96" s="45">
        <v>0.333333333333333</v>
      </c>
      <c r="I96" s="46" t="b">
        <v>1</v>
      </c>
      <c r="J96" s="12" t="s">
        <v>392</v>
      </c>
      <c r="K96" s="12" t="s">
        <v>433</v>
      </c>
    </row>
    <row r="97">
      <c r="A97" s="43" t="s">
        <v>435</v>
      </c>
      <c r="B97" s="43" t="s">
        <v>224</v>
      </c>
      <c r="C97" s="43" t="s">
        <v>225</v>
      </c>
      <c r="D97" s="44">
        <v>15.0</v>
      </c>
      <c r="E97" s="45">
        <v>5.0</v>
      </c>
      <c r="F97" s="45">
        <v>4.0</v>
      </c>
      <c r="G97" s="45">
        <v>9.0</v>
      </c>
      <c r="H97" s="45">
        <v>0.111111111111111</v>
      </c>
      <c r="I97" s="46" t="b">
        <v>0</v>
      </c>
      <c r="J97" s="12" t="s">
        <v>397</v>
      </c>
      <c r="K97" s="12" t="s">
        <v>433</v>
      </c>
    </row>
    <row r="98">
      <c r="A98" s="43" t="s">
        <v>436</v>
      </c>
      <c r="B98" s="43" t="s">
        <v>296</v>
      </c>
      <c r="C98" s="43" t="s">
        <v>297</v>
      </c>
      <c r="D98" s="44">
        <v>15.0</v>
      </c>
      <c r="E98" s="45">
        <v>3.0</v>
      </c>
      <c r="F98" s="45">
        <v>0.0</v>
      </c>
      <c r="G98" s="45">
        <v>3.0</v>
      </c>
      <c r="H98" s="45">
        <v>1.0</v>
      </c>
      <c r="I98" s="46" t="b">
        <v>0</v>
      </c>
      <c r="J98" s="12" t="s">
        <v>366</v>
      </c>
      <c r="K98" s="12" t="s">
        <v>437</v>
      </c>
    </row>
    <row r="99">
      <c r="A99" s="43" t="s">
        <v>389</v>
      </c>
      <c r="B99" s="43" t="s">
        <v>164</v>
      </c>
      <c r="C99" s="43" t="s">
        <v>165</v>
      </c>
      <c r="D99" s="44">
        <v>15.0</v>
      </c>
      <c r="E99" s="45">
        <v>1.0</v>
      </c>
      <c r="F99" s="45">
        <v>4.0</v>
      </c>
      <c r="G99" s="45">
        <v>5.0</v>
      </c>
      <c r="H99" s="45">
        <v>0.6</v>
      </c>
      <c r="I99" s="46" t="b">
        <v>1</v>
      </c>
      <c r="J99" s="12" t="s">
        <v>383</v>
      </c>
      <c r="K99" s="12" t="s">
        <v>437</v>
      </c>
    </row>
    <row r="100">
      <c r="A100" s="43" t="s">
        <v>368</v>
      </c>
      <c r="B100" s="43" t="s">
        <v>214</v>
      </c>
      <c r="C100" s="43" t="s">
        <v>215</v>
      </c>
      <c r="D100" s="44">
        <v>15.0</v>
      </c>
      <c r="E100" s="45">
        <v>5.0</v>
      </c>
      <c r="F100" s="45">
        <v>2.0</v>
      </c>
      <c r="G100" s="45">
        <v>7.0</v>
      </c>
      <c r="H100" s="45">
        <v>0.428571428571428</v>
      </c>
      <c r="I100" s="46" t="b">
        <v>0</v>
      </c>
      <c r="J100" s="12" t="s">
        <v>383</v>
      </c>
      <c r="K100" s="12" t="s">
        <v>437</v>
      </c>
    </row>
    <row r="101">
      <c r="A101" s="43" t="s">
        <v>399</v>
      </c>
      <c r="B101" s="43" t="s">
        <v>188</v>
      </c>
      <c r="C101" s="43" t="s">
        <v>189</v>
      </c>
      <c r="D101" s="44">
        <v>15.0</v>
      </c>
      <c r="E101" s="45">
        <v>4.0</v>
      </c>
      <c r="F101" s="45">
        <v>5.0</v>
      </c>
      <c r="G101" s="45">
        <v>9.0</v>
      </c>
      <c r="H101" s="45">
        <v>0.111111111111111</v>
      </c>
      <c r="I101" s="46" t="b">
        <v>1</v>
      </c>
      <c r="J101" s="12" t="s">
        <v>397</v>
      </c>
      <c r="K101" s="12" t="s">
        <v>437</v>
      </c>
    </row>
  </sheetData>
  <autoFilter ref="$A$1:$K$101">
    <sortState ref="A1:K101">
      <sortCondition ref="K1:K101"/>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7" width="14.38"/>
    <col customWidth="1" min="9" max="9" width="12.75"/>
    <col customWidth="1" hidden="1" min="11" max="11" width="7.5"/>
    <col customWidth="1" hidden="1" min="12" max="12" width="7.75"/>
    <col customWidth="1" hidden="1" min="13" max="13" width="7.25"/>
    <col customWidth="1" hidden="1" min="14" max="14" width="6.25"/>
    <col customWidth="1" hidden="1" min="15" max="15" width="8.38"/>
    <col customWidth="1" hidden="1" min="16" max="16" width="23.88"/>
    <col customWidth="1" min="17" max="17" width="39.75"/>
  </cols>
  <sheetData>
    <row r="1">
      <c r="A1" s="29" t="s">
        <v>93</v>
      </c>
      <c r="B1" s="30" t="s">
        <v>94</v>
      </c>
      <c r="C1" s="47" t="s">
        <v>438</v>
      </c>
      <c r="D1" s="48" t="s">
        <v>64</v>
      </c>
      <c r="E1" s="47" t="s">
        <v>65</v>
      </c>
      <c r="F1" s="47" t="s">
        <v>66</v>
      </c>
      <c r="G1" s="47" t="s">
        <v>67</v>
      </c>
      <c r="H1" s="47" t="s">
        <v>68</v>
      </c>
      <c r="I1" s="48" t="s">
        <v>69</v>
      </c>
      <c r="J1" s="49" t="s">
        <v>439</v>
      </c>
      <c r="K1" s="48" t="s">
        <v>64</v>
      </c>
      <c r="L1" s="47" t="s">
        <v>65</v>
      </c>
      <c r="M1" s="47" t="s">
        <v>67</v>
      </c>
      <c r="N1" s="47" t="s">
        <v>68</v>
      </c>
      <c r="O1" s="48" t="s">
        <v>69</v>
      </c>
      <c r="P1" s="49" t="s">
        <v>440</v>
      </c>
      <c r="Q1" s="49" t="str">
        <f t="array" ref="Q1:Q101">P:P</f>
        <v>Comments</v>
      </c>
      <c r="R1" s="50" t="s">
        <v>441</v>
      </c>
      <c r="S1" s="23" t="s">
        <v>442</v>
      </c>
      <c r="T1" s="23" t="s">
        <v>443</v>
      </c>
    </row>
    <row r="2">
      <c r="A2" s="12" t="str">
        <f>IFERROR(__xludf.DUMMYFUNCTION("QUERY(Source!B2:C101,""SELECT B, C"", 1)"),"1bbfe4483b6786110d4d1efb044bdeb2")</f>
        <v>1bbfe4483b6786110d4d1efb044bdeb2</v>
      </c>
      <c r="B2" s="12" t="str">
        <f>IFERROR(__xludf.DUMMYFUNCTION("""COMPUTED_VALUE"""),"Given that PNG, Samoa, Tonga, Tuvalu and Vanuatu are unlikely to meet Goal 1, achieving Target 10.1 will also be difficult without serious reform. Fiji is, however, likely to meet Target 10.1 based on its positive outlook for Goal 1. Ensuring equal opport"&amp;"unities and reducing inequalities of outcome (Target 10.3) are also closely dependent on the outcome of Target 5.1 to end all forms of discrimination against women and girls.")</f>
        <v>Given that PNG, Samoa, Tonga, Tuvalu and Vanuatu are unlikely to meet Goal 1, achieving Target 10.1 will also be difficult without serious reform. Fiji is, however, likely to meet Target 10.1 based on its positive outlook for Goal 1. Ensuring equal opportunities and reducing inequalities of outcome (Target 10.3) are also closely dependent on the outcome of Target 5.1 to end all forms of discrimination against women and girls.</v>
      </c>
      <c r="C2" s="51"/>
      <c r="D2" s="51" t="b">
        <f t="shared" ref="D2:I2" si="1">VLOOKUP($A2, INDIRECT(D$1&amp;"!A:C"), 3, FALSE)</f>
        <v>0</v>
      </c>
      <c r="E2" s="51" t="str">
        <f t="shared" si="1"/>
        <v>TO DO</v>
      </c>
      <c r="F2" s="51" t="b">
        <f t="shared" si="1"/>
        <v>0</v>
      </c>
      <c r="G2" s="51" t="str">
        <f t="shared" si="1"/>
        <v>TO DO</v>
      </c>
      <c r="H2" s="51" t="b">
        <f t="shared" si="1"/>
        <v>0</v>
      </c>
      <c r="I2" s="51" t="b">
        <f t="shared" si="1"/>
        <v>0</v>
      </c>
      <c r="J2" s="52">
        <f t="shared" ref="J2:J101" si="4">IF(COUNTA(D2:I2)=COUNTIF(D2:I2, "TO DO"), 0, ABS((COUNTIF(D2:I2,"TRUE")-COUNTIF(D2:I2, "FALSE")) / (COUNTA(D2:I2)-COUNTIF(D2:I2, "TO DO"))))</f>
        <v>1</v>
      </c>
      <c r="K2" s="53" t="str">
        <f t="shared" ref="K2:O2" si="2">VLOOKUP($A2, INDIRECT(K$1&amp;"!A:D"), 4, FALSE)</f>
        <v/>
      </c>
      <c r="L2" s="53" t="str">
        <f t="shared" si="2"/>
        <v/>
      </c>
      <c r="M2" s="53" t="str">
        <f t="shared" si="2"/>
        <v/>
      </c>
      <c r="N2" s="53" t="str">
        <f t="shared" si="2"/>
        <v/>
      </c>
      <c r="O2" s="53" t="str">
        <f t="shared" si="2"/>
        <v/>
      </c>
      <c r="P2" s="52" t="str">
        <f>IFERROR(__xludf.DUMMYFUNCTION("IF(COUNTA(K2:O2)=0, """", ARRAYFORMULA(""- ""&amp;TEXTJOIN(char(10)&amp;""- "", TRUE, FILTER(K$1:O$1&amp;"": ""&amp;K2:O2, NOT(ISBLANK(K2:O2))))))"),"")</f>
        <v/>
      </c>
      <c r="Q2" s="52" t="s">
        <v>444</v>
      </c>
      <c r="R2" s="54" t="b">
        <v>0</v>
      </c>
    </row>
    <row r="3">
      <c r="A3" s="12" t="str">
        <f>IFERROR(__xludf.DUMMYFUNCTION("""COMPUTED_VALUE"""),"2a879fe196a4858f286d4da994f52cb5")</f>
        <v>2a879fe196a4858f286d4da994f52cb5</v>
      </c>
      <c r="B3" s="12" t="str">
        <f>IFERROR(__xludf.DUMMYFUNCTION("""COMPUTED_VALUE"""),"The Network of Networks on Impact Evaluation (NONIE), comprised of the OECD DAC Evaluation Network, the United Nations Evaluation Group (UNEG), the Evaluation Cooperation Group (ECG), and the International Organisation for Cooperation in Evaluation (IOCE)"&amp;", was formed in 2006 to promote quality impact evaluations. The group has also developed NONIE guidance on impact evaluation (Leeuw and Vaessen, 2009). Systematic reviews examine the results of a synthesis of individual impact evaluation studies to identi"&amp;"fy general relationships and treatment effects.")</f>
        <v>The Network of Networks on Impact Evaluation (NONIE), comprised of the OECD DAC Evaluation Network, the United Nations Evaluation Group (UNEG), the Evaluation Cooperation Group (ECG), and the International Organisation for Cooperation in Evaluation (IOCE), was formed in 2006 to promote quality impact evaluations. The group has also developed NONIE guidance on impact evaluation (Leeuw and Vaessen, 2009). Systematic reviews examine the results of a synthesis of individual impact evaluation studies to identify general relationships and treatment effects.</v>
      </c>
      <c r="C3" s="7"/>
      <c r="D3" s="51" t="b">
        <f t="shared" ref="D3:I3" si="3">VLOOKUP($A3, INDIRECT(D$1&amp;"!A:C"), 3, FALSE)</f>
        <v>0</v>
      </c>
      <c r="E3" s="51" t="str">
        <f t="shared" si="3"/>
        <v>TO DO</v>
      </c>
      <c r="F3" s="51" t="b">
        <f t="shared" si="3"/>
        <v>0</v>
      </c>
      <c r="G3" s="51" t="str">
        <f t="shared" si="3"/>
        <v>TO DO</v>
      </c>
      <c r="H3" s="51" t="b">
        <f t="shared" si="3"/>
        <v>0</v>
      </c>
      <c r="I3" s="51" t="b">
        <f t="shared" si="3"/>
        <v>0</v>
      </c>
      <c r="J3" s="52">
        <f t="shared" si="4"/>
        <v>1</v>
      </c>
      <c r="K3" s="53" t="str">
        <f t="shared" ref="K3:O3" si="5">VLOOKUP($A3, INDIRECT(K$1&amp;"!A:D"), 4, FALSE)</f>
        <v/>
      </c>
      <c r="L3" s="53" t="str">
        <f t="shared" si="5"/>
        <v/>
      </c>
      <c r="M3" s="53" t="str">
        <f t="shared" si="5"/>
        <v/>
      </c>
      <c r="N3" s="53" t="str">
        <f t="shared" si="5"/>
        <v/>
      </c>
      <c r="O3" s="53" t="str">
        <f t="shared" si="5"/>
        <v/>
      </c>
      <c r="P3" s="52" t="str">
        <f>IFERROR(__xludf.DUMMYFUNCTION("IF(COUNTA(K3:O3)=0, """", ARRAYFORMULA(""- ""&amp;TEXTJOIN(char(10)&amp;""- "", TRUE, FILTER(K$1:O$1&amp;"": ""&amp;K3:O3, NOT(ISBLANK(K3:O3))))))"),"")</f>
        <v/>
      </c>
      <c r="Q3" s="52" t="s">
        <v>444</v>
      </c>
      <c r="R3" s="54" t="b">
        <v>0</v>
      </c>
    </row>
    <row r="4">
      <c r="A4" s="12" t="str">
        <f>IFERROR(__xludf.DUMMYFUNCTION("""COMPUTED_VALUE"""),"9c62f1947e83237d87e70c1be7b774e9")</f>
        <v>9c62f1947e83237d87e70c1be7b774e9</v>
      </c>
      <c r="B4" s="12" t="str">
        <f>IFERROR(__xludf.DUMMYFUNCTION("""COMPUTED_VALUE"""),"It reflects changes in total production of goods and services. It is a powerful summary indicator of economic development, even though it does not account for social and environmental cost of production and consumption. It is obtained by calculating gross"&amp;" capital formation as percentage of gross domestic product.")</f>
        <v>It reflects changes in total production of goods and services. It is a powerful summary indicator of economic development, even though it does not account for social and environmental cost of production and consumption. It is obtained by calculating gross capital formation as percentage of gross domestic product.</v>
      </c>
      <c r="C4" s="51"/>
      <c r="D4" s="51" t="b">
        <f t="shared" ref="D4:I4" si="6">VLOOKUP($A4, INDIRECT(D$1&amp;"!A:C"), 3, FALSE)</f>
        <v>0</v>
      </c>
      <c r="E4" s="51" t="str">
        <f t="shared" si="6"/>
        <v>TO DO</v>
      </c>
      <c r="F4" s="51" t="b">
        <f t="shared" si="6"/>
        <v>0</v>
      </c>
      <c r="G4" s="51" t="str">
        <f t="shared" si="6"/>
        <v>TO DO</v>
      </c>
      <c r="H4" s="51" t="b">
        <f t="shared" si="6"/>
        <v>0</v>
      </c>
      <c r="I4" s="51" t="b">
        <f t="shared" si="6"/>
        <v>0</v>
      </c>
      <c r="J4" s="52">
        <f t="shared" si="4"/>
        <v>1</v>
      </c>
      <c r="K4" s="53" t="str">
        <f t="shared" ref="K4:O4" si="7">VLOOKUP($A4, INDIRECT(K$1&amp;"!A:D"), 4, FALSE)</f>
        <v/>
      </c>
      <c r="L4" s="53" t="str">
        <f t="shared" si="7"/>
        <v/>
      </c>
      <c r="M4" s="53" t="str">
        <f t="shared" si="7"/>
        <v/>
      </c>
      <c r="N4" s="53" t="str">
        <f t="shared" si="7"/>
        <v/>
      </c>
      <c r="O4" s="53" t="str">
        <f t="shared" si="7"/>
        <v/>
      </c>
      <c r="P4" s="52" t="str">
        <f>IFERROR(__xludf.DUMMYFUNCTION("IF(COUNTA(K4:O4)=0, """", ARRAYFORMULA(""- ""&amp;TEXTJOIN(char(10)&amp;""- "", TRUE, FILTER(K$1:O$1&amp;"": ""&amp;K4:O4, NOT(ISBLANK(K4:O4))))))"),"")</f>
        <v/>
      </c>
      <c r="Q4" s="52" t="s">
        <v>444</v>
      </c>
      <c r="R4" s="54" t="b">
        <v>0</v>
      </c>
    </row>
    <row r="5">
      <c r="A5" s="12" t="str">
        <f>IFERROR(__xludf.DUMMYFUNCTION("""COMPUTED_VALUE"""),"d5f27cfddcd537f00ad7d2af50a81faf")</f>
        <v>d5f27cfddcd537f00ad7d2af50a81faf</v>
      </c>
      <c r="B5" s="12" t="str">
        <f>IFERROR(__xludf.DUMMYFUNCTION("""COMPUTED_VALUE"""),"For instance, those who have completed upper secondary education can be expected either to have an adequate set of skills relevant to the labour market or to have demonstrated the ability to acquire such skills. Life-long learning is essential to sustaina"&amp;"ble development. The scale and quality of human resources are major determinants of both the creation of new knowledge and its dissemination.")</f>
        <v>For instance, those who have completed upper secondary education can be expected either to have an adequate set of skills relevant to the labour market or to have demonstrated the ability to acquire such skills. Life-long learning is essential to sustainable development. The scale and quality of human resources are major determinants of both the creation of new knowledge and its dissemination.</v>
      </c>
      <c r="C5" s="7"/>
      <c r="D5" s="51" t="b">
        <f t="shared" ref="D5:I5" si="8">VLOOKUP($A5, INDIRECT(D$1&amp;"!A:C"), 3, FALSE)</f>
        <v>0</v>
      </c>
      <c r="E5" s="51" t="str">
        <f t="shared" si="8"/>
        <v>TO DO</v>
      </c>
      <c r="F5" s="51" t="b">
        <f t="shared" si="8"/>
        <v>0</v>
      </c>
      <c r="G5" s="51" t="str">
        <f t="shared" si="8"/>
        <v>TO DO</v>
      </c>
      <c r="H5" s="51" t="b">
        <f t="shared" si="8"/>
        <v>0</v>
      </c>
      <c r="I5" s="51" t="b">
        <f t="shared" si="8"/>
        <v>0</v>
      </c>
      <c r="J5" s="52">
        <f t="shared" si="4"/>
        <v>1</v>
      </c>
      <c r="K5" s="53" t="str">
        <f t="shared" ref="K5:O5" si="9">VLOOKUP($A5, INDIRECT(K$1&amp;"!A:D"), 4, FALSE)</f>
        <v/>
      </c>
      <c r="L5" s="53" t="str">
        <f t="shared" si="9"/>
        <v/>
      </c>
      <c r="M5" s="53" t="str">
        <f t="shared" si="9"/>
        <v/>
      </c>
      <c r="N5" s="53" t="str">
        <f t="shared" si="9"/>
        <v/>
      </c>
      <c r="O5" s="53" t="str">
        <f t="shared" si="9"/>
        <v/>
      </c>
      <c r="P5" s="52" t="str">
        <f>IFERROR(__xludf.DUMMYFUNCTION("IF(COUNTA(K5:O5)=0, """", ARRAYFORMULA(""- ""&amp;TEXTJOIN(char(10)&amp;""- "", TRUE, FILTER(K$1:O$1&amp;"": ""&amp;K5:O5, NOT(ISBLANK(K5:O5))))))"),"")</f>
        <v/>
      </c>
      <c r="Q5" s="52" t="s">
        <v>444</v>
      </c>
      <c r="R5" s="54" t="b">
        <v>0</v>
      </c>
    </row>
    <row r="6">
      <c r="A6" s="12" t="str">
        <f>IFERROR(__xludf.DUMMYFUNCTION("""COMPUTED_VALUE"""),"95339ccd6e82c39311546419c538b9e4")</f>
        <v>95339ccd6e82c39311546419c538b9e4</v>
      </c>
      <c r="B6" s="12" t="str">
        <f>IFERROR(__xludf.DUMMYFUNCTION("""COMPUTED_VALUE"""),"More than four-fifths of the forests are available for wood production, and all but some small areas of plantations are classified as semi-natural. The amount of acres burned in 2007 was 10 times higher than the prior two years (Figure 9.3). Other disturb"&amp;"ance agents that contribute to loss of forest cover and timber volume include insects, pathogens, and illegal logging. Since then, the country has acquired suppression equipment such as planes, tractors, and fire engines.")</f>
        <v>More than four-fifths of the forests are available for wood production, and all but some small areas of plantations are classified as semi-natural. The amount of acres burned in 2007 was 10 times higher than the prior two years (Figure 9.3). Other disturbance agents that contribute to loss of forest cover and timber volume include insects, pathogens, and illegal logging. Since then, the country has acquired suppression equipment such as planes, tractors, and fire engines.</v>
      </c>
      <c r="C6" s="7" t="s">
        <v>445</v>
      </c>
      <c r="D6" s="51" t="b">
        <f t="shared" ref="D6:I6" si="10">VLOOKUP($A6, INDIRECT(D$1&amp;"!A:C"), 3, FALSE)</f>
        <v>1</v>
      </c>
      <c r="E6" s="51" t="str">
        <f t="shared" si="10"/>
        <v>TO DO</v>
      </c>
      <c r="F6" s="51" t="b">
        <f t="shared" si="10"/>
        <v>0</v>
      </c>
      <c r="G6" s="51" t="str">
        <f t="shared" si="10"/>
        <v>TO DO</v>
      </c>
      <c r="H6" s="51" t="b">
        <f t="shared" si="10"/>
        <v>1</v>
      </c>
      <c r="I6" s="51" t="b">
        <f t="shared" si="10"/>
        <v>1</v>
      </c>
      <c r="J6" s="52">
        <f t="shared" si="4"/>
        <v>0.5</v>
      </c>
      <c r="K6" s="53" t="str">
        <f t="shared" ref="K6:O6" si="11">VLOOKUP($A6, INDIRECT(K$1&amp;"!A:D"), 4, FALSE)</f>
        <v/>
      </c>
      <c r="L6" s="53" t="str">
        <f t="shared" si="11"/>
        <v/>
      </c>
      <c r="M6" s="53" t="str">
        <f t="shared" si="11"/>
        <v/>
      </c>
      <c r="N6" s="53" t="str">
        <f t="shared" si="11"/>
        <v/>
      </c>
      <c r="O6" s="53" t="str">
        <f t="shared" si="11"/>
        <v/>
      </c>
      <c r="P6" s="52" t="str">
        <f>IFERROR(__xludf.DUMMYFUNCTION("IF(COUNTA(K6:O6)=0, """", ARRAYFORMULA(""- ""&amp;TEXTJOIN(char(10)&amp;""- "", TRUE, FILTER(K$1:O$1&amp;"": ""&amp;K6:O6, NOT(ISBLANK(K6:O6))))))"),"")</f>
        <v/>
      </c>
      <c r="Q6" s="52" t="s">
        <v>444</v>
      </c>
      <c r="R6" s="55" t="b">
        <v>1</v>
      </c>
      <c r="S6" s="5" t="s">
        <v>446</v>
      </c>
    </row>
    <row r="7">
      <c r="A7" s="12" t="str">
        <f>IFERROR(__xludf.DUMMYFUNCTION("""COMPUTED_VALUE"""),"b730184a4e2c08d75a73a4f119a7aef2")</f>
        <v>b730184a4e2c08d75a73a4f119a7aef2</v>
      </c>
      <c r="B7" s="12" t="str">
        <f>IFERROR(__xludf.DUMMYFUNCTION("""COMPUTED_VALUE"""),"At its 8th meeting, on 14 May, the Forum held its high-level round table 1 on the topic “Integration of forests in the post-2015 development agenda”. At the same meeting, the Forum held its high-level round table 2 on the topic “Renewed commitments to the"&amp;" implementation of the international arrangement on forests beyond 2015”. At its 9th meeting, on 14 May, the Forum held a high-level dialogue with heads of the member organizations of the Collaborative Partnership on Forests, heads of the regional organiz"&amp;"ations and representatives of major groups.")</f>
        <v>At its 8th meeting, on 14 May, the Forum held its high-level round table 1 on the topic “Integration of forests in the post-2015 development agenda”. At the same meeting, the Forum held its high-level round table 2 on the topic “Renewed commitments to the implementation of the international arrangement on forests beyond 2015”. At its 9th meeting, on 14 May, the Forum held a high-level dialogue with heads of the member organizations of the Collaborative Partnership on Forests, heads of the regional organizations and representatives of major groups.</v>
      </c>
      <c r="C7" s="7"/>
      <c r="D7" s="51" t="b">
        <f t="shared" ref="D7:I7" si="12">VLOOKUP($A7, INDIRECT(D$1&amp;"!A:C"), 3, FALSE)</f>
        <v>1</v>
      </c>
      <c r="E7" s="51" t="str">
        <f t="shared" si="12"/>
        <v>TO DO</v>
      </c>
      <c r="F7" s="51" t="b">
        <f t="shared" si="12"/>
        <v>1</v>
      </c>
      <c r="G7" s="51" t="str">
        <f t="shared" si="12"/>
        <v>TO DO</v>
      </c>
      <c r="H7" s="51" t="b">
        <f t="shared" si="12"/>
        <v>1</v>
      </c>
      <c r="I7" s="51" t="b">
        <f t="shared" si="12"/>
        <v>1</v>
      </c>
      <c r="J7" s="52">
        <f t="shared" si="4"/>
        <v>1</v>
      </c>
      <c r="K7" s="53" t="str">
        <f t="shared" ref="K7:O7" si="13">VLOOKUP($A7, INDIRECT(K$1&amp;"!A:D"), 4, FALSE)</f>
        <v/>
      </c>
      <c r="L7" s="53" t="str">
        <f t="shared" si="13"/>
        <v/>
      </c>
      <c r="M7" s="53" t="str">
        <f t="shared" si="13"/>
        <v/>
      </c>
      <c r="N7" s="53" t="str">
        <f t="shared" si="13"/>
        <v/>
      </c>
      <c r="O7" s="53" t="str">
        <f t="shared" si="13"/>
        <v/>
      </c>
      <c r="P7" s="52" t="str">
        <f>IFERROR(__xludf.DUMMYFUNCTION("IF(COUNTA(K7:O7)=0, """", ARRAYFORMULA(""- ""&amp;TEXTJOIN(char(10)&amp;""- "", TRUE, FILTER(K$1:O$1&amp;"": ""&amp;K7:O7, NOT(ISBLANK(K7:O7))))))"),"")</f>
        <v/>
      </c>
      <c r="Q7" s="52" t="s">
        <v>444</v>
      </c>
      <c r="R7" s="54" t="b">
        <v>1</v>
      </c>
    </row>
    <row r="8">
      <c r="A8" s="12" t="str">
        <f>IFERROR(__xludf.DUMMYFUNCTION("""COMPUTED_VALUE"""),"ffc71ea75e4ee9bcce35a0ba6eff51b9")</f>
        <v>ffc71ea75e4ee9bcce35a0ba6eff51b9</v>
      </c>
      <c r="B8" s="12" t="str">
        <f>IFERROR(__xludf.DUMMYFUNCTION("""COMPUTED_VALUE"""),"Statistics Norway participates in work on SEEA experimental accounts on ecosystem services. Indicators are chosen from a variety of species groups for each ecosystem, and they are used to measure deviation from a reference state, which is intended to repr"&amp;"esent ecological sustainability. All indicators and the overall Nature Index have values between 1 [for the reference state] and 0 [very poor state).")</f>
        <v>Statistics Norway participates in work on SEEA experimental accounts on ecosystem services. Indicators are chosen from a variety of species groups for each ecosystem, and they are used to measure deviation from a reference state, which is intended to represent ecological sustainability. All indicators and the overall Nature Index have values between 1 [for the reference state] and 0 [very poor state).</v>
      </c>
      <c r="C8" s="7"/>
      <c r="D8" s="51" t="b">
        <f t="shared" ref="D8:I8" si="14">VLOOKUP($A8, INDIRECT(D$1&amp;"!A:C"), 3, FALSE)</f>
        <v>1</v>
      </c>
      <c r="E8" s="51" t="str">
        <f t="shared" si="14"/>
        <v>TO DO</v>
      </c>
      <c r="F8" s="51" t="b">
        <f t="shared" si="14"/>
        <v>1</v>
      </c>
      <c r="G8" s="51" t="str">
        <f t="shared" si="14"/>
        <v>TO DO</v>
      </c>
      <c r="H8" s="51" t="b">
        <f t="shared" si="14"/>
        <v>1</v>
      </c>
      <c r="I8" s="51" t="b">
        <f t="shared" si="14"/>
        <v>1</v>
      </c>
      <c r="J8" s="52">
        <f t="shared" si="4"/>
        <v>1</v>
      </c>
      <c r="K8" s="53" t="str">
        <f t="shared" ref="K8:O8" si="15">VLOOKUP($A8, INDIRECT(K$1&amp;"!A:D"), 4, FALSE)</f>
        <v/>
      </c>
      <c r="L8" s="53" t="str">
        <f t="shared" si="15"/>
        <v/>
      </c>
      <c r="M8" s="53" t="str">
        <f t="shared" si="15"/>
        <v/>
      </c>
      <c r="N8" s="53" t="str">
        <f t="shared" si="15"/>
        <v/>
      </c>
      <c r="O8" s="53" t="str">
        <f t="shared" si="15"/>
        <v/>
      </c>
      <c r="P8" s="52" t="str">
        <f>IFERROR(__xludf.DUMMYFUNCTION("IF(COUNTA(K8:O8)=0, """", ARRAYFORMULA(""- ""&amp;TEXTJOIN(char(10)&amp;""- "", TRUE, FILTER(K$1:O$1&amp;"": ""&amp;K8:O8, NOT(ISBLANK(K8:O8))))))"),"")</f>
        <v/>
      </c>
      <c r="Q8" s="52" t="s">
        <v>444</v>
      </c>
      <c r="R8" s="54" t="b">
        <v>1</v>
      </c>
    </row>
    <row r="9">
      <c r="A9" s="12" t="str">
        <f>IFERROR(__xludf.DUMMYFUNCTION("""COMPUTED_VALUE"""),"b9455188d5eca6791b7550f571578d4d")</f>
        <v>b9455188d5eca6791b7550f571578d4d</v>
      </c>
      <c r="B9" s="12" t="str">
        <f>IFERROR(__xludf.DUMMYFUNCTION("""COMPUTED_VALUE"""),"Significant progress in the development of an effective management system for protected areas has been made since 2008 in Sarajevo Canton. The cantonal Ministry of Physical Planning and Environmental Protection has adopted a new system of management for t"&amp;"hree established protected areas: natural monuments Vrelo Bosne and Scacovac and protected landscape Biambare. All three protected areas were transferred for management purposes to the newly established Directorate for Protected Areas (a public institutio"&amp;"n under the control of the Ministry), currently with 22 staff, to be expanded to 29.")</f>
        <v>Significant progress in the development of an effective management system for protected areas has been made since 2008 in Sarajevo Canton. The cantonal Ministry of Physical Planning and Environmental Protection has adopted a new system of management for three established protected areas: natural monuments Vrelo Bosne and Scacovac and protected landscape Biambare. All three protected areas were transferred for management purposes to the newly established Directorate for Protected Areas (a public institution under the control of the Ministry), currently with 22 staff, to be expanded to 29.</v>
      </c>
      <c r="C9" s="7"/>
      <c r="D9" s="51" t="b">
        <f t="shared" ref="D9:I9" si="16">VLOOKUP($A9, INDIRECT(D$1&amp;"!A:C"), 3, FALSE)</f>
        <v>1</v>
      </c>
      <c r="E9" s="51" t="str">
        <f t="shared" si="16"/>
        <v>TO DO</v>
      </c>
      <c r="F9" s="51" t="b">
        <f t="shared" si="16"/>
        <v>1</v>
      </c>
      <c r="G9" s="51" t="str">
        <f t="shared" si="16"/>
        <v>TO DO</v>
      </c>
      <c r="H9" s="51" t="b">
        <f t="shared" si="16"/>
        <v>1</v>
      </c>
      <c r="I9" s="51" t="b">
        <f t="shared" si="16"/>
        <v>1</v>
      </c>
      <c r="J9" s="52">
        <f t="shared" si="4"/>
        <v>1</v>
      </c>
      <c r="K9" s="53" t="str">
        <f t="shared" ref="K9:O9" si="17">VLOOKUP($A9, INDIRECT(K$1&amp;"!A:D"), 4, FALSE)</f>
        <v/>
      </c>
      <c r="L9" s="53" t="str">
        <f t="shared" si="17"/>
        <v/>
      </c>
      <c r="M9" s="53" t="str">
        <f t="shared" si="17"/>
        <v/>
      </c>
      <c r="N9" s="53" t="str">
        <f t="shared" si="17"/>
        <v/>
      </c>
      <c r="O9" s="53" t="str">
        <f t="shared" si="17"/>
        <v/>
      </c>
      <c r="P9" s="52" t="str">
        <f>IFERROR(__xludf.DUMMYFUNCTION("IF(COUNTA(K9:O9)=0, """", ARRAYFORMULA(""- ""&amp;TEXTJOIN(char(10)&amp;""- "", TRUE, FILTER(K$1:O$1&amp;"": ""&amp;K9:O9, NOT(ISBLANK(K9:O9))))))"),"")</f>
        <v/>
      </c>
      <c r="Q9" s="52" t="s">
        <v>444</v>
      </c>
      <c r="R9" s="54" t="b">
        <v>1</v>
      </c>
    </row>
    <row r="10">
      <c r="A10" s="12" t="str">
        <f>IFERROR(__xludf.DUMMYFUNCTION("""COMPUTED_VALUE"""),"49728de4aaab5b1239627464d3e5e7ad")</f>
        <v>49728de4aaab5b1239627464d3e5e7ad</v>
      </c>
      <c r="B10" s="12" t="str">
        <f>IFERROR(__xludf.DUMMYFUNCTION("""COMPUTED_VALUE"""),"Moreover, with reference to the source database, the OECD Secretariat is better able to identify and explain discrepancies between this indicator, national data or other sources. The WDPA is updated continuously, which means that updates to the indicator "&amp;"can be done more regularly (e.g. annually). The method allows the data on protected areas to be summarised in a harmonised and more detailed way than is currently available, without requiring any additional reporting by countries.")</f>
        <v>Moreover, with reference to the source database, the OECD Secretariat is better able to identify and explain discrepancies between this indicator, national data or other sources. The WDPA is updated continuously, which means that updates to the indicator can be done more regularly (e.g. annually). The method allows the data on protected areas to be summarised in a harmonised and more detailed way than is currently available, without requiring any additional reporting by countries.</v>
      </c>
      <c r="C10" s="51"/>
      <c r="D10" s="51" t="b">
        <f t="shared" ref="D10:I10" si="18">VLOOKUP($A10, INDIRECT(D$1&amp;"!A:C"), 3, FALSE)</f>
        <v>1</v>
      </c>
      <c r="E10" s="51" t="str">
        <f t="shared" si="18"/>
        <v>TO DO</v>
      </c>
      <c r="F10" s="51" t="b">
        <f t="shared" si="18"/>
        <v>1</v>
      </c>
      <c r="G10" s="51" t="str">
        <f t="shared" si="18"/>
        <v>TO DO</v>
      </c>
      <c r="H10" s="51" t="b">
        <f t="shared" si="18"/>
        <v>1</v>
      </c>
      <c r="I10" s="51" t="b">
        <f t="shared" si="18"/>
        <v>1</v>
      </c>
      <c r="J10" s="52">
        <f t="shared" si="4"/>
        <v>1</v>
      </c>
      <c r="K10" s="53" t="str">
        <f t="shared" ref="K10:O10" si="19">VLOOKUP($A10, INDIRECT(K$1&amp;"!A:D"), 4, FALSE)</f>
        <v/>
      </c>
      <c r="L10" s="53" t="str">
        <f t="shared" si="19"/>
        <v/>
      </c>
      <c r="M10" s="53" t="str">
        <f t="shared" si="19"/>
        <v/>
      </c>
      <c r="N10" s="53" t="str">
        <f t="shared" si="19"/>
        <v/>
      </c>
      <c r="O10" s="53" t="str">
        <f t="shared" si="19"/>
        <v>PAs</v>
      </c>
      <c r="P10" s="52" t="str">
        <f>IFERROR(__xludf.DUMMYFUNCTION("IF(COUNTA(K10:O10)=0, """", ARRAYFORMULA(""- ""&amp;TEXTJOIN(char(10)&amp;""- "", TRUE, FILTER(K$1:O$1&amp;"": ""&amp;K10:O10, NOT(ISBLANK(K10:O10))))))"),"- Steve: PAs")</f>
        <v>- Steve: PAs</v>
      </c>
      <c r="Q10" s="52" t="s">
        <v>447</v>
      </c>
      <c r="R10" s="54" t="b">
        <v>1</v>
      </c>
    </row>
    <row r="11">
      <c r="A11" s="12" t="str">
        <f>IFERROR(__xludf.DUMMYFUNCTION("""COMPUTED_VALUE"""),"436c508f73fae7a14ad81cab4338303c")</f>
        <v>436c508f73fae7a14ad81cab4338303c</v>
      </c>
      <c r="B11" s="12" t="str">
        <f>IFERROR(__xludf.DUMMYFUNCTION("""COMPUTED_VALUE"""),"The growth in real wages accelerated after 2010, reflecting tight labour market conditions and skills shortages (OECD, 2013a). However, unemployment has been on the rise since early 2015 (OECD, 2015b). The economic structure has shifted towards stronger r"&amp;"eliance on services in recent decades while the share of the primary sector and industry in value added has declined. Nevertheless, the primary sector accounts for a larger share of GDP than in OECD countries (see Basic Statistics) and remains a mainstay "&amp;"of the economy.")</f>
        <v>The growth in real wages accelerated after 2010, reflecting tight labour market conditions and skills shortages (OECD, 2013a). However, unemployment has been on the rise since early 2015 (OECD, 2015b). The economic structure has shifted towards stronger reliance on services in recent decades while the share of the primary sector and industry in value added has declined. Nevertheless, the primary sector accounts for a larger share of GDP than in OECD countries (see Basic Statistics) and remains a mainstay of the economy.</v>
      </c>
      <c r="C11" s="56"/>
      <c r="D11" s="51" t="b">
        <f t="shared" ref="D11:I11" si="20">VLOOKUP($A11, INDIRECT(D$1&amp;"!A:C"), 3, FALSE)</f>
        <v>0</v>
      </c>
      <c r="E11" s="51" t="str">
        <f t="shared" si="20"/>
        <v>TO DO</v>
      </c>
      <c r="F11" s="51" t="b">
        <f t="shared" si="20"/>
        <v>0</v>
      </c>
      <c r="G11" s="51" t="str">
        <f t="shared" si="20"/>
        <v>TO DO</v>
      </c>
      <c r="H11" s="51" t="b">
        <f t="shared" si="20"/>
        <v>0</v>
      </c>
      <c r="I11" s="51" t="b">
        <f t="shared" si="20"/>
        <v>0</v>
      </c>
      <c r="J11" s="52">
        <f t="shared" si="4"/>
        <v>1</v>
      </c>
      <c r="K11" s="53" t="str">
        <f t="shared" ref="K11:O11" si="21">VLOOKUP($A11, INDIRECT(K$1&amp;"!A:D"), 4, FALSE)</f>
        <v/>
      </c>
      <c r="L11" s="53" t="str">
        <f t="shared" si="21"/>
        <v/>
      </c>
      <c r="M11" s="53" t="str">
        <f t="shared" si="21"/>
        <v/>
      </c>
      <c r="N11" s="53" t="str">
        <f t="shared" si="21"/>
        <v/>
      </c>
      <c r="O11" s="53" t="str">
        <f t="shared" si="21"/>
        <v/>
      </c>
      <c r="P11" s="52" t="str">
        <f>IFERROR(__xludf.DUMMYFUNCTION("IF(COUNTA(K11:O11)=0, """", ARRAYFORMULA(""- ""&amp;TEXTJOIN(char(10)&amp;""- "", TRUE, FILTER(K$1:O$1&amp;"": ""&amp;K11:O11, NOT(ISBLANK(K11:O11))))))"),"")</f>
        <v/>
      </c>
      <c r="Q11" s="52" t="s">
        <v>444</v>
      </c>
      <c r="R11" s="54" t="b">
        <v>0</v>
      </c>
    </row>
    <row r="12">
      <c r="A12" s="12" t="str">
        <f>IFERROR(__xludf.DUMMYFUNCTION("""COMPUTED_VALUE"""),"328132c079c25b53b9f2e5c3819c5165")</f>
        <v>328132c079c25b53b9f2e5c3819c5165</v>
      </c>
      <c r="B12" s="12" t="str">
        <f>IFERROR(__xludf.DUMMYFUNCTION("""COMPUTED_VALUE"""),"Valuable comments were received from Denny Lewis-Bynoe, John Connell, Garry Wiseman and Anthony Polack. Cook Islands and Niue are self-governing states in free association with New Zealand. Although New Zealand is a member of the Commonwealth, Cook Island"&amp;"s and Niue are not included as Commonwealth Pacific small states in this Report.")</f>
        <v>Valuable comments were received from Denny Lewis-Bynoe, John Connell, Garry Wiseman and Anthony Polack. Cook Islands and Niue are self-governing states in free association with New Zealand. Although New Zealand is a member of the Commonwealth, Cook Islands and Niue are not included as Commonwealth Pacific small states in this Report.</v>
      </c>
      <c r="C12" s="57"/>
      <c r="D12" s="51" t="b">
        <f t="shared" ref="D12:I12" si="22">VLOOKUP($A12, INDIRECT(D$1&amp;"!A:C"), 3, FALSE)</f>
        <v>0</v>
      </c>
      <c r="E12" s="51" t="str">
        <f t="shared" si="22"/>
        <v>TO DO</v>
      </c>
      <c r="F12" s="51" t="b">
        <f t="shared" si="22"/>
        <v>0</v>
      </c>
      <c r="G12" s="51" t="str">
        <f t="shared" si="22"/>
        <v>TO DO</v>
      </c>
      <c r="H12" s="51" t="b">
        <f t="shared" si="22"/>
        <v>0</v>
      </c>
      <c r="I12" s="51" t="b">
        <f t="shared" si="22"/>
        <v>0</v>
      </c>
      <c r="J12" s="52">
        <f t="shared" si="4"/>
        <v>1</v>
      </c>
      <c r="K12" s="53" t="str">
        <f t="shared" ref="K12:O12" si="23">VLOOKUP($A12, INDIRECT(K$1&amp;"!A:D"), 4, FALSE)</f>
        <v/>
      </c>
      <c r="L12" s="53" t="str">
        <f t="shared" si="23"/>
        <v/>
      </c>
      <c r="M12" s="53" t="str">
        <f t="shared" si="23"/>
        <v/>
      </c>
      <c r="N12" s="53" t="str">
        <f t="shared" si="23"/>
        <v/>
      </c>
      <c r="O12" s="53" t="str">
        <f t="shared" si="23"/>
        <v/>
      </c>
      <c r="P12" s="52" t="str">
        <f>IFERROR(__xludf.DUMMYFUNCTION("IF(COUNTA(K12:O12)=0, """", ARRAYFORMULA(""- ""&amp;TEXTJOIN(char(10)&amp;""- "", TRUE, FILTER(K$1:O$1&amp;"": ""&amp;K12:O12, NOT(ISBLANK(K12:O12))))))"),"")</f>
        <v/>
      </c>
      <c r="Q12" s="52" t="s">
        <v>444</v>
      </c>
      <c r="R12" s="54" t="b">
        <v>0</v>
      </c>
    </row>
    <row r="13" hidden="1">
      <c r="A13" s="12" t="str">
        <f>IFERROR(__xludf.DUMMYFUNCTION("""COMPUTED_VALUE"""),"375bc06c90577281228cbf256410cb00")</f>
        <v>375bc06c90577281228cbf256410cb00</v>
      </c>
      <c r="B13" s="12" t="str">
        <f>IFERROR(__xludf.DUMMYFUNCTION("""COMPUTED_VALUE"""),"The summary or summaries for policymakers should be available in all Nordic languages, including the main Sami languages, and kalaallisut (West Green-landic), in printed format. However, the costs of translation will be subject to additional applications "&amp;"for funding. A Nordic Assessment website could be set up, where the reports could be available in electronic format. Outreach should be based on the IPBES Platform’s communication and outreach strategy, adapted by the Secretariat for the Nordic Assessment"&amp;" to Nordic circumstances.")</f>
        <v>The summary or summaries for policymakers should be available in all Nordic languages, including the main Sami languages, and kalaallisut (West Green-landic), in printed format. However, the costs of translation will be subject to additional applications for funding. A Nordic Assessment website could be set up, where the reports could be available in electronic format. Outreach should be based on the IPBES Platform’s communication and outreach strategy, adapted by the Secretariat for the Nordic Assessment to Nordic circumstances.</v>
      </c>
      <c r="C13" s="57" t="s">
        <v>448</v>
      </c>
      <c r="D13" s="51" t="b">
        <f t="shared" ref="D13:I13" si="24">VLOOKUP($A13, INDIRECT(D$1&amp;"!A:C"), 3, FALSE)</f>
        <v>0</v>
      </c>
      <c r="E13" s="51" t="str">
        <f t="shared" si="24"/>
        <v>TO DO</v>
      </c>
      <c r="F13" s="51" t="str">
        <f t="shared" si="24"/>
        <v>SKIP</v>
      </c>
      <c r="G13" s="51" t="str">
        <f t="shared" si="24"/>
        <v>TO DO</v>
      </c>
      <c r="H13" s="51" t="b">
        <f t="shared" si="24"/>
        <v>0</v>
      </c>
      <c r="I13" s="51" t="b">
        <f t="shared" si="24"/>
        <v>0</v>
      </c>
      <c r="J13" s="52">
        <f t="shared" si="4"/>
        <v>0.75</v>
      </c>
      <c r="K13" s="53" t="str">
        <f t="shared" ref="K13:O13" si="25">VLOOKUP($A13, INDIRECT(K$1&amp;"!A:D"), 4, FALSE)</f>
        <v/>
      </c>
      <c r="L13" s="53" t="str">
        <f t="shared" si="25"/>
        <v/>
      </c>
      <c r="M13" s="53" t="str">
        <f t="shared" si="25"/>
        <v/>
      </c>
      <c r="N13" s="53" t="str">
        <f t="shared" si="25"/>
        <v/>
      </c>
      <c r="O13" s="53" t="str">
        <f t="shared" si="25"/>
        <v/>
      </c>
      <c r="P13" s="52" t="str">
        <f>IFERROR(__xludf.DUMMYFUNCTION("IF(COUNTA(K13:O13)=0, """", ARRAYFORMULA(""- ""&amp;TEXTJOIN(char(10)&amp;""- "", TRUE, FILTER(K$1:O$1&amp;"": ""&amp;K13:O13, NOT(ISBLANK(K13:O13))))))"),"")</f>
        <v/>
      </c>
      <c r="Q13" s="52" t="s">
        <v>444</v>
      </c>
      <c r="R13" s="54" t="s">
        <v>449</v>
      </c>
    </row>
    <row r="14">
      <c r="A14" s="12" t="str">
        <f>IFERROR(__xludf.DUMMYFUNCTION("""COMPUTED_VALUE"""),"51e6d2529e8340c1602b36e089182799")</f>
        <v>51e6d2529e8340c1602b36e089182799</v>
      </c>
      <c r="B14" s="12" t="str">
        <f>IFERROR(__xludf.DUMMYFUNCTION("""COMPUTED_VALUE"""),"The data plan also needs to cover issues such as ownership of compiled data. Although it is a metadatabase, it might be necessary to have different types of options for access and use, and to establish some kind of agreement and different levels of logins"&amp;", depending on metadata stored. The data plan needs to include a strategy for the use of data and knowledge that is not publicly available, such as local or traditional knowledge that cannot be shared outside the group of knowledge holders, or medical/psy"&amp;"chological data collected with prior informed consent restricting the use of data, as well as for quality management. Whenever possible, the sets of metadata should contain information on the geographical location and temporal reference of the underlying "&amp;"data as well as the scientific and ILK protocol with which they were collected.")</f>
        <v>The data plan also needs to cover issues such as ownership of compiled data. Although it is a metadatabase, it might be necessary to have different types of options for access and use, and to establish some kind of agreement and different levels of logins, depending on metadata stored. The data plan needs to include a strategy for the use of data and knowledge that is not publicly available, such as local or traditional knowledge that cannot be shared outside the group of knowledge holders, or medical/psychological data collected with prior informed consent restricting the use of data, as well as for quality management. Whenever possible, the sets of metadata should contain information on the geographical location and temporal reference of the underlying data as well as the scientific and ILK protocol with which they were collected.</v>
      </c>
      <c r="C14" s="56"/>
      <c r="D14" s="51" t="b">
        <f t="shared" ref="D14:I14" si="26">VLOOKUP($A14, INDIRECT(D$1&amp;"!A:C"), 3, FALSE)</f>
        <v>0</v>
      </c>
      <c r="E14" s="51" t="str">
        <f t="shared" si="26"/>
        <v>TO DO</v>
      </c>
      <c r="F14" s="51" t="b">
        <f t="shared" si="26"/>
        <v>0</v>
      </c>
      <c r="G14" s="51" t="str">
        <f t="shared" si="26"/>
        <v>TO DO</v>
      </c>
      <c r="H14" s="51" t="b">
        <f t="shared" si="26"/>
        <v>0</v>
      </c>
      <c r="I14" s="51" t="b">
        <f t="shared" si="26"/>
        <v>0</v>
      </c>
      <c r="J14" s="52">
        <f t="shared" si="4"/>
        <v>1</v>
      </c>
      <c r="K14" s="53" t="str">
        <f t="shared" ref="K14:O14" si="27">VLOOKUP($A14, INDIRECT(K$1&amp;"!A:D"), 4, FALSE)</f>
        <v/>
      </c>
      <c r="L14" s="53" t="str">
        <f t="shared" si="27"/>
        <v/>
      </c>
      <c r="M14" s="53" t="str">
        <f t="shared" si="27"/>
        <v/>
      </c>
      <c r="N14" s="53" t="str">
        <f t="shared" si="27"/>
        <v/>
      </c>
      <c r="O14" s="53" t="str">
        <f t="shared" si="27"/>
        <v/>
      </c>
      <c r="P14" s="52" t="str">
        <f>IFERROR(__xludf.DUMMYFUNCTION("IF(COUNTA(K14:O14)=0, """", ARRAYFORMULA(""- ""&amp;TEXTJOIN(char(10)&amp;""- "", TRUE, FILTER(K$1:O$1&amp;"": ""&amp;K14:O14, NOT(ISBLANK(K14:O14))))))"),"")</f>
        <v/>
      </c>
      <c r="Q14" s="52" t="s">
        <v>444</v>
      </c>
      <c r="R14" s="54" t="b">
        <v>0</v>
      </c>
    </row>
    <row r="15">
      <c r="A15" s="12" t="str">
        <f>IFERROR(__xludf.DUMMYFUNCTION("""COMPUTED_VALUE"""),"5592f180996ad6e57f3ad7f455dc760f")</f>
        <v>5592f180996ad6e57f3ad7f455dc760f</v>
      </c>
      <c r="B15" s="12" t="str">
        <f>IFERROR(__xludf.DUMMYFUNCTION("""COMPUTED_VALUE"""),"First, the multitude of different strategic documents of equal status with either the same or, to a large extent, overlapping objectives, all valid for the same period and therefore expected to be simultaneously implemented, resulted in competition for th"&amp;"e limited available state budget funding and limited institutional and staff capacities. Similarly, foreign donors have difficulty understanding what the priorities are among several similar and overlapping policy documents. In some cases, substantive con"&amp;"tents of the strategic documents are not fully reflected in the corresponding implementation action plans.")</f>
        <v>First, the multitude of different strategic documents of equal status with either the same or, to a large extent, overlapping objectives, all valid for the same period and therefore expected to be simultaneously implemented, resulted in competition for the limited available state budget funding and limited institutional and staff capacities. Similarly, foreign donors have difficulty understanding what the priorities are among several similar and overlapping policy documents. In some cases, substantive contents of the strategic documents are not fully reflected in the corresponding implementation action plans.</v>
      </c>
      <c r="C15" s="56"/>
      <c r="D15" s="51" t="b">
        <f t="shared" ref="D15:I15" si="28">VLOOKUP($A15, INDIRECT(D$1&amp;"!A:C"), 3, FALSE)</f>
        <v>0</v>
      </c>
      <c r="E15" s="51" t="str">
        <f t="shared" si="28"/>
        <v>TO DO</v>
      </c>
      <c r="F15" s="51" t="b">
        <f t="shared" si="28"/>
        <v>0</v>
      </c>
      <c r="G15" s="51" t="str">
        <f t="shared" si="28"/>
        <v>TO DO</v>
      </c>
      <c r="H15" s="51" t="b">
        <f t="shared" si="28"/>
        <v>0</v>
      </c>
      <c r="I15" s="51" t="b">
        <f t="shared" si="28"/>
        <v>0</v>
      </c>
      <c r="J15" s="52">
        <f t="shared" si="4"/>
        <v>1</v>
      </c>
      <c r="K15" s="53" t="str">
        <f t="shared" ref="K15:O15" si="29">VLOOKUP($A15, INDIRECT(K$1&amp;"!A:D"), 4, FALSE)</f>
        <v/>
      </c>
      <c r="L15" s="53" t="str">
        <f t="shared" si="29"/>
        <v/>
      </c>
      <c r="M15" s="53" t="str">
        <f t="shared" si="29"/>
        <v/>
      </c>
      <c r="N15" s="53" t="str">
        <f t="shared" si="29"/>
        <v/>
      </c>
      <c r="O15" s="53" t="str">
        <f t="shared" si="29"/>
        <v>implementation action plans of what?</v>
      </c>
      <c r="P15" s="52" t="str">
        <f>IFERROR(__xludf.DUMMYFUNCTION("IF(COUNTA(K15:O15)=0, """", ARRAYFORMULA(""- ""&amp;TEXTJOIN(char(10)&amp;""- "", TRUE, FILTER(K$1:O$1&amp;"": ""&amp;K15:O15, NOT(ISBLANK(K15:O15))))))"),"- Steve: implementation action plans of what?")</f>
        <v>- Steve: implementation action plans of what?</v>
      </c>
      <c r="Q15" s="52" t="s">
        <v>450</v>
      </c>
      <c r="R15" s="54" t="b">
        <v>0</v>
      </c>
    </row>
    <row r="16">
      <c r="A16" s="12" t="str">
        <f>IFERROR(__xludf.DUMMYFUNCTION("""COMPUTED_VALUE"""),"e7a972ad2da05b3c864665aafa4ea127")</f>
        <v>e7a972ad2da05b3c864665aafa4ea127</v>
      </c>
      <c r="B16" s="12" t="str">
        <f>IFERROR(__xludf.DUMMYFUNCTION("""COMPUTED_VALUE"""),"The lack of funds presents a large risk factor to the fulfilment of the project plan. The Nordic hubs in support of authors should apply for funds for all sub-parts of the assessment, but there are no guarantees as to how successful they will be, nor is i"&amp;"t yet clear if the project will be able to establish such hubs. There is also a need for funds to cover the co-chairs' hours of work, and the meeting costs and DSA.")</f>
        <v>The lack of funds presents a large risk factor to the fulfilment of the project plan. The Nordic hubs in support of authors should apply for funds for all sub-parts of the assessment, but there are no guarantees as to how successful they will be, nor is it yet clear if the project will be able to establish such hubs. There is also a need for funds to cover the co-chairs' hours of work, and the meeting costs and DSA.</v>
      </c>
      <c r="C16" s="56"/>
      <c r="D16" s="51" t="b">
        <f t="shared" ref="D16:I16" si="30">VLOOKUP($A16, INDIRECT(D$1&amp;"!A:C"), 3, FALSE)</f>
        <v>0</v>
      </c>
      <c r="E16" s="51" t="str">
        <f t="shared" si="30"/>
        <v>TO DO</v>
      </c>
      <c r="F16" s="51" t="b">
        <f t="shared" si="30"/>
        <v>0</v>
      </c>
      <c r="G16" s="51" t="str">
        <f t="shared" si="30"/>
        <v>TO DO</v>
      </c>
      <c r="H16" s="51" t="b">
        <f t="shared" si="30"/>
        <v>0</v>
      </c>
      <c r="I16" s="51" t="b">
        <f t="shared" si="30"/>
        <v>0</v>
      </c>
      <c r="J16" s="52">
        <f t="shared" si="4"/>
        <v>1</v>
      </c>
      <c r="K16" s="53" t="str">
        <f t="shared" ref="K16:O16" si="31">VLOOKUP($A16, INDIRECT(K$1&amp;"!A:D"), 4, FALSE)</f>
        <v/>
      </c>
      <c r="L16" s="53" t="str">
        <f t="shared" si="31"/>
        <v/>
      </c>
      <c r="M16" s="53" t="str">
        <f t="shared" si="31"/>
        <v/>
      </c>
      <c r="N16" s="53" t="str">
        <f t="shared" si="31"/>
        <v/>
      </c>
      <c r="O16" s="53" t="str">
        <f t="shared" si="31"/>
        <v/>
      </c>
      <c r="P16" s="52" t="str">
        <f>IFERROR(__xludf.DUMMYFUNCTION("IF(COUNTA(K16:O16)=0, """", ARRAYFORMULA(""- ""&amp;TEXTJOIN(char(10)&amp;""- "", TRUE, FILTER(K$1:O$1&amp;"": ""&amp;K16:O16, NOT(ISBLANK(K16:O16))))))"),"")</f>
        <v/>
      </c>
      <c r="Q16" s="52" t="s">
        <v>444</v>
      </c>
      <c r="R16" s="54" t="b">
        <v>0</v>
      </c>
    </row>
    <row r="17" hidden="1">
      <c r="A17" s="12" t="str">
        <f>IFERROR(__xludf.DUMMYFUNCTION("""COMPUTED_VALUE"""),"7a8207f850fc98cbab69a762802b2d75")</f>
        <v>7a8207f850fc98cbab69a762802b2d75</v>
      </c>
      <c r="B17" s="12" t="str">
        <f>IFERROR(__xludf.DUMMYFUNCTION("""COMPUTED_VALUE"""),"The location and accessibility of forests and the availability of recreation facilities are important to forest-based recreation and tourism. Levels of use are an indication of the extent to which forests are valued by society for these uses. This criteri"&amp;"on is comparable to FOREST EUROPE Indicator 6.10.")</f>
        <v>The location and accessibility of forests and the availability of recreation facilities are important to forest-based recreation and tourism. Levels of use are an indication of the extent to which forests are valued by society for these uses. This criterion is comparable to FOREST EUROPE Indicator 6.10.</v>
      </c>
      <c r="C17" s="7" t="s">
        <v>451</v>
      </c>
      <c r="D17" s="51" t="b">
        <f t="shared" ref="D17:I17" si="32">VLOOKUP($A17, INDIRECT(D$1&amp;"!A:C"), 3, FALSE)</f>
        <v>0</v>
      </c>
      <c r="E17" s="51" t="str">
        <f t="shared" si="32"/>
        <v>TO DO</v>
      </c>
      <c r="F17" s="51" t="str">
        <f t="shared" si="32"/>
        <v>SKIP</v>
      </c>
      <c r="G17" s="51" t="str">
        <f t="shared" si="32"/>
        <v>TO DO</v>
      </c>
      <c r="H17" s="51" t="b">
        <f t="shared" si="32"/>
        <v>0</v>
      </c>
      <c r="I17" s="51" t="b">
        <f t="shared" si="32"/>
        <v>1</v>
      </c>
      <c r="J17" s="52">
        <f t="shared" si="4"/>
        <v>0.25</v>
      </c>
      <c r="K17" s="53" t="str">
        <f t="shared" ref="K17:O17" si="33">VLOOKUP($A17, INDIRECT(K$1&amp;"!A:D"), 4, FALSE)</f>
        <v/>
      </c>
      <c r="L17" s="53" t="str">
        <f t="shared" si="33"/>
        <v/>
      </c>
      <c r="M17" s="53" t="str">
        <f t="shared" si="33"/>
        <v/>
      </c>
      <c r="N17" s="53" t="str">
        <f t="shared" si="33"/>
        <v/>
      </c>
      <c r="O17" s="53" t="str">
        <f t="shared" si="33"/>
        <v/>
      </c>
      <c r="P17" s="52" t="str">
        <f>IFERROR(__xludf.DUMMYFUNCTION("IF(COUNTA(K17:O17)=0, """", ARRAYFORMULA(""- ""&amp;TEXTJOIN(char(10)&amp;""- "", TRUE, FILTER(K$1:O$1&amp;"": ""&amp;K17:O17, NOT(ISBLANK(K17:O17))))))"),"")</f>
        <v/>
      </c>
      <c r="Q17" s="52" t="s">
        <v>444</v>
      </c>
      <c r="R17" s="54" t="s">
        <v>449</v>
      </c>
    </row>
    <row r="18">
      <c r="A18" s="12" t="str">
        <f>IFERROR(__xludf.DUMMYFUNCTION("""COMPUTED_VALUE"""),"d925d4a8e8c26c4f9805e713d051715b")</f>
        <v>d925d4a8e8c26c4f9805e713d051715b</v>
      </c>
      <c r="B18" s="12" t="str">
        <f>IFERROR(__xludf.DUMMYFUNCTION("""COMPUTED_VALUE"""),"The adverse trends of forest decline and degradation would immediately result in increased government expenditures on risk management, protective and emergency measures. Reforestation has to be perceived in the long term, as, due to climate and soil condi"&amp;"tions in mountain regions, the success of such activities would require at least several decades of effort and investment. This is particularly so in the case of the 13 nature preserves, which are traditionally designated for 10 years only, which status i"&amp;"s not always prolonged in a timely manner for the subsequent period.")</f>
        <v>The adverse trends of forest decline and degradation would immediately result in increased government expenditures on risk management, protective and emergency measures. Reforestation has to be perceived in the long term, as, due to climate and soil conditions in mountain regions, the success of such activities would require at least several decades of effort and investment. This is particularly so in the case of the 13 nature preserves, which are traditionally designated for 10 years only, which status is not always prolonged in a timely manner for the subsequent period.</v>
      </c>
      <c r="C18" s="7"/>
      <c r="D18" s="51" t="b">
        <f t="shared" ref="D18:I18" si="34">VLOOKUP($A18, INDIRECT(D$1&amp;"!A:C"), 3, FALSE)</f>
        <v>1</v>
      </c>
      <c r="E18" s="51" t="str">
        <f t="shared" si="34"/>
        <v>TO DO</v>
      </c>
      <c r="F18" s="51" t="b">
        <f t="shared" si="34"/>
        <v>1</v>
      </c>
      <c r="G18" s="51" t="str">
        <f t="shared" si="34"/>
        <v>TO DO</v>
      </c>
      <c r="H18" s="51" t="b">
        <f t="shared" si="34"/>
        <v>1</v>
      </c>
      <c r="I18" s="51" t="b">
        <f t="shared" si="34"/>
        <v>1</v>
      </c>
      <c r="J18" s="52">
        <f t="shared" si="4"/>
        <v>1</v>
      </c>
      <c r="K18" s="53" t="str">
        <f t="shared" ref="K18:O18" si="35">VLOOKUP($A18, INDIRECT(K$1&amp;"!A:D"), 4, FALSE)</f>
        <v/>
      </c>
      <c r="L18" s="53" t="str">
        <f t="shared" si="35"/>
        <v/>
      </c>
      <c r="M18" s="53" t="str">
        <f t="shared" si="35"/>
        <v/>
      </c>
      <c r="N18" s="53" t="str">
        <f t="shared" si="35"/>
        <v/>
      </c>
      <c r="O18" s="53" t="str">
        <f t="shared" si="35"/>
        <v/>
      </c>
      <c r="P18" s="52" t="str">
        <f>IFERROR(__xludf.DUMMYFUNCTION("IF(COUNTA(K18:O18)=0, """", ARRAYFORMULA(""- ""&amp;TEXTJOIN(char(10)&amp;""- "", TRUE, FILTER(K$1:O$1&amp;"": ""&amp;K18:O18, NOT(ISBLANK(K18:O18))))))"),"")</f>
        <v/>
      </c>
      <c r="Q18" s="52" t="s">
        <v>444</v>
      </c>
      <c r="R18" s="54" t="b">
        <v>1</v>
      </c>
    </row>
    <row r="19">
      <c r="A19" s="12" t="str">
        <f>IFERROR(__xludf.DUMMYFUNCTION("""COMPUTED_VALUE"""),"675cb263519ae1ff0d2dc5cb6579c71c")</f>
        <v>675cb263519ae1ff0d2dc5cb6579c71c</v>
      </c>
      <c r="B19" s="12" t="str">
        <f>IFERROR(__xludf.DUMMYFUNCTION("""COMPUTED_VALUE"""),"Equivalent work is also expected to start in 2014 on a range of finished wood products, including doors, windows, shutters, curtain-walling and flooring (Anderson, 2014). Efforts are being made to assist with the development of EPDs at the national level "&amp;"by compiling comprehensive LCA data for timber and wood products, for example through the United Kingdom's Wood First Plus Initiative. These EPDs are independently verified by Underwriters Laboratories to ensure that EPDs conform to ISO 14025 requirements"&amp;".")</f>
        <v>Equivalent work is also expected to start in 2014 on a range of finished wood products, including doors, windows, shutters, curtain-walling and flooring (Anderson, 2014). Efforts are being made to assist with the development of EPDs at the national level by compiling comprehensive LCA data for timber and wood products, for example through the United Kingdom's Wood First Plus Initiative. These EPDs are independently verified by Underwriters Laboratories to ensure that EPDs conform to ISO 14025 requirements.</v>
      </c>
      <c r="C19" s="7" t="s">
        <v>445</v>
      </c>
      <c r="D19" s="51" t="b">
        <f t="shared" ref="D19:I19" si="36">VLOOKUP($A19, INDIRECT(D$1&amp;"!A:C"), 3, FALSE)</f>
        <v>0</v>
      </c>
      <c r="E19" s="51" t="str">
        <f t="shared" si="36"/>
        <v>TO DO</v>
      </c>
      <c r="F19" s="51" t="b">
        <f t="shared" si="36"/>
        <v>1</v>
      </c>
      <c r="G19" s="51" t="str">
        <f t="shared" si="36"/>
        <v>TO DO</v>
      </c>
      <c r="H19" s="51" t="b">
        <f t="shared" si="36"/>
        <v>1</v>
      </c>
      <c r="I19" s="51" t="b">
        <f t="shared" si="36"/>
        <v>1</v>
      </c>
      <c r="J19" s="52">
        <f t="shared" si="4"/>
        <v>0.5</v>
      </c>
      <c r="K19" s="53" t="str">
        <f t="shared" ref="K19:O19" si="37">VLOOKUP($A19, INDIRECT(K$1&amp;"!A:D"), 4, FALSE)</f>
        <v/>
      </c>
      <c r="L19" s="53" t="str">
        <f t="shared" si="37"/>
        <v/>
      </c>
      <c r="M19" s="53" t="str">
        <f t="shared" si="37"/>
        <v/>
      </c>
      <c r="N19" s="53" t="str">
        <f t="shared" si="37"/>
        <v/>
      </c>
      <c r="O19" s="53" t="str">
        <f t="shared" si="37"/>
        <v/>
      </c>
      <c r="P19" s="52" t="str">
        <f>IFERROR(__xludf.DUMMYFUNCTION("IF(COUNTA(K19:O19)=0, """", ARRAYFORMULA(""- ""&amp;TEXTJOIN(char(10)&amp;""- "", TRUE, FILTER(K$1:O$1&amp;"": ""&amp;K19:O19, NOT(ISBLANK(K19:O19))))))"),"")</f>
        <v/>
      </c>
      <c r="Q19" s="52" t="s">
        <v>444</v>
      </c>
      <c r="R19" s="54" t="s">
        <v>449</v>
      </c>
      <c r="S19" s="5" t="s">
        <v>452</v>
      </c>
    </row>
    <row r="20">
      <c r="A20" s="12" t="str">
        <f>IFERROR(__xludf.DUMMYFUNCTION("""COMPUTED_VALUE"""),"9364c5f1d721b61bb5e5896783e9f798")</f>
        <v>9364c5f1d721b61bb5e5896783e9f798</v>
      </c>
      <c r="B20" s="12" t="str">
        <f>IFERROR(__xludf.DUMMYFUNCTION("""COMPUTED_VALUE"""),"Nature Geoscience, 9(10), 737-+. Seasonal sea ice cover as principal driver of spatial and temporal variation in depth extension and annual production of kelp in Greenland. Global Change Biology, 18(10), 2981-2994. Description of diatoms from the Southwes"&amp;"t to west Greenland coastel and open marine waters.")</f>
        <v>Nature Geoscience, 9(10), 737-+. Seasonal sea ice cover as principal driver of spatial and temporal variation in depth extension and annual production of kelp in Greenland. Global Change Biology, 18(10), 2981-2994. Description of diatoms from the Southwest to west Greenland coastel and open marine waters.</v>
      </c>
      <c r="C20" s="7"/>
      <c r="D20" s="51" t="b">
        <f t="shared" ref="D20:I20" si="38">VLOOKUP($A20, INDIRECT(D$1&amp;"!A:C"), 3, FALSE)</f>
        <v>0</v>
      </c>
      <c r="E20" s="51" t="str">
        <f t="shared" si="38"/>
        <v>TO DO</v>
      </c>
      <c r="F20" s="51" t="b">
        <f t="shared" si="38"/>
        <v>0</v>
      </c>
      <c r="G20" s="51" t="str">
        <f t="shared" si="38"/>
        <v>TO DO</v>
      </c>
      <c r="H20" s="51" t="b">
        <f t="shared" si="38"/>
        <v>0</v>
      </c>
      <c r="I20" s="51" t="b">
        <f t="shared" si="38"/>
        <v>0</v>
      </c>
      <c r="J20" s="52">
        <f t="shared" si="4"/>
        <v>1</v>
      </c>
      <c r="K20" s="53" t="str">
        <f t="shared" ref="K20:O20" si="39">VLOOKUP($A20, INDIRECT(K$1&amp;"!A:D"), 4, FALSE)</f>
        <v/>
      </c>
      <c r="L20" s="53" t="str">
        <f t="shared" si="39"/>
        <v/>
      </c>
      <c r="M20" s="53" t="str">
        <f t="shared" si="39"/>
        <v/>
      </c>
      <c r="N20" s="53" t="str">
        <f t="shared" si="39"/>
        <v/>
      </c>
      <c r="O20" s="53" t="str">
        <f t="shared" si="39"/>
        <v/>
      </c>
      <c r="P20" s="52" t="str">
        <f>IFERROR(__xludf.DUMMYFUNCTION("IF(COUNTA(K20:O20)=0, """", ARRAYFORMULA(""- ""&amp;TEXTJOIN(char(10)&amp;""- "", TRUE, FILTER(K$1:O$1&amp;"": ""&amp;K20:O20, NOT(ISBLANK(K20:O20))))))"),"")</f>
        <v/>
      </c>
      <c r="Q20" s="52" t="s">
        <v>444</v>
      </c>
      <c r="R20" s="54" t="b">
        <v>0</v>
      </c>
    </row>
    <row r="21">
      <c r="A21" s="12" t="str">
        <f>IFERROR(__xludf.DUMMYFUNCTION("""COMPUTED_VALUE"""),"aee7944e117d150ceccc6136e5a02e49")</f>
        <v>aee7944e117d150ceccc6136e5a02e49</v>
      </c>
      <c r="B21" s="12" t="str">
        <f>IFERROR(__xludf.DUMMYFUNCTION("""COMPUTED_VALUE"""),"The unclear status of these areas resulted in growing pressures (e.g. for grazing areas) which, in some cases, led to their deterioration. Finally, in late 2015, the legal protective status of 12 nature preserves has been extended, for the next 10 years ("&amp;"until 2025). Therefore, the legal status alone of 13 nature preserves cannot currently be perceived as an effective solution to ensuring their protection, due to the uncertainty of their continued existence in the future. This is attributable in large par"&amp;"t to the fact that all state nature reserves are legal entities with a stable and clear legal mandate, have valid land use certificates, are managed solely for nature conservation purposes, and receive more attention and support from the Government, forei"&amp;"gn donors, international organizations and conservation NGOs.")</f>
        <v>The unclear status of these areas resulted in growing pressures (e.g. for grazing areas) which, in some cases, led to their deterioration. Finally, in late 2015, the legal protective status of 12 nature preserves has been extended, for the next 10 years (until 2025). Therefore, the legal status alone of 13 nature preserves cannot currently be perceived as an effective solution to ensuring their protection, due to the uncertainty of their continued existence in the future. This is attributable in large part to the fact that all state nature reserves are legal entities with a stable and clear legal mandate, have valid land use certificates, are managed solely for nature conservation purposes, and receive more attention and support from the Government, foreign donors, international organizations and conservation NGOs.</v>
      </c>
      <c r="C21" s="7"/>
      <c r="D21" s="51" t="b">
        <f t="shared" ref="D21:I21" si="40">VLOOKUP($A21, INDIRECT(D$1&amp;"!A:C"), 3, FALSE)</f>
        <v>1</v>
      </c>
      <c r="E21" s="51" t="str">
        <f t="shared" si="40"/>
        <v>TO DO</v>
      </c>
      <c r="F21" s="51" t="b">
        <f t="shared" si="40"/>
        <v>1</v>
      </c>
      <c r="G21" s="51" t="str">
        <f t="shared" si="40"/>
        <v>TO DO</v>
      </c>
      <c r="H21" s="51" t="b">
        <f t="shared" si="40"/>
        <v>1</v>
      </c>
      <c r="I21" s="51" t="b">
        <f t="shared" si="40"/>
        <v>1</v>
      </c>
      <c r="J21" s="52">
        <f t="shared" si="4"/>
        <v>1</v>
      </c>
      <c r="K21" s="53" t="str">
        <f t="shared" ref="K21:O21" si="41">VLOOKUP($A21, INDIRECT(K$1&amp;"!A:D"), 4, FALSE)</f>
        <v/>
      </c>
      <c r="L21" s="53" t="str">
        <f t="shared" si="41"/>
        <v/>
      </c>
      <c r="M21" s="53" t="str">
        <f t="shared" si="41"/>
        <v/>
      </c>
      <c r="N21" s="53" t="str">
        <f t="shared" si="41"/>
        <v/>
      </c>
      <c r="O21" s="53" t="str">
        <f t="shared" si="41"/>
        <v/>
      </c>
      <c r="P21" s="52" t="str">
        <f>IFERROR(__xludf.DUMMYFUNCTION("IF(COUNTA(K21:O21)=0, """", ARRAYFORMULA(""- ""&amp;TEXTJOIN(char(10)&amp;""- "", TRUE, FILTER(K$1:O$1&amp;"": ""&amp;K21:O21, NOT(ISBLANK(K21:O21))))))"),"")</f>
        <v/>
      </c>
      <c r="Q21" s="52" t="s">
        <v>444</v>
      </c>
      <c r="R21" s="54" t="b">
        <v>1</v>
      </c>
    </row>
    <row r="22">
      <c r="A22" s="12" t="str">
        <f>IFERROR(__xludf.DUMMYFUNCTION("""COMPUTED_VALUE"""),"0d9a070eecdf2f4205aa5ca27c83b8cd")</f>
        <v>0d9a070eecdf2f4205aa5ca27c83b8cd</v>
      </c>
      <c r="B22" s="12" t="str">
        <f>IFERROR(__xludf.DUMMYFUNCTION("""COMPUTED_VALUE"""),"These respondents criticized that cooperation depends too much on the disposition of the directors and therefore the prioritization of cooperation by the senior management as well as simply the chemistry between individuals. The best options for each coun"&amp;"try will therefore depend on its characteristics and context. The case study examples below are intended as suggestions or inspiration to help each country strengthen its institutional arrangements in the most appropriate manner.")</f>
        <v>These respondents criticized that cooperation depends too much on the disposition of the directors and therefore the prioritization of cooperation by the senior management as well as simply the chemistry between individuals. The best options for each country will therefore depend on its characteristics and context. The case study examples below are intended as suggestions or inspiration to help each country strengthen its institutional arrangements in the most appropriate manner.</v>
      </c>
      <c r="C22" s="57"/>
      <c r="D22" s="51" t="b">
        <f t="shared" ref="D22:I22" si="42">VLOOKUP($A22, INDIRECT(D$1&amp;"!A:C"), 3, FALSE)</f>
        <v>0</v>
      </c>
      <c r="E22" s="51" t="str">
        <f t="shared" si="42"/>
        <v>TO DO</v>
      </c>
      <c r="F22" s="51" t="b">
        <f t="shared" si="42"/>
        <v>0</v>
      </c>
      <c r="G22" s="51" t="str">
        <f t="shared" si="42"/>
        <v>TO DO</v>
      </c>
      <c r="H22" s="51" t="b">
        <f t="shared" si="42"/>
        <v>0</v>
      </c>
      <c r="I22" s="51" t="b">
        <f t="shared" si="42"/>
        <v>0</v>
      </c>
      <c r="J22" s="52">
        <f t="shared" si="4"/>
        <v>1</v>
      </c>
      <c r="K22" s="53" t="str">
        <f t="shared" ref="K22:O22" si="43">VLOOKUP($A22, INDIRECT(K$1&amp;"!A:D"), 4, FALSE)</f>
        <v/>
      </c>
      <c r="L22" s="53" t="str">
        <f t="shared" si="43"/>
        <v/>
      </c>
      <c r="M22" s="53" t="str">
        <f t="shared" si="43"/>
        <v/>
      </c>
      <c r="N22" s="53" t="str">
        <f t="shared" si="43"/>
        <v/>
      </c>
      <c r="O22" s="53" t="str">
        <f t="shared" si="43"/>
        <v/>
      </c>
      <c r="P22" s="52" t="str">
        <f>IFERROR(__xludf.DUMMYFUNCTION("IF(COUNTA(K22:O22)=0, """", ARRAYFORMULA(""- ""&amp;TEXTJOIN(char(10)&amp;""- "", TRUE, FILTER(K$1:O$1&amp;"": ""&amp;K22:O22, NOT(ISBLANK(K22:O22))))))"),"")</f>
        <v/>
      </c>
      <c r="Q22" s="52" t="s">
        <v>444</v>
      </c>
      <c r="R22" s="54" t="b">
        <v>0</v>
      </c>
    </row>
    <row r="23">
      <c r="A23" s="12" t="str">
        <f>IFERROR(__xludf.DUMMYFUNCTION("""COMPUTED_VALUE"""),"5778983e5fa474b76438c796993b64aa")</f>
        <v>5778983e5fa474b76438c796993b64aa</v>
      </c>
      <c r="B23" s="12" t="str">
        <f>IFERROR(__xludf.DUMMYFUNCTION("""COMPUTED_VALUE"""),"More specific planning efforts in the biodiversity field - be they in the format of a new BSAP or another appropriate format - will flow from the general priorities identified by that plan. This is a significant policy gap, which calls for concerted plann"&amp;"ing efforts. At the same time, the expiry of the old plans offers an opportunity to look back at both plans and their implementation and to identify lessons learned and areas for improvement. They appealed inadequate to address the pressures and threats t"&amp;"hat affect biodiversity in Turkmenistan.")</f>
        <v>More specific planning efforts in the biodiversity field - be they in the format of a new BSAP or another appropriate format - will flow from the general priorities identified by that plan. This is a significant policy gap, which calls for concerted planning efforts. At the same time, the expiry of the old plans offers an opportunity to look back at both plans and their implementation and to identify lessons learned and areas for improvement. They appealed inadequate to address the pressures and threats that affect biodiversity in Turkmenistan.</v>
      </c>
      <c r="C23" s="51"/>
      <c r="D23" s="51" t="b">
        <f t="shared" ref="D23:I23" si="44">VLOOKUP($A23, INDIRECT(D$1&amp;"!A:C"), 3, FALSE)</f>
        <v>1</v>
      </c>
      <c r="E23" s="51" t="str">
        <f t="shared" si="44"/>
        <v>TO DO</v>
      </c>
      <c r="F23" s="51" t="b">
        <f t="shared" si="44"/>
        <v>1</v>
      </c>
      <c r="G23" s="51" t="str">
        <f t="shared" si="44"/>
        <v>TO DO</v>
      </c>
      <c r="H23" s="51" t="b">
        <f t="shared" si="44"/>
        <v>1</v>
      </c>
      <c r="I23" s="51" t="b">
        <f t="shared" si="44"/>
        <v>1</v>
      </c>
      <c r="J23" s="52">
        <f t="shared" si="4"/>
        <v>1</v>
      </c>
      <c r="K23" s="53" t="str">
        <f t="shared" ref="K23:O23" si="45">VLOOKUP($A23, INDIRECT(K$1&amp;"!A:D"), 4, FALSE)</f>
        <v/>
      </c>
      <c r="L23" s="53" t="str">
        <f t="shared" si="45"/>
        <v/>
      </c>
      <c r="M23" s="53" t="str">
        <f t="shared" si="45"/>
        <v/>
      </c>
      <c r="N23" s="53" t="str">
        <f t="shared" si="45"/>
        <v/>
      </c>
      <c r="O23" s="53" t="str">
        <f t="shared" si="45"/>
        <v/>
      </c>
      <c r="P23" s="52" t="str">
        <f>IFERROR(__xludf.DUMMYFUNCTION("IF(COUNTA(K23:O23)=0, """", ARRAYFORMULA(""- ""&amp;TEXTJOIN(char(10)&amp;""- "", TRUE, FILTER(K$1:O$1&amp;"": ""&amp;K23:O23, NOT(ISBLANK(K23:O23))))))"),"")</f>
        <v/>
      </c>
      <c r="Q23" s="52" t="s">
        <v>444</v>
      </c>
      <c r="R23" s="54" t="b">
        <v>1</v>
      </c>
    </row>
    <row r="24">
      <c r="A24" s="12" t="str">
        <f>IFERROR(__xludf.DUMMYFUNCTION("""COMPUTED_VALUE"""),"67ed2af3b43607d211063aa9dd9aec5d")</f>
        <v>67ed2af3b43607d211063aa9dd9aec5d</v>
      </c>
      <c r="B24" s="12" t="str">
        <f>IFERROR(__xludf.DUMMYFUNCTION("""COMPUTED_VALUE"""),"The UN-REDD programme developed guidance to promote gender-sensitive processes in the preparation, implementation and monitoring of REDD+ projects and other action plans which focus on strengthening a bottom-up approach, including priority alignment to na"&amp;"tional needs and capacities (FAO/UNDP/UNEP 2013). However, mainstreaming gender in national policies, in which is often interpreted as an increased number of women participating at local level, is not sufficient to realize the full potential of women and "&amp;"men as agents of change at community level. Systematic gender-responsive analysis should be carried out, including information on decision-making, gender perceptions and actual gender differences in interests in, as well as needs for effective engagement "&amp;"of women and men in REDD+ implementation in local contexts (Eggerts 2016, Larson etal.")</f>
        <v>The UN-REDD programme developed guidance to promote gender-sensitive processes in the preparation, implementation and monitoring of REDD+ projects and other action plans which focus on strengthening a bottom-up approach, including priority alignment to national needs and capacities (FAO/UNDP/UNEP 2013). However, mainstreaming gender in national policies, in which is often interpreted as an increased number of women participating at local level, is not sufficient to realize the full potential of women and men as agents of change at community level. Systematic gender-responsive analysis should be carried out, including information on decision-making, gender perceptions and actual gender differences in interests in, as well as needs for effective engagement of women and men in REDD+ implementation in local contexts (Eggerts 2016, Larson etal.</v>
      </c>
      <c r="C24" s="7" t="s">
        <v>445</v>
      </c>
      <c r="D24" s="51" t="b">
        <f t="shared" ref="D24:I24" si="46">VLOOKUP($A24, INDIRECT(D$1&amp;"!A:C"), 3, FALSE)</f>
        <v>1</v>
      </c>
      <c r="E24" s="51" t="str">
        <f t="shared" si="46"/>
        <v>TO DO</v>
      </c>
      <c r="F24" s="51" t="b">
        <f t="shared" si="46"/>
        <v>0</v>
      </c>
      <c r="G24" s="51" t="str">
        <f t="shared" si="46"/>
        <v>TO DO</v>
      </c>
      <c r="H24" s="51" t="b">
        <f t="shared" si="46"/>
        <v>1</v>
      </c>
      <c r="I24" s="51" t="b">
        <f t="shared" si="46"/>
        <v>1</v>
      </c>
      <c r="J24" s="52">
        <f t="shared" si="4"/>
        <v>0.5</v>
      </c>
      <c r="K24" s="53" t="str">
        <f t="shared" ref="K24:O24" si="47">VLOOKUP($A24, INDIRECT(K$1&amp;"!A:D"), 4, FALSE)</f>
        <v/>
      </c>
      <c r="L24" s="53" t="str">
        <f t="shared" si="47"/>
        <v/>
      </c>
      <c r="M24" s="53" t="str">
        <f t="shared" si="47"/>
        <v/>
      </c>
      <c r="N24" s="53" t="str">
        <f t="shared" si="47"/>
        <v/>
      </c>
      <c r="O24" s="53" t="str">
        <f t="shared" si="47"/>
        <v/>
      </c>
      <c r="P24" s="52" t="str">
        <f>IFERROR(__xludf.DUMMYFUNCTION("IF(COUNTA(K24:O24)=0, """", ARRAYFORMULA(""- ""&amp;TEXTJOIN(char(10)&amp;""- "", TRUE, FILTER(K$1:O$1&amp;"": ""&amp;K24:O24, NOT(ISBLANK(K24:O24))))))"),"")</f>
        <v/>
      </c>
      <c r="Q24" s="52" t="s">
        <v>444</v>
      </c>
      <c r="R24" s="55" t="b">
        <v>1</v>
      </c>
      <c r="S24" s="5" t="s">
        <v>453</v>
      </c>
    </row>
    <row r="25">
      <c r="A25" s="12" t="str">
        <f>IFERROR(__xludf.DUMMYFUNCTION("""COMPUTED_VALUE"""),"757f4dbd11a9aea2eb9bd70ea765f391")</f>
        <v>757f4dbd11a9aea2eb9bd70ea765f391</v>
      </c>
      <c r="B25" s="12" t="str">
        <f>IFERROR(__xludf.DUMMYFUNCTION("""COMPUTED_VALUE"""),"A replacement ratio of 1.33 is applied for offsets with a time to maturity of between 5 and 25 years and 1.67 for those with time to maturity between 25 and 100 years (de Bie and van Dessel, 2011). The size of the replacement ratio applied is usually rela"&amp;"ted to the assessed risk that an offset will successfully mature (McKinney and Kiesecker, 2010). Guidance material for the biodiversity offset pilots in England, for example, recommends multipliers of ten times the measured size of the clearing site for h"&amp;"abitats that are classified as having a “very high difficulty of restoration/recreation” (DEFRA, 2012).")</f>
        <v>A replacement ratio of 1.33 is applied for offsets with a time to maturity of between 5 and 25 years and 1.67 for those with time to maturity between 25 and 100 years (de Bie and van Dessel, 2011). The size of the replacement ratio applied is usually related to the assessed risk that an offset will successfully mature (McKinney and Kiesecker, 2010). Guidance material for the biodiversity offset pilots in England, for example, recommends multipliers of ten times the measured size of the clearing site for habitats that are classified as having a “very high difficulty of restoration/recreation” (DEFRA, 2012).</v>
      </c>
      <c r="C25" s="56"/>
      <c r="D25" s="51" t="b">
        <f t="shared" ref="D25:I25" si="48">VLOOKUP($A25, INDIRECT(D$1&amp;"!A:C"), 3, FALSE)</f>
        <v>1</v>
      </c>
      <c r="E25" s="51" t="str">
        <f t="shared" si="48"/>
        <v>TO DO</v>
      </c>
      <c r="F25" s="51" t="b">
        <f t="shared" si="48"/>
        <v>1</v>
      </c>
      <c r="G25" s="51" t="str">
        <f t="shared" si="48"/>
        <v>TO DO</v>
      </c>
      <c r="H25" s="51" t="b">
        <f t="shared" si="48"/>
        <v>1</v>
      </c>
      <c r="I25" s="51" t="b">
        <f t="shared" si="48"/>
        <v>1</v>
      </c>
      <c r="J25" s="52">
        <f t="shared" si="4"/>
        <v>1</v>
      </c>
      <c r="K25" s="53" t="str">
        <f t="shared" ref="K25:O25" si="49">VLOOKUP($A25, INDIRECT(K$1&amp;"!A:D"), 4, FALSE)</f>
        <v/>
      </c>
      <c r="L25" s="53" t="str">
        <f t="shared" si="49"/>
        <v/>
      </c>
      <c r="M25" s="53" t="str">
        <f t="shared" si="49"/>
        <v/>
      </c>
      <c r="N25" s="53" t="str">
        <f t="shared" si="49"/>
        <v/>
      </c>
      <c r="O25" s="53" t="str">
        <f t="shared" si="49"/>
        <v/>
      </c>
      <c r="P25" s="52" t="str">
        <f>IFERROR(__xludf.DUMMYFUNCTION("IF(COUNTA(K25:O25)=0, """", ARRAYFORMULA(""- ""&amp;TEXTJOIN(char(10)&amp;""- "", TRUE, FILTER(K$1:O$1&amp;"": ""&amp;K25:O25, NOT(ISBLANK(K25:O25))))))"),"")</f>
        <v/>
      </c>
      <c r="Q25" s="52" t="s">
        <v>444</v>
      </c>
      <c r="R25" s="54" t="b">
        <v>1</v>
      </c>
    </row>
    <row r="26">
      <c r="A26" s="12" t="str">
        <f>IFERROR(__xludf.DUMMYFUNCTION("""COMPUTED_VALUE"""),"ec3a149758fe2c6a4418bbea645529cc")</f>
        <v>ec3a149758fe2c6a4418bbea645529cc</v>
      </c>
      <c r="B26" s="12" t="str">
        <f>IFERROR(__xludf.DUMMYFUNCTION("""COMPUTED_VALUE"""),"An important concept is opportunity costs, or the value foregone when a given alternative is undertaken: e.g., the cost of choosing scenario 1 over scenario 2. If we protect a resource today, the opportunity cost is the value that would have been generate"&amp;"d had we consumed it instead. Alternatively, if we choose to consume a resource today, the opportunity cost is the value that would have been generated from protecting it.")</f>
        <v>An important concept is opportunity costs, or the value foregone when a given alternative is undertaken: e.g., the cost of choosing scenario 1 over scenario 2. If we protect a resource today, the opportunity cost is the value that would have been generated had we consumed it instead. Alternatively, if we choose to consume a resource today, the opportunity cost is the value that would have been generated from protecting it.</v>
      </c>
      <c r="C26" s="7" t="s">
        <v>445</v>
      </c>
      <c r="D26" s="51" t="b">
        <f t="shared" ref="D26:I26" si="50">VLOOKUP($A26, INDIRECT(D$1&amp;"!A:C"), 3, FALSE)</f>
        <v>0</v>
      </c>
      <c r="E26" s="51" t="str">
        <f t="shared" si="50"/>
        <v>TO DO</v>
      </c>
      <c r="F26" s="51" t="b">
        <f t="shared" si="50"/>
        <v>0</v>
      </c>
      <c r="G26" s="51" t="str">
        <f t="shared" si="50"/>
        <v>TO DO</v>
      </c>
      <c r="H26" s="51" t="b">
        <f t="shared" si="50"/>
        <v>0</v>
      </c>
      <c r="I26" s="51" t="b">
        <f t="shared" si="50"/>
        <v>0</v>
      </c>
      <c r="J26" s="52">
        <f t="shared" si="4"/>
        <v>1</v>
      </c>
      <c r="K26" s="53" t="str">
        <f t="shared" ref="K26:O26" si="51">VLOOKUP($A26, INDIRECT(K$1&amp;"!A:D"), 4, FALSE)</f>
        <v/>
      </c>
      <c r="L26" s="53" t="str">
        <f t="shared" si="51"/>
        <v/>
      </c>
      <c r="M26" s="53" t="str">
        <f t="shared" si="51"/>
        <v/>
      </c>
      <c r="N26" s="53" t="str">
        <f t="shared" si="51"/>
        <v/>
      </c>
      <c r="O26" s="53" t="str">
        <f t="shared" si="51"/>
        <v/>
      </c>
      <c r="P26" s="52" t="str">
        <f>IFERROR(__xludf.DUMMYFUNCTION("IF(COUNTA(K26:O26)=0, """", ARRAYFORMULA(""- ""&amp;TEXTJOIN(char(10)&amp;""- "", TRUE, FILTER(K$1:O$1&amp;"": ""&amp;K26:O26, NOT(ISBLANK(K26:O26))))))"),"")</f>
        <v/>
      </c>
      <c r="Q26" s="52" t="s">
        <v>444</v>
      </c>
      <c r="R26" s="54" t="b">
        <v>0</v>
      </c>
    </row>
    <row r="27" hidden="1">
      <c r="A27" s="12" t="str">
        <f>IFERROR(__xludf.DUMMYFUNCTION("""COMPUTED_VALUE"""),"1e0009e044486e3803b769f4bc0b40d7")</f>
        <v>1e0009e044486e3803b769f4bc0b40d7</v>
      </c>
      <c r="B27" s="12" t="str">
        <f>IFERROR(__xludf.DUMMYFUNCTION("""COMPUTED_VALUE"""),"For instance, across seven districts, the percentage of mitigation banks inspected ranged from 13-78% (Table 4.6) (Government Accountability Office, 2005). Likewise, under the Policy for the Management of Fish Habitat, a recent audit by the Office of the "&amp;"Auditor General of Canada found that the required self-monitoring was completed in only 38% of cases involving ministerial authorisations and in just 3% of cases involving letters of advice (OAGC, 2009). A central and transparent information database can "&amp;"assist regulators and the public to locate offsets, assess their performance over time and contribute to the evaluation of a scheme. In Switzerland, for example, a transparent offset registry is under construction to assist in MRV as the audit of offset p"&amp;"rojects is largely undertaken by NGOs (Morandeau and Vilaysack, 2012). The table represents banks approved from November 1995 to December 2003. Calculated as a percentage of the mitigation banking agreements requiring monitoring reports.")</f>
        <v>For instance, across seven districts, the percentage of mitigation banks inspected ranged from 13-78% (Table 4.6) (Government Accountability Office, 2005). Likewise, under the Policy for the Management of Fish Habitat, a recent audit by the Office of the Auditor General of Canada found that the required self-monitoring was completed in only 38% of cases involving ministerial authorisations and in just 3% of cases involving letters of advice (OAGC, 2009). A central and transparent information database can assist regulators and the public to locate offsets, assess their performance over time and contribute to the evaluation of a scheme. In Switzerland, for example, a transparent offset registry is under construction to assist in MRV as the audit of offset projects is largely undertaken by NGOs (Morandeau and Vilaysack, 2012). The table represents banks approved from November 1995 to December 2003. Calculated as a percentage of the mitigation banking agreements requiring monitoring reports.</v>
      </c>
      <c r="C27" s="7" t="s">
        <v>454</v>
      </c>
      <c r="D27" s="51" t="b">
        <f t="shared" ref="D27:I27" si="52">VLOOKUP($A27, INDIRECT(D$1&amp;"!A:C"), 3, FALSE)</f>
        <v>1</v>
      </c>
      <c r="E27" s="51" t="str">
        <f t="shared" si="52"/>
        <v>TO DO</v>
      </c>
      <c r="F27" s="51" t="b">
        <f t="shared" si="52"/>
        <v>0</v>
      </c>
      <c r="G27" s="51" t="str">
        <f t="shared" si="52"/>
        <v>TO DO</v>
      </c>
      <c r="H27" s="51" t="b">
        <f t="shared" si="52"/>
        <v>1</v>
      </c>
      <c r="I27" s="51" t="b">
        <f t="shared" si="52"/>
        <v>0</v>
      </c>
      <c r="J27" s="52">
        <f t="shared" si="4"/>
        <v>0</v>
      </c>
      <c r="K27" s="53" t="str">
        <f t="shared" ref="K27:O27" si="53">VLOOKUP($A27, INDIRECT(K$1&amp;"!A:D"), 4, FALSE)</f>
        <v>fish habitats includes freshwater?</v>
      </c>
      <c r="L27" s="53" t="str">
        <f t="shared" si="53"/>
        <v/>
      </c>
      <c r="M27" s="53" t="str">
        <f t="shared" si="53"/>
        <v/>
      </c>
      <c r="N27" s="53" t="str">
        <f t="shared" si="53"/>
        <v/>
      </c>
      <c r="O27" s="53" t="str">
        <f t="shared" si="53"/>
        <v>Measurement, Reporting, and Verification (MRV) of carbon credits for cc mitigation</v>
      </c>
      <c r="P27" s="52" t="str">
        <f>IFERROR(__xludf.DUMMYFUNCTION("IF(COUNTA(K27:O27)=0, """", ARRAYFORMULA(""- ""&amp;TEXTJOIN(char(10)&amp;""- "", TRUE, FILTER(K$1:O$1&amp;"": ""&amp;K27:O27, NOT(ISBLANK(K27:O27))))))"),"- Finn: fish habitats includes freshwater?
- Steve: Measurement, Reporting, and Verification (MRV) of carbon credits for cc mitigation")</f>
        <v>- Finn: fish habitats includes freshwater?
- Steve: Measurement, Reporting, and Verification (MRV) of carbon credits for cc mitigation</v>
      </c>
      <c r="Q27" s="52" t="s">
        <v>455</v>
      </c>
      <c r="R27" s="54" t="s">
        <v>449</v>
      </c>
    </row>
    <row r="28">
      <c r="A28" s="12" t="str">
        <f>IFERROR(__xludf.DUMMYFUNCTION("""COMPUTED_VALUE"""),"3017c1ad7bf498e9dccc4cb2619e737f")</f>
        <v>3017c1ad7bf498e9dccc4cb2619e737f</v>
      </c>
      <c r="B28" s="12" t="str">
        <f>IFERROR(__xludf.DUMMYFUNCTION("""COMPUTED_VALUE"""),"The calculation method is shown on the positive list for each project type under the heading “methodology”. Therefore, the party in charge of a project simply needs to use the capture volume calculation formula shown there. The party carrying out the proj"&amp;"ect monitors it in accordance with these guidelines, collects the data and calculates the results.")</f>
        <v>The calculation method is shown on the positive list for each project type under the heading “methodology”. Therefore, the party in charge of a project simply needs to use the capture volume calculation formula shown there. The party carrying out the project monitors it in accordance with these guidelines, collects the data and calculates the results.</v>
      </c>
      <c r="C28" s="56"/>
      <c r="D28" s="51" t="b">
        <f t="shared" ref="D28:I28" si="54">VLOOKUP($A28, INDIRECT(D$1&amp;"!A:C"), 3, FALSE)</f>
        <v>0</v>
      </c>
      <c r="E28" s="51" t="str">
        <f t="shared" si="54"/>
        <v>TO DO</v>
      </c>
      <c r="F28" s="51" t="b">
        <f t="shared" si="54"/>
        <v>0</v>
      </c>
      <c r="G28" s="51" t="str">
        <f t="shared" si="54"/>
        <v>TO DO</v>
      </c>
      <c r="H28" s="51" t="b">
        <f t="shared" si="54"/>
        <v>0</v>
      </c>
      <c r="I28" s="51" t="b">
        <f t="shared" si="54"/>
        <v>0</v>
      </c>
      <c r="J28" s="52">
        <f t="shared" si="4"/>
        <v>1</v>
      </c>
      <c r="K28" s="53" t="str">
        <f t="shared" ref="K28:O28" si="55">VLOOKUP($A28, INDIRECT(K$1&amp;"!A:D"), 4, FALSE)</f>
        <v/>
      </c>
      <c r="L28" s="53" t="str">
        <f t="shared" si="55"/>
        <v/>
      </c>
      <c r="M28" s="53" t="str">
        <f t="shared" si="55"/>
        <v/>
      </c>
      <c r="N28" s="53" t="str">
        <f t="shared" si="55"/>
        <v/>
      </c>
      <c r="O28" s="53" t="str">
        <f t="shared" si="55"/>
        <v/>
      </c>
      <c r="P28" s="52" t="str">
        <f>IFERROR(__xludf.DUMMYFUNCTION("IF(COUNTA(K28:O28)=0, """", ARRAYFORMULA(""- ""&amp;TEXTJOIN(char(10)&amp;""- "", TRUE, FILTER(K$1:O$1&amp;"": ""&amp;K28:O28, NOT(ISBLANK(K28:O28))))))"),"")</f>
        <v/>
      </c>
      <c r="Q28" s="52" t="s">
        <v>444</v>
      </c>
      <c r="R28" s="54" t="b">
        <v>0</v>
      </c>
    </row>
    <row r="29">
      <c r="A29" s="12" t="str">
        <f>IFERROR(__xludf.DUMMYFUNCTION("""COMPUTED_VALUE"""),"df050db4b773fbaae76d2a1c5e840735")</f>
        <v>df050db4b773fbaae76d2a1c5e840735</v>
      </c>
      <c r="B29" s="12" t="str">
        <f>IFERROR(__xludf.DUMMYFUNCTION("""COMPUTED_VALUE"""),"For example, technology platforms now support real-time reporting, rather than yearly reports, to present visual information overlaid with display data on other illicit enterprises. This analysis would produce concrete and timely metrics, and reveal nexus"&amp;"es among activity that may not have been evident in the past. The aggregation of mobile reporting is just scratching the surface of potential value of the data analytics.")</f>
        <v>For example, technology platforms now support real-time reporting, rather than yearly reports, to present visual information overlaid with display data on other illicit enterprises. This analysis would produce concrete and timely metrics, and reveal nexuses among activity that may not have been evident in the past. The aggregation of mobile reporting is just scratching the surface of potential value of the data analytics.</v>
      </c>
      <c r="C29" s="56"/>
      <c r="D29" s="51" t="b">
        <f t="shared" ref="D29:I29" si="56">VLOOKUP($A29, INDIRECT(D$1&amp;"!A:C"), 3, FALSE)</f>
        <v>0</v>
      </c>
      <c r="E29" s="51" t="str">
        <f t="shared" si="56"/>
        <v>TO DO</v>
      </c>
      <c r="F29" s="51" t="b">
        <f t="shared" si="56"/>
        <v>0</v>
      </c>
      <c r="G29" s="51" t="str">
        <f t="shared" si="56"/>
        <v>TO DO</v>
      </c>
      <c r="H29" s="51" t="b">
        <f t="shared" si="56"/>
        <v>0</v>
      </c>
      <c r="I29" s="51" t="b">
        <f t="shared" si="56"/>
        <v>0</v>
      </c>
      <c r="J29" s="52">
        <f t="shared" si="4"/>
        <v>1</v>
      </c>
      <c r="K29" s="53" t="str">
        <f t="shared" ref="K29:O29" si="57">VLOOKUP($A29, INDIRECT(K$1&amp;"!A:D"), 4, FALSE)</f>
        <v/>
      </c>
      <c r="L29" s="53" t="str">
        <f t="shared" si="57"/>
        <v/>
      </c>
      <c r="M29" s="53" t="str">
        <f t="shared" si="57"/>
        <v/>
      </c>
      <c r="N29" s="53" t="str">
        <f t="shared" si="57"/>
        <v/>
      </c>
      <c r="O29" s="53" t="str">
        <f t="shared" si="57"/>
        <v/>
      </c>
      <c r="P29" s="52" t="str">
        <f>IFERROR(__xludf.DUMMYFUNCTION("IF(COUNTA(K29:O29)=0, """", ARRAYFORMULA(""- ""&amp;TEXTJOIN(char(10)&amp;""- "", TRUE, FILTER(K$1:O$1&amp;"": ""&amp;K29:O29, NOT(ISBLANK(K29:O29))))))"),"")</f>
        <v/>
      </c>
      <c r="Q29" s="52" t="s">
        <v>444</v>
      </c>
      <c r="R29" s="54" t="b">
        <v>0</v>
      </c>
    </row>
    <row r="30">
      <c r="A30" s="12" t="str">
        <f>IFERROR(__xludf.DUMMYFUNCTION("""COMPUTED_VALUE"""),"a63bf54bd7d1a6c1deaf9e872f8bdfca")</f>
        <v>a63bf54bd7d1a6c1deaf9e872f8bdfca</v>
      </c>
      <c r="B30" s="12" t="str">
        <f>IFERROR(__xludf.DUMMYFUNCTION("""COMPUTED_VALUE"""),"This activity will be the responsibility of the managers, who will work in conjunction with staff responsible for the use and management of the industrial machinery in question. This planning system would also afford access to the after-sales services off"&amp;"ered by prestigious suppliers, involving the provision of specialist technical assistance on the use of their inputs. Such certifications would be added to those already granted by the Forest Stewardship Council.")</f>
        <v>This activity will be the responsibility of the managers, who will work in conjunction with staff responsible for the use and management of the industrial machinery in question. This planning system would also afford access to the after-sales services offered by prestigious suppliers, involving the provision of specialist technical assistance on the use of their inputs. Such certifications would be added to those already granted by the Forest Stewardship Council.</v>
      </c>
      <c r="C30" s="7" t="s">
        <v>445</v>
      </c>
      <c r="D30" s="51" t="b">
        <f t="shared" ref="D30:I30" si="58">VLOOKUP($A30, INDIRECT(D$1&amp;"!A:C"), 3, FALSE)</f>
        <v>1</v>
      </c>
      <c r="E30" s="51" t="str">
        <f t="shared" si="58"/>
        <v>TO DO</v>
      </c>
      <c r="F30" s="51" t="b">
        <f t="shared" si="58"/>
        <v>0</v>
      </c>
      <c r="G30" s="51" t="str">
        <f t="shared" si="58"/>
        <v>TO DO</v>
      </c>
      <c r="H30" s="51" t="b">
        <f t="shared" si="58"/>
        <v>1</v>
      </c>
      <c r="I30" s="51" t="b">
        <f t="shared" si="58"/>
        <v>1</v>
      </c>
      <c r="J30" s="52">
        <f t="shared" si="4"/>
        <v>0.5</v>
      </c>
      <c r="K30" s="53" t="str">
        <f t="shared" ref="K30:O30" si="59">VLOOKUP($A30, INDIRECT(K$1&amp;"!A:D"), 4, FALSE)</f>
        <v/>
      </c>
      <c r="L30" s="53" t="str">
        <f t="shared" si="59"/>
        <v/>
      </c>
      <c r="M30" s="53" t="str">
        <f t="shared" si="59"/>
        <v/>
      </c>
      <c r="N30" s="53" t="str">
        <f t="shared" si="59"/>
        <v/>
      </c>
      <c r="O30" s="53" t="str">
        <f t="shared" si="59"/>
        <v/>
      </c>
      <c r="P30" s="52" t="str">
        <f>IFERROR(__xludf.DUMMYFUNCTION("IF(COUNTA(K30:O30)=0, """", ARRAYFORMULA(""- ""&amp;TEXTJOIN(char(10)&amp;""- "", TRUE, FILTER(K$1:O$1&amp;"": ""&amp;K30:O30, NOT(ISBLANK(K30:O30))))))"),"")</f>
        <v/>
      </c>
      <c r="Q30" s="52" t="s">
        <v>444</v>
      </c>
      <c r="R30" s="55" t="s">
        <v>449</v>
      </c>
      <c r="S30" s="5" t="s">
        <v>456</v>
      </c>
    </row>
    <row r="31" hidden="1">
      <c r="A31" s="12" t="str">
        <f>IFERROR(__xludf.DUMMYFUNCTION("""COMPUTED_VALUE"""),"f7dd38de3d6f8ce72467848d76daf2bc")</f>
        <v>f7dd38de3d6f8ce72467848d76daf2bc</v>
      </c>
      <c r="B31" s="12" t="str">
        <f>IFERROR(__xludf.DUMMYFUNCTION("""COMPUTED_VALUE"""),"Article 5 states that ""Local populations should be associated with tourism activities and share equitably in the economic, social and cultural benefits they generate, and particularly in the creation of direct and indirect jobs resulting from them."" Con"&amp;"sidering nature-based tourism from a sustainability perspective will inevitably take us to the concept of ecotourism, which can be seen as a normative sub-category of nature-based tourism. Donohoe and Needham (2006) reviewed 42 definitions and conclude th"&amp;"at ecotourism is characterized as nature-based, preservative, educative, sustainable, responsible and ethical tourism.")</f>
        <v>Article 5 states that "Local populations should be associated with tourism activities and share equitably in the economic, social and cultural benefits they generate, and particularly in the creation of direct and indirect jobs resulting from them." Considering nature-based tourism from a sustainability perspective will inevitably take us to the concept of ecotourism, which can be seen as a normative sub-category of nature-based tourism. Donohoe and Needham (2006) reviewed 42 definitions and conclude that ecotourism is characterized as nature-based, preservative, educative, sustainable, responsible and ethical tourism.</v>
      </c>
      <c r="C31" s="7" t="s">
        <v>451</v>
      </c>
      <c r="D31" s="51" t="b">
        <f t="shared" ref="D31:I31" si="60">VLOOKUP($A31, INDIRECT(D$1&amp;"!A:C"), 3, FALSE)</f>
        <v>0</v>
      </c>
      <c r="E31" s="51" t="str">
        <f t="shared" si="60"/>
        <v>TO DO</v>
      </c>
      <c r="F31" s="51" t="str">
        <f t="shared" si="60"/>
        <v>SKIP</v>
      </c>
      <c r="G31" s="51" t="str">
        <f t="shared" si="60"/>
        <v>TO DO</v>
      </c>
      <c r="H31" s="51" t="b">
        <f t="shared" si="60"/>
        <v>0</v>
      </c>
      <c r="I31" s="51" t="b">
        <f t="shared" si="60"/>
        <v>1</v>
      </c>
      <c r="J31" s="52">
        <f t="shared" si="4"/>
        <v>0.25</v>
      </c>
      <c r="K31" s="53" t="str">
        <f t="shared" ref="K31:O31" si="61">VLOOKUP($A31, INDIRECT(K$1&amp;"!A:D"), 4, FALSE)</f>
        <v/>
      </c>
      <c r="L31" s="53" t="str">
        <f t="shared" si="61"/>
        <v/>
      </c>
      <c r="M31" s="53" t="str">
        <f t="shared" si="61"/>
        <v/>
      </c>
      <c r="N31" s="53" t="str">
        <f t="shared" si="61"/>
        <v/>
      </c>
      <c r="O31" s="53" t="str">
        <f t="shared" si="61"/>
        <v>ecotourism needs to sustainably manage natural resources and contribute to conservation </v>
      </c>
      <c r="P31" s="52" t="str">
        <f>IFERROR(__xludf.DUMMYFUNCTION("IF(COUNTA(K31:O31)=0, """", ARRAYFORMULA(""- ""&amp;TEXTJOIN(char(10)&amp;""- "", TRUE, FILTER(K$1:O$1&amp;"": ""&amp;K31:O31, NOT(ISBLANK(K31:O31))))))"),"- Steve: ecotourism needs to sustainably manage natural resources and contribute to conservation ")</f>
        <v>- Steve: ecotourism needs to sustainably manage natural resources and contribute to conservation </v>
      </c>
      <c r="Q31" s="52" t="s">
        <v>457</v>
      </c>
      <c r="R31" s="54" t="s">
        <v>449</v>
      </c>
    </row>
    <row r="32" hidden="1">
      <c r="A32" s="12" t="str">
        <f>IFERROR(__xludf.DUMMYFUNCTION("""COMPUTED_VALUE"""),"a07e615c0d81f939880ca96aa50f350e")</f>
        <v>a07e615c0d81f939880ca96aa50f350e</v>
      </c>
      <c r="B32" s="12" t="str">
        <f>IFERROR(__xludf.DUMMYFUNCTION("""COMPUTED_VALUE"""),"Vittel paid $230 per hectare/year for seven years to cover the reduced profitability resulting from the changed management practices. Threats to water quality have now shifted from the rural to the urban areas, and Agrivair is moving its focus to programm"&amp;"es targeting pollution from storm- and waste- water management. ( The forest is partly located in a natural park, the ""Domaine d'Henniez"": 100 hectares with no intensive agriculture.")</f>
        <v>Vittel paid $230 per hectare/year for seven years to cover the reduced profitability resulting from the changed management practices. Threats to water quality have now shifted from the rural to the urban areas, and Agrivair is moving its focus to programmes targeting pollution from storm- and waste- water management. ( The forest is partly located in a natural park, the "Domaine d'Henniez": 100 hectares with no intensive agriculture.</v>
      </c>
      <c r="C32" s="57" t="s">
        <v>454</v>
      </c>
      <c r="D32" s="51" t="b">
        <f t="shared" ref="D32:I32" si="62">VLOOKUP($A32, INDIRECT(D$1&amp;"!A:C"), 3, FALSE)</f>
        <v>0</v>
      </c>
      <c r="E32" s="51" t="str">
        <f t="shared" si="62"/>
        <v>TO DO</v>
      </c>
      <c r="F32" s="51" t="b">
        <f t="shared" si="62"/>
        <v>1</v>
      </c>
      <c r="G32" s="51" t="str">
        <f t="shared" si="62"/>
        <v>TO DO</v>
      </c>
      <c r="H32" s="51" t="b">
        <f t="shared" si="62"/>
        <v>1</v>
      </c>
      <c r="I32" s="51" t="b">
        <f t="shared" si="62"/>
        <v>0</v>
      </c>
      <c r="J32" s="52">
        <f t="shared" si="4"/>
        <v>0</v>
      </c>
      <c r="K32" s="53" t="str">
        <f t="shared" ref="K32:O32" si="63">VLOOKUP($A32, INDIRECT(K$1&amp;"!A:D"), 4, FALSE)</f>
        <v/>
      </c>
      <c r="L32" s="53" t="str">
        <f t="shared" si="63"/>
        <v/>
      </c>
      <c r="M32" s="53" t="str">
        <f t="shared" si="63"/>
        <v/>
      </c>
      <c r="N32" s="53" t="str">
        <f t="shared" si="63"/>
        <v/>
      </c>
      <c r="O32" s="53" t="str">
        <f t="shared" si="63"/>
        <v/>
      </c>
      <c r="P32" s="52" t="str">
        <f>IFERROR(__xludf.DUMMYFUNCTION("IF(COUNTA(K32:O32)=0, """", ARRAYFORMULA(""- ""&amp;TEXTJOIN(char(10)&amp;""- "", TRUE, FILTER(K$1:O$1&amp;"": ""&amp;K32:O32, NOT(ISBLANK(K32:O32))))))"),"")</f>
        <v/>
      </c>
      <c r="Q32" s="52" t="s">
        <v>444</v>
      </c>
      <c r="R32" s="54" t="s">
        <v>449</v>
      </c>
    </row>
    <row r="33">
      <c r="A33" s="12" t="str">
        <f>IFERROR(__xludf.DUMMYFUNCTION("""COMPUTED_VALUE"""),"a881bb38585fb01dee7972a1548384e7")</f>
        <v>a881bb38585fb01dee7972a1548384e7</v>
      </c>
      <c r="B33" s="12" t="str">
        <f>IFERROR(__xludf.DUMMYFUNCTION("""COMPUTED_VALUE"""),"The server sends regular messages to designated recipients regarding current temperatures, and also warnings when the temperature exceeds critical thresholds. For example, in India, monthly cellular connectivity for connected temperature monitor devices a"&amp;"re in the range of around a dollar a month or less per fridge. The most expensive component is often the cell radio, while conversely, the temperature sensors are relatively cheap. In some cases, advantageous mobile cellular terms can be negotiated, resul"&amp;"ting in reduced operating costs.")</f>
        <v>The server sends regular messages to designated recipients regarding current temperatures, and also warnings when the temperature exceeds critical thresholds. For example, in India, monthly cellular connectivity for connected temperature monitor devices are in the range of around a dollar a month or less per fridge. The most expensive component is often the cell radio, while conversely, the temperature sensors are relatively cheap. In some cases, advantageous mobile cellular terms can be negotiated, resulting in reduced operating costs.</v>
      </c>
      <c r="C33" s="56"/>
      <c r="D33" s="51" t="b">
        <f t="shared" ref="D33:I33" si="64">VLOOKUP($A33, INDIRECT(D$1&amp;"!A:C"), 3, FALSE)</f>
        <v>0</v>
      </c>
      <c r="E33" s="51" t="str">
        <f t="shared" si="64"/>
        <v>TO DO</v>
      </c>
      <c r="F33" s="51" t="b">
        <f t="shared" si="64"/>
        <v>0</v>
      </c>
      <c r="G33" s="51" t="str">
        <f t="shared" si="64"/>
        <v>TO DO</v>
      </c>
      <c r="H33" s="51" t="b">
        <f t="shared" si="64"/>
        <v>0</v>
      </c>
      <c r="I33" s="51" t="b">
        <f t="shared" si="64"/>
        <v>0</v>
      </c>
      <c r="J33" s="52">
        <f t="shared" si="4"/>
        <v>1</v>
      </c>
      <c r="K33" s="53" t="str">
        <f t="shared" ref="K33:O33" si="65">VLOOKUP($A33, INDIRECT(K$1&amp;"!A:D"), 4, FALSE)</f>
        <v/>
      </c>
      <c r="L33" s="53" t="str">
        <f t="shared" si="65"/>
        <v/>
      </c>
      <c r="M33" s="53" t="str">
        <f t="shared" si="65"/>
        <v/>
      </c>
      <c r="N33" s="53" t="str">
        <f t="shared" si="65"/>
        <v/>
      </c>
      <c r="O33" s="53" t="str">
        <f t="shared" si="65"/>
        <v/>
      </c>
      <c r="P33" s="52" t="str">
        <f>IFERROR(__xludf.DUMMYFUNCTION("IF(COUNTA(K33:O33)=0, """", ARRAYFORMULA(""- ""&amp;TEXTJOIN(char(10)&amp;""- "", TRUE, FILTER(K$1:O$1&amp;"": ""&amp;K33:O33, NOT(ISBLANK(K33:O33))))))"),"")</f>
        <v/>
      </c>
      <c r="Q33" s="52" t="s">
        <v>444</v>
      </c>
      <c r="R33" s="54" t="b">
        <v>0</v>
      </c>
    </row>
    <row r="34">
      <c r="A34" s="12" t="str">
        <f>IFERROR(__xludf.DUMMYFUNCTION("""COMPUTED_VALUE"""),"c5a22c53899d819fbbb938289e6f3cdf")</f>
        <v>c5a22c53899d819fbbb938289e6f3cdf</v>
      </c>
      <c r="B34" s="12" t="str">
        <f>IFERROR(__xludf.DUMMYFUNCTION("""COMPUTED_VALUE"""),"Similar to the biodiversity tagging workshop, target agencies for this activity include: the Department of Agriculture and Bureau of Fisheries and Aquatic Resources, the Department of Science and Technology', the Commission on Higher Education and the Dep"&amp;"artment of Education, the Department of Tourism, the National Research Council of the Philippines, the Department of Social Welfare and Development, the Department of the Interior and Local Government, and leagues. The bulk of this amount is expected to c"&amp;"ome from the private sector - including businesses, financial institutions, venture capital, foundations, philanthropies, privately run academic institutions, and for-profit and not-for-profit organisations. Thus, one of the core functions of the PBSAP se"&amp;"cretariat will be to monitor financial flows related to PBSAP implementation.")</f>
        <v>Similar to the biodiversity tagging workshop, target agencies for this activity include: the Department of Agriculture and Bureau of Fisheries and Aquatic Resources, the Department of Science and Technology', the Commission on Higher Education and the Department of Education, the Department of Tourism, the National Research Council of the Philippines, the Department of Social Welfare and Development, the Department of the Interior and Local Government, and leagues. The bulk of this amount is expected to come from the private sector - including businesses, financial institutions, venture capital, foundations, philanthropies, privately run academic institutions, and for-profit and not-for-profit organisations. Thus, one of the core functions of the PBSAP secretariat will be to monitor financial flows related to PBSAP implementation.</v>
      </c>
      <c r="C34" s="7" t="s">
        <v>445</v>
      </c>
      <c r="D34" s="51" t="b">
        <f t="shared" ref="D34:I34" si="66">VLOOKUP($A34, INDIRECT(D$1&amp;"!A:C"), 3, FALSE)</f>
        <v>1</v>
      </c>
      <c r="E34" s="51" t="str">
        <f t="shared" si="66"/>
        <v>TO DO</v>
      </c>
      <c r="F34" s="51" t="b">
        <f t="shared" si="66"/>
        <v>1</v>
      </c>
      <c r="G34" s="51" t="str">
        <f t="shared" si="66"/>
        <v>TO DO</v>
      </c>
      <c r="H34" s="51" t="b">
        <f t="shared" si="66"/>
        <v>0</v>
      </c>
      <c r="I34" s="51" t="b">
        <f t="shared" si="66"/>
        <v>1</v>
      </c>
      <c r="J34" s="52">
        <f t="shared" si="4"/>
        <v>0.5</v>
      </c>
      <c r="K34" s="53" t="str">
        <f t="shared" ref="K34:O34" si="67">VLOOKUP($A34, INDIRECT(K$1&amp;"!A:D"), 4, FALSE)</f>
        <v/>
      </c>
      <c r="L34" s="53" t="str">
        <f t="shared" si="67"/>
        <v/>
      </c>
      <c r="M34" s="53" t="str">
        <f t="shared" si="67"/>
        <v/>
      </c>
      <c r="N34" s="53" t="str">
        <f t="shared" si="67"/>
        <v/>
      </c>
      <c r="O34" s="53" t="str">
        <f t="shared" si="67"/>
        <v/>
      </c>
      <c r="P34" s="52" t="str">
        <f>IFERROR(__xludf.DUMMYFUNCTION("IF(COUNTA(K34:O34)=0, """", ARRAYFORMULA(""- ""&amp;TEXTJOIN(char(10)&amp;""- "", TRUE, FILTER(K$1:O$1&amp;"": ""&amp;K34:O34, NOT(ISBLANK(K34:O34))))))"),"")</f>
        <v/>
      </c>
      <c r="Q34" s="52" t="s">
        <v>444</v>
      </c>
      <c r="R34" s="54" t="s">
        <v>449</v>
      </c>
    </row>
    <row r="35" hidden="1">
      <c r="A35" s="12" t="str">
        <f>IFERROR(__xludf.DUMMYFUNCTION("""COMPUTED_VALUE"""),"f6a4bec88b9926a217afbcb2499e353c")</f>
        <v>f6a4bec88b9926a217afbcb2499e353c</v>
      </c>
      <c r="B35" s="12" t="str">
        <f>IFERROR(__xludf.DUMMYFUNCTION("""COMPUTED_VALUE"""),"Are the indicators in the jurisdiction with the regulation different than in other jurisdictions (again, regardless of whether the regulation contributed to any of the difference)? This is in line with suggested approaches to e.g. monitor progress tow'ard"&amp;"s biodiversity' mainstreaming (see OECD, 2018). As part of the OECD (2014) work, a survey was conducted to obtain information on OECD country practices with respect to regulatory policy evaluation. In particular, few countries assess whether underlying po"&amp;"licy goals of regulation have been achieved, whether any unintended consequences have occurred and whether there is a more efficient solution to achieve the same objective. While not all countries will be in a position to collect information at all stages"&amp;", there is already great value in collecting data on the actual implementation of regulatory policy (outputs) and its impact on regulations (intermediate outcomes). The latest insights on regulatory' policy evaluation are available in the 2018 Regulatory "&amp;"Policy Outlook (OECD, 2018).")</f>
        <v>Are the indicators in the jurisdiction with the regulation different than in other jurisdictions (again, regardless of whether the regulation contributed to any of the difference)? This is in line with suggested approaches to e.g. monitor progress tow'ards biodiversity' mainstreaming (see OECD, 2018). As part of the OECD (2014) work, a survey was conducted to obtain information on OECD country practices with respect to regulatory policy evaluation. In particular, few countries assess whether underlying policy goals of regulation have been achieved, whether any unintended consequences have occurred and whether there is a more efficient solution to achieve the same objective. While not all countries will be in a position to collect information at all stages, there is already great value in collecting data on the actual implementation of regulatory policy (outputs) and its impact on regulations (intermediate outcomes). The latest insights on regulatory' policy evaluation are available in the 2018 Regulatory Policy Outlook (OECD, 2018).</v>
      </c>
      <c r="C35" s="7" t="s">
        <v>451</v>
      </c>
      <c r="D35" s="51" t="b">
        <f t="shared" ref="D35:I35" si="68">VLOOKUP($A35, INDIRECT(D$1&amp;"!A:C"), 3, FALSE)</f>
        <v>1</v>
      </c>
      <c r="E35" s="51" t="str">
        <f t="shared" si="68"/>
        <v>TO DO</v>
      </c>
      <c r="F35" s="51" t="str">
        <f t="shared" si="68"/>
        <v>SKIP</v>
      </c>
      <c r="G35" s="51" t="str">
        <f t="shared" si="68"/>
        <v>TO DO</v>
      </c>
      <c r="H35" s="51" t="b">
        <f t="shared" si="68"/>
        <v>0</v>
      </c>
      <c r="I35" s="51" t="b">
        <f t="shared" si="68"/>
        <v>1</v>
      </c>
      <c r="J35" s="52">
        <f t="shared" si="4"/>
        <v>0.25</v>
      </c>
      <c r="K35" s="53" t="str">
        <f t="shared" ref="K35:O35" si="69">VLOOKUP($A35, INDIRECT(K$1&amp;"!A:D"), 4, FALSE)</f>
        <v/>
      </c>
      <c r="L35" s="53" t="str">
        <f t="shared" si="69"/>
        <v/>
      </c>
      <c r="M35" s="53" t="str">
        <f t="shared" si="69"/>
        <v/>
      </c>
      <c r="N35" s="53" t="str">
        <f t="shared" si="69"/>
        <v/>
      </c>
      <c r="O35" s="53" t="str">
        <f t="shared" si="69"/>
        <v/>
      </c>
      <c r="P35" s="52" t="str">
        <f>IFERROR(__xludf.DUMMYFUNCTION("IF(COUNTA(K35:O35)=0, """", ARRAYFORMULA(""- ""&amp;TEXTJOIN(char(10)&amp;""- "", TRUE, FILTER(K$1:O$1&amp;"": ""&amp;K35:O35, NOT(ISBLANK(K35:O35))))))"),"")</f>
        <v/>
      </c>
      <c r="Q35" s="52" t="s">
        <v>444</v>
      </c>
      <c r="R35" s="54" t="s">
        <v>449</v>
      </c>
    </row>
    <row r="36">
      <c r="A36" s="12" t="str">
        <f>IFERROR(__xludf.DUMMYFUNCTION("""COMPUTED_VALUE"""),"139b92caa80c3f82f7d0ff1140dbb003")</f>
        <v>139b92caa80c3f82f7d0ff1140dbb003</v>
      </c>
      <c r="B36" s="12" t="str">
        <f>IFERROR(__xludf.DUMMYFUNCTION("""COMPUTED_VALUE"""),"For policy purposes, employment-to-population ratios of youth and old are particular relevant. The indicator is based on the broader indicator ‘status in employment’ which distinguishes between three categories of the total employed. These are: age and sa"&amp;"laried workers (also known as employees), self-employed workers (employers, own-account workers and members of producers’ cooperatives), contributing family workers (also known as unpaid family workers).")</f>
        <v>For policy purposes, employment-to-population ratios of youth and old are particular relevant. The indicator is based on the broader indicator ‘status in employment’ which distinguishes between three categories of the total employed. These are: age and salaried workers (also known as employees), self-employed workers (employers, own-account workers and members of producers’ cooperatives), contributing family workers (also known as unpaid family workers).</v>
      </c>
      <c r="C36" s="51"/>
      <c r="D36" s="51" t="b">
        <f t="shared" ref="D36:I36" si="70">VLOOKUP($A36, INDIRECT(D$1&amp;"!A:C"), 3, FALSE)</f>
        <v>0</v>
      </c>
      <c r="E36" s="51" t="str">
        <f t="shared" si="70"/>
        <v>TO DO</v>
      </c>
      <c r="F36" s="51" t="b">
        <f t="shared" si="70"/>
        <v>0</v>
      </c>
      <c r="G36" s="51" t="str">
        <f t="shared" si="70"/>
        <v>TO DO</v>
      </c>
      <c r="H36" s="51" t="b">
        <f t="shared" si="70"/>
        <v>0</v>
      </c>
      <c r="I36" s="51" t="b">
        <f t="shared" si="70"/>
        <v>0</v>
      </c>
      <c r="J36" s="52">
        <f t="shared" si="4"/>
        <v>1</v>
      </c>
      <c r="K36" s="53" t="str">
        <f t="shared" ref="K36:O36" si="71">VLOOKUP($A36, INDIRECT(K$1&amp;"!A:D"), 4, FALSE)</f>
        <v/>
      </c>
      <c r="L36" s="53" t="str">
        <f t="shared" si="71"/>
        <v/>
      </c>
      <c r="M36" s="53" t="str">
        <f t="shared" si="71"/>
        <v/>
      </c>
      <c r="N36" s="53" t="str">
        <f t="shared" si="71"/>
        <v/>
      </c>
      <c r="O36" s="53" t="str">
        <f t="shared" si="71"/>
        <v/>
      </c>
      <c r="P36" s="52" t="str">
        <f>IFERROR(__xludf.DUMMYFUNCTION("IF(COUNTA(K36:O36)=0, """", ARRAYFORMULA(""- ""&amp;TEXTJOIN(char(10)&amp;""- "", TRUE, FILTER(K$1:O$1&amp;"": ""&amp;K36:O36, NOT(ISBLANK(K36:O36))))))"),"")</f>
        <v/>
      </c>
      <c r="Q36" s="52" t="s">
        <v>444</v>
      </c>
      <c r="R36" s="54" t="b">
        <v>0</v>
      </c>
    </row>
    <row r="37" hidden="1">
      <c r="A37" s="12" t="str">
        <f>IFERROR(__xludf.DUMMYFUNCTION("""COMPUTED_VALUE"""),"3027d8a8a6aa1fec2565f15458b08463")</f>
        <v>3027d8a8a6aa1fec2565f15458b08463</v>
      </c>
      <c r="B37" s="12" t="str">
        <f>IFERROR(__xludf.DUMMYFUNCTION("""COMPUTED_VALUE"""),"In the outer coastal region, visiting baleen whales migrate northward toward the productive Barents Sea during summer months, where they feed on the large abundance of zooplankton and smaller fish species. These species include the humpback whale (Megapte"&amp;"ra novaeangliae), minke whale (Balaenoptera acutorostrata) and fin whale (Balaenopters physalus). It is beyond the scope to provide a complete overview of trends in biodiversity and ecosystem function of the entire North-East Atlantic region here. Indicat"&amp;"ors within the Nature Index of Norway represent populations of characteristic indigenous species, and the indicator values are based on data from monitoring, model estimates and expert assessments.")</f>
        <v>In the outer coastal region, visiting baleen whales migrate northward toward the productive Barents Sea during summer months, where they feed on the large abundance of zooplankton and smaller fish species. These species include the humpback whale (Megaptera novaeangliae), minke whale (Balaenoptera acutorostrata) and fin whale (Balaenopters physalus). It is beyond the scope to provide a complete overview of trends in biodiversity and ecosystem function of the entire North-East Atlantic region here. Indicators within the Nature Index of Norway represent populations of characteristic indigenous species, and the indicator values are based on data from monitoring, model estimates and expert assessments.</v>
      </c>
      <c r="C37" s="7" t="s">
        <v>451</v>
      </c>
      <c r="D37" s="51" t="b">
        <f t="shared" ref="D37:I37" si="72">VLOOKUP($A37, INDIRECT(D$1&amp;"!A:C"), 3, FALSE)</f>
        <v>0</v>
      </c>
      <c r="E37" s="51" t="str">
        <f t="shared" si="72"/>
        <v>TO DO</v>
      </c>
      <c r="F37" s="51" t="str">
        <f t="shared" si="72"/>
        <v>SKIP</v>
      </c>
      <c r="G37" s="51" t="str">
        <f t="shared" si="72"/>
        <v>TO DO</v>
      </c>
      <c r="H37" s="51" t="b">
        <f t="shared" si="72"/>
        <v>1</v>
      </c>
      <c r="I37" s="51" t="b">
        <f t="shared" si="72"/>
        <v>0</v>
      </c>
      <c r="J37" s="52">
        <f t="shared" si="4"/>
        <v>0.25</v>
      </c>
      <c r="K37" s="53" t="str">
        <f t="shared" ref="K37:O37" si="73">VLOOKUP($A37, INDIRECT(K$1&amp;"!A:D"), 4, FALSE)</f>
        <v/>
      </c>
      <c r="L37" s="53" t="str">
        <f t="shared" si="73"/>
        <v/>
      </c>
      <c r="M37" s="53" t="str">
        <f t="shared" si="73"/>
        <v/>
      </c>
      <c r="N37" s="53" t="str">
        <f t="shared" si="73"/>
        <v/>
      </c>
      <c r="O37" s="53" t="str">
        <f t="shared" si="73"/>
        <v/>
      </c>
      <c r="P37" s="52" t="str">
        <f>IFERROR(__xludf.DUMMYFUNCTION("IF(COUNTA(K37:O37)=0, """", ARRAYFORMULA(""- ""&amp;TEXTJOIN(char(10)&amp;""- "", TRUE, FILTER(K$1:O$1&amp;"": ""&amp;K37:O37, NOT(ISBLANK(K37:O37))))))"),"")</f>
        <v/>
      </c>
      <c r="Q37" s="52" t="s">
        <v>444</v>
      </c>
      <c r="R37" s="54" t="s">
        <v>449</v>
      </c>
    </row>
    <row r="38">
      <c r="A38" s="12" t="str">
        <f>IFERROR(__xludf.DUMMYFUNCTION("""COMPUTED_VALUE"""),"451987635956182a2b5cc66cf4e63606")</f>
        <v>451987635956182a2b5cc66cf4e63606</v>
      </c>
      <c r="B38" s="12" t="str">
        <f>IFERROR(__xludf.DUMMYFUNCTION("""COMPUTED_VALUE"""),"They are often subject to sexual abuse and health risks such as HIV/AIDS. Women's contributions to mining enterprises are often invisible because they perform unrecognized and undervalued care and domestic work. Despite heavy involvement of women in ASM, "&amp;"men control and own most of the family's assets, including land, the income from mining and farming, tools, homes, crops and the benefits yielded. Contamination by mercury used in gold recovery has significant impacts not only on women, men and children w"&amp;"orking at ASM sites, but on other people in the vicinity and those living in downstream areas (specifically young children and women who are pregnant and breastfeeding) (AU and AMCC 2015, Cordy etal.")</f>
        <v>They are often subject to sexual abuse and health risks such as HIV/AIDS. Women's contributions to mining enterprises are often invisible because they perform unrecognized and undervalued care and domestic work. Despite heavy involvement of women in ASM, men control and own most of the family's assets, including land, the income from mining and farming, tools, homes, crops and the benefits yielded. Contamination by mercury used in gold recovery has significant impacts not only on women, men and children working at ASM sites, but on other people in the vicinity and those living in downstream areas (specifically young children and women who are pregnant and breastfeeding) (AU and AMCC 2015, Cordy etal.</v>
      </c>
      <c r="C38" s="7"/>
      <c r="D38" s="51" t="b">
        <f t="shared" ref="D38:I38" si="74">VLOOKUP($A38, INDIRECT(D$1&amp;"!A:C"), 3, FALSE)</f>
        <v>0</v>
      </c>
      <c r="E38" s="51" t="str">
        <f t="shared" si="74"/>
        <v>TO DO</v>
      </c>
      <c r="F38" s="51" t="b">
        <f t="shared" si="74"/>
        <v>0</v>
      </c>
      <c r="G38" s="51" t="str">
        <f t="shared" si="74"/>
        <v>TO DO</v>
      </c>
      <c r="H38" s="51" t="b">
        <f t="shared" si="74"/>
        <v>0</v>
      </c>
      <c r="I38" s="51" t="b">
        <f t="shared" si="74"/>
        <v>0</v>
      </c>
      <c r="J38" s="52">
        <f t="shared" si="4"/>
        <v>1</v>
      </c>
      <c r="K38" s="53" t="str">
        <f t="shared" ref="K38:O38" si="75">VLOOKUP($A38, INDIRECT(K$1&amp;"!A:D"), 4, FALSE)</f>
        <v/>
      </c>
      <c r="L38" s="53" t="str">
        <f t="shared" si="75"/>
        <v/>
      </c>
      <c r="M38" s="53" t="str">
        <f t="shared" si="75"/>
        <v/>
      </c>
      <c r="N38" s="53" t="str">
        <f t="shared" si="75"/>
        <v/>
      </c>
      <c r="O38" s="53" t="str">
        <f t="shared" si="75"/>
        <v/>
      </c>
      <c r="P38" s="52" t="str">
        <f>IFERROR(__xludf.DUMMYFUNCTION("IF(COUNTA(K38:O38)=0, """", ARRAYFORMULA(""- ""&amp;TEXTJOIN(char(10)&amp;""- "", TRUE, FILTER(K$1:O$1&amp;"": ""&amp;K38:O38, NOT(ISBLANK(K38:O38))))))"),"")</f>
        <v/>
      </c>
      <c r="Q38" s="52" t="s">
        <v>444</v>
      </c>
      <c r="R38" s="54" t="b">
        <v>0</v>
      </c>
    </row>
    <row r="39">
      <c r="A39" s="12" t="str">
        <f>IFERROR(__xludf.DUMMYFUNCTION("""COMPUTED_VALUE"""),"99664848a5373d9052f7af7921aabdad")</f>
        <v>99664848a5373d9052f7af7921aabdad</v>
      </c>
      <c r="B39" s="12" t="str">
        <f>IFERROR(__xludf.DUMMYFUNCTION("""COMPUTED_VALUE"""),"Most fishing is carried out by obsolete fleets and very often directed at fish stocks that are already heavily exploited. Further increasing aquaculture production could contribute to supplying seafood and fish at lower costs to the population, thereby re"&amp;"ducing pressure on natural fishery resources. However, its potentially negative impact on aquatic ecosystems should be taken into account. Efforts are being made to develop new approaches and techniques, including run-of-river projects in suitable conditi"&amp;"ons, as development of dams for large hydro can have an adverse impact on river ecosystems and local communities.")</f>
        <v>Most fishing is carried out by obsolete fleets and very often directed at fish stocks that are already heavily exploited. Further increasing aquaculture production could contribute to supplying seafood and fish at lower costs to the population, thereby reducing pressure on natural fishery resources. However, its potentially negative impact on aquatic ecosystems should be taken into account. Efforts are being made to develop new approaches and techniques, including run-of-river projects in suitable conditions, as development of dams for large hydro can have an adverse impact on river ecosystems and local communities.</v>
      </c>
      <c r="C39" s="7" t="s">
        <v>445</v>
      </c>
      <c r="D39" s="51" t="b">
        <f t="shared" ref="D39:I39" si="76">VLOOKUP($A39, INDIRECT(D$1&amp;"!A:C"), 3, FALSE)</f>
        <v>1</v>
      </c>
      <c r="E39" s="51" t="str">
        <f t="shared" si="76"/>
        <v>TO DO</v>
      </c>
      <c r="F39" s="51" t="b">
        <f t="shared" si="76"/>
        <v>0</v>
      </c>
      <c r="G39" s="51" t="str">
        <f t="shared" si="76"/>
        <v>TO DO</v>
      </c>
      <c r="H39" s="51" t="b">
        <f t="shared" si="76"/>
        <v>1</v>
      </c>
      <c r="I39" s="51" t="b">
        <f t="shared" si="76"/>
        <v>1</v>
      </c>
      <c r="J39" s="52">
        <f t="shared" si="4"/>
        <v>0.5</v>
      </c>
      <c r="K39" s="53" t="str">
        <f t="shared" ref="K39:O39" si="77">VLOOKUP($A39, INDIRECT(K$1&amp;"!A:D"), 4, FALSE)</f>
        <v/>
      </c>
      <c r="L39" s="53" t="str">
        <f t="shared" si="77"/>
        <v/>
      </c>
      <c r="M39" s="53" t="str">
        <f t="shared" si="77"/>
        <v/>
      </c>
      <c r="N39" s="53" t="str">
        <f t="shared" si="77"/>
        <v/>
      </c>
      <c r="O39" s="53" t="str">
        <f t="shared" si="77"/>
        <v>river ecosystems in the last sentence</v>
      </c>
      <c r="P39" s="52" t="str">
        <f>IFERROR(__xludf.DUMMYFUNCTION("IF(COUNTA(K39:O39)=0, """", ARRAYFORMULA(""- ""&amp;TEXTJOIN(char(10)&amp;""- "", TRUE, FILTER(K$1:O$1&amp;"": ""&amp;K39:O39, NOT(ISBLANK(K39:O39))))))"),"- Steve: river ecosystems in the last sentence")</f>
        <v>- Steve: river ecosystems in the last sentence</v>
      </c>
      <c r="Q39" s="52" t="s">
        <v>458</v>
      </c>
      <c r="R39" s="55" t="b">
        <v>1</v>
      </c>
      <c r="S39" s="5" t="s">
        <v>459</v>
      </c>
    </row>
    <row r="40" hidden="1">
      <c r="A40" s="12" t="str">
        <f>IFERROR(__xludf.DUMMYFUNCTION("""COMPUTED_VALUE"""),"1b0f2ddc8620632c8a15d48f6b0f461a")</f>
        <v>1b0f2ddc8620632c8a15d48f6b0f461a</v>
      </c>
      <c r="B40" s="12" t="str">
        <f>IFERROR(__xludf.DUMMYFUNCTION("""COMPUTED_VALUE"""),"The project therefore had direct relevance to the water resource protection component of the NWRS2. The Department of Water Affairs appointed a set of consultants to develop a first draft of the revised strategy. Key individuals based at different institu"&amp;"tions are well known to each other and maintain strong connections through consistent working relationships.")</f>
        <v>The project therefore had direct relevance to the water resource protection component of the NWRS2. The Department of Water Affairs appointed a set of consultants to develop a first draft of the revised strategy. Key individuals based at different institutions are well known to each other and maintain strong connections through consistent working relationships.</v>
      </c>
      <c r="C40" s="7" t="s">
        <v>454</v>
      </c>
      <c r="D40" s="51" t="b">
        <f t="shared" ref="D40:I40" si="78">VLOOKUP($A40, INDIRECT(D$1&amp;"!A:C"), 3, FALSE)</f>
        <v>0</v>
      </c>
      <c r="E40" s="51" t="str">
        <f t="shared" si="78"/>
        <v>TO DO</v>
      </c>
      <c r="F40" s="51" t="b">
        <f t="shared" si="78"/>
        <v>0</v>
      </c>
      <c r="G40" s="51" t="str">
        <f t="shared" si="78"/>
        <v>TO DO</v>
      </c>
      <c r="H40" s="51" t="b">
        <f t="shared" si="78"/>
        <v>1</v>
      </c>
      <c r="I40" s="51" t="b">
        <f t="shared" si="78"/>
        <v>1</v>
      </c>
      <c r="J40" s="52">
        <f t="shared" si="4"/>
        <v>0</v>
      </c>
      <c r="K40" s="53" t="str">
        <f t="shared" ref="K40:O40" si="79">VLOOKUP($A40, INDIRECT(K$1&amp;"!A:D"), 4, FALSE)</f>
        <v/>
      </c>
      <c r="L40" s="53" t="str">
        <f t="shared" si="79"/>
        <v/>
      </c>
      <c r="M40" s="53" t="str">
        <f t="shared" si="79"/>
        <v/>
      </c>
      <c r="N40" s="53" t="str">
        <f t="shared" si="79"/>
        <v/>
      </c>
      <c r="O40" s="53" t="str">
        <f t="shared" si="79"/>
        <v>15.1 mentions inland freshwater ecosystems</v>
      </c>
      <c r="P40" s="52" t="str">
        <f>IFERROR(__xludf.DUMMYFUNCTION("IF(COUNTA(K40:O40)=0, """", ARRAYFORMULA(""- ""&amp;TEXTJOIN(char(10)&amp;""- "", TRUE, FILTER(K$1:O$1&amp;"": ""&amp;K40:O40, NOT(ISBLANK(K40:O40))))))"),"- Steve: 15.1 mentions inland freshwater ecosystems")</f>
        <v>- Steve: 15.1 mentions inland freshwater ecosystems</v>
      </c>
      <c r="Q40" s="52" t="s">
        <v>460</v>
      </c>
      <c r="R40" s="54" t="s">
        <v>449</v>
      </c>
    </row>
    <row r="41">
      <c r="A41" s="12" t="str">
        <f>IFERROR(__xludf.DUMMYFUNCTION("""COMPUTED_VALUE"""),"c3d421de5ef3d1d3f0e67264e704af9d")</f>
        <v>c3d421de5ef3d1d3f0e67264e704af9d</v>
      </c>
      <c r="B41" s="12" t="str">
        <f>IFERROR(__xludf.DUMMYFUNCTION("""COMPUTED_VALUE"""),"Time series data are also available for each of these. While the FD accounted for two-thirds of MOECAF spending (MMK 13.62 billion or USD 13.29 million), the share of FD funding going to NWCD was relatively low' at 8.5% (MMK 1.15 billion or USD 1.12 milli"&amp;"on). Overall, the MOECAF budget (MMK 21.46 billion or USD 20.93 million) accounted for just 0.18% of total union expenditures on line ministries and departments (MMK 12.13 billion or USD 11.8 billion).")</f>
        <v>Time series data are also available for each of these. While the FD accounted for two-thirds of MOECAF spending (MMK 13.62 billion or USD 13.29 million), the share of FD funding going to NWCD was relatively low' at 8.5% (MMK 1.15 billion or USD 1.12 million). Overall, the MOECAF budget (MMK 21.46 billion or USD 20.93 million) accounted for just 0.18% of total union expenditures on line ministries and departments (MMK 12.13 billion or USD 11.8 billion).</v>
      </c>
      <c r="C41" s="7" t="s">
        <v>445</v>
      </c>
      <c r="D41" s="51" t="b">
        <f t="shared" ref="D41:I41" si="80">VLOOKUP($A41, INDIRECT(D$1&amp;"!A:C"), 3, FALSE)</f>
        <v>1</v>
      </c>
      <c r="E41" s="51" t="str">
        <f t="shared" si="80"/>
        <v>TO DO</v>
      </c>
      <c r="F41" s="51" t="b">
        <f t="shared" si="80"/>
        <v>1</v>
      </c>
      <c r="G41" s="51" t="str">
        <f t="shared" si="80"/>
        <v>TO DO</v>
      </c>
      <c r="H41" s="51" t="b">
        <f t="shared" si="80"/>
        <v>1</v>
      </c>
      <c r="I41" s="51" t="b">
        <f t="shared" si="80"/>
        <v>0</v>
      </c>
      <c r="J41" s="52">
        <f t="shared" si="4"/>
        <v>0.5</v>
      </c>
      <c r="K41" s="53" t="str">
        <f t="shared" ref="K41:O41" si="81">VLOOKUP($A41, INDIRECT(K$1&amp;"!A:D"), 4, FALSE)</f>
        <v>FD: Forest Department
MOECAF: Ministry of Environmental Conservation and Forestry
NWCD: Nature and Wildlife Conservation Division</v>
      </c>
      <c r="L41" s="53" t="str">
        <f t="shared" si="81"/>
        <v/>
      </c>
      <c r="M41" s="53" t="str">
        <f t="shared" si="81"/>
        <v/>
      </c>
      <c r="N41" s="53" t="str">
        <f t="shared" si="81"/>
        <v/>
      </c>
      <c r="O41" s="53" t="str">
        <f t="shared" si="81"/>
        <v>though the government bodies focus on forest management, e.g. Ministry of Environmental Conservation and Forestry, but only fact and number stating</v>
      </c>
      <c r="P41" s="52" t="str">
        <f>IFERROR(__xludf.DUMMYFUNCTION("IF(COUNTA(K41:O41)=0, """", ARRAYFORMULA(""- ""&amp;TEXTJOIN(char(10)&amp;""- "", TRUE, FILTER(K$1:O$1&amp;"": ""&amp;K41:O41, NOT(ISBLANK(K41:O41))))))"),"- Finn: FD: Forest Department
MOECAF: Ministry of Environmental Conservation and Forestry
NWCD: Nature and Wildlife Conservation Division
- Steve: though the government bodies focus on forest management, e.g. Ministry of Environmental Conservation and For"&amp;"estry, but only fact and number stating")</f>
        <v>- Finn: FD: Forest Department
MOECAF: Ministry of Environmental Conservation and Forestry
NWCD: Nature and Wildlife Conservation Division
- Steve: though the government bodies focus on forest management, e.g. Ministry of Environmental Conservation and Forestry, but only fact and number stating</v>
      </c>
      <c r="Q41" s="52" t="s">
        <v>461</v>
      </c>
      <c r="R41" s="55" t="b">
        <v>1</v>
      </c>
      <c r="S41" s="5" t="s">
        <v>462</v>
      </c>
    </row>
    <row r="42">
      <c r="A42" s="12" t="str">
        <f>IFERROR(__xludf.DUMMYFUNCTION("""COMPUTED_VALUE"""),"6e48e899afde84786d924e809aef2c9f")</f>
        <v>6e48e899afde84786d924e809aef2c9f</v>
      </c>
      <c r="B42" s="12" t="str">
        <f>IFERROR(__xludf.DUMMYFUNCTION("""COMPUTED_VALUE"""),"The share of the population with access to improved water sources increased from 88% in 1990 to almost 98% in 2012. Water supply in urban areas is almost universal, though 15% of the rural population still lacks access to an improved water source (Annex 3"&amp;".A). The share of households connected to water pipe networks reached 94% in urban areas in 2013. Regional disparity is wide, however, with most of the urban dwellers still not connected to a water network found in the North-east region and, particularly,"&amp;" the North, where less than 60% are connected (MCid, 2014).")</f>
        <v>The share of the population with access to improved water sources increased from 88% in 1990 to almost 98% in 2012. Water supply in urban areas is almost universal, though 15% of the rural population still lacks access to an improved water source (Annex 3.A). The share of households connected to water pipe networks reached 94% in urban areas in 2013. Regional disparity is wide, however, with most of the urban dwellers still not connected to a water network found in the North-east region and, particularly, the North, where less than 60% are connected (MCid, 2014).</v>
      </c>
      <c r="C42" s="56"/>
      <c r="D42" s="51" t="b">
        <f t="shared" ref="D42:I42" si="82">VLOOKUP($A42, INDIRECT(D$1&amp;"!A:C"), 3, FALSE)</f>
        <v>0</v>
      </c>
      <c r="E42" s="51" t="str">
        <f t="shared" si="82"/>
        <v>TO DO</v>
      </c>
      <c r="F42" s="51" t="b">
        <f t="shared" si="82"/>
        <v>0</v>
      </c>
      <c r="G42" s="51" t="str">
        <f t="shared" si="82"/>
        <v>TO DO</v>
      </c>
      <c r="H42" s="51" t="b">
        <f t="shared" si="82"/>
        <v>0</v>
      </c>
      <c r="I42" s="51" t="b">
        <f t="shared" si="82"/>
        <v>0</v>
      </c>
      <c r="J42" s="52">
        <f t="shared" si="4"/>
        <v>1</v>
      </c>
      <c r="K42" s="53" t="str">
        <f t="shared" ref="K42:O42" si="83">VLOOKUP($A42, INDIRECT(K$1&amp;"!A:D"), 4, FALSE)</f>
        <v/>
      </c>
      <c r="L42" s="53" t="str">
        <f t="shared" si="83"/>
        <v/>
      </c>
      <c r="M42" s="53" t="str">
        <f t="shared" si="83"/>
        <v/>
      </c>
      <c r="N42" s="53" t="str">
        <f t="shared" si="83"/>
        <v/>
      </c>
      <c r="O42" s="53" t="str">
        <f t="shared" si="83"/>
        <v/>
      </c>
      <c r="P42" s="52" t="str">
        <f>IFERROR(__xludf.DUMMYFUNCTION("IF(COUNTA(K42:O42)=0, """", ARRAYFORMULA(""- ""&amp;TEXTJOIN(char(10)&amp;""- "", TRUE, FILTER(K$1:O$1&amp;"": ""&amp;K42:O42, NOT(ISBLANK(K42:O42))))))"),"")</f>
        <v/>
      </c>
      <c r="Q42" s="52" t="s">
        <v>444</v>
      </c>
      <c r="R42" s="54" t="b">
        <v>0</v>
      </c>
    </row>
    <row r="43">
      <c r="A43" s="12" t="str">
        <f>IFERROR(__xludf.DUMMYFUNCTION("""COMPUTED_VALUE"""),"a735740fcf026814dba2c2909f6deae2")</f>
        <v>a735740fcf026814dba2c2909f6deae2</v>
      </c>
      <c r="B43" s="12" t="str">
        <f>IFERROR(__xludf.DUMMYFUNCTION("""COMPUTED_VALUE"""),"Its provisions include procedures for the registration and monitoring of LMOs and LMO products, risk assessment and transboundarv movements of LMOs and border checkpoints. They also address LMO production, manufacturing and use. Provisions on managing LMO"&amp;"s and LMO products are also included in the 2012 Law on Food and 2012 Law on Ensuring the Safety of Food Products, in the National Security' Concept, adopted by the State Great Khural in 2010 and in the NBP 2015-2025. Prior to 2015, a draft national actio"&amp;"n plan for biosafety was developed but it was not adopted. However these two objectives of the NBP 2015-2025 cannot substitute for a national action plan for biosafety. A-27 and revised by the 2013 Ministerial Order No.")</f>
        <v>Its provisions include procedures for the registration and monitoring of LMOs and LMO products, risk assessment and transboundarv movements of LMOs and border checkpoints. They also address LMO production, manufacturing and use. Provisions on managing LMOs and LMO products are also included in the 2012 Law on Food and 2012 Law on Ensuring the Safety of Food Products, in the National Security' Concept, adopted by the State Great Khural in 2010 and in the NBP 2015-2025. Prior to 2015, a draft national action plan for biosafety was developed but it was not adopted. However these two objectives of the NBP 2015-2025 cannot substitute for a national action plan for biosafety. A-27 and revised by the 2013 Ministerial Order No.</v>
      </c>
      <c r="C43" s="7" t="s">
        <v>445</v>
      </c>
      <c r="D43" s="51" t="b">
        <f t="shared" ref="D43:I43" si="84">VLOOKUP($A43, INDIRECT(D$1&amp;"!A:C"), 3, FALSE)</f>
        <v>0</v>
      </c>
      <c r="E43" s="51" t="str">
        <f t="shared" si="84"/>
        <v>TO DO</v>
      </c>
      <c r="F43" s="51" t="b">
        <f t="shared" si="84"/>
        <v>1</v>
      </c>
      <c r="G43" s="51" t="str">
        <f t="shared" si="84"/>
        <v>TO DO</v>
      </c>
      <c r="H43" s="51" t="b">
        <f t="shared" si="84"/>
        <v>0</v>
      </c>
      <c r="I43" s="51" t="b">
        <f t="shared" si="84"/>
        <v>0</v>
      </c>
      <c r="J43" s="52">
        <f t="shared" si="4"/>
        <v>0.5</v>
      </c>
      <c r="K43" s="53" t="str">
        <f t="shared" ref="K43:O43" si="85">VLOOKUP($A43, INDIRECT(K$1&amp;"!A:D"), 4, FALSE)</f>
        <v>more on safety than equal access</v>
      </c>
      <c r="L43" s="53" t="str">
        <f t="shared" si="85"/>
        <v/>
      </c>
      <c r="M43" s="53" t="str">
        <f t="shared" si="85"/>
        <v/>
      </c>
      <c r="N43" s="53" t="str">
        <f t="shared" si="85"/>
        <v/>
      </c>
      <c r="O43" s="53" t="str">
        <f t="shared" si="85"/>
        <v>There's an interplay between Living modified organisms (LMO) and the risk of biodiversity loss but not super clear here in the text as it focuses more on biosafety</v>
      </c>
      <c r="P43" s="52" t="str">
        <f>IFERROR(__xludf.DUMMYFUNCTION("IF(COUNTA(K43:O43)=0, """", ARRAYFORMULA(""- ""&amp;TEXTJOIN(char(10)&amp;""- "", TRUE, FILTER(K$1:O$1&amp;"": ""&amp;K43:O43, NOT(ISBLANK(K43:O43))))))"),"- Finn: more on safety than equal access
- Steve: There's an interplay between Living modified organisms (LMO) and the risk of biodiversity loss but not super clear here in the text as it focuses more on biosafety")</f>
        <v>- Finn: more on safety than equal access
- Steve: There's an interplay between Living modified organisms (LMO) and the risk of biodiversity loss but not super clear here in the text as it focuses more on biosafety</v>
      </c>
      <c r="Q43" s="52" t="s">
        <v>463</v>
      </c>
      <c r="R43" s="54" t="s">
        <v>449</v>
      </c>
      <c r="S43" s="5" t="s">
        <v>464</v>
      </c>
    </row>
    <row r="44">
      <c r="A44" s="12" t="str">
        <f>IFERROR(__xludf.DUMMYFUNCTION("""COMPUTED_VALUE"""),"b8091fae8db995180c409a47e302c5f8")</f>
        <v>b8091fae8db995180c409a47e302c5f8</v>
      </c>
      <c r="B44" s="12" t="str">
        <f>IFERROR(__xludf.DUMMYFUNCTION("""COMPUTED_VALUE"""),"The few rivers discharging into the Caspian Sea from Turkmenistan are not major sturgeon spawning areas, but the Turkmen coast between Esenguly and Ogurchinsky Island is a key wintering area for them and other fish, as well as a regular habitat of the Cas"&amp;"pian seal. Annual sturgeon catches throughout the Caspian declined from &gt; 25,000 t in the 1970s to 470 t in 2000. Sturgeon fishing in the Caspian Sea is now forbidden and there are no significant sturgeon spawning rivers in Turkmenistan, so there is no of"&amp;"ficial sturgeon fishery there. Turkmenistan has had zero CITES export quotas for sturgeon products since 2007.")</f>
        <v>The few rivers discharging into the Caspian Sea from Turkmenistan are not major sturgeon spawning areas, but the Turkmen coast between Esenguly and Ogurchinsky Island is a key wintering area for them and other fish, as well as a regular habitat of the Caspian seal. Annual sturgeon catches throughout the Caspian declined from &gt; 25,000 t in the 1970s to 470 t in 2000. Sturgeon fishing in the Caspian Sea is now forbidden and there are no significant sturgeon spawning rivers in Turkmenistan, so there is no official sturgeon fishery there. Turkmenistan has had zero CITES export quotas for sturgeon products since 2007.</v>
      </c>
      <c r="C44" s="7" t="s">
        <v>445</v>
      </c>
      <c r="D44" s="51" t="b">
        <f t="shared" ref="D44:I44" si="86">VLOOKUP($A44, INDIRECT(D$1&amp;"!A:C"), 3, FALSE)</f>
        <v>0</v>
      </c>
      <c r="E44" s="51" t="str">
        <f t="shared" si="86"/>
        <v>TO DO</v>
      </c>
      <c r="F44" s="51" t="b">
        <f t="shared" si="86"/>
        <v>1</v>
      </c>
      <c r="G44" s="51" t="str">
        <f t="shared" si="86"/>
        <v>TO DO</v>
      </c>
      <c r="H44" s="51" t="b">
        <f t="shared" si="86"/>
        <v>1</v>
      </c>
      <c r="I44" s="51" t="b">
        <f t="shared" si="86"/>
        <v>1</v>
      </c>
      <c r="J44" s="52">
        <f t="shared" si="4"/>
        <v>0.5</v>
      </c>
      <c r="K44" s="53" t="str">
        <f t="shared" ref="K44:O44" si="87">VLOOKUP($A44, INDIRECT(K$1&amp;"!A:D"), 4, FALSE)</f>
        <v/>
      </c>
      <c r="L44" s="53" t="str">
        <f t="shared" si="87"/>
        <v/>
      </c>
      <c r="M44" s="53" t="str">
        <f t="shared" si="87"/>
        <v/>
      </c>
      <c r="N44" s="53" t="str">
        <f t="shared" si="87"/>
        <v/>
      </c>
      <c r="O44" s="53" t="str">
        <f t="shared" si="87"/>
        <v/>
      </c>
      <c r="P44" s="52" t="str">
        <f>IFERROR(__xludf.DUMMYFUNCTION("IF(COUNTA(K44:O44)=0, """", ARRAYFORMULA(""- ""&amp;TEXTJOIN(char(10)&amp;""- "", TRUE, FILTER(K$1:O$1&amp;"": ""&amp;K44:O44, NOT(ISBLANK(K44:O44))))))"),"")</f>
        <v/>
      </c>
      <c r="Q44" s="52" t="s">
        <v>444</v>
      </c>
      <c r="R44" s="55" t="b">
        <v>1</v>
      </c>
      <c r="S44" s="5" t="s">
        <v>465</v>
      </c>
    </row>
    <row r="45">
      <c r="A45" s="12" t="str">
        <f>IFERROR(__xludf.DUMMYFUNCTION("""COMPUTED_VALUE"""),"d8c7faa85b23b153a598cc47fd82976c")</f>
        <v>d8c7faa85b23b153a598cc47fd82976c</v>
      </c>
      <c r="B45" s="12" t="str">
        <f>IFERROR(__xludf.DUMMYFUNCTION("""COMPUTED_VALUE"""),"Approval signifies that the material has been subject to detailed, line-by-line discussion and agreement by consensus. However, if a reader should report an error (e.g., a miscalculation or a factual inaccuracy) in an accepted report chapter or approved s"&amp;"ummary for policymakers, the issue should be brought to the attention of the Secretariat, which should implement a process for error correction. The text below is adapted from the IPBES procedure for the Nordic Assessment.")</f>
        <v>Approval signifies that the material has been subject to detailed, line-by-line discussion and agreement by consensus. However, if a reader should report an error (e.g., a miscalculation or a factual inaccuracy) in an accepted report chapter or approved summary for policymakers, the issue should be brought to the attention of the Secretariat, which should implement a process for error correction. The text below is adapted from the IPBES procedure for the Nordic Assessment.</v>
      </c>
      <c r="C45" s="57"/>
      <c r="D45" s="51" t="b">
        <f t="shared" ref="D45:I45" si="88">VLOOKUP($A45, INDIRECT(D$1&amp;"!A:C"), 3, FALSE)</f>
        <v>0</v>
      </c>
      <c r="E45" s="51" t="str">
        <f t="shared" si="88"/>
        <v>TO DO</v>
      </c>
      <c r="F45" s="51" t="b">
        <f t="shared" si="88"/>
        <v>0</v>
      </c>
      <c r="G45" s="51" t="str">
        <f t="shared" si="88"/>
        <v>TO DO</v>
      </c>
      <c r="H45" s="51" t="b">
        <f t="shared" si="88"/>
        <v>0</v>
      </c>
      <c r="I45" s="51" t="b">
        <f t="shared" si="88"/>
        <v>0</v>
      </c>
      <c r="J45" s="52">
        <f t="shared" si="4"/>
        <v>1</v>
      </c>
      <c r="K45" s="53" t="str">
        <f t="shared" ref="K45:O45" si="89">VLOOKUP($A45, INDIRECT(K$1&amp;"!A:D"), 4, FALSE)</f>
        <v/>
      </c>
      <c r="L45" s="53" t="str">
        <f t="shared" si="89"/>
        <v/>
      </c>
      <c r="M45" s="53" t="str">
        <f t="shared" si="89"/>
        <v/>
      </c>
      <c r="N45" s="53" t="str">
        <f t="shared" si="89"/>
        <v/>
      </c>
      <c r="O45" s="53" t="str">
        <f t="shared" si="89"/>
        <v>Should it be marked because it mentions IPBES?</v>
      </c>
      <c r="P45" s="52" t="str">
        <f>IFERROR(__xludf.DUMMYFUNCTION("IF(COUNTA(K45:O45)=0, """", ARRAYFORMULA(""- ""&amp;TEXTJOIN(char(10)&amp;""- "", TRUE, FILTER(K$1:O$1&amp;"": ""&amp;K45:O45, NOT(ISBLANK(K45:O45))))))"),"- Steve: Should it be marked because it mentions IPBES?")</f>
        <v>- Steve: Should it be marked because it mentions IPBES?</v>
      </c>
      <c r="Q45" s="52" t="s">
        <v>466</v>
      </c>
      <c r="R45" s="54" t="b">
        <v>0</v>
      </c>
    </row>
    <row r="46">
      <c r="A46" s="12" t="str">
        <f>IFERROR(__xludf.DUMMYFUNCTION("""COMPUTED_VALUE"""),"e1b3c66d5ac7d9894a4e285e45315f20")</f>
        <v>e1b3c66d5ac7d9894a4e285e45315f20</v>
      </c>
      <c r="B46" s="12" t="str">
        <f>IFERROR(__xludf.DUMMYFUNCTION("""COMPUTED_VALUE"""),"Continued decline of the bladderwrack, Fucus vesiculosus, in the Archipelago Sea, northern Baltic proper. Boreal Environment Research, 21(5-6), 373-386. Vikingsson, G. A., Pike, D. G., Desportes, G., 0ien, N., Gunnlaugsson, T., &amp; Bloch, D. (2009). Distrib"&amp;"ution and abundance of fin whales (Balaenoptera physalus) in the Northeast and Central Atlantic as inferred from the North Atlantic Sightings Surveys 1987-2001.")</f>
        <v>Continued decline of the bladderwrack, Fucus vesiculosus, in the Archipelago Sea, northern Baltic proper. Boreal Environment Research, 21(5-6), 373-386. Vikingsson, G. A., Pike, D. G., Desportes, G., 0ien, N., Gunnlaugsson, T., &amp; Bloch, D. (2009). Distribution and abundance of fin whales (Balaenoptera physalus) in the Northeast and Central Atlantic as inferred from the North Atlantic Sightings Surveys 1987-2001.</v>
      </c>
      <c r="C46" s="56"/>
      <c r="D46" s="51" t="b">
        <f t="shared" ref="D46:I46" si="90">VLOOKUP($A46, INDIRECT(D$1&amp;"!A:C"), 3, FALSE)</f>
        <v>0</v>
      </c>
      <c r="E46" s="51" t="str">
        <f t="shared" si="90"/>
        <v>TO DO</v>
      </c>
      <c r="F46" s="51" t="b">
        <f t="shared" si="90"/>
        <v>0</v>
      </c>
      <c r="G46" s="51" t="str">
        <f t="shared" si="90"/>
        <v>TO DO</v>
      </c>
      <c r="H46" s="51" t="b">
        <f t="shared" si="90"/>
        <v>0</v>
      </c>
      <c r="I46" s="51" t="b">
        <f t="shared" si="90"/>
        <v>0</v>
      </c>
      <c r="J46" s="52">
        <f t="shared" si="4"/>
        <v>1</v>
      </c>
      <c r="K46" s="53" t="str">
        <f t="shared" ref="K46:O46" si="91">VLOOKUP($A46, INDIRECT(K$1&amp;"!A:D"), 4, FALSE)</f>
        <v/>
      </c>
      <c r="L46" s="53" t="str">
        <f t="shared" si="91"/>
        <v/>
      </c>
      <c r="M46" s="53" t="str">
        <f t="shared" si="91"/>
        <v/>
      </c>
      <c r="N46" s="53" t="str">
        <f t="shared" si="91"/>
        <v/>
      </c>
      <c r="O46" s="53" t="str">
        <f t="shared" si="91"/>
        <v>on species loss? though only fact stating</v>
      </c>
      <c r="P46" s="52" t="str">
        <f>IFERROR(__xludf.DUMMYFUNCTION("IF(COUNTA(K46:O46)=0, """", ARRAYFORMULA(""- ""&amp;TEXTJOIN(char(10)&amp;""- "", TRUE, FILTER(K$1:O$1&amp;"": ""&amp;K46:O46, NOT(ISBLANK(K46:O46))))))"),"- Steve: on species loss? though only fact stating")</f>
        <v>- Steve: on species loss? though only fact stating</v>
      </c>
      <c r="Q46" s="52" t="s">
        <v>467</v>
      </c>
      <c r="R46" s="54" t="b">
        <v>0</v>
      </c>
    </row>
    <row r="47">
      <c r="A47" s="12" t="str">
        <f>IFERROR(__xludf.DUMMYFUNCTION("""COMPUTED_VALUE"""),"aa01319f4f6506fccb9d3d71e9bc922b")</f>
        <v>aa01319f4f6506fccb9d3d71e9bc922b</v>
      </c>
      <c r="B47" s="12" t="str">
        <f>IFERROR(__xludf.DUMMYFUNCTION("""COMPUTED_VALUE"""),"Existing management plans are often based on sound scientific information and analysis, yet tend to lack management tools and practical applicability, resulting in a generally low level of implementation. In 2012, half the management plans of Amazonian fe"&amp;"deral and state protected areas were being applied very little, if at all, according to the TCU (2013). Other studies pointed to even lower levels of implementation (Semeia, 2012b).")</f>
        <v>Existing management plans are often based on sound scientific information and analysis, yet tend to lack management tools and practical applicability, resulting in a generally low level of implementation. In 2012, half the management plans of Amazonian federal and state protected areas were being applied very little, if at all, according to the TCU (2013). Other studies pointed to even lower levels of implementation (Semeia, 2012b).</v>
      </c>
      <c r="C47" s="7"/>
      <c r="D47" s="51" t="b">
        <f t="shared" ref="D47:I47" si="92">VLOOKUP($A47, INDIRECT(D$1&amp;"!A:C"), 3, FALSE)</f>
        <v>1</v>
      </c>
      <c r="E47" s="51" t="str">
        <f t="shared" si="92"/>
        <v>TO DO</v>
      </c>
      <c r="F47" s="51" t="b">
        <f t="shared" si="92"/>
        <v>1</v>
      </c>
      <c r="G47" s="51" t="str">
        <f t="shared" si="92"/>
        <v>TO DO</v>
      </c>
      <c r="H47" s="51" t="b">
        <f t="shared" si="92"/>
        <v>1</v>
      </c>
      <c r="I47" s="51" t="b">
        <f t="shared" si="92"/>
        <v>1</v>
      </c>
      <c r="J47" s="52">
        <f t="shared" si="4"/>
        <v>1</v>
      </c>
      <c r="K47" s="53" t="str">
        <f t="shared" ref="K47:O47" si="93">VLOOKUP($A47, INDIRECT(K$1&amp;"!A:D"), 4, FALSE)</f>
        <v/>
      </c>
      <c r="L47" s="53" t="str">
        <f t="shared" si="93"/>
        <v/>
      </c>
      <c r="M47" s="53" t="str">
        <f t="shared" si="93"/>
        <v/>
      </c>
      <c r="N47" s="53" t="str">
        <f t="shared" si="93"/>
        <v/>
      </c>
      <c r="O47" s="53" t="str">
        <f t="shared" si="93"/>
        <v/>
      </c>
      <c r="P47" s="52" t="str">
        <f>IFERROR(__xludf.DUMMYFUNCTION("IF(COUNTA(K47:O47)=0, """", ARRAYFORMULA(""- ""&amp;TEXTJOIN(char(10)&amp;""- "", TRUE, FILTER(K$1:O$1&amp;"": ""&amp;K47:O47, NOT(ISBLANK(K47:O47))))))"),"")</f>
        <v/>
      </c>
      <c r="Q47" s="52" t="s">
        <v>444</v>
      </c>
      <c r="R47" s="54" t="b">
        <v>1</v>
      </c>
    </row>
    <row r="48">
      <c r="A48" s="12" t="str">
        <f>IFERROR(__xludf.DUMMYFUNCTION("""COMPUTED_VALUE"""),"ce0a00cd836661238ed2927532234345")</f>
        <v>ce0a00cd836661238ed2927532234345</v>
      </c>
      <c r="B48" s="12" t="str">
        <f>IFERROR(__xludf.DUMMYFUNCTION("""COMPUTED_VALUE"""),"The UN-REDD programme developed guidance to promote gender-sensitive processes in the preparation, implementation and monitoring of REDD+ projects and other action plans which focus on strengthening a bottom-up approach, including priority alignment to na"&amp;"tional needs and capacities (UN-REDD 2013). However, mainstreaming gender national policies, which is often interpreted as an increased number of women participating at local level, is not sufficient to realize the full potential of women and men as agent"&amp;"s of change at community level. Several reports have suggested that gender should be carefully integrated in the design, monitoring and evaluation of REDD+ programmes, including gender-sensitive indicators and safeguard approaches.")</f>
        <v>The UN-REDD programme developed guidance to promote gender-sensitive processes in the preparation, implementation and monitoring of REDD+ projects and other action plans which focus on strengthening a bottom-up approach, including priority alignment to national needs and capacities (UN-REDD 2013). However, mainstreaming gender national policies, which is often interpreted as an increased number of women participating at local level, is not sufficient to realize the full potential of women and men as agents of change at community level. Several reports have suggested that gender should be carefully integrated in the design, monitoring and evaluation of REDD+ programmes, including gender-sensitive indicators and safeguard approaches.</v>
      </c>
      <c r="C48" s="7" t="s">
        <v>445</v>
      </c>
      <c r="D48" s="51" t="b">
        <f t="shared" ref="D48:I48" si="94">VLOOKUP($A48, INDIRECT(D$1&amp;"!A:C"), 3, FALSE)</f>
        <v>1</v>
      </c>
      <c r="E48" s="51" t="str">
        <f t="shared" si="94"/>
        <v>TO DO</v>
      </c>
      <c r="F48" s="51" t="b">
        <f t="shared" si="94"/>
        <v>0</v>
      </c>
      <c r="G48" s="51" t="str">
        <f t="shared" si="94"/>
        <v>TO DO</v>
      </c>
      <c r="H48" s="51" t="b">
        <f t="shared" si="94"/>
        <v>1</v>
      </c>
      <c r="I48" s="51" t="b">
        <f t="shared" si="94"/>
        <v>1</v>
      </c>
      <c r="J48" s="52">
        <f t="shared" si="4"/>
        <v>0.5</v>
      </c>
      <c r="K48" s="53" t="str">
        <f t="shared" ref="K48:O48" si="95">VLOOKUP($A48, INDIRECT(K$1&amp;"!A:D"), 4, FALSE)</f>
        <v/>
      </c>
      <c r="L48" s="53" t="str">
        <f t="shared" si="95"/>
        <v/>
      </c>
      <c r="M48" s="53" t="str">
        <f t="shared" si="95"/>
        <v/>
      </c>
      <c r="N48" s="53" t="str">
        <f t="shared" si="95"/>
        <v/>
      </c>
      <c r="O48" s="53" t="str">
        <f t="shared" si="95"/>
        <v>REDD+</v>
      </c>
      <c r="P48" s="52" t="str">
        <f>IFERROR(__xludf.DUMMYFUNCTION("IF(COUNTA(K48:O48)=0, """", ARRAYFORMULA(""- ""&amp;TEXTJOIN(char(10)&amp;""- "", TRUE, FILTER(K$1:O$1&amp;"": ""&amp;K48:O48, NOT(ISBLANK(K48:O48))))))"),"- Steve: REDD+")</f>
        <v>- Steve: REDD+</v>
      </c>
      <c r="Q48" s="52" t="s">
        <v>468</v>
      </c>
      <c r="R48" s="55" t="s">
        <v>469</v>
      </c>
      <c r="S48" s="5" t="s">
        <v>470</v>
      </c>
    </row>
    <row r="49">
      <c r="A49" s="12" t="str">
        <f>IFERROR(__xludf.DUMMYFUNCTION("""COMPUTED_VALUE"""),"335b8a7105b28dc4bf7c927111ac3782")</f>
        <v>335b8a7105b28dc4bf7c927111ac3782</v>
      </c>
      <c r="B49" s="12" t="str">
        <f>IFERROR(__xludf.DUMMYFUNCTION("""COMPUTED_VALUE"""),"On World Environment Day, June 5, 1999, former prime minister Krishna Prasad Bhattarai made a public appeal to resist cutting standing trees. But his words were later twisted into a blanket ban on felling living trees in community forests. This happened i"&amp;"n 2010 following increased reports of smuggled goods from valuable forests in the southern plains.")</f>
        <v>On World Environment Day, June 5, 1999, former prime minister Krishna Prasad Bhattarai made a public appeal to resist cutting standing trees. But his words were later twisted into a blanket ban on felling living trees in community forests. This happened in 2010 following increased reports of smuggled goods from valuable forests in the southern plains.</v>
      </c>
      <c r="C49" s="7"/>
      <c r="D49" s="51" t="b">
        <f t="shared" ref="D49:I49" si="96">VLOOKUP($A49, INDIRECT(D$1&amp;"!A:C"), 3, FALSE)</f>
        <v>1</v>
      </c>
      <c r="E49" s="51" t="str">
        <f t="shared" si="96"/>
        <v>TO DO</v>
      </c>
      <c r="F49" s="51" t="b">
        <f t="shared" si="96"/>
        <v>1</v>
      </c>
      <c r="G49" s="51" t="str">
        <f t="shared" si="96"/>
        <v>TO DO</v>
      </c>
      <c r="H49" s="51" t="b">
        <f t="shared" si="96"/>
        <v>1</v>
      </c>
      <c r="I49" s="51" t="b">
        <f t="shared" si="96"/>
        <v>1</v>
      </c>
      <c r="J49" s="52">
        <f t="shared" si="4"/>
        <v>1</v>
      </c>
      <c r="K49" s="53" t="str">
        <f t="shared" ref="K49:O49" si="97">VLOOKUP($A49, INDIRECT(K$1&amp;"!A:D"), 4, FALSE)</f>
        <v/>
      </c>
      <c r="L49" s="53" t="str">
        <f t="shared" si="97"/>
        <v/>
      </c>
      <c r="M49" s="53" t="str">
        <f t="shared" si="97"/>
        <v/>
      </c>
      <c r="N49" s="53" t="str">
        <f t="shared" si="97"/>
        <v/>
      </c>
      <c r="O49" s="53" t="str">
        <f t="shared" si="97"/>
        <v/>
      </c>
      <c r="P49" s="52" t="str">
        <f>IFERROR(__xludf.DUMMYFUNCTION("IF(COUNTA(K49:O49)=0, """", ARRAYFORMULA(""- ""&amp;TEXTJOIN(char(10)&amp;""- "", TRUE, FILTER(K$1:O$1&amp;"": ""&amp;K49:O49, NOT(ISBLANK(K49:O49))))))"),"")</f>
        <v/>
      </c>
      <c r="Q49" s="52" t="s">
        <v>444</v>
      </c>
      <c r="R49" s="54" t="b">
        <v>1</v>
      </c>
    </row>
    <row r="50" hidden="1">
      <c r="A50" s="12" t="str">
        <f>IFERROR(__xludf.DUMMYFUNCTION("""COMPUTED_VALUE"""),"895fb9ff3cae1cd93b263f1e98a5decd")</f>
        <v>895fb9ff3cae1cd93b263f1e98a5decd</v>
      </c>
      <c r="B50" s="12" t="str">
        <f>IFERROR(__xludf.DUMMYFUNCTION("""COMPUTED_VALUE"""),"However, the pilot projects encountered a number of difficulties including buyers unwilling to enter into complex agreements to pay for services, regulatory issues, complicated supply chains and poor communication. Ultimately, the potential buyers of serv"&amp;"ices were unwilling to enter into long-term payment contracts with an uncertain return on investment. In parallel, SANBI embarked on a series of dialogues aimed at improving the communication of the essential PES messages.")</f>
        <v>However, the pilot projects encountered a number of difficulties including buyers unwilling to enter into complex agreements to pay for services, regulatory issues, complicated supply chains and poor communication. Ultimately, the potential buyers of services were unwilling to enter into long-term payment contracts with an uncertain return on investment. In parallel, SANBI embarked on a series of dialogues aimed at improving the communication of the essential PES messages.</v>
      </c>
      <c r="C50" s="57" t="s">
        <v>454</v>
      </c>
      <c r="D50" s="51" t="b">
        <f t="shared" ref="D50:I50" si="98">VLOOKUP($A50, INDIRECT(D$1&amp;"!A:C"), 3, FALSE)</f>
        <v>0</v>
      </c>
      <c r="E50" s="51" t="str">
        <f t="shared" si="98"/>
        <v>TO DO</v>
      </c>
      <c r="F50" s="51" t="b">
        <f t="shared" si="98"/>
        <v>1</v>
      </c>
      <c r="G50" s="51" t="str">
        <f t="shared" si="98"/>
        <v>TO DO</v>
      </c>
      <c r="H50" s="51" t="b">
        <f t="shared" si="98"/>
        <v>0</v>
      </c>
      <c r="I50" s="51" t="b">
        <f t="shared" si="98"/>
        <v>1</v>
      </c>
      <c r="J50" s="52">
        <f t="shared" si="4"/>
        <v>0</v>
      </c>
      <c r="K50" s="53" t="str">
        <f t="shared" ref="K50:O50" si="99">VLOOKUP($A50, INDIRECT(K$1&amp;"!A:D"), 4, FALSE)</f>
        <v/>
      </c>
      <c r="L50" s="53" t="str">
        <f t="shared" si="99"/>
        <v/>
      </c>
      <c r="M50" s="53" t="str">
        <f t="shared" si="99"/>
        <v/>
      </c>
      <c r="N50" s="53" t="str">
        <f t="shared" si="99"/>
        <v/>
      </c>
      <c r="O50" s="53" t="str">
        <f t="shared" si="99"/>
        <v>SANBI = South African National Biodiversity Institute, PES = Present Ecological State, 15.9?</v>
      </c>
      <c r="P50" s="52" t="str">
        <f>IFERROR(__xludf.DUMMYFUNCTION("IF(COUNTA(K50:O50)=0, """", ARRAYFORMULA(""- ""&amp;TEXTJOIN(char(10)&amp;""- "", TRUE, FILTER(K$1:O$1&amp;"": ""&amp;K50:O50, NOT(ISBLANK(K50:O50))))))"),"- Steve: SANBI = South African National Biodiversity Institute, PES = Present Ecological State, 15.9?")</f>
        <v>- Steve: SANBI = South African National Biodiversity Institute, PES = Present Ecological State, 15.9?</v>
      </c>
      <c r="Q50" s="52" t="s">
        <v>471</v>
      </c>
      <c r="R50" s="54" t="s">
        <v>449</v>
      </c>
    </row>
    <row r="51" hidden="1">
      <c r="A51" s="12" t="str">
        <f>IFERROR(__xludf.DUMMYFUNCTION("""COMPUTED_VALUE"""),"4d62964535d62bfaf1be8ecf858753d8")</f>
        <v>4d62964535d62bfaf1be8ecf858753d8</v>
      </c>
      <c r="B51" s="12" t="str">
        <f>IFERROR(__xludf.DUMMYFUNCTION("""COMPUTED_VALUE"""),"Increasingly, fisheries, the seafood-supply sector, governments and NGO partners have the opportunity to apply electronic catch documentation, seafood-traceability technologies and electronic trade information, together with big data, about the ocean and "&amp;"its ecosystems to enable real-time tracking, informed decisionmaking and responsible seafood sourcing. We are working with governments and enforcement agencies to explore, fund, and test a wide range of technologies becoming available for wildlife conserv"&amp;"ation - from drones and wildlife tracking to radar, thermal cameras and gunshot detectors. To that end, WWF is evaluating civilian-grade UAVs for conservation applications with plans to rigorously test the technology in protected areas in southern Africa "&amp;"(including in Malawi, Namibia and Zimbabwe).")</f>
        <v>Increasingly, fisheries, the seafood-supply sector, governments and NGO partners have the opportunity to apply electronic catch documentation, seafood-traceability technologies and electronic trade information, together with big data, about the ocean and its ecosystems to enable real-time tracking, informed decisionmaking and responsible seafood sourcing. We are working with governments and enforcement agencies to explore, fund, and test a wide range of technologies becoming available for wildlife conservation - from drones and wildlife tracking to radar, thermal cameras and gunshot detectors. To that end, WWF is evaluating civilian-grade UAVs for conservation applications with plans to rigorously test the technology in protected areas in southern Africa (including in Malawi, Namibia and Zimbabwe).</v>
      </c>
      <c r="C51" s="7" t="s">
        <v>454</v>
      </c>
      <c r="D51" s="51" t="b">
        <f t="shared" ref="D51:I51" si="100">VLOOKUP($A51, INDIRECT(D$1&amp;"!A:C"), 3, FALSE)</f>
        <v>1</v>
      </c>
      <c r="E51" s="51" t="str">
        <f t="shared" si="100"/>
        <v>TO DO</v>
      </c>
      <c r="F51" s="51" t="b">
        <f t="shared" si="100"/>
        <v>0</v>
      </c>
      <c r="G51" s="51" t="str">
        <f t="shared" si="100"/>
        <v>TO DO</v>
      </c>
      <c r="H51" s="51" t="b">
        <f t="shared" si="100"/>
        <v>1</v>
      </c>
      <c r="I51" s="51" t="b">
        <f t="shared" si="100"/>
        <v>0</v>
      </c>
      <c r="J51" s="52">
        <f t="shared" si="4"/>
        <v>0</v>
      </c>
      <c r="K51" s="53" t="str">
        <f t="shared" ref="K51:O51" si="101">VLOOKUP($A51, INDIRECT(K$1&amp;"!A:D"), 4, FALSE)</f>
        <v/>
      </c>
      <c r="L51" s="53" t="str">
        <f t="shared" si="101"/>
        <v/>
      </c>
      <c r="M51" s="53" t="str">
        <f t="shared" si="101"/>
        <v/>
      </c>
      <c r="N51" s="53" t="str">
        <f t="shared" si="101"/>
        <v/>
      </c>
      <c r="O51" s="53" t="str">
        <f t="shared" si="101"/>
        <v/>
      </c>
      <c r="P51" s="52" t="str">
        <f>IFERROR(__xludf.DUMMYFUNCTION("IF(COUNTA(K51:O51)=0, """", ARRAYFORMULA(""- ""&amp;TEXTJOIN(char(10)&amp;""- "", TRUE, FILTER(K$1:O$1&amp;"": ""&amp;K51:O51, NOT(ISBLANK(K51:O51))))))"),"")</f>
        <v/>
      </c>
      <c r="Q51" s="52" t="s">
        <v>444</v>
      </c>
      <c r="R51" s="54" t="s">
        <v>449</v>
      </c>
    </row>
    <row r="52">
      <c r="A52" s="12" t="str">
        <f>IFERROR(__xludf.DUMMYFUNCTION("""COMPUTED_VALUE"""),"a6a1d5897318af74411ac8de103c556c")</f>
        <v>a6a1d5897318af74411ac8de103c556c</v>
      </c>
      <c r="B52" s="12" t="str">
        <f>IFERROR(__xludf.DUMMYFUNCTION("""COMPUTED_VALUE"""),"In September 2011, Mexico announced to the United Nations a plan to ban shark and stingray fishing from 2012. The temporary ban covers Mexico's territorial seas and expansive exclusive economic zone in the Pacific Ocean, Caribbean Sea and Gulf of Mexico. "&amp;"It will be in force during the period of greatest reproductive intensity, May to August. The gill net ban dates from 1992, it covers the use of a specific type of gill net (12 inch mesh) in order to protect the vaquita.13 More recently, a vaquita refuge w"&amp;"as designated in 2005, and there are complete bans on both gill nets and shrimp trawling in this area (Sanjurjo et al., The area affected by fires varies yearly due to weather variations and other factors (USAID, 2009). There may be a good rationale for s"&amp;"uch approaches when natural resource users are especially poor, though the objectives and means of achieving them require careful consideration.")</f>
        <v>In September 2011, Mexico announced to the United Nations a plan to ban shark and stingray fishing from 2012. The temporary ban covers Mexico's territorial seas and expansive exclusive economic zone in the Pacific Ocean, Caribbean Sea and Gulf of Mexico. It will be in force during the period of greatest reproductive intensity, May to August. The gill net ban dates from 1992, it covers the use of a specific type of gill net (12 inch mesh) in order to protect the vaquita.13 More recently, a vaquita refuge was designated in 2005, and there are complete bans on both gill nets and shrimp trawling in this area (Sanjurjo et al., The area affected by fires varies yearly due to weather variations and other factors (USAID, 2009). There may be a good rationale for such approaches when natural resource users are especially poor, though the objectives and means of achieving them require careful consideration.</v>
      </c>
      <c r="C52" s="7" t="s">
        <v>445</v>
      </c>
      <c r="D52" s="51" t="b">
        <f t="shared" ref="D52:I52" si="102">VLOOKUP($A52, INDIRECT(D$1&amp;"!A:C"), 3, FALSE)</f>
        <v>0</v>
      </c>
      <c r="E52" s="51" t="str">
        <f t="shared" si="102"/>
        <v>TO DO</v>
      </c>
      <c r="F52" s="51" t="b">
        <f t="shared" si="102"/>
        <v>0</v>
      </c>
      <c r="G52" s="51" t="str">
        <f t="shared" si="102"/>
        <v>TO DO</v>
      </c>
      <c r="H52" s="51" t="b">
        <f t="shared" si="102"/>
        <v>1</v>
      </c>
      <c r="I52" s="51" t="b">
        <f t="shared" si="102"/>
        <v>0</v>
      </c>
      <c r="J52" s="52">
        <f t="shared" si="4"/>
        <v>0.5</v>
      </c>
      <c r="K52" s="53" t="str">
        <f t="shared" ref="K52:O52" si="103">VLOOKUP($A52, INDIRECT(K$1&amp;"!A:D"), 4, FALSE)</f>
        <v>SDG 14</v>
      </c>
      <c r="L52" s="53" t="str">
        <f t="shared" si="103"/>
        <v/>
      </c>
      <c r="M52" s="53" t="str">
        <f t="shared" si="103"/>
        <v/>
      </c>
      <c r="N52" s="53" t="str">
        <f t="shared" si="103"/>
        <v/>
      </c>
      <c r="O52" s="53" t="str">
        <f t="shared" si="103"/>
        <v>more on SDG 14 </v>
      </c>
      <c r="P52" s="52" t="str">
        <f>IFERROR(__xludf.DUMMYFUNCTION("IF(COUNTA(K52:O52)=0, """", ARRAYFORMULA(""- ""&amp;TEXTJOIN(char(10)&amp;""- "", TRUE, FILTER(K$1:O$1&amp;"": ""&amp;K52:O52, NOT(ISBLANK(K52:O52))))))"),"- Finn: SDG 14
- Steve: more on SDG 14 ")</f>
        <v>- Finn: SDG 14
- Steve: more on SDG 14 </v>
      </c>
      <c r="Q52" s="52" t="s">
        <v>472</v>
      </c>
      <c r="R52" s="54" t="s">
        <v>449</v>
      </c>
    </row>
    <row r="53">
      <c r="A53" s="12" t="str">
        <f>IFERROR(__xludf.DUMMYFUNCTION("""COMPUTED_VALUE"""),"27567a70f19c5a35c346fd6535564302")</f>
        <v>27567a70f19c5a35c346fd6535564302</v>
      </c>
      <c r="B53" s="12" t="str">
        <f>IFERROR(__xludf.DUMMYFUNCTION("""COMPUTED_VALUE"""),"An action plan is now needed to put the new strategy into operation. Implementation of the strategy would also benefit from an assessment of the efficiency and effectiveness of existing policy instruments. The government is committed to achieving the Aich"&amp;"i targets of protecting 17% of terrestrial areas and 10% of marine areas by 2020. Colombia considers that protected areas cover about 12% of terrestrial areas and 9.2% of marine areas. However, the latter estimate is more than that which is currently asse"&amp;"ssed using IUCN criteria and includes an area which has been the subject of an international dispute. This suggests that a significant effort will be required, particularly for marine areas.")</f>
        <v>An action plan is now needed to put the new strategy into operation. Implementation of the strategy would also benefit from an assessment of the efficiency and effectiveness of existing policy instruments. The government is committed to achieving the Aichi targets of protecting 17% of terrestrial areas and 10% of marine areas by 2020. Colombia considers that protected areas cover about 12% of terrestrial areas and 9.2% of marine areas. However, the latter estimate is more than that which is currently assessed using IUCN criteria and includes an area which has been the subject of an international dispute. This suggests that a significant effort will be required, particularly for marine areas.</v>
      </c>
      <c r="C53" s="7"/>
      <c r="D53" s="51" t="b">
        <f t="shared" ref="D53:I53" si="104">VLOOKUP($A53, INDIRECT(D$1&amp;"!A:C"), 3, FALSE)</f>
        <v>1</v>
      </c>
      <c r="E53" s="51" t="str">
        <f t="shared" si="104"/>
        <v>TO DO</v>
      </c>
      <c r="F53" s="51" t="b">
        <f t="shared" si="104"/>
        <v>1</v>
      </c>
      <c r="G53" s="51" t="str">
        <f t="shared" si="104"/>
        <v>TO DO</v>
      </c>
      <c r="H53" s="51" t="b">
        <f t="shared" si="104"/>
        <v>1</v>
      </c>
      <c r="I53" s="51" t="b">
        <f t="shared" si="104"/>
        <v>1</v>
      </c>
      <c r="J53" s="52">
        <f t="shared" si="4"/>
        <v>1</v>
      </c>
      <c r="K53" s="53" t="str">
        <f t="shared" ref="K53:O53" si="105">VLOOKUP($A53, INDIRECT(K$1&amp;"!A:D"), 4, FALSE)</f>
        <v/>
      </c>
      <c r="L53" s="53" t="str">
        <f t="shared" si="105"/>
        <v/>
      </c>
      <c r="M53" s="53" t="str">
        <f t="shared" si="105"/>
        <v/>
      </c>
      <c r="N53" s="53" t="str">
        <f t="shared" si="105"/>
        <v/>
      </c>
      <c r="O53" s="53" t="str">
        <f t="shared" si="105"/>
        <v/>
      </c>
      <c r="P53" s="52" t="str">
        <f>IFERROR(__xludf.DUMMYFUNCTION("IF(COUNTA(K53:O53)=0, """", ARRAYFORMULA(""- ""&amp;TEXTJOIN(char(10)&amp;""- "", TRUE, FILTER(K$1:O$1&amp;"": ""&amp;K53:O53, NOT(ISBLANK(K53:O53))))))"),"")</f>
        <v/>
      </c>
      <c r="Q53" s="52" t="s">
        <v>444</v>
      </c>
      <c r="R53" s="54" t="b">
        <v>1</v>
      </c>
    </row>
    <row r="54">
      <c r="A54" s="12" t="str">
        <f>IFERROR(__xludf.DUMMYFUNCTION("""COMPUTED_VALUE"""),"1949aae73664def25e12339c25979a4e")</f>
        <v>1949aae73664def25e12339c25979a4e</v>
      </c>
      <c r="B54" s="12" t="str">
        <f>IFERROR(__xludf.DUMMYFUNCTION("""COMPUTED_VALUE"""),"Wetlands are highly valued habitats for biodiversity and their loss is of international significance. However, for some types of seminatural agricultural habitats (farm woodland and fallow land) the area has increased or remained stable for a number of co"&amp;"untries. Depending on the degree of sealing, it reduces or completely prevents natural soil functions and ecosystem services on the area concerned. This excludes woodland or forest predominantly under agricultural or urban land use and used only for recre"&amp;"ation purposes.")</f>
        <v>Wetlands are highly valued habitats for biodiversity and their loss is of international significance. However, for some types of seminatural agricultural habitats (farm woodland and fallow land) the area has increased or remained stable for a number of countries. Depending on the degree of sealing, it reduces or completely prevents natural soil functions and ecosystem services on the area concerned. This excludes woodland or forest predominantly under agricultural or urban land use and used only for recreation purposes.</v>
      </c>
      <c r="C54" s="56"/>
      <c r="D54" s="51" t="b">
        <f t="shared" ref="D54:I54" si="106">VLOOKUP($A54, INDIRECT(D$1&amp;"!A:C"), 3, FALSE)</f>
        <v>1</v>
      </c>
      <c r="E54" s="51" t="str">
        <f t="shared" si="106"/>
        <v>TO DO</v>
      </c>
      <c r="F54" s="51" t="b">
        <f t="shared" si="106"/>
        <v>1</v>
      </c>
      <c r="G54" s="51" t="str">
        <f t="shared" si="106"/>
        <v>TO DO</v>
      </c>
      <c r="H54" s="51" t="b">
        <f t="shared" si="106"/>
        <v>1</v>
      </c>
      <c r="I54" s="51" t="b">
        <f t="shared" si="106"/>
        <v>1</v>
      </c>
      <c r="J54" s="52">
        <f t="shared" si="4"/>
        <v>1</v>
      </c>
      <c r="K54" s="53" t="str">
        <f t="shared" ref="K54:O54" si="107">VLOOKUP($A54, INDIRECT(K$1&amp;"!A:D"), 4, FALSE)</f>
        <v/>
      </c>
      <c r="L54" s="53" t="str">
        <f t="shared" si="107"/>
        <v/>
      </c>
      <c r="M54" s="53" t="str">
        <f t="shared" si="107"/>
        <v/>
      </c>
      <c r="N54" s="53" t="str">
        <f t="shared" si="107"/>
        <v/>
      </c>
      <c r="O54" s="53" t="str">
        <f t="shared" si="107"/>
        <v/>
      </c>
      <c r="P54" s="52" t="str">
        <f>IFERROR(__xludf.DUMMYFUNCTION("IF(COUNTA(K54:O54)=0, """", ARRAYFORMULA(""- ""&amp;TEXTJOIN(char(10)&amp;""- "", TRUE, FILTER(K$1:O$1&amp;"": ""&amp;K54:O54, NOT(ISBLANK(K54:O54))))))"),"")</f>
        <v/>
      </c>
      <c r="Q54" s="52" t="s">
        <v>444</v>
      </c>
      <c r="R54" s="54" t="b">
        <v>1</v>
      </c>
    </row>
    <row r="55">
      <c r="A55" s="12" t="str">
        <f>IFERROR(__xludf.DUMMYFUNCTION("""COMPUTED_VALUE"""),"b4052014ec9fd88925a67a9235eb6e04")</f>
        <v>b4052014ec9fd88925a67a9235eb6e04</v>
      </c>
      <c r="B55" s="12" t="str">
        <f>IFERROR(__xludf.DUMMYFUNCTION("""COMPUTED_VALUE"""),"Around one million hand pumps supply water to over 200 million rural water users across the continent, yet as many as one third of all hand pumps are thought to be broken at any given time, with 30-70% of pumps breaking within two years. The Smith School "&amp;"Water Programme at Oxford University launched a 12-month 'smart hand pump’ trial in Kyuso, Kenya, in 2013 in an attempt to resolve problems related to broken water pumps and to test a new maintenance model for universal and reliable water services. The te"&amp;"am opted for non-rechargeable batteries, with a replacement lifetime longer than the pump maintenance cycle.")</f>
        <v>Around one million hand pumps supply water to over 200 million rural water users across the continent, yet as many as one third of all hand pumps are thought to be broken at any given time, with 30-70% of pumps breaking within two years. The Smith School Water Programme at Oxford University launched a 12-month 'smart hand pump’ trial in Kyuso, Kenya, in 2013 in an attempt to resolve problems related to broken water pumps and to test a new maintenance model for universal and reliable water services. The team opted for non-rechargeable batteries, with a replacement lifetime longer than the pump maintenance cycle.</v>
      </c>
      <c r="C55" s="7" t="s">
        <v>445</v>
      </c>
      <c r="D55" s="51" t="b">
        <f t="shared" ref="D55:I55" si="108">VLOOKUP($A55, INDIRECT(D$1&amp;"!A:C"), 3, FALSE)</f>
        <v>0</v>
      </c>
      <c r="E55" s="51" t="str">
        <f t="shared" si="108"/>
        <v>TO DO</v>
      </c>
      <c r="F55" s="51" t="b">
        <f t="shared" si="108"/>
        <v>0</v>
      </c>
      <c r="G55" s="51" t="str">
        <f t="shared" si="108"/>
        <v>TO DO</v>
      </c>
      <c r="H55" s="51" t="b">
        <f t="shared" si="108"/>
        <v>1</v>
      </c>
      <c r="I55" s="51" t="b">
        <f t="shared" si="108"/>
        <v>0</v>
      </c>
      <c r="J55" s="52">
        <f t="shared" si="4"/>
        <v>0.5</v>
      </c>
      <c r="K55" s="53" t="str">
        <f t="shared" ref="K55:O55" si="109">VLOOKUP($A55, INDIRECT(K$1&amp;"!A:D"), 4, FALSE)</f>
        <v/>
      </c>
      <c r="L55" s="53" t="str">
        <f t="shared" si="109"/>
        <v/>
      </c>
      <c r="M55" s="53" t="str">
        <f t="shared" si="109"/>
        <v/>
      </c>
      <c r="N55" s="53" t="str">
        <f t="shared" si="109"/>
        <v/>
      </c>
      <c r="O55" s="53" t="str">
        <f t="shared" si="109"/>
        <v/>
      </c>
      <c r="P55" s="52" t="str">
        <f>IFERROR(__xludf.DUMMYFUNCTION("IF(COUNTA(K55:O55)=0, """", ARRAYFORMULA(""- ""&amp;TEXTJOIN(char(10)&amp;""- "", TRUE, FILTER(K$1:O$1&amp;"": ""&amp;K55:O55, NOT(ISBLANK(K55:O55))))))"),"")</f>
        <v/>
      </c>
      <c r="Q55" s="52" t="s">
        <v>444</v>
      </c>
      <c r="R55" s="54" t="s">
        <v>449</v>
      </c>
    </row>
    <row r="56">
      <c r="A56" s="12" t="str">
        <f>IFERROR(__xludf.DUMMYFUNCTION("""COMPUTED_VALUE"""),"793c707da80508eaea7c66cc1e08c1b6")</f>
        <v>793c707da80508eaea7c66cc1e08c1b6</v>
      </c>
      <c r="B56" s="12" t="str">
        <f>IFERROR(__xludf.DUMMYFUNCTION("""COMPUTED_VALUE"""),"Other key species in the Baltic region are iconic species including salmon (Salmo salar), cod (Gadus morhua), great cormorant (Phalacrocorax carbo sinensis), white-tailed eagle (Haliaeetus albicilla), grey seal (Halichoerusgrypus), harbour seal (Phoca vit"&amp;"ulina) and ringed seal (Phoca hispida). During the winter, approximately 90% of the sea ducks living in the Baltic Sea region gather in areas that constitute less than 5% of the Baltic Sea. Bladder wrack forms one of the most diverse Baltic Sea habitats d"&amp;"own to 10-11 m depth. The lowest depth limit of bladder wrack (and other macroalgae) is widely used as one of the ecological quality indicators in the Water Framework Directive assessments in the Baltic Sea (Zettler et al., The mussels modify the environm"&amp;"ent and support a rich diversity of associated species (P. Norling &amp; Kautsky, 2007, Ojaveer et al., Mussel beds uphold an important filter-feeding function: they regulate the availability and flow of resources such as nutrients and organic matter, thereby"&amp;" forming an important link between benthic and pelagic ecosystems.")</f>
        <v>Other key species in the Baltic region are iconic species including salmon (Salmo salar), cod (Gadus morhua), great cormorant (Phalacrocorax carbo sinensis), white-tailed eagle (Haliaeetus albicilla), grey seal (Halichoerusgrypus), harbour seal (Phoca vitulina) and ringed seal (Phoca hispida). During the winter, approximately 90% of the sea ducks living in the Baltic Sea region gather in areas that constitute less than 5% of the Baltic Sea. Bladder wrack forms one of the most diverse Baltic Sea habitats down to 10-11 m depth. The lowest depth limit of bladder wrack (and other macroalgae) is widely used as one of the ecological quality indicators in the Water Framework Directive assessments in the Baltic Sea (Zettler et al., The mussels modify the environment and support a rich diversity of associated species (P. Norling &amp; Kautsky, 2007, Ojaveer et al., Mussel beds uphold an important filter-feeding function: they regulate the availability and flow of resources such as nutrients and organic matter, thereby forming an important link between benthic and pelagic ecosystems.</v>
      </c>
      <c r="C56" s="7" t="s">
        <v>445</v>
      </c>
      <c r="D56" s="51" t="b">
        <f t="shared" ref="D56:I56" si="110">VLOOKUP($A56, INDIRECT(D$1&amp;"!A:C"), 3, FALSE)</f>
        <v>0</v>
      </c>
      <c r="E56" s="51" t="str">
        <f t="shared" si="110"/>
        <v>TO DO</v>
      </c>
      <c r="F56" s="51" t="b">
        <f t="shared" si="110"/>
        <v>1</v>
      </c>
      <c r="G56" s="51" t="str">
        <f t="shared" si="110"/>
        <v>TO DO</v>
      </c>
      <c r="H56" s="51" t="b">
        <f t="shared" si="110"/>
        <v>1</v>
      </c>
      <c r="I56" s="51" t="b">
        <f t="shared" si="110"/>
        <v>1</v>
      </c>
      <c r="J56" s="52">
        <f t="shared" si="4"/>
        <v>0.5</v>
      </c>
      <c r="K56" s="53" t="str">
        <f t="shared" ref="K56:O56" si="111">VLOOKUP($A56, INDIRECT(K$1&amp;"!A:D"), 4, FALSE)</f>
        <v>SDG 14</v>
      </c>
      <c r="L56" s="53" t="str">
        <f t="shared" si="111"/>
        <v/>
      </c>
      <c r="M56" s="53" t="str">
        <f t="shared" si="111"/>
        <v/>
      </c>
      <c r="N56" s="53" t="str">
        <f t="shared" si="111"/>
        <v/>
      </c>
      <c r="O56" s="53" t="str">
        <f t="shared" si="111"/>
        <v/>
      </c>
      <c r="P56" s="52" t="str">
        <f>IFERROR(__xludf.DUMMYFUNCTION("IF(COUNTA(K56:O56)=0, """", ARRAYFORMULA(""- ""&amp;TEXTJOIN(char(10)&amp;""- "", TRUE, FILTER(K$1:O$1&amp;"": ""&amp;K56:O56, NOT(ISBLANK(K56:O56))))))"),"- Finn: SDG 14")</f>
        <v>- Finn: SDG 14</v>
      </c>
      <c r="Q56" s="52" t="s">
        <v>473</v>
      </c>
      <c r="R56" s="54" t="s">
        <v>449</v>
      </c>
      <c r="S56" s="5" t="s">
        <v>474</v>
      </c>
    </row>
    <row r="57">
      <c r="A57" s="12" t="str">
        <f>IFERROR(__xludf.DUMMYFUNCTION("""COMPUTED_VALUE"""),"68bf5e2d81a5c0746f768a72c6a69c19")</f>
        <v>68bf5e2d81a5c0746f768a72c6a69c19</v>
      </c>
      <c r="B57" s="12" t="str">
        <f>IFERROR(__xludf.DUMMYFUNCTION("""COMPUTED_VALUE"""),"Because the Macedonian waters have a rich endemic ichthyofauna, MoEPP is also involved for biodiversity conservation matters. However, all fishing is now prohibited on Lake Ohrid to protect the Ohrid trout. Five-year concessions are given to a single fish"&amp;"ing company on each waterbody, and the company is expected to develop a master plan for protection, improvement, and usage of the relevant fish stock during their license period.")</f>
        <v>Because the Macedonian waters have a rich endemic ichthyofauna, MoEPP is also involved for biodiversity conservation matters. However, all fishing is now prohibited on Lake Ohrid to protect the Ohrid trout. Five-year concessions are given to a single fishing company on each waterbody, and the company is expected to develop a master plan for protection, improvement, and usage of the relevant fish stock during their license period.</v>
      </c>
      <c r="C57" s="51"/>
      <c r="D57" s="51" t="b">
        <f t="shared" ref="D57:I57" si="112">VLOOKUP($A57, INDIRECT(D$1&amp;"!A:C"), 3, FALSE)</f>
        <v>1</v>
      </c>
      <c r="E57" s="51" t="str">
        <f t="shared" si="112"/>
        <v>TO DO</v>
      </c>
      <c r="F57" s="51" t="b">
        <f t="shared" si="112"/>
        <v>1</v>
      </c>
      <c r="G57" s="51" t="str">
        <f t="shared" si="112"/>
        <v>TO DO</v>
      </c>
      <c r="H57" s="51" t="b">
        <f t="shared" si="112"/>
        <v>1</v>
      </c>
      <c r="I57" s="51" t="b">
        <f t="shared" si="112"/>
        <v>1</v>
      </c>
      <c r="J57" s="52">
        <f t="shared" si="4"/>
        <v>1</v>
      </c>
      <c r="K57" s="53" t="str">
        <f t="shared" ref="K57:O57" si="113">VLOOKUP($A57, INDIRECT(K$1&amp;"!A:D"), 4, FALSE)</f>
        <v>but not for the mention of fishing</v>
      </c>
      <c r="L57" s="53" t="str">
        <f t="shared" si="113"/>
        <v/>
      </c>
      <c r="M57" s="53" t="str">
        <f t="shared" si="113"/>
        <v/>
      </c>
      <c r="N57" s="53" t="str">
        <f t="shared" si="113"/>
        <v/>
      </c>
      <c r="O57" s="53" t="str">
        <f t="shared" si="113"/>
        <v/>
      </c>
      <c r="P57" s="52" t="str">
        <f>IFERROR(__xludf.DUMMYFUNCTION("IF(COUNTA(K57:O57)=0, """", ARRAYFORMULA(""- ""&amp;TEXTJOIN(char(10)&amp;""- "", TRUE, FILTER(K$1:O$1&amp;"": ""&amp;K57:O57, NOT(ISBLANK(K57:O57))))))"),"- Finn: but not for the mention of fishing")</f>
        <v>- Finn: but not for the mention of fishing</v>
      </c>
      <c r="Q57" s="52" t="s">
        <v>475</v>
      </c>
      <c r="R57" s="54" t="b">
        <v>1</v>
      </c>
    </row>
    <row r="58">
      <c r="A58" s="12" t="str">
        <f>IFERROR(__xludf.DUMMYFUNCTION("""COMPUTED_VALUE"""),"a4a6bc0951fced043d194390db857d3e")</f>
        <v>a4a6bc0951fced043d194390db857d3e</v>
      </c>
      <c r="B58" s="12" t="str">
        <f>IFERROR(__xludf.DUMMYFUNCTION("""COMPUTED_VALUE"""),"Government activities were divided into government expenditure (GOV) and five different kinds of taxes direct tax on domestic institutions (DIRTAX), import tariffs (IMPTAX), value added tax (VATAX), indirect or sales taxes (INDTAX) and factor taxes (FACTA"&amp;"X). Lastly, savings and investment (S-l) represent the capital account, while the rest of the world (ROW) is modelled as a single sector. The framework set out below is based on that prepared by Parra and Wodon (2009). Thus, in 2001, forestry and hunting "&amp;"contributed TSh 296.7 billion to the GDP in 2001of the United Republic of Tanzania, which translates into TSh.")</f>
        <v>Government activities were divided into government expenditure (GOV) and five different kinds of taxes direct tax on domestic institutions (DIRTAX), import tariffs (IMPTAX), value added tax (VATAX), indirect or sales taxes (INDTAX) and factor taxes (FACTAX). Lastly, savings and investment (S-l) represent the capital account, while the rest of the world (ROW) is modelled as a single sector. The framework set out below is based on that prepared by Parra and Wodon (2009). Thus, in 2001, forestry and hunting contributed TSh 296.7 billion to the GDP in 2001of the United Republic of Tanzania, which translates into TSh.</v>
      </c>
      <c r="C58" s="7"/>
      <c r="D58" s="51" t="b">
        <f t="shared" ref="D58:I58" si="114">VLOOKUP($A58, INDIRECT(D$1&amp;"!A:C"), 3, FALSE)</f>
        <v>0</v>
      </c>
      <c r="E58" s="51" t="str">
        <f t="shared" si="114"/>
        <v>TO DO</v>
      </c>
      <c r="F58" s="51" t="b">
        <f t="shared" si="114"/>
        <v>0</v>
      </c>
      <c r="G58" s="51" t="str">
        <f t="shared" si="114"/>
        <v>TO DO</v>
      </c>
      <c r="H58" s="51" t="b">
        <f t="shared" si="114"/>
        <v>0</v>
      </c>
      <c r="I58" s="51" t="b">
        <f t="shared" si="114"/>
        <v>0</v>
      </c>
      <c r="J58" s="52">
        <f t="shared" si="4"/>
        <v>1</v>
      </c>
      <c r="K58" s="53" t="str">
        <f t="shared" ref="K58:O58" si="115">VLOOKUP($A58, INDIRECT(K$1&amp;"!A:D"), 4, FALSE)</f>
        <v/>
      </c>
      <c r="L58" s="53" t="str">
        <f t="shared" si="115"/>
        <v/>
      </c>
      <c r="M58" s="53" t="str">
        <f t="shared" si="115"/>
        <v/>
      </c>
      <c r="N58" s="53" t="str">
        <f t="shared" si="115"/>
        <v/>
      </c>
      <c r="O58" s="53" t="str">
        <f t="shared" si="115"/>
        <v/>
      </c>
      <c r="P58" s="52" t="str">
        <f>IFERROR(__xludf.DUMMYFUNCTION("IF(COUNTA(K58:O58)=0, """", ARRAYFORMULA(""- ""&amp;TEXTJOIN(char(10)&amp;""- "", TRUE, FILTER(K$1:O$1&amp;"": ""&amp;K58:O58, NOT(ISBLANK(K58:O58))))))"),"")</f>
        <v/>
      </c>
      <c r="Q58" s="52" t="s">
        <v>444</v>
      </c>
      <c r="R58" s="54" t="b">
        <v>0</v>
      </c>
    </row>
    <row r="59">
      <c r="A59" s="12" t="str">
        <f>IFERROR(__xludf.DUMMYFUNCTION("""COMPUTED_VALUE"""),"99e99f26c2c1687d5202861924031051")</f>
        <v>99e99f26c2c1687d5202861924031051</v>
      </c>
      <c r="B59" s="12" t="str">
        <f>IFERROR(__xludf.DUMMYFUNCTION("""COMPUTED_VALUE"""),"What have been the contributions of afforestation and reforestation? The net increase between 2000 and 2015 was 28.1 million ha, or 1.5% of the total area of forest and other wooded land in 2000. Natural expansion onto former agricultural land accounts fo"&amp;"r most of the increase, but afforestation in the context of public programmes has played a significant role in some countries.")</f>
        <v>What have been the contributions of afforestation and reforestation? The net increase between 2000 and 2015 was 28.1 million ha, or 1.5% of the total area of forest and other wooded land in 2000. Natural expansion onto former agricultural land accounts for most of the increase, but afforestation in the context of public programmes has played a significant role in some countries.</v>
      </c>
      <c r="C59" s="56"/>
      <c r="D59" s="51" t="b">
        <f t="shared" ref="D59:I59" si="116">VLOOKUP($A59, INDIRECT(D$1&amp;"!A:C"), 3, FALSE)</f>
        <v>1</v>
      </c>
      <c r="E59" s="51" t="str">
        <f t="shared" si="116"/>
        <v>TO DO</v>
      </c>
      <c r="F59" s="51" t="b">
        <f t="shared" si="116"/>
        <v>1</v>
      </c>
      <c r="G59" s="51" t="str">
        <f t="shared" si="116"/>
        <v>TO DO</v>
      </c>
      <c r="H59" s="51" t="b">
        <f t="shared" si="116"/>
        <v>1</v>
      </c>
      <c r="I59" s="51" t="b">
        <f t="shared" si="116"/>
        <v>1</v>
      </c>
      <c r="J59" s="52">
        <f t="shared" si="4"/>
        <v>1</v>
      </c>
      <c r="K59" s="53" t="str">
        <f t="shared" ref="K59:O59" si="117">VLOOKUP($A59, INDIRECT(K$1&amp;"!A:D"), 4, FALSE)</f>
        <v/>
      </c>
      <c r="L59" s="53" t="str">
        <f t="shared" si="117"/>
        <v/>
      </c>
      <c r="M59" s="53" t="str">
        <f t="shared" si="117"/>
        <v/>
      </c>
      <c r="N59" s="53" t="str">
        <f t="shared" si="117"/>
        <v/>
      </c>
      <c r="O59" s="53" t="str">
        <f t="shared" si="117"/>
        <v/>
      </c>
      <c r="P59" s="52" t="str">
        <f>IFERROR(__xludf.DUMMYFUNCTION("IF(COUNTA(K59:O59)=0, """", ARRAYFORMULA(""- ""&amp;TEXTJOIN(char(10)&amp;""- "", TRUE, FILTER(K$1:O$1&amp;"": ""&amp;K59:O59, NOT(ISBLANK(K59:O59))))))"),"")</f>
        <v/>
      </c>
      <c r="Q59" s="52" t="s">
        <v>444</v>
      </c>
      <c r="R59" s="54" t="b">
        <v>1</v>
      </c>
    </row>
    <row r="60">
      <c r="A60" s="12" t="str">
        <f>IFERROR(__xludf.DUMMYFUNCTION("""COMPUTED_VALUE"""),"0335babfeb31e672e6346a7c1715e1ce")</f>
        <v>0335babfeb31e672e6346a7c1715e1ce</v>
      </c>
      <c r="B60" s="12" t="str">
        <f>IFERROR(__xludf.DUMMYFUNCTION("""COMPUTED_VALUE"""),"Yet if our climate is to be stabilised, today’s developing countries need to lead the world to a solution - and as has been emphasised elsewhere in this chapter, there is no solution to climate change without halting deforestation. Climate change had alre"&amp;"ady caused suffering in the country. In 2005, floods inflicted damage equivalent to 60% of that year’s gross domestic product (GDP). Yet, as a country with 85% of its land mass under forest, an area larger than Great Britain, our people didn’t want to jus"&amp;"t complain about climate change - we were prepared to act. We were prepared to deploy almost our entire forest in the global fight against climate change, providing: 1) we could access the right economic incentives to value our standing forests, and 2) ou"&amp;"r people’s sovereignty over their forests would not be diminished.")</f>
        <v>Yet if our climate is to be stabilised, today’s developing countries need to lead the world to a solution - and as has been emphasised elsewhere in this chapter, there is no solution to climate change without halting deforestation. Climate change had already caused suffering in the country. In 2005, floods inflicted damage equivalent to 60% of that year’s gross domestic product (GDP). Yet, as a country with 85% of its land mass under forest, an area larger than Great Britain, our people didn’t want to just complain about climate change - we were prepared to act. We were prepared to deploy almost our entire forest in the global fight against climate change, providing: 1) we could access the right economic incentives to value our standing forests, and 2) our people’s sovereignty over their forests would not be diminished.</v>
      </c>
      <c r="C60" s="7"/>
      <c r="D60" s="51" t="b">
        <f t="shared" ref="D60:I60" si="118">VLOOKUP($A60, INDIRECT(D$1&amp;"!A:C"), 3, FALSE)</f>
        <v>1</v>
      </c>
      <c r="E60" s="51" t="str">
        <f t="shared" si="118"/>
        <v>TO DO</v>
      </c>
      <c r="F60" s="51" t="b">
        <f t="shared" si="118"/>
        <v>1</v>
      </c>
      <c r="G60" s="51" t="str">
        <f t="shared" si="118"/>
        <v>TO DO</v>
      </c>
      <c r="H60" s="51" t="b">
        <f t="shared" si="118"/>
        <v>1</v>
      </c>
      <c r="I60" s="51" t="b">
        <f t="shared" si="118"/>
        <v>1</v>
      </c>
      <c r="J60" s="52">
        <f t="shared" si="4"/>
        <v>1</v>
      </c>
      <c r="K60" s="53" t="str">
        <f t="shared" ref="K60:O60" si="119">VLOOKUP($A60, INDIRECT(K$1&amp;"!A:D"), 4, FALSE)</f>
        <v/>
      </c>
      <c r="L60" s="53" t="str">
        <f t="shared" si="119"/>
        <v/>
      </c>
      <c r="M60" s="53" t="str">
        <f t="shared" si="119"/>
        <v/>
      </c>
      <c r="N60" s="53" t="str">
        <f t="shared" si="119"/>
        <v/>
      </c>
      <c r="O60" s="53" t="str">
        <f t="shared" si="119"/>
        <v/>
      </c>
      <c r="P60" s="52" t="str">
        <f>IFERROR(__xludf.DUMMYFUNCTION("IF(COUNTA(K60:O60)=0, """", ARRAYFORMULA(""- ""&amp;TEXTJOIN(char(10)&amp;""- "", TRUE, FILTER(K$1:O$1&amp;"": ""&amp;K60:O60, NOT(ISBLANK(K60:O60))))))"),"")</f>
        <v/>
      </c>
      <c r="Q60" s="52" t="s">
        <v>444</v>
      </c>
      <c r="R60" s="54" t="b">
        <v>1</v>
      </c>
    </row>
    <row r="61">
      <c r="A61" s="12" t="str">
        <f>IFERROR(__xludf.DUMMYFUNCTION("""COMPUTED_VALUE"""),"3015af7e57a4578b93954780d270bbc7")</f>
        <v>3015af7e57a4578b93954780d270bbc7</v>
      </c>
      <c r="B61" s="12" t="str">
        <f>IFERROR(__xludf.DUMMYFUNCTION("""COMPUTED_VALUE"""),"This shows that the present value of net losses are an order of magnitude higher when taking into account the effect of deforestation on the full range of forest ecosystem services. Hence, investments in the forestry sector could potentially also be benef"&amp;"icial from the perspective of poverty alleviation. In that sense, this report provides further rationale for efforts to accelerate the implementation ofthe REDD+ National Strategy and Action Plan.")</f>
        <v>This shows that the present value of net losses are an order of magnitude higher when taking into account the effect of deforestation on the full range of forest ecosystem services. Hence, investments in the forestry sector could potentially also be beneficial from the perspective of poverty alleviation. In that sense, this report provides further rationale for efforts to accelerate the implementation ofthe REDD+ National Strategy and Action Plan.</v>
      </c>
      <c r="C61" s="56"/>
      <c r="D61" s="51" t="b">
        <f t="shared" ref="D61:I61" si="120">VLOOKUP($A61, INDIRECT(D$1&amp;"!A:C"), 3, FALSE)</f>
        <v>1</v>
      </c>
      <c r="E61" s="51" t="str">
        <f t="shared" si="120"/>
        <v>TO DO</v>
      </c>
      <c r="F61" s="51" t="b">
        <f t="shared" si="120"/>
        <v>1</v>
      </c>
      <c r="G61" s="51" t="str">
        <f t="shared" si="120"/>
        <v>TO DO</v>
      </c>
      <c r="H61" s="51" t="b">
        <f t="shared" si="120"/>
        <v>1</v>
      </c>
      <c r="I61" s="51" t="b">
        <f t="shared" si="120"/>
        <v>1</v>
      </c>
      <c r="J61" s="52">
        <f t="shared" si="4"/>
        <v>1</v>
      </c>
      <c r="K61" s="53" t="str">
        <f t="shared" ref="K61:O61" si="121">VLOOKUP($A61, INDIRECT(K$1&amp;"!A:D"), 4, FALSE)</f>
        <v/>
      </c>
      <c r="L61" s="53" t="str">
        <f t="shared" si="121"/>
        <v/>
      </c>
      <c r="M61" s="53" t="str">
        <f t="shared" si="121"/>
        <v/>
      </c>
      <c r="N61" s="53" t="str">
        <f t="shared" si="121"/>
        <v/>
      </c>
      <c r="O61" s="53" t="str">
        <f t="shared" si="121"/>
        <v/>
      </c>
      <c r="P61" s="52" t="str">
        <f>IFERROR(__xludf.DUMMYFUNCTION("IF(COUNTA(K61:O61)=0, """", ARRAYFORMULA(""- ""&amp;TEXTJOIN(char(10)&amp;""- "", TRUE, FILTER(K$1:O$1&amp;"": ""&amp;K61:O61, NOT(ISBLANK(K61:O61))))))"),"")</f>
        <v/>
      </c>
      <c r="Q61" s="52" t="s">
        <v>444</v>
      </c>
      <c r="R61" s="54" t="b">
        <v>1</v>
      </c>
    </row>
    <row r="62">
      <c r="A62" s="12" t="str">
        <f>IFERROR(__xludf.DUMMYFUNCTION("""COMPUTED_VALUE"""),"f19eca41e4b43652db8b9b924e4042aa")</f>
        <v>f19eca41e4b43652db8b9b924e4042aa</v>
      </c>
      <c r="B62" s="12" t="str">
        <f>IFERROR(__xludf.DUMMYFUNCTION("""COMPUTED_VALUE"""),"Kiribati, Nauru and PNG are not expected to achieve this target, with an increasing trend in TB incidence, and work also remaining to eliminate NTDs - Kiribati (filariasis, trachoma, leprosy), Nauru (trachoma), PNG (filariasis, trachoma, leprosy, yaws, so"&amp;"il-transmitted helminthiases and foodborne trematodiases) (WHO, 2013). On the other hand, Samoa and Tonga’s alcohol per capita consumption is expected to increase significantly, making it difficult for these countries to achieve this target. It should als"&amp;"o be noted that while there are no Tier 1 indicators at present to make an assessment on Target 3.4 on reducing NCDs, the outlook on NCDs is expected to be grim if efforts are not scaled up (see Chapter 6). The IAEG-SDGs proposed 11 indicators to monitor "&amp;"this goal, of which three were Tier 1 indicators (see Appendix 2.1). The only relevant indicator relevant for assessment relates to quality early childhood development but there are only sparse data available for some of the countries (Table 2.4). Given t"&amp;"hese limitations, an overall assessment for Commonwealth Pacific small states on Goal 4 is not possible.")</f>
        <v>Kiribati, Nauru and PNG are not expected to achieve this target, with an increasing trend in TB incidence, and work also remaining to eliminate NTDs - Kiribati (filariasis, trachoma, leprosy), Nauru (trachoma), PNG (filariasis, trachoma, leprosy, yaws, soil-transmitted helminthiases and foodborne trematodiases) (WHO, 2013). On the other hand, Samoa and Tonga’s alcohol per capita consumption is expected to increase significantly, making it difficult for these countries to achieve this target. It should also be noted that while there are no Tier 1 indicators at present to make an assessment on Target 3.4 on reducing NCDs, the outlook on NCDs is expected to be grim if efforts are not scaled up (see Chapter 6). The IAEG-SDGs proposed 11 indicators to monitor this goal, of which three were Tier 1 indicators (see Appendix 2.1). The only relevant indicator relevant for assessment relates to quality early childhood development but there are only sparse data available for some of the countries (Table 2.4). Given these limitations, an overall assessment for Commonwealth Pacific small states on Goal 4 is not possible.</v>
      </c>
      <c r="C62" s="56"/>
      <c r="D62" s="51" t="b">
        <f t="shared" ref="D62:I62" si="122">VLOOKUP($A62, INDIRECT(D$1&amp;"!A:C"), 3, FALSE)</f>
        <v>0</v>
      </c>
      <c r="E62" s="51" t="str">
        <f t="shared" si="122"/>
        <v>TO DO</v>
      </c>
      <c r="F62" s="51" t="b">
        <f t="shared" si="122"/>
        <v>0</v>
      </c>
      <c r="G62" s="51" t="str">
        <f t="shared" si="122"/>
        <v>TO DO</v>
      </c>
      <c r="H62" s="51" t="b">
        <f t="shared" si="122"/>
        <v>0</v>
      </c>
      <c r="I62" s="51" t="b">
        <f t="shared" si="122"/>
        <v>0</v>
      </c>
      <c r="J62" s="52">
        <f t="shared" si="4"/>
        <v>1</v>
      </c>
      <c r="K62" s="53" t="str">
        <f t="shared" ref="K62:O62" si="123">VLOOKUP($A62, INDIRECT(K$1&amp;"!A:D"), 4, FALSE)</f>
        <v/>
      </c>
      <c r="L62" s="53" t="str">
        <f t="shared" si="123"/>
        <v/>
      </c>
      <c r="M62" s="53" t="str">
        <f t="shared" si="123"/>
        <v/>
      </c>
      <c r="N62" s="53" t="str">
        <f t="shared" si="123"/>
        <v/>
      </c>
      <c r="O62" s="53" t="str">
        <f t="shared" si="123"/>
        <v>on SDG 3</v>
      </c>
      <c r="P62" s="52" t="str">
        <f>IFERROR(__xludf.DUMMYFUNCTION("IF(COUNTA(K62:O62)=0, """", ARRAYFORMULA(""- ""&amp;TEXTJOIN(char(10)&amp;""- "", TRUE, FILTER(K$1:O$1&amp;"": ""&amp;K62:O62, NOT(ISBLANK(K62:O62))))))"),"- Steve: on SDG 3")</f>
        <v>- Steve: on SDG 3</v>
      </c>
      <c r="Q62" s="52" t="s">
        <v>476</v>
      </c>
      <c r="R62" s="54" t="b">
        <v>0</v>
      </c>
    </row>
    <row r="63">
      <c r="A63" s="12" t="str">
        <f>IFERROR(__xludf.DUMMYFUNCTION("""COMPUTED_VALUE"""),"ee6581152a19696f8b07b32900dd6423")</f>
        <v>ee6581152a19696f8b07b32900dd6423</v>
      </c>
      <c r="B63" s="12" t="str">
        <f>IFERROR(__xludf.DUMMYFUNCTION("""COMPUTED_VALUE"""),"Land degradation can have numerous impacts on local communities. These include the direct impacts of loss of income and employment, resulting in deterioration of the material standards of living, and diversion of time from education and social opportuniti"&amp;"es to production activities to increase labour input and compensate for deterioration in land productivity. There are also indirect impacts in terms of undermining the rural economic and social base, and health impacts from risks of exposure to degraded l"&amp;"and, as well as changes to the way of life of local communities engaged in semi-nomadic pastoralism.")</f>
        <v>Land degradation can have numerous impacts on local communities. These include the direct impacts of loss of income and employment, resulting in deterioration of the material standards of living, and diversion of time from education and social opportunities to production activities to increase labour input and compensate for deterioration in land productivity. There are also indirect impacts in terms of undermining the rural economic and social base, and health impacts from risks of exposure to degraded land, as well as changes to the way of life of local communities engaged in semi-nomadic pastoralism.</v>
      </c>
      <c r="C63" s="7" t="s">
        <v>445</v>
      </c>
      <c r="D63" s="51" t="b">
        <f t="shared" ref="D63:I63" si="124">VLOOKUP($A63, INDIRECT(D$1&amp;"!A:C"), 3, FALSE)</f>
        <v>1</v>
      </c>
      <c r="E63" s="51" t="str">
        <f t="shared" si="124"/>
        <v>TO DO</v>
      </c>
      <c r="F63" s="51" t="b">
        <f t="shared" si="124"/>
        <v>1</v>
      </c>
      <c r="G63" s="51" t="str">
        <f t="shared" si="124"/>
        <v>TO DO</v>
      </c>
      <c r="H63" s="51" t="b">
        <f t="shared" si="124"/>
        <v>1</v>
      </c>
      <c r="I63" s="51" t="b">
        <f t="shared" si="124"/>
        <v>0</v>
      </c>
      <c r="J63" s="52">
        <f t="shared" si="4"/>
        <v>0.5</v>
      </c>
      <c r="K63" s="53" t="str">
        <f t="shared" ref="K63:O63" si="125">VLOOKUP($A63, INDIRECT(K$1&amp;"!A:D"), 4, FALSE)</f>
        <v/>
      </c>
      <c r="L63" s="53" t="str">
        <f t="shared" si="125"/>
        <v/>
      </c>
      <c r="M63" s="53" t="str">
        <f t="shared" si="125"/>
        <v/>
      </c>
      <c r="N63" s="53" t="str">
        <f t="shared" si="125"/>
        <v/>
      </c>
      <c r="O63" s="53" t="str">
        <f t="shared" si="125"/>
        <v>not talking about halting or preventing land degradation, more about socioeconomic impacts</v>
      </c>
      <c r="P63" s="52" t="str">
        <f>IFERROR(__xludf.DUMMYFUNCTION("IF(COUNTA(K63:O63)=0, """", ARRAYFORMULA(""- ""&amp;TEXTJOIN(char(10)&amp;""- "", TRUE, FILTER(K$1:O$1&amp;"": ""&amp;K63:O63, NOT(ISBLANK(K63:O63))))))"),"- Steve: not talking about halting or preventing land degradation, more about socioeconomic impacts")</f>
        <v>- Steve: not talking about halting or preventing land degradation, more about socioeconomic impacts</v>
      </c>
      <c r="Q63" s="52" t="s">
        <v>477</v>
      </c>
      <c r="R63" s="54" t="s">
        <v>449</v>
      </c>
      <c r="S63" s="5" t="s">
        <v>478</v>
      </c>
    </row>
    <row r="64">
      <c r="A64" s="12" t="str">
        <f>IFERROR(__xludf.DUMMYFUNCTION("""COMPUTED_VALUE"""),"03911d277e11161a1b6408758f5ad12d")</f>
        <v>03911d277e11161a1b6408758f5ad12d</v>
      </c>
      <c r="B64" s="12" t="str">
        <f>IFERROR(__xludf.DUMMYFUNCTION("""COMPUTED_VALUE"""),"Lakes, rivers and marine waters are probably of good or very good ecological status. Habitat degradation is not regarded as a major issue in Greenland. However, climate driven changes in physical properties might alter the biological balance and regional "&amp;"biodiversity. For instance, northward retreatment of the sea ice edge has been linked to an increase in the distribution of kelp beds and increase in the seasonal productivity of seaweeds along the Greenland West coast (Krause-Jensen et al., Wild species,"&amp;" and to some degree pollution and invasive species, may threaten the present good status. In addition, copepod droppings constitute a food resource for bottom-living animals as they sink to the seafloor.")</f>
        <v>Lakes, rivers and marine waters are probably of good or very good ecological status. Habitat degradation is not regarded as a major issue in Greenland. However, climate driven changes in physical properties might alter the biological balance and regional biodiversity. For instance, northward retreatment of the sea ice edge has been linked to an increase in the distribution of kelp beds and increase in the seasonal productivity of seaweeds along the Greenland West coast (Krause-Jensen et al., Wild species, and to some degree pollution and invasive species, may threaten the present good status. In addition, copepod droppings constitute a food resource for bottom-living animals as they sink to the seafloor.</v>
      </c>
      <c r="C64" s="51"/>
      <c r="D64" s="51" t="b">
        <f t="shared" ref="D64:I64" si="126">VLOOKUP($A64, INDIRECT(D$1&amp;"!A:C"), 3, FALSE)</f>
        <v>1</v>
      </c>
      <c r="E64" s="51" t="str">
        <f t="shared" si="126"/>
        <v>TO DO</v>
      </c>
      <c r="F64" s="51" t="b">
        <f t="shared" si="126"/>
        <v>1</v>
      </c>
      <c r="G64" s="51" t="str">
        <f t="shared" si="126"/>
        <v>TO DO</v>
      </c>
      <c r="H64" s="51" t="b">
        <f t="shared" si="126"/>
        <v>1</v>
      </c>
      <c r="I64" s="51" t="b">
        <f t="shared" si="126"/>
        <v>1</v>
      </c>
      <c r="J64" s="52">
        <f t="shared" si="4"/>
        <v>1</v>
      </c>
      <c r="K64" s="53" t="str">
        <f t="shared" ref="K64:O64" si="127">VLOOKUP($A64, INDIRECT(K$1&amp;"!A:D"), 4, FALSE)</f>
        <v/>
      </c>
      <c r="L64" s="53" t="str">
        <f t="shared" si="127"/>
        <v/>
      </c>
      <c r="M64" s="53" t="str">
        <f t="shared" si="127"/>
        <v/>
      </c>
      <c r="N64" s="53" t="str">
        <f t="shared" si="127"/>
        <v/>
      </c>
      <c r="O64" s="53" t="str">
        <f t="shared" si="127"/>
        <v/>
      </c>
      <c r="P64" s="52" t="str">
        <f>IFERROR(__xludf.DUMMYFUNCTION("IF(COUNTA(K64:O64)=0, """", ARRAYFORMULA(""- ""&amp;TEXTJOIN(char(10)&amp;""- "", TRUE, FILTER(K$1:O$1&amp;"": ""&amp;K64:O64, NOT(ISBLANK(K64:O64))))))"),"")</f>
        <v/>
      </c>
      <c r="Q64" s="52" t="s">
        <v>444</v>
      </c>
      <c r="R64" s="54" t="b">
        <v>1</v>
      </c>
    </row>
    <row r="65">
      <c r="A65" s="12" t="str">
        <f>IFERROR(__xludf.DUMMYFUNCTION("""COMPUTED_VALUE"""),"a40c73e1caa3011a447a92e58f4c61a7")</f>
        <v>a40c73e1caa3011a447a92e58f4c61a7</v>
      </c>
      <c r="B65" s="12" t="str">
        <f>IFERROR(__xludf.DUMMYFUNCTION("""COMPUTED_VALUE"""),"At present, one license was issued, however, it is outdated. According to the estimates of experts, there are no obvious signs of reduction in the volumes of these products. Nonetheless, there is no legislation which takes full account of good internation"&amp;"al practices and principles in river water management, assigning specific responsibilities to the various institutions and for the different water usages. A river basin management planning approach is lacking, as opposed to a sectorial planning approach. "&amp;"Erosion processes are very intensive and this, together with desertification on winter pastures, poses threats to biodiversity and local agriculture. Sustainable pasture management has huge potential for the protection of biodiversity and local economic d"&amp;"evelopment.")</f>
        <v>At present, one license was issued, however, it is outdated. According to the estimates of experts, there are no obvious signs of reduction in the volumes of these products. Nonetheless, there is no legislation which takes full account of good international practices and principles in river water management, assigning specific responsibilities to the various institutions and for the different water usages. A river basin management planning approach is lacking, as opposed to a sectorial planning approach. Erosion processes are very intensive and this, together with desertification on winter pastures, poses threats to biodiversity and local agriculture. Sustainable pasture management has huge potential for the protection of biodiversity and local economic development.</v>
      </c>
      <c r="C65" s="7"/>
      <c r="D65" s="51" t="b">
        <f t="shared" ref="D65:I65" si="128">VLOOKUP($A65, INDIRECT(D$1&amp;"!A:C"), 3, FALSE)</f>
        <v>1</v>
      </c>
      <c r="E65" s="51" t="str">
        <f t="shared" si="128"/>
        <v>TO DO</v>
      </c>
      <c r="F65" s="51" t="b">
        <f t="shared" si="128"/>
        <v>1</v>
      </c>
      <c r="G65" s="51" t="str">
        <f t="shared" si="128"/>
        <v>TO DO</v>
      </c>
      <c r="H65" s="51" t="b">
        <f t="shared" si="128"/>
        <v>1</v>
      </c>
      <c r="I65" s="51" t="b">
        <f t="shared" si="128"/>
        <v>1</v>
      </c>
      <c r="J65" s="52">
        <f t="shared" si="4"/>
        <v>1</v>
      </c>
      <c r="K65" s="53" t="str">
        <f t="shared" ref="K65:O65" si="129">VLOOKUP($A65, INDIRECT(K$1&amp;"!A:D"), 4, FALSE)</f>
        <v/>
      </c>
      <c r="L65" s="53" t="str">
        <f t="shared" si="129"/>
        <v/>
      </c>
      <c r="M65" s="53" t="str">
        <f t="shared" si="129"/>
        <v/>
      </c>
      <c r="N65" s="53" t="str">
        <f t="shared" si="129"/>
        <v/>
      </c>
      <c r="O65" s="53" t="str">
        <f t="shared" si="129"/>
        <v/>
      </c>
      <c r="P65" s="52" t="str">
        <f>IFERROR(__xludf.DUMMYFUNCTION("IF(COUNTA(K65:O65)=0, """", ARRAYFORMULA(""- ""&amp;TEXTJOIN(char(10)&amp;""- "", TRUE, FILTER(K$1:O$1&amp;"": ""&amp;K65:O65, NOT(ISBLANK(K65:O65))))))"),"")</f>
        <v/>
      </c>
      <c r="Q65" s="52" t="s">
        <v>444</v>
      </c>
      <c r="R65" s="54" t="b">
        <v>1</v>
      </c>
    </row>
    <row r="66">
      <c r="A66" s="12" t="str">
        <f>IFERROR(__xludf.DUMMYFUNCTION("""COMPUTED_VALUE"""),"485f207fdc72743b18ba3790c96f4f12")</f>
        <v>485f207fdc72743b18ba3790c96f4f12</v>
      </c>
      <c r="B66" s="12" t="str">
        <f>IFERROR(__xludf.DUMMYFUNCTION("""COMPUTED_VALUE"""),"In these areas, primary biological production - animal breeding - supports an important sector of the economy upon which the majority of the population depends. This activity, if managed appropriately, conserves vegetation cover, thereby preventing soil e"&amp;"rosion on mountain slopes, and reducing the likelihood of flooding. The latter has the potential to cause annual agricultural losses in the millions of United States dollars.")</f>
        <v>In these areas, primary biological production - animal breeding - supports an important sector of the economy upon which the majority of the population depends. This activity, if managed appropriately, conserves vegetation cover, thereby preventing soil erosion on mountain slopes, and reducing the likelihood of flooding. The latter has the potential to cause annual agricultural losses in the millions of United States dollars.</v>
      </c>
      <c r="C66" s="57"/>
      <c r="D66" s="51" t="b">
        <f t="shared" ref="D66:I66" si="130">VLOOKUP($A66, INDIRECT(D$1&amp;"!A:C"), 3, FALSE)</f>
        <v>1</v>
      </c>
      <c r="E66" s="51" t="str">
        <f t="shared" si="130"/>
        <v>TO DO</v>
      </c>
      <c r="F66" s="51" t="b">
        <f t="shared" si="130"/>
        <v>1</v>
      </c>
      <c r="G66" s="51" t="str">
        <f t="shared" si="130"/>
        <v>TO DO</v>
      </c>
      <c r="H66" s="51" t="b">
        <f t="shared" si="130"/>
        <v>1</v>
      </c>
      <c r="I66" s="51" t="b">
        <f t="shared" si="130"/>
        <v>1</v>
      </c>
      <c r="J66" s="52">
        <f t="shared" si="4"/>
        <v>1</v>
      </c>
      <c r="K66" s="53" t="str">
        <f t="shared" ref="K66:O66" si="131">VLOOKUP($A66, INDIRECT(K$1&amp;"!A:D"), 4, FALSE)</f>
        <v/>
      </c>
      <c r="L66" s="53" t="str">
        <f t="shared" si="131"/>
        <v/>
      </c>
      <c r="M66" s="53" t="str">
        <f t="shared" si="131"/>
        <v/>
      </c>
      <c r="N66" s="53" t="str">
        <f t="shared" si="131"/>
        <v/>
      </c>
      <c r="O66" s="53" t="str">
        <f t="shared" si="131"/>
        <v/>
      </c>
      <c r="P66" s="52" t="str">
        <f>IFERROR(__xludf.DUMMYFUNCTION("IF(COUNTA(K66:O66)=0, """", ARRAYFORMULA(""- ""&amp;TEXTJOIN(char(10)&amp;""- "", TRUE, FILTER(K$1:O$1&amp;"": ""&amp;K66:O66, NOT(ISBLANK(K66:O66))))))"),"")</f>
        <v/>
      </c>
      <c r="Q66" s="52" t="s">
        <v>444</v>
      </c>
      <c r="R66" s="54" t="b">
        <v>1</v>
      </c>
    </row>
    <row r="67">
      <c r="A67" s="12" t="str">
        <f>IFERROR(__xludf.DUMMYFUNCTION("""COMPUTED_VALUE"""),"5b73c6d15e2376c8d0b4917cedd7555f")</f>
        <v>5b73c6d15e2376c8d0b4917cedd7555f</v>
      </c>
      <c r="B67" s="12" t="str">
        <f>IFERROR(__xludf.DUMMYFUNCTION("""COMPUTED_VALUE"""),"A key driver of demand for urban nature recreation is user preferences for site attributes. For example, mountain bikers may tend to prefer (and are willing to pay for) artificially designed and engineered trails while hikers may prefer a ""wilder"" trail"&amp;" (Table 1 identifies some common attributes that provide welfare for different recreation users). Note also that the availability of nearby substitutes sites can affect the value of a given site.")</f>
        <v>A key driver of demand for urban nature recreation is user preferences for site attributes. For example, mountain bikers may tend to prefer (and are willing to pay for) artificially designed and engineered trails while hikers may prefer a "wilder" trail (Table 1 identifies some common attributes that provide welfare for different recreation users). Note also that the availability of nearby substitutes sites can affect the value of a given site.</v>
      </c>
      <c r="C67" s="56"/>
      <c r="D67" s="51" t="b">
        <f t="shared" ref="D67:I67" si="132">VLOOKUP($A67, INDIRECT(D$1&amp;"!A:C"), 3, FALSE)</f>
        <v>0</v>
      </c>
      <c r="E67" s="51" t="str">
        <f t="shared" si="132"/>
        <v>TO DO</v>
      </c>
      <c r="F67" s="51" t="b">
        <f t="shared" si="132"/>
        <v>0</v>
      </c>
      <c r="G67" s="51" t="str">
        <f t="shared" si="132"/>
        <v>TO DO</v>
      </c>
      <c r="H67" s="51" t="b">
        <f t="shared" si="132"/>
        <v>0</v>
      </c>
      <c r="I67" s="51" t="b">
        <f t="shared" si="132"/>
        <v>0</v>
      </c>
      <c r="J67" s="52">
        <f t="shared" si="4"/>
        <v>1</v>
      </c>
      <c r="K67" s="53" t="str">
        <f t="shared" ref="K67:O67" si="133">VLOOKUP($A67, INDIRECT(K$1&amp;"!A:D"), 4, FALSE)</f>
        <v/>
      </c>
      <c r="L67" s="53" t="str">
        <f t="shared" si="133"/>
        <v/>
      </c>
      <c r="M67" s="53" t="str">
        <f t="shared" si="133"/>
        <v/>
      </c>
      <c r="N67" s="53" t="str">
        <f t="shared" si="133"/>
        <v/>
      </c>
      <c r="O67" s="53" t="str">
        <f t="shared" si="133"/>
        <v/>
      </c>
      <c r="P67" s="52" t="str">
        <f>IFERROR(__xludf.DUMMYFUNCTION("IF(COUNTA(K67:O67)=0, """", ARRAYFORMULA(""- ""&amp;TEXTJOIN(char(10)&amp;""- "", TRUE, FILTER(K$1:O$1&amp;"": ""&amp;K67:O67, NOT(ISBLANK(K67:O67))))))"),"")</f>
        <v/>
      </c>
      <c r="Q67" s="52" t="s">
        <v>444</v>
      </c>
      <c r="R67" s="54" t="b">
        <v>0</v>
      </c>
    </row>
    <row r="68">
      <c r="A68" s="12" t="str">
        <f>IFERROR(__xludf.DUMMYFUNCTION("""COMPUTED_VALUE"""),"5e799a497ed480469265a426de3651b6")</f>
        <v>5e799a497ed480469265a426de3651b6</v>
      </c>
      <c r="B68" s="12" t="str">
        <f>IFERROR(__xludf.DUMMYFUNCTION("""COMPUTED_VALUE"""),"The deserts of central, Zaunguzskij and south-eastern Karakum, as well as other deserted lands, occupy more than 80 per cent of the country. Almost 20 per cent of the country’s territory is covered by mountains: the Kopetdag Mountains and, to the north, t"&amp;"he separated mountain ridges of Small and Grand Balkhany. The Koytendag Mountains are located to the east, as well as the highest peaks of the country, up to 3,140 m above sea level.")</f>
        <v>The deserts of central, Zaunguzskij and south-eastern Karakum, as well as other deserted lands, occupy more than 80 per cent of the country. Almost 20 per cent of the country’s territory is covered by mountains: the Kopetdag Mountains and, to the north, the separated mountain ridges of Small and Grand Balkhany. The Koytendag Mountains are located to the east, as well as the highest peaks of the country, up to 3,140 m above sea level.</v>
      </c>
      <c r="C68" s="7"/>
      <c r="D68" s="51" t="b">
        <f t="shared" ref="D68:I68" si="134">VLOOKUP($A68, INDIRECT(D$1&amp;"!A:C"), 3, FALSE)</f>
        <v>0</v>
      </c>
      <c r="E68" s="51" t="str">
        <f t="shared" si="134"/>
        <v>TO DO</v>
      </c>
      <c r="F68" s="51" t="b">
        <f t="shared" si="134"/>
        <v>0</v>
      </c>
      <c r="G68" s="51" t="str">
        <f t="shared" si="134"/>
        <v>TO DO</v>
      </c>
      <c r="H68" s="51" t="b">
        <f t="shared" si="134"/>
        <v>0</v>
      </c>
      <c r="I68" s="51" t="b">
        <f t="shared" si="134"/>
        <v>0</v>
      </c>
      <c r="J68" s="52">
        <f t="shared" si="4"/>
        <v>1</v>
      </c>
      <c r="K68" s="53" t="str">
        <f t="shared" ref="K68:O68" si="135">VLOOKUP($A68, INDIRECT(K$1&amp;"!A:D"), 4, FALSE)</f>
        <v/>
      </c>
      <c r="L68" s="53" t="str">
        <f t="shared" si="135"/>
        <v/>
      </c>
      <c r="M68" s="53" t="str">
        <f t="shared" si="135"/>
        <v/>
      </c>
      <c r="N68" s="53" t="str">
        <f t="shared" si="135"/>
        <v/>
      </c>
      <c r="O68" s="53" t="str">
        <f t="shared" si="135"/>
        <v/>
      </c>
      <c r="P68" s="52" t="str">
        <f>IFERROR(__xludf.DUMMYFUNCTION("IF(COUNTA(K68:O68)=0, """", ARRAYFORMULA(""- ""&amp;TEXTJOIN(char(10)&amp;""- "", TRUE, FILTER(K$1:O$1&amp;"": ""&amp;K68:O68, NOT(ISBLANK(K68:O68))))))"),"")</f>
        <v/>
      </c>
      <c r="Q68" s="52" t="s">
        <v>444</v>
      </c>
      <c r="R68" s="54" t="b">
        <v>0</v>
      </c>
    </row>
    <row r="69">
      <c r="A69" s="12" t="str">
        <f>IFERROR(__xludf.DUMMYFUNCTION("""COMPUTED_VALUE"""),"d88ce3e0410cb6c86d312bdf853cdc55")</f>
        <v>d88ce3e0410cb6c86d312bdf853cdc55</v>
      </c>
      <c r="B69" s="12" t="str">
        <f>IFERROR(__xludf.DUMMYFUNCTION("""COMPUTED_VALUE"""),"Mongolia is the eighteenth largest country and the second largest landlocked country in the world. Northern Mongolia is covered by forest and mountain ranges, while desert, desert steppe and steppe areas cover the south. The western region is dominated by"&amp;" the Altai and Khangai Mountains and the east is covered by vast plains and wild heaths. In 2015, these six categories of land accounted for 73.5 per cent, 0.5 per cent, 0.3 per cent, 16.1 per cent, 9.2 per cent, and 0.4 per cent of the total land area, r"&amp;"espectively (figure 12.1).")</f>
        <v>Mongolia is the eighteenth largest country and the second largest landlocked country in the world. Northern Mongolia is covered by forest and mountain ranges, while desert, desert steppe and steppe areas cover the south. The western region is dominated by the Altai and Khangai Mountains and the east is covered by vast plains and wild heaths. In 2015, these six categories of land accounted for 73.5 per cent, 0.5 per cent, 0.3 per cent, 16.1 per cent, 9.2 per cent, and 0.4 per cent of the total land area, respectively (figure 12.1).</v>
      </c>
      <c r="C69" s="57"/>
      <c r="D69" s="51" t="b">
        <f t="shared" ref="D69:I69" si="136">VLOOKUP($A69, INDIRECT(D$1&amp;"!A:C"), 3, FALSE)</f>
        <v>0</v>
      </c>
      <c r="E69" s="51" t="str">
        <f t="shared" si="136"/>
        <v>TO DO</v>
      </c>
      <c r="F69" s="51" t="b">
        <f t="shared" si="136"/>
        <v>0</v>
      </c>
      <c r="G69" s="51" t="str">
        <f t="shared" si="136"/>
        <v>TO DO</v>
      </c>
      <c r="H69" s="51" t="b">
        <f t="shared" si="136"/>
        <v>0</v>
      </c>
      <c r="I69" s="51" t="b">
        <f t="shared" si="136"/>
        <v>0</v>
      </c>
      <c r="J69" s="52">
        <f t="shared" si="4"/>
        <v>1</v>
      </c>
      <c r="K69" s="53" t="str">
        <f t="shared" ref="K69:O69" si="137">VLOOKUP($A69, INDIRECT(K$1&amp;"!A:D"), 4, FALSE)</f>
        <v/>
      </c>
      <c r="L69" s="53" t="str">
        <f t="shared" si="137"/>
        <v/>
      </c>
      <c r="M69" s="53" t="str">
        <f t="shared" si="137"/>
        <v/>
      </c>
      <c r="N69" s="53" t="str">
        <f t="shared" si="137"/>
        <v/>
      </c>
      <c r="O69" s="53" t="str">
        <f t="shared" si="137"/>
        <v>fact stating only</v>
      </c>
      <c r="P69" s="52" t="str">
        <f>IFERROR(__xludf.DUMMYFUNCTION("IF(COUNTA(K69:O69)=0, """", ARRAYFORMULA(""- ""&amp;TEXTJOIN(char(10)&amp;""- "", TRUE, FILTER(K$1:O$1&amp;"": ""&amp;K69:O69, NOT(ISBLANK(K69:O69))))))"),"- Steve: fact stating only")</f>
        <v>- Steve: fact stating only</v>
      </c>
      <c r="Q69" s="52" t="s">
        <v>479</v>
      </c>
      <c r="R69" s="54" t="b">
        <v>0</v>
      </c>
    </row>
    <row r="70">
      <c r="A70" s="12" t="str">
        <f>IFERROR(__xludf.DUMMYFUNCTION("""COMPUTED_VALUE"""),"03d5b2a1ccc62b72bf6a45ecd0036bad")</f>
        <v>03d5b2a1ccc62b72bf6a45ecd0036bad</v>
      </c>
      <c r="B70" s="12" t="str">
        <f>IFERROR(__xludf.DUMMYFUNCTION("""COMPUTED_VALUE"""),"Among these, 23 species have been declared natural monuments, 74 species are extinct, 39 species are endangered, 171 species are vulnerable and 1,253 species are rare. Grassland species account for 37 per cent of the total species represented. Some 600 al"&amp;"gae species and over 700 species of marine and coastal plants exist. A very high percentage of the plant species (4 per cent) are endemic.")</f>
        <v>Among these, 23 species have been declared natural monuments, 74 species are extinct, 39 species are endangered, 171 species are vulnerable and 1,253 species are rare. Grassland species account for 37 per cent of the total species represented. Some 600 algae species and over 700 species of marine and coastal plants exist. A very high percentage of the plant species (4 per cent) are endemic.</v>
      </c>
      <c r="C70" s="7"/>
      <c r="D70" s="51" t="b">
        <f t="shared" ref="D70:I70" si="138">VLOOKUP($A70, INDIRECT(D$1&amp;"!A:C"), 3, FALSE)</f>
        <v>1</v>
      </c>
      <c r="E70" s="51" t="str">
        <f t="shared" si="138"/>
        <v>TO DO</v>
      </c>
      <c r="F70" s="51" t="b">
        <f t="shared" si="138"/>
        <v>1</v>
      </c>
      <c r="G70" s="51" t="str">
        <f t="shared" si="138"/>
        <v>TO DO</v>
      </c>
      <c r="H70" s="51" t="b">
        <f t="shared" si="138"/>
        <v>1</v>
      </c>
      <c r="I70" s="51" t="b">
        <f t="shared" si="138"/>
        <v>1</v>
      </c>
      <c r="J70" s="52">
        <f t="shared" si="4"/>
        <v>1</v>
      </c>
      <c r="K70" s="53" t="str">
        <f t="shared" ref="K70:O70" si="139">VLOOKUP($A70, INDIRECT(K$1&amp;"!A:D"), 4, FALSE)</f>
        <v/>
      </c>
      <c r="L70" s="53" t="str">
        <f t="shared" si="139"/>
        <v/>
      </c>
      <c r="M70" s="53" t="str">
        <f t="shared" si="139"/>
        <v/>
      </c>
      <c r="N70" s="53" t="str">
        <f t="shared" si="139"/>
        <v/>
      </c>
      <c r="O70" s="53" t="str">
        <f t="shared" si="139"/>
        <v/>
      </c>
      <c r="P70" s="52" t="str">
        <f>IFERROR(__xludf.DUMMYFUNCTION("IF(COUNTA(K70:O70)=0, """", ARRAYFORMULA(""- ""&amp;TEXTJOIN(char(10)&amp;""- "", TRUE, FILTER(K$1:O$1&amp;"": ""&amp;K70:O70, NOT(ISBLANK(K70:O70))))))"),"")</f>
        <v/>
      </c>
      <c r="Q70" s="52" t="s">
        <v>444</v>
      </c>
      <c r="R70" s="54" t="b">
        <v>1</v>
      </c>
    </row>
    <row r="71">
      <c r="A71" s="12" t="str">
        <f>IFERROR(__xludf.DUMMYFUNCTION("""COMPUTED_VALUE"""),"a71a14c399d4765cbd870a4000d35f8e")</f>
        <v>a71a14c399d4765cbd870a4000d35f8e</v>
      </c>
      <c r="B71" s="12" t="str">
        <f>IFERROR(__xludf.DUMMYFUNCTION("""COMPUTED_VALUE"""),"Providing a real-time collection of participator}- information related to illicit trade can engage a broader base of contributors. National policy could also benefit from the dynamic views that allow for a “story-telling” approach to presentations. This s"&amp;"imple means of relaying the information could reinforce commitment to the prevention of cross-border illegal activity.")</f>
        <v>Providing a real-time collection of participator}- information related to illicit trade can engage a broader base of contributors. National policy could also benefit from the dynamic views that allow for a “story-telling” approach to presentations. This simple means of relaying the information could reinforce commitment to the prevention of cross-border illegal activity.</v>
      </c>
      <c r="C71" s="56"/>
      <c r="D71" s="51" t="b">
        <f t="shared" ref="D71:I71" si="140">VLOOKUP($A71, INDIRECT(D$1&amp;"!A:C"), 3, FALSE)</f>
        <v>0</v>
      </c>
      <c r="E71" s="51" t="str">
        <f t="shared" si="140"/>
        <v>TO DO</v>
      </c>
      <c r="F71" s="51" t="b">
        <f t="shared" si="140"/>
        <v>0</v>
      </c>
      <c r="G71" s="51" t="str">
        <f t="shared" si="140"/>
        <v>TO DO</v>
      </c>
      <c r="H71" s="51" t="b">
        <f t="shared" si="140"/>
        <v>0</v>
      </c>
      <c r="I71" s="51" t="b">
        <f t="shared" si="140"/>
        <v>0</v>
      </c>
      <c r="J71" s="52">
        <f t="shared" si="4"/>
        <v>1</v>
      </c>
      <c r="K71" s="53" t="str">
        <f t="shared" ref="K71:O71" si="141">VLOOKUP($A71, INDIRECT(K$1&amp;"!A:D"), 4, FALSE)</f>
        <v>not specific to wildlife</v>
      </c>
      <c r="L71" s="53" t="str">
        <f t="shared" si="141"/>
        <v/>
      </c>
      <c r="M71" s="53" t="str">
        <f t="shared" si="141"/>
        <v/>
      </c>
      <c r="N71" s="53" t="str">
        <f t="shared" si="141"/>
        <v/>
      </c>
      <c r="O71" s="53" t="str">
        <f t="shared" si="141"/>
        <v>illicit trade of what?</v>
      </c>
      <c r="P71" s="52" t="str">
        <f>IFERROR(__xludf.DUMMYFUNCTION("IF(COUNTA(K71:O71)=0, """", ARRAYFORMULA(""- ""&amp;TEXTJOIN(char(10)&amp;""- "", TRUE, FILTER(K$1:O$1&amp;"": ""&amp;K71:O71, NOT(ISBLANK(K71:O71))))))"),"- Finn: not specific to wildlife
- Steve: illicit trade of what?")</f>
        <v>- Finn: not specific to wildlife
- Steve: illicit trade of what?</v>
      </c>
      <c r="Q71" s="52" t="s">
        <v>480</v>
      </c>
      <c r="R71" s="54" t="b">
        <v>0</v>
      </c>
    </row>
    <row r="72">
      <c r="A72" s="12" t="str">
        <f>IFERROR(__xludf.DUMMYFUNCTION("""COMPUTED_VALUE"""),"14e341e992d9f3de407cb88383ae7d4e")</f>
        <v>14e341e992d9f3de407cb88383ae7d4e</v>
      </c>
      <c r="B72" s="12" t="str">
        <f>IFERROR(__xludf.DUMMYFUNCTION("""COMPUTED_VALUE"""),"The projected rise in aquaculture is also expected to exert increasing pressure on biodiversity. A fundamental prerequisite for effective fisheries management is reliable comprehensive data on fish stocks, which are lacking in many countries. Australia is"&amp;" a notable exception, and its data collection, together with fisheries management plans, has achieved near 100% sustainable stocks at national level.")</f>
        <v>The projected rise in aquaculture is also expected to exert increasing pressure on biodiversity. A fundamental prerequisite for effective fisheries management is reliable comprehensive data on fish stocks, which are lacking in many countries. Australia is a notable exception, and its data collection, together with fisheries management plans, has achieved near 100% sustainable stocks at national level.</v>
      </c>
      <c r="C72" s="7" t="s">
        <v>445</v>
      </c>
      <c r="D72" s="51" t="b">
        <f t="shared" ref="D72:I72" si="142">VLOOKUP($A72, INDIRECT(D$1&amp;"!A:C"), 3, FALSE)</f>
        <v>1</v>
      </c>
      <c r="E72" s="51" t="str">
        <f t="shared" si="142"/>
        <v>TO DO</v>
      </c>
      <c r="F72" s="51" t="b">
        <f t="shared" si="142"/>
        <v>1</v>
      </c>
      <c r="G72" s="51" t="str">
        <f t="shared" si="142"/>
        <v>TO DO</v>
      </c>
      <c r="H72" s="51" t="b">
        <f t="shared" si="142"/>
        <v>1</v>
      </c>
      <c r="I72" s="51" t="b">
        <f t="shared" si="142"/>
        <v>0</v>
      </c>
      <c r="J72" s="52">
        <f t="shared" si="4"/>
        <v>0.5</v>
      </c>
      <c r="K72" s="53" t="str">
        <f t="shared" ref="K72:O72" si="143">VLOOKUP($A72, INDIRECT(K$1&amp;"!A:D"), 4, FALSE)</f>
        <v/>
      </c>
      <c r="L72" s="53" t="str">
        <f t="shared" si="143"/>
        <v/>
      </c>
      <c r="M72" s="53" t="str">
        <f t="shared" si="143"/>
        <v/>
      </c>
      <c r="N72" s="53" t="str">
        <f t="shared" si="143"/>
        <v/>
      </c>
      <c r="O72" s="53" t="str">
        <f t="shared" si="143"/>
        <v>not on inland freshwater ecosystems</v>
      </c>
      <c r="P72" s="52" t="str">
        <f>IFERROR(__xludf.DUMMYFUNCTION("IF(COUNTA(K72:O72)=0, """", ARRAYFORMULA(""- ""&amp;TEXTJOIN(char(10)&amp;""- "", TRUE, FILTER(K$1:O$1&amp;"": ""&amp;K72:O72, NOT(ISBLANK(K72:O72))))))"),"- Steve: not on inland freshwater ecosystems")</f>
        <v>- Steve: not on inland freshwater ecosystems</v>
      </c>
      <c r="Q72" s="52" t="s">
        <v>481</v>
      </c>
      <c r="R72" s="54" t="s">
        <v>449</v>
      </c>
      <c r="S72" s="5" t="s">
        <v>482</v>
      </c>
    </row>
    <row r="73">
      <c r="A73" s="12" t="str">
        <f>IFERROR(__xludf.DUMMYFUNCTION("""COMPUTED_VALUE"""),"42f640a093b8ef838b3d4e709f8b7dca")</f>
        <v>42f640a093b8ef838b3d4e709f8b7dca</v>
      </c>
      <c r="B73" s="12" t="str">
        <f>IFERROR(__xludf.DUMMYFUNCTION("""COMPUTED_VALUE"""),"Main concerns relate to the impacts of human activities on fish stocks and habitats in the marine and fresh waters, and to their consequences for biodiversity and for the supply of marine protein (fish) for human consumption and other uses. The trend towa"&amp;"rds increased global fish catch has been achieved partly through exploitation of new and/or less valuable species and partly through aquaculture. Though global fish catch seems to have stabilised recently, Illegal, Unreported and Unregulated (IUU) fishing"&amp;" is widespread and hinders the achievement of sustainable fishery management objectives. Within the framework of the FAO Code of Conduct for Responsible Fishing, international efforts are being made to address the issue of illegal, unreported and unregula"&amp;"ted (IUU) fishing.")</f>
        <v>Main concerns relate to the impacts of human activities on fish stocks and habitats in the marine and fresh waters, and to their consequences for biodiversity and for the supply of marine protein (fish) for human consumption and other uses. The trend towards increased global fish catch has been achieved partly through exploitation of new and/or less valuable species and partly through aquaculture. Though global fish catch seems to have stabilised recently, Illegal, Unreported and Unregulated (IUU) fishing is widespread and hinders the achievement of sustainable fishery management objectives. Within the framework of the FAO Code of Conduct for Responsible Fishing, international efforts are being made to address the issue of illegal, unreported and unregulated (IUU) fishing.</v>
      </c>
      <c r="C73" s="7" t="s">
        <v>445</v>
      </c>
      <c r="D73" s="51" t="b">
        <f t="shared" ref="D73:I73" si="144">VLOOKUP($A73, INDIRECT(D$1&amp;"!A:C"), 3, FALSE)</f>
        <v>1</v>
      </c>
      <c r="E73" s="51" t="str">
        <f t="shared" si="144"/>
        <v>TO DO</v>
      </c>
      <c r="F73" s="51" t="b">
        <f t="shared" si="144"/>
        <v>1</v>
      </c>
      <c r="G73" s="51" t="str">
        <f t="shared" si="144"/>
        <v>TO DO</v>
      </c>
      <c r="H73" s="51" t="b">
        <f t="shared" si="144"/>
        <v>1</v>
      </c>
      <c r="I73" s="51" t="b">
        <f t="shared" si="144"/>
        <v>0</v>
      </c>
      <c r="J73" s="52">
        <f t="shared" si="4"/>
        <v>0.5</v>
      </c>
      <c r="K73" s="53" t="str">
        <f t="shared" ref="K73:O73" si="145">VLOOKUP($A73, INDIRECT(K$1&amp;"!A:D"), 4, FALSE)</f>
        <v/>
      </c>
      <c r="L73" s="53" t="str">
        <f t="shared" si="145"/>
        <v/>
      </c>
      <c r="M73" s="53" t="str">
        <f t="shared" si="145"/>
        <v/>
      </c>
      <c r="N73" s="53" t="str">
        <f t="shared" si="145"/>
        <v/>
      </c>
      <c r="O73" s="53" t="str">
        <f t="shared" si="145"/>
        <v>links to inland freshwater ecosystems, but more on SDG 14?</v>
      </c>
      <c r="P73" s="52" t="str">
        <f>IFERROR(__xludf.DUMMYFUNCTION("IF(COUNTA(K73:O73)=0, """", ARRAYFORMULA(""- ""&amp;TEXTJOIN(char(10)&amp;""- "", TRUE, FILTER(K$1:O$1&amp;"": ""&amp;K73:O73, NOT(ISBLANK(K73:O73))))))"),"- Steve: links to inland freshwater ecosystems, but more on SDG 14?")</f>
        <v>- Steve: links to inland freshwater ecosystems, but more on SDG 14?</v>
      </c>
      <c r="Q73" s="52" t="s">
        <v>483</v>
      </c>
      <c r="R73" s="55" t="b">
        <v>1</v>
      </c>
      <c r="S73" s="5" t="s">
        <v>484</v>
      </c>
    </row>
    <row r="74">
      <c r="A74" s="12" t="str">
        <f>IFERROR(__xludf.DUMMYFUNCTION("""COMPUTED_VALUE"""),"1a640c81720f30f2219faa7171417444")</f>
        <v>1a640c81720f30f2219faa7171417444</v>
      </c>
      <c r="B74" s="12" t="str">
        <f>IFERROR(__xludf.DUMMYFUNCTION("""COMPUTED_VALUE"""),"Technical and political challenges, particularly linked to ensuring wide stakeholder acceptance and equitable market access by small and medium-sized enterprises (SMEs), continue to delay the issuance of the first licences. Indonesia is expected to delive"&amp;"r the first FLEGT-licensed timber to the EU in early 2016, followed by Ghana later in the same year. A five-year ITTO project was launched in March 2014 with EU financial support to establish the FLEGT Independent Market Monitoring (IMM) mechanism with th"&amp;"e aim of regularly assessing the market influence of the FLEGT process.")</f>
        <v>Technical and political challenges, particularly linked to ensuring wide stakeholder acceptance and equitable market access by small and medium-sized enterprises (SMEs), continue to delay the issuance of the first licences. Indonesia is expected to deliver the first FLEGT-licensed timber to the EU in early 2016, followed by Ghana later in the same year. A five-year ITTO project was launched in March 2014 with EU financial support to establish the FLEGT Independent Market Monitoring (IMM) mechanism with the aim of regularly assessing the market influence of the FLEGT process.</v>
      </c>
      <c r="C74" s="7" t="s">
        <v>445</v>
      </c>
      <c r="D74" s="51" t="b">
        <f t="shared" ref="D74:I74" si="146">VLOOKUP($A74, INDIRECT(D$1&amp;"!A:C"), 3, FALSE)</f>
        <v>1</v>
      </c>
      <c r="E74" s="51" t="str">
        <f t="shared" si="146"/>
        <v>TO DO</v>
      </c>
      <c r="F74" s="51" t="b">
        <f t="shared" si="146"/>
        <v>1</v>
      </c>
      <c r="G74" s="51" t="str">
        <f t="shared" si="146"/>
        <v>TO DO</v>
      </c>
      <c r="H74" s="51" t="b">
        <f t="shared" si="146"/>
        <v>0</v>
      </c>
      <c r="I74" s="51" t="b">
        <f t="shared" si="146"/>
        <v>1</v>
      </c>
      <c r="J74" s="52">
        <f t="shared" si="4"/>
        <v>0.5</v>
      </c>
      <c r="K74" s="53" t="str">
        <f t="shared" ref="K74:O74" si="147">VLOOKUP($A74, INDIRECT(K$1&amp;"!A:D"), 4, FALSE)</f>
        <v>FLEGT: Forest Law Enforcement, Governance and Trade
EU: European Union
ITTO: International Tropical Timber Organization
IMM: Independent Market Monitoring</v>
      </c>
      <c r="L74" s="53" t="str">
        <f t="shared" si="147"/>
        <v/>
      </c>
      <c r="M74" s="53" t="str">
        <f t="shared" si="147"/>
        <v/>
      </c>
      <c r="N74" s="53" t="str">
        <f t="shared" si="147"/>
        <v/>
      </c>
      <c r="O74" s="53" t="str">
        <f t="shared" si="147"/>
        <v/>
      </c>
      <c r="P74" s="52" t="str">
        <f>IFERROR(__xludf.DUMMYFUNCTION("IF(COUNTA(K74:O74)=0, """", ARRAYFORMULA(""- ""&amp;TEXTJOIN(char(10)&amp;""- "", TRUE, FILTER(K$1:O$1&amp;"": ""&amp;K74:O74, NOT(ISBLANK(K74:O74))))))"),"- Finn: FLEGT: Forest Law Enforcement, Governance and Trade
EU: European Union
ITTO: International Tropical Timber Organization
IMM: Independent Market Monitoring")</f>
        <v>- Finn: FLEGT: Forest Law Enforcement, Governance and Trade
EU: European Union
ITTO: International Tropical Timber Organization
IMM: Independent Market Monitoring</v>
      </c>
      <c r="Q74" s="52" t="s">
        <v>485</v>
      </c>
      <c r="R74" s="54" t="s">
        <v>449</v>
      </c>
    </row>
    <row r="75">
      <c r="A75" s="12" t="str">
        <f>IFERROR(__xludf.DUMMYFUNCTION("""COMPUTED_VALUE"""),"ed4897ebbac2f96a1e78dab0299b4b8b")</f>
        <v>ed4897ebbac2f96a1e78dab0299b4b8b</v>
      </c>
      <c r="B75" s="12" t="str">
        <f>IFERROR(__xludf.DUMMYFUNCTION("""COMPUTED_VALUE"""),"These measures are needed to provide incentives to farmers for implementing voluntary measures that are beneficial for nature protection but that may affect agricultural production. Regarding seeds and genetic resources, Croatia has been following OECD an"&amp;"d FAO advice on the use of plant species. Effectively, GMOs cannot be planted, not even for testing purposes, and GMO products cannot be sold in the countiy (0.2 per cent of GMO content in a product is the maximum allowed).")</f>
        <v>These measures are needed to provide incentives to farmers for implementing voluntary measures that are beneficial for nature protection but that may affect agricultural production. Regarding seeds and genetic resources, Croatia has been following OECD and FAO advice on the use of plant species. Effectively, GMOs cannot be planted, not even for testing purposes, and GMO products cannot be sold in the countiy (0.2 per cent of GMO content in a product is the maximum allowed).</v>
      </c>
      <c r="C75" s="57"/>
      <c r="D75" s="51" t="b">
        <f t="shared" ref="D75:I75" si="148">VLOOKUP($A75, INDIRECT(D$1&amp;"!A:C"), 3, FALSE)</f>
        <v>1</v>
      </c>
      <c r="E75" s="51" t="str">
        <f t="shared" si="148"/>
        <v>TO DO</v>
      </c>
      <c r="F75" s="51" t="b">
        <f t="shared" si="148"/>
        <v>1</v>
      </c>
      <c r="G75" s="51" t="str">
        <f t="shared" si="148"/>
        <v>TO DO</v>
      </c>
      <c r="H75" s="51" t="b">
        <f t="shared" si="148"/>
        <v>1</v>
      </c>
      <c r="I75" s="51" t="b">
        <f t="shared" si="148"/>
        <v>1</v>
      </c>
      <c r="J75" s="52">
        <f t="shared" si="4"/>
        <v>1</v>
      </c>
      <c r="K75" s="53" t="str">
        <f t="shared" ref="K75:O75" si="149">VLOOKUP($A75, INDIRECT(K$1&amp;"!A:D"), 4, FALSE)</f>
        <v/>
      </c>
      <c r="L75" s="53" t="str">
        <f t="shared" si="149"/>
        <v/>
      </c>
      <c r="M75" s="53" t="str">
        <f t="shared" si="149"/>
        <v/>
      </c>
      <c r="N75" s="53" t="str">
        <f t="shared" si="149"/>
        <v/>
      </c>
      <c r="O75" s="53" t="str">
        <f t="shared" si="149"/>
        <v/>
      </c>
      <c r="P75" s="52" t="str">
        <f>IFERROR(__xludf.DUMMYFUNCTION("IF(COUNTA(K75:O75)=0, """", ARRAYFORMULA(""- ""&amp;TEXTJOIN(char(10)&amp;""- "", TRUE, FILTER(K$1:O$1&amp;"": ""&amp;K75:O75, NOT(ISBLANK(K75:O75))))))"),"")</f>
        <v/>
      </c>
      <c r="Q75" s="52" t="s">
        <v>444</v>
      </c>
      <c r="R75" s="54" t="b">
        <v>1</v>
      </c>
    </row>
    <row r="76" hidden="1">
      <c r="A76" s="12" t="str">
        <f>IFERROR(__xludf.DUMMYFUNCTION("""COMPUTED_VALUE"""),"7a68736d97bb6570b2c0cfba16f234fb")</f>
        <v>7a68736d97bb6570b2c0cfba16f234fb</v>
      </c>
      <c r="B76" s="12" t="str">
        <f>IFERROR(__xludf.DUMMYFUNCTION("""COMPUTED_VALUE"""),"The first to emerge was the national Rice Improvement Programme, founded in the early 1970s. The majority of seeds introduced to Nepal since the 1988 act have been improved varieties, only a handful of which are of local origin. One hybrid maize — Gaurab "&amp;"— could not be commercially produced, and another — Rampin' hybrid 2, or RML2 — is still contending with the lengthy approval process.")</f>
        <v>The first to emerge was the national Rice Improvement Programme, founded in the early 1970s. The majority of seeds introduced to Nepal since the 1988 act have been improved varieties, only a handful of which are of local origin. One hybrid maize — Gaurab — could not be commercially produced, and another — Rampin' hybrid 2, or RML2 — is still contending with the lengthy approval process.</v>
      </c>
      <c r="C76" s="7" t="s">
        <v>454</v>
      </c>
      <c r="D76" s="51" t="b">
        <f t="shared" ref="D76:I76" si="150">VLOOKUP($A76, INDIRECT(D$1&amp;"!A:C"), 3, FALSE)</f>
        <v>0</v>
      </c>
      <c r="E76" s="51" t="str">
        <f t="shared" si="150"/>
        <v>TO DO</v>
      </c>
      <c r="F76" s="51" t="b">
        <f t="shared" si="150"/>
        <v>1</v>
      </c>
      <c r="G76" s="51" t="str">
        <f t="shared" si="150"/>
        <v>TO DO</v>
      </c>
      <c r="H76" s="51" t="b">
        <f t="shared" si="150"/>
        <v>1</v>
      </c>
      <c r="I76" s="51" t="b">
        <f t="shared" si="150"/>
        <v>0</v>
      </c>
      <c r="J76" s="52">
        <f t="shared" si="4"/>
        <v>0</v>
      </c>
      <c r="K76" s="53" t="str">
        <f t="shared" ref="K76:O76" si="151">VLOOKUP($A76, INDIRECT(K$1&amp;"!A:D"), 4, FALSE)</f>
        <v>not about fair access</v>
      </c>
      <c r="L76" s="53" t="str">
        <f t="shared" si="151"/>
        <v/>
      </c>
      <c r="M76" s="53" t="str">
        <f t="shared" si="151"/>
        <v/>
      </c>
      <c r="N76" s="53" t="str">
        <f t="shared" si="151"/>
        <v/>
      </c>
      <c r="O76" s="53" t="str">
        <f t="shared" si="151"/>
        <v/>
      </c>
      <c r="P76" s="52" t="str">
        <f>IFERROR(__xludf.DUMMYFUNCTION("IF(COUNTA(K76:O76)=0, """", ARRAYFORMULA(""- ""&amp;TEXTJOIN(char(10)&amp;""- "", TRUE, FILTER(K$1:O$1&amp;"": ""&amp;K76:O76, NOT(ISBLANK(K76:O76))))))"),"- Finn: not about fair access")</f>
        <v>- Finn: not about fair access</v>
      </c>
      <c r="Q76" s="52" t="s">
        <v>486</v>
      </c>
      <c r="R76" s="54" t="s">
        <v>449</v>
      </c>
    </row>
    <row r="77">
      <c r="A77" s="12" t="str">
        <f>IFERROR(__xludf.DUMMYFUNCTION("""COMPUTED_VALUE"""),"ca7fb139f40263f9b82512a9af3dd059")</f>
        <v>ca7fb139f40263f9b82512a9af3dd059</v>
      </c>
      <c r="B77" s="12" t="str">
        <f>IFERROR(__xludf.DUMMYFUNCTION("""COMPUTED_VALUE"""),"Seed banks “enhance social relationships, build community trust, contribute to local governance and community institution-building, and strengthen farmer-to-farmer networks.” In March 2013, almost 40 farmers representing seed banks across the country gath"&amp;"ered in Kachorwa to share their experiences and formalise linkages. A team led by Madan Bliatta, chief of the National Agriculture Genetic Resources Centre had driven all the way from Kathmandu to Kachorwa — a day’s worth of travel — to start the process "&amp;"of funnelling seeds from the community seed bank to the national gene bank. The government-run CSB’s have also begun to take their conservation mandate seriously, and a new seed regulation published last year introduced a simpler mechanism of landrace reg"&amp;"istration, which enables farmers to legally sell their seeds, but not to brand or commercialise them.")</f>
        <v>Seed banks “enhance social relationships, build community trust, contribute to local governance and community institution-building, and strengthen farmer-to-farmer networks.” In March 2013, almost 40 farmers representing seed banks across the country gathered in Kachorwa to share their experiences and formalise linkages. A team led by Madan Bliatta, chief of the National Agriculture Genetic Resources Centre had driven all the way from Kathmandu to Kachorwa — a day’s worth of travel — to start the process of funnelling seeds from the community seed bank to the national gene bank. The government-run CSB’s have also begun to take their conservation mandate seriously, and a new seed regulation published last year introduced a simpler mechanism of landrace registration, which enables farmers to legally sell their seeds, but not to brand or commercialise them.</v>
      </c>
      <c r="C77" s="57"/>
      <c r="D77" s="51" t="b">
        <f t="shared" ref="D77:I77" si="152">VLOOKUP($A77, INDIRECT(D$1&amp;"!A:C"), 3, FALSE)</f>
        <v>1</v>
      </c>
      <c r="E77" s="51" t="str">
        <f t="shared" si="152"/>
        <v>TO DO</v>
      </c>
      <c r="F77" s="51" t="b">
        <f t="shared" si="152"/>
        <v>1</v>
      </c>
      <c r="G77" s="51" t="str">
        <f t="shared" si="152"/>
        <v>TO DO</v>
      </c>
      <c r="H77" s="51" t="b">
        <f t="shared" si="152"/>
        <v>1</v>
      </c>
      <c r="I77" s="51" t="b">
        <f t="shared" si="152"/>
        <v>1</v>
      </c>
      <c r="J77" s="52">
        <f t="shared" si="4"/>
        <v>1</v>
      </c>
      <c r="K77" s="53" t="str">
        <f t="shared" ref="K77:O77" si="153">VLOOKUP($A77, INDIRECT(K$1&amp;"!A:D"), 4, FALSE)</f>
        <v/>
      </c>
      <c r="L77" s="53" t="str">
        <f t="shared" si="153"/>
        <v/>
      </c>
      <c r="M77" s="53" t="str">
        <f t="shared" si="153"/>
        <v/>
      </c>
      <c r="N77" s="53" t="str">
        <f t="shared" si="153"/>
        <v/>
      </c>
      <c r="O77" s="53" t="str">
        <f t="shared" si="153"/>
        <v>15.6? what's the difference to 2.5?</v>
      </c>
      <c r="P77" s="52" t="str">
        <f>IFERROR(__xludf.DUMMYFUNCTION("IF(COUNTA(K77:O77)=0, """", ARRAYFORMULA(""- ""&amp;TEXTJOIN(char(10)&amp;""- "", TRUE, FILTER(K$1:O$1&amp;"": ""&amp;K77:O77, NOT(ISBLANK(K77:O77))))))"),"- Steve: 15.6? what's the difference to 2.5?")</f>
        <v>- Steve: 15.6? what's the difference to 2.5?</v>
      </c>
      <c r="Q77" s="52" t="s">
        <v>487</v>
      </c>
      <c r="R77" s="54" t="b">
        <v>1</v>
      </c>
    </row>
    <row r="78">
      <c r="A78" s="12" t="str">
        <f>IFERROR(__xludf.DUMMYFUNCTION("""COMPUTED_VALUE"""),"8bb7c4d98c49f23d4e67a2496d069bb6")</f>
        <v>8bb7c4d98c49f23d4e67a2496d069bb6</v>
      </c>
      <c r="B78" s="12" t="str">
        <f>IFERROR(__xludf.DUMMYFUNCTION("""COMPUTED_VALUE"""),"The demand for wildlife products — in particular ivory and rhino horn — has led to a resurgence of elephant and rhino poaching. In addition, there has also been a shift in the areas targeted by poachers and the weapons used, with snaring and poisoning of "&amp;"animals used in place of firearms, especially in areas that hitherto never experienced poaching. The methods, trade routes and concealment techniques used by poachers to traffic wildlife products and engage in the illegal wildlife trade have also evolved.")</f>
        <v>The demand for wildlife products — in particular ivory and rhino horn — has led to a resurgence of elephant and rhino poaching. In addition, there has also been a shift in the areas targeted by poachers and the weapons used, with snaring and poisoning of animals used in place of firearms, especially in areas that hitherto never experienced poaching. The methods, trade routes and concealment techniques used by poachers to traffic wildlife products and engage in the illegal wildlife trade have also evolved.</v>
      </c>
      <c r="C78" s="57"/>
      <c r="D78" s="51" t="b">
        <f t="shared" ref="D78:I78" si="154">VLOOKUP($A78, INDIRECT(D$1&amp;"!A:C"), 3, FALSE)</f>
        <v>1</v>
      </c>
      <c r="E78" s="51" t="str">
        <f t="shared" si="154"/>
        <v>TO DO</v>
      </c>
      <c r="F78" s="51" t="b">
        <f t="shared" si="154"/>
        <v>1</v>
      </c>
      <c r="G78" s="51" t="str">
        <f t="shared" si="154"/>
        <v>TO DO</v>
      </c>
      <c r="H78" s="51" t="b">
        <f t="shared" si="154"/>
        <v>1</v>
      </c>
      <c r="I78" s="51" t="b">
        <f t="shared" si="154"/>
        <v>1</v>
      </c>
      <c r="J78" s="52">
        <f t="shared" si="4"/>
        <v>1</v>
      </c>
      <c r="K78" s="53" t="str">
        <f t="shared" ref="K78:O78" si="155">VLOOKUP($A78, INDIRECT(K$1&amp;"!A:D"), 4, FALSE)</f>
        <v/>
      </c>
      <c r="L78" s="53" t="str">
        <f t="shared" si="155"/>
        <v/>
      </c>
      <c r="M78" s="53" t="str">
        <f t="shared" si="155"/>
        <v/>
      </c>
      <c r="N78" s="53" t="str">
        <f t="shared" si="155"/>
        <v/>
      </c>
      <c r="O78" s="53" t="str">
        <f t="shared" si="155"/>
        <v/>
      </c>
      <c r="P78" s="52" t="str">
        <f>IFERROR(__xludf.DUMMYFUNCTION("IF(COUNTA(K78:O78)=0, """", ARRAYFORMULA(""- ""&amp;TEXTJOIN(char(10)&amp;""- "", TRUE, FILTER(K$1:O$1&amp;"": ""&amp;K78:O78, NOT(ISBLANK(K78:O78))))))"),"")</f>
        <v/>
      </c>
      <c r="Q78" s="52" t="s">
        <v>444</v>
      </c>
      <c r="R78" s="54" t="b">
        <v>1</v>
      </c>
    </row>
    <row r="79">
      <c r="A79" s="12" t="str">
        <f>IFERROR(__xludf.DUMMYFUNCTION("""COMPUTED_VALUE"""),"6a006da311dd1f0f27028957a70e95db")</f>
        <v>6a006da311dd1f0f27028957a70e95db</v>
      </c>
      <c r="B79" s="12" t="str">
        <f>IFERROR(__xludf.DUMMYFUNCTION("""COMPUTED_VALUE"""),"However, there are no reported data for the relevant Tier 1 indicators, preventing an overall assessment on this goal. In this regard, given the prevailing high levels of violence against women (see Goal 5), Commonwealth Pacific small states will also fin"&amp;"d it challenging to achieve Target 16.1. In addition, human trafficking (Target 16.2) is an emerging issue, with cases reported in Fiji, PNG, Samoa, Tonga and Vanuatu (Lindley and Beacroft, 2011). On the other hand, percentile rankings have declined for t"&amp;"he majority of the nine states on the rule of law, government effectiveness and regulatory quality (Figure 2.8).")</f>
        <v>However, there are no reported data for the relevant Tier 1 indicators, preventing an overall assessment on this goal. In this regard, given the prevailing high levels of violence against women (see Goal 5), Commonwealth Pacific small states will also find it challenging to achieve Target 16.1. In addition, human trafficking (Target 16.2) is an emerging issue, with cases reported in Fiji, PNG, Samoa, Tonga and Vanuatu (Lindley and Beacroft, 2011). On the other hand, percentile rankings have declined for the majority of the nine states on the rule of law, government effectiveness and regulatory quality (Figure 2.8).</v>
      </c>
      <c r="C79" s="56"/>
      <c r="D79" s="51" t="b">
        <f t="shared" ref="D79:I79" si="156">VLOOKUP($A79, INDIRECT(D$1&amp;"!A:C"), 3, FALSE)</f>
        <v>0</v>
      </c>
      <c r="E79" s="51" t="str">
        <f t="shared" si="156"/>
        <v>TO DO</v>
      </c>
      <c r="F79" s="51" t="b">
        <f t="shared" si="156"/>
        <v>0</v>
      </c>
      <c r="G79" s="51" t="str">
        <f t="shared" si="156"/>
        <v>TO DO</v>
      </c>
      <c r="H79" s="51" t="b">
        <f t="shared" si="156"/>
        <v>0</v>
      </c>
      <c r="I79" s="51" t="b">
        <f t="shared" si="156"/>
        <v>0</v>
      </c>
      <c r="J79" s="52">
        <f t="shared" si="4"/>
        <v>1</v>
      </c>
      <c r="K79" s="53" t="str">
        <f t="shared" ref="K79:O79" si="157">VLOOKUP($A79, INDIRECT(K$1&amp;"!A:D"), 4, FALSE)</f>
        <v/>
      </c>
      <c r="L79" s="53" t="str">
        <f t="shared" si="157"/>
        <v/>
      </c>
      <c r="M79" s="53" t="str">
        <f t="shared" si="157"/>
        <v/>
      </c>
      <c r="N79" s="53" t="str">
        <f t="shared" si="157"/>
        <v/>
      </c>
      <c r="O79" s="53" t="str">
        <f t="shared" si="157"/>
        <v/>
      </c>
      <c r="P79" s="52" t="str">
        <f>IFERROR(__xludf.DUMMYFUNCTION("IF(COUNTA(K79:O79)=0, """", ARRAYFORMULA(""- ""&amp;TEXTJOIN(char(10)&amp;""- "", TRUE, FILTER(K$1:O$1&amp;"": ""&amp;K79:O79, NOT(ISBLANK(K79:O79))))))"),"")</f>
        <v/>
      </c>
      <c r="Q79" s="52" t="s">
        <v>444</v>
      </c>
      <c r="R79" s="54" t="b">
        <v>0</v>
      </c>
    </row>
    <row r="80">
      <c r="A80" s="12" t="str">
        <f>IFERROR(__xludf.DUMMYFUNCTION("""COMPUTED_VALUE"""),"58555719c749edf8d9646badbd8e191f")</f>
        <v>58555719c749edf8d9646badbd8e191f</v>
      </c>
      <c r="B80" s="12" t="str">
        <f>IFERROR(__xludf.DUMMYFUNCTION("""COMPUTED_VALUE"""),"They wall also be more collectively informed about the disparate data, and benefit from a forum where data analysis can be explored and shared. The platform could serve as a resource for research to inform public policy. The volume and granularity of traf"&amp;"ficking details could be used to update routine engagements, providing the latest information for meetings with policy partners. Dynamic tools used by the platform can provide this information for reporting, analysis and presentations to influence policy "&amp;"related to trends, hotspots and changes in illicit trade.")</f>
        <v>They wall also be more collectively informed about the disparate data, and benefit from a forum where data analysis can be explored and shared. The platform could serve as a resource for research to inform public policy. The volume and granularity of trafficking details could be used to update routine engagements, providing the latest information for meetings with policy partners. Dynamic tools used by the platform can provide this information for reporting, analysis and presentations to influence policy related to trends, hotspots and changes in illicit trade.</v>
      </c>
      <c r="C80" s="7" t="s">
        <v>445</v>
      </c>
      <c r="D80" s="51" t="b">
        <f t="shared" ref="D80:I80" si="158">VLOOKUP($A80, INDIRECT(D$1&amp;"!A:C"), 3, FALSE)</f>
        <v>1</v>
      </c>
      <c r="E80" s="51" t="str">
        <f t="shared" si="158"/>
        <v>TO DO</v>
      </c>
      <c r="F80" s="51" t="b">
        <f t="shared" si="158"/>
        <v>0</v>
      </c>
      <c r="G80" s="51" t="str">
        <f t="shared" si="158"/>
        <v>TO DO</v>
      </c>
      <c r="H80" s="51" t="b">
        <f t="shared" si="158"/>
        <v>0</v>
      </c>
      <c r="I80" s="51" t="b">
        <f t="shared" si="158"/>
        <v>0</v>
      </c>
      <c r="J80" s="52">
        <f t="shared" si="4"/>
        <v>0.5</v>
      </c>
      <c r="K80" s="53" t="str">
        <f t="shared" ref="K80:O80" si="159">VLOOKUP($A80, INDIRECT(K$1&amp;"!A:D"), 4, FALSE)</f>
        <v/>
      </c>
      <c r="L80" s="53" t="str">
        <f t="shared" si="159"/>
        <v/>
      </c>
      <c r="M80" s="53" t="str">
        <f t="shared" si="159"/>
        <v/>
      </c>
      <c r="N80" s="53" t="str">
        <f t="shared" si="159"/>
        <v/>
      </c>
      <c r="O80" s="53" t="str">
        <f t="shared" si="159"/>
        <v/>
      </c>
      <c r="P80" s="52" t="str">
        <f>IFERROR(__xludf.DUMMYFUNCTION("IF(COUNTA(K80:O80)=0, """", ARRAYFORMULA(""- ""&amp;TEXTJOIN(char(10)&amp;""- "", TRUE, FILTER(K$1:O$1&amp;"": ""&amp;K80:O80, NOT(ISBLANK(K80:O80))))))"),"")</f>
        <v/>
      </c>
      <c r="Q80" s="52" t="s">
        <v>444</v>
      </c>
      <c r="R80" s="54" t="s">
        <v>449</v>
      </c>
    </row>
    <row r="81">
      <c r="A81" s="12" t="str">
        <f>IFERROR(__xludf.DUMMYFUNCTION("""COMPUTED_VALUE"""),"e8917db1d4b272a73c15d6608eef8884")</f>
        <v>e8917db1d4b272a73c15d6608eef8884</v>
      </c>
      <c r="B81" s="12" t="str">
        <f>IFERROR(__xludf.DUMMYFUNCTION("""COMPUTED_VALUE"""),"With big data and technologies, the time for companies and governments underplaying deforestation, wildlife trade, poaching or illegal fishing is over. Artificial intelligence can now be used to help boost protection and resilience of natural systems inst"&amp;"ead. The Natural Capital Project uses remote-sensing-based natural capital assessment to guide jurisdictional development planning, mapping supply risk for corporate sourcing decision, and helping conservation organizations target investments in forest re"&amp;"storation.")</f>
        <v>With big data and technologies, the time for companies and governments underplaying deforestation, wildlife trade, poaching or illegal fishing is over. Artificial intelligence can now be used to help boost protection and resilience of natural systems instead. The Natural Capital Project uses remote-sensing-based natural capital assessment to guide jurisdictional development planning, mapping supply risk for corporate sourcing decision, and helping conservation organizations target investments in forest restoration.</v>
      </c>
      <c r="C81" s="7"/>
      <c r="D81" s="51" t="b">
        <f t="shared" ref="D81:I81" si="160">VLOOKUP($A81, INDIRECT(D$1&amp;"!A:C"), 3, FALSE)</f>
        <v>1</v>
      </c>
      <c r="E81" s="51" t="str">
        <f t="shared" si="160"/>
        <v>TO DO</v>
      </c>
      <c r="F81" s="51" t="b">
        <f t="shared" si="160"/>
        <v>1</v>
      </c>
      <c r="G81" s="51" t="str">
        <f t="shared" si="160"/>
        <v>TO DO</v>
      </c>
      <c r="H81" s="51" t="b">
        <f t="shared" si="160"/>
        <v>1</v>
      </c>
      <c r="I81" s="51" t="b">
        <f t="shared" si="160"/>
        <v>1</v>
      </c>
      <c r="J81" s="52">
        <f t="shared" si="4"/>
        <v>1</v>
      </c>
      <c r="K81" s="53" t="str">
        <f t="shared" ref="K81:O81" si="161">VLOOKUP($A81, INDIRECT(K$1&amp;"!A:D"), 4, FALSE)</f>
        <v/>
      </c>
      <c r="L81" s="53" t="str">
        <f t="shared" si="161"/>
        <v/>
      </c>
      <c r="M81" s="53" t="str">
        <f t="shared" si="161"/>
        <v/>
      </c>
      <c r="N81" s="53" t="str">
        <f t="shared" si="161"/>
        <v/>
      </c>
      <c r="O81" s="53" t="str">
        <f t="shared" si="161"/>
        <v/>
      </c>
      <c r="P81" s="52" t="str">
        <f>IFERROR(__xludf.DUMMYFUNCTION("IF(COUNTA(K81:O81)=0, """", ARRAYFORMULA(""- ""&amp;TEXTJOIN(char(10)&amp;""- "", TRUE, FILTER(K$1:O$1&amp;"": ""&amp;K81:O81, NOT(ISBLANK(K81:O81))))))"),"")</f>
        <v/>
      </c>
      <c r="Q81" s="52" t="s">
        <v>444</v>
      </c>
      <c r="R81" s="54" t="b">
        <v>1</v>
      </c>
    </row>
    <row r="82">
      <c r="A82" s="12" t="str">
        <f>IFERROR(__xludf.DUMMYFUNCTION("""COMPUTED_VALUE"""),"7d0138c6a5b3d10694be8971ecd97c89")</f>
        <v>7d0138c6a5b3d10694be8971ecd97c89</v>
      </c>
      <c r="B82" s="12" t="str">
        <f>IFERROR(__xludf.DUMMYFUNCTION("""COMPUTED_VALUE"""),"Related to ""Nature's benefits to people"" and ""quality of life"" there are also indirect drivers and policy options, and many others as well, such as outdoor recreation organisations, local development groups etc. Examples are the PISUNA project in Gree"&amp;"nland and the Snowchange Deatnu Oral History Project in Finland. This includes the implementation of the Strategic Plan for Biodiversity and its Aichi Biodiversity Targets, see Annex 8, and the Nordic region and countries' specific policy questions. It sh"&amp;"ould present Nordic aspects of priority regarding the thematic challenges identified by the IPBES, such as land degradation and restoration, invasive alien species, and sustainable use of biodiversity.")</f>
        <v>Related to "Nature's benefits to people" and "quality of life" there are also indirect drivers and policy options, and many others as well, such as outdoor recreation organisations, local development groups etc. Examples are the PISUNA project in Greenland and the Snowchange Deatnu Oral History Project in Finland. This includes the implementation of the Strategic Plan for Biodiversity and its Aichi Biodiversity Targets, see Annex 8, and the Nordic region and countries' specific policy questions. It should present Nordic aspects of priority regarding the thematic challenges identified by the IPBES, such as land degradation and restoration, invasive alien species, and sustainable use of biodiversity.</v>
      </c>
      <c r="C82" s="56"/>
      <c r="D82" s="51" t="b">
        <f t="shared" ref="D82:I82" si="162">VLOOKUP($A82, INDIRECT(D$1&amp;"!A:C"), 3, FALSE)</f>
        <v>1</v>
      </c>
      <c r="E82" s="51" t="str">
        <f t="shared" si="162"/>
        <v>TO DO</v>
      </c>
      <c r="F82" s="51" t="b">
        <f t="shared" si="162"/>
        <v>1</v>
      </c>
      <c r="G82" s="51" t="str">
        <f t="shared" si="162"/>
        <v>TO DO</v>
      </c>
      <c r="H82" s="51" t="b">
        <f t="shared" si="162"/>
        <v>1</v>
      </c>
      <c r="I82" s="51" t="b">
        <f t="shared" si="162"/>
        <v>1</v>
      </c>
      <c r="J82" s="52">
        <f t="shared" si="4"/>
        <v>1</v>
      </c>
      <c r="K82" s="53" t="str">
        <f t="shared" ref="K82:O82" si="163">VLOOKUP($A82, INDIRECT(K$1&amp;"!A:D"), 4, FALSE)</f>
        <v/>
      </c>
      <c r="L82" s="53" t="str">
        <f t="shared" si="163"/>
        <v/>
      </c>
      <c r="M82" s="53" t="str">
        <f t="shared" si="163"/>
        <v/>
      </c>
      <c r="N82" s="53" t="str">
        <f t="shared" si="163"/>
        <v/>
      </c>
      <c r="O82" s="53" t="str">
        <f t="shared" si="163"/>
        <v/>
      </c>
      <c r="P82" s="52" t="str">
        <f>IFERROR(__xludf.DUMMYFUNCTION("IF(COUNTA(K82:O82)=0, """", ARRAYFORMULA(""- ""&amp;TEXTJOIN(char(10)&amp;""- "", TRUE, FILTER(K$1:O$1&amp;"": ""&amp;K82:O82, NOT(ISBLANK(K82:O82))))))"),"")</f>
        <v/>
      </c>
      <c r="Q82" s="52" t="s">
        <v>444</v>
      </c>
      <c r="R82" s="54" t="b">
        <v>1</v>
      </c>
    </row>
    <row r="83">
      <c r="A83" s="12" t="str">
        <f>IFERROR(__xludf.DUMMYFUNCTION("""COMPUTED_VALUE"""),"e057e064f5d6280342cedc6d5ea30ae8")</f>
        <v>e057e064f5d6280342cedc6d5ea30ae8</v>
      </c>
      <c r="B83" s="12" t="str">
        <f>IFERROR(__xludf.DUMMYFUNCTION("""COMPUTED_VALUE"""),"It has four main strategic thrusts: knowledge management, valuation of biodiversity, conservation, and diversification of use. Some of the more specific and tangible biodiversity and forestry goals and targets include: expanding protected areas to 16% by "&amp;"2020 from 12.9% today, significantly reducing (also by 2020) the national forest degradation rate and maintaining forest biodiversity under the REDD+ programme on greenhouse gas emissions from deforestation and degradation, and, by 2020, having efficient "&amp;"prevention, detection and early response systems and instruments in place so as to prevent, mitigate, control and eradicate invasive species. A major effort currently under way is to decentralise implementation through the development of state biodiversit"&amp;"y strategies.")</f>
        <v>It has four main strategic thrusts: knowledge management, valuation of biodiversity, conservation, and diversification of use. Some of the more specific and tangible biodiversity and forestry goals and targets include: expanding protected areas to 16% by 2020 from 12.9% today, significantly reducing (also by 2020) the national forest degradation rate and maintaining forest biodiversity under the REDD+ programme on greenhouse gas emissions from deforestation and degradation, and, by 2020, having efficient prevention, detection and early response systems and instruments in place so as to prevent, mitigate, control and eradicate invasive species. A major effort currently under way is to decentralise implementation through the development of state biodiversity strategies.</v>
      </c>
      <c r="C83" s="56"/>
      <c r="D83" s="51" t="b">
        <f t="shared" ref="D83:I83" si="164">VLOOKUP($A83, INDIRECT(D$1&amp;"!A:C"), 3, FALSE)</f>
        <v>1</v>
      </c>
      <c r="E83" s="51" t="str">
        <f t="shared" si="164"/>
        <v>TO DO</v>
      </c>
      <c r="F83" s="51" t="b">
        <f t="shared" si="164"/>
        <v>1</v>
      </c>
      <c r="G83" s="51" t="str">
        <f t="shared" si="164"/>
        <v>TO DO</v>
      </c>
      <c r="H83" s="51" t="b">
        <f t="shared" si="164"/>
        <v>1</v>
      </c>
      <c r="I83" s="51" t="b">
        <f t="shared" si="164"/>
        <v>1</v>
      </c>
      <c r="J83" s="52">
        <f t="shared" si="4"/>
        <v>1</v>
      </c>
      <c r="K83" s="53" t="str">
        <f t="shared" ref="K83:O83" si="165">VLOOKUP($A83, INDIRECT(K$1&amp;"!A:D"), 4, FALSE)</f>
        <v/>
      </c>
      <c r="L83" s="53" t="str">
        <f t="shared" si="165"/>
        <v/>
      </c>
      <c r="M83" s="53" t="str">
        <f t="shared" si="165"/>
        <v/>
      </c>
      <c r="N83" s="53" t="str">
        <f t="shared" si="165"/>
        <v/>
      </c>
      <c r="O83" s="53" t="str">
        <f t="shared" si="165"/>
        <v/>
      </c>
      <c r="P83" s="52" t="str">
        <f>IFERROR(__xludf.DUMMYFUNCTION("IF(COUNTA(K83:O83)=0, """", ARRAYFORMULA(""- ""&amp;TEXTJOIN(char(10)&amp;""- "", TRUE, FILTER(K$1:O$1&amp;"": ""&amp;K83:O83, NOT(ISBLANK(K83:O83))))))"),"")</f>
        <v/>
      </c>
      <c r="Q83" s="52" t="s">
        <v>444</v>
      </c>
      <c r="R83" s="54" t="b">
        <v>1</v>
      </c>
    </row>
    <row r="84" hidden="1">
      <c r="A84" s="12" t="str">
        <f>IFERROR(__xludf.DUMMYFUNCTION("""COMPUTED_VALUE"""),"280f82164057b73ab5d48a16724b85d6")</f>
        <v>280f82164057b73ab5d48a16724b85d6</v>
      </c>
      <c r="B84" s="12" t="str">
        <f>IFERROR(__xludf.DUMMYFUNCTION("""COMPUTED_VALUE"""),"If policies are collectively implemented and sanctions broadly enforced, for example in the level of sentencing imposed on illicit trade, their impact can be broadcast across different countries in a region. These can be applied in areas where the nexus o"&amp;"f illicit trade funds extremist groups. Groups like Boko Haram heavily leverage the illicit trade apparatus in Africa to finance their operations. The human trafficking and kidnapping for ransom in Nigeria, for instance, is associated with the illegal fis"&amp;"hing trade down the Kamadougou River in the northeastern area of Nigeria via Boko Haram.")</f>
        <v>If policies are collectively implemented and sanctions broadly enforced, for example in the level of sentencing imposed on illicit trade, their impact can be broadcast across different countries in a region. These can be applied in areas where the nexus of illicit trade funds extremist groups. Groups like Boko Haram heavily leverage the illicit trade apparatus in Africa to finance their operations. The human trafficking and kidnapping for ransom in Nigeria, for instance, is associated with the illegal fishing trade down the Kamadougou River in the northeastern area of Nigeria via Boko Haram.</v>
      </c>
      <c r="C84" s="57" t="s">
        <v>454</v>
      </c>
      <c r="D84" s="51" t="b">
        <f t="shared" ref="D84:I84" si="166">VLOOKUP($A84, INDIRECT(D$1&amp;"!A:C"), 3, FALSE)</f>
        <v>1</v>
      </c>
      <c r="E84" s="51" t="str">
        <f t="shared" si="166"/>
        <v>TO DO</v>
      </c>
      <c r="F84" s="51" t="b">
        <f t="shared" si="166"/>
        <v>0</v>
      </c>
      <c r="G84" s="51" t="str">
        <f t="shared" si="166"/>
        <v>TO DO</v>
      </c>
      <c r="H84" s="51" t="b">
        <f t="shared" si="166"/>
        <v>1</v>
      </c>
      <c r="I84" s="51" t="b">
        <f t="shared" si="166"/>
        <v>0</v>
      </c>
      <c r="J84" s="52">
        <f t="shared" si="4"/>
        <v>0</v>
      </c>
      <c r="K84" s="53" t="str">
        <f t="shared" ref="K84:O84" si="167">VLOOKUP($A84, INDIRECT(K$1&amp;"!A:D"), 4, FALSE)</f>
        <v/>
      </c>
      <c r="L84" s="53" t="str">
        <f t="shared" si="167"/>
        <v/>
      </c>
      <c r="M84" s="53" t="str">
        <f t="shared" si="167"/>
        <v/>
      </c>
      <c r="N84" s="53" t="str">
        <f t="shared" si="167"/>
        <v/>
      </c>
      <c r="O84" s="53" t="str">
        <f t="shared" si="167"/>
        <v/>
      </c>
      <c r="P84" s="52" t="str">
        <f>IFERROR(__xludf.DUMMYFUNCTION("IF(COUNTA(K84:O84)=0, """", ARRAYFORMULA(""- ""&amp;TEXTJOIN(char(10)&amp;""- "", TRUE, FILTER(K$1:O$1&amp;"": ""&amp;K84:O84, NOT(ISBLANK(K84:O84))))))"),"")</f>
        <v/>
      </c>
      <c r="Q84" s="52" t="s">
        <v>444</v>
      </c>
      <c r="R84" s="54" t="s">
        <v>449</v>
      </c>
    </row>
    <row r="85">
      <c r="A85" s="12" t="str">
        <f>IFERROR(__xludf.DUMMYFUNCTION("""COMPUTED_VALUE"""),"d7caad17ba0835bb9266c4b3fab3932b")</f>
        <v>d7caad17ba0835bb9266c4b3fab3932b</v>
      </c>
      <c r="B85" s="12" t="str">
        <f>IFERROR(__xludf.DUMMYFUNCTION("""COMPUTED_VALUE"""),"Although the use of secondary species has increased in recent years, the adoption of strategic diversification measures is not yet generating the expected results. This situation hampers the economic growth of the chain, of Peten and of the Guatemalan for"&amp;"estry sector in general. Current forest-governance mechanisms do not yet guarantee the eradication of illegal activities or their reduction to minimal levels.")</f>
        <v>Although the use of secondary species has increased in recent years, the adoption of strategic diversification measures is not yet generating the expected results. This situation hampers the economic growth of the chain, of Peten and of the Guatemalan forestry sector in general. Current forest-governance mechanisms do not yet guarantee the eradication of illegal activities or their reduction to minimal levels.</v>
      </c>
      <c r="C85" s="57"/>
      <c r="D85" s="51" t="b">
        <f t="shared" ref="D85:I85" si="168">VLOOKUP($A85, INDIRECT(D$1&amp;"!A:C"), 3, FALSE)</f>
        <v>1</v>
      </c>
      <c r="E85" s="51" t="str">
        <f t="shared" si="168"/>
        <v>TO DO</v>
      </c>
      <c r="F85" s="51" t="b">
        <f t="shared" si="168"/>
        <v>1</v>
      </c>
      <c r="G85" s="51" t="str">
        <f t="shared" si="168"/>
        <v>TO DO</v>
      </c>
      <c r="H85" s="51" t="b">
        <f t="shared" si="168"/>
        <v>1</v>
      </c>
      <c r="I85" s="51" t="b">
        <f t="shared" si="168"/>
        <v>1</v>
      </c>
      <c r="J85" s="52">
        <f t="shared" si="4"/>
        <v>1</v>
      </c>
      <c r="K85" s="53" t="str">
        <f t="shared" ref="K85:O85" si="169">VLOOKUP($A85, INDIRECT(K$1&amp;"!A:D"), 4, FALSE)</f>
        <v/>
      </c>
      <c r="L85" s="53" t="str">
        <f t="shared" si="169"/>
        <v/>
      </c>
      <c r="M85" s="53" t="str">
        <f t="shared" si="169"/>
        <v/>
      </c>
      <c r="N85" s="53" t="str">
        <f t="shared" si="169"/>
        <v/>
      </c>
      <c r="O85" s="53" t="str">
        <f t="shared" si="169"/>
        <v/>
      </c>
      <c r="P85" s="52" t="str">
        <f>IFERROR(__xludf.DUMMYFUNCTION("IF(COUNTA(K85:O85)=0, """", ARRAYFORMULA(""- ""&amp;TEXTJOIN(char(10)&amp;""- "", TRUE, FILTER(K$1:O$1&amp;"": ""&amp;K85:O85, NOT(ISBLANK(K85:O85))))))"),"")</f>
        <v/>
      </c>
      <c r="Q85" s="52" t="s">
        <v>444</v>
      </c>
      <c r="R85" s="54" t="b">
        <v>1</v>
      </c>
    </row>
    <row r="86">
      <c r="A86" s="12" t="str">
        <f>IFERROR(__xludf.DUMMYFUNCTION("""COMPUTED_VALUE"""),"3f437e093356d4ac0f2746d9545d3027")</f>
        <v>3f437e093356d4ac0f2746d9545d3027</v>
      </c>
      <c r="B86" s="12" t="str">
        <f>IFERROR(__xludf.DUMMYFUNCTION("""COMPUTED_VALUE"""),"Detailed information is available in the methodology sheets contained in the accompanying CD-Rom as well as on the internet at http:/huww.un.org/esalsnstdevlnatlinfol indicators/isd. National estimates are based on population-weighted subgroup estimates d"&amp;"erived from household surveys. It provides information on progress towards poverty alleviation, a central objective and requirement of sustainable development.")</f>
        <v>Detailed information is available in the methodology sheets contained in the accompanying CD-Rom as well as on the internet at http:/huww.un.org/esalsnstdevlnatlinfol indicators/isd. National estimates are based on population-weighted subgroup estimates derived from household surveys. It provides information on progress towards poverty alleviation, a central objective and requirement of sustainable development.</v>
      </c>
      <c r="C86" s="7"/>
      <c r="D86" s="51" t="b">
        <f t="shared" ref="D86:I86" si="170">VLOOKUP($A86, INDIRECT(D$1&amp;"!A:C"), 3, FALSE)</f>
        <v>0</v>
      </c>
      <c r="E86" s="51" t="str">
        <f t="shared" si="170"/>
        <v>TO DO</v>
      </c>
      <c r="F86" s="51" t="b">
        <f t="shared" si="170"/>
        <v>0</v>
      </c>
      <c r="G86" s="51" t="str">
        <f t="shared" si="170"/>
        <v>TO DO</v>
      </c>
      <c r="H86" s="51" t="b">
        <f t="shared" si="170"/>
        <v>0</v>
      </c>
      <c r="I86" s="51" t="b">
        <f t="shared" si="170"/>
        <v>0</v>
      </c>
      <c r="J86" s="52">
        <f t="shared" si="4"/>
        <v>1</v>
      </c>
      <c r="K86" s="53" t="str">
        <f t="shared" ref="K86:O86" si="171">VLOOKUP($A86, INDIRECT(K$1&amp;"!A:D"), 4, FALSE)</f>
        <v/>
      </c>
      <c r="L86" s="53" t="str">
        <f t="shared" si="171"/>
        <v/>
      </c>
      <c r="M86" s="53" t="str">
        <f t="shared" si="171"/>
        <v/>
      </c>
      <c r="N86" s="53" t="str">
        <f t="shared" si="171"/>
        <v/>
      </c>
      <c r="O86" s="53" t="str">
        <f t="shared" si="171"/>
        <v>CD-ROM :D :D :D</v>
      </c>
      <c r="P86" s="52" t="str">
        <f>IFERROR(__xludf.DUMMYFUNCTION("IF(COUNTA(K86:O86)=0, """", ARRAYFORMULA(""- ""&amp;TEXTJOIN(char(10)&amp;""- "", TRUE, FILTER(K$1:O$1&amp;"": ""&amp;K86:O86, NOT(ISBLANK(K86:O86))))))"),"- Steve: CD-ROM :D :D :D")</f>
        <v>- Steve: CD-ROM :D :D :D</v>
      </c>
      <c r="Q86" s="52" t="s">
        <v>488</v>
      </c>
      <c r="R86" s="54" t="b">
        <v>0</v>
      </c>
    </row>
    <row r="87">
      <c r="A87" s="12" t="str">
        <f>IFERROR(__xludf.DUMMYFUNCTION("""COMPUTED_VALUE"""),"4d55e974f80ce0f5fc893332fe777ff5")</f>
        <v>4d55e974f80ce0f5fc893332fe777ff5</v>
      </c>
      <c r="B87" s="12" t="str">
        <f>IFERROR(__xludf.DUMMYFUNCTION("""COMPUTED_VALUE"""),"Roe (2010) examined the degree to which biodiversity-poverty links have been recognised in NDPs (predominantly PRSPs but including other development plans listed by the World Bank as the equivalent of PRSPs) and found that just over 25% show a relatively "&amp;"high level of recognition of the importance of biodiversity, just under 25% have a low level of recognition and 50% fall in between). Just under half of the PRSPs reviewed have a relatively narrow interpretation of biodiversity - the focus being on wildli"&amp;"fe, forests or protected areas - but some interpret biodiversity in a broader sense, noting the importance of genetic resources (e.g. Dominica) and agricultural biodiversity (e.g. Bangladesh, Nepal, Viet Nam) and others recognise the link between biodiver"&amp;"sity and ecosystem services (e.g. Cambodia, Lao, Liberia, Uganda, Zambia). Following liberalisation, Myanmar has faced the need to revisit its policy directions and formulate new short-term and long-term strategies (OECD, 2015a).")</f>
        <v>Roe (2010) examined the degree to which biodiversity-poverty links have been recognised in NDPs (predominantly PRSPs but including other development plans listed by the World Bank as the equivalent of PRSPs) and found that just over 25% show a relatively high level of recognition of the importance of biodiversity, just under 25% have a low level of recognition and 50% fall in between). Just under half of the PRSPs reviewed have a relatively narrow interpretation of biodiversity - the focus being on wildlife, forests or protected areas - but some interpret biodiversity in a broader sense, noting the importance of genetic resources (e.g. Dominica) and agricultural biodiversity (e.g. Bangladesh, Nepal, Viet Nam) and others recognise the link between biodiversity and ecosystem services (e.g. Cambodia, Lao, Liberia, Uganda, Zambia). Following liberalisation, Myanmar has faced the need to revisit its policy directions and formulate new short-term and long-term strategies (OECD, 2015a).</v>
      </c>
      <c r="C87" s="7"/>
      <c r="D87" s="51" t="b">
        <f t="shared" ref="D87:I87" si="172">VLOOKUP($A87, INDIRECT(D$1&amp;"!A:C"), 3, FALSE)</f>
        <v>1</v>
      </c>
      <c r="E87" s="51" t="str">
        <f t="shared" si="172"/>
        <v>TO DO</v>
      </c>
      <c r="F87" s="51" t="b">
        <f t="shared" si="172"/>
        <v>1</v>
      </c>
      <c r="G87" s="51" t="str">
        <f t="shared" si="172"/>
        <v>TO DO</v>
      </c>
      <c r="H87" s="51" t="b">
        <f t="shared" si="172"/>
        <v>1</v>
      </c>
      <c r="I87" s="51" t="b">
        <f t="shared" si="172"/>
        <v>1</v>
      </c>
      <c r="J87" s="52">
        <f t="shared" si="4"/>
        <v>1</v>
      </c>
      <c r="K87" s="53" t="str">
        <f t="shared" ref="K87:O87" si="173">VLOOKUP($A87, INDIRECT(K$1&amp;"!A:D"), 4, FALSE)</f>
        <v/>
      </c>
      <c r="L87" s="53" t="str">
        <f t="shared" si="173"/>
        <v/>
      </c>
      <c r="M87" s="53" t="str">
        <f t="shared" si="173"/>
        <v/>
      </c>
      <c r="N87" s="53" t="str">
        <f t="shared" si="173"/>
        <v/>
      </c>
      <c r="O87" s="53" t="str">
        <f t="shared" si="173"/>
        <v/>
      </c>
      <c r="P87" s="52" t="str">
        <f>IFERROR(__xludf.DUMMYFUNCTION("IF(COUNTA(K87:O87)=0, """", ARRAYFORMULA(""- ""&amp;TEXTJOIN(char(10)&amp;""- "", TRUE, FILTER(K$1:O$1&amp;"": ""&amp;K87:O87, NOT(ISBLANK(K87:O87))))))"),"")</f>
        <v/>
      </c>
      <c r="Q87" s="52" t="s">
        <v>444</v>
      </c>
      <c r="R87" s="54" t="b">
        <v>1</v>
      </c>
    </row>
    <row r="88">
      <c r="A88" s="12" t="str">
        <f>IFERROR(__xludf.DUMMYFUNCTION("""COMPUTED_VALUE"""),"3eb02006704d8fd736c115cecb0a1ea1")</f>
        <v>3eb02006704d8fd736c115cecb0a1ea1</v>
      </c>
      <c r="B88" s="12" t="str">
        <f>IFERROR(__xludf.DUMMYFUNCTION("""COMPUTED_VALUE"""),"It is to be achieved primarily through the national land use planning framework, and secondarily by means of interventions in key sectors such as agriculture, forestry and fishing. Sectoral interventions include pro-active measures promoting biodiversity "&amp;"conservation (e.g. sustainable agriculture, ecotourism), as well as corrective measures that eliminate perverse incentives that are detrimental to biodiversity (e.g. removal of certain agricultural support programmes). Mainstreaming biodiversity into othe"&amp;"r policy sectors also requires looking into synergies and possible trade-offs (e.g. between biodiversity and food production, or biodiversity and climate change policies), as well as integrating biodiversity policy with equity objectives. How it may be us"&amp;"ed is determined by the national land use planning policy.")</f>
        <v>It is to be achieved primarily through the national land use planning framework, and secondarily by means of interventions in key sectors such as agriculture, forestry and fishing. Sectoral interventions include pro-active measures promoting biodiversity conservation (e.g. sustainable agriculture, ecotourism), as well as corrective measures that eliminate perverse incentives that are detrimental to biodiversity (e.g. removal of certain agricultural support programmes). Mainstreaming biodiversity into other policy sectors also requires looking into synergies and possible trade-offs (e.g. between biodiversity and food production, or biodiversity and climate change policies), as well as integrating biodiversity policy with equity objectives. How it may be used is determined by the national land use planning policy.</v>
      </c>
      <c r="C88" s="56"/>
      <c r="D88" s="51" t="b">
        <f t="shared" ref="D88:I88" si="174">VLOOKUP($A88, INDIRECT(D$1&amp;"!A:C"), 3, FALSE)</f>
        <v>1</v>
      </c>
      <c r="E88" s="51" t="str">
        <f t="shared" si="174"/>
        <v>TO DO</v>
      </c>
      <c r="F88" s="51" t="b">
        <f t="shared" si="174"/>
        <v>1</v>
      </c>
      <c r="G88" s="51" t="str">
        <f t="shared" si="174"/>
        <v>TO DO</v>
      </c>
      <c r="H88" s="51" t="b">
        <f t="shared" si="174"/>
        <v>1</v>
      </c>
      <c r="I88" s="51" t="b">
        <f t="shared" si="174"/>
        <v>1</v>
      </c>
      <c r="J88" s="52">
        <f t="shared" si="4"/>
        <v>1</v>
      </c>
      <c r="K88" s="53" t="str">
        <f t="shared" ref="K88:O88" si="175">VLOOKUP($A88, INDIRECT(K$1&amp;"!A:D"), 4, FALSE)</f>
        <v/>
      </c>
      <c r="L88" s="53" t="str">
        <f t="shared" si="175"/>
        <v/>
      </c>
      <c r="M88" s="53" t="str">
        <f t="shared" si="175"/>
        <v/>
      </c>
      <c r="N88" s="53" t="str">
        <f t="shared" si="175"/>
        <v/>
      </c>
      <c r="O88" s="53" t="str">
        <f t="shared" si="175"/>
        <v/>
      </c>
      <c r="P88" s="52" t="str">
        <f>IFERROR(__xludf.DUMMYFUNCTION("IF(COUNTA(K88:O88)=0, """", ARRAYFORMULA(""- ""&amp;TEXTJOIN(char(10)&amp;""- "", TRUE, FILTER(K$1:O$1&amp;"": ""&amp;K88:O88, NOT(ISBLANK(K88:O88))))))"),"")</f>
        <v/>
      </c>
      <c r="Q88" s="52" t="s">
        <v>444</v>
      </c>
      <c r="R88" s="54" t="b">
        <v>1</v>
      </c>
    </row>
    <row r="89">
      <c r="A89" s="12" t="str">
        <f>IFERROR(__xludf.DUMMYFUNCTION("""COMPUTED_VALUE"""),"813bab2a1619c17c29334183a3666c61")</f>
        <v>813bab2a1619c17c29334183a3666c61</v>
      </c>
      <c r="B89" s="12" t="str">
        <f>IFERROR(__xludf.DUMMYFUNCTION("""COMPUTED_VALUE"""),"Prioritise responses to address these pressures, and consider the types of policy measures likely to be most effective in terms of environmental impact as well as cost. A few other indicators may also merit further consideration. Selecting a core set of i"&amp;"ndicators (Step 6) is an important element of this, and aims should be made for these to be as consistent as possible across countries, so as to enable aggregation of data at regional and global levels.")</f>
        <v>Prioritise responses to address these pressures, and consider the types of policy measures likely to be most effective in terms of environmental impact as well as cost. A few other indicators may also merit further consideration. Selecting a core set of indicators (Step 6) is an important element of this, and aims should be made for these to be as consistent as possible across countries, so as to enable aggregation of data at regional and global levels.</v>
      </c>
      <c r="C89" s="7" t="s">
        <v>445</v>
      </c>
      <c r="D89" s="51" t="b">
        <f t="shared" ref="D89:I89" si="176">VLOOKUP($A89, INDIRECT(D$1&amp;"!A:C"), 3, FALSE)</f>
        <v>1</v>
      </c>
      <c r="E89" s="51" t="str">
        <f t="shared" si="176"/>
        <v>TO DO</v>
      </c>
      <c r="F89" s="51" t="b">
        <f t="shared" si="176"/>
        <v>0</v>
      </c>
      <c r="G89" s="51" t="str">
        <f t="shared" si="176"/>
        <v>TO DO</v>
      </c>
      <c r="H89" s="51" t="b">
        <f t="shared" si="176"/>
        <v>0</v>
      </c>
      <c r="I89" s="51" t="b">
        <f t="shared" si="176"/>
        <v>0</v>
      </c>
      <c r="J89" s="52">
        <f t="shared" si="4"/>
        <v>0.5</v>
      </c>
      <c r="K89" s="53" t="str">
        <f t="shared" ref="K89:O89" si="177">VLOOKUP($A89, INDIRECT(K$1&amp;"!A:D"), 4, FALSE)</f>
        <v/>
      </c>
      <c r="L89" s="53" t="str">
        <f t="shared" si="177"/>
        <v/>
      </c>
      <c r="M89" s="53" t="str">
        <f t="shared" si="177"/>
        <v/>
      </c>
      <c r="N89" s="53" t="str">
        <f t="shared" si="177"/>
        <v/>
      </c>
      <c r="O89" s="53" t="str">
        <f t="shared" si="177"/>
        <v/>
      </c>
      <c r="P89" s="52" t="str">
        <f>IFERROR(__xludf.DUMMYFUNCTION("IF(COUNTA(K89:O89)=0, """", ARRAYFORMULA(""- ""&amp;TEXTJOIN(char(10)&amp;""- "", TRUE, FILTER(K$1:O$1&amp;"": ""&amp;K89:O89, NOT(ISBLANK(K89:O89))))))"),"")</f>
        <v/>
      </c>
      <c r="Q89" s="52" t="s">
        <v>444</v>
      </c>
      <c r="R89" s="54" t="s">
        <v>449</v>
      </c>
    </row>
    <row r="90">
      <c r="A90" s="12" t="str">
        <f>IFERROR(__xludf.DUMMYFUNCTION("""COMPUTED_VALUE"""),"36df24c01741ea3abcb004852c6a0fcf")</f>
        <v>36df24c01741ea3abcb004852c6a0fcf</v>
      </c>
      <c r="B90" s="12" t="str">
        <f>IFERROR(__xludf.DUMMYFUNCTION("""COMPUTED_VALUE"""),"Meeting the restoration targets is likely to require significant financial resources and innovative finance mechanisms, such as green bonds for restoration investment. The CAR will allow to identify high-biodiversity-value areas and to prioritise restorat"&amp;"ion actions. Most such instruments aim to reward biodiversity-friendly actions, such as good agricultural practices or sustainable forest use.")</f>
        <v>Meeting the restoration targets is likely to require significant financial resources and innovative finance mechanisms, such as green bonds for restoration investment. The CAR will allow to identify high-biodiversity-value areas and to prioritise restoration actions. Most such instruments aim to reward biodiversity-friendly actions, such as good agricultural practices or sustainable forest use.</v>
      </c>
      <c r="C90" s="57"/>
      <c r="D90" s="51" t="b">
        <f t="shared" ref="D90:I90" si="178">VLOOKUP($A90, INDIRECT(D$1&amp;"!A:C"), 3, FALSE)</f>
        <v>1</v>
      </c>
      <c r="E90" s="51" t="str">
        <f t="shared" si="178"/>
        <v>TO DO</v>
      </c>
      <c r="F90" s="51" t="b">
        <f t="shared" si="178"/>
        <v>1</v>
      </c>
      <c r="G90" s="51" t="str">
        <f t="shared" si="178"/>
        <v>TO DO</v>
      </c>
      <c r="H90" s="51" t="b">
        <f t="shared" si="178"/>
        <v>1</v>
      </c>
      <c r="I90" s="51" t="b">
        <f t="shared" si="178"/>
        <v>1</v>
      </c>
      <c r="J90" s="52">
        <f t="shared" si="4"/>
        <v>1</v>
      </c>
      <c r="K90" s="53" t="str">
        <f t="shared" ref="K90:O90" si="179">VLOOKUP($A90, INDIRECT(K$1&amp;"!A:D"), 4, FALSE)</f>
        <v/>
      </c>
      <c r="L90" s="53" t="str">
        <f t="shared" si="179"/>
        <v/>
      </c>
      <c r="M90" s="53" t="str">
        <f t="shared" si="179"/>
        <v/>
      </c>
      <c r="N90" s="53" t="str">
        <f t="shared" si="179"/>
        <v/>
      </c>
      <c r="O90" s="53" t="str">
        <f t="shared" si="179"/>
        <v/>
      </c>
      <c r="P90" s="52" t="str">
        <f>IFERROR(__xludf.DUMMYFUNCTION("IF(COUNTA(K90:O90)=0, """", ARRAYFORMULA(""- ""&amp;TEXTJOIN(char(10)&amp;""- "", TRUE, FILTER(K$1:O$1&amp;"": ""&amp;K90:O90, NOT(ISBLANK(K90:O90))))))"),"")</f>
        <v/>
      </c>
      <c r="Q90" s="52" t="s">
        <v>444</v>
      </c>
      <c r="R90" s="54" t="b">
        <v>1</v>
      </c>
    </row>
    <row r="91">
      <c r="A91" s="12" t="str">
        <f>IFERROR(__xludf.DUMMYFUNCTION("""COMPUTED_VALUE"""),"e6a911d72e1afb5b0890da2a441e76ca")</f>
        <v>e6a911d72e1afb5b0890da2a441e76ca</v>
      </c>
      <c r="B91" s="12" t="str">
        <f>IFERROR(__xludf.DUMMYFUNCTION("""COMPUTED_VALUE"""),"Debt constitutes a burden for future generations as it reduces the amount available for their consumption and investments. High and increasing debt ratios can be seen as an indication of unsustainable public finances. With regard to external debt, this is"&amp;" one of the indicators that measures the burden of servicing the external debt of a country in relation to its total income (GNI).")</f>
        <v>Debt constitutes a burden for future generations as it reduces the amount available for their consumption and investments. High and increasing debt ratios can be seen as an indication of unsustainable public finances. With regard to external debt, this is one of the indicators that measures the burden of servicing the external debt of a country in relation to its total income (GNI).</v>
      </c>
      <c r="C91" s="57"/>
      <c r="D91" s="51" t="b">
        <f t="shared" ref="D91:I91" si="180">VLOOKUP($A91, INDIRECT(D$1&amp;"!A:C"), 3, FALSE)</f>
        <v>0</v>
      </c>
      <c r="E91" s="51" t="str">
        <f t="shared" si="180"/>
        <v>TO DO</v>
      </c>
      <c r="F91" s="51" t="b">
        <f t="shared" si="180"/>
        <v>0</v>
      </c>
      <c r="G91" s="51" t="str">
        <f t="shared" si="180"/>
        <v>TO DO</v>
      </c>
      <c r="H91" s="51" t="b">
        <f t="shared" si="180"/>
        <v>0</v>
      </c>
      <c r="I91" s="51" t="b">
        <f t="shared" si="180"/>
        <v>0</v>
      </c>
      <c r="J91" s="52">
        <f t="shared" si="4"/>
        <v>1</v>
      </c>
      <c r="K91" s="53" t="str">
        <f t="shared" ref="K91:O91" si="181">VLOOKUP($A91, INDIRECT(K$1&amp;"!A:D"), 4, FALSE)</f>
        <v/>
      </c>
      <c r="L91" s="53" t="str">
        <f t="shared" si="181"/>
        <v/>
      </c>
      <c r="M91" s="53" t="str">
        <f t="shared" si="181"/>
        <v/>
      </c>
      <c r="N91" s="53" t="str">
        <f t="shared" si="181"/>
        <v/>
      </c>
      <c r="O91" s="53" t="str">
        <f t="shared" si="181"/>
        <v/>
      </c>
      <c r="P91" s="52" t="str">
        <f>IFERROR(__xludf.DUMMYFUNCTION("IF(COUNTA(K91:O91)=0, """", ARRAYFORMULA(""- ""&amp;TEXTJOIN(char(10)&amp;""- "", TRUE, FILTER(K$1:O$1&amp;"": ""&amp;K91:O91, NOT(ISBLANK(K91:O91))))))"),"")</f>
        <v/>
      </c>
      <c r="Q91" s="52" t="s">
        <v>444</v>
      </c>
      <c r="R91" s="54" t="b">
        <v>0</v>
      </c>
    </row>
    <row r="92">
      <c r="A92" s="12" t="str">
        <f>IFERROR(__xludf.DUMMYFUNCTION("""COMPUTED_VALUE"""),"08ef73ee85d78d8eb3f16713a2058935")</f>
        <v>08ef73ee85d78d8eb3f16713a2058935</v>
      </c>
      <c r="B92" s="12" t="str">
        <f>IFERROR(__xludf.DUMMYFUNCTION("""COMPUTED_VALUE"""),"In spite of the country’s rich biodiversity, international obligations and growing anthropogenic pressures, nature conservation efforts remain insufficient. In Bosnia and Herzegovina, these floods killed more than 20 people and displaced a further 90,000 "&amp;"and resulted in billions of dollars worth of damage across the region. The floods are estimated to have cost the country some 15 per cent of overall GDP in lost output and damages.")</f>
        <v>In spite of the country’s rich biodiversity, international obligations and growing anthropogenic pressures, nature conservation efforts remain insufficient. In Bosnia and Herzegovina, these floods killed more than 20 people and displaced a further 90,000 and resulted in billions of dollars worth of damage across the region. The floods are estimated to have cost the country some 15 per cent of overall GDP in lost output and damages.</v>
      </c>
      <c r="C92" s="51"/>
      <c r="D92" s="51" t="b">
        <f t="shared" ref="D92:I92" si="182">VLOOKUP($A92, INDIRECT(D$1&amp;"!A:C"), 3, FALSE)</f>
        <v>1</v>
      </c>
      <c r="E92" s="51" t="str">
        <f t="shared" si="182"/>
        <v>TO DO</v>
      </c>
      <c r="F92" s="51" t="b">
        <f t="shared" si="182"/>
        <v>1</v>
      </c>
      <c r="G92" s="51" t="str">
        <f t="shared" si="182"/>
        <v>TO DO</v>
      </c>
      <c r="H92" s="51" t="b">
        <f t="shared" si="182"/>
        <v>1</v>
      </c>
      <c r="I92" s="51" t="b">
        <f t="shared" si="182"/>
        <v>1</v>
      </c>
      <c r="J92" s="52">
        <f t="shared" si="4"/>
        <v>1</v>
      </c>
      <c r="K92" s="53" t="str">
        <f t="shared" ref="K92:O92" si="183">VLOOKUP($A92, INDIRECT(K$1&amp;"!A:D"), 4, FALSE)</f>
        <v/>
      </c>
      <c r="L92" s="53" t="str">
        <f t="shared" si="183"/>
        <v/>
      </c>
      <c r="M92" s="53" t="str">
        <f t="shared" si="183"/>
        <v/>
      </c>
      <c r="N92" s="53" t="str">
        <f t="shared" si="183"/>
        <v/>
      </c>
      <c r="O92" s="53" t="str">
        <f t="shared" si="183"/>
        <v/>
      </c>
      <c r="P92" s="52" t="str">
        <f>IFERROR(__xludf.DUMMYFUNCTION("IF(COUNTA(K92:O92)=0, """", ARRAYFORMULA(""- ""&amp;TEXTJOIN(char(10)&amp;""- "", TRUE, FILTER(K$1:O$1&amp;"": ""&amp;K92:O92, NOT(ISBLANK(K92:O92))))))"),"")</f>
        <v/>
      </c>
      <c r="Q92" s="52" t="s">
        <v>444</v>
      </c>
      <c r="R92" s="54" t="b">
        <v>1</v>
      </c>
    </row>
    <row r="93">
      <c r="A93" s="12" t="str">
        <f>IFERROR(__xludf.DUMMYFUNCTION("""COMPUTED_VALUE"""),"61a6159bccfe0ef4546659b370eac877")</f>
        <v>61a6159bccfe0ef4546659b370eac877</v>
      </c>
      <c r="B93" s="12" t="str">
        <f>IFERROR(__xludf.DUMMYFUNCTION("""COMPUTED_VALUE"""),"Challenges that remain include the need for further and more explicit prioritisation of biodiversity within development finance portfolios and programming, by better capturing the synergies with climate and other environmental and development objectives. "&amp;"The persistent limitations in individual expertise, human resources and organisational capacity and a lack of funding for biodiversity in partner countries also hinder the continuity of positive change initiated by development co-operation activities beyo"&amp;"nd project lifetimes. Doing so in a more consistent manner would also facilitate comparison of experiences across countries and their effectiveness, and an exchange of lessons learned. This challenge is due in part to the lack of consistent data and indic"&amp;"ators to develop baselines and to monitor and report on progress towards achieving mainstreaming goals and targets. In terms of responses, further consideration on how to monitor and evaluate mainstreaming efforts across the full range of responses, namel"&amp;"y inputs, process, outputs, outcomes and impacts, would be useful.")</f>
        <v>Challenges that remain include the need for further and more explicit prioritisation of biodiversity within development finance portfolios and programming, by better capturing the synergies with climate and other environmental and development objectives. The persistent limitations in individual expertise, human resources and organisational capacity and a lack of funding for biodiversity in partner countries also hinder the continuity of positive change initiated by development co-operation activities beyond project lifetimes. Doing so in a more consistent manner would also facilitate comparison of experiences across countries and their effectiveness, and an exchange of lessons learned. This challenge is due in part to the lack of consistent data and indicators to develop baselines and to monitor and report on progress towards achieving mainstreaming goals and targets. In terms of responses, further consideration on how to monitor and evaluate mainstreaming efforts across the full range of responses, namely inputs, process, outputs, outcomes and impacts, would be useful.</v>
      </c>
      <c r="C93" s="7"/>
      <c r="D93" s="51" t="b">
        <f t="shared" ref="D93:I93" si="184">VLOOKUP($A93, INDIRECT(D$1&amp;"!A:C"), 3, FALSE)</f>
        <v>1</v>
      </c>
      <c r="E93" s="51" t="str">
        <f t="shared" si="184"/>
        <v>TO DO</v>
      </c>
      <c r="F93" s="51" t="b">
        <f t="shared" si="184"/>
        <v>1</v>
      </c>
      <c r="G93" s="51" t="str">
        <f t="shared" si="184"/>
        <v>TO DO</v>
      </c>
      <c r="H93" s="51" t="b">
        <f t="shared" si="184"/>
        <v>1</v>
      </c>
      <c r="I93" s="51" t="b">
        <f t="shared" si="184"/>
        <v>1</v>
      </c>
      <c r="J93" s="52">
        <f t="shared" si="4"/>
        <v>1</v>
      </c>
      <c r="K93" s="53" t="str">
        <f t="shared" ref="K93:O93" si="185">VLOOKUP($A93, INDIRECT(K$1&amp;"!A:D"), 4, FALSE)</f>
        <v/>
      </c>
      <c r="L93" s="53" t="str">
        <f t="shared" si="185"/>
        <v/>
      </c>
      <c r="M93" s="53" t="str">
        <f t="shared" si="185"/>
        <v/>
      </c>
      <c r="N93" s="53" t="str">
        <f t="shared" si="185"/>
        <v/>
      </c>
      <c r="O93" s="53" t="str">
        <f t="shared" si="185"/>
        <v/>
      </c>
      <c r="P93" s="52" t="str">
        <f>IFERROR(__xludf.DUMMYFUNCTION("IF(COUNTA(K93:O93)=0, """", ARRAYFORMULA(""- ""&amp;TEXTJOIN(char(10)&amp;""- "", TRUE, FILTER(K$1:O$1&amp;"": ""&amp;K93:O93, NOT(ISBLANK(K93:O93))))))"),"")</f>
        <v/>
      </c>
      <c r="Q93" s="52" t="s">
        <v>444</v>
      </c>
      <c r="R93" s="54" t="b">
        <v>1</v>
      </c>
    </row>
    <row r="94">
      <c r="A94" s="12" t="str">
        <f>IFERROR(__xludf.DUMMYFUNCTION("""COMPUTED_VALUE"""),"03c193d1c1e364a12f7e8728b3aada5f")</f>
        <v>03c193d1c1e364a12f7e8728b3aada5f</v>
      </c>
      <c r="B94" s="12" t="str">
        <f>IFERROR(__xludf.DUMMYFUNCTION("""COMPUTED_VALUE"""),"Building on the success of the PPCDAm, the government launched a similar programme to control deforestation in the Cerrado biome. In addition to strict monitoring and enforcement, further reducing deforestation will increasingly require making sustainable"&amp;" agriculture and forest management more attractive than illegal logging and land grabbing, and ensuring that sustainable practices provide a viable income source for traditional communities (CEPAL et al., Concessions still cover less than 1% of the eligib"&amp;"le forest area, mainly because of red tape, high transaction costs, lack of infrastructure and land tenure conflicts. Many rural communities do not have the knowledge or means to adopt sustainable forest practices or to compete in concession processes. Mu"&amp;"ch of the international finance is used through extrabudgetary funds, including the innovative Amazon Fund. Established in 2008 and managed by the BNDES in co-ordination with the MMA, the fund invests in deforestation prevention and sustainable forest use"&amp;", thereby contributing to reducing GHG emissions.")</f>
        <v>Building on the success of the PPCDAm, the government launched a similar programme to control deforestation in the Cerrado biome. In addition to strict monitoring and enforcement, further reducing deforestation will increasingly require making sustainable agriculture and forest management more attractive than illegal logging and land grabbing, and ensuring that sustainable practices provide a viable income source for traditional communities (CEPAL et al., Concessions still cover less than 1% of the eligible forest area, mainly because of red tape, high transaction costs, lack of infrastructure and land tenure conflicts. Many rural communities do not have the knowledge or means to adopt sustainable forest practices or to compete in concession processes. Much of the international finance is used through extrabudgetary funds, including the innovative Amazon Fund. Established in 2008 and managed by the BNDES in co-ordination with the MMA, the fund invests in deforestation prevention and sustainable forest use, thereby contributing to reducing GHG emissions.</v>
      </c>
      <c r="C94" s="51"/>
      <c r="D94" s="51" t="b">
        <f t="shared" ref="D94:I94" si="186">VLOOKUP($A94, INDIRECT(D$1&amp;"!A:C"), 3, FALSE)</f>
        <v>1</v>
      </c>
      <c r="E94" s="51" t="str">
        <f t="shared" si="186"/>
        <v>TO DO</v>
      </c>
      <c r="F94" s="51" t="b">
        <f t="shared" si="186"/>
        <v>1</v>
      </c>
      <c r="G94" s="51" t="str">
        <f t="shared" si="186"/>
        <v>TO DO</v>
      </c>
      <c r="H94" s="51" t="b">
        <f t="shared" si="186"/>
        <v>1</v>
      </c>
      <c r="I94" s="51" t="b">
        <f t="shared" si="186"/>
        <v>1</v>
      </c>
      <c r="J94" s="52">
        <f t="shared" si="4"/>
        <v>1</v>
      </c>
      <c r="K94" s="53" t="str">
        <f t="shared" ref="K94:O94" si="187">VLOOKUP($A94, INDIRECT(K$1&amp;"!A:D"), 4, FALSE)</f>
        <v/>
      </c>
      <c r="L94" s="53" t="str">
        <f t="shared" si="187"/>
        <v/>
      </c>
      <c r="M94" s="53" t="str">
        <f t="shared" si="187"/>
        <v/>
      </c>
      <c r="N94" s="53" t="str">
        <f t="shared" si="187"/>
        <v/>
      </c>
      <c r="O94" s="53" t="str">
        <f t="shared" si="187"/>
        <v/>
      </c>
      <c r="P94" s="52" t="str">
        <f>IFERROR(__xludf.DUMMYFUNCTION("IF(COUNTA(K94:O94)=0, """", ARRAYFORMULA(""- ""&amp;TEXTJOIN(char(10)&amp;""- "", TRUE, FILTER(K$1:O$1&amp;"": ""&amp;K94:O94, NOT(ISBLANK(K94:O94))))))"),"")</f>
        <v/>
      </c>
      <c r="Q94" s="52" t="s">
        <v>444</v>
      </c>
      <c r="R94" s="54" t="b">
        <v>1</v>
      </c>
    </row>
    <row r="95" hidden="1">
      <c r="A95" s="12" t="str">
        <f>IFERROR(__xludf.DUMMYFUNCTION("""COMPUTED_VALUE"""),"92949ef27607aa62e8c0275daec8c813")</f>
        <v>92949ef27607aa62e8c0275daec8c813</v>
      </c>
      <c r="B95" s="12" t="str">
        <f>IFERROR(__xludf.DUMMYFUNCTION("""COMPUTED_VALUE"""),"An advanced charter for the Directorate has been developed, providing for effective management and for economic instruments to ensure additional financial resources. This is based on the regulations adopted at cantonal level, for example on the content of"&amp;" the management plan. A similar situation exists at cantonal level. The management bodies of certain protected areas - directorates including rangers - are bigger but require additional training and investment.")</f>
        <v>An advanced charter for the Directorate has been developed, providing for effective management and for economic instruments to ensure additional financial resources. This is based on the regulations adopted at cantonal level, for example on the content of the management plan. A similar situation exists at cantonal level. The management bodies of certain protected areas - directorates including rangers - are bigger but require additional training and investment.</v>
      </c>
      <c r="C95" s="7" t="s">
        <v>451</v>
      </c>
      <c r="D95" s="51" t="str">
        <f t="shared" ref="D95:I95" si="188">VLOOKUP($A95, INDIRECT(D$1&amp;"!A:C"), 3, FALSE)</f>
        <v>SKIP</v>
      </c>
      <c r="E95" s="51" t="str">
        <f t="shared" si="188"/>
        <v>TO DO</v>
      </c>
      <c r="F95" s="51" t="b">
        <f t="shared" si="188"/>
        <v>0</v>
      </c>
      <c r="G95" s="51" t="str">
        <f t="shared" si="188"/>
        <v>TO DO</v>
      </c>
      <c r="H95" s="51" t="b">
        <f t="shared" si="188"/>
        <v>0</v>
      </c>
      <c r="I95" s="51" t="b">
        <f t="shared" si="188"/>
        <v>1</v>
      </c>
      <c r="J95" s="52">
        <f t="shared" si="4"/>
        <v>0.25</v>
      </c>
      <c r="K95" s="53" t="str">
        <f t="shared" ref="K95:O95" si="189">VLOOKUP($A95, INDIRECT(K$1&amp;"!A:D"), 4, FALSE)</f>
        <v>too unclear, probably "true"</v>
      </c>
      <c r="L95" s="53" t="str">
        <f t="shared" si="189"/>
        <v/>
      </c>
      <c r="M95" s="53" t="str">
        <f t="shared" si="189"/>
        <v/>
      </c>
      <c r="N95" s="53" t="str">
        <f t="shared" si="189"/>
        <v/>
      </c>
      <c r="O95" s="53" t="str">
        <f t="shared" si="189"/>
        <v/>
      </c>
      <c r="P95" s="52" t="str">
        <f>IFERROR(__xludf.DUMMYFUNCTION("IF(COUNTA(K95:O95)=0, """", ARRAYFORMULA(""- ""&amp;TEXTJOIN(char(10)&amp;""- "", TRUE, FILTER(K$1:O$1&amp;"": ""&amp;K95:O95, NOT(ISBLANK(K95:O95))))))"),"- Finn: too unclear, probably ""true""")</f>
        <v>- Finn: too unclear, probably "true"</v>
      </c>
      <c r="Q95" s="52" t="s">
        <v>489</v>
      </c>
      <c r="R95" s="54" t="s">
        <v>449</v>
      </c>
    </row>
    <row r="96">
      <c r="A96" s="12" t="str">
        <f>IFERROR(__xludf.DUMMYFUNCTION("""COMPUTED_VALUE"""),"9d6ec508850f03b7096418349e022e93")</f>
        <v>9d6ec508850f03b7096418349e022e93</v>
      </c>
      <c r="B96" s="12" t="str">
        <f>IFERROR(__xludf.DUMMYFUNCTION("""COMPUTED_VALUE"""),"Each district is led by a forest district manager, who has autonomy in managing forests according to the forest management plan and who is responsible for their condition. There are 430 forest districts, with average area of 17 500 ha. This means timber s"&amp;"ales must finance the “basic forest management tasks” (e.g. silviculture, forest protection) that the LP carries out. When the Forest Act was passed in 1991, it included no taxation of timber sales income, the aim being to facilitate the LP’s transition t"&amp;"o a market economy.")</f>
        <v>Each district is led by a forest district manager, who has autonomy in managing forests according to the forest management plan and who is responsible for their condition. There are 430 forest districts, with average area of 17 500 ha. This means timber sales must finance the “basic forest management tasks” (e.g. silviculture, forest protection) that the LP carries out. When the Forest Act was passed in 1991, it included no taxation of timber sales income, the aim being to facilitate the LP’s transition to a market economy.</v>
      </c>
      <c r="C96" s="7" t="s">
        <v>445</v>
      </c>
      <c r="D96" s="51" t="b">
        <f t="shared" ref="D96:I96" si="190">VLOOKUP($A96, INDIRECT(D$1&amp;"!A:C"), 3, FALSE)</f>
        <v>1</v>
      </c>
      <c r="E96" s="51" t="str">
        <f t="shared" si="190"/>
        <v>TO DO</v>
      </c>
      <c r="F96" s="51" t="b">
        <f t="shared" si="190"/>
        <v>1</v>
      </c>
      <c r="G96" s="51" t="str">
        <f t="shared" si="190"/>
        <v>TO DO</v>
      </c>
      <c r="H96" s="51" t="b">
        <f t="shared" si="190"/>
        <v>1</v>
      </c>
      <c r="I96" s="51" t="b">
        <f t="shared" si="190"/>
        <v>0</v>
      </c>
      <c r="J96" s="52">
        <f t="shared" si="4"/>
        <v>0.5</v>
      </c>
      <c r="K96" s="53" t="str">
        <f t="shared" ref="K96:O96" si="191">VLOOKUP($A96, INDIRECT(K$1&amp;"!A:D"), 4, FALSE)</f>
        <v/>
      </c>
      <c r="L96" s="53" t="str">
        <f t="shared" si="191"/>
        <v/>
      </c>
      <c r="M96" s="53" t="str">
        <f t="shared" si="191"/>
        <v/>
      </c>
      <c r="N96" s="53" t="str">
        <f t="shared" si="191"/>
        <v/>
      </c>
      <c r="O96" s="53" t="str">
        <f t="shared" si="191"/>
        <v>doesn't really sound that deforestation or sustainable forestry is a priority here...</v>
      </c>
      <c r="P96" s="52" t="str">
        <f>IFERROR(__xludf.DUMMYFUNCTION("IF(COUNTA(K96:O96)=0, """", ARRAYFORMULA(""- ""&amp;TEXTJOIN(char(10)&amp;""- "", TRUE, FILTER(K$1:O$1&amp;"": ""&amp;K96:O96, NOT(ISBLANK(K96:O96))))))"),"- Steve: doesn't really sound that deforestation or sustainable forestry is a priority here...")</f>
        <v>- Steve: doesn't really sound that deforestation or sustainable forestry is a priority here...</v>
      </c>
      <c r="Q96" s="52" t="s">
        <v>490</v>
      </c>
      <c r="R96" s="54" t="s">
        <v>449</v>
      </c>
    </row>
    <row r="97" hidden="1">
      <c r="A97" s="12" t="str">
        <f>IFERROR(__xludf.DUMMYFUNCTION("""COMPUTED_VALUE"""),"f0d064d6b5d9d5d7be7b49b7a69d8485")</f>
        <v>f0d064d6b5d9d5d7be7b49b7a69d8485</v>
      </c>
      <c r="B97" s="12" t="str">
        <f>IFERROR(__xludf.DUMMYFUNCTION("""COMPUTED_VALUE"""),"Studies have highlighted the entrepreneurial role that women play in value-added activities, especially in the informal sector, as well as their leadership role in community and participatory forest management. However, more work is needed to investigate "&amp;"issues such as women's access to forest rights and the impact on gender equity, as well as their empowerment in transitioning from the informal to the formal sector. Forests are integral to the water cycle.")</f>
        <v>Studies have highlighted the entrepreneurial role that women play in value-added activities, especially in the informal sector, as well as their leadership role in community and participatory forest management. However, more work is needed to investigate issues such as women's access to forest rights and the impact on gender equity, as well as their empowerment in transitioning from the informal to the formal sector. Forests are integral to the water cycle.</v>
      </c>
      <c r="C97" s="57" t="s">
        <v>454</v>
      </c>
      <c r="D97" s="51" t="b">
        <f t="shared" ref="D97:I97" si="192">VLOOKUP($A97, INDIRECT(D$1&amp;"!A:C"), 3, FALSE)</f>
        <v>1</v>
      </c>
      <c r="E97" s="51" t="str">
        <f t="shared" si="192"/>
        <v>TO DO</v>
      </c>
      <c r="F97" s="51" t="b">
        <f t="shared" si="192"/>
        <v>0</v>
      </c>
      <c r="G97" s="51" t="str">
        <f t="shared" si="192"/>
        <v>TO DO</v>
      </c>
      <c r="H97" s="51" t="b">
        <f t="shared" si="192"/>
        <v>0</v>
      </c>
      <c r="I97" s="51" t="b">
        <f t="shared" si="192"/>
        <v>1</v>
      </c>
      <c r="J97" s="52">
        <f t="shared" si="4"/>
        <v>0</v>
      </c>
      <c r="K97" s="53" t="str">
        <f t="shared" ref="K97:O97" si="193">VLOOKUP($A97, INDIRECT(K$1&amp;"!A:D"), 4, FALSE)</f>
        <v/>
      </c>
      <c r="L97" s="53" t="str">
        <f t="shared" si="193"/>
        <v/>
      </c>
      <c r="M97" s="53" t="str">
        <f t="shared" si="193"/>
        <v/>
      </c>
      <c r="N97" s="53" t="str">
        <f t="shared" si="193"/>
        <v/>
      </c>
      <c r="O97" s="53" t="str">
        <f t="shared" si="193"/>
        <v/>
      </c>
      <c r="P97" s="52" t="str">
        <f>IFERROR(__xludf.DUMMYFUNCTION("IF(COUNTA(K97:O97)=0, """", ARRAYFORMULA(""- ""&amp;TEXTJOIN(char(10)&amp;""- "", TRUE, FILTER(K$1:O$1&amp;"": ""&amp;K97:O97, NOT(ISBLANK(K97:O97))))))"),"")</f>
        <v/>
      </c>
      <c r="Q97" s="52" t="s">
        <v>444</v>
      </c>
      <c r="R97" s="54" t="s">
        <v>449</v>
      </c>
    </row>
    <row r="98">
      <c r="A98" s="12" t="str">
        <f>IFERROR(__xludf.DUMMYFUNCTION("""COMPUTED_VALUE"""),"98b05a094f16df118cf34ad6d28d301d")</f>
        <v>98b05a094f16df118cf34ad6d28d301d</v>
      </c>
      <c r="B98" s="12" t="str">
        <f>IFERROR(__xludf.DUMMYFUNCTION("""COMPUTED_VALUE"""),"The intention is to have a pragmatic focus on the site level, using case studies, information exchange between managers and good engagement with local communities. Further options for synergies are joint preparation for COPs for the two conventions, and e"&amp;"ncouraging a greater exchange of expertise - both scientific and managerial - to supplement one another’s knowledge and avoid duplication. A case study in the Capacity building section also describes and lUCN-led project to support managers of jointly des"&amp;"ignated sites (Case study 43, pg.")</f>
        <v>The intention is to have a pragmatic focus on the site level, using case studies, information exchange between managers and good engagement with local communities. Further options for synergies are joint preparation for COPs for the two conventions, and encouraging a greater exchange of expertise - both scientific and managerial - to supplement one another’s knowledge and avoid duplication. A case study in the Capacity building section also describes and lUCN-led project to support managers of jointly designated sites (Case study 43, pg.</v>
      </c>
      <c r="C98" s="57"/>
      <c r="D98" s="51" t="b">
        <f t="shared" ref="D98:I98" si="194">VLOOKUP($A98, INDIRECT(D$1&amp;"!A:C"), 3, FALSE)</f>
        <v>0</v>
      </c>
      <c r="E98" s="51" t="str">
        <f t="shared" si="194"/>
        <v>TO DO</v>
      </c>
      <c r="F98" s="51" t="b">
        <f t="shared" si="194"/>
        <v>0</v>
      </c>
      <c r="G98" s="51" t="str">
        <f t="shared" si="194"/>
        <v>TO DO</v>
      </c>
      <c r="H98" s="51" t="b">
        <f t="shared" si="194"/>
        <v>0</v>
      </c>
      <c r="I98" s="51" t="b">
        <f t="shared" si="194"/>
        <v>0</v>
      </c>
      <c r="J98" s="52">
        <f t="shared" si="4"/>
        <v>1</v>
      </c>
      <c r="K98" s="53" t="str">
        <f t="shared" ref="K98:O98" si="195">VLOOKUP($A98, INDIRECT(K$1&amp;"!A:D"), 4, FALSE)</f>
        <v/>
      </c>
      <c r="L98" s="53" t="str">
        <f t="shared" si="195"/>
        <v/>
      </c>
      <c r="M98" s="53" t="str">
        <f t="shared" si="195"/>
        <v/>
      </c>
      <c r="N98" s="53" t="str">
        <f t="shared" si="195"/>
        <v/>
      </c>
      <c r="O98" s="53" t="str">
        <f t="shared" si="195"/>
        <v>IUCN-related but more on management approaches, though not clear management of what?</v>
      </c>
      <c r="P98" s="52" t="str">
        <f>IFERROR(__xludf.DUMMYFUNCTION("IF(COUNTA(K98:O98)=0, """", ARRAYFORMULA(""- ""&amp;TEXTJOIN(char(10)&amp;""- "", TRUE, FILTER(K$1:O$1&amp;"": ""&amp;K98:O98, NOT(ISBLANK(K98:O98))))))"),"- Steve: IUCN-related but more on management approaches, though not clear management of what?")</f>
        <v>- Steve: IUCN-related but more on management approaches, though not clear management of what?</v>
      </c>
      <c r="Q98" s="52" t="s">
        <v>491</v>
      </c>
      <c r="R98" s="54" t="b">
        <v>0</v>
      </c>
    </row>
    <row r="99">
      <c r="A99" s="12" t="str">
        <f>IFERROR(__xludf.DUMMYFUNCTION("""COMPUTED_VALUE"""),"f1dcc964f0d6ea36be55cd848551dfdc")</f>
        <v>f1dcc964f0d6ea36be55cd848551dfdc</v>
      </c>
      <c r="B99" s="12" t="str">
        <f>IFERROR(__xludf.DUMMYFUNCTION("""COMPUTED_VALUE"""),"Known poaching activity accounts for a high percentage of illegally killed elephants in Central and Eastern Africa, with lower rates in Western and Southern Africa. The chief transit points were found in central Chad, Lubumbashi, the DRC, as well as in th"&amp;"e centre of the country, Uganda, Nairobi, Kenya, Lilongwe, Malawi, Beitbridge, Zimbabwe (on the border of South Africa) and Lusaka and Livingstone in Zambia (Nellemann et al. To adapt to this challenge a coordinated and comprehensive strategy is needed th"&amp;"at both reduces demand for illegal products and enhances enforcement capacities.4 Law enforcement agencies would benefit from access to strategic intelligence, which enhances the capacity to interpret trends and reevaluate on the ground tactics before the"&amp;" traffickers can adapt. It is important to build capacity amongst national law enforcement agencies and local monitoring networks.")</f>
        <v>Known poaching activity accounts for a high percentage of illegally killed elephants in Central and Eastern Africa, with lower rates in Western and Southern Africa. The chief transit points were found in central Chad, Lubumbashi, the DRC, as well as in the centre of the country, Uganda, Nairobi, Kenya, Lilongwe, Malawi, Beitbridge, Zimbabwe (on the border of South Africa) and Lusaka and Livingstone in Zambia (Nellemann et al. To adapt to this challenge a coordinated and comprehensive strategy is needed that both reduces demand for illegal products and enhances enforcement capacities.4 Law enforcement agencies would benefit from access to strategic intelligence, which enhances the capacity to interpret trends and reevaluate on the ground tactics before the traffickers can adapt. It is important to build capacity amongst national law enforcement agencies and local monitoring networks.</v>
      </c>
      <c r="C99" s="56"/>
      <c r="D99" s="51" t="b">
        <f t="shared" ref="D99:I99" si="196">VLOOKUP($A99, INDIRECT(D$1&amp;"!A:C"), 3, FALSE)</f>
        <v>1</v>
      </c>
      <c r="E99" s="51" t="str">
        <f t="shared" si="196"/>
        <v>TO DO</v>
      </c>
      <c r="F99" s="51" t="b">
        <f t="shared" si="196"/>
        <v>1</v>
      </c>
      <c r="G99" s="51" t="str">
        <f t="shared" si="196"/>
        <v>TO DO</v>
      </c>
      <c r="H99" s="51" t="b">
        <f t="shared" si="196"/>
        <v>1</v>
      </c>
      <c r="I99" s="51" t="b">
        <f t="shared" si="196"/>
        <v>1</v>
      </c>
      <c r="J99" s="52">
        <f t="shared" si="4"/>
        <v>1</v>
      </c>
      <c r="K99" s="53" t="str">
        <f t="shared" ref="K99:O99" si="197">VLOOKUP($A99, INDIRECT(K$1&amp;"!A:D"), 4, FALSE)</f>
        <v/>
      </c>
      <c r="L99" s="53" t="str">
        <f t="shared" si="197"/>
        <v/>
      </c>
      <c r="M99" s="53" t="str">
        <f t="shared" si="197"/>
        <v/>
      </c>
      <c r="N99" s="53" t="str">
        <f t="shared" si="197"/>
        <v/>
      </c>
      <c r="O99" s="53" t="str">
        <f t="shared" si="197"/>
        <v/>
      </c>
      <c r="P99" s="52" t="str">
        <f>IFERROR(__xludf.DUMMYFUNCTION("IF(COUNTA(K99:O99)=0, """", ARRAYFORMULA(""- ""&amp;TEXTJOIN(char(10)&amp;""- "", TRUE, FILTER(K$1:O$1&amp;"": ""&amp;K99:O99, NOT(ISBLANK(K99:O99))))))"),"")</f>
        <v/>
      </c>
      <c r="Q99" s="52" t="s">
        <v>444</v>
      </c>
      <c r="R99" s="54" t="b">
        <v>1</v>
      </c>
    </row>
    <row r="100" hidden="1">
      <c r="A100" s="12" t="str">
        <f>IFERROR(__xludf.DUMMYFUNCTION("""COMPUTED_VALUE"""),"d118aea53800f990f46acec73ce002af")</f>
        <v>d118aea53800f990f46acec73ce002af</v>
      </c>
      <c r="B100" s="12" t="str">
        <f>IFERROR(__xludf.DUMMYFUNCTION("""COMPUTED_VALUE"""),"As indicated above, the main challenge in CEA is that investment comparisons and choices need to be based on a constant outcome metric. In other w'ords, species and landscape scale outcomes need to be scaled using a comparable scale. Another challenge is "&amp;"that CEA generally only looks at one outcome and does not consider other impacts such as co-benefits.")</f>
        <v>As indicated above, the main challenge in CEA is that investment comparisons and choices need to be based on a constant outcome metric. In other w'ords, species and landscape scale outcomes need to be scaled using a comparable scale. Another challenge is that CEA generally only looks at one outcome and does not consider other impacts such as co-benefits.</v>
      </c>
      <c r="C100" s="7" t="s">
        <v>454</v>
      </c>
      <c r="D100" s="51" t="b">
        <f t="shared" ref="D100:I100" si="198">VLOOKUP($A100, INDIRECT(D$1&amp;"!A:C"), 3, FALSE)</f>
        <v>0</v>
      </c>
      <c r="E100" s="51" t="str">
        <f t="shared" si="198"/>
        <v>TO DO</v>
      </c>
      <c r="F100" s="51" t="b">
        <f t="shared" si="198"/>
        <v>1</v>
      </c>
      <c r="G100" s="51" t="str">
        <f t="shared" si="198"/>
        <v>TO DO</v>
      </c>
      <c r="H100" s="51" t="b">
        <f t="shared" si="198"/>
        <v>1</v>
      </c>
      <c r="I100" s="51" t="b">
        <f t="shared" si="198"/>
        <v>0</v>
      </c>
      <c r="J100" s="52">
        <f t="shared" si="4"/>
        <v>0</v>
      </c>
      <c r="K100" s="53" t="str">
        <f t="shared" ref="K100:O100" si="199">VLOOKUP($A100, INDIRECT(K$1&amp;"!A:D"), 4, FALSE)</f>
        <v/>
      </c>
      <c r="L100" s="53" t="str">
        <f t="shared" si="199"/>
        <v/>
      </c>
      <c r="M100" s="53" t="str">
        <f t="shared" si="199"/>
        <v/>
      </c>
      <c r="N100" s="53" t="str">
        <f t="shared" si="199"/>
        <v/>
      </c>
      <c r="O100" s="53" t="str">
        <f t="shared" si="199"/>
        <v>not sure what CEA is</v>
      </c>
      <c r="P100" s="52" t="str">
        <f>IFERROR(__xludf.DUMMYFUNCTION("IF(COUNTA(K100:O100)=0, """", ARRAYFORMULA(""- ""&amp;TEXTJOIN(char(10)&amp;""- "", TRUE, FILTER(K$1:O$1&amp;"": ""&amp;K100:O100, NOT(ISBLANK(K100:O100))))))"),"- Steve: not sure what CEA is")</f>
        <v>- Steve: not sure what CEA is</v>
      </c>
      <c r="Q100" s="52" t="s">
        <v>492</v>
      </c>
      <c r="R100" s="54" t="s">
        <v>449</v>
      </c>
    </row>
    <row r="101">
      <c r="A101" s="12" t="str">
        <f>IFERROR(__xludf.DUMMYFUNCTION("""COMPUTED_VALUE"""),"656609046218d7cf0c3c48a1557109c6")</f>
        <v>656609046218d7cf0c3c48a1557109c6</v>
      </c>
      <c r="B101" s="12" t="str">
        <f>IFERROR(__xludf.DUMMYFUNCTION("""COMPUTED_VALUE"""),"For example, the personnel of a given protected area focus not only on issues related to that area, but also assume thematic responsibilities across the entire mosaic. The mosaic structure helps address environmental and socio-economic challenges, many of"&amp;" which are common to all protected areas, and facilitates the resolution of conflicts arising in border areas. Such conflicts are often linked to the monitoring and control of natural resource use. While these are mostly carried out for community consumpt"&amp;"ion as traditional activities, product sales to commercial companies are increasing, turtle trafficking, for example, has become a major challenge in the region. Enforcement of park regulations has caused many families to move to the neighbouring extracti"&amp;"ve reserve, where natural resource use is permitted. This plan probably has too many potentially conflicting objectives and has not been fully implemented.")</f>
        <v>For example, the personnel of a given protected area focus not only on issues related to that area, but also assume thematic responsibilities across the entire mosaic. The mosaic structure helps address environmental and socio-economic challenges, many of which are common to all protected areas, and facilitates the resolution of conflicts arising in border areas. Such conflicts are often linked to the monitoring and control of natural resource use. While these are mostly carried out for community consumption as traditional activities, product sales to commercial companies are increasing, turtle trafficking, for example, has become a major challenge in the region. Enforcement of park regulations has caused many families to move to the neighbouring extractive reserve, where natural resource use is permitted. This plan probably has too many potentially conflicting objectives and has not been fully implemented.</v>
      </c>
      <c r="C101" s="57"/>
      <c r="D101" s="51" t="b">
        <f t="shared" ref="D101:I101" si="200">VLOOKUP($A101, INDIRECT(D$1&amp;"!A:C"), 3, FALSE)</f>
        <v>1</v>
      </c>
      <c r="E101" s="51" t="str">
        <f t="shared" si="200"/>
        <v>TO DO</v>
      </c>
      <c r="F101" s="51" t="b">
        <f t="shared" si="200"/>
        <v>1</v>
      </c>
      <c r="G101" s="51" t="str">
        <f t="shared" si="200"/>
        <v>TO DO</v>
      </c>
      <c r="H101" s="51" t="b">
        <f t="shared" si="200"/>
        <v>1</v>
      </c>
      <c r="I101" s="51" t="b">
        <f t="shared" si="200"/>
        <v>1</v>
      </c>
      <c r="J101" s="52">
        <f t="shared" si="4"/>
        <v>1</v>
      </c>
      <c r="K101" s="53" t="str">
        <f t="shared" ref="K101:O101" si="201">VLOOKUP($A101, INDIRECT(K$1&amp;"!A:D"), 4, FALSE)</f>
        <v/>
      </c>
      <c r="L101" s="53" t="str">
        <f t="shared" si="201"/>
        <v/>
      </c>
      <c r="M101" s="53" t="str">
        <f t="shared" si="201"/>
        <v/>
      </c>
      <c r="N101" s="53" t="str">
        <f t="shared" si="201"/>
        <v/>
      </c>
      <c r="O101" s="53" t="str">
        <f t="shared" si="201"/>
        <v/>
      </c>
      <c r="P101" s="52" t="str">
        <f>IFERROR(__xludf.DUMMYFUNCTION("IF(COUNTA(K101:O101)=0, """", ARRAYFORMULA(""- ""&amp;TEXTJOIN(char(10)&amp;""- "", TRUE, FILTER(K$1:O$1&amp;"": ""&amp;K101:O101, NOT(ISBLANK(K101:O101))))))"),"")</f>
        <v/>
      </c>
      <c r="Q101" s="52" t="s">
        <v>444</v>
      </c>
      <c r="R101" s="54" t="b">
        <v>1</v>
      </c>
    </row>
  </sheetData>
  <autoFilter ref="$A$1:$T$101">
    <filterColumn colId="2">
      <filters blank="1">
        <filter val="3v1"/>
      </filters>
    </filterColumn>
  </autoFilter>
  <conditionalFormatting sqref="C2:Q101">
    <cfRule type="cellIs" dxfId="0" priority="1" operator="equal">
      <formula>"TRUE"</formula>
    </cfRule>
  </conditionalFormatting>
  <conditionalFormatting sqref="C2:Q101">
    <cfRule type="beginsWith" dxfId="1" priority="2" operator="beginsWith" text="FALSE">
      <formula>LEFT((C2),LEN("FALSE"))=("FALSE")</formula>
    </cfRule>
  </conditionalFormatting>
  <conditionalFormatting sqref="C2:Q101">
    <cfRule type="cellIs" dxfId="2" priority="3" operator="equal">
      <formula>"TO DO"</formula>
    </cfRule>
  </conditionalFormatting>
  <conditionalFormatting sqref="C2:Q101">
    <cfRule type="cellIs" dxfId="3" priority="4" operator="equal">
      <formula>"SKIP"</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 customWidth="1" min="7" max="7" width="26.88"/>
  </cols>
  <sheetData>
    <row r="1">
      <c r="A1" s="23" t="s">
        <v>493</v>
      </c>
      <c r="B1" s="58" t="s">
        <v>356</v>
      </c>
      <c r="C1" s="59" t="s">
        <v>357</v>
      </c>
      <c r="D1" s="59" t="s">
        <v>362</v>
      </c>
      <c r="E1" s="60" t="s">
        <v>494</v>
      </c>
      <c r="F1" s="59" t="s">
        <v>354</v>
      </c>
      <c r="G1" s="59" t="s">
        <v>495</v>
      </c>
    </row>
    <row r="2">
      <c r="A2" s="24" t="str">
        <f t="shared" ref="A2:A72" si="1">IF(NOT(ISBLANK(B2)), LEFT(MD5(B2), 7), "")</f>
        <v>#NAME?</v>
      </c>
      <c r="B2" s="61" t="s">
        <v>191</v>
      </c>
      <c r="C2" s="58">
        <v>15.0</v>
      </c>
      <c r="D2" s="61" t="b">
        <v>0</v>
      </c>
      <c r="E2" s="62" t="s">
        <v>190</v>
      </c>
      <c r="F2" s="24" t="s">
        <v>365</v>
      </c>
    </row>
    <row r="3">
      <c r="A3" s="24" t="str">
        <f t="shared" si="1"/>
        <v>#NAME?</v>
      </c>
      <c r="B3" s="12" t="s">
        <v>129</v>
      </c>
      <c r="C3" s="58">
        <v>15.0</v>
      </c>
      <c r="D3" s="24" t="b">
        <v>0</v>
      </c>
      <c r="E3" s="12" t="s">
        <v>128</v>
      </c>
      <c r="F3" s="24" t="s">
        <v>368</v>
      </c>
    </row>
    <row r="4">
      <c r="A4" s="24" t="str">
        <f t="shared" si="1"/>
        <v>#NAME?</v>
      </c>
      <c r="B4" s="63" t="s">
        <v>496</v>
      </c>
      <c r="C4" s="58">
        <v>15.0</v>
      </c>
      <c r="D4" s="24" t="b">
        <v>0</v>
      </c>
      <c r="E4" s="12" t="s">
        <v>118</v>
      </c>
      <c r="F4" s="24" t="s">
        <v>369</v>
      </c>
      <c r="G4" s="5" t="s">
        <v>497</v>
      </c>
    </row>
    <row r="5">
      <c r="A5" s="24" t="str">
        <f t="shared" si="1"/>
        <v>#NAME?</v>
      </c>
      <c r="B5" s="12" t="s">
        <v>123</v>
      </c>
      <c r="C5" s="58">
        <v>15.0</v>
      </c>
      <c r="D5" s="24" t="b">
        <v>0</v>
      </c>
      <c r="E5" s="12" t="s">
        <v>122</v>
      </c>
      <c r="F5" s="24" t="s">
        <v>369</v>
      </c>
    </row>
    <row r="6">
      <c r="A6" s="24" t="str">
        <f t="shared" si="1"/>
        <v>#NAME?</v>
      </c>
      <c r="B6" s="12" t="s">
        <v>143</v>
      </c>
      <c r="C6" s="58">
        <v>15.0</v>
      </c>
      <c r="D6" s="24" t="b">
        <v>1</v>
      </c>
      <c r="E6" s="12" t="s">
        <v>142</v>
      </c>
      <c r="F6" s="24" t="s">
        <v>370</v>
      </c>
      <c r="G6" s="24" t="s">
        <v>446</v>
      </c>
    </row>
    <row r="7">
      <c r="A7" s="24" t="str">
        <f t="shared" si="1"/>
        <v>#NAME?</v>
      </c>
      <c r="B7" s="12" t="s">
        <v>199</v>
      </c>
      <c r="C7" s="58">
        <v>15.0</v>
      </c>
      <c r="D7" s="24" t="b">
        <v>1</v>
      </c>
      <c r="E7" s="12" t="s">
        <v>198</v>
      </c>
      <c r="F7" s="24" t="s">
        <v>371</v>
      </c>
    </row>
    <row r="8">
      <c r="A8" s="24" t="str">
        <f t="shared" si="1"/>
        <v>#NAME?</v>
      </c>
      <c r="B8" s="12" t="s">
        <v>211</v>
      </c>
      <c r="C8" s="58">
        <v>15.0</v>
      </c>
      <c r="D8" s="24" t="b">
        <v>1</v>
      </c>
      <c r="E8" s="12" t="s">
        <v>210</v>
      </c>
      <c r="F8" s="24" t="s">
        <v>372</v>
      </c>
    </row>
    <row r="9">
      <c r="A9" s="24" t="str">
        <f t="shared" si="1"/>
        <v>#NAME?</v>
      </c>
      <c r="B9" s="43" t="s">
        <v>290</v>
      </c>
      <c r="C9" s="58">
        <v>15.0</v>
      </c>
      <c r="D9" s="24" t="b">
        <v>1</v>
      </c>
      <c r="E9" s="12" t="s">
        <v>289</v>
      </c>
      <c r="F9" s="24" t="s">
        <v>373</v>
      </c>
    </row>
    <row r="10">
      <c r="A10" s="24" t="str">
        <f t="shared" si="1"/>
        <v>#NAME?</v>
      </c>
      <c r="B10" s="12" t="s">
        <v>182</v>
      </c>
      <c r="C10" s="58">
        <v>15.0</v>
      </c>
      <c r="D10" s="24" t="b">
        <v>1</v>
      </c>
      <c r="E10" s="12" t="s">
        <v>181</v>
      </c>
      <c r="F10" s="24" t="s">
        <v>374</v>
      </c>
    </row>
    <row r="11">
      <c r="A11" s="24" t="str">
        <f t="shared" si="1"/>
        <v>#NAME?</v>
      </c>
      <c r="B11" s="12" t="s">
        <v>259</v>
      </c>
      <c r="C11" s="58">
        <v>15.0</v>
      </c>
      <c r="D11" s="24" t="b">
        <v>0</v>
      </c>
      <c r="E11" s="12" t="s">
        <v>258</v>
      </c>
      <c r="F11" s="24" t="s">
        <v>375</v>
      </c>
    </row>
    <row r="12">
      <c r="A12" s="24" t="str">
        <f t="shared" si="1"/>
        <v>#NAME?</v>
      </c>
      <c r="B12" s="12" t="s">
        <v>235</v>
      </c>
      <c r="C12" s="58">
        <v>15.0</v>
      </c>
      <c r="D12" s="24" t="b">
        <v>0</v>
      </c>
      <c r="E12" s="12" t="s">
        <v>234</v>
      </c>
      <c r="F12" s="24" t="s">
        <v>365</v>
      </c>
    </row>
    <row r="13">
      <c r="A13" s="24" t="str">
        <f t="shared" si="1"/>
        <v>#NAME?</v>
      </c>
      <c r="B13" s="12" t="s">
        <v>172</v>
      </c>
      <c r="C13" s="58">
        <v>15.0</v>
      </c>
      <c r="D13" s="24" t="b">
        <v>0</v>
      </c>
      <c r="E13" s="12" t="s">
        <v>171</v>
      </c>
      <c r="F13" s="24" t="s">
        <v>377</v>
      </c>
    </row>
    <row r="14">
      <c r="A14" s="24" t="str">
        <f t="shared" si="1"/>
        <v>#NAME?</v>
      </c>
      <c r="B14" s="12" t="s">
        <v>275</v>
      </c>
      <c r="C14" s="58">
        <v>15.0</v>
      </c>
      <c r="D14" s="24" t="b">
        <v>0</v>
      </c>
      <c r="E14" s="12" t="s">
        <v>274</v>
      </c>
      <c r="F14" s="24" t="s">
        <v>378</v>
      </c>
    </row>
    <row r="15">
      <c r="A15" s="24" t="str">
        <f t="shared" si="1"/>
        <v>#NAME?</v>
      </c>
      <c r="B15" s="12" t="s">
        <v>98</v>
      </c>
      <c r="C15" s="58">
        <v>15.0</v>
      </c>
      <c r="D15" s="24" t="b">
        <v>0</v>
      </c>
      <c r="E15" s="12" t="s">
        <v>97</v>
      </c>
      <c r="F15" s="24" t="s">
        <v>377</v>
      </c>
    </row>
    <row r="16">
      <c r="A16" s="24" t="str">
        <f t="shared" si="1"/>
        <v>#NAME?</v>
      </c>
      <c r="B16" s="63" t="s">
        <v>498</v>
      </c>
      <c r="C16" s="58">
        <v>15.0</v>
      </c>
      <c r="D16" s="24" t="b">
        <v>1</v>
      </c>
      <c r="E16" s="12" t="s">
        <v>158</v>
      </c>
      <c r="F16" s="24" t="s">
        <v>378</v>
      </c>
      <c r="G16" s="5" t="s">
        <v>497</v>
      </c>
    </row>
    <row r="17">
      <c r="A17" s="24" t="str">
        <f t="shared" si="1"/>
        <v>#NAME?</v>
      </c>
      <c r="B17" s="63" t="s">
        <v>499</v>
      </c>
      <c r="C17" s="58">
        <v>15.0</v>
      </c>
      <c r="D17" s="24" t="b">
        <v>0</v>
      </c>
      <c r="E17" s="12" t="s">
        <v>222</v>
      </c>
      <c r="F17" s="24" t="s">
        <v>381</v>
      </c>
      <c r="G17" s="5" t="s">
        <v>500</v>
      </c>
    </row>
    <row r="18">
      <c r="A18" s="24" t="str">
        <f t="shared" si="1"/>
        <v>#NAME?</v>
      </c>
      <c r="B18" s="12" t="s">
        <v>153</v>
      </c>
      <c r="C18" s="58">
        <v>15.0</v>
      </c>
      <c r="D18" s="24" t="b">
        <v>1</v>
      </c>
      <c r="E18" s="12" t="s">
        <v>152</v>
      </c>
      <c r="F18" s="24" t="s">
        <v>378</v>
      </c>
    </row>
    <row r="19">
      <c r="A19" s="24" t="str">
        <f t="shared" si="1"/>
        <v>#NAME?</v>
      </c>
      <c r="B19" s="12" t="s">
        <v>176</v>
      </c>
      <c r="C19" s="58">
        <v>15.0</v>
      </c>
      <c r="D19" s="24" t="b">
        <v>0</v>
      </c>
      <c r="E19" s="12" t="s">
        <v>175</v>
      </c>
      <c r="F19" s="24" t="s">
        <v>382</v>
      </c>
    </row>
    <row r="20">
      <c r="A20" s="24" t="str">
        <f t="shared" si="1"/>
        <v>#NAME?</v>
      </c>
      <c r="B20" s="63" t="s">
        <v>501</v>
      </c>
      <c r="C20" s="58">
        <v>15.0</v>
      </c>
      <c r="D20" s="24" t="b">
        <v>1</v>
      </c>
      <c r="E20" s="12" t="s">
        <v>134</v>
      </c>
      <c r="F20" s="24" t="s">
        <v>384</v>
      </c>
      <c r="G20" s="5" t="s">
        <v>500</v>
      </c>
    </row>
    <row r="21">
      <c r="A21" s="24" t="str">
        <f t="shared" si="1"/>
        <v>#NAME?</v>
      </c>
      <c r="B21" s="63" t="s">
        <v>502</v>
      </c>
      <c r="C21" s="58">
        <v>15.0</v>
      </c>
      <c r="D21" s="24" t="b">
        <v>1</v>
      </c>
      <c r="E21" s="12" t="s">
        <v>150</v>
      </c>
      <c r="F21" s="24" t="s">
        <v>385</v>
      </c>
      <c r="G21" s="5" t="s">
        <v>497</v>
      </c>
    </row>
    <row r="22">
      <c r="A22" s="24" t="str">
        <f t="shared" si="1"/>
        <v>#NAME?</v>
      </c>
      <c r="B22" s="12" t="s">
        <v>178</v>
      </c>
      <c r="C22" s="58">
        <v>15.0</v>
      </c>
      <c r="D22" s="24" t="b">
        <v>1</v>
      </c>
      <c r="E22" s="12" t="s">
        <v>177</v>
      </c>
      <c r="F22" s="24" t="s">
        <v>386</v>
      </c>
    </row>
    <row r="23">
      <c r="A23" s="24" t="str">
        <f t="shared" si="1"/>
        <v>#NAME?</v>
      </c>
      <c r="B23" s="43" t="s">
        <v>157</v>
      </c>
      <c r="C23" s="58">
        <v>15.0</v>
      </c>
      <c r="D23" s="24" t="b">
        <v>0</v>
      </c>
      <c r="E23" s="12" t="s">
        <v>156</v>
      </c>
      <c r="F23" s="24" t="s">
        <v>387</v>
      </c>
    </row>
    <row r="24">
      <c r="A24" s="24" t="str">
        <f t="shared" si="1"/>
        <v>#NAME?</v>
      </c>
      <c r="B24" s="12" t="s">
        <v>121</v>
      </c>
      <c r="C24" s="58">
        <v>15.0</v>
      </c>
      <c r="D24" s="24" t="b">
        <v>0</v>
      </c>
      <c r="E24" s="12" t="s">
        <v>120</v>
      </c>
      <c r="F24" s="24" t="s">
        <v>388</v>
      </c>
    </row>
    <row r="25">
      <c r="A25" s="24" t="str">
        <f t="shared" si="1"/>
        <v>#NAME?</v>
      </c>
      <c r="B25" s="12" t="s">
        <v>247</v>
      </c>
      <c r="C25" s="58">
        <v>15.0</v>
      </c>
      <c r="D25" s="24" t="b">
        <v>0</v>
      </c>
      <c r="E25" s="12" t="s">
        <v>246</v>
      </c>
      <c r="F25" s="24" t="s">
        <v>389</v>
      </c>
    </row>
    <row r="26">
      <c r="A26" s="24" t="str">
        <f t="shared" si="1"/>
        <v>#NAME?</v>
      </c>
      <c r="B26" s="12" t="s">
        <v>268</v>
      </c>
      <c r="C26" s="58">
        <v>15.0</v>
      </c>
      <c r="D26" s="24" t="b">
        <v>0</v>
      </c>
      <c r="E26" s="12" t="s">
        <v>267</v>
      </c>
      <c r="F26" s="24" t="s">
        <v>393</v>
      </c>
    </row>
    <row r="27">
      <c r="A27" s="24" t="str">
        <f t="shared" si="1"/>
        <v>#NAME?</v>
      </c>
      <c r="B27" s="63" t="s">
        <v>503</v>
      </c>
      <c r="C27" s="58">
        <v>15.0</v>
      </c>
      <c r="D27" s="24" t="b">
        <v>0</v>
      </c>
      <c r="E27" s="12" t="s">
        <v>240</v>
      </c>
      <c r="F27" s="24" t="s">
        <v>369</v>
      </c>
      <c r="G27" s="5" t="s">
        <v>497</v>
      </c>
    </row>
    <row r="28">
      <c r="A28" s="24" t="str">
        <f t="shared" si="1"/>
        <v>#NAME?</v>
      </c>
      <c r="B28" s="63" t="s">
        <v>504</v>
      </c>
      <c r="C28" s="58">
        <v>15.0</v>
      </c>
      <c r="D28" s="24" t="b">
        <v>0</v>
      </c>
      <c r="E28" s="12" t="s">
        <v>208</v>
      </c>
      <c r="F28" s="24" t="s">
        <v>385</v>
      </c>
      <c r="G28" s="5" t="s">
        <v>505</v>
      </c>
    </row>
    <row r="29">
      <c r="A29" s="24" t="str">
        <f t="shared" si="1"/>
        <v>#NAME?</v>
      </c>
      <c r="B29" s="12" t="s">
        <v>139</v>
      </c>
      <c r="C29" s="58">
        <v>15.0</v>
      </c>
      <c r="D29" s="24" t="b">
        <v>1</v>
      </c>
      <c r="E29" s="12" t="s">
        <v>138</v>
      </c>
      <c r="F29" s="24" t="s">
        <v>395</v>
      </c>
      <c r="G29" s="24" t="s">
        <v>459</v>
      </c>
    </row>
    <row r="30">
      <c r="A30" s="24" t="str">
        <f t="shared" si="1"/>
        <v>#NAME?</v>
      </c>
      <c r="B30" s="63" t="s">
        <v>506</v>
      </c>
      <c r="C30" s="58">
        <v>15.0</v>
      </c>
      <c r="D30" s="24" t="b">
        <v>1</v>
      </c>
      <c r="E30" s="12" t="s">
        <v>107</v>
      </c>
      <c r="F30" s="24" t="s">
        <v>394</v>
      </c>
      <c r="G30" s="5" t="s">
        <v>500</v>
      </c>
    </row>
    <row r="31">
      <c r="A31" s="24" t="str">
        <f t="shared" si="1"/>
        <v>#NAME?</v>
      </c>
      <c r="B31" s="43" t="s">
        <v>133</v>
      </c>
      <c r="C31" s="58">
        <v>15.0</v>
      </c>
      <c r="D31" s="24" t="b">
        <v>0</v>
      </c>
      <c r="E31" s="12" t="s">
        <v>132</v>
      </c>
      <c r="F31" s="24" t="s">
        <v>375</v>
      </c>
    </row>
    <row r="32">
      <c r="A32" s="24" t="str">
        <f t="shared" si="1"/>
        <v>#NAME?</v>
      </c>
      <c r="B32" s="12" t="s">
        <v>263</v>
      </c>
      <c r="C32" s="58">
        <v>15.0</v>
      </c>
      <c r="D32" s="24" t="b">
        <v>1</v>
      </c>
      <c r="E32" s="12" t="s">
        <v>262</v>
      </c>
      <c r="F32" s="24" t="s">
        <v>384</v>
      </c>
      <c r="G32" s="24" t="s">
        <v>465</v>
      </c>
    </row>
    <row r="33">
      <c r="A33" s="24" t="str">
        <f t="shared" si="1"/>
        <v>#NAME?</v>
      </c>
      <c r="B33" s="43" t="s">
        <v>147</v>
      </c>
      <c r="C33" s="58">
        <v>15.0</v>
      </c>
      <c r="D33" s="24" t="b">
        <v>0</v>
      </c>
      <c r="E33" s="12" t="s">
        <v>146</v>
      </c>
      <c r="F33" s="24" t="s">
        <v>377</v>
      </c>
    </row>
    <row r="34">
      <c r="A34" s="24" t="str">
        <f t="shared" si="1"/>
        <v>#NAME?</v>
      </c>
      <c r="B34" s="12" t="s">
        <v>261</v>
      </c>
      <c r="C34" s="58">
        <v>15.0</v>
      </c>
      <c r="D34" s="24" t="b">
        <v>0</v>
      </c>
      <c r="E34" s="12" t="s">
        <v>260</v>
      </c>
      <c r="F34" s="24" t="s">
        <v>381</v>
      </c>
    </row>
    <row r="35">
      <c r="A35" s="24" t="str">
        <f t="shared" si="1"/>
        <v>#NAME?</v>
      </c>
      <c r="B35" s="12" t="s">
        <v>233</v>
      </c>
      <c r="C35" s="58">
        <v>15.0</v>
      </c>
      <c r="D35" s="24" t="b">
        <v>1</v>
      </c>
      <c r="E35" s="12" t="s">
        <v>232</v>
      </c>
      <c r="F35" s="24" t="s">
        <v>399</v>
      </c>
    </row>
    <row r="36">
      <c r="A36" s="24" t="str">
        <f t="shared" si="1"/>
        <v>#NAME?</v>
      </c>
      <c r="B36" s="12" t="s">
        <v>201</v>
      </c>
      <c r="C36" s="58">
        <v>15.0</v>
      </c>
      <c r="D36" s="24" t="b">
        <v>1</v>
      </c>
      <c r="E36" s="12" t="s">
        <v>200</v>
      </c>
      <c r="F36" s="24" t="s">
        <v>401</v>
      </c>
    </row>
    <row r="37">
      <c r="A37" s="24" t="str">
        <f t="shared" si="1"/>
        <v>#NAME?</v>
      </c>
      <c r="B37" s="43" t="s">
        <v>137</v>
      </c>
      <c r="C37" s="58">
        <v>15.0</v>
      </c>
      <c r="D37" s="24" t="b">
        <v>1</v>
      </c>
      <c r="E37" s="12" t="s">
        <v>136</v>
      </c>
      <c r="F37" s="24" t="s">
        <v>404</v>
      </c>
    </row>
    <row r="38">
      <c r="A38" s="24" t="str">
        <f t="shared" si="1"/>
        <v>#NAME?</v>
      </c>
      <c r="B38" s="63" t="s">
        <v>507</v>
      </c>
      <c r="C38" s="58">
        <v>15.0</v>
      </c>
      <c r="D38" s="24" t="b">
        <v>1</v>
      </c>
      <c r="E38" s="12" t="s">
        <v>124</v>
      </c>
      <c r="F38" s="24" t="s">
        <v>405</v>
      </c>
      <c r="G38" s="5" t="s">
        <v>500</v>
      </c>
    </row>
    <row r="39">
      <c r="A39" s="24" t="str">
        <f t="shared" si="1"/>
        <v>#NAME?</v>
      </c>
      <c r="B39" s="12" t="s">
        <v>292</v>
      </c>
      <c r="C39" s="58">
        <v>15.0</v>
      </c>
      <c r="D39" s="24" t="b">
        <v>1</v>
      </c>
      <c r="E39" s="12" t="s">
        <v>291</v>
      </c>
      <c r="F39" s="24" t="s">
        <v>370</v>
      </c>
    </row>
    <row r="40">
      <c r="A40" s="24" t="str">
        <f t="shared" si="1"/>
        <v>#NAME?</v>
      </c>
      <c r="B40" s="63" t="s">
        <v>508</v>
      </c>
      <c r="C40" s="58">
        <v>15.0</v>
      </c>
      <c r="D40" s="24" t="b">
        <v>0</v>
      </c>
      <c r="E40" s="12" t="s">
        <v>220</v>
      </c>
      <c r="F40" s="24" t="s">
        <v>407</v>
      </c>
      <c r="G40" s="5" t="s">
        <v>505</v>
      </c>
    </row>
    <row r="41">
      <c r="A41" s="24" t="str">
        <f t="shared" si="1"/>
        <v>#NAME?</v>
      </c>
      <c r="B41" s="12" t="s">
        <v>286</v>
      </c>
      <c r="C41" s="58">
        <v>15.0</v>
      </c>
      <c r="D41" s="24" t="b">
        <v>1</v>
      </c>
      <c r="E41" s="12" t="s">
        <v>285</v>
      </c>
      <c r="F41" s="24" t="s">
        <v>409</v>
      </c>
    </row>
    <row r="42">
      <c r="A42" s="24" t="str">
        <f t="shared" si="1"/>
        <v>#NAME?</v>
      </c>
      <c r="B42" s="12" t="s">
        <v>104</v>
      </c>
      <c r="C42" s="58">
        <v>15.0</v>
      </c>
      <c r="D42" s="24" t="b">
        <v>1</v>
      </c>
      <c r="E42" s="12" t="s">
        <v>103</v>
      </c>
      <c r="F42" s="24" t="s">
        <v>410</v>
      </c>
    </row>
    <row r="43">
      <c r="A43" s="24" t="str">
        <f t="shared" si="1"/>
        <v>#NAME?</v>
      </c>
      <c r="B43" s="63" t="s">
        <v>509</v>
      </c>
      <c r="C43" s="58">
        <v>15.0</v>
      </c>
      <c r="D43" s="24" t="b">
        <v>1</v>
      </c>
      <c r="E43" s="12" t="s">
        <v>166</v>
      </c>
      <c r="F43" s="24" t="s">
        <v>411</v>
      </c>
      <c r="G43" s="5" t="s">
        <v>505</v>
      </c>
    </row>
    <row r="44">
      <c r="A44" s="24" t="str">
        <f t="shared" si="1"/>
        <v>#NAME?</v>
      </c>
      <c r="B44" s="43" t="s">
        <v>288</v>
      </c>
      <c r="C44" s="58">
        <v>15.0</v>
      </c>
      <c r="D44" s="24" t="b">
        <v>0</v>
      </c>
      <c r="E44" s="12" t="s">
        <v>287</v>
      </c>
      <c r="F44" s="24" t="s">
        <v>365</v>
      </c>
    </row>
    <row r="45">
      <c r="A45" s="24" t="str">
        <f t="shared" si="1"/>
        <v>#NAME?</v>
      </c>
      <c r="B45" s="12" t="s">
        <v>253</v>
      </c>
      <c r="C45" s="58">
        <v>15.0</v>
      </c>
      <c r="D45" s="24" t="b">
        <v>1</v>
      </c>
      <c r="E45" s="12" t="s">
        <v>252</v>
      </c>
      <c r="F45" s="24" t="s">
        <v>381</v>
      </c>
    </row>
    <row r="46">
      <c r="A46" s="24" t="str">
        <f t="shared" si="1"/>
        <v>#NAME?</v>
      </c>
      <c r="B46" s="12" t="s">
        <v>237</v>
      </c>
      <c r="C46" s="58">
        <v>15.0</v>
      </c>
      <c r="D46" s="24" t="b">
        <v>1</v>
      </c>
      <c r="E46" s="12" t="s">
        <v>236</v>
      </c>
      <c r="F46" s="24" t="s">
        <v>414</v>
      </c>
    </row>
    <row r="47">
      <c r="A47" s="24" t="str">
        <f t="shared" si="1"/>
        <v>#NAME?</v>
      </c>
      <c r="B47" s="12" t="s">
        <v>127</v>
      </c>
      <c r="C47" s="58">
        <v>15.0</v>
      </c>
      <c r="D47" s="24" t="b">
        <v>1</v>
      </c>
      <c r="E47" s="12" t="s">
        <v>126</v>
      </c>
      <c r="F47" s="24" t="s">
        <v>415</v>
      </c>
    </row>
    <row r="48">
      <c r="A48" s="24" t="str">
        <f t="shared" si="1"/>
        <v>#NAME?</v>
      </c>
      <c r="B48" s="63" t="s">
        <v>510</v>
      </c>
      <c r="C48" s="58">
        <v>15.0</v>
      </c>
      <c r="D48" s="24" t="b">
        <v>0</v>
      </c>
      <c r="E48" s="12" t="s">
        <v>283</v>
      </c>
      <c r="F48" s="24" t="s">
        <v>417</v>
      </c>
      <c r="G48" s="5" t="s">
        <v>500</v>
      </c>
    </row>
    <row r="49">
      <c r="A49" s="24" t="str">
        <f t="shared" si="1"/>
        <v>#NAME?</v>
      </c>
      <c r="B49" s="12" t="s">
        <v>227</v>
      </c>
      <c r="C49" s="58">
        <v>15.0</v>
      </c>
      <c r="D49" s="24" t="b">
        <v>0</v>
      </c>
      <c r="E49" s="12" t="s">
        <v>226</v>
      </c>
      <c r="F49" s="24" t="s">
        <v>418</v>
      </c>
    </row>
    <row r="50">
      <c r="A50" s="24" t="str">
        <f t="shared" si="1"/>
        <v>#NAME?</v>
      </c>
      <c r="B50" s="43" t="s">
        <v>303</v>
      </c>
      <c r="C50" s="58">
        <v>15.0</v>
      </c>
      <c r="D50" s="24" t="b">
        <v>0</v>
      </c>
      <c r="E50" s="12" t="s">
        <v>302</v>
      </c>
      <c r="F50" s="24" t="s">
        <v>413</v>
      </c>
    </row>
    <row r="51">
      <c r="A51" s="24" t="str">
        <f t="shared" si="1"/>
        <v>#NAME?</v>
      </c>
      <c r="B51" s="12" t="s">
        <v>113</v>
      </c>
      <c r="C51" s="58">
        <v>15.0</v>
      </c>
      <c r="D51" s="24" t="b">
        <v>1</v>
      </c>
      <c r="E51" s="12" t="s">
        <v>112</v>
      </c>
      <c r="F51" s="24" t="s">
        <v>419</v>
      </c>
    </row>
    <row r="52">
      <c r="A52" s="24" t="str">
        <f t="shared" si="1"/>
        <v>#NAME?</v>
      </c>
      <c r="B52" s="63" t="s">
        <v>511</v>
      </c>
      <c r="C52" s="58">
        <v>15.0</v>
      </c>
      <c r="D52" s="24" t="b">
        <v>0</v>
      </c>
      <c r="E52" s="12" t="s">
        <v>271</v>
      </c>
      <c r="F52" s="24" t="s">
        <v>389</v>
      </c>
      <c r="G52" s="5" t="s">
        <v>500</v>
      </c>
    </row>
    <row r="53">
      <c r="A53" s="24" t="str">
        <f t="shared" si="1"/>
        <v>#NAME?</v>
      </c>
      <c r="B53" s="12" t="s">
        <v>295</v>
      </c>
      <c r="C53" s="58">
        <v>15.0</v>
      </c>
      <c r="D53" s="24" t="b">
        <v>1</v>
      </c>
      <c r="E53" s="12" t="s">
        <v>294</v>
      </c>
      <c r="F53" s="24" t="s">
        <v>405</v>
      </c>
      <c r="G53" s="24" t="s">
        <v>484</v>
      </c>
    </row>
    <row r="54">
      <c r="A54" s="24" t="str">
        <f t="shared" si="1"/>
        <v>#NAME?</v>
      </c>
      <c r="B54" s="63" t="s">
        <v>512</v>
      </c>
      <c r="C54" s="58">
        <v>15.0</v>
      </c>
      <c r="D54" s="24" t="b">
        <v>1</v>
      </c>
      <c r="E54" s="12" t="s">
        <v>216</v>
      </c>
      <c r="F54" s="24" t="s">
        <v>424</v>
      </c>
      <c r="G54" s="5" t="s">
        <v>500</v>
      </c>
    </row>
    <row r="55">
      <c r="A55" s="24" t="str">
        <f t="shared" si="1"/>
        <v>#NAME?</v>
      </c>
      <c r="B55" s="43" t="s">
        <v>305</v>
      </c>
      <c r="C55" s="58">
        <v>15.0</v>
      </c>
      <c r="D55" s="24" t="b">
        <v>1</v>
      </c>
      <c r="E55" s="12" t="s">
        <v>304</v>
      </c>
      <c r="F55" s="24" t="s">
        <v>401</v>
      </c>
    </row>
    <row r="56">
      <c r="A56" s="24" t="str">
        <f t="shared" si="1"/>
        <v>#NAME?</v>
      </c>
      <c r="B56" s="12" t="s">
        <v>203</v>
      </c>
      <c r="C56" s="58">
        <v>15.0</v>
      </c>
      <c r="D56" s="24" t="b">
        <v>1</v>
      </c>
      <c r="E56" s="12" t="s">
        <v>202</v>
      </c>
      <c r="F56" s="24" t="s">
        <v>425</v>
      </c>
    </row>
    <row r="57">
      <c r="A57" s="24" t="str">
        <f t="shared" si="1"/>
        <v>#NAME?</v>
      </c>
      <c r="B57" s="12" t="s">
        <v>219</v>
      </c>
      <c r="C57" s="58">
        <v>15.0</v>
      </c>
      <c r="D57" s="24" t="b">
        <v>0</v>
      </c>
      <c r="E57" s="12" t="s">
        <v>218</v>
      </c>
      <c r="F57" s="24" t="s">
        <v>365</v>
      </c>
    </row>
    <row r="58">
      <c r="A58" s="24" t="str">
        <f t="shared" si="1"/>
        <v>#NAME?</v>
      </c>
      <c r="B58" s="63" t="s">
        <v>513</v>
      </c>
      <c r="C58" s="58">
        <v>15.0</v>
      </c>
      <c r="D58" s="24" t="b">
        <v>1</v>
      </c>
      <c r="E58" s="12" t="s">
        <v>130</v>
      </c>
      <c r="F58" s="24" t="s">
        <v>402</v>
      </c>
      <c r="G58" s="5" t="s">
        <v>497</v>
      </c>
    </row>
    <row r="59">
      <c r="A59" s="24" t="str">
        <f t="shared" si="1"/>
        <v>#NAME?</v>
      </c>
      <c r="B59" s="12" t="s">
        <v>187</v>
      </c>
      <c r="C59" s="58">
        <v>15.0</v>
      </c>
      <c r="D59" s="24" t="b">
        <v>1</v>
      </c>
      <c r="E59" s="12" t="s">
        <v>186</v>
      </c>
      <c r="F59" s="24" t="s">
        <v>377</v>
      </c>
    </row>
    <row r="60">
      <c r="A60" s="24" t="str">
        <f t="shared" si="1"/>
        <v>#NAME?</v>
      </c>
      <c r="B60" s="12" t="s">
        <v>255</v>
      </c>
      <c r="C60" s="58">
        <v>15.0</v>
      </c>
      <c r="D60" s="24" t="b">
        <v>1</v>
      </c>
      <c r="E60" s="12" t="s">
        <v>254</v>
      </c>
      <c r="F60" s="24" t="s">
        <v>403</v>
      </c>
    </row>
    <row r="61">
      <c r="A61" s="24" t="str">
        <f t="shared" si="1"/>
        <v>#NAME?</v>
      </c>
      <c r="B61" s="43" t="s">
        <v>207</v>
      </c>
      <c r="C61" s="58">
        <v>15.0</v>
      </c>
      <c r="D61" s="24" t="b">
        <v>1</v>
      </c>
      <c r="E61" s="12" t="s">
        <v>206</v>
      </c>
      <c r="F61" s="24" t="s">
        <v>390</v>
      </c>
    </row>
    <row r="62">
      <c r="A62" s="24" t="str">
        <f t="shared" si="1"/>
        <v>#NAME?</v>
      </c>
      <c r="B62" s="12" t="s">
        <v>249</v>
      </c>
      <c r="C62" s="58">
        <v>15.0</v>
      </c>
      <c r="D62" s="24" t="b">
        <v>0</v>
      </c>
      <c r="E62" s="12" t="s">
        <v>248</v>
      </c>
      <c r="F62" s="24" t="s">
        <v>369</v>
      </c>
    </row>
    <row r="63">
      <c r="A63" s="24" t="str">
        <f t="shared" si="1"/>
        <v>#NAME?</v>
      </c>
      <c r="B63" s="12" t="s">
        <v>251</v>
      </c>
      <c r="C63" s="58">
        <v>15.0</v>
      </c>
      <c r="D63" s="24" t="b">
        <v>1</v>
      </c>
      <c r="E63" s="12" t="s">
        <v>250</v>
      </c>
      <c r="F63" s="24" t="s">
        <v>394</v>
      </c>
    </row>
    <row r="64">
      <c r="A64" s="24" t="str">
        <f t="shared" si="1"/>
        <v>#NAME?</v>
      </c>
      <c r="B64" s="12" t="s">
        <v>115</v>
      </c>
      <c r="C64" s="58">
        <v>15.0</v>
      </c>
      <c r="D64" s="24" t="b">
        <v>1</v>
      </c>
      <c r="E64" s="12" t="s">
        <v>114</v>
      </c>
      <c r="F64" s="24" t="s">
        <v>429</v>
      </c>
    </row>
    <row r="65">
      <c r="A65" s="24" t="str">
        <f t="shared" si="1"/>
        <v>#NAME?</v>
      </c>
      <c r="B65" s="12" t="s">
        <v>106</v>
      </c>
      <c r="C65" s="58">
        <v>15.0</v>
      </c>
      <c r="D65" s="24" t="b">
        <v>1</v>
      </c>
      <c r="E65" s="12" t="s">
        <v>105</v>
      </c>
      <c r="F65" s="24" t="s">
        <v>395</v>
      </c>
    </row>
    <row r="66">
      <c r="A66" s="24" t="str">
        <f t="shared" si="1"/>
        <v>#NAME?</v>
      </c>
      <c r="B66" s="43" t="s">
        <v>149</v>
      </c>
      <c r="C66" s="58">
        <v>15.0</v>
      </c>
      <c r="D66" s="24" t="b">
        <v>0</v>
      </c>
      <c r="E66" s="12" t="s">
        <v>148</v>
      </c>
      <c r="F66" s="24" t="s">
        <v>369</v>
      </c>
    </row>
    <row r="67">
      <c r="A67" s="24" t="str">
        <f t="shared" si="1"/>
        <v>#NAME?</v>
      </c>
      <c r="B67" s="12" t="s">
        <v>279</v>
      </c>
      <c r="C67" s="58">
        <v>15.0</v>
      </c>
      <c r="D67" s="24" t="b">
        <v>1</v>
      </c>
      <c r="E67" s="12" t="s">
        <v>278</v>
      </c>
      <c r="F67" s="24" t="s">
        <v>432</v>
      </c>
    </row>
    <row r="68">
      <c r="A68" s="24" t="str">
        <f t="shared" si="1"/>
        <v>#NAME?</v>
      </c>
      <c r="B68" s="12" t="s">
        <v>231</v>
      </c>
      <c r="C68" s="58">
        <v>15.0</v>
      </c>
      <c r="D68" s="24" t="b">
        <v>1</v>
      </c>
      <c r="E68" s="12" t="s">
        <v>230</v>
      </c>
      <c r="F68" s="24" t="s">
        <v>430</v>
      </c>
    </row>
    <row r="69">
      <c r="A69" s="24" t="str">
        <f t="shared" si="1"/>
        <v>#NAME?</v>
      </c>
      <c r="B69" s="12" t="s">
        <v>229</v>
      </c>
      <c r="C69" s="58">
        <v>15.0</v>
      </c>
      <c r="D69" s="24" t="b">
        <v>1</v>
      </c>
      <c r="E69" s="12" t="s">
        <v>228</v>
      </c>
      <c r="F69" s="24" t="s">
        <v>395</v>
      </c>
    </row>
    <row r="70">
      <c r="A70" s="24" t="str">
        <f t="shared" si="1"/>
        <v>#NAME?</v>
      </c>
      <c r="B70" s="63" t="s">
        <v>514</v>
      </c>
      <c r="C70" s="58">
        <v>15.0</v>
      </c>
      <c r="D70" s="24" t="b">
        <v>0</v>
      </c>
      <c r="E70" s="12" t="s">
        <v>296</v>
      </c>
      <c r="F70" s="24" t="s">
        <v>436</v>
      </c>
      <c r="G70" s="5" t="s">
        <v>500</v>
      </c>
    </row>
    <row r="71">
      <c r="A71" s="24" t="str">
        <f t="shared" si="1"/>
        <v>#NAME?</v>
      </c>
      <c r="B71" s="43" t="s">
        <v>165</v>
      </c>
      <c r="C71" s="58">
        <v>15.0</v>
      </c>
      <c r="D71" s="24" t="b">
        <v>1</v>
      </c>
      <c r="E71" s="12" t="s">
        <v>164</v>
      </c>
      <c r="F71" s="24" t="s">
        <v>389</v>
      </c>
    </row>
    <row r="72">
      <c r="A72" s="24" t="str">
        <f t="shared" si="1"/>
        <v>#NAME?</v>
      </c>
      <c r="B72" s="12" t="s">
        <v>189</v>
      </c>
      <c r="C72" s="58">
        <v>15.0</v>
      </c>
      <c r="D72" s="24" t="b">
        <v>1</v>
      </c>
      <c r="E72" s="12" t="s">
        <v>188</v>
      </c>
      <c r="F72" s="24" t="s">
        <v>399</v>
      </c>
    </row>
  </sheetData>
  <drawing r:id="rId1"/>
</worksheet>
</file>