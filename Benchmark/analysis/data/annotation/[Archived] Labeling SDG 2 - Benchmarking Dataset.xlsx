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 state="visible" name="Remaining" sheetId="10" r:id="rId13"/>
  </sheets>
  <definedNames>
    <definedName hidden="1" localSheetId="7" name="_xlnm._FilterDatabase">'Final Review'!$A$1:$T$101</definedName>
    <definedName hidden="1" localSheetId="8" name="_xlnm._FilterDatabase">Output!$A$1:$G$961</definedName>
  </definedNames>
  <calcPr/>
</workbook>
</file>

<file path=xl/sharedStrings.xml><?xml version="1.0" encoding="utf-8"?>
<sst xmlns="http://schemas.openxmlformats.org/spreadsheetml/2006/main" count="2304" uniqueCount="444">
  <si>
    <t>Hello 👋</t>
  </si>
  <si>
    <t>Welcome to the labeling exercise for SDG 2.</t>
  </si>
  <si>
    <t>The objective of this exercise is to label 100 texts in terms of their relevance to SDG 2.</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</si>
  <si>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</si>
  <si>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</si>
  <si>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</si>
  <si>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</si>
  <si>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</si>
  <si>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</si>
  <si>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</si>
  <si>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</si>
  <si>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</si>
  <si>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2</t>
  </si>
  <si>
    <t>This text is not relevant to SDG 2</t>
  </si>
  <si>
    <t>SKIP</t>
  </si>
  <si>
    <t>You can use this if you are not sure about the label</t>
  </si>
  <si>
    <t>If you want, you can put any comments in column D.</t>
  </si>
  <si>
    <t>Instructions for Labeling</t>
  </si>
  <si>
    <t>The text should be annotated as SDG 2 only if:</t>
  </si>
  <si>
    <r>
      <rPr>
        <rFont val="Arial"/>
        <color theme="1"/>
        <u/>
      </rPr>
      <t xml:space="preserve">1. The text addresses </t>
    </r>
    <r>
      <rPr>
        <rFont val="Arial"/>
        <b/>
        <color theme="1"/>
        <u/>
      </rPr>
      <t>SDG 2 or one of its targets</t>
    </r>
  </si>
  <si>
    <t>See the official definitions of SDG 2 and its targets below ("SDG 2 Description &amp; Targets").</t>
  </si>
  <si>
    <t>AND</t>
  </si>
  <si>
    <r>
      <rPr>
        <rFont val="Arial"/>
        <color theme="1"/>
        <u/>
      </rPr>
      <t xml:space="preserve">2. The text addresses SDG 2 or its targets </t>
    </r>
    <r>
      <rPr>
        <rFont val="Arial"/>
        <b/>
        <color theme="1"/>
        <u/>
      </rPr>
      <t>directly</t>
    </r>
    <r>
      <rPr>
        <rFont val="Arial"/>
        <color theme="1"/>
        <u/>
      </rPr>
      <t>:</t>
    </r>
  </si>
  <si>
    <t>- the text should be directly relevant to SDG 2 or to achieving SDG 2</t>
  </si>
  <si>
    <t>- if a text only has an indirect or implicit relevance, it should not be labeled SDG 2</t>
  </si>
  <si>
    <r>
      <rPr>
        <rFont val="Arial"/>
        <color theme="1"/>
        <u/>
      </rPr>
      <t xml:space="preserve">3. The text addresses SDG 2 or its targets </t>
    </r>
    <r>
      <rPr>
        <rFont val="Arial"/>
        <b/>
        <color theme="1"/>
        <u/>
      </rPr>
      <t>specifically</t>
    </r>
    <r>
      <rPr>
        <rFont val="Arial"/>
        <color theme="1"/>
        <u/>
      </rPr>
      <t>:</t>
    </r>
  </si>
  <si>
    <t>- the text should be specific to SDG 2 and its targets</t>
  </si>
  <si>
    <t>- if fact stating, the text should contain value-laden words (e.g. renewable energy instead of energy, drug abuse instead of drugs, infant mortality instead of premature deaths)</t>
  </si>
  <si>
    <r>
      <rPr>
        <rFont val="Arial"/>
        <color theme="1"/>
        <u/>
      </rPr>
      <t xml:space="preserve">4. Annotate as SDG 2 regardless of </t>
    </r>
    <r>
      <rPr>
        <rFont val="Arial"/>
        <b/>
        <color theme="1"/>
        <u/>
      </rPr>
      <t>valence</t>
    </r>
    <r>
      <rPr>
        <rFont val="Arial"/>
        <color theme="1"/>
        <u/>
      </rPr>
      <t xml:space="preserve"> and </t>
    </r>
    <r>
      <rPr>
        <rFont val="Arial"/>
        <b/>
        <color theme="1"/>
        <u/>
      </rPr>
      <t>other SDGs</t>
    </r>
    <r>
      <rPr>
        <rFont val="Arial"/>
        <color theme="1"/>
        <u/>
      </rPr>
      <t>:</t>
    </r>
  </si>
  <si>
    <t>- annotate as SDG 2 regardless of whether the content is discussed in a positive or negative light. We ignore valence (sentiment) for now.</t>
  </si>
  <si>
    <t>- annotate as SDG 2 even if other SDGs are mentioned and annotate as SDG 2 even if SDG 2 is not the "most important" SDG in the text</t>
  </si>
  <si>
    <t>With all that said, please do trust your judgment! I am sure we will have important discussions about these issues next time — which is exactly what we want 😊</t>
  </si>
  <si>
    <t>SDG 2 Description &amp; Targets</t>
  </si>
  <si>
    <t>The official text for SDG 2 is: "End hunger, achieve food security and improved nutrition and promote sustainable agriculture". Below you can see the targets for SDG 2.</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</si>
  <si>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</si>
  <si>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</si>
  <si>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</si>
  <si>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</si>
  <si>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</si>
  <si>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</si>
  <si>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</si>
  <si>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</si>
  <si>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</si>
  <si>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</si>
  <si>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</si>
  <si>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</si>
  <si>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</si>
  <si>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2. The reason for selecting each text is documented in the "Source" sheet.</t>
  </si>
  <si>
    <t>Automatic Selection (50 texts)</t>
  </si>
  <si>
    <t>50 texts were selected automatically</t>
  </si>
  <si>
    <t>- 25 texts that OSDG community labeled as "SDG 2"</t>
  </si>
  <si>
    <t>- 25 texts that OSDG community labeled as "not SDG 2"</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</si>
  <si>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</si>
  <si>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</si>
  <si>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</si>
  <si>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</si>
  <si>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</si>
  <si>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</si>
  <si>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</si>
  <si>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</si>
  <si>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</si>
  <si>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20 texts were selected manually to try to cover the 8 targets of SDG 2.</t>
  </si>
  <si>
    <t>20 texts were selected manually to try to cover words used in the 8 targets of SDG 2 (but are not about SDG 2 according to the OSDG community "vote")</t>
  </si>
  <si>
    <t>For each target, 2 positive texts, 2 negative texts and 1 text with a tie were selected.</t>
  </si>
  <si>
    <t>Additionally, 5 positive texts and 5 negative texts were selected to cover the SDG as a whole.</t>
  </si>
  <si>
    <t>Text ID</t>
  </si>
  <si>
    <t>Text</t>
  </si>
  <si>
    <t>SDG 2 Label</t>
  </si>
  <si>
    <t>Comments (optional)</t>
  </si>
  <si>
    <t>2532065ecd054ca65ed9d5102de8d99a</t>
  </si>
  <si>
    <t>The main change is due to the need to allocate programmes under Inspection Services and Marketing and promotion into new sub-categories. In particular the inspection and control programmes implemented by the inspection agency SENASICA include inspection, pest and diseases and input components. Good budgetary information for the allocation of this expenditure to different sub-categories was not available and allocation was provisionally done in equal amounts. New information is being collected with the view of improving this allocation in the next monitoring cycle.</t>
  </si>
  <si>
    <t>31b6cccd55e2670d4100d7f334e38649</t>
  </si>
  <si>
    <t>The complexity of agricultural ecosystems makes it difficult to accurately measure, quantify and monitor the biogeochemical and natural resource flows that underlie agriculture. There is a lack of analytical tools and mechanisms readily available to measure, value and account for resource use and loss in agricultural production systems. Several efforts are under way to remedy this situation, for example within the framework of the World Overview of Conservation Approaches and Technology (WOCAT) and the Land Degradation Assessment in Drylands (LADA) project.</t>
  </si>
  <si>
    <t>sustainable agriculture (overarching)</t>
  </si>
  <si>
    <t>bb5b864dcde19e1998e19f292cd99883</t>
  </si>
  <si>
    <t>Obesily ond the food system Ironsformolion in Lolin Americo. Climate change and food security: risks and responses. World Economic and Social Survey 2016 -Climate Change Resilience: An Opportunity for Reducing Inequalities. Contribution of Working Groups I, II and III to the Fifth Assessment Report of the Intergovernmental Panel on Climate Change. (</t>
  </si>
  <si>
    <t>cb38c226212df16bef2e71250c097c15</t>
  </si>
  <si>
    <t>Their impacts on nutrition may also vary according to the economic and nutritional context of the country. Agricultural policies that provide appropriate incentives and clear market signals that promote the sustainable intensification and diversification of production will improve nutrition more effectively. On the other hand, the Common Agricultural Policy in European countries actually raises consumer prices of sugar and dairy products relative to prices of fruits and vegetables and thus may have a small positive impact on the overall healthiness of European diets (Capacci eta/., 2012).</t>
  </si>
  <si>
    <t>eb3879fb41704a71e0f27028587a8106</t>
  </si>
  <si>
    <t>Promoting niche markets through denomination of origin, eco-labelling, fair trade, organic and slow food initiatives, geographic indication, globally important agricultural heritage systems, and one-village-one-product intiatives may be particularly useful. Therefore, PGRFA include both farmers'varieties/landraces and modern cultivars of staple crops as well as NUS.The development and implementation of policies are a key component in promoting NUS/FSF into agricultural production systems (FAO, 2015a). Following this, the Rome Declaration on Nutrition included the call to "Promote the diversification of crops including underutilized traditional crops, more production of fruits and vegetables, and appropriate production of animal-source products as needed, applying sustainable food production and natural resource management practices" (FAO, 2014a). These commitments have become even more compelling with the imperative of achieving the SDGs by 2030. In general, in developing countries, the attainment of this objective even for staple crops, and more so for NUS, remains a seemingly intractable problem.</t>
  </si>
  <si>
    <t>8f465586d7975b49d38988535499324d</t>
  </si>
  <si>
    <t>Credit resources could be re-directed to support long-term investment and increasingly allocated to w'ell-specified innovation, environmental, and infrastructure projects. Consider a gradual downsizing of concessional loans for working capital to commercial producers. Enhance criteria for loan eligibility to better screen out borrowers that would have invested without support.</t>
  </si>
  <si>
    <t>d684a38c613e4fb04288830791241425</t>
  </si>
  <si>
    <t>While rice fills the stomach, a rice-dominated diet provides only low to zero amounts of protein, amino acids and essential micronutrients, which can be found, for example, in pulses, fruits, nuts, tubers, vegetables, fish, meat and edible insects. The dependency on rice leads to insufficient intake of nutrient-rich foods, which in turn leads to a significant'nutrition gap'. Dietary diversity is low when there is high consumption of cereals, mainly rice, but relatively low intakes of vegetables, fruits and pulses which are known to be rich in micronutrients and fibre.</t>
  </si>
  <si>
    <t>ed734b54a62ee1b417b8227e3545e68f</t>
  </si>
  <si>
    <t>This largely reflects investment support for constructing facilities to collect, store and process agricultural products. Environmental cross-compliance requirements are gradually emerging. The six SEE economies are relatively well integrated into the world trading system. All six economies are signatories of the Central European Free Trade Agreement (CEFTA), through which they have achieved full tariff liberalisation on trade in agricultural goods.</t>
  </si>
  <si>
    <t>target 2.b</t>
  </si>
  <si>
    <t>1641e7eb2c04fe59dbc2bed76c50e411</t>
  </si>
  <si>
    <t>The white sugar premium is projected at nearly USD 100/t, yet narrowing over the decade. Profitability of the ethanol sector should improve slightly in the coming years, because the margin between feedstock and ethanol prices is expected to increase in real terms. With biodiesel demand being mosdy policy and not market driven, biodiesel prices are expected to follow the evolution of vegetable oil prices. After a 2010 cotton price spike, driven by macroeconomic volatility and policy changes in key countries, prices have declined significantly in recent years but cotton prices are expected to remain relatively stable during 2014-23 as the assumptions regarding policy and macroeconomic stability do not indicate any future price run-ups.</t>
  </si>
  <si>
    <t>target 2.c</t>
  </si>
  <si>
    <t>4b7d23f7a86b989a624080ef28cde245</t>
  </si>
  <si>
    <t>The recent food crisis and slow progress towards the achievement of the Millennium Development Goal of eradicating hunger have highlighted the wide disparities in technologies used and productivity achieved in different agricultural systems. While input and resource-intensive agriculture is the norm in many developed and middle-income developing countries, many developing countries continue to rely on low-input, low-productivity agriculture. Even as the former group of countries need to shift towards less intensive and more environmentally sound methods, farmers in many developing countries would benefit from greater input use.</t>
  </si>
  <si>
    <t>035b2faad544481608e939c50a4c17a7</t>
  </si>
  <si>
    <t>Brazil's cotton production is expected to grow even faster than the world’s largest cotton producer, India, which has a greater potential for higher yield growth as it starts from a low base. During the course of the next ten years, Brazil is expected to draw-down cotton stocks. Changing competition for resources to produce other commodities is also expected to influence the outlook for cotton markets.</t>
  </si>
  <si>
    <t>27fb4d1c05312bddb8ada4d17838a28e</t>
  </si>
  <si>
    <t>The regional average dependency ratio (i.e. the ratio of people younger than 15 to the working-age population in the 15-64 year range) totalled 74.7% (UNFPA, 2015). An ever increasing and younger population is a distinctive feature of West Africa: the total population is projected to almost double and approach 600 million by 2050 (OECD/SWAC, 2013). From 1950 to 2010, the percentage of urban dwellers increased from 9% to 41% and this figure is projected to soar to 67% by 2050 (Moriconi-Ebrard, Harre and Heinrigs, 2016, OECD/SWAC, 2013). Urban growth concerns old and new towns, larger cities and smaller and rural centres alike (Ibidem).</t>
  </si>
  <si>
    <t>9628e25b6601176ef6f0d49f09bc913e</t>
  </si>
  <si>
    <t>Bt cotton8 and corn, for example, use less herbicides and pesticides, but if these crop varieties develop resistance to the less toxic chemical herbicides and pesticides, future more toxic inputs may be required. In this case, adoption of transgenic crops could have large negative ecological implications if “GE crops are adopted more widely in developing countries where domesticated crops have wild relatives” (Ervin, Glenna and Jussaume, 2010, p. 7). Innovative mechanisms designed to engage the private sector need to be explored: results-based performance contracts—for the development, for example, of improved seed or crop varieties with higher water-stress tolerance and greater responsiveness to fertilizers—granted on a competitive basis may be one means of stimulating private research.</t>
  </si>
  <si>
    <t>sustainable agriculture</t>
  </si>
  <si>
    <t>f1b3b331d543d8400419570bd9e41e68</t>
  </si>
  <si>
    <t>The main conditions for forming a successful PPP include: common objective, mutual benefits, complementarity of human and financial resources, clear institutional arrangements, good governance, transparency and public leadership. The new legal framework for PPPs in agriculture, to be refined in two circulars that MARD is developing, should thus clearly state the respective roles and responsibilities of the public and private sectors. There are a large number of cases, e.g. in providing financial support to agriculture or in food safety regulatory regime, in which co-ordination between various agencies both at the central government level and between central and local governments is weak.</t>
  </si>
  <si>
    <t>target 2.3</t>
  </si>
  <si>
    <t>36590da7881cc60021cd712b2fba6988</t>
  </si>
  <si>
    <t>Table 10 summarises risk-related policies following this two dimensional approach, which allows one to highlight several general features of New Zealand’s policies. Risk management policies in New Zealand fall predominantly under the efficiency objective. These measures are largely focused on reducing transactions cost (by establishing regulations conducive to competition and adaptation, and creating a stable macroeconomic framework), addressing the problem of asymmetric information (e.g. through research and information), and addressing the problem of externalities (e.g. biosecurity measures).</t>
  </si>
  <si>
    <t>f634804dcae42abe19e97ec75564ac9c</t>
  </si>
  <si>
    <t>A broader analysis of the financial sector in Myanmar can be found in Chapter 6 on financial sector development. While agriculture employs up to 61.2% of the workforce, only 1-3% of the volume of formal bank loans is extended to the agricultural sector. Although its lending has increased in recent years, it provides only short-term seasonal loans that cover a limited share of the production costs and continues to prioritise rice farmers. Other formal lenders have been unable to fill the gap.</t>
  </si>
  <si>
    <t>42b7c78961c84bd4b4bf3893c0fdc7e7</t>
  </si>
  <si>
    <t>Investment in R&amp;D has resulted in high growth in Brazilian scientific knowledge, particularly within tropical agriculture. Embrapa has provided comprehensive recommendations ranging from how to correct acid soils and low fertility, the development of varieties that are adapted to the low latitudes and higher temperatures of tropical environments, and to pest and disease control and production systems. Universities also produce high level research in areas complementing Embrapa’s activities, such as in nutrition, health and the environment. This mechanism facilitates participation in global or regional agricultural research networks. Embrapa is also actively collaborating on technology transfer and adaptive research with developing economies, with an emphasis on tropical areas in Latin America, the Caribbean and Africa.</t>
  </si>
  <si>
    <t>29b14c84a982842d81c0feb3200090e8</t>
  </si>
  <si>
    <t>As forests are lost, their capacity to sequester carbon is reduced. However, the extent to which the carbon loss due to tropical deforestation is offset by expanding forest areas and accumulating woody biomass in the boreal and temperate zones is disputed. Also relevant are biomass fires, including peatland fires and drained peatlands, which account for emissions of 0.3 and 0.9 GtC02-eq a year respectively). It retains biodiversity and ecosystem functions and, in large land areas, influences local weather patterns, which can have impacts on food production (Siikamaki and Newbold, 2012). Reduction of forest fires improves local air quality which has health benefits for communities living in and around forests Mery et al.</t>
  </si>
  <si>
    <t>cc7c8ddf589e45f25107964d4abcd68d</t>
  </si>
  <si>
    <t>Excessive use of agrochemicals (pesticides and fertilizers) contaminates waterways. Energy production and climate change are also main causes of water scarcity. For instance, use of traditional sources for energy production results in increased greenhouse gas emissions and climate change, increasing the frequency and intensity of extreme climatic events such as flood and droughts, sea-level rise, and the loss of glacial and polar sea ice, all of which contribute to water scarcity.</t>
  </si>
  <si>
    <t>cf4918c28035c47bd1e98be93c7ca349</t>
  </si>
  <si>
    <t>In an integrated world, this difference prevents the regional economy from managing at its own pace the gradual transfer of the active population from agricultural activities to modern-type activities, faced with the import of goods from advanced countries. The sudden appearance on the world market of emerging economies draining the entire investment capacity of the advanced economies may mean that Africa remains limited to exporting primary products (agricultural and mined), postponing industrialisation consistent with the growth of its population. This growth is penalising the consumption and saving potential of households, limiting the ability of the regional market to support a change in production.</t>
  </si>
  <si>
    <t>ca4bdfd976b99a24b155471befc072e8</t>
  </si>
  <si>
    <t>Through increasing market size, suitable infrastructure may also promote competition and the adoption of productivity-enhancing technologies. Given such positive externalities, there is often an argument for government provision. Nevertheless, it is also important that framework conditions are designed in a way that encourages private sector infrastructure investment. Without a sufficient network of roads and ports, improvements in farm productivity could result in lower local prices for a commodity at the same time as there is inadequate supply in other provinces.</t>
  </si>
  <si>
    <t>farm productivity (target 2.3)</t>
  </si>
  <si>
    <t>1bf623143e7014fc9dd682a2ef7a6c2c</t>
  </si>
  <si>
    <t>However, line ministries have greater influence in setting NTBs. They are generally more protectionist and influenced by interest groups. Hence trade policy is a continuous battleground, and a change of key ministerial personalities can easily result in a more protectionist trade policy regime. This is the crux of Indonesia’s trade policy challenge: no minister or agency has control over the full array of trade policy instruments, and is able to adopt an economy-wide public interest viewpoint.</t>
  </si>
  <si>
    <t>NTB = non-tariff barriers</t>
  </si>
  <si>
    <t>49f3a0536d5bd07600ff64aa74eb63ef</t>
  </si>
  <si>
    <t>The elimination of most public stocks in OECD countries and the privatization of most State-trading enterprises have concentrated knowledge concerning agricultural commodity availability in the hands of a small number of companies which maintain this information as proprietary. One of the most important elements of the Action Plan on Food Price Volatility, agreed by the G20 Agriculture Ministers at their meeting held in Paris on 22 and 23 June 2011, was the launching of the Agricultural Market Information System (AMIS) to improve market information and transparency of data on current stocks, and promote coordination of policy responses (see Ministerial declaration, para. Second, assuming the role traditionally played by the United States of America and China as stock holders, the international community should maintain a minimum level of world food stock.</t>
  </si>
  <si>
    <t>f66a2809d8a51e9b7507fe2de3e11b9b</t>
  </si>
  <si>
    <t>The basic model also assumes competition in the market for the commodity and the absence of any other market distortions. A general result is that the main effect of a market distortion in this context is to change the distribution of research benefits, with comparatively small effects on the total benefits. Similar results apply to the other types of extensions to the basic model that may be introduced to allow for multiple markets or proprietary technology.</t>
  </si>
  <si>
    <t>e20deb68aff05f36aba8681675b31a51</t>
  </si>
  <si>
    <t>In the model ECIRS payments are then triggered and the representative mixed crop and livestock farm receives the equivalent to the average receipt of ECIRS in 2007-08 (AUD 37 000)l0. On the other hand, the model assumes that ECRP also triggered under the same circumstance, but it is paid to the farmer only if the realized income is below the level set by income test criteria (AUD 62 per fortnight). The level of the ECRP is chosen at the average receipt of ECRP per recipient in 2007-08 (AUD 13 045).</t>
  </si>
  <si>
    <t>- ECIRS provides interest rate subsidies to farm enterprises and small businesses that are viable in the long term but are in financial difficulties</t>
  </si>
  <si>
    <t>43be08e156654740fbb5d93f102cd3d9</t>
  </si>
  <si>
    <t>A Commodity Levy Act (1990) empowers producers to self-impose levies through a vote in order to finance the “industry good” activities. Once voted, the levy becomes obligatory for all commercial producers of a commodity and is charged on each unit marketed as a type of sales tax. Levies are collected by downstream operators and transferred to industry good bodies.17 The obligatory character of the levy is grounded by the necessity to avoid a “free-rider problem”. However, this compulsory levy is introduced through voting and therefore is self-imposed.</t>
  </si>
  <si>
    <t>f8c5ee200647dd1aa73041663e5373eb</t>
  </si>
  <si>
    <t>Fertiliser subsidies remain by far the most important programme through which the government provides budgetary support to agriculture. This subsidy is received indirectly by farmers as is channelled through fertiliser companies. These companies are responsible for lowering the price of their final product, which in turn benefits farmers (OECD, 2013b). To ensure the success of the programme, beneficiaries also receive technical guidance from a local agriculture extension officer. The giant is based on a proposal prepared by groups of farmers. The Indonesian government, through the Raskin Programme, buys a given percentage of the total output of rice produced by small-scale farmers.</t>
  </si>
  <si>
    <t>61b42b465822d1bd5543015dcc685da0</t>
  </si>
  <si>
    <t>Fresh water resources may be adequate in particular regions, but a number of regulatory and infrastructure impediments often obstruct their use for productive purposes. For example, fresh water resources, including local groundwater or surface water are often transboundary, so that their management is seriously hampered by the lack of coordinated regional strategies (Nin-Pratt et al., In developing countries, markets for agricultural inputs and outputs, finance and other services, are often poorly developed, with small volumes traded, prone to large seasonal variability in demand and supply and significant difficulties in enforcing interpersonal contracts (Poulton et al.,</t>
  </si>
  <si>
    <t>84f032619a01d1494cb406973276d986</t>
  </si>
  <si>
    <t>To feed an additional two billion people by 2050, food production will need to increase by half globally (FAO, SOFI, 2017). Increasing the production of traditional staple crops is unlikely to meet the increasing demand, in major irrigated wheat, rice and maize systems, yields appear to be near 80 percent of the yield potential. The second challenge is the nutrition gap between what foods are grown and available, and what foods are needed for good health. This requires increasing the availability and access to the nutritious foods necessary for a healthy diet.</t>
  </si>
  <si>
    <t>a6a2b36395affc1ae47335bc6fff0084</t>
  </si>
  <si>
    <t>Second, demand elasticities are relatively small with respect to price and supply elasticities are also low, at least in the short run. In order to get supply and demand back into balance after a supply shock, prices therefore have to vary rather strongly, especially if stocks are low. Third, because production takes considerable time in agriculture, supply cannot respond much to price changes in the short term, though it can do so much more once the production cycle is completed. The resulting lagged supply response to price changes can cause cyclical adjustments that add an extra degree of variability to the markets concerned.</t>
  </si>
  <si>
    <t>81fea12d7e25606f984f70ecd9b6c967</t>
  </si>
  <si>
    <t>North Cameroon had an estimated 9 306 km of roads in 2010,8% of them paved, and a density of 0.057 km/km2. Unpaved roads link areas of production to urban consumption centres. The dynamics of market creation have determined a spatial configuration that depends on the quality of the road network, unpaved vs. paved roads.</t>
  </si>
  <si>
    <t>fef3a280389f177360d6860a671d3a06</t>
  </si>
  <si>
    <t>Particular attention is often paid to sustainable, or efficient, water use. Because the agriculture sector demands significant amounts of fresh water, a number of policies in both developing and developed countries target the efficient use of irrigation water. A strong call to recognise the importance of improving the efficiency of water and soil use in a sustainable manner by the agricultural sector was made by G20 leaders and G20 Agricultural Vice Ministers in May and June 2012.</t>
  </si>
  <si>
    <t>57a447c3985789b8ee08e321728246c7</t>
  </si>
  <si>
    <t>The federal government complements these programmes through support to biophysical research and other activities. Most farm-level environmental programmes are designed and administered by provincial governments. Major support policies continue to be delivered under the heading of business risk management. Those measures provide support in case of income declines, co-finance savings, support production insurance and provide assistance in case of natural disasters.</t>
  </si>
  <si>
    <t>f54d905902a6f8d57ce12177d1fb2856</t>
  </si>
  <si>
    <t>In 2014, 85% of procurement funds were used in this manner (CONAB-PAA, 2014). A significant share of PAA procured supplies (34% in 2014) is used for the school meal programme. In 2009 the National School Meal Program (PNAE) required public schools to allocate at least 30% of food expenditures to direct purchases from family farmers. Since 2011 under the Brazil without Extreme Poverty Plan, PAA procurement is specifically targeted to the 16 million persons living in extreme poverty with monthly income below BRL 70. In 2014, nearly 24 000 PAA suppliers, or 47%, fell within this category. The National Program for Biodiesel Production and Use (PNPB), which contains special provisions for family farmers, was launched by the Brazilian Government in 2005.</t>
  </si>
  <si>
    <t>a50199e9d1481614a8ec3f1a6cc6e024</t>
  </si>
  <si>
    <t>For the projection period, biofuel markets are projected to be highly influenced by mandates and other incentives in countries all over the world, with the US, Brazil and the EU playing major roles, respectively, on ethanol and biodiesel markets. Based on sustained political support for biofuels, the Outlook projects increasing world biofuel prices and these will also be underpinned by rising crude oil and energy prices. The world ethanol price2 should follow an increasing trend to reach USD 54.4 per hi in 2019 supported by demand conditions in the US market where the Conventional Renewable Fuels mandate is assumed to be binding over the entire projection period. These quantities are far above the average 2007-09 base levels.</t>
  </si>
  <si>
    <t>deffd5c9a8491d5003383c054b191157</t>
  </si>
  <si>
    <t>Creating such an environment is complementary to the provision of more traditional public goods such as improved infrastructure, animal and plant health, education and information systems, and extension. Improvements in these areas could bring substantial long-term gains to agricultural producers through more transparent markets, improved price formation, and, ultimately, higher agricultural incomes. Benefits would also accrue to other agents of the supply chain, including food consumers for whom more competitive food chains would provide higher quality products. Because these characteristics vary with the product, and the location or size of the farm, the focus is on specific subsectors: wheat, dairy and beef, the three largest sub-sectors of Kazakhstan’s agro-food system.</t>
  </si>
  <si>
    <t>3767ad4e0cbd8df42c933d4249bd30d4</t>
  </si>
  <si>
    <t>This is where measures such as compensation and adjustment assistance come into play. This is sometimes interpreted (if not criticised) as an ideological position representing the entrenched philosophy of economic liberalism (or neoliberalism). Yet, there are veiy good practical reasons behind that principle. Three thoughts are particularly relevant.</t>
  </si>
  <si>
    <t>2186a2325cf67acf84393267d9a262cc</t>
  </si>
  <si>
    <t>Allowing for the spillover benefits into other states, state-specific agricultural research investments generated national benefits of between USD 10 and USD 70 per research dollar, averaging USD 32 across the states. The marginal benefit-cost ratio for USDA intramural research was comparable, at USD 18 per dollar invested in research. In fact, however, these ratios are consistent with internal rates of return at the smaller end of the range compared with the general results in the literature as reviewed by Alston et al. ( Some internal rates of return are reported here to facilitate comparisons with other studies.</t>
  </si>
  <si>
    <t>target 2.a</t>
  </si>
  <si>
    <t>f0fcfbe4aeb7463ebf8563148793d827</t>
  </si>
  <si>
    <t>This might be particularly true in Indonesia where large fertiliser subsidies are channelled through fertiliser suppliers and not provided to farmers directly. In light of expressed government objectives, these proposals highlight policy options that are potentially more effective and efficient than some existing policy measures. Food security would be greatly enhanced by making agriculture a more attractive sector for investors.</t>
  </si>
  <si>
    <t>4853cc7249bda7f9bce65366b53f0c92</t>
  </si>
  <si>
    <t>These problems would be best addressed by investing in infrastructure and agricultural research and development. The scale of costs of buffer stocks thus leads to major opportunity costs because not enough investments are made in those programmes that are best suited to tackle volatility. World Bank (2012b) notes that as a result, buffer stocks in Kenya, Malawi and Zambia are even thought to increase price volatility because they were not able to address the causes of volatility and took away resources from programmes that could.</t>
  </si>
  <si>
    <t>1364d9e1dc5c0522a8d1bd9a635e572d</t>
  </si>
  <si>
    <t>Research and development (R&amp;D) are inherently dependent on public investment as they are capital intensive with long-time horizons and uncertain outcomes. Although private investment is typically prevalent in more applied R&amp;D, which becomes an important driver of innovation, this is not yet the case in Kazakhstan. There is, therefore, a challenge to create incentives for private investments in R&amp;D. Benefits could also be reaped from a systematic effort to adapt technologies developed elsewhere to local conditions, complemented by targeted R&amp;D activities that address needs specific to Kazakhstan. An extension system is just beginning to develop in Kazakhstan. Well-coordinated education, R&amp;D, and extension systems can contribute to strong productivity growth and the widespread adoption of sustainable farming practices. There is an additional rationale in Kazakhstan for a strong extension system in that, as a result of the transition period, several key commodity sectors in Kazakhstan are dominated today by either household producers or recent individual farmers.</t>
  </si>
  <si>
    <t>f2003d3f5f0085b9f51edaae31f02313</t>
  </si>
  <si>
    <t>Rising domestic supply is sufficient to keep pace with demand and imports remaining relatively flat. With the import price increasing an average of 6.4% per year, imports of 6.6 Mt in 2024 are slightly below the base period value of 6.7 Mt. Wheat stocks in 2012 fell to very low levels which were replenished in the subsequent two years. There may have been overshooting and in 2014 stocks are estimated at 1.8 Mt yielding a relatively high stocks-to-use ratio of 16%.</t>
  </si>
  <si>
    <t>4f0fd447ddc38d58bc9844fb18d549a8</t>
  </si>
  <si>
    <t>The trouble is, however, that many cities are simply unable to absorb current rates of natural population growth, let alone more rural emigration. Thus, although a great deal of focus is placed on reducing the ills of rapid urbanisation -including overburdened social services, expanding slums, pollution, crime, poverty and hunger - a greater emphasis is also needed on rural areas to stem the tide of rural-urban migration. This means developing many more employment opportunities, including in new' non-agricultural industries, w'ith an emphasis on jobs attractive to the rural youth -those most likely to leave and most needed to rejuvenate rural areas economically and demographically (OECD, 2006).</t>
  </si>
  <si>
    <t>047d87c36e5f931abfb4aee240b76201</t>
  </si>
  <si>
    <t>This argument is supported in the report by a number of case studies that illustrate that, although macro-economic policy reforms have had positive effects on agriculture in some parts of Africa, the overall impact of the reforms has been slower and less dramatic than could have been expected. The main reason for the reforms' restricted impact is that the constraints to achieving sustainable agricultural productivity and increasing yields lie both on and off the farm. Hence, in many cases, transportation, trade, and macroeconomic policies have stronger effects on farmer and trader incentives than do agricultural sector policies, a point that underscores the need for better policy coordination across ministries. Strategies should therefore focus on transforming the weak points along the food system as a whole, and avoid too narrow a focus on farming.</t>
  </si>
  <si>
    <t>e72f5ec6d9c77829b70282d2aec81af8</t>
  </si>
  <si>
    <t>This could imply that there is either limited awareness among the potential beneficiaries about this option or that this scheme provides few additional incentives to farmers as compared to the standard Income Equalisation Regime. It would be useful to explore the reasons for the lack of uptake of the New Start-up Grants, which could be related to overly strict criteria for access by potential beneficiaries or to the levels of the grants. As noted, this facility provides partial compensation for the restoration of “non-insurable” infrastructure, pasture and plantings. The rationale for this support is that insurance for such damage is not available to farmers on the commercial insurance market.</t>
  </si>
  <si>
    <t>e55b1921e81e682737e0ff171ece0eb6</t>
  </si>
  <si>
    <t>If land owners are not willing to transfer the land and leave it, the investor does not have the right to lease the land and cany out its investment.” It should be noted that although the government discourages slash and bum cultivation, i.e. shifting cultivation, such a system can be sustainable and deliver environmental goods in areas where demographic pressure is relatively low. An approach tailored to the characteristics of each geographical area should thus be taken.</t>
  </si>
  <si>
    <t>typo</t>
  </si>
  <si>
    <t>31f16babe517b5d3e4eb4cf6364b9df7</t>
  </si>
  <si>
    <t>In many developing countries, a significant number of poor families face poverty, hunger, food insecurity and malnutrition, which intensify with adverse biophysical growing conditions and poor socio-economic infrastructure (Wani, etal., Crop production, which is vital to global food security, is already being affected by climate change, more so in impoverished communities. It has been predicted that over the next decades, billions of people, especially those living in developing countries, will face water and food shortages, and greater risks to health and life because of climate change.</t>
  </si>
  <si>
    <t>4bb6e0ac4f0ac4d34b182b12327fd04d</t>
  </si>
  <si>
    <t>Fanning units that showed dominance in specific products were combined to form totals for field crop products, horticultural products and animals and animal products. Farmland plus nature conservation land plus forestry land plus other. Source: Development Bank of Southern Africa. Statistics SA, Census of Agriculture 1993, 2002 and 2007, and agricultural survey 1996. Today there are under 40 000 farming units occupying about 67% of total land of the country, around 86 million hectares. On the other hand, approximately 1.3 million smallholders (that may produce for markets or for selfconsumption) are black.</t>
  </si>
  <si>
    <t>the last sentence makes it a "yes"</t>
  </si>
  <si>
    <t>90b5b307caf0f13324b25adaec02133b</t>
  </si>
  <si>
    <t>In this field, participation of women, especially in sub-Saharan Africa where women constitute a large proportion of the agricultural labour force, will also be critical to enhancing their decision-making in agricultural research and extension services and to addressing their specific needs. For instance, transformation of diverse agroecological rural economies requires the expertise of biologists, agronomists, water engineers, nutritionists, economists and social and political scientists (Lipton, 2010). Moreover, the private sector tends to invest mainly in profitable research, including agricultural chemical inputs, machinery and biotechnology, targeting wealthier economies and larger farmers.</t>
  </si>
  <si>
    <t>fa46ea53d0894df33d794af97169d261</t>
  </si>
  <si>
    <t>An alternative is that funding could partly derive from subnational governments, but this would need to be coupled with tax reforms that boost subnational government income such as a possession-based rather than a transaction-based property tax (OECD, 2013a). Even if farmers manage to scale up their land holdings through renting in operating rights to farmland and attract suitable labour, poor access to finance may limit farm investment and mechanisation. A large problem for farmers in many developing countries is a lack of collateral.</t>
  </si>
  <si>
    <t>77aae1fc4166a4efc221b58a438339c4</t>
  </si>
  <si>
    <t>The government’s efforts to develop modern large-scale production should be complemented by the efforts to integrate small-scale producers into agricultural markets as well as to diversify rural incomes. Large state agencies operate on the grain, machinery leasing, and agricultural credit markets. Their primary function is to implement support programmes, but they are also empowered to undertake commercial operations and as such enjoy substantial market power.</t>
  </si>
  <si>
    <t>4db79a4b49042b4973401f42b39bc9b6</t>
  </si>
  <si>
    <t>However, more detailed assessments are needed in order to properly assess AFOLU's mitigation potential, the impacts on vulnerable production systems and groups, and the costs of implementation. It is a pre-requisite that practices optimized to reduce GHG emissions or sequester carbon should also protect the land tenure rights of small-scale producers and contribute to food security and climate change adaptation, particularly for the most vulnerable groups. On the economic side, options include positive incentives for farmers to provide and maintain carbon sinks, taxation of nitrogen fertilizer in countries where it is being overutilized, a measure which is already applied in some OECD countries to reduce nitrate pollution, and supply-chain initiatives that market food products with a low carbon footprint (Paustian et al., It has been estimated, using previous calculations and data from Bellarby et al. ( These approaches generally account for emissions from pre-chain inputs through to post-farm gate processing by including methane, nitrous oxide and C02 emissions, and fossil fuel use in food systems (e.g. Steinfeld etal., This can be compared with around 5.2 GtC02-eq generated by agriculture and around 4.9 Gt0O2-eq by forestry and land use change.</t>
  </si>
  <si>
    <t>dd69cab687fad63a122b11025ea9b69d</t>
  </si>
  <si>
    <t>An exception is Bangladesh’s CLP, where nutritional surveys in 2009 found that children of earlier recruits into the programme were, on average, less stunted and less underweight than later recruits (DFID, 2011). Another study from the CLP however, shows some improvements in women’s BMI but no significant differences in under-5 wasting and stunting between beneficiary and treatment groups (Goto &amp; Mascie-Taylor, 2010, Mascie-Taylor, 2010). There are possible explanations for this.</t>
  </si>
  <si>
    <t>fe5d56c0dd78ec96e422af746a3fb392</t>
  </si>
  <si>
    <t>This trend is expected to continue as a result of growth in incomes. A number of studies have looked at the environmental consequences of consumption of animal-source food, usually focusing on GHG emissions and land use (INRA and CIRAD, 2009, Erb et al., Using life cycle assessments, they generally conclude that alternative diet scenarios with less animal-source food could contribute to reducing global GHG emissions, and have positive impacts on human health. Healthy diets also feature dairy products in moderation, unsalted seeds and nuts, small quantities of fish and aquatic products, and very limited intake of processed foods that are high in fat, sugar or salt and low in micronutrients (FAO and FCRN, 2016).</t>
  </si>
  <si>
    <t>749c36f91e7f696ac054ad66b523be6e</t>
  </si>
  <si>
    <t>Scenarios emphasizing improvements in end-use efficiency tend to meet sustainable development goals, such as ensuring (almost) universal access to electricity, maintaining air quality, and limiting global average temperature increases. However, if efficiency gains turn out to be small, the world will become highly dependent on rapidly improving innovation and increasing the supply of “clean” energy. Another insight is that sustainable development pathways have been devised that exclude nuclear power, and carbon capture and storage (and its bioengineering variants), technologies that face great sociopolitical and technical challenges.</t>
  </si>
  <si>
    <t>0b0a4b7011c0f63bc9fe3bd6504045d7</t>
  </si>
  <si>
    <t>She would also like to thank the guest bloggers and other contributors to the SWAC @ Expo Milano website who engaged in discussions on the state and prospect of women's empowerment and gender equality in West Africa over several months, sharing their ideas and experiences and raising challenging questions. She has conducted research, co-ordinated policy analysis and published on gender, migration, conflict, peace and security, land reform and regional integration issues. She has also designed and co-ordinated the implementation of human resources and organisational development-related projects and processes in the areas of: job evaluation, organisational design, diversity and change management. Previous roles include: UNV Programme Officer at the UNDP Senegal Office, Policy Analyst at the Sahel and West Africa Club Secretariat of the OECD, and Human Resources Manager and OD Consultant at the International Institute for Environment and Development (IIED).</t>
  </si>
  <si>
    <t>eefdfe05370819034d448c939faa2107</t>
  </si>
  <si>
    <t>The impact of environmental and climate constraints on global food supply. In: Economic Analysis of Land Use in Global Climate Change Policy, edited by T. Hertel, S. Rose and R. Tol, Routledge, USA. Land Use Policy, 24,562-575. Assessment of Fertiliser Use by Crop at the Global Level 2006/07-2007/08.</t>
  </si>
  <si>
    <t>aea6df3ac9fcbdba5e65c0245acf62ce</t>
  </si>
  <si>
    <t>That role includes funding for research and development, but it also includes the design of a balanced system of intellectual property rights. This report shows that across all countries covered in this report expenditures on research and development represent a relatively small share in the transfers to the agricultural sector. Increased public and private investment in research and development, including extension and advisory services, could be targeted to increase productivity growth and address challenges associated with climate change and improved management of soil and water resources.</t>
  </si>
  <si>
    <t>target 2.3 + 2.a</t>
  </si>
  <si>
    <t>929c03e802296b5d0c1f7e0ba7653a6f</t>
  </si>
  <si>
    <t>The CCVFV should ask for recommendations from the Ministry of Mining or the MECF if relevant and obtain MIC agreement for foreign projects. Once the application has been approved by the district FAB and the registration fees have been paid (around USD 0.57 per person), the township FAB issues the certificate. Applicants that are cultivating the land should show photos of the cultivated land and the Nay Pyi Taw Council or the region/state department office should approve the issuance of a land use right.</t>
  </si>
  <si>
    <t>693afa9766622b26743f99a0225ec336</t>
  </si>
  <si>
    <t>The dissemination of already existing technologies from outside could help this endeavour, but a major challenge relates to the ways and means in which innovation that is relevant to African agriculture could be promoted. Such an enabling environment, by definition, is one that strengthens the absorptive capacity of local actors while protecting their interests through a policy framework that recognises their legal rights and privileges, linkages, socio-cultural norms and historical context. This report defines an enabling environment for technology and innovation in agriculture as one that provides the actors, skills, institutions and organizations required to promote the use, dissemination, diffusion and creation of knowledge into useful processes, products and services. This requires an integrative and holistic approach to policy formulation and demands close interaction between the different ministries whose policies have an impact on innovation and performance of the economy as a whole (national innovation system) or specific sectors (ICT, agriculture, health, electronics, etc).</t>
  </si>
  <si>
    <t>b0008351bea190d6821209f422ff37b3</t>
  </si>
  <si>
    <t>The rebound in growth is expected to be more rapid in the developing countries and initially tepid and fragile in the OECD area and involving a longer transition period. Once the transition to sustainable gains is reached, the EU and US economies are expected to grow by 2% and 2.5% per annum, respectively to 2019, and with faster growth in some other OECD countries such as Korea, Turkey and Australia. Among the developing countries, the leading Asian economies have fared better than most and lead the world economic recovery.</t>
  </si>
  <si>
    <t>14b473f240287c63e6c18c9f2a55166d</t>
  </si>
  <si>
    <t>International Water Management Institute, Pretoria. Depressive symptoms in youth heads of household in Rwanda: correlates and implications for intervention. Archives of Pediatric Adolescent Medicine, 162(9), 836-43. Gender and Food Security: Towards Gender-Just Food and Nutrition Security. Overview Report, Institute of Development Studies, Brighton, UK.</t>
  </si>
  <si>
    <t>8d30df693e7c3fab3f39eeb811294062</t>
  </si>
  <si>
    <t>The Outlook assumes biodiesel use to be held constant over the remaining years although no explicit mandate for biodiesel is legislated thereafter, the subsequent mandates referring only to advanced biofuel. Trade of biodiesel should remain low, Argentina is expected to be the main supplier on international markets. While many developing countries, especially in sub-Saharan Africa and in South East Asia, have initiated ambitious renewable energy programmes, many have been put on hold during the economic crisis, credit constraints and with the more uncertain market prospects. The OECD-FAO Agricultural Outlook, therefore, presents a conservative view on biofuel prospects in many of the developing countries over the projection period.</t>
  </si>
  <si>
    <t>40db1e545f04bda6453355e385ea1055</t>
  </si>
  <si>
    <t>Among the most vulnerable will be those who depend on agriculture for their livelihood and income, particularly smallholder producers in developing countries. In the absence of climate change, and with continuing economic progress, most regions are projected to see a decline in the number of people at risk of hunger by 2050. The increase in the number of poor would be biggest in sub-Saharan Africa, partly because its population is more reliant on agriculture.</t>
  </si>
  <si>
    <t>774bc5166c7efd955aad2e49348148b8</t>
  </si>
  <si>
    <t>The number of intellectual property rights cases brought before Chinese courts tripled between 2009 and 2013. Subsequently, China’s Leading Group of Overall Reform has established specific courts in Beijing, Shanghai and Guangzhou focusing on intellectual property. Transparency as well as the extent of judicial efficiency and independence will be important determinants in how effective these institutions are in protecting intellectual property rights and private returns to innovation. Strengthening patent rights and further rural financial development will be beneficial, but so will measures that encourage knowledge spillovers and reduce barriers to firm entry into rural sectors.</t>
  </si>
  <si>
    <t>c83adb1f8a57acc122a4a4944466a3d1</t>
  </si>
  <si>
    <t>Indeed, promotion activities are performed by a mix of agencies, including the Foreign Investment Agency in the Ministry of Planning and Investment (MPI), Viet-TVade in the Ministry of TVade and Industry, the International Co-operation Department in MARD, and the promotion departments of provinces. Several constraints undermine private investment in the sector (Box 2). Such regulations intend to guarantee equal access to land among the rural population, but they limit land consolidation and hinder long-term investment.</t>
  </si>
  <si>
    <t>5b0b347adb68ee42fdbfde3bf72f8005</t>
  </si>
  <si>
    <t>Obligations to partners within the Council for Mutual Economic Assistance had to be met before product could be sold to the convertible currency area. Imports had to proceed through an extensive system of quotas and licenses. Additionally, Viet Nam faced a trade embargo with the United States that was only lifted in 1994 (McCaig and Pavcnik, 2013). Permission for private as well as SOEs to establish direct links with foreign markets was given in 1991.</t>
  </si>
  <si>
    <t>54c7301154ef262a901b811b08fcd3c4</t>
  </si>
  <si>
    <t>The former were local, the latter, international. Together, they contained the seeds of a reshaping of the West African migratory system. The major historical trends were shifting: the polarity of the coast, initiated by the Arab-Islamic and transatlantic slave trades and fully materialised under colonisation, was weakened.</t>
  </si>
  <si>
    <t>57ee1e082b8c2af18682919de078d271</t>
  </si>
  <si>
    <t>The former provides full excise reimbursement to ethanol producers for ethanol produced and supplied for transport use in Australia from locally derived feedstocks (Australian Government, 2012a). This programme is planned to continue until June 2021 and to be revised afterwards (Australian Government, 2012a). The latter is a similar scheme, but applies to the production and also importation of biodiesel and has been extended indefinately from July 2011 (Australian Government, 2012b). In Canada output based payments were introduced in 2008 and replaced tax exemptions at federal level and at some provinces.</t>
  </si>
  <si>
    <t>6305058af4c55556854ca984afc4812d</t>
  </si>
  <si>
    <t>A recent study by the RIO+ Centre and the Food, Agriculture and Natural Resources Policy Analysis Network which looks at the complex relationship between gender and climate-smart agriculture (CSA) emphasizes the need for both gender-smartness and people-smartness in achieving CSA's aims of food security, higher farmer incomes, and low-carbon agricultural practices (Perch 2015). Nevertheless, food security, as the World Health Organization (WHO) points out, is "a complex sustainable development issue, linked to health through malnutrition, but also to sustainable economic development, environment and trade" (WHO 2016a). Greater gender equality is essential to achieve global food security (Carliez 2015, FAO and ADB 2013, Sachs 2013). Food sovereignty is "more fluid and nuanced than the concept of food security" (Sachs 2013).</t>
  </si>
  <si>
    <t>41d828d857412f56a5bf4928d7a8f126</t>
  </si>
  <si>
    <t>The delegation used sport as a tool to unite and engage with the community. In partnership with the One World Play Project and Chevrolet, it donated over 11,000 footballs and hosted a friendly youth football match and other organized sporting activities. During the trip, the delegation met with representatives of the United States Agency for International Development (USAID), and with the Malawian Ministries of Lands, Housing and Urban Development, Health, Youth and Sports Development, and Agriculture, Irrigation and Water.</t>
  </si>
  <si>
    <t>2662c39786dae46250a758b1ba81ca25</t>
  </si>
  <si>
    <t>Increasing export shares in almost all commodity markets is being achieved by a combination of strategies. Not only are they displacing traditional exporters and competitors with lower cost products or by growing faster, they are also becoming dominant in regional markets which can provide a springboard for further international market expansion. From Figure 1.10, non-OECD countries are projected to show the strongest percentage increase in exports by 2019, relative to the 2007-09 base, for oilseeds (59%), poultry (54%), wheat (50%), skim milk powder (43%), and cheese and vegetable oils (39%). On the other hand, OECD countries as a whole will tend to lose export shares in many commodities to non-OECD countries over the Outlook period. For the OECD area the largest gain in exports by 2019 compared to 2007-09, are for protein meals (49%), vegetable oils (38%) and rice (16%). Trade shares continue to be dominated in absolute terms by the OECD countries and their long established industries for a range of products (with projected global market share in 2019 shown in brackets) such as for: wheat (54%), coarse grains (60%), pig meat (80%), butter (79%), cheese (65%), whole milk powder (66%) and skim milk powder (73%).</t>
  </si>
  <si>
    <t>1688a4ccaea4dc95b7e0e7edce89a25c</t>
  </si>
  <si>
    <t>More extreme weather - with intense precipitation, floods and droughts - is predicted across the six SEE economies. Rainfall is predicted to decrease. These changes could reduce crop yields across the six SEE economies, especially for maize, and increase exposure to agricultural pests. Livestock productivity in Albania, Kosovo and Montenegro could fall (Callaway etal.,</t>
  </si>
  <si>
    <t>6a69c5a3e6d118cb79e5d5bb811695c7</t>
  </si>
  <si>
    <t>On the other hand, others such as P. Veltz see the territorial result of post-Ford ist regulation modes combining the uncertainty of the economic situation and flexibility of the job market. Californian geographers such as A. Scott or M. Dear insist on relations between functional and social mutations of very large cities and new forms of urban territoriality." Both are independent of the level of urbanisation of the territory considered. Table 3.2 presents the indices for Togo and Nigeria. In Togo, Lome was the primate city for the years 1950, 1970 and 2010. In Nigeria, Ibadan held this position in 1950 and 1960, and since then Lagos.</t>
  </si>
  <si>
    <t>7c923bd8278e7321843a529e03020eae</t>
  </si>
  <si>
    <t>The mean scores of 18 of the 21 risk management strategies rose significantly over the 12-year period (Figure 11). This suggests that farmers now consider that virtually all ways for managing risks are more important. In only one instance did the mean score decline and this was for the strategy “keeping debt low”. It is noteworthy that the largest increases in the importance scores were found for marketing and diversification, strategies that farmers use less widely than output and financial risk management. However, the growing appreciation of the importance of certain risk management strategies has not been coupled with actual (or a proportionate) increase in the use of these strategies by farmers. The approach of keeping debt low fell from third in importance in 1992 to ninth in 2004, and fewer farmers were using debt (63% versus 85%).</t>
  </si>
  <si>
    <t>316b127338438827457845f021ab60d8</t>
  </si>
  <si>
    <t>Relying on a very small fraction of staple crops for our diet has dire implications for both food security and nutrition. The lack of genetic diversity within the gene pools of the dominant cultivated crops, leavesagricultural systems vulnerable to pests, diseases and other abiotic stresses. Agricultural sustainability relies on a healthy interaction between agriculture and nature.</t>
  </si>
  <si>
    <t>0ee0317138c7295870abbc2ff212c646</t>
  </si>
  <si>
    <t>The phenomenon of land degradation is increasing, in severity and extent, in many parts of the world, with about 40 percent of the worlds land surface degraded (25% has been degraded over the past quarter-century alone) (Bai et al., As summarized in Table 7.1, agriculture and land degradation contribute significantly to the problem of climate change, by generating GHG emissions leading to warming, as well as impacting land surface albedo and creating adverse weather patterns. Notwithstanding significant uncertainty in estimates, the agriculture, forestry, and other land use sector accounts for 24 percent of emissions of GHGs, the second largest emitter following the energy sector (IPCC, 2014a). The most important source of GHG emissions in agriculture is methane (CH4) emissions from enteric fermentation in livestock and nitrous oxide (N20) emissions from synthetic fertilizer application.</t>
  </si>
  <si>
    <t>not about adaptation</t>
  </si>
  <si>
    <t>a09de162ef33c868b943d5a8fa2343b3</t>
  </si>
  <si>
    <t>The most recent data compiled by UNICEF (2013) shows that in 82 out of 95 developing countries for which data are available the prevalence of child underweight is higher in rural areas than in urban areas. Guha-Khasnobis and James (2010) found a prevalence of adult underweight of around 23 percent in the slum areas of eight Indian cities, while the prevalence in rural areas in the same states was close to 40 percent. It is technically a form of undernutrition (UNSCN, 2010), but is often referred to separately because it can coexist with adequate or excessive consumption of macronutrients and carries health consequences that are distinct from those associated with stunting.</t>
  </si>
  <si>
    <t>76efd4b112735038717ec3bcd74c2218</t>
  </si>
  <si>
    <t>Binding biofuel mandates also risks to increase price volatility on agricultural world markets. International trade in ethanol is subject to significant import tariffs, and climate-related standards are already in use on some biofuels and may become increasingly important in the future. In order not to act as trade barriers that discriminate between domestic and foreign products the development and application of internationally harmonised standards warrants close attention.</t>
  </si>
  <si>
    <t>a7c3ee7de4571070751b03e661403dbc</t>
  </si>
  <si>
    <t>Special thanks go to Thomas Chalaux and Clara Garcia for statistical support and Nadine Dufour and Mercedes Burgos for editorial assistance. The scale of the ongoing transition is highlighted by government plans to grant urban residential status to 100 million rural migrants by 2020. This structural adjustment process can deliver substantial opportunities for the rural economy and China as a whole, but entails major challenges calling for continued reform efforts.</t>
  </si>
  <si>
    <t>e1ac8d518cefb597bc5681da901074c1</t>
  </si>
  <si>
    <t>This was done through external consultancies by universities (Sao Paulo and Campinas, for example) and private companies such as Macroplan, from Rio de Janeiro. In addition, Embrapa has been training its staff on strategic planning methodologies, in some cases together with state R&amp;D organisations. This strategic planning system is nationally coordinated at Embrapa by a central unit named Strategic Management Secretariat.</t>
  </si>
  <si>
    <t>efa73eeb7460b655e6c934c053221c09</t>
  </si>
  <si>
    <t>But it suggests that rather than holding national stocks, it would be better to develop regional stocks or make food reserve agreements. And in March 2004, the ASEAN+3, which includes China, Japan, and the Republic of Korea, expanded this as the East Asia Emergency Rice Reserve. This reserve has been used to provide relief to victims of floods in Indonesia and Cambodia, to victims of volcanic eruption and mud slides in the Philippines, and to victims of Cyclone Nargis in Myanmar.</t>
  </si>
  <si>
    <t>target 2.1</t>
  </si>
  <si>
    <t>c231ac8c60464cddf6d52e4cde2be973</t>
  </si>
  <si>
    <t>Finally, New Zealand witnessed rising MPS, but from a very low level and almost entirely due to falling poultry world prices in combination with an appreciation of the currency relative to the US dollar. Per cent changes of nominal values expressed in national currency.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</si>
  <si>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22c1cc286270792f8f3a792183675d90</t>
  </si>
  <si>
    <t>There are also structural challenges, such as the domination of subsistence-oriented producers in key product sectors, the weak integration of domestic food chains, and difficult access to external markets. Qualified labour is scarce, commercial credit markets are narrow, and much of the credit resources, especially for long-term investment, depend on state provision. Public resources should be shifted to remove significant deficiencies in transport infrastructure, water and land management, plant and animal health and food safety systems, information, research, education, and knowledge dissemination. Policy reform should not only include a stronger emphasis on the provision of public goods, but would also require developing new policies to manage risks in agriculture and promoting sustainable use of agricultural resources.</t>
  </si>
  <si>
    <t>951e6ab5b89e7d7608cd0e328990577d</t>
  </si>
  <si>
    <t>However, the CAP 2014-20 offers more flexibility to member states to re-introduce commodity-specific and output-linked measures. A better alternative would be for member states to focus support on measures to improve the long-term productivity, profitability, sustainability and competitiveness of the sector. The "Plan to Create Vitality for Agricultural, Forestry and Fishery Industries and Local Communities” aims at revitalising the agricultural sector in view of significant drops in output and farming incomes over the past two decades.</t>
  </si>
  <si>
    <t>369a87ffe3be3c9c1dbb031017deb88a</t>
  </si>
  <si>
    <t>These searchable on-line databases and their annual reporting summaries are valuable tools for federal and state science managers and scientists. In addition, CRIS has been a critical resource for retrospective assessments of the economic impacts of agricultural research. Using data that measure research resource flows to specific subject areas and specific geographic areas, and linking them to subsequent changes in farm productivity, economists have been able to conduct cost-benefit analysis of public investments in agricultural research. A summary of the findings from these studies is given in Chapter 7.</t>
  </si>
  <si>
    <t>6fa559ff717231c96cf32dd8e6e4f211</t>
  </si>
  <si>
    <t>Nutrition-sensitive interventions ond programmes: how can they help to accelerate progress in improving moternol and child nutrition? The lancet, 382(9891): 536-551. Household dietary diversity ond Food expendilures ore closely linked in rural Bonglodesh, increasing Ihe risk of molnulrilion due lo Ihe financial crisis. Association of household rice expenditure with child nutritional status indicates o role for macroeconomic food policy in comboling malnutrition. The Journal of Nutrition, 133(5): 1320-1325. Higher household expenditure on onimal-scurce ond nongroin foods lowers Ihe risk of stunting omong children 0-59 months old in Indonesio: implications of rising food prices.</t>
  </si>
  <si>
    <t>4871f573f9b753f20a634b79607c18ac</t>
  </si>
  <si>
    <t>Government policies surrounding biofuels mandates and subsidies also contributed. Price rises were particularly witnessed for wheat, coarse grains, rice and oilseed crops - all of which experienced strong real price growth between 2005 and 2010 (Figure 2.4). To convert to real prices, the average annual United States GDP deflator was applied to each monthly observation.</t>
  </si>
  <si>
    <t>3b995cc3ee1388e59def7315594577cc</t>
  </si>
  <si>
    <t>Since then IAARD, has taken steps, through ICATAD, to develop a research consortium programme with universities, establish partnership programmes with private companies such as PT DuPont Indonesia, and increase collaboration with local governments. Finally, although the AIATs are crucial to strengthen the linkages between research at the central level and extension agents in the districts, it is debatable whether each province needs such an agency. A system by which AIAT centres are positioned with agro-ecological zone specialisations, serving all provinces concerned, would foster cross-province co-operation, lead to less fragmentation and reduce the potential for duplication of efforts and functions at the provincial level (World Bank, 2012). Research in each province should be focused on two or three commodities having highest comparative advantages or potential.</t>
  </si>
  <si>
    <t>1a0f836c1335da69e8531cd2cad1e33b</t>
  </si>
  <si>
    <t>A gendered approach to environmental assessment also examines the ways environments and environmental relationships shape, create and sustain gender norms. What are the social costs and consequences of differential gendered environmental relationships? And what is the dynamic relationship between environmental conditions and changes and gender inequality?</t>
  </si>
  <si>
    <t>692387a34679ddb65d039ad1fc5d6216</t>
  </si>
  <si>
    <t>Under these agreements, the centres recognize the authority of the Governing Body of the Treaty to provide policy guidance relating to their ex situ collections (i.e. collections of seeds stored in genebanks). From 1 February 2008, the Centres have been transferring all plant genetic resources for food and agriculture they hold in trust - using the SMTA. They have also helped countries recover from natural disasters such as Hurricane Mitch which struck Honduras and Nicaragua. A recent study showed that of the more than one million seed samples distributed over the past 10 years, the vast majority (80 per cent or more) went to universities and national agricultural research systems where scientists are developing new crop varieties that give higher yields, have improved nutritional value, use less water, need lower amounts of fertilizers, and have natural resistance to pests, diseases and climatic vagaries such as droughts and floods.</t>
  </si>
  <si>
    <t>25d2802def4244bd8884a30eccad3de6</t>
  </si>
  <si>
    <t>In the case of tea, coffee and cashew nuts, the negative producer SCT has become smaller over the period under review indicating an improvement in their situation. However, natural rubber has switched from being supported in 2000-02 to having the highest negative SCT of any commodity evaluated. It should be noted that in all cases it would be incorrect to interpret implicit taxation of crop products exclusively as a policy outcome.</t>
  </si>
  <si>
    <t>2582a95f09dc086ac1badbd56600f31c</t>
  </si>
  <si>
    <t>The ability to monitor progress at the school level in a comparable manner was a major achievement and was very helpful in linking funding with performance improvements of the education system. Another important direction was the substantial increase in conditional cash transfer programme Bolsa Familia (initially, Bolsa Escuola) which created both incentives and the means for poor parents to send their children to school (De Mello and Hoppe, 2005, OECD, 2011). This has recently received much attention, with enrolment in vocational training more than doubling since the early 2000s.</t>
  </si>
  <si>
    <t>4e5237c26875eab28d98e0ca6fc96f61</t>
  </si>
  <si>
    <t>Such scenarios may constitute “extreme events”, with a low probability but severe consequences if the event happens. A more likely scenario is that a particular trading partner may block or impede trade temporarily, with implications for the prices that an importing country is obliged to pay. For example, India cut off rice exports to Bangladesh in 2007 in order to lower prices on its domestic market (Dorosh and Rashid, 2012).</t>
  </si>
  <si>
    <t>bf8482b7a0cdb611a351547eb4c40774</t>
  </si>
  <si>
    <t>In 2011, a federal programme PRONATEC was launched and now covers 8 million students. Since 2013, it includes a component targeted to rural youngsters: PRONATEC Countryside. For example, in university education, the number of agricultural courses for bachelor degrees reached 830 in 2011, a six-fold increase over 1991, which covers only full-time studies, and does not include distance courses or MBAs (Table 5.1).</t>
  </si>
  <si>
    <t>- could also be target 2.3</t>
  </si>
  <si>
    <t>fa115abd85283eea6a9af2e3b8f798b1</t>
  </si>
  <si>
    <t>Such changes will be complemented by recently proposed legislation by the State Council that will increase the accountability of business operators for food safety. Educational opportunities are improving, but the level of human capital in rural areas remains much lower than in urban areas (Molnar and Koen, 2015). At the secondary school level, the graduate-to-population ratio in rural areas was unchanged between 1998 and 2012 while it doubled in urban China. As the rural adjustment process continues to unfold, a solid general education will help rural citizens transition into work in the emerging sectors of the economy.</t>
  </si>
  <si>
    <t>safe food -&gt; target 1.1 (first sentence only)</t>
  </si>
  <si>
    <t>1e1ff85737474f25d41d65e9303eda49</t>
  </si>
  <si>
    <t>Agreements to do so can be reached at the bilateral, regional or multilateral levels. The pursuit of food self-sufficiency to mitigate international risks is a costly policy that undermines the function of the international trading system, making markets thinner, more volatile and therefore riskier than if countries were to adopt open trade policies. In the face of both international and domestic risks, such as that of a failed harvest, a country which uses trade barriers to promote self-sufficiency because of the fear of trade interruptions may find itself exposed to greater potential losses than if it had remained open to international trade. At the national level, some developing countries may be vulnerable to imported instability, notably if their consumption is centred around just one or two food staples, and if their imports are sourced from just one or two countries. These risks can be mitigated by promoting more diversified diets (something that happens naturally to a degree as incomes rise) and by diversifying trading partners.</t>
  </si>
  <si>
    <t>7375674a23df762040d9e4eed874a203</t>
  </si>
  <si>
    <t>This ‘bird’s eye view’ of the issues provides insights that would otherwise remain hidden, useful in addressing hunger and environmental degradation in an integrated way. The overlaying of visual data representations provides a picture of the interrelation of land, people, and prosperity, and also reveals areas of causal overlap, highlighting key hotspots and areas with synergistic potential—opportunities for win-win scenarios. This method, applied elsewhere, would allow the targeting of funds to key areas, improving efficiency of resources used.</t>
  </si>
  <si>
    <t>af4f4fa9b3bc584a3d7efa2ab4b40ff9</t>
  </si>
  <si>
    <t>These estimates translate into roughly 605 million, 260 million and 688 million children under age 15, respectively. The relationship between food insecurity and poverty, and well-being varies by region, demonstrating that definitions of food insecurity depend on regional context, and encompass more than monetary poverty alone. Finally, correlations of food insecurity and income per capita between 2006 and 2015, show that some regions were harder hit by the shocks in food prices and the Great Recession than others. In addition, further research on how food insecurity differs between children and adults will be important for future efforts to address and reduce child hunger.</t>
  </si>
  <si>
    <t>6379115dde7df3fd24608d79ab0e9a29</t>
  </si>
  <si>
    <t>These figures most likely underestimate the contribution of off-farm earnings because they capture only the income coming from activities integrated from the accounting standpoint either fully or partly within the farm business. However, studies on rural diversification indicate that the majority of alternative enterprises of agricultural households are financially and structurally independent of the farm business (OECD, 2009e). For example, around 20% of living expenses of those households involved in dairying and sheep and beef farming originate from off-farm income (MAF, 2009e).</t>
  </si>
  <si>
    <t>- target 2.3</t>
  </si>
  <si>
    <t>Could be SDG 2.4
The clause "which can have impacts on food production" makes it vaguely relevant to SDG 2, but it is more like fact-stating to support argument on negative impacts of deforestation and forest fires.</t>
  </si>
  <si>
    <t>Could be false.
The passage gives an example of an event that was against 2b.</t>
  </si>
  <si>
    <t>"Embrapa" makes it highly related to SDG 2. Without the term, the passage will not sound relevant.</t>
  </si>
  <si>
    <t>Could be False.
The passage calls for considering off-farm income when estimating farmers' income, probably for SDG 2.3</t>
  </si>
  <si>
    <t>Could be True.
This is not directly related to food, but more on agricultural production: ethanol.</t>
  </si>
  <si>
    <t>Status about trade gain-loss in agricultural products</t>
  </si>
  <si>
    <t>Just paper title. The content is likely to be highly relevant</t>
  </si>
  <si>
    <t>addressing hunger-environmental degradation is an example use-case of suggested method. This is too vague to be about SDG 2.</t>
  </si>
  <si>
    <t>TO DO</t>
  </si>
  <si>
    <t>is about water access but not so explicitly related to food security</t>
  </si>
  <si>
    <t>implicit about reducing food insecurity</t>
  </si>
  <si>
    <t>indirect about land for smallscale farmers but too implicit</t>
  </si>
  <si>
    <t>food safety not part of targets but security is</t>
  </si>
  <si>
    <t>about agriculture but not how to end hunger</t>
  </si>
  <si>
    <t>very likely on food safety but not explicity stated</t>
  </si>
  <si>
    <t>bolsa familia more government programme on rural development in general</t>
  </si>
  <si>
    <t>Biofuels are considered an agricultural commodity</t>
  </si>
  <si>
    <t>hunger mentioned</t>
  </si>
  <si>
    <t>right to land</t>
  </si>
  <si>
    <t>2.b</t>
  </si>
  <si>
    <t>small-scale producer incomes?</t>
  </si>
  <si>
    <t>doi</t>
  </si>
  <si>
    <t>text_id</t>
  </si>
  <si>
    <t>text</t>
  </si>
  <si>
    <t>sdg</t>
  </si>
  <si>
    <t>labels_negative</t>
  </si>
  <si>
    <t>labels_positive</t>
  </si>
  <si>
    <t>labels_total</t>
  </si>
  <si>
    <t>agreement</t>
  </si>
  <si>
    <t>label</t>
  </si>
  <si>
    <t>difficulty</t>
  </si>
  <si>
    <t>selection reason</t>
  </si>
  <si>
    <t>10.1787/5jlpl4mh1hxn-en</t>
  </si>
  <si>
    <t>easy</t>
  </si>
  <si>
    <t>automated selection</t>
  </si>
  <si>
    <t>10.1787/9789264191761-en</t>
  </si>
  <si>
    <t>medium</t>
  </si>
  <si>
    <t>10.1787/agr/outlook-2014-4-en</t>
  </si>
  <si>
    <t>very hard</t>
  </si>
  <si>
    <t>10.18356/11e28764-en</t>
  </si>
  <si>
    <t>very easy</t>
  </si>
  <si>
    <t>10.1787/9789264179011-7-en</t>
  </si>
  <si>
    <t>10.1787/agr/pol-2014-4-en</t>
  </si>
  <si>
    <t>hard</t>
  </si>
  <si>
    <t>10.1787/9789264237056-8-en</t>
  </si>
  <si>
    <t>10.18356/56317379-en</t>
  </si>
  <si>
    <t>10.1787/9789264264120-10-en</t>
  </si>
  <si>
    <t>10.1787/9789264233911-3-en</t>
  </si>
  <si>
    <t>10.1787/9789264233911-5-en</t>
  </si>
  <si>
    <t>10.1787/9789264264991-4-en</t>
  </si>
  <si>
    <t>10.1787/5js65xn790nv-en</t>
  </si>
  <si>
    <t>10.1787/9789264257108-4-en</t>
  </si>
  <si>
    <t>10.1787/5jxsr7tt3qf4-en</t>
  </si>
  <si>
    <t>10.1787/9789264235151-6-en</t>
  </si>
  <si>
    <t>10.1787/5k4c9kwfdx8r-en</t>
  </si>
  <si>
    <t>10.1787/5kgj0d3vzcth-en</t>
  </si>
  <si>
    <t>10.18356/c55a8bce-en</t>
  </si>
  <si>
    <t>10.1787/9789264187443-7-en</t>
  </si>
  <si>
    <t>10.1787/agr/pol-2011-7-en</t>
  </si>
  <si>
    <t>10.1787/5js1j18znzs4-en</t>
  </si>
  <si>
    <t>10.1787/agr/outlook-2010-3-en</t>
  </si>
  <si>
    <t>10.1787/9789264237056-4-en</t>
  </si>
  <si>
    <t>10.1787/9789264235151-4-en</t>
  </si>
  <si>
    <t>10.1787/9789264237056-10-en</t>
  </si>
  <si>
    <t>10.1787/5kmd6b5rl5kd-en</t>
  </si>
  <si>
    <t>10.1787/9789264206441-14-en</t>
  </si>
  <si>
    <t>10.18356/127a6106-en</t>
  </si>
  <si>
    <t>10.1787/9789264298576-19-en</t>
  </si>
  <si>
    <t>10.18356/78349259-en</t>
  </si>
  <si>
    <t>10.1787/agr/outlook-2015-5-en</t>
  </si>
  <si>
    <t>10.1787/5km91nfsnkwg-en</t>
  </si>
  <si>
    <t>10.1787/5jxrclljnbxq-en</t>
  </si>
  <si>
    <t>10.18356/868e7d6f-en</t>
  </si>
  <si>
    <t>SDG 2</t>
  </si>
  <si>
    <t>10.18356/a6267136-en</t>
  </si>
  <si>
    <t>10.1787/9789264187443-8-en</t>
  </si>
  <si>
    <t>10.18356/124f66e3-en</t>
  </si>
  <si>
    <t>10.18356/f171d8d1-en</t>
  </si>
  <si>
    <t>10.1787/5km4kntgq7xx-en</t>
  </si>
  <si>
    <t>10.18356/0cf73767-en</t>
  </si>
  <si>
    <t>10.18356/63fef40d-en</t>
  </si>
  <si>
    <t>10.18356/51c574fd-en</t>
  </si>
  <si>
    <t>UNDECIDED</t>
  </si>
  <si>
    <t>target 2.2</t>
  </si>
  <si>
    <t>10.18356/18376853-en</t>
  </si>
  <si>
    <t>10.1787/5jz44w9ltszt-en</t>
  </si>
  <si>
    <t>10.1787/9789264179011-4-en</t>
  </si>
  <si>
    <t>10.1787/5jrs8sv4jt6k-en</t>
  </si>
  <si>
    <t>10.18356/f85273a2-en</t>
  </si>
  <si>
    <t>10.18356/c607b535-en</t>
  </si>
  <si>
    <t>target 2.4</t>
  </si>
  <si>
    <t>10.18356/0e3c4bbb-en</t>
  </si>
  <si>
    <t>target 2.5</t>
  </si>
  <si>
    <t>10.18356/cac71849-en</t>
  </si>
  <si>
    <t>10.18356/9206b37d-en</t>
  </si>
  <si>
    <t>Group</t>
  </si>
  <si>
    <t>Labelers</t>
  </si>
  <si>
    <t>Alignment</t>
  </si>
  <si>
    <t>Comments</t>
  </si>
  <si>
    <t>Consensus</t>
  </si>
  <si>
    <t>Rationale</t>
  </si>
  <si>
    <t>Notes</t>
  </si>
  <si>
    <t/>
  </si>
  <si>
    <t>2v1</t>
  </si>
  <si>
    <t>- Finn: target 2.c</t>
  </si>
  <si>
    <t>- Finn: NTB = non-tariff barriers</t>
  </si>
  <si>
    <t>- Steve: very likely on food safety but not explicity stated</t>
  </si>
  <si>
    <t>- Steve: bolsa familia more government programme on rural development in general</t>
  </si>
  <si>
    <t>- Finn: target 2.1</t>
  </si>
  <si>
    <t>- Finn: target 2.a
- Meike: about agriculture but not how to end hunger</t>
  </si>
  <si>
    <t>- Finn: target 2.b</t>
  </si>
  <si>
    <t>- Gib: Could be false.
The passage gives an example of an event that was against 2b.</t>
  </si>
  <si>
    <t>- Steve: hunger mentioned</t>
  </si>
  <si>
    <t>- Steve: Biofuels are considered an agricultural commodity</t>
  </si>
  <si>
    <t>- Finn: - target 2.3
- Gib: Could be False.
The passage calls for considering off-farm income when estimating farmers' income, probably for SDG 2.3</t>
  </si>
  <si>
    <t>- Finn: target 2.3 + 2.a</t>
  </si>
  <si>
    <t>1v1</t>
  </si>
  <si>
    <t>- Steve: small-scale producer incomes?</t>
  </si>
  <si>
    <t>- Finn: - could also be target 2.3</t>
  </si>
  <si>
    <t>- Finn: target 2.3
- Meike: indirect about land for smallscale farmers but too implicit</t>
  </si>
  <si>
    <t>- Finn: farm productivity (target 2.3)</t>
  </si>
  <si>
    <t>- Gib: "Embrapa" makes it highly related to SDG 2. Without the term, the passage will not sound relevant.</t>
  </si>
  <si>
    <t>- Finn: - ECIRS provides interest rate subsidies to farm enterprises and small businesses that are viable in the long term but are in financial difficulties</t>
  </si>
  <si>
    <t>- Finn: typo</t>
  </si>
  <si>
    <t>3v1</t>
  </si>
  <si>
    <t>- Gib: Just paper title. The content is likely to be highly relevant</t>
  </si>
  <si>
    <t>- Finn: target 2.3</t>
  </si>
  <si>
    <t>- Finn: sustainable agriculture (overarching)</t>
  </si>
  <si>
    <t>- Gib: addressing hunger-environmental degradation is an example use-case of suggested method. This is too vague to be about SDG 2.</t>
  </si>
  <si>
    <t>- Gib: Could be SDG 2.4
The clause "which can have impacts on food production" makes it vaguely relevant to SDG 2, but it is more like fact-stating to support argument on negative impacts of deforestation and forest fires.</t>
  </si>
  <si>
    <t>- Finn: safe food -&gt; target 1.1 (first sentence only)
- Meike: food safety not part of targets but security is</t>
  </si>
  <si>
    <t>- Finn: the last sentence makes it a "yes"</t>
  </si>
  <si>
    <t>- Finn: not about adaptation</t>
  </si>
  <si>
    <t>2v2</t>
  </si>
  <si>
    <t>- Finn: sustainable agriculture
- Meike: is about water access but not so explicitly related to food security</t>
  </si>
  <si>
    <t>- Finn: target 2.3
- Steve: right to land</t>
  </si>
  <si>
    <t>- Finn: sustainable agriculture</t>
  </si>
  <si>
    <t>- Meike: implicit about reducing food insecurity</t>
  </si>
  <si>
    <t>- Finn: target 2.a</t>
  </si>
  <si>
    <t>- Gib: Status about trade gain-loss in agricultural products
- Steve: 2.b</t>
  </si>
  <si>
    <t>- Gib: Could be True.
This is not directly related to food, but more on agricultural production: ethanol.</t>
  </si>
  <si>
    <t>id</t>
  </si>
  <si>
    <t>osdg_text_id</t>
  </si>
  <si>
    <t>comment</t>
  </si>
  <si>
    <t>This is where measures such as compensation and adjustment assistance come into play. This is sometimes interpreted (if not criticised) as an ideological position representing the entrenched philosophy of economic liberalism (or neoliberalism). Yet, there are very good practical reasons behind that principle. Three thoughts are particularly relevant.</t>
  </si>
  <si>
    <t>fixed typo</t>
  </si>
  <si>
    <t>Credit resources could be re-directed to support long-term investment and increasingly allocated to well-specified innovation, environmental, and infrastructure projects. Consider a gradual downsizing of concessional loans for working capital to commercial producers. Enhance criteria for loan eligibility to better screen out borrowers that would have invested without support.</t>
  </si>
  <si>
    <t>If land owners are not willing to transfer the land and leave it, the investor does not have the right to lease the land and cany out its investment.” It should be noted that although the government discourages slash and burn cultivation, i.e. shifting cultivation, such a system can be sustainable and deliver environmental goods in areas where demographic pressure is relatively low. An approach tailored to the characteristics of each geographical area should thus be taken.</t>
  </si>
  <si>
    <t>Promoting niche markets through denomination of origin, eco-labelling, fair trade, organic and slow food initiatives, geographic indication, globally important agricultural heritage systems, and one-village-one-product initiatives may be particularly useful. Therefore, PGRFA include both farmers' varieties/landraces and modern cultivars of staple crops as well as NUS.The development and implementation of policies are a key component in promoting NUS/FSF into agricultural production systems (FAO, 2015a). Following this, the Rome Declaration on Nutrition included the call to "Promote the diversification of crops including underutilized traditional crops, more production of fruits and vegetables, and appropriate production of animal-source products as needed, applying sustainable food production and natural resource management practices" (FAO, 2014a). These commitments have become even more compelling with the imperative of achieving the SDGs by 2030. In general, in developing countries, the attainment of this objective even for staple crops, and more so for NUS, remains a seemingly intractable problem.</t>
  </si>
  <si>
    <t>fixed typos</t>
  </si>
  <si>
    <t>While rice fills the stomach, a rice-dominated diet provides only low to zero amounts of protein, amino acids and essential micronutrients, which can be found, for example, in pulses, fruits, nuts, tubers, vegetables, fish, meat and edible insects. The dependency on rice leads to insufficient intake of nutrient-rich foods, which in turn leads to a significant 'nutrition gap'. Dietary diversity is low when there is high consumption of cereals, mainly rice, but relatively low intakes of vegetables, fruits and pulses which are known to be rich in micronutrients and fibre.</t>
  </si>
  <si>
    <t>Obesity and the food system transformation in Latin America. Climate change and food security: risks and responses. World Economic and Social Survey 2016 -Climate Change Resilience: An Opportunity for Reducing Inequalities. Contribution of Working Groups I, II and III to the Fifth Assessment Report of the Intergovernmental Panel on Climate Change.</t>
  </si>
  <si>
    <t>More extreme weather - with intense precipitation, floods and droughts - is predicted across the six SEE economies. Rainfall is predicted to decrease. These changes could reduce crop yields across the six SEE economies, especially for maize, and increase exposure to agricultural pests. Livestock productivity in Albania, Kosovo and Montenegro could fall (Callaway et al.,</t>
  </si>
  <si>
    <t>However, more detailed assessments are needed in order to properly assess AFOLU's mitigation potential, the impacts on vulnerable production systems and groups, and the costs of implementation. It is a pre-requisite that practices optimized to reduce GHG emissions or sequester carbon should also protect the land tenure rights of small-scale producers and contribute to food security and climate change adaptation, particularly for the most vulnerable groups. On the economic side, options include positive incentives for farmers to provide and maintain carbon sinks, taxation of nitrogen fertilizer in countries where it is being overutilized, a measure which is already applied in some OECD countries to reduce nitrate pollution, and supply-chain initiatives that market food products with a low carbon footprint (Paustian et al., It has been estimated, using previous calculations and data from Bellarby et al. ( These approaches generally account for emissions from pre-chain inputs through to post-farm gate processing by including methane, nitrous oxide and C02 emissions, and fossil fuel use in food systems (e.g. Steinfeld et al., This can be compared with around 5.2 GtC02-eq generated by agriculture and around 4.9 Gt0O2-eq by forestry and land use change.</t>
  </si>
  <si>
    <t>Relying on a very small fraction of staple crops for our diet has dire implications for both food security and nutrition. The lack of genetic diversity within the gene pools of the dominant cultivated crops, leaves agricultural systems vulnerable to pests, diseases and other abiotic stresses. Agricultural sustainability relies on a healthy interaction between agriculture and nature.</t>
  </si>
  <si>
    <t>But cotton and corn, for example, use less herbicides and pesticides, but if these crop varieties develop resistance to the less toxic chemical herbicides and pesticides, future more toxic inputs may be required. In this case, adoption of transgenic crops could have large negative ecological implications if “GE crops are adopted more widely in developing countries where domesticated crops have wild relatives” (Ervin, Glenna and Jussaume, 2010, p. 7). Innovative mechanisms designed to engage the private sector need to be explored: results-based performance contracts—for the development, for example, of improved seed or crop varieties with higher water-stress tolerance and greater responsiveness to fertilizers—granted on a competitive basis may be one means of stimulating private research.</t>
  </si>
  <si>
    <t>Nutrition-sensitive interventions and programmes: how can they help to accelerate progress in improving maternal and child nutrition? The lancet, 382(9891): 536-551. Household dietary diversity and Food expenditures are closely linked in rural Bangladesh, increasing the risk of malnutrition due to the financial crisis. Association of household rice expenditure with child nutritional status indicates a role for macroeconomic food policy in combating malnutrition. The Journal of Nutrition, 133(5): 1320-1325. Higher household expenditure on animal-source and nongrain foods lowers the risk of stunting among children 0-59 months old in Indonesia: implications of rising food prices.</t>
  </si>
  <si>
    <t>fixed many typos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</si>
</sst>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color theme="1"/>
      <name val="Arial"/>
    </font>
    <font>
      <b/>
      <sz val="10.0"/>
      <color theme="1"/>
      <name val="Arial"/>
    </font>
    <font>
      <sz val="10.0"/>
      <color theme="1"/>
      <name val="Arial"/>
      <scheme val="minor"/>
    </font>
    <font>
      <sz val="9.0"/>
      <color theme="1"/>
      <name val="Arial"/>
      <scheme val="minor"/>
    </font>
    <font>
      <sz val="9.0"/>
      <color rgb="FF11A9CC"/>
      <name val="Arial"/>
      <scheme val="minor"/>
    </font>
  </fonts>
  <fills count="4">
    <fill>
      <patternFill patternType="none"/>
    </fill>
    <fill>
      <patternFill patternType="lightGray"/>
    </fill>
    <fill>
      <patternFill patternType="solid">
        <fgColor rgb="FFF4CCCC"/>
        <bgColor rgb="FFF4CCCC"/>
      </patternFill>
    </fill>
    <fill>
      <patternFill patternType="solid">
        <fgColor theme="0"/>
        <bgColor theme="0"/>
      </patternFill>
    </fill>
  </fills>
  <borders count="2">
    <border/>
    <border>
      <left style="thick">
        <color rgb="FF000000"/>
      </lef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5" numFmtId="0" xfId="0" applyFont="1"/>
    <xf borderId="0" fillId="0" fontId="0" numFmtId="0" xfId="0" applyAlignment="1" applyFont="1">
      <alignment horizontal="right"/>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vertical="bottom"/>
    </xf>
    <xf borderId="0" fillId="0" fontId="15" numFmtId="0" xfId="0" applyAlignment="1" applyFont="1">
      <alignment readingOrder="0" shrinkToFit="0" vertical="bottom" wrapText="1"/>
    </xf>
    <xf borderId="0" fillId="0" fontId="16" numFmtId="0" xfId="0" applyAlignment="1" applyFont="1">
      <alignment horizontal="center" readingOrder="0" vertical="bottom"/>
    </xf>
    <xf borderId="0" fillId="0" fontId="17" numFmtId="0" xfId="0" applyAlignment="1" applyFont="1">
      <alignment vertical="bottom"/>
    </xf>
    <xf borderId="0" fillId="0" fontId="17" numFmtId="0" xfId="0" applyAlignment="1" applyFont="1">
      <alignment shrinkToFit="0" vertical="bottom" wrapText="1"/>
    </xf>
    <xf borderId="0" fillId="0" fontId="18" numFmtId="0" xfId="0" applyAlignment="1" applyFont="1">
      <alignment horizontal="center" readingOrder="0" vertical="center"/>
    </xf>
    <xf borderId="0" fillId="2" fontId="17" numFmtId="0" xfId="0" applyAlignment="1" applyFill="1" applyFont="1">
      <alignment shrinkToFit="0" vertical="bottom" wrapText="1"/>
    </xf>
    <xf borderId="0" fillId="3" fontId="5" numFmtId="0" xfId="0" applyFill="1" applyFont="1"/>
    <xf borderId="0" fillId="0" fontId="19" numFmtId="0" xfId="0" applyAlignment="1" applyFont="1">
      <alignment vertical="bottom"/>
    </xf>
    <xf borderId="0" fillId="0" fontId="19" numFmtId="0" xfId="0" applyAlignment="1" applyFont="1">
      <alignment vertical="bottom"/>
    </xf>
    <xf borderId="0" fillId="0" fontId="19"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9" numFmtId="0" xfId="0" applyAlignment="1" applyFont="1">
      <alignment horizontal="center" readingOrder="0" vertical="bottom"/>
    </xf>
    <xf borderId="0" fillId="0" fontId="19" numFmtId="0" xfId="0" applyAlignment="1" applyFont="1">
      <alignment horizontal="center" vertical="bottom"/>
    </xf>
    <xf borderId="0" fillId="0" fontId="9" numFmtId="0" xfId="0" applyAlignment="1" applyFont="1">
      <alignment readingOrder="0"/>
    </xf>
    <xf borderId="0" fillId="0" fontId="20" numFmtId="0" xfId="0" applyAlignment="1" applyFont="1">
      <alignment readingOrder="0" vertical="bottom"/>
    </xf>
    <xf borderId="1" fillId="0" fontId="12" numFmtId="0" xfId="0" applyAlignment="1" applyBorder="1" applyFont="1">
      <alignment horizontal="center" readingOrder="0"/>
    </xf>
    <xf borderId="0" fillId="0" fontId="5" numFmtId="0" xfId="0" applyAlignment="1" applyFont="1">
      <alignment horizontal="center"/>
    </xf>
    <xf borderId="0" fillId="0" fontId="21" numFmtId="10" xfId="0" applyFont="1" applyNumberFormat="1"/>
    <xf borderId="0" fillId="0" fontId="22" numFmtId="10" xfId="0" applyFont="1" applyNumberFormat="1"/>
    <xf borderId="1"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xf borderId="0" fillId="0" fontId="23" numFmtId="0" xfId="0" applyFont="1"/>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49</xdr:row>
      <xdr:rowOff>19050</xdr:rowOff>
    </xdr:from>
    <xdr:ext cx="7943850" cy="6781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B49" s="5" t="s">
        <v>33</v>
      </c>
    </row>
    <row r="84">
      <c r="B84" s="17" t="s">
        <v>34</v>
      </c>
    </row>
    <row r="86">
      <c r="B86" s="6" t="s">
        <v>35</v>
      </c>
    </row>
    <row r="87">
      <c r="B87" s="5" t="s">
        <v>36</v>
      </c>
    </row>
    <row r="88">
      <c r="B88" s="5"/>
    </row>
    <row r="89">
      <c r="B89" s="18" t="s">
        <v>37</v>
      </c>
      <c r="C89" s="18" t="s">
        <v>38</v>
      </c>
    </row>
    <row r="90">
      <c r="B90" s="17" t="s">
        <v>39</v>
      </c>
      <c r="C90" s="19" t="str">
        <f>IFERROR(__xludf.DUMMYFUNCTION("SPARKLINE((100-COUNTIF(INDIRECT(B90&amp;""!C:C""), ""TO DO""))/100+0.01,{""charttype"",""bar"";""max"",1.01;""min"",0; ""color1"", ""#4285f4""})"),"")</f>
        <v/>
      </c>
      <c r="D90" s="20" t="str">
        <f t="shared" ref="D90:D94" si="1">(100-COUNTIF(INDIRECT(B90&amp;"!C:C"), "TO DO")) &amp; " / 100"</f>
        <v>100 / 100</v>
      </c>
    </row>
    <row r="91">
      <c r="B91" s="17" t="s">
        <v>40</v>
      </c>
      <c r="C91" s="19" t="str">
        <f>IFERROR(__xludf.DUMMYFUNCTION("SPARKLINE((100-COUNTIF(INDIRECT(B91&amp;""!C:C""), ""TO DO""))/100+0.01,{""charttype"",""bar"";""max"",1.01;""min"",0; ""color1"", ""#4285f4""})"),"")</f>
        <v/>
      </c>
      <c r="D91" s="20" t="str">
        <f t="shared" si="1"/>
        <v>52 / 100</v>
      </c>
    </row>
    <row r="92">
      <c r="B92" s="17" t="s">
        <v>41</v>
      </c>
      <c r="C92" s="19" t="str">
        <f>IFERROR(__xludf.DUMMYFUNCTION("SPARKLINE((100-COUNTIF(INDIRECT(B92&amp;""!C:C""), ""TO DO""))/100+0.01,{""charttype"",""bar"";""max"",1.01;""min"",0; ""color1"", ""#4285f4""})"),"")</f>
        <v/>
      </c>
      <c r="D92" s="20" t="str">
        <f t="shared" si="1"/>
        <v>0 / 100</v>
      </c>
    </row>
    <row r="93">
      <c r="B93" s="17" t="s">
        <v>42</v>
      </c>
      <c r="C93" s="19" t="str">
        <f>IFERROR(__xludf.DUMMYFUNCTION("SPARKLINE((100-COUNTIF(INDIRECT(B93&amp;""!C:C""), ""TO DO""))/100+0.01,{""charttype"",""bar"";""max"",1.01;""min"",0; ""color1"", ""#4285f4""})"),"")</f>
        <v/>
      </c>
      <c r="D93" s="20" t="str">
        <f t="shared" si="1"/>
        <v>100 / 100</v>
      </c>
    </row>
    <row r="94">
      <c r="B94" s="17" t="s">
        <v>43</v>
      </c>
      <c r="C94" s="19" t="str">
        <f>IFERROR(__xludf.DUMMYFUNCTION("SPARKLINE((100-COUNTIF(INDIRECT(B94&amp;""!C:C""), ""TO DO""))/100+0.01,{""charttype"",""bar"";""max"",1.01;""min"",0; ""color1"", ""#4285f4""})"),"")</f>
        <v/>
      </c>
      <c r="D94" s="20" t="str">
        <f t="shared" si="1"/>
        <v>100 / 100</v>
      </c>
    </row>
    <row r="96">
      <c r="B96" s="21" t="s">
        <v>44</v>
      </c>
    </row>
    <row r="98">
      <c r="B98" s="6" t="s">
        <v>45</v>
      </c>
    </row>
    <row r="99">
      <c r="B99" s="5" t="s">
        <v>46</v>
      </c>
    </row>
    <row r="100">
      <c r="B100" s="5"/>
    </row>
    <row r="101">
      <c r="B101" s="5" t="s">
        <v>47</v>
      </c>
    </row>
    <row r="102">
      <c r="B102" s="5"/>
    </row>
    <row r="103">
      <c r="B103" s="22" t="s">
        <v>48</v>
      </c>
    </row>
    <row r="104">
      <c r="B104" s="5" t="s">
        <v>49</v>
      </c>
    </row>
    <row r="105">
      <c r="B105" s="5" t="s">
        <v>50</v>
      </c>
    </row>
    <row r="106">
      <c r="B106" s="5" t="s">
        <v>51</v>
      </c>
    </row>
    <row r="107">
      <c r="B107" s="5" t="s">
        <v>52</v>
      </c>
    </row>
    <row r="108">
      <c r="B108" s="5" t="s">
        <v>53</v>
      </c>
    </row>
    <row r="109">
      <c r="B109" s="5" t="s">
        <v>54</v>
      </c>
    </row>
    <row r="110">
      <c r="B110" s="5" t="s">
        <v>55</v>
      </c>
    </row>
    <row r="111">
      <c r="B111" s="5" t="s">
        <v>56</v>
      </c>
    </row>
    <row r="112">
      <c r="B112" s="5" t="s">
        <v>57</v>
      </c>
    </row>
    <row r="113">
      <c r="B113" s="5" t="s">
        <v>58</v>
      </c>
    </row>
    <row r="114">
      <c r="B114" s="5" t="s">
        <v>59</v>
      </c>
    </row>
    <row r="116">
      <c r="B116" s="22" t="s">
        <v>60</v>
      </c>
    </row>
    <row r="117">
      <c r="B117" s="5" t="s">
        <v>61</v>
      </c>
    </row>
    <row r="118">
      <c r="B118" s="5" t="s">
        <v>62</v>
      </c>
    </row>
    <row r="119">
      <c r="B119" s="5" t="s">
        <v>63</v>
      </c>
    </row>
    <row r="120">
      <c r="B120" s="5" t="s">
        <v>64</v>
      </c>
    </row>
    <row r="125">
      <c r="B125" s="13"/>
    </row>
    <row r="126">
      <c r="B126" s="13"/>
    </row>
    <row r="127">
      <c r="B127" s="13"/>
    </row>
    <row r="128">
      <c r="B128" s="13"/>
    </row>
    <row r="129">
      <c r="B129" s="13"/>
    </row>
  </sheetData>
  <dataValidations>
    <dataValidation type="list" allowBlank="1" showErrorMessage="1" sqref="B18:B20">
      <formula1>"TRUE,FALSE,SKIP"</formula1>
    </dataValidation>
  </dataValidations>
  <hyperlinks>
    <hyperlink r:id="rId1" ref="B84"/>
    <hyperlink display="Finn" location="Finn!A1" ref="B90"/>
    <hyperlink display="Gib" location="Gib!A1" ref="B91"/>
    <hyperlink display="Jean-Baptiste" location="'Jean-Baptiste'!A1" ref="B92"/>
    <hyperlink display="Meike" location="Meike!A1" ref="B93"/>
    <hyperlink display="Steve" location="Steve!A1" ref="B9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3" t="s">
        <v>65</v>
      </c>
      <c r="B1" s="24" t="s">
        <v>66</v>
      </c>
      <c r="C1" s="25" t="s">
        <v>67</v>
      </c>
      <c r="D1" s="18" t="s">
        <v>68</v>
      </c>
    </row>
    <row r="2">
      <c r="A2" s="26" t="s">
        <v>69</v>
      </c>
      <c r="B2" s="27" t="s">
        <v>70</v>
      </c>
      <c r="C2" s="28" t="b">
        <v>0</v>
      </c>
    </row>
    <row r="3">
      <c r="A3" s="26" t="s">
        <v>71</v>
      </c>
      <c r="B3" s="27" t="s">
        <v>72</v>
      </c>
      <c r="C3" s="28" t="b">
        <v>1</v>
      </c>
      <c r="D3" s="5" t="s">
        <v>73</v>
      </c>
    </row>
    <row r="4">
      <c r="A4" s="26" t="s">
        <v>74</v>
      </c>
      <c r="B4" s="27" t="s">
        <v>75</v>
      </c>
      <c r="C4" s="28" t="b">
        <v>1</v>
      </c>
    </row>
    <row r="5">
      <c r="A5" s="26" t="s">
        <v>76</v>
      </c>
      <c r="B5" s="27" t="s">
        <v>77</v>
      </c>
      <c r="C5" s="28" t="b">
        <v>1</v>
      </c>
    </row>
    <row r="6">
      <c r="A6" s="26" t="s">
        <v>78</v>
      </c>
      <c r="B6" s="27" t="s">
        <v>79</v>
      </c>
      <c r="C6" s="28" t="b">
        <v>1</v>
      </c>
    </row>
    <row r="7">
      <c r="A7" s="26" t="s">
        <v>80</v>
      </c>
      <c r="B7" s="27" t="s">
        <v>81</v>
      </c>
      <c r="C7" s="28" t="b">
        <v>0</v>
      </c>
    </row>
    <row r="8">
      <c r="A8" s="26" t="s">
        <v>82</v>
      </c>
      <c r="B8" s="27" t="s">
        <v>83</v>
      </c>
      <c r="C8" s="28" t="b">
        <v>1</v>
      </c>
    </row>
    <row r="9">
      <c r="A9" s="26" t="s">
        <v>84</v>
      </c>
      <c r="B9" s="27" t="s">
        <v>85</v>
      </c>
      <c r="C9" s="28" t="b">
        <v>1</v>
      </c>
      <c r="D9" s="5" t="s">
        <v>86</v>
      </c>
    </row>
    <row r="10">
      <c r="A10" s="26" t="s">
        <v>87</v>
      </c>
      <c r="B10" s="27" t="s">
        <v>88</v>
      </c>
      <c r="C10" s="28" t="b">
        <v>1</v>
      </c>
      <c r="D10" s="5" t="s">
        <v>89</v>
      </c>
    </row>
    <row r="11">
      <c r="A11" s="26" t="s">
        <v>90</v>
      </c>
      <c r="B11" s="27" t="s">
        <v>91</v>
      </c>
      <c r="C11" s="28" t="b">
        <v>1</v>
      </c>
    </row>
    <row r="12">
      <c r="A12" s="26" t="s">
        <v>92</v>
      </c>
      <c r="B12" s="27" t="s">
        <v>93</v>
      </c>
      <c r="C12" s="28" t="b">
        <v>0</v>
      </c>
    </row>
    <row r="13">
      <c r="A13" s="26" t="s">
        <v>94</v>
      </c>
      <c r="B13" s="27" t="s">
        <v>95</v>
      </c>
      <c r="C13" s="28" t="b">
        <v>0</v>
      </c>
    </row>
    <row r="14">
      <c r="A14" s="26" t="s">
        <v>96</v>
      </c>
      <c r="B14" s="27" t="s">
        <v>97</v>
      </c>
      <c r="C14" s="28" t="b">
        <v>1</v>
      </c>
      <c r="D14" s="5" t="s">
        <v>98</v>
      </c>
    </row>
    <row r="15">
      <c r="A15" s="26" t="s">
        <v>99</v>
      </c>
      <c r="B15" s="27" t="s">
        <v>100</v>
      </c>
      <c r="C15" s="28" t="b">
        <v>1</v>
      </c>
      <c r="D15" s="5" t="s">
        <v>101</v>
      </c>
    </row>
    <row r="16">
      <c r="A16" s="26" t="s">
        <v>102</v>
      </c>
      <c r="B16" s="27" t="s">
        <v>103</v>
      </c>
      <c r="C16" s="28" t="b">
        <v>0</v>
      </c>
    </row>
    <row r="17">
      <c r="A17" s="26" t="s">
        <v>104</v>
      </c>
      <c r="B17" s="27" t="s">
        <v>105</v>
      </c>
      <c r="C17" s="28" t="b">
        <v>1</v>
      </c>
      <c r="D17" s="5" t="s">
        <v>101</v>
      </c>
    </row>
    <row r="18">
      <c r="A18" s="26" t="s">
        <v>106</v>
      </c>
      <c r="B18" s="27" t="s">
        <v>107</v>
      </c>
      <c r="C18" s="28" t="b">
        <v>1</v>
      </c>
    </row>
    <row r="19">
      <c r="A19" s="26" t="s">
        <v>108</v>
      </c>
      <c r="B19" s="27" t="s">
        <v>109</v>
      </c>
      <c r="C19" s="28" t="b">
        <v>1</v>
      </c>
    </row>
    <row r="20">
      <c r="A20" s="26" t="s">
        <v>110</v>
      </c>
      <c r="B20" s="27" t="s">
        <v>111</v>
      </c>
      <c r="C20" s="28" t="b">
        <v>1</v>
      </c>
      <c r="D20" s="5" t="s">
        <v>98</v>
      </c>
    </row>
    <row r="21">
      <c r="A21" s="26" t="s">
        <v>112</v>
      </c>
      <c r="B21" s="27" t="s">
        <v>113</v>
      </c>
      <c r="C21" s="28" t="b">
        <v>0</v>
      </c>
    </row>
    <row r="22">
      <c r="A22" s="26" t="s">
        <v>114</v>
      </c>
      <c r="B22" s="27" t="s">
        <v>115</v>
      </c>
      <c r="C22" s="28" t="b">
        <v>1</v>
      </c>
      <c r="D22" s="5" t="s">
        <v>116</v>
      </c>
    </row>
    <row r="23">
      <c r="A23" s="26" t="s">
        <v>117</v>
      </c>
      <c r="B23" s="27" t="s">
        <v>118</v>
      </c>
      <c r="C23" s="28" t="b">
        <v>0</v>
      </c>
      <c r="D23" s="5" t="s">
        <v>119</v>
      </c>
    </row>
    <row r="24">
      <c r="A24" s="26" t="s">
        <v>120</v>
      </c>
      <c r="B24" s="27" t="s">
        <v>121</v>
      </c>
      <c r="C24" s="28" t="b">
        <v>1</v>
      </c>
    </row>
    <row r="25">
      <c r="A25" s="26" t="s">
        <v>122</v>
      </c>
      <c r="B25" s="27" t="s">
        <v>123</v>
      </c>
      <c r="C25" s="28" t="b">
        <v>0</v>
      </c>
    </row>
    <row r="26">
      <c r="A26" s="26" t="s">
        <v>124</v>
      </c>
      <c r="B26" s="27" t="s">
        <v>125</v>
      </c>
      <c r="C26" s="28" t="b">
        <v>1</v>
      </c>
      <c r="D26" s="5" t="s">
        <v>126</v>
      </c>
    </row>
    <row r="27">
      <c r="A27" s="26" t="s">
        <v>127</v>
      </c>
      <c r="B27" s="27" t="s">
        <v>128</v>
      </c>
      <c r="C27" s="28" t="b">
        <v>0</v>
      </c>
    </row>
    <row r="28">
      <c r="A28" s="26" t="s">
        <v>129</v>
      </c>
      <c r="B28" s="27" t="s">
        <v>130</v>
      </c>
      <c r="C28" s="28" t="b">
        <v>1</v>
      </c>
      <c r="D28" s="5" t="s">
        <v>86</v>
      </c>
    </row>
    <row r="29">
      <c r="A29" s="26" t="s">
        <v>131</v>
      </c>
      <c r="B29" s="27" t="s">
        <v>132</v>
      </c>
      <c r="C29" s="28" t="b">
        <v>1</v>
      </c>
      <c r="D29" s="5" t="s">
        <v>89</v>
      </c>
    </row>
    <row r="30">
      <c r="A30" s="26" t="s">
        <v>133</v>
      </c>
      <c r="B30" s="27" t="s">
        <v>134</v>
      </c>
      <c r="C30" s="28" t="b">
        <v>1</v>
      </c>
    </row>
    <row r="31">
      <c r="A31" s="26" t="s">
        <v>135</v>
      </c>
      <c r="B31" s="27" t="s">
        <v>136</v>
      </c>
      <c r="C31" s="28" t="b">
        <v>0</v>
      </c>
    </row>
    <row r="32">
      <c r="A32" s="26" t="s">
        <v>137</v>
      </c>
      <c r="B32" s="27" t="s">
        <v>138</v>
      </c>
      <c r="C32" s="28" t="b">
        <v>0</v>
      </c>
    </row>
    <row r="33">
      <c r="A33" s="26" t="s">
        <v>139</v>
      </c>
      <c r="B33" s="27" t="s">
        <v>140</v>
      </c>
      <c r="C33" s="28" t="b">
        <v>1</v>
      </c>
    </row>
    <row r="34">
      <c r="A34" s="26" t="s">
        <v>141</v>
      </c>
      <c r="B34" s="27" t="s">
        <v>142</v>
      </c>
      <c r="C34" s="28" t="b">
        <v>1</v>
      </c>
    </row>
    <row r="35">
      <c r="A35" s="26" t="s">
        <v>143</v>
      </c>
      <c r="B35" s="27" t="s">
        <v>144</v>
      </c>
      <c r="C35" s="28" t="b">
        <v>1</v>
      </c>
      <c r="D35" s="5" t="s">
        <v>101</v>
      </c>
    </row>
    <row r="36">
      <c r="A36" s="26" t="s">
        <v>145</v>
      </c>
      <c r="B36" s="27" t="s">
        <v>146</v>
      </c>
      <c r="C36" s="28" t="b">
        <v>0</v>
      </c>
    </row>
    <row r="37">
      <c r="A37" s="26" t="s">
        <v>147</v>
      </c>
      <c r="B37" s="27" t="s">
        <v>148</v>
      </c>
      <c r="C37" s="28" t="b">
        <v>1</v>
      </c>
    </row>
    <row r="38">
      <c r="A38" s="26" t="s">
        <v>149</v>
      </c>
      <c r="B38" s="27" t="s">
        <v>150</v>
      </c>
      <c r="C38" s="28" t="b">
        <v>0</v>
      </c>
    </row>
    <row r="39">
      <c r="A39" s="26" t="s">
        <v>151</v>
      </c>
      <c r="B39" s="27" t="s">
        <v>152</v>
      </c>
      <c r="C39" s="28" t="b">
        <v>1</v>
      </c>
      <c r="D39" s="5" t="s">
        <v>153</v>
      </c>
    </row>
    <row r="40">
      <c r="A40" s="26" t="s">
        <v>154</v>
      </c>
      <c r="B40" s="27" t="s">
        <v>155</v>
      </c>
      <c r="C40" s="28" t="b">
        <v>1</v>
      </c>
    </row>
    <row r="41">
      <c r="A41" s="26" t="s">
        <v>156</v>
      </c>
      <c r="B41" s="27" t="s">
        <v>157</v>
      </c>
      <c r="C41" s="28" t="b">
        <v>1</v>
      </c>
      <c r="D41" s="5" t="s">
        <v>153</v>
      </c>
    </row>
    <row r="42">
      <c r="A42" s="26" t="s">
        <v>158</v>
      </c>
      <c r="B42" s="27" t="s">
        <v>159</v>
      </c>
      <c r="C42" s="28" t="b">
        <v>1</v>
      </c>
    </row>
    <row r="43">
      <c r="A43" s="26" t="s">
        <v>160</v>
      </c>
      <c r="B43" s="27" t="s">
        <v>161</v>
      </c>
      <c r="C43" s="28" t="b">
        <v>0</v>
      </c>
    </row>
    <row r="44">
      <c r="A44" s="26" t="s">
        <v>162</v>
      </c>
      <c r="B44" s="27" t="s">
        <v>163</v>
      </c>
      <c r="C44" s="28" t="b">
        <v>0</v>
      </c>
    </row>
    <row r="45">
      <c r="A45" s="26" t="s">
        <v>164</v>
      </c>
      <c r="B45" s="27" t="s">
        <v>165</v>
      </c>
      <c r="C45" s="28" t="b">
        <v>1</v>
      </c>
    </row>
    <row r="46">
      <c r="A46" s="26" t="s">
        <v>166</v>
      </c>
      <c r="B46" s="27" t="s">
        <v>167</v>
      </c>
      <c r="C46" s="28" t="b">
        <v>1</v>
      </c>
    </row>
    <row r="47">
      <c r="A47" s="26" t="s">
        <v>168</v>
      </c>
      <c r="B47" s="27" t="s">
        <v>169</v>
      </c>
      <c r="C47" s="28" t="b">
        <v>1</v>
      </c>
      <c r="D47" s="5" t="s">
        <v>170</v>
      </c>
    </row>
    <row r="48">
      <c r="A48" s="26" t="s">
        <v>171</v>
      </c>
      <c r="B48" s="27" t="s">
        <v>172</v>
      </c>
      <c r="C48" s="28" t="b">
        <v>1</v>
      </c>
    </row>
    <row r="49">
      <c r="A49" s="26" t="s">
        <v>173</v>
      </c>
      <c r="B49" s="27" t="s">
        <v>174</v>
      </c>
      <c r="C49" s="28" t="b">
        <v>1</v>
      </c>
      <c r="D49" s="5" t="s">
        <v>175</v>
      </c>
    </row>
    <row r="50">
      <c r="A50" s="26" t="s">
        <v>176</v>
      </c>
      <c r="B50" s="27" t="s">
        <v>177</v>
      </c>
      <c r="C50" s="28" t="b">
        <v>1</v>
      </c>
    </row>
    <row r="51">
      <c r="A51" s="26" t="s">
        <v>178</v>
      </c>
      <c r="B51" s="27" t="s">
        <v>179</v>
      </c>
      <c r="C51" s="28" t="b">
        <v>1</v>
      </c>
    </row>
    <row r="52">
      <c r="A52" s="26" t="s">
        <v>180</v>
      </c>
      <c r="B52" s="27" t="s">
        <v>181</v>
      </c>
      <c r="C52" s="28" t="b">
        <v>1</v>
      </c>
    </row>
    <row r="53">
      <c r="A53" s="26" t="s">
        <v>182</v>
      </c>
      <c r="B53" s="27" t="s">
        <v>183</v>
      </c>
      <c r="C53" s="28" t="b">
        <v>1</v>
      </c>
    </row>
    <row r="54">
      <c r="A54" s="26" t="s">
        <v>184</v>
      </c>
      <c r="B54" s="27" t="s">
        <v>185</v>
      </c>
      <c r="C54" s="28" t="b">
        <v>1</v>
      </c>
    </row>
    <row r="55">
      <c r="A55" s="26" t="s">
        <v>186</v>
      </c>
      <c r="B55" s="27" t="s">
        <v>187</v>
      </c>
      <c r="C55" s="28" t="b">
        <v>1</v>
      </c>
    </row>
    <row r="56">
      <c r="A56" s="26" t="s">
        <v>188</v>
      </c>
      <c r="B56" s="27" t="s">
        <v>189</v>
      </c>
      <c r="C56" s="28" t="b">
        <v>0</v>
      </c>
    </row>
    <row r="57">
      <c r="A57" s="26" t="s">
        <v>190</v>
      </c>
      <c r="B57" s="27" t="s">
        <v>191</v>
      </c>
      <c r="C57" s="28" t="b">
        <v>0</v>
      </c>
    </row>
    <row r="58">
      <c r="A58" s="26" t="s">
        <v>192</v>
      </c>
      <c r="B58" s="27" t="s">
        <v>193</v>
      </c>
      <c r="C58" s="28" t="b">
        <v>1</v>
      </c>
    </row>
    <row r="59">
      <c r="A59" s="26" t="s">
        <v>194</v>
      </c>
      <c r="B59" s="27" t="s">
        <v>195</v>
      </c>
      <c r="C59" s="28" t="b">
        <v>1</v>
      </c>
      <c r="D59" s="5" t="s">
        <v>196</v>
      </c>
    </row>
    <row r="60">
      <c r="A60" s="26" t="s">
        <v>197</v>
      </c>
      <c r="B60" s="27" t="s">
        <v>198</v>
      </c>
      <c r="C60" s="28" t="b">
        <v>1</v>
      </c>
      <c r="D60" s="5" t="s">
        <v>101</v>
      </c>
    </row>
    <row r="61">
      <c r="A61" s="26" t="s">
        <v>199</v>
      </c>
      <c r="B61" s="27" t="s">
        <v>200</v>
      </c>
      <c r="C61" s="28" t="b">
        <v>1</v>
      </c>
      <c r="D61" s="5" t="s">
        <v>196</v>
      </c>
    </row>
    <row r="62">
      <c r="A62" s="26" t="s">
        <v>201</v>
      </c>
      <c r="B62" s="27" t="s">
        <v>202</v>
      </c>
      <c r="C62" s="28" t="b">
        <v>0</v>
      </c>
    </row>
    <row r="63">
      <c r="A63" s="26" t="s">
        <v>203</v>
      </c>
      <c r="B63" s="27" t="s">
        <v>204</v>
      </c>
      <c r="C63" s="28" t="b">
        <v>1</v>
      </c>
    </row>
    <row r="64">
      <c r="A64" s="26" t="s">
        <v>205</v>
      </c>
      <c r="B64" s="27" t="s">
        <v>206</v>
      </c>
      <c r="C64" s="28" t="b">
        <v>0</v>
      </c>
    </row>
    <row r="65">
      <c r="A65" s="26" t="s">
        <v>207</v>
      </c>
      <c r="B65" s="27" t="s">
        <v>208</v>
      </c>
      <c r="C65" s="28" t="b">
        <v>1</v>
      </c>
    </row>
    <row r="66">
      <c r="A66" s="26" t="s">
        <v>209</v>
      </c>
      <c r="B66" s="27" t="s">
        <v>210</v>
      </c>
      <c r="C66" s="28" t="b">
        <v>0</v>
      </c>
    </row>
    <row r="67">
      <c r="A67" s="26" t="s">
        <v>211</v>
      </c>
      <c r="B67" s="27" t="s">
        <v>212</v>
      </c>
      <c r="C67" s="28" t="b">
        <v>1</v>
      </c>
      <c r="D67" s="5" t="s">
        <v>101</v>
      </c>
    </row>
    <row r="68">
      <c r="A68" s="26" t="s">
        <v>213</v>
      </c>
      <c r="B68" s="27" t="s">
        <v>214</v>
      </c>
      <c r="C68" s="28" t="b">
        <v>0</v>
      </c>
    </row>
    <row r="69">
      <c r="A69" s="26" t="s">
        <v>215</v>
      </c>
      <c r="B69" s="27" t="s">
        <v>216</v>
      </c>
      <c r="C69" s="28" t="b">
        <v>0</v>
      </c>
    </row>
    <row r="70">
      <c r="A70" s="26" t="s">
        <v>217</v>
      </c>
      <c r="B70" s="27" t="s">
        <v>218</v>
      </c>
      <c r="C70" s="28" t="b">
        <v>0</v>
      </c>
    </row>
    <row r="71">
      <c r="A71" s="26" t="s">
        <v>219</v>
      </c>
      <c r="B71" s="27" t="s">
        <v>220</v>
      </c>
      <c r="C71" s="28" t="b">
        <v>1</v>
      </c>
    </row>
    <row r="72">
      <c r="A72" s="26" t="s">
        <v>221</v>
      </c>
      <c r="B72" s="27" t="s">
        <v>222</v>
      </c>
      <c r="C72" s="28" t="b">
        <v>0</v>
      </c>
    </row>
    <row r="73">
      <c r="A73" s="26" t="s">
        <v>223</v>
      </c>
      <c r="B73" s="27" t="s">
        <v>224</v>
      </c>
      <c r="C73" s="28" t="b">
        <v>0</v>
      </c>
    </row>
    <row r="74">
      <c r="A74" s="26" t="s">
        <v>225</v>
      </c>
      <c r="B74" s="27" t="s">
        <v>226</v>
      </c>
      <c r="C74" s="28" t="b">
        <v>1</v>
      </c>
    </row>
    <row r="75">
      <c r="A75" s="26" t="s">
        <v>227</v>
      </c>
      <c r="B75" s="27" t="s">
        <v>228</v>
      </c>
      <c r="C75" s="28" t="b">
        <v>0</v>
      </c>
    </row>
    <row r="76">
      <c r="A76" s="26" t="s">
        <v>229</v>
      </c>
      <c r="B76" s="27" t="s">
        <v>230</v>
      </c>
      <c r="C76" s="28" t="b">
        <v>0</v>
      </c>
    </row>
    <row r="77">
      <c r="A77" s="26" t="s">
        <v>231</v>
      </c>
      <c r="B77" s="27" t="s">
        <v>232</v>
      </c>
      <c r="C77" s="28" t="b">
        <v>1</v>
      </c>
    </row>
    <row r="78">
      <c r="A78" s="26" t="s">
        <v>233</v>
      </c>
      <c r="B78" s="27" t="s">
        <v>234</v>
      </c>
      <c r="C78" s="28" t="b">
        <v>0</v>
      </c>
      <c r="D78" s="5" t="s">
        <v>235</v>
      </c>
    </row>
    <row r="79">
      <c r="A79" s="26" t="s">
        <v>236</v>
      </c>
      <c r="B79" s="27" t="s">
        <v>237</v>
      </c>
      <c r="C79" s="28" t="b">
        <v>1</v>
      </c>
    </row>
    <row r="80">
      <c r="A80" s="26" t="s">
        <v>238</v>
      </c>
      <c r="B80" s="27" t="s">
        <v>239</v>
      </c>
      <c r="C80" s="28" t="b">
        <v>1</v>
      </c>
      <c r="D80" s="5" t="s">
        <v>89</v>
      </c>
    </row>
    <row r="81">
      <c r="A81" s="26" t="s">
        <v>240</v>
      </c>
      <c r="B81" s="27" t="s">
        <v>241</v>
      </c>
      <c r="C81" s="28" t="b">
        <v>0</v>
      </c>
    </row>
    <row r="82">
      <c r="A82" s="26" t="s">
        <v>242</v>
      </c>
      <c r="B82" s="27" t="s">
        <v>243</v>
      </c>
      <c r="C82" s="28" t="b">
        <v>0</v>
      </c>
    </row>
    <row r="83">
      <c r="A83" s="26" t="s">
        <v>244</v>
      </c>
      <c r="B83" s="27" t="s">
        <v>245</v>
      </c>
      <c r="C83" s="28" t="b">
        <v>1</v>
      </c>
      <c r="D83" s="5" t="s">
        <v>246</v>
      </c>
    </row>
    <row r="84">
      <c r="A84" s="26" t="s">
        <v>247</v>
      </c>
      <c r="B84" s="27" t="s">
        <v>248</v>
      </c>
      <c r="C84" s="28" t="b">
        <v>0</v>
      </c>
    </row>
    <row r="85">
      <c r="A85" s="26" t="s">
        <v>249</v>
      </c>
      <c r="B85" s="27" t="s">
        <v>250</v>
      </c>
      <c r="C85" s="28" t="b">
        <v>1</v>
      </c>
    </row>
    <row r="86">
      <c r="A86" s="26" t="s">
        <v>251</v>
      </c>
      <c r="B86" s="27" t="s">
        <v>252</v>
      </c>
      <c r="C86" s="28" t="b">
        <v>1</v>
      </c>
    </row>
    <row r="87">
      <c r="A87" s="26" t="s">
        <v>253</v>
      </c>
      <c r="B87" s="27" t="s">
        <v>254</v>
      </c>
      <c r="C87" s="28" t="b">
        <v>1</v>
      </c>
      <c r="D87" s="5" t="s">
        <v>246</v>
      </c>
    </row>
    <row r="88">
      <c r="A88" s="26" t="s">
        <v>255</v>
      </c>
      <c r="B88" s="27" t="s">
        <v>256</v>
      </c>
      <c r="C88" s="28" t="b">
        <v>1</v>
      </c>
    </row>
    <row r="89">
      <c r="A89" s="26" t="s">
        <v>257</v>
      </c>
      <c r="B89" s="27" t="s">
        <v>258</v>
      </c>
      <c r="C89" s="28" t="b">
        <v>1</v>
      </c>
      <c r="D89" s="5" t="s">
        <v>86</v>
      </c>
    </row>
    <row r="90">
      <c r="A90" s="26" t="s">
        <v>259</v>
      </c>
      <c r="B90" s="27" t="s">
        <v>260</v>
      </c>
      <c r="C90" s="28" t="b">
        <v>0</v>
      </c>
    </row>
    <row r="91">
      <c r="A91" s="26" t="s">
        <v>261</v>
      </c>
      <c r="B91" s="27" t="s">
        <v>262</v>
      </c>
      <c r="C91" s="28" t="b">
        <v>0</v>
      </c>
    </row>
    <row r="92">
      <c r="A92" s="26" t="s">
        <v>263</v>
      </c>
      <c r="B92" s="27" t="s">
        <v>264</v>
      </c>
      <c r="C92" s="28" t="b">
        <v>1</v>
      </c>
    </row>
    <row r="93">
      <c r="A93" s="26" t="s">
        <v>265</v>
      </c>
      <c r="B93" s="27" t="s">
        <v>266</v>
      </c>
      <c r="C93" s="28" t="b">
        <v>1</v>
      </c>
    </row>
    <row r="94">
      <c r="A94" s="26" t="s">
        <v>267</v>
      </c>
      <c r="B94" s="27" t="s">
        <v>268</v>
      </c>
      <c r="C94" s="28" t="b">
        <v>0</v>
      </c>
    </row>
    <row r="95">
      <c r="A95" s="26" t="s">
        <v>269</v>
      </c>
      <c r="B95" s="27" t="s">
        <v>270</v>
      </c>
      <c r="C95" s="28" t="b">
        <v>1</v>
      </c>
    </row>
    <row r="96">
      <c r="A96" s="26" t="s">
        <v>271</v>
      </c>
      <c r="B96" s="27" t="s">
        <v>272</v>
      </c>
      <c r="C96" s="28" t="b">
        <v>0</v>
      </c>
      <c r="D96" s="5" t="s">
        <v>273</v>
      </c>
    </row>
    <row r="97">
      <c r="A97" s="26" t="s">
        <v>274</v>
      </c>
      <c r="B97" s="27" t="s">
        <v>275</v>
      </c>
      <c r="C97" s="28" t="b">
        <v>1</v>
      </c>
      <c r="D97" s="5" t="s">
        <v>276</v>
      </c>
    </row>
    <row r="98">
      <c r="A98" s="26" t="s">
        <v>277</v>
      </c>
      <c r="B98" s="27" t="s">
        <v>278</v>
      </c>
      <c r="C98" s="28" t="b">
        <v>1</v>
      </c>
    </row>
    <row r="99">
      <c r="A99" s="26" t="s">
        <v>279</v>
      </c>
      <c r="B99" s="27" t="s">
        <v>280</v>
      </c>
      <c r="C99" s="28" t="b">
        <v>1</v>
      </c>
    </row>
    <row r="100">
      <c r="A100" s="26" t="s">
        <v>281</v>
      </c>
      <c r="B100" s="27" t="s">
        <v>282</v>
      </c>
      <c r="C100" s="28" t="b">
        <v>1</v>
      </c>
    </row>
    <row r="101">
      <c r="A101" s="26" t="s">
        <v>283</v>
      </c>
      <c r="B101" s="27" t="s">
        <v>284</v>
      </c>
      <c r="C101" s="28" t="b">
        <v>1</v>
      </c>
      <c r="D101" s="5" t="s">
        <v>285</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65</v>
      </c>
      <c r="B1" s="24" t="s">
        <v>66</v>
      </c>
      <c r="C1" s="25" t="s">
        <v>67</v>
      </c>
      <c r="D1" s="18" t="s">
        <v>68</v>
      </c>
    </row>
    <row r="2">
      <c r="A2" s="26" t="s">
        <v>251</v>
      </c>
      <c r="B2" s="27" t="s">
        <v>252</v>
      </c>
      <c r="C2" s="28" t="b">
        <v>1</v>
      </c>
    </row>
    <row r="3">
      <c r="A3" s="26" t="s">
        <v>99</v>
      </c>
      <c r="B3" s="27" t="s">
        <v>100</v>
      </c>
      <c r="C3" s="28" t="b">
        <v>1</v>
      </c>
    </row>
    <row r="4">
      <c r="A4" s="26" t="s">
        <v>277</v>
      </c>
      <c r="B4" s="27" t="s">
        <v>278</v>
      </c>
      <c r="C4" s="28" t="b">
        <v>1</v>
      </c>
    </row>
    <row r="5">
      <c r="A5" s="26" t="s">
        <v>106</v>
      </c>
      <c r="B5" s="27" t="s">
        <v>107</v>
      </c>
      <c r="C5" s="28" t="b">
        <v>1</v>
      </c>
    </row>
    <row r="6">
      <c r="A6" s="26" t="s">
        <v>127</v>
      </c>
      <c r="B6" s="27" t="s">
        <v>128</v>
      </c>
      <c r="C6" s="28" t="b">
        <v>0</v>
      </c>
    </row>
    <row r="7">
      <c r="A7" s="26" t="s">
        <v>149</v>
      </c>
      <c r="B7" s="27" t="s">
        <v>150</v>
      </c>
      <c r="C7" s="28" t="b">
        <v>0</v>
      </c>
    </row>
    <row r="8">
      <c r="A8" s="26" t="s">
        <v>166</v>
      </c>
      <c r="B8" s="27" t="s">
        <v>167</v>
      </c>
      <c r="C8" s="28" t="b">
        <v>1</v>
      </c>
      <c r="D8" s="5"/>
    </row>
    <row r="9">
      <c r="A9" s="26" t="s">
        <v>143</v>
      </c>
      <c r="B9" s="27" t="s">
        <v>144</v>
      </c>
      <c r="C9" s="28" t="b">
        <v>1</v>
      </c>
    </row>
    <row r="10">
      <c r="A10" s="26" t="s">
        <v>94</v>
      </c>
      <c r="B10" s="27" t="s">
        <v>95</v>
      </c>
      <c r="C10" s="28" t="b">
        <v>0</v>
      </c>
    </row>
    <row r="11">
      <c r="A11" s="26" t="s">
        <v>112</v>
      </c>
      <c r="B11" s="27" t="s">
        <v>113</v>
      </c>
      <c r="C11" s="28" t="b">
        <v>0</v>
      </c>
    </row>
    <row r="12">
      <c r="A12" s="26" t="s">
        <v>108</v>
      </c>
      <c r="B12" s="27" t="s">
        <v>109</v>
      </c>
      <c r="C12" s="28" t="b">
        <v>0</v>
      </c>
      <c r="D12" s="5" t="s">
        <v>286</v>
      </c>
    </row>
    <row r="13">
      <c r="A13" s="26" t="s">
        <v>231</v>
      </c>
      <c r="B13" s="27" t="s">
        <v>232</v>
      </c>
      <c r="C13" s="28" t="b">
        <v>1</v>
      </c>
    </row>
    <row r="14">
      <c r="A14" s="26" t="s">
        <v>259</v>
      </c>
      <c r="B14" s="27" t="s">
        <v>260</v>
      </c>
      <c r="C14" s="28" t="b">
        <v>1</v>
      </c>
    </row>
    <row r="15">
      <c r="A15" s="26" t="s">
        <v>131</v>
      </c>
      <c r="B15" s="27" t="s">
        <v>132</v>
      </c>
      <c r="C15" s="28" t="b">
        <v>0</v>
      </c>
    </row>
    <row r="16">
      <c r="A16" s="26" t="s">
        <v>168</v>
      </c>
      <c r="B16" s="27" t="s">
        <v>169</v>
      </c>
      <c r="C16" s="28" t="b">
        <v>1</v>
      </c>
    </row>
    <row r="17">
      <c r="A17" s="26" t="s">
        <v>186</v>
      </c>
      <c r="B17" s="27" t="s">
        <v>187</v>
      </c>
      <c r="C17" s="28" t="b">
        <v>0</v>
      </c>
    </row>
    <row r="18">
      <c r="A18" s="26" t="s">
        <v>102</v>
      </c>
      <c r="B18" s="27" t="s">
        <v>103</v>
      </c>
      <c r="C18" s="28" t="b">
        <v>0</v>
      </c>
    </row>
    <row r="19">
      <c r="A19" s="26" t="s">
        <v>117</v>
      </c>
      <c r="B19" s="27" t="s">
        <v>118</v>
      </c>
      <c r="C19" s="28" t="b">
        <v>0</v>
      </c>
    </row>
    <row r="20">
      <c r="A20" s="26" t="s">
        <v>162</v>
      </c>
      <c r="B20" s="27" t="s">
        <v>163</v>
      </c>
      <c r="C20" s="28" t="b">
        <v>0</v>
      </c>
    </row>
    <row r="21">
      <c r="A21" s="26" t="s">
        <v>171</v>
      </c>
      <c r="B21" s="27" t="s">
        <v>172</v>
      </c>
      <c r="C21" s="28" t="b">
        <v>1</v>
      </c>
    </row>
    <row r="22">
      <c r="A22" s="26" t="s">
        <v>156</v>
      </c>
      <c r="B22" s="27" t="s">
        <v>157</v>
      </c>
      <c r="C22" s="28" t="b">
        <v>1</v>
      </c>
    </row>
    <row r="23">
      <c r="A23" s="26" t="s">
        <v>135</v>
      </c>
      <c r="B23" s="27" t="s">
        <v>136</v>
      </c>
      <c r="C23" s="28" t="b">
        <v>0</v>
      </c>
    </row>
    <row r="24">
      <c r="A24" s="26" t="s">
        <v>139</v>
      </c>
      <c r="B24" s="27" t="s">
        <v>140</v>
      </c>
      <c r="C24" s="28" t="b">
        <v>1</v>
      </c>
    </row>
    <row r="25">
      <c r="A25" s="26" t="s">
        <v>87</v>
      </c>
      <c r="B25" s="27" t="s">
        <v>88</v>
      </c>
      <c r="C25" s="28" t="b">
        <v>1</v>
      </c>
    </row>
    <row r="26">
      <c r="A26" s="26" t="s">
        <v>90</v>
      </c>
      <c r="B26" s="27" t="s">
        <v>91</v>
      </c>
      <c r="C26" s="28" t="b">
        <v>1</v>
      </c>
    </row>
    <row r="27">
      <c r="A27" s="26" t="s">
        <v>182</v>
      </c>
      <c r="B27" s="27" t="s">
        <v>183</v>
      </c>
      <c r="C27" s="28" t="b">
        <v>1</v>
      </c>
    </row>
    <row r="28">
      <c r="A28" s="26" t="s">
        <v>201</v>
      </c>
      <c r="B28" s="27" t="s">
        <v>202</v>
      </c>
      <c r="C28" s="28" t="b">
        <v>0</v>
      </c>
    </row>
    <row r="29">
      <c r="A29" s="26" t="s">
        <v>281</v>
      </c>
      <c r="B29" s="27" t="s">
        <v>282</v>
      </c>
      <c r="C29" s="28" t="b">
        <v>1</v>
      </c>
    </row>
    <row r="30">
      <c r="A30" s="26" t="s">
        <v>221</v>
      </c>
      <c r="B30" s="27" t="s">
        <v>222</v>
      </c>
      <c r="C30" s="28" t="b">
        <v>0</v>
      </c>
    </row>
    <row r="31">
      <c r="A31" s="26" t="s">
        <v>269</v>
      </c>
      <c r="B31" s="27" t="s">
        <v>270</v>
      </c>
      <c r="C31" s="28" t="b">
        <v>1</v>
      </c>
      <c r="D31" s="5" t="s">
        <v>287</v>
      </c>
    </row>
    <row r="32">
      <c r="A32" s="26" t="s">
        <v>190</v>
      </c>
      <c r="B32" s="27" t="s">
        <v>191</v>
      </c>
      <c r="C32" s="28" t="b">
        <v>0</v>
      </c>
    </row>
    <row r="33">
      <c r="A33" s="26" t="s">
        <v>120</v>
      </c>
      <c r="B33" s="27" t="s">
        <v>121</v>
      </c>
      <c r="C33" s="28" t="b">
        <v>1</v>
      </c>
    </row>
    <row r="34">
      <c r="A34" s="26" t="s">
        <v>261</v>
      </c>
      <c r="B34" s="27" t="s">
        <v>262</v>
      </c>
      <c r="C34" s="28" t="b">
        <v>0</v>
      </c>
    </row>
    <row r="35">
      <c r="A35" s="26" t="s">
        <v>242</v>
      </c>
      <c r="B35" s="27" t="s">
        <v>243</v>
      </c>
      <c r="C35" s="28" t="b">
        <v>1</v>
      </c>
      <c r="D35" s="5" t="s">
        <v>288</v>
      </c>
    </row>
    <row r="36">
      <c r="A36" s="26" t="s">
        <v>283</v>
      </c>
      <c r="B36" s="27" t="s">
        <v>284</v>
      </c>
      <c r="C36" s="28" t="b">
        <v>1</v>
      </c>
      <c r="D36" s="5" t="s">
        <v>289</v>
      </c>
    </row>
    <row r="37">
      <c r="A37" s="26" t="s">
        <v>145</v>
      </c>
      <c r="B37" s="27" t="s">
        <v>146</v>
      </c>
      <c r="C37" s="28" t="b">
        <v>0</v>
      </c>
      <c r="D37" s="5" t="s">
        <v>290</v>
      </c>
    </row>
    <row r="38">
      <c r="A38" s="26" t="s">
        <v>223</v>
      </c>
      <c r="B38" s="27" t="s">
        <v>224</v>
      </c>
      <c r="C38" s="28" t="b">
        <v>1</v>
      </c>
      <c r="D38" s="5" t="s">
        <v>291</v>
      </c>
    </row>
    <row r="39">
      <c r="A39" s="26" t="s">
        <v>192</v>
      </c>
      <c r="B39" s="27" t="s">
        <v>193</v>
      </c>
      <c r="C39" s="28" t="b">
        <v>0</v>
      </c>
      <c r="D39" s="5" t="s">
        <v>292</v>
      </c>
    </row>
    <row r="40">
      <c r="A40" s="26" t="s">
        <v>104</v>
      </c>
      <c r="B40" s="27" t="s">
        <v>105</v>
      </c>
      <c r="C40" s="28" t="b">
        <v>1</v>
      </c>
    </row>
    <row r="41">
      <c r="A41" s="26" t="s">
        <v>76</v>
      </c>
      <c r="B41" s="27" t="s">
        <v>77</v>
      </c>
      <c r="C41" s="28" t="b">
        <v>1</v>
      </c>
    </row>
    <row r="42">
      <c r="A42" s="26" t="s">
        <v>80</v>
      </c>
      <c r="B42" s="27" t="s">
        <v>81</v>
      </c>
      <c r="C42" s="28" t="b">
        <v>0</v>
      </c>
    </row>
    <row r="43">
      <c r="A43" s="26" t="s">
        <v>240</v>
      </c>
      <c r="B43" s="27" t="s">
        <v>241</v>
      </c>
      <c r="C43" s="28" t="b">
        <v>0</v>
      </c>
    </row>
    <row r="44">
      <c r="A44" s="26" t="s">
        <v>271</v>
      </c>
      <c r="B44" s="27" t="s">
        <v>272</v>
      </c>
      <c r="C44" s="28" t="b">
        <v>0</v>
      </c>
    </row>
    <row r="45">
      <c r="A45" s="26" t="s">
        <v>279</v>
      </c>
      <c r="B45" s="27" t="s">
        <v>280</v>
      </c>
      <c r="C45" s="28" t="b">
        <v>0</v>
      </c>
      <c r="D45" s="5" t="s">
        <v>293</v>
      </c>
    </row>
    <row r="46">
      <c r="A46" s="26" t="s">
        <v>225</v>
      </c>
      <c r="B46" s="27" t="s">
        <v>226</v>
      </c>
      <c r="C46" s="28" t="b">
        <v>1</v>
      </c>
    </row>
    <row r="47">
      <c r="A47" s="26" t="s">
        <v>137</v>
      </c>
      <c r="B47" s="27" t="s">
        <v>138</v>
      </c>
      <c r="C47" s="28" t="b">
        <v>0</v>
      </c>
    </row>
    <row r="48">
      <c r="A48" s="26" t="s">
        <v>227</v>
      </c>
      <c r="B48" s="27" t="s">
        <v>228</v>
      </c>
      <c r="C48" s="28" t="b">
        <v>0</v>
      </c>
    </row>
    <row r="49">
      <c r="A49" s="26" t="s">
        <v>211</v>
      </c>
      <c r="B49" s="27" t="s">
        <v>212</v>
      </c>
      <c r="C49" s="28" t="b">
        <v>0</v>
      </c>
    </row>
    <row r="50">
      <c r="A50" s="26" t="s">
        <v>233</v>
      </c>
      <c r="B50" s="27" t="s">
        <v>234</v>
      </c>
      <c r="C50" s="28" t="b">
        <v>1</v>
      </c>
    </row>
    <row r="51">
      <c r="A51" s="26" t="s">
        <v>215</v>
      </c>
      <c r="B51" s="27" t="s">
        <v>216</v>
      </c>
      <c r="C51" s="28" t="b">
        <v>0</v>
      </c>
    </row>
    <row r="52">
      <c r="A52" s="26" t="s">
        <v>110</v>
      </c>
      <c r="B52" s="27" t="s">
        <v>111</v>
      </c>
      <c r="C52" s="28" t="b">
        <v>1</v>
      </c>
    </row>
    <row r="53">
      <c r="A53" s="26" t="s">
        <v>253</v>
      </c>
      <c r="B53" s="27" t="s">
        <v>254</v>
      </c>
      <c r="C53" s="28" t="b">
        <v>1</v>
      </c>
    </row>
    <row r="54">
      <c r="A54" s="26" t="s">
        <v>96</v>
      </c>
      <c r="B54" s="27" t="s">
        <v>97</v>
      </c>
      <c r="C54" s="28" t="s">
        <v>294</v>
      </c>
    </row>
    <row r="55">
      <c r="A55" s="26" t="s">
        <v>160</v>
      </c>
      <c r="B55" s="27" t="s">
        <v>161</v>
      </c>
      <c r="C55" s="28" t="s">
        <v>294</v>
      </c>
    </row>
    <row r="56">
      <c r="A56" s="26" t="s">
        <v>229</v>
      </c>
      <c r="B56" s="27" t="s">
        <v>230</v>
      </c>
      <c r="C56" s="28" t="s">
        <v>294</v>
      </c>
    </row>
    <row r="57">
      <c r="A57" s="26" t="s">
        <v>247</v>
      </c>
      <c r="B57" s="27" t="s">
        <v>248</v>
      </c>
      <c r="C57" s="28" t="s">
        <v>294</v>
      </c>
    </row>
    <row r="58">
      <c r="A58" s="26" t="s">
        <v>69</v>
      </c>
      <c r="B58" s="27" t="s">
        <v>70</v>
      </c>
      <c r="C58" s="28" t="s">
        <v>294</v>
      </c>
    </row>
    <row r="59">
      <c r="A59" s="26" t="s">
        <v>238</v>
      </c>
      <c r="B59" s="27" t="s">
        <v>239</v>
      </c>
      <c r="C59" s="28" t="s">
        <v>294</v>
      </c>
    </row>
    <row r="60">
      <c r="A60" s="26" t="s">
        <v>114</v>
      </c>
      <c r="B60" s="27" t="s">
        <v>115</v>
      </c>
      <c r="C60" s="28" t="s">
        <v>294</v>
      </c>
    </row>
    <row r="61">
      <c r="A61" s="26" t="s">
        <v>151</v>
      </c>
      <c r="B61" s="27" t="s">
        <v>152</v>
      </c>
      <c r="C61" s="28" t="s">
        <v>294</v>
      </c>
    </row>
    <row r="62">
      <c r="A62" s="26" t="s">
        <v>141</v>
      </c>
      <c r="B62" s="27" t="s">
        <v>142</v>
      </c>
      <c r="C62" s="28" t="s">
        <v>294</v>
      </c>
    </row>
    <row r="63">
      <c r="A63" s="26" t="s">
        <v>194</v>
      </c>
      <c r="B63" s="27" t="s">
        <v>195</v>
      </c>
      <c r="C63" s="28" t="s">
        <v>294</v>
      </c>
    </row>
    <row r="64">
      <c r="A64" s="26" t="s">
        <v>124</v>
      </c>
      <c r="B64" s="27" t="s">
        <v>125</v>
      </c>
      <c r="C64" s="28" t="s">
        <v>294</v>
      </c>
    </row>
    <row r="65">
      <c r="A65" s="26" t="s">
        <v>147</v>
      </c>
      <c r="B65" s="27" t="s">
        <v>148</v>
      </c>
      <c r="C65" s="28" t="s">
        <v>294</v>
      </c>
    </row>
    <row r="66">
      <c r="A66" s="26" t="s">
        <v>263</v>
      </c>
      <c r="B66" s="27" t="s">
        <v>264</v>
      </c>
      <c r="C66" s="28" t="s">
        <v>294</v>
      </c>
    </row>
    <row r="67">
      <c r="A67" s="26" t="s">
        <v>199</v>
      </c>
      <c r="B67" s="27" t="s">
        <v>200</v>
      </c>
      <c r="C67" s="28" t="s">
        <v>294</v>
      </c>
    </row>
    <row r="68">
      <c r="A68" s="26" t="s">
        <v>244</v>
      </c>
      <c r="B68" s="27" t="s">
        <v>245</v>
      </c>
      <c r="C68" s="28" t="s">
        <v>294</v>
      </c>
    </row>
    <row r="69">
      <c r="A69" s="26" t="s">
        <v>188</v>
      </c>
      <c r="B69" s="27" t="s">
        <v>189</v>
      </c>
      <c r="C69" s="28" t="s">
        <v>294</v>
      </c>
    </row>
    <row r="70">
      <c r="A70" s="26" t="s">
        <v>274</v>
      </c>
      <c r="B70" s="27" t="s">
        <v>275</v>
      </c>
      <c r="C70" s="28" t="s">
        <v>294</v>
      </c>
    </row>
    <row r="71">
      <c r="A71" s="26" t="s">
        <v>82</v>
      </c>
      <c r="B71" s="27" t="s">
        <v>83</v>
      </c>
      <c r="C71" s="28" t="s">
        <v>294</v>
      </c>
    </row>
    <row r="72">
      <c r="A72" s="26" t="s">
        <v>219</v>
      </c>
      <c r="B72" s="27" t="s">
        <v>220</v>
      </c>
      <c r="C72" s="28" t="s">
        <v>294</v>
      </c>
    </row>
    <row r="73">
      <c r="A73" s="26" t="s">
        <v>213</v>
      </c>
      <c r="B73" s="27" t="s">
        <v>214</v>
      </c>
      <c r="C73" s="28" t="s">
        <v>294</v>
      </c>
    </row>
    <row r="74">
      <c r="A74" s="26" t="s">
        <v>133</v>
      </c>
      <c r="B74" s="27" t="s">
        <v>134</v>
      </c>
      <c r="C74" s="28" t="s">
        <v>294</v>
      </c>
    </row>
    <row r="75">
      <c r="A75" s="26" t="s">
        <v>207</v>
      </c>
      <c r="B75" s="27" t="s">
        <v>208</v>
      </c>
      <c r="C75" s="28" t="s">
        <v>294</v>
      </c>
    </row>
    <row r="76">
      <c r="A76" s="26" t="s">
        <v>176</v>
      </c>
      <c r="B76" s="27" t="s">
        <v>177</v>
      </c>
      <c r="C76" s="28" t="s">
        <v>294</v>
      </c>
    </row>
    <row r="77">
      <c r="A77" s="26" t="s">
        <v>92</v>
      </c>
      <c r="B77" s="27" t="s">
        <v>93</v>
      </c>
      <c r="C77" s="28" t="s">
        <v>294</v>
      </c>
    </row>
    <row r="78">
      <c r="A78" s="26" t="s">
        <v>184</v>
      </c>
      <c r="B78" s="27" t="s">
        <v>185</v>
      </c>
      <c r="C78" s="28" t="s">
        <v>294</v>
      </c>
    </row>
    <row r="79">
      <c r="A79" s="26" t="s">
        <v>74</v>
      </c>
      <c r="B79" s="27" t="s">
        <v>75</v>
      </c>
      <c r="C79" s="28" t="s">
        <v>294</v>
      </c>
    </row>
    <row r="80">
      <c r="A80" s="26" t="s">
        <v>267</v>
      </c>
      <c r="B80" s="27" t="s">
        <v>268</v>
      </c>
      <c r="C80" s="28" t="s">
        <v>294</v>
      </c>
    </row>
    <row r="81">
      <c r="A81" s="26" t="s">
        <v>209</v>
      </c>
      <c r="B81" s="27" t="s">
        <v>210</v>
      </c>
      <c r="C81" s="28" t="s">
        <v>294</v>
      </c>
    </row>
    <row r="82">
      <c r="A82" s="26" t="s">
        <v>122</v>
      </c>
      <c r="B82" s="27" t="s">
        <v>123</v>
      </c>
      <c r="C82" s="28" t="s">
        <v>294</v>
      </c>
    </row>
    <row r="83">
      <c r="A83" s="26" t="s">
        <v>236</v>
      </c>
      <c r="B83" s="27" t="s">
        <v>237</v>
      </c>
      <c r="C83" s="28" t="s">
        <v>294</v>
      </c>
    </row>
    <row r="84">
      <c r="A84" s="26" t="s">
        <v>154</v>
      </c>
      <c r="B84" s="27" t="s">
        <v>155</v>
      </c>
      <c r="C84" s="28" t="s">
        <v>294</v>
      </c>
    </row>
    <row r="85">
      <c r="A85" s="26" t="s">
        <v>78</v>
      </c>
      <c r="B85" s="27" t="s">
        <v>79</v>
      </c>
      <c r="C85" s="28" t="s">
        <v>294</v>
      </c>
    </row>
    <row r="86">
      <c r="A86" s="26" t="s">
        <v>197</v>
      </c>
      <c r="B86" s="27" t="s">
        <v>198</v>
      </c>
      <c r="C86" s="28" t="s">
        <v>294</v>
      </c>
    </row>
    <row r="87">
      <c r="A87" s="26" t="s">
        <v>205</v>
      </c>
      <c r="B87" s="27" t="s">
        <v>206</v>
      </c>
      <c r="C87" s="28" t="s">
        <v>294</v>
      </c>
    </row>
    <row r="88">
      <c r="A88" s="26" t="s">
        <v>257</v>
      </c>
      <c r="B88" s="27" t="s">
        <v>258</v>
      </c>
      <c r="C88" s="28" t="s">
        <v>294</v>
      </c>
    </row>
    <row r="89">
      <c r="A89" s="26" t="s">
        <v>217</v>
      </c>
      <c r="B89" s="27" t="s">
        <v>218</v>
      </c>
      <c r="C89" s="28" t="s">
        <v>294</v>
      </c>
    </row>
    <row r="90">
      <c r="A90" s="26" t="s">
        <v>173</v>
      </c>
      <c r="B90" s="27" t="s">
        <v>174</v>
      </c>
      <c r="C90" s="28" t="s">
        <v>294</v>
      </c>
    </row>
    <row r="91">
      <c r="A91" s="26" t="s">
        <v>180</v>
      </c>
      <c r="B91" s="27" t="s">
        <v>181</v>
      </c>
      <c r="C91" s="28" t="s">
        <v>294</v>
      </c>
    </row>
    <row r="92">
      <c r="A92" s="26" t="s">
        <v>265</v>
      </c>
      <c r="B92" s="27" t="s">
        <v>266</v>
      </c>
      <c r="C92" s="28" t="s">
        <v>294</v>
      </c>
    </row>
    <row r="93">
      <c r="A93" s="26" t="s">
        <v>249</v>
      </c>
      <c r="B93" s="27" t="s">
        <v>250</v>
      </c>
      <c r="C93" s="28" t="s">
        <v>294</v>
      </c>
    </row>
    <row r="94">
      <c r="A94" s="26" t="s">
        <v>129</v>
      </c>
      <c r="B94" s="27" t="s">
        <v>130</v>
      </c>
      <c r="C94" s="28" t="s">
        <v>294</v>
      </c>
    </row>
    <row r="95">
      <c r="A95" s="26" t="s">
        <v>84</v>
      </c>
      <c r="B95" s="27" t="s">
        <v>85</v>
      </c>
      <c r="C95" s="28" t="s">
        <v>294</v>
      </c>
    </row>
    <row r="96">
      <c r="A96" s="26" t="s">
        <v>178</v>
      </c>
      <c r="B96" s="27" t="s">
        <v>179</v>
      </c>
      <c r="C96" s="28" t="s">
        <v>294</v>
      </c>
    </row>
    <row r="97">
      <c r="A97" s="26" t="s">
        <v>164</v>
      </c>
      <c r="B97" s="27" t="s">
        <v>165</v>
      </c>
      <c r="C97" s="28" t="s">
        <v>294</v>
      </c>
    </row>
    <row r="98">
      <c r="A98" s="26" t="s">
        <v>255</v>
      </c>
      <c r="B98" s="27" t="s">
        <v>256</v>
      </c>
      <c r="C98" s="28" t="s">
        <v>294</v>
      </c>
    </row>
    <row r="99">
      <c r="A99" s="26" t="s">
        <v>71</v>
      </c>
      <c r="B99" s="27" t="s">
        <v>72</v>
      </c>
      <c r="C99" s="28" t="s">
        <v>294</v>
      </c>
    </row>
    <row r="100">
      <c r="A100" s="26" t="s">
        <v>203</v>
      </c>
      <c r="B100" s="27" t="s">
        <v>204</v>
      </c>
      <c r="C100" s="28" t="s">
        <v>294</v>
      </c>
    </row>
    <row r="101">
      <c r="A101" s="26" t="s">
        <v>158</v>
      </c>
      <c r="B101" s="27" t="s">
        <v>159</v>
      </c>
      <c r="C101" s="28" t="s">
        <v>294</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65</v>
      </c>
      <c r="B1" s="24" t="s">
        <v>66</v>
      </c>
      <c r="C1" s="25" t="s">
        <v>67</v>
      </c>
      <c r="D1" s="18" t="s">
        <v>68</v>
      </c>
    </row>
    <row r="2">
      <c r="A2" s="26" t="s">
        <v>108</v>
      </c>
      <c r="B2" s="27" t="s">
        <v>109</v>
      </c>
      <c r="C2" s="28" t="s">
        <v>294</v>
      </c>
    </row>
    <row r="3">
      <c r="A3" s="26" t="s">
        <v>145</v>
      </c>
      <c r="B3" s="27" t="s">
        <v>146</v>
      </c>
      <c r="C3" s="28" t="s">
        <v>294</v>
      </c>
    </row>
    <row r="4">
      <c r="A4" s="26" t="s">
        <v>182</v>
      </c>
      <c r="B4" s="27" t="s">
        <v>183</v>
      </c>
      <c r="C4" s="28" t="s">
        <v>294</v>
      </c>
    </row>
    <row r="5">
      <c r="A5" s="26" t="s">
        <v>76</v>
      </c>
      <c r="B5" s="27" t="s">
        <v>77</v>
      </c>
      <c r="C5" s="28" t="s">
        <v>294</v>
      </c>
    </row>
    <row r="6">
      <c r="A6" s="26" t="s">
        <v>69</v>
      </c>
      <c r="B6" s="27" t="s">
        <v>70</v>
      </c>
      <c r="C6" s="28" t="s">
        <v>294</v>
      </c>
    </row>
    <row r="7">
      <c r="A7" s="26" t="s">
        <v>114</v>
      </c>
      <c r="B7" s="27" t="s">
        <v>115</v>
      </c>
      <c r="C7" s="28" t="s">
        <v>294</v>
      </c>
    </row>
    <row r="8">
      <c r="A8" s="26" t="s">
        <v>209</v>
      </c>
      <c r="B8" s="27" t="s">
        <v>210</v>
      </c>
      <c r="C8" s="28" t="s">
        <v>294</v>
      </c>
    </row>
    <row r="9">
      <c r="A9" s="26" t="s">
        <v>227</v>
      </c>
      <c r="B9" s="27" t="s">
        <v>228</v>
      </c>
      <c r="C9" s="28" t="s">
        <v>294</v>
      </c>
    </row>
    <row r="10">
      <c r="A10" s="26" t="s">
        <v>271</v>
      </c>
      <c r="B10" s="27" t="s">
        <v>272</v>
      </c>
      <c r="C10" s="28" t="s">
        <v>294</v>
      </c>
    </row>
    <row r="11">
      <c r="A11" s="26" t="s">
        <v>259</v>
      </c>
      <c r="B11" s="27" t="s">
        <v>260</v>
      </c>
      <c r="C11" s="28" t="s">
        <v>294</v>
      </c>
    </row>
    <row r="12">
      <c r="A12" s="26" t="s">
        <v>92</v>
      </c>
      <c r="B12" s="27" t="s">
        <v>93</v>
      </c>
      <c r="C12" s="28" t="s">
        <v>294</v>
      </c>
    </row>
    <row r="13">
      <c r="A13" s="26" t="s">
        <v>178</v>
      </c>
      <c r="B13" s="27" t="s">
        <v>179</v>
      </c>
      <c r="C13" s="28" t="s">
        <v>294</v>
      </c>
    </row>
    <row r="14">
      <c r="A14" s="26" t="s">
        <v>188</v>
      </c>
      <c r="B14" s="27" t="s">
        <v>189</v>
      </c>
      <c r="C14" s="28" t="s">
        <v>294</v>
      </c>
    </row>
    <row r="15">
      <c r="A15" s="26" t="s">
        <v>257</v>
      </c>
      <c r="B15" s="27" t="s">
        <v>258</v>
      </c>
      <c r="C15" s="28" t="s">
        <v>294</v>
      </c>
    </row>
    <row r="16">
      <c r="A16" s="26" t="s">
        <v>231</v>
      </c>
      <c r="B16" s="27" t="s">
        <v>232</v>
      </c>
      <c r="C16" s="28" t="s">
        <v>294</v>
      </c>
    </row>
    <row r="17">
      <c r="A17" s="26" t="s">
        <v>225</v>
      </c>
      <c r="B17" s="27" t="s">
        <v>226</v>
      </c>
      <c r="C17" s="28" t="s">
        <v>294</v>
      </c>
    </row>
    <row r="18">
      <c r="A18" s="26" t="s">
        <v>215</v>
      </c>
      <c r="B18" s="27" t="s">
        <v>216</v>
      </c>
      <c r="C18" s="28" t="s">
        <v>294</v>
      </c>
    </row>
    <row r="19">
      <c r="A19" s="26" t="s">
        <v>80</v>
      </c>
      <c r="B19" s="27" t="s">
        <v>81</v>
      </c>
      <c r="C19" s="28" t="s">
        <v>294</v>
      </c>
    </row>
    <row r="20">
      <c r="A20" s="26" t="s">
        <v>160</v>
      </c>
      <c r="B20" s="27" t="s">
        <v>161</v>
      </c>
      <c r="C20" s="28" t="s">
        <v>294</v>
      </c>
    </row>
    <row r="21">
      <c r="A21" s="26" t="s">
        <v>137</v>
      </c>
      <c r="B21" s="27" t="s">
        <v>138</v>
      </c>
      <c r="C21" s="28" t="s">
        <v>294</v>
      </c>
    </row>
    <row r="22">
      <c r="A22" s="26" t="s">
        <v>236</v>
      </c>
      <c r="B22" s="27" t="s">
        <v>237</v>
      </c>
      <c r="C22" s="28" t="s">
        <v>294</v>
      </c>
    </row>
    <row r="23">
      <c r="A23" s="26" t="s">
        <v>255</v>
      </c>
      <c r="B23" s="27" t="s">
        <v>256</v>
      </c>
      <c r="C23" s="28" t="s">
        <v>294</v>
      </c>
    </row>
    <row r="24">
      <c r="A24" s="26" t="s">
        <v>143</v>
      </c>
      <c r="B24" s="27" t="s">
        <v>144</v>
      </c>
      <c r="C24" s="28" t="s">
        <v>294</v>
      </c>
    </row>
    <row r="25">
      <c r="A25" s="26" t="s">
        <v>151</v>
      </c>
      <c r="B25" s="27" t="s">
        <v>152</v>
      </c>
      <c r="C25" s="28" t="s">
        <v>294</v>
      </c>
    </row>
    <row r="26">
      <c r="A26" s="26" t="s">
        <v>223</v>
      </c>
      <c r="B26" s="27" t="s">
        <v>224</v>
      </c>
      <c r="C26" s="28" t="s">
        <v>294</v>
      </c>
    </row>
    <row r="27">
      <c r="A27" s="26" t="s">
        <v>124</v>
      </c>
      <c r="B27" s="27" t="s">
        <v>125</v>
      </c>
      <c r="C27" s="28" t="s">
        <v>294</v>
      </c>
    </row>
    <row r="28">
      <c r="A28" s="26" t="s">
        <v>197</v>
      </c>
      <c r="B28" s="27" t="s">
        <v>198</v>
      </c>
      <c r="C28" s="28" t="s">
        <v>294</v>
      </c>
    </row>
    <row r="29">
      <c r="A29" s="26" t="s">
        <v>135</v>
      </c>
      <c r="B29" s="27" t="s">
        <v>136</v>
      </c>
      <c r="C29" s="28" t="s">
        <v>294</v>
      </c>
    </row>
    <row r="30">
      <c r="A30" s="26" t="s">
        <v>117</v>
      </c>
      <c r="B30" s="27" t="s">
        <v>118</v>
      </c>
      <c r="C30" s="28" t="s">
        <v>294</v>
      </c>
    </row>
    <row r="31">
      <c r="A31" s="26" t="s">
        <v>168</v>
      </c>
      <c r="B31" s="27" t="s">
        <v>169</v>
      </c>
      <c r="C31" s="28" t="s">
        <v>294</v>
      </c>
    </row>
    <row r="32">
      <c r="A32" s="26" t="s">
        <v>71</v>
      </c>
      <c r="B32" s="27" t="s">
        <v>72</v>
      </c>
      <c r="C32" s="28" t="s">
        <v>294</v>
      </c>
    </row>
    <row r="33">
      <c r="A33" s="26" t="s">
        <v>176</v>
      </c>
      <c r="B33" s="27" t="s">
        <v>177</v>
      </c>
      <c r="C33" s="28" t="s">
        <v>294</v>
      </c>
    </row>
    <row r="34">
      <c r="A34" s="26" t="s">
        <v>74</v>
      </c>
      <c r="B34" s="27" t="s">
        <v>75</v>
      </c>
      <c r="C34" s="28" t="s">
        <v>294</v>
      </c>
    </row>
    <row r="35">
      <c r="A35" s="26" t="s">
        <v>106</v>
      </c>
      <c r="B35" s="27" t="s">
        <v>107</v>
      </c>
      <c r="C35" s="28" t="s">
        <v>294</v>
      </c>
    </row>
    <row r="36">
      <c r="A36" s="26" t="s">
        <v>164</v>
      </c>
      <c r="B36" s="27" t="s">
        <v>165</v>
      </c>
      <c r="C36" s="28" t="s">
        <v>294</v>
      </c>
    </row>
    <row r="37">
      <c r="A37" s="26" t="s">
        <v>147</v>
      </c>
      <c r="B37" s="27" t="s">
        <v>148</v>
      </c>
      <c r="C37" s="28" t="s">
        <v>294</v>
      </c>
    </row>
    <row r="38">
      <c r="A38" s="26" t="s">
        <v>173</v>
      </c>
      <c r="B38" s="27" t="s">
        <v>174</v>
      </c>
      <c r="C38" s="28" t="s">
        <v>294</v>
      </c>
    </row>
    <row r="39">
      <c r="A39" s="26" t="s">
        <v>221</v>
      </c>
      <c r="B39" s="27" t="s">
        <v>222</v>
      </c>
      <c r="C39" s="28" t="s">
        <v>294</v>
      </c>
    </row>
    <row r="40">
      <c r="A40" s="26" t="s">
        <v>251</v>
      </c>
      <c r="B40" s="27" t="s">
        <v>252</v>
      </c>
      <c r="C40" s="28" t="s">
        <v>294</v>
      </c>
    </row>
    <row r="41">
      <c r="A41" s="26" t="s">
        <v>261</v>
      </c>
      <c r="B41" s="27" t="s">
        <v>262</v>
      </c>
      <c r="C41" s="28" t="s">
        <v>294</v>
      </c>
    </row>
    <row r="42">
      <c r="A42" s="26" t="s">
        <v>82</v>
      </c>
      <c r="B42" s="27" t="s">
        <v>83</v>
      </c>
      <c r="C42" s="28" t="s">
        <v>294</v>
      </c>
    </row>
    <row r="43">
      <c r="A43" s="26" t="s">
        <v>213</v>
      </c>
      <c r="B43" s="27" t="s">
        <v>214</v>
      </c>
      <c r="C43" s="28" t="s">
        <v>294</v>
      </c>
    </row>
    <row r="44">
      <c r="A44" s="26" t="s">
        <v>279</v>
      </c>
      <c r="B44" s="27" t="s">
        <v>280</v>
      </c>
      <c r="C44" s="28" t="s">
        <v>294</v>
      </c>
    </row>
    <row r="45">
      <c r="A45" s="26" t="s">
        <v>94</v>
      </c>
      <c r="B45" s="27" t="s">
        <v>95</v>
      </c>
      <c r="C45" s="28" t="s">
        <v>294</v>
      </c>
    </row>
    <row r="46">
      <c r="A46" s="26" t="s">
        <v>242</v>
      </c>
      <c r="B46" s="27" t="s">
        <v>243</v>
      </c>
      <c r="C46" s="28" t="s">
        <v>294</v>
      </c>
    </row>
    <row r="47">
      <c r="A47" s="26" t="s">
        <v>129</v>
      </c>
      <c r="B47" s="27" t="s">
        <v>130</v>
      </c>
      <c r="C47" s="28" t="s">
        <v>294</v>
      </c>
    </row>
    <row r="48">
      <c r="A48" s="26" t="s">
        <v>102</v>
      </c>
      <c r="B48" s="27" t="s">
        <v>103</v>
      </c>
      <c r="C48" s="28" t="s">
        <v>294</v>
      </c>
    </row>
    <row r="49">
      <c r="A49" s="26" t="s">
        <v>139</v>
      </c>
      <c r="B49" s="27" t="s">
        <v>140</v>
      </c>
      <c r="C49" s="28" t="s">
        <v>294</v>
      </c>
    </row>
    <row r="50">
      <c r="A50" s="26" t="s">
        <v>84</v>
      </c>
      <c r="B50" s="27" t="s">
        <v>85</v>
      </c>
      <c r="C50" s="28" t="s">
        <v>294</v>
      </c>
    </row>
    <row r="51">
      <c r="A51" s="26" t="s">
        <v>211</v>
      </c>
      <c r="B51" s="27" t="s">
        <v>212</v>
      </c>
      <c r="C51" s="28" t="s">
        <v>294</v>
      </c>
    </row>
    <row r="52">
      <c r="A52" s="26" t="s">
        <v>112</v>
      </c>
      <c r="B52" s="27" t="s">
        <v>113</v>
      </c>
      <c r="C52" s="28" t="s">
        <v>294</v>
      </c>
    </row>
    <row r="53">
      <c r="A53" s="26" t="s">
        <v>162</v>
      </c>
      <c r="B53" s="27" t="s">
        <v>163</v>
      </c>
      <c r="C53" s="28" t="s">
        <v>294</v>
      </c>
    </row>
    <row r="54">
      <c r="A54" s="26" t="s">
        <v>87</v>
      </c>
      <c r="B54" s="27" t="s">
        <v>88</v>
      </c>
      <c r="C54" s="28" t="s">
        <v>294</v>
      </c>
    </row>
    <row r="55">
      <c r="A55" s="26" t="s">
        <v>244</v>
      </c>
      <c r="B55" s="27" t="s">
        <v>245</v>
      </c>
      <c r="C55" s="28" t="s">
        <v>294</v>
      </c>
    </row>
    <row r="56">
      <c r="A56" s="26" t="s">
        <v>104</v>
      </c>
      <c r="B56" s="27" t="s">
        <v>105</v>
      </c>
      <c r="C56" s="28" t="s">
        <v>294</v>
      </c>
    </row>
    <row r="57">
      <c r="A57" s="26" t="s">
        <v>166</v>
      </c>
      <c r="B57" s="27" t="s">
        <v>167</v>
      </c>
      <c r="C57" s="28" t="s">
        <v>294</v>
      </c>
    </row>
    <row r="58">
      <c r="A58" s="26" t="s">
        <v>229</v>
      </c>
      <c r="B58" s="27" t="s">
        <v>230</v>
      </c>
      <c r="C58" s="28" t="s">
        <v>294</v>
      </c>
    </row>
    <row r="59">
      <c r="A59" s="26" t="s">
        <v>110</v>
      </c>
      <c r="B59" s="27" t="s">
        <v>111</v>
      </c>
      <c r="C59" s="28" t="s">
        <v>294</v>
      </c>
    </row>
    <row r="60">
      <c r="A60" s="26" t="s">
        <v>238</v>
      </c>
      <c r="B60" s="27" t="s">
        <v>239</v>
      </c>
      <c r="C60" s="28" t="s">
        <v>294</v>
      </c>
    </row>
    <row r="61">
      <c r="A61" s="26" t="s">
        <v>171</v>
      </c>
      <c r="B61" s="27" t="s">
        <v>172</v>
      </c>
      <c r="C61" s="28" t="s">
        <v>294</v>
      </c>
    </row>
    <row r="62">
      <c r="A62" s="26" t="s">
        <v>281</v>
      </c>
      <c r="B62" s="27" t="s">
        <v>282</v>
      </c>
      <c r="C62" s="28" t="s">
        <v>294</v>
      </c>
    </row>
    <row r="63">
      <c r="A63" s="26" t="s">
        <v>199</v>
      </c>
      <c r="B63" s="27" t="s">
        <v>200</v>
      </c>
      <c r="C63" s="28" t="s">
        <v>294</v>
      </c>
    </row>
    <row r="64">
      <c r="A64" s="26" t="s">
        <v>99</v>
      </c>
      <c r="B64" s="27" t="s">
        <v>100</v>
      </c>
      <c r="C64" s="28" t="s">
        <v>294</v>
      </c>
    </row>
    <row r="65">
      <c r="A65" s="26" t="s">
        <v>194</v>
      </c>
      <c r="B65" s="27" t="s">
        <v>195</v>
      </c>
      <c r="C65" s="28" t="s">
        <v>294</v>
      </c>
    </row>
    <row r="66">
      <c r="A66" s="26" t="s">
        <v>249</v>
      </c>
      <c r="B66" s="27" t="s">
        <v>250</v>
      </c>
      <c r="C66" s="28" t="s">
        <v>294</v>
      </c>
    </row>
    <row r="67">
      <c r="A67" s="26" t="s">
        <v>180</v>
      </c>
      <c r="B67" s="27" t="s">
        <v>181</v>
      </c>
      <c r="C67" s="28" t="s">
        <v>294</v>
      </c>
    </row>
    <row r="68">
      <c r="A68" s="26" t="s">
        <v>274</v>
      </c>
      <c r="B68" s="27" t="s">
        <v>275</v>
      </c>
      <c r="C68" s="28" t="s">
        <v>294</v>
      </c>
    </row>
    <row r="69">
      <c r="A69" s="26" t="s">
        <v>263</v>
      </c>
      <c r="B69" s="27" t="s">
        <v>264</v>
      </c>
      <c r="C69" s="28" t="s">
        <v>294</v>
      </c>
    </row>
    <row r="70">
      <c r="A70" s="26" t="s">
        <v>219</v>
      </c>
      <c r="B70" s="27" t="s">
        <v>220</v>
      </c>
      <c r="C70" s="28" t="s">
        <v>294</v>
      </c>
    </row>
    <row r="71">
      <c r="A71" s="26" t="s">
        <v>207</v>
      </c>
      <c r="B71" s="27" t="s">
        <v>208</v>
      </c>
      <c r="C71" s="28" t="s">
        <v>294</v>
      </c>
    </row>
    <row r="72">
      <c r="A72" s="26" t="s">
        <v>149</v>
      </c>
      <c r="B72" s="27" t="s">
        <v>150</v>
      </c>
      <c r="C72" s="28" t="s">
        <v>294</v>
      </c>
    </row>
    <row r="73">
      <c r="A73" s="26" t="s">
        <v>158</v>
      </c>
      <c r="B73" s="27" t="s">
        <v>159</v>
      </c>
      <c r="C73" s="28" t="s">
        <v>294</v>
      </c>
    </row>
    <row r="74">
      <c r="A74" s="26" t="s">
        <v>127</v>
      </c>
      <c r="B74" s="27" t="s">
        <v>128</v>
      </c>
      <c r="C74" s="28" t="s">
        <v>294</v>
      </c>
    </row>
    <row r="75">
      <c r="A75" s="26" t="s">
        <v>233</v>
      </c>
      <c r="B75" s="27" t="s">
        <v>234</v>
      </c>
      <c r="C75" s="28" t="s">
        <v>294</v>
      </c>
    </row>
    <row r="76">
      <c r="A76" s="26" t="s">
        <v>190</v>
      </c>
      <c r="B76" s="27" t="s">
        <v>191</v>
      </c>
      <c r="C76" s="28" t="s">
        <v>294</v>
      </c>
    </row>
    <row r="77">
      <c r="A77" s="26" t="s">
        <v>120</v>
      </c>
      <c r="B77" s="27" t="s">
        <v>121</v>
      </c>
      <c r="C77" s="28" t="s">
        <v>294</v>
      </c>
    </row>
    <row r="78">
      <c r="A78" s="26" t="s">
        <v>283</v>
      </c>
      <c r="B78" s="27" t="s">
        <v>284</v>
      </c>
      <c r="C78" s="28" t="s">
        <v>294</v>
      </c>
    </row>
    <row r="79">
      <c r="A79" s="26" t="s">
        <v>253</v>
      </c>
      <c r="B79" s="27" t="s">
        <v>254</v>
      </c>
      <c r="C79" s="28" t="s">
        <v>294</v>
      </c>
    </row>
    <row r="80">
      <c r="A80" s="26" t="s">
        <v>217</v>
      </c>
      <c r="B80" s="27" t="s">
        <v>218</v>
      </c>
      <c r="C80" s="28" t="s">
        <v>294</v>
      </c>
    </row>
    <row r="81">
      <c r="A81" s="26" t="s">
        <v>205</v>
      </c>
      <c r="B81" s="27" t="s">
        <v>206</v>
      </c>
      <c r="C81" s="28" t="s">
        <v>294</v>
      </c>
    </row>
    <row r="82">
      <c r="A82" s="26" t="s">
        <v>96</v>
      </c>
      <c r="B82" s="27" t="s">
        <v>97</v>
      </c>
      <c r="C82" s="28" t="s">
        <v>294</v>
      </c>
    </row>
    <row r="83">
      <c r="A83" s="26" t="s">
        <v>267</v>
      </c>
      <c r="B83" s="27" t="s">
        <v>268</v>
      </c>
      <c r="C83" s="28" t="s">
        <v>294</v>
      </c>
    </row>
    <row r="84">
      <c r="A84" s="26" t="s">
        <v>240</v>
      </c>
      <c r="B84" s="27" t="s">
        <v>241</v>
      </c>
      <c r="C84" s="28" t="s">
        <v>294</v>
      </c>
    </row>
    <row r="85">
      <c r="A85" s="26" t="s">
        <v>192</v>
      </c>
      <c r="B85" s="27" t="s">
        <v>193</v>
      </c>
      <c r="C85" s="28" t="s">
        <v>294</v>
      </c>
    </row>
    <row r="86">
      <c r="A86" s="26" t="s">
        <v>141</v>
      </c>
      <c r="B86" s="27" t="s">
        <v>142</v>
      </c>
      <c r="C86" s="28" t="s">
        <v>294</v>
      </c>
    </row>
    <row r="87">
      <c r="A87" s="26" t="s">
        <v>122</v>
      </c>
      <c r="B87" s="27" t="s">
        <v>123</v>
      </c>
      <c r="C87" s="28" t="s">
        <v>294</v>
      </c>
    </row>
    <row r="88">
      <c r="A88" s="26" t="s">
        <v>131</v>
      </c>
      <c r="B88" s="27" t="s">
        <v>132</v>
      </c>
      <c r="C88" s="28" t="s">
        <v>294</v>
      </c>
    </row>
    <row r="89">
      <c r="A89" s="26" t="s">
        <v>184</v>
      </c>
      <c r="B89" s="27" t="s">
        <v>185</v>
      </c>
      <c r="C89" s="28" t="s">
        <v>294</v>
      </c>
    </row>
    <row r="90">
      <c r="A90" s="26" t="s">
        <v>265</v>
      </c>
      <c r="B90" s="27" t="s">
        <v>266</v>
      </c>
      <c r="C90" s="28" t="s">
        <v>294</v>
      </c>
    </row>
    <row r="91">
      <c r="A91" s="26" t="s">
        <v>201</v>
      </c>
      <c r="B91" s="27" t="s">
        <v>202</v>
      </c>
      <c r="C91" s="28" t="s">
        <v>294</v>
      </c>
    </row>
    <row r="92">
      <c r="A92" s="26" t="s">
        <v>78</v>
      </c>
      <c r="B92" s="27" t="s">
        <v>79</v>
      </c>
      <c r="C92" s="28" t="s">
        <v>294</v>
      </c>
    </row>
    <row r="93">
      <c r="A93" s="26" t="s">
        <v>186</v>
      </c>
      <c r="B93" s="27" t="s">
        <v>187</v>
      </c>
      <c r="C93" s="28" t="s">
        <v>294</v>
      </c>
    </row>
    <row r="94">
      <c r="A94" s="26" t="s">
        <v>156</v>
      </c>
      <c r="B94" s="27" t="s">
        <v>157</v>
      </c>
      <c r="C94" s="28" t="s">
        <v>294</v>
      </c>
    </row>
    <row r="95">
      <c r="A95" s="26" t="s">
        <v>90</v>
      </c>
      <c r="B95" s="27" t="s">
        <v>91</v>
      </c>
      <c r="C95" s="28" t="s">
        <v>294</v>
      </c>
    </row>
    <row r="96">
      <c r="A96" s="26" t="s">
        <v>133</v>
      </c>
      <c r="B96" s="27" t="s">
        <v>134</v>
      </c>
      <c r="C96" s="28" t="s">
        <v>294</v>
      </c>
    </row>
    <row r="97">
      <c r="A97" s="26" t="s">
        <v>269</v>
      </c>
      <c r="B97" s="27" t="s">
        <v>270</v>
      </c>
      <c r="C97" s="28" t="s">
        <v>294</v>
      </c>
    </row>
    <row r="98">
      <c r="A98" s="26" t="s">
        <v>154</v>
      </c>
      <c r="B98" s="27" t="s">
        <v>155</v>
      </c>
      <c r="C98" s="28" t="s">
        <v>294</v>
      </c>
    </row>
    <row r="99">
      <c r="A99" s="26" t="s">
        <v>203</v>
      </c>
      <c r="B99" s="27" t="s">
        <v>204</v>
      </c>
      <c r="C99" s="28" t="s">
        <v>294</v>
      </c>
    </row>
    <row r="100">
      <c r="A100" s="26" t="s">
        <v>277</v>
      </c>
      <c r="B100" s="27" t="s">
        <v>278</v>
      </c>
      <c r="C100" s="28" t="s">
        <v>294</v>
      </c>
    </row>
    <row r="101">
      <c r="A101" s="26" t="s">
        <v>247</v>
      </c>
      <c r="B101" s="27" t="s">
        <v>248</v>
      </c>
      <c r="C101" s="28" t="s">
        <v>294</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78.75"/>
    <col customWidth="1" min="3" max="3" width="11.5"/>
    <col customWidth="1" min="4" max="4" width="19.75"/>
  </cols>
  <sheetData>
    <row r="1">
      <c r="A1" s="23" t="s">
        <v>65</v>
      </c>
      <c r="B1" s="24" t="s">
        <v>66</v>
      </c>
      <c r="C1" s="25" t="s">
        <v>67</v>
      </c>
      <c r="D1" s="18" t="s">
        <v>68</v>
      </c>
    </row>
    <row r="2">
      <c r="A2" s="26" t="s">
        <v>279</v>
      </c>
      <c r="B2" s="27" t="s">
        <v>280</v>
      </c>
      <c r="C2" s="28" t="b">
        <v>1</v>
      </c>
    </row>
    <row r="3">
      <c r="A3" s="26" t="s">
        <v>74</v>
      </c>
      <c r="B3" s="27" t="s">
        <v>75</v>
      </c>
      <c r="C3" s="28" t="b">
        <v>1</v>
      </c>
    </row>
    <row r="4">
      <c r="A4" s="26" t="s">
        <v>84</v>
      </c>
      <c r="B4" s="27" t="s">
        <v>85</v>
      </c>
      <c r="C4" s="28" t="b">
        <v>0</v>
      </c>
    </row>
    <row r="5">
      <c r="A5" s="26" t="s">
        <v>257</v>
      </c>
      <c r="B5" s="27" t="s">
        <v>258</v>
      </c>
      <c r="C5" s="28" t="b">
        <v>0</v>
      </c>
    </row>
    <row r="6">
      <c r="A6" s="26" t="s">
        <v>213</v>
      </c>
      <c r="B6" s="27" t="s">
        <v>214</v>
      </c>
      <c r="C6" s="28" t="b">
        <v>0</v>
      </c>
    </row>
    <row r="7">
      <c r="A7" s="26" t="s">
        <v>225</v>
      </c>
      <c r="B7" s="27" t="s">
        <v>226</v>
      </c>
      <c r="C7" s="28" t="b">
        <v>1</v>
      </c>
    </row>
    <row r="8">
      <c r="A8" s="26" t="s">
        <v>129</v>
      </c>
      <c r="B8" s="27" t="s">
        <v>130</v>
      </c>
      <c r="C8" s="28" t="b">
        <v>1</v>
      </c>
    </row>
    <row r="9">
      <c r="A9" s="26" t="s">
        <v>238</v>
      </c>
      <c r="B9" s="27" t="s">
        <v>239</v>
      </c>
      <c r="C9" s="28" t="b">
        <v>1</v>
      </c>
    </row>
    <row r="10">
      <c r="A10" s="26" t="s">
        <v>244</v>
      </c>
      <c r="B10" s="29" t="s">
        <v>245</v>
      </c>
      <c r="C10" s="28" t="b">
        <v>1</v>
      </c>
      <c r="D10" s="30"/>
    </row>
    <row r="11">
      <c r="A11" s="26" t="s">
        <v>78</v>
      </c>
      <c r="B11" s="27" t="s">
        <v>79</v>
      </c>
      <c r="C11" s="28" t="b">
        <v>1</v>
      </c>
    </row>
    <row r="12">
      <c r="A12" s="26" t="s">
        <v>154</v>
      </c>
      <c r="B12" s="27" t="s">
        <v>155</v>
      </c>
      <c r="C12" s="28" t="b">
        <v>1</v>
      </c>
    </row>
    <row r="13">
      <c r="A13" s="26" t="s">
        <v>201</v>
      </c>
      <c r="B13" s="27" t="s">
        <v>202</v>
      </c>
      <c r="C13" s="28" t="b">
        <v>0</v>
      </c>
    </row>
    <row r="14">
      <c r="A14" s="26" t="s">
        <v>173</v>
      </c>
      <c r="B14" s="27" t="s">
        <v>174</v>
      </c>
      <c r="C14" s="28" t="b">
        <v>1</v>
      </c>
    </row>
    <row r="15">
      <c r="A15" s="26" t="s">
        <v>166</v>
      </c>
      <c r="B15" s="27" t="s">
        <v>167</v>
      </c>
      <c r="C15" s="28" t="b">
        <v>0</v>
      </c>
    </row>
    <row r="16">
      <c r="A16" s="26" t="s">
        <v>110</v>
      </c>
      <c r="B16" s="29" t="s">
        <v>111</v>
      </c>
      <c r="C16" s="28" t="b">
        <v>0</v>
      </c>
      <c r="D16" s="5" t="s">
        <v>295</v>
      </c>
    </row>
    <row r="17">
      <c r="A17" s="26" t="s">
        <v>133</v>
      </c>
      <c r="B17" s="27" t="s">
        <v>134</v>
      </c>
      <c r="C17" s="28" t="b">
        <v>1</v>
      </c>
    </row>
    <row r="18">
      <c r="A18" s="26" t="s">
        <v>112</v>
      </c>
      <c r="B18" s="27" t="s">
        <v>113</v>
      </c>
      <c r="C18" s="28" t="b">
        <v>0</v>
      </c>
    </row>
    <row r="19">
      <c r="A19" s="26" t="s">
        <v>199</v>
      </c>
      <c r="B19" s="27" t="s">
        <v>200</v>
      </c>
      <c r="C19" s="28" t="b">
        <v>0</v>
      </c>
    </row>
    <row r="20">
      <c r="A20" s="26" t="s">
        <v>92</v>
      </c>
      <c r="B20" s="27" t="s">
        <v>93</v>
      </c>
      <c r="C20" s="28" t="b">
        <v>0</v>
      </c>
    </row>
    <row r="21">
      <c r="A21" s="26" t="s">
        <v>99</v>
      </c>
      <c r="B21" s="27" t="s">
        <v>100</v>
      </c>
      <c r="C21" s="28" t="b">
        <v>1</v>
      </c>
    </row>
    <row r="22">
      <c r="A22" s="26" t="s">
        <v>108</v>
      </c>
      <c r="B22" s="27" t="s">
        <v>109</v>
      </c>
      <c r="C22" s="28" t="b">
        <v>0</v>
      </c>
    </row>
    <row r="23">
      <c r="A23" s="26" t="s">
        <v>219</v>
      </c>
      <c r="B23" s="27" t="s">
        <v>220</v>
      </c>
      <c r="C23" s="28" t="b">
        <v>1</v>
      </c>
    </row>
    <row r="24">
      <c r="A24" s="26" t="s">
        <v>160</v>
      </c>
      <c r="B24" s="27" t="s">
        <v>161</v>
      </c>
      <c r="C24" s="28" t="b">
        <v>0</v>
      </c>
    </row>
    <row r="25">
      <c r="A25" s="26" t="s">
        <v>259</v>
      </c>
      <c r="B25" s="29" t="s">
        <v>260</v>
      </c>
      <c r="C25" s="28" t="b">
        <v>0</v>
      </c>
      <c r="D25" s="5" t="s">
        <v>296</v>
      </c>
    </row>
    <row r="26">
      <c r="A26" s="26" t="s">
        <v>137</v>
      </c>
      <c r="B26" s="27" t="s">
        <v>138</v>
      </c>
      <c r="C26" s="28" t="b">
        <v>0</v>
      </c>
    </row>
    <row r="27">
      <c r="A27" s="26" t="s">
        <v>240</v>
      </c>
      <c r="B27" s="27" t="s">
        <v>241</v>
      </c>
      <c r="C27" s="28" t="b">
        <v>0</v>
      </c>
    </row>
    <row r="28">
      <c r="A28" s="26" t="s">
        <v>271</v>
      </c>
      <c r="B28" s="27" t="s">
        <v>272</v>
      </c>
      <c r="C28" s="28" t="b">
        <v>0</v>
      </c>
    </row>
    <row r="29">
      <c r="A29" s="26" t="s">
        <v>261</v>
      </c>
      <c r="B29" s="27" t="s">
        <v>262</v>
      </c>
      <c r="C29" s="28" t="b">
        <v>0</v>
      </c>
    </row>
    <row r="30">
      <c r="A30" s="26" t="s">
        <v>194</v>
      </c>
      <c r="B30" s="27" t="s">
        <v>195</v>
      </c>
      <c r="C30" s="28" t="b">
        <v>1</v>
      </c>
    </row>
    <row r="31">
      <c r="A31" s="26" t="s">
        <v>90</v>
      </c>
      <c r="B31" s="27" t="s">
        <v>91</v>
      </c>
      <c r="C31" s="28" t="b">
        <v>1</v>
      </c>
    </row>
    <row r="32">
      <c r="A32" s="26" t="s">
        <v>114</v>
      </c>
      <c r="B32" s="27" t="s">
        <v>115</v>
      </c>
      <c r="C32" s="28" t="b">
        <v>1</v>
      </c>
    </row>
    <row r="33">
      <c r="A33" s="26" t="s">
        <v>205</v>
      </c>
      <c r="B33" s="27" t="s">
        <v>206</v>
      </c>
      <c r="C33" s="28" t="b">
        <v>0</v>
      </c>
    </row>
    <row r="34">
      <c r="A34" s="26" t="s">
        <v>127</v>
      </c>
      <c r="B34" s="27" t="s">
        <v>128</v>
      </c>
      <c r="C34" s="28" t="b">
        <v>0</v>
      </c>
    </row>
    <row r="35">
      <c r="A35" s="26" t="s">
        <v>96</v>
      </c>
      <c r="B35" s="27" t="s">
        <v>97</v>
      </c>
      <c r="C35" s="28" t="b">
        <v>1</v>
      </c>
    </row>
    <row r="36">
      <c r="A36" s="26" t="s">
        <v>217</v>
      </c>
      <c r="B36" s="27" t="s">
        <v>218</v>
      </c>
      <c r="C36" s="28" t="b">
        <v>0</v>
      </c>
    </row>
    <row r="37">
      <c r="A37" s="26" t="s">
        <v>102</v>
      </c>
      <c r="B37" s="27" t="s">
        <v>103</v>
      </c>
      <c r="C37" s="28" t="b">
        <v>0</v>
      </c>
    </row>
    <row r="38">
      <c r="A38" s="26" t="s">
        <v>149</v>
      </c>
      <c r="B38" s="27" t="s">
        <v>150</v>
      </c>
      <c r="C38" s="28" t="b">
        <v>0</v>
      </c>
    </row>
    <row r="39">
      <c r="A39" s="26" t="s">
        <v>277</v>
      </c>
      <c r="B39" s="27" t="s">
        <v>278</v>
      </c>
      <c r="C39" s="28" t="b">
        <v>1</v>
      </c>
    </row>
    <row r="40">
      <c r="A40" s="26" t="s">
        <v>253</v>
      </c>
      <c r="B40" s="27" t="s">
        <v>254</v>
      </c>
      <c r="C40" s="28" t="b">
        <v>1</v>
      </c>
    </row>
    <row r="41">
      <c r="A41" s="26" t="s">
        <v>192</v>
      </c>
      <c r="B41" s="27" t="s">
        <v>193</v>
      </c>
      <c r="C41" s="28" t="b">
        <v>1</v>
      </c>
    </row>
    <row r="42">
      <c r="A42" s="26" t="s">
        <v>176</v>
      </c>
      <c r="B42" s="27" t="s">
        <v>177</v>
      </c>
      <c r="C42" s="28" t="b">
        <v>0</v>
      </c>
    </row>
    <row r="43">
      <c r="A43" s="26" t="s">
        <v>158</v>
      </c>
      <c r="B43" s="27" t="s">
        <v>159</v>
      </c>
      <c r="C43" s="28" t="b">
        <v>0</v>
      </c>
    </row>
    <row r="44">
      <c r="A44" s="26" t="s">
        <v>203</v>
      </c>
      <c r="B44" s="27" t="s">
        <v>204</v>
      </c>
      <c r="C44" s="28" t="b">
        <v>0</v>
      </c>
    </row>
    <row r="45">
      <c r="A45" s="26" t="s">
        <v>106</v>
      </c>
      <c r="B45" s="27" t="s">
        <v>107</v>
      </c>
      <c r="C45" s="28" t="b">
        <v>1</v>
      </c>
    </row>
    <row r="46">
      <c r="A46" s="26" t="s">
        <v>147</v>
      </c>
      <c r="B46" s="27" t="s">
        <v>148</v>
      </c>
      <c r="C46" s="28" t="b">
        <v>1</v>
      </c>
    </row>
    <row r="47">
      <c r="A47" s="26" t="s">
        <v>247</v>
      </c>
      <c r="B47" s="27" t="s">
        <v>248</v>
      </c>
      <c r="C47" s="28" t="b">
        <v>0</v>
      </c>
    </row>
    <row r="48">
      <c r="A48" s="26" t="s">
        <v>124</v>
      </c>
      <c r="B48" s="27" t="s">
        <v>125</v>
      </c>
      <c r="C48" s="28" t="b">
        <v>1</v>
      </c>
    </row>
    <row r="49">
      <c r="A49" s="26" t="s">
        <v>251</v>
      </c>
      <c r="B49" s="27" t="s">
        <v>252</v>
      </c>
      <c r="C49" s="28" t="b">
        <v>1</v>
      </c>
    </row>
    <row r="50">
      <c r="A50" s="26" t="s">
        <v>145</v>
      </c>
      <c r="B50" s="27" t="s">
        <v>146</v>
      </c>
      <c r="C50" s="28" t="b">
        <v>0</v>
      </c>
    </row>
    <row r="51">
      <c r="A51" s="26" t="s">
        <v>135</v>
      </c>
      <c r="B51" s="27" t="s">
        <v>136</v>
      </c>
      <c r="C51" s="28" t="b">
        <v>0</v>
      </c>
    </row>
    <row r="52">
      <c r="A52" s="26" t="s">
        <v>211</v>
      </c>
      <c r="B52" s="27" t="s">
        <v>212</v>
      </c>
      <c r="C52" s="28" t="b">
        <v>0</v>
      </c>
      <c r="D52" s="5" t="s">
        <v>297</v>
      </c>
    </row>
    <row r="53">
      <c r="A53" s="26" t="s">
        <v>265</v>
      </c>
      <c r="B53" s="27" t="s">
        <v>266</v>
      </c>
      <c r="C53" s="28" t="b">
        <v>1</v>
      </c>
    </row>
    <row r="54">
      <c r="A54" s="26" t="s">
        <v>269</v>
      </c>
      <c r="B54" s="27" t="s">
        <v>270</v>
      </c>
      <c r="C54" s="28" t="b">
        <v>1</v>
      </c>
    </row>
    <row r="55">
      <c r="A55" s="26" t="s">
        <v>274</v>
      </c>
      <c r="B55" s="29" t="s">
        <v>275</v>
      </c>
      <c r="C55" s="28" t="b">
        <v>0</v>
      </c>
      <c r="D55" s="5" t="s">
        <v>298</v>
      </c>
    </row>
    <row r="56">
      <c r="A56" s="26" t="s">
        <v>227</v>
      </c>
      <c r="B56" s="27" t="s">
        <v>228</v>
      </c>
      <c r="C56" s="28" t="b">
        <v>0</v>
      </c>
    </row>
    <row r="57">
      <c r="A57" s="26" t="s">
        <v>180</v>
      </c>
      <c r="B57" s="27" t="s">
        <v>181</v>
      </c>
      <c r="C57" s="28" t="b">
        <v>1</v>
      </c>
    </row>
    <row r="58">
      <c r="A58" s="26" t="s">
        <v>229</v>
      </c>
      <c r="B58" s="27" t="s">
        <v>230</v>
      </c>
      <c r="C58" s="28" t="b">
        <v>1</v>
      </c>
    </row>
    <row r="59">
      <c r="A59" s="26" t="s">
        <v>104</v>
      </c>
      <c r="B59" s="27" t="s">
        <v>105</v>
      </c>
      <c r="C59" s="28" t="b">
        <v>1</v>
      </c>
    </row>
    <row r="60">
      <c r="A60" s="26" t="s">
        <v>197</v>
      </c>
      <c r="B60" s="27" t="s">
        <v>198</v>
      </c>
      <c r="C60" s="28" t="b">
        <v>1</v>
      </c>
    </row>
    <row r="61">
      <c r="A61" s="26" t="s">
        <v>190</v>
      </c>
      <c r="B61" s="27" t="s">
        <v>191</v>
      </c>
      <c r="C61" s="28" t="b">
        <v>0</v>
      </c>
    </row>
    <row r="62">
      <c r="A62" s="26" t="s">
        <v>82</v>
      </c>
      <c r="B62" s="27" t="s">
        <v>83</v>
      </c>
      <c r="C62" s="28" t="b">
        <v>1</v>
      </c>
    </row>
    <row r="63">
      <c r="A63" s="26" t="s">
        <v>221</v>
      </c>
      <c r="B63" s="27" t="s">
        <v>222</v>
      </c>
      <c r="C63" s="28" t="b">
        <v>0</v>
      </c>
    </row>
    <row r="64">
      <c r="A64" s="26" t="s">
        <v>69</v>
      </c>
      <c r="B64" s="27" t="s">
        <v>70</v>
      </c>
      <c r="C64" s="28" t="b">
        <v>0</v>
      </c>
    </row>
    <row r="65">
      <c r="A65" s="26" t="s">
        <v>207</v>
      </c>
      <c r="B65" s="27" t="s">
        <v>208</v>
      </c>
      <c r="C65" s="28" t="b">
        <v>1</v>
      </c>
    </row>
    <row r="66">
      <c r="A66" s="26" t="s">
        <v>156</v>
      </c>
      <c r="B66" s="29" t="s">
        <v>157</v>
      </c>
      <c r="C66" s="28" t="b">
        <v>0</v>
      </c>
      <c r="D66" s="5" t="s">
        <v>299</v>
      </c>
    </row>
    <row r="67">
      <c r="A67" s="26" t="s">
        <v>184</v>
      </c>
      <c r="B67" s="27" t="s">
        <v>185</v>
      </c>
      <c r="C67" s="28" t="b">
        <v>0</v>
      </c>
    </row>
    <row r="68">
      <c r="A68" s="26" t="s">
        <v>188</v>
      </c>
      <c r="B68" s="27" t="s">
        <v>189</v>
      </c>
      <c r="C68" s="28" t="b">
        <v>0</v>
      </c>
    </row>
    <row r="69">
      <c r="A69" s="26" t="s">
        <v>162</v>
      </c>
      <c r="B69" s="27" t="s">
        <v>163</v>
      </c>
      <c r="C69" s="28" t="b">
        <v>1</v>
      </c>
    </row>
    <row r="70">
      <c r="A70" s="26" t="s">
        <v>141</v>
      </c>
      <c r="B70" s="27" t="s">
        <v>142</v>
      </c>
      <c r="C70" s="28" t="b">
        <v>0</v>
      </c>
    </row>
    <row r="71">
      <c r="A71" s="26" t="s">
        <v>283</v>
      </c>
      <c r="B71" s="27" t="s">
        <v>284</v>
      </c>
      <c r="C71" s="28" t="b">
        <v>1</v>
      </c>
    </row>
    <row r="72">
      <c r="A72" s="26" t="s">
        <v>186</v>
      </c>
      <c r="B72" s="27" t="s">
        <v>187</v>
      </c>
      <c r="C72" s="28" t="b">
        <v>1</v>
      </c>
    </row>
    <row r="73">
      <c r="A73" s="26" t="s">
        <v>76</v>
      </c>
      <c r="B73" s="27" t="s">
        <v>77</v>
      </c>
      <c r="C73" s="28" t="b">
        <v>1</v>
      </c>
    </row>
    <row r="74">
      <c r="A74" s="26" t="s">
        <v>164</v>
      </c>
      <c r="B74" s="27" t="s">
        <v>165</v>
      </c>
      <c r="C74" s="28" t="b">
        <v>1</v>
      </c>
    </row>
    <row r="75">
      <c r="A75" s="26" t="s">
        <v>87</v>
      </c>
      <c r="B75" s="27" t="s">
        <v>88</v>
      </c>
      <c r="C75" s="28" t="b">
        <v>0</v>
      </c>
    </row>
    <row r="76">
      <c r="A76" s="26" t="s">
        <v>131</v>
      </c>
      <c r="B76" s="27" t="s">
        <v>132</v>
      </c>
      <c r="C76" s="28" t="b">
        <v>1</v>
      </c>
    </row>
    <row r="77">
      <c r="A77" s="26" t="s">
        <v>281</v>
      </c>
      <c r="B77" s="27" t="s">
        <v>282</v>
      </c>
      <c r="C77" s="28" t="b">
        <v>1</v>
      </c>
    </row>
    <row r="78">
      <c r="A78" s="26" t="s">
        <v>71</v>
      </c>
      <c r="B78" s="27" t="s">
        <v>72</v>
      </c>
      <c r="C78" s="28" t="b">
        <v>1</v>
      </c>
    </row>
    <row r="79">
      <c r="A79" s="26" t="s">
        <v>182</v>
      </c>
      <c r="B79" s="27" t="s">
        <v>183</v>
      </c>
      <c r="C79" s="28" t="b">
        <v>1</v>
      </c>
    </row>
    <row r="80">
      <c r="A80" s="26" t="s">
        <v>171</v>
      </c>
      <c r="B80" s="27" t="s">
        <v>172</v>
      </c>
      <c r="C80" s="28" t="b">
        <v>1</v>
      </c>
    </row>
    <row r="81">
      <c r="A81" s="26" t="s">
        <v>231</v>
      </c>
      <c r="B81" s="27" t="s">
        <v>232</v>
      </c>
      <c r="C81" s="28" t="b">
        <v>1</v>
      </c>
    </row>
    <row r="82">
      <c r="A82" s="26" t="s">
        <v>120</v>
      </c>
      <c r="B82" s="27" t="s">
        <v>121</v>
      </c>
      <c r="C82" s="28" t="b">
        <v>1</v>
      </c>
    </row>
    <row r="83">
      <c r="A83" s="26" t="s">
        <v>249</v>
      </c>
      <c r="B83" s="27" t="s">
        <v>250</v>
      </c>
      <c r="C83" s="28" t="b">
        <v>1</v>
      </c>
    </row>
    <row r="84">
      <c r="A84" s="26" t="s">
        <v>242</v>
      </c>
      <c r="B84" s="27" t="s">
        <v>243</v>
      </c>
      <c r="C84" s="28" t="b">
        <v>0</v>
      </c>
    </row>
    <row r="85">
      <c r="A85" s="26" t="s">
        <v>168</v>
      </c>
      <c r="B85" s="27" t="s">
        <v>169</v>
      </c>
      <c r="C85" s="28" t="b">
        <v>1</v>
      </c>
    </row>
    <row r="86">
      <c r="A86" s="26" t="s">
        <v>178</v>
      </c>
      <c r="B86" s="27" t="s">
        <v>179</v>
      </c>
      <c r="C86" s="28" t="b">
        <v>1</v>
      </c>
    </row>
    <row r="87">
      <c r="A87" s="26" t="s">
        <v>267</v>
      </c>
      <c r="B87" s="27" t="s">
        <v>268</v>
      </c>
      <c r="C87" s="28" t="b">
        <v>0</v>
      </c>
    </row>
    <row r="88">
      <c r="A88" s="26" t="s">
        <v>209</v>
      </c>
      <c r="B88" s="27" t="s">
        <v>210</v>
      </c>
      <c r="C88" s="28" t="b">
        <v>1</v>
      </c>
    </row>
    <row r="89">
      <c r="A89" s="26" t="s">
        <v>122</v>
      </c>
      <c r="B89" s="27" t="s">
        <v>123</v>
      </c>
      <c r="C89" s="28" t="b">
        <v>0</v>
      </c>
    </row>
    <row r="90">
      <c r="A90" s="26" t="s">
        <v>233</v>
      </c>
      <c r="B90" s="27" t="s">
        <v>234</v>
      </c>
      <c r="C90" s="28" t="b">
        <v>0</v>
      </c>
    </row>
    <row r="91">
      <c r="A91" s="26" t="s">
        <v>143</v>
      </c>
      <c r="B91" s="27" t="s">
        <v>144</v>
      </c>
      <c r="C91" s="28" t="b">
        <v>1</v>
      </c>
    </row>
    <row r="92">
      <c r="A92" s="26" t="s">
        <v>94</v>
      </c>
      <c r="B92" s="27" t="s">
        <v>95</v>
      </c>
      <c r="C92" s="28" t="b">
        <v>0</v>
      </c>
    </row>
    <row r="93">
      <c r="A93" s="26" t="s">
        <v>139</v>
      </c>
      <c r="B93" s="27" t="s">
        <v>140</v>
      </c>
      <c r="C93" s="28" t="b">
        <v>1</v>
      </c>
    </row>
    <row r="94">
      <c r="A94" s="26" t="s">
        <v>223</v>
      </c>
      <c r="B94" s="27" t="s">
        <v>224</v>
      </c>
      <c r="C94" s="28" t="b">
        <v>0</v>
      </c>
    </row>
    <row r="95">
      <c r="A95" s="26" t="s">
        <v>263</v>
      </c>
      <c r="B95" s="27" t="s">
        <v>264</v>
      </c>
      <c r="C95" s="28" t="b">
        <v>1</v>
      </c>
    </row>
    <row r="96">
      <c r="A96" s="26" t="s">
        <v>215</v>
      </c>
      <c r="B96" s="27" t="s">
        <v>216</v>
      </c>
      <c r="C96" s="28" t="b">
        <v>0</v>
      </c>
    </row>
    <row r="97">
      <c r="A97" s="26" t="s">
        <v>151</v>
      </c>
      <c r="B97" s="27" t="s">
        <v>152</v>
      </c>
      <c r="C97" s="28" t="b">
        <v>1</v>
      </c>
    </row>
    <row r="98">
      <c r="A98" s="26" t="s">
        <v>255</v>
      </c>
      <c r="B98" s="27" t="s">
        <v>256</v>
      </c>
      <c r="C98" s="28" t="b">
        <v>1</v>
      </c>
    </row>
    <row r="99">
      <c r="A99" s="26" t="s">
        <v>117</v>
      </c>
      <c r="B99" s="27" t="s">
        <v>118</v>
      </c>
      <c r="C99" s="28" t="b">
        <v>0</v>
      </c>
    </row>
    <row r="100">
      <c r="A100" s="26" t="s">
        <v>236</v>
      </c>
      <c r="B100" s="27" t="s">
        <v>237</v>
      </c>
      <c r="C100" s="28" t="b">
        <v>1</v>
      </c>
    </row>
    <row r="101">
      <c r="A101" s="26" t="s">
        <v>80</v>
      </c>
      <c r="B101" s="27" t="s">
        <v>81</v>
      </c>
      <c r="C101" s="28" t="b">
        <v>0</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3" t="s">
        <v>65</v>
      </c>
      <c r="B1" s="24" t="s">
        <v>66</v>
      </c>
      <c r="C1" s="25" t="s">
        <v>67</v>
      </c>
      <c r="D1" s="18" t="s">
        <v>68</v>
      </c>
    </row>
    <row r="2">
      <c r="A2" s="26" t="s">
        <v>240</v>
      </c>
      <c r="B2" s="27" t="s">
        <v>241</v>
      </c>
      <c r="C2" s="28" t="b">
        <v>0</v>
      </c>
    </row>
    <row r="3">
      <c r="A3" s="26" t="s">
        <v>184</v>
      </c>
      <c r="B3" s="27" t="s">
        <v>185</v>
      </c>
      <c r="C3" s="28" t="b">
        <v>1</v>
      </c>
    </row>
    <row r="4">
      <c r="A4" s="26" t="s">
        <v>274</v>
      </c>
      <c r="B4" s="27" t="s">
        <v>275</v>
      </c>
      <c r="C4" s="28" t="b">
        <v>1</v>
      </c>
    </row>
    <row r="5">
      <c r="A5" s="26" t="s">
        <v>120</v>
      </c>
      <c r="B5" s="27" t="s">
        <v>121</v>
      </c>
      <c r="C5" s="28" t="b">
        <v>1</v>
      </c>
    </row>
    <row r="6">
      <c r="A6" s="26" t="s">
        <v>69</v>
      </c>
      <c r="B6" s="27" t="s">
        <v>70</v>
      </c>
      <c r="C6" s="28" t="b">
        <v>0</v>
      </c>
      <c r="D6" s="5" t="s">
        <v>300</v>
      </c>
    </row>
    <row r="7">
      <c r="A7" s="26" t="s">
        <v>267</v>
      </c>
      <c r="B7" s="27" t="s">
        <v>268</v>
      </c>
      <c r="C7" s="28" t="b">
        <v>0</v>
      </c>
      <c r="D7" s="5" t="s">
        <v>301</v>
      </c>
    </row>
    <row r="8">
      <c r="A8" s="26" t="s">
        <v>283</v>
      </c>
      <c r="B8" s="27" t="s">
        <v>284</v>
      </c>
      <c r="C8" s="28" t="b">
        <v>1</v>
      </c>
    </row>
    <row r="9">
      <c r="A9" s="26" t="s">
        <v>90</v>
      </c>
      <c r="B9" s="27" t="s">
        <v>91</v>
      </c>
      <c r="C9" s="28" t="b">
        <v>1</v>
      </c>
    </row>
    <row r="10">
      <c r="A10" s="26" t="s">
        <v>180</v>
      </c>
      <c r="B10" s="27" t="s">
        <v>181</v>
      </c>
      <c r="C10" s="28" t="b">
        <v>1</v>
      </c>
    </row>
    <row r="11">
      <c r="A11" s="26" t="s">
        <v>279</v>
      </c>
      <c r="B11" s="27" t="s">
        <v>280</v>
      </c>
      <c r="C11" s="28" t="b">
        <v>1</v>
      </c>
    </row>
    <row r="12">
      <c r="A12" s="26" t="s">
        <v>135</v>
      </c>
      <c r="B12" s="27" t="s">
        <v>136</v>
      </c>
      <c r="C12" s="28" t="b">
        <v>1</v>
      </c>
    </row>
    <row r="13">
      <c r="A13" s="26" t="s">
        <v>137</v>
      </c>
      <c r="B13" s="27" t="s">
        <v>138</v>
      </c>
      <c r="C13" s="28" t="b">
        <v>0</v>
      </c>
    </row>
    <row r="14">
      <c r="A14" s="26" t="s">
        <v>92</v>
      </c>
      <c r="B14" s="27" t="s">
        <v>93</v>
      </c>
      <c r="C14" s="28" t="b">
        <v>0</v>
      </c>
    </row>
    <row r="15">
      <c r="A15" s="26" t="s">
        <v>271</v>
      </c>
      <c r="B15" s="27" t="s">
        <v>272</v>
      </c>
      <c r="C15" s="28" t="b">
        <v>0</v>
      </c>
    </row>
    <row r="16">
      <c r="A16" s="26" t="s">
        <v>190</v>
      </c>
      <c r="B16" s="27" t="s">
        <v>191</v>
      </c>
      <c r="C16" s="28" t="b">
        <v>0</v>
      </c>
    </row>
    <row r="17">
      <c r="A17" s="26" t="s">
        <v>99</v>
      </c>
      <c r="B17" s="27" t="s">
        <v>100</v>
      </c>
      <c r="C17" s="28" t="b">
        <v>1</v>
      </c>
    </row>
    <row r="18">
      <c r="A18" s="26" t="s">
        <v>74</v>
      </c>
      <c r="B18" s="27" t="s">
        <v>75</v>
      </c>
      <c r="C18" s="28" t="b">
        <v>1</v>
      </c>
    </row>
    <row r="19">
      <c r="A19" s="26" t="s">
        <v>225</v>
      </c>
      <c r="B19" s="27" t="s">
        <v>226</v>
      </c>
      <c r="C19" s="28" t="b">
        <v>1</v>
      </c>
    </row>
    <row r="20">
      <c r="A20" s="26" t="s">
        <v>166</v>
      </c>
      <c r="B20" s="27" t="s">
        <v>167</v>
      </c>
      <c r="C20" s="28" t="b">
        <v>1</v>
      </c>
    </row>
    <row r="21">
      <c r="A21" s="26" t="s">
        <v>178</v>
      </c>
      <c r="B21" s="27" t="s">
        <v>179</v>
      </c>
      <c r="C21" s="28" t="b">
        <v>1</v>
      </c>
    </row>
    <row r="22">
      <c r="A22" s="26" t="s">
        <v>249</v>
      </c>
      <c r="B22" s="27" t="s">
        <v>250</v>
      </c>
      <c r="C22" s="28" t="b">
        <v>1</v>
      </c>
    </row>
    <row r="23">
      <c r="A23" s="26" t="s">
        <v>227</v>
      </c>
      <c r="B23" s="27" t="s">
        <v>228</v>
      </c>
      <c r="C23" s="28" t="b">
        <v>0</v>
      </c>
    </row>
    <row r="24">
      <c r="A24" s="26" t="s">
        <v>154</v>
      </c>
      <c r="B24" s="27" t="s">
        <v>155</v>
      </c>
      <c r="C24" s="28" t="b">
        <v>1</v>
      </c>
    </row>
    <row r="25">
      <c r="A25" s="26" t="s">
        <v>122</v>
      </c>
      <c r="B25" s="27" t="s">
        <v>123</v>
      </c>
      <c r="C25" s="28" t="b">
        <v>0</v>
      </c>
    </row>
    <row r="26">
      <c r="A26" s="26" t="s">
        <v>156</v>
      </c>
      <c r="B26" s="27" t="s">
        <v>157</v>
      </c>
      <c r="C26" s="28" t="b">
        <v>1</v>
      </c>
    </row>
    <row r="27">
      <c r="A27" s="26" t="s">
        <v>244</v>
      </c>
      <c r="B27" s="27" t="s">
        <v>245</v>
      </c>
      <c r="C27" s="28" t="b">
        <v>1</v>
      </c>
    </row>
    <row r="28">
      <c r="A28" s="26" t="s">
        <v>102</v>
      </c>
      <c r="B28" s="27" t="s">
        <v>103</v>
      </c>
      <c r="C28" s="28" t="b">
        <v>0</v>
      </c>
    </row>
    <row r="29">
      <c r="A29" s="26" t="s">
        <v>211</v>
      </c>
      <c r="B29" s="27" t="s">
        <v>212</v>
      </c>
      <c r="C29" s="28" t="b">
        <v>1</v>
      </c>
    </row>
    <row r="30">
      <c r="A30" s="26" t="s">
        <v>80</v>
      </c>
      <c r="B30" s="27" t="s">
        <v>81</v>
      </c>
      <c r="C30" s="28" t="b">
        <v>0</v>
      </c>
    </row>
    <row r="31">
      <c r="A31" s="26" t="s">
        <v>112</v>
      </c>
      <c r="B31" s="27" t="s">
        <v>113</v>
      </c>
      <c r="C31" s="28" t="b">
        <v>0</v>
      </c>
    </row>
    <row r="32">
      <c r="A32" s="26" t="s">
        <v>147</v>
      </c>
      <c r="B32" s="27" t="s">
        <v>148</v>
      </c>
      <c r="C32" s="28" t="b">
        <v>1</v>
      </c>
    </row>
    <row r="33">
      <c r="A33" s="26" t="s">
        <v>259</v>
      </c>
      <c r="B33" s="27" t="s">
        <v>260</v>
      </c>
      <c r="C33" s="28" t="b">
        <v>1</v>
      </c>
    </row>
    <row r="34">
      <c r="A34" s="26" t="s">
        <v>217</v>
      </c>
      <c r="B34" s="27" t="s">
        <v>218</v>
      </c>
      <c r="C34" s="28" t="b">
        <v>1</v>
      </c>
      <c r="D34" s="5" t="s">
        <v>302</v>
      </c>
    </row>
    <row r="35">
      <c r="A35" s="26" t="s">
        <v>173</v>
      </c>
      <c r="B35" s="27" t="s">
        <v>174</v>
      </c>
      <c r="C35" s="28" t="b">
        <v>1</v>
      </c>
    </row>
    <row r="36">
      <c r="A36" s="26" t="s">
        <v>207</v>
      </c>
      <c r="B36" s="27" t="s">
        <v>208</v>
      </c>
      <c r="C36" s="28" t="b">
        <v>1</v>
      </c>
    </row>
    <row r="37">
      <c r="A37" s="26" t="s">
        <v>205</v>
      </c>
      <c r="B37" s="27" t="s">
        <v>206</v>
      </c>
      <c r="C37" s="28" t="b">
        <v>1</v>
      </c>
      <c r="D37" s="5" t="s">
        <v>302</v>
      </c>
    </row>
    <row r="38">
      <c r="A38" s="26" t="s">
        <v>162</v>
      </c>
      <c r="B38" s="27" t="s">
        <v>163</v>
      </c>
      <c r="C38" s="28" t="b">
        <v>1</v>
      </c>
      <c r="D38" s="5" t="s">
        <v>303</v>
      </c>
    </row>
    <row r="39">
      <c r="A39" s="26" t="s">
        <v>124</v>
      </c>
      <c r="B39" s="27" t="s">
        <v>125</v>
      </c>
      <c r="C39" s="28" t="b">
        <v>1</v>
      </c>
    </row>
    <row r="40">
      <c r="A40" s="26" t="s">
        <v>201</v>
      </c>
      <c r="B40" s="27" t="s">
        <v>202</v>
      </c>
      <c r="C40" s="28" t="b">
        <v>0</v>
      </c>
    </row>
    <row r="41">
      <c r="A41" s="26" t="s">
        <v>197</v>
      </c>
      <c r="B41" s="27" t="s">
        <v>198</v>
      </c>
      <c r="C41" s="28" t="b">
        <v>1</v>
      </c>
      <c r="D41" s="5" t="s">
        <v>304</v>
      </c>
    </row>
    <row r="42">
      <c r="A42" s="26" t="s">
        <v>84</v>
      </c>
      <c r="B42" s="27" t="s">
        <v>85</v>
      </c>
      <c r="C42" s="28" t="b">
        <v>1</v>
      </c>
    </row>
    <row r="43">
      <c r="A43" s="26" t="s">
        <v>133</v>
      </c>
      <c r="B43" s="27" t="s">
        <v>134</v>
      </c>
      <c r="C43" s="28" t="b">
        <v>1</v>
      </c>
    </row>
    <row r="44">
      <c r="A44" s="26" t="s">
        <v>108</v>
      </c>
      <c r="B44" s="27" t="s">
        <v>109</v>
      </c>
      <c r="C44" s="28" t="b">
        <v>0</v>
      </c>
    </row>
    <row r="45">
      <c r="A45" s="26" t="s">
        <v>129</v>
      </c>
      <c r="B45" s="27" t="s">
        <v>130</v>
      </c>
      <c r="C45" s="28" t="b">
        <v>1</v>
      </c>
    </row>
    <row r="46">
      <c r="A46" s="26" t="s">
        <v>151</v>
      </c>
      <c r="B46" s="27" t="s">
        <v>152</v>
      </c>
      <c r="C46" s="28" t="b">
        <v>1</v>
      </c>
    </row>
    <row r="47">
      <c r="A47" s="26" t="s">
        <v>160</v>
      </c>
      <c r="B47" s="27" t="s">
        <v>161</v>
      </c>
      <c r="C47" s="28" t="b">
        <v>1</v>
      </c>
    </row>
    <row r="48">
      <c r="A48" s="26" t="s">
        <v>215</v>
      </c>
      <c r="B48" s="27" t="s">
        <v>216</v>
      </c>
      <c r="C48" s="28" t="b">
        <v>0</v>
      </c>
    </row>
    <row r="49">
      <c r="A49" s="26" t="s">
        <v>106</v>
      </c>
      <c r="B49" s="27" t="s">
        <v>107</v>
      </c>
      <c r="C49" s="28" t="b">
        <v>1</v>
      </c>
    </row>
    <row r="50">
      <c r="A50" s="26" t="s">
        <v>104</v>
      </c>
      <c r="B50" s="27" t="s">
        <v>105</v>
      </c>
      <c r="C50" s="28" t="b">
        <v>1</v>
      </c>
    </row>
    <row r="51">
      <c r="A51" s="26" t="s">
        <v>114</v>
      </c>
      <c r="B51" s="27" t="s">
        <v>115</v>
      </c>
      <c r="C51" s="28" t="b">
        <v>1</v>
      </c>
    </row>
    <row r="52">
      <c r="A52" s="26" t="s">
        <v>265</v>
      </c>
      <c r="B52" s="27" t="s">
        <v>266</v>
      </c>
      <c r="C52" s="28" t="b">
        <v>0</v>
      </c>
    </row>
    <row r="53">
      <c r="A53" s="26" t="s">
        <v>231</v>
      </c>
      <c r="B53" s="27" t="s">
        <v>232</v>
      </c>
      <c r="C53" s="28" t="b">
        <v>1</v>
      </c>
    </row>
    <row r="54">
      <c r="A54" s="26" t="s">
        <v>223</v>
      </c>
      <c r="B54" s="27" t="s">
        <v>224</v>
      </c>
      <c r="C54" s="28" t="b">
        <v>1</v>
      </c>
      <c r="D54" s="5" t="s">
        <v>305</v>
      </c>
    </row>
    <row r="55">
      <c r="A55" s="26" t="s">
        <v>131</v>
      </c>
      <c r="B55" s="27" t="s">
        <v>132</v>
      </c>
      <c r="C55" s="28" t="b">
        <v>1</v>
      </c>
    </row>
    <row r="56">
      <c r="A56" s="26" t="s">
        <v>176</v>
      </c>
      <c r="B56" s="27" t="s">
        <v>177</v>
      </c>
      <c r="C56" s="28" t="b">
        <v>1</v>
      </c>
    </row>
    <row r="57">
      <c r="A57" s="26" t="s">
        <v>87</v>
      </c>
      <c r="B57" s="27" t="s">
        <v>88</v>
      </c>
      <c r="C57" s="28" t="b">
        <v>1</v>
      </c>
    </row>
    <row r="58">
      <c r="A58" s="26" t="s">
        <v>71</v>
      </c>
      <c r="B58" s="27" t="s">
        <v>72</v>
      </c>
      <c r="C58" s="28" t="b">
        <v>1</v>
      </c>
    </row>
    <row r="59">
      <c r="A59" s="26" t="s">
        <v>199</v>
      </c>
      <c r="B59" s="27" t="s">
        <v>200</v>
      </c>
      <c r="C59" s="28" t="b">
        <v>1</v>
      </c>
    </row>
    <row r="60">
      <c r="A60" s="26" t="s">
        <v>96</v>
      </c>
      <c r="B60" s="27" t="s">
        <v>97</v>
      </c>
      <c r="C60" s="28" t="b">
        <v>1</v>
      </c>
    </row>
    <row r="61">
      <c r="A61" s="26" t="s">
        <v>257</v>
      </c>
      <c r="B61" s="27" t="s">
        <v>258</v>
      </c>
      <c r="C61" s="28" t="b">
        <v>1</v>
      </c>
    </row>
    <row r="62">
      <c r="A62" s="26" t="s">
        <v>76</v>
      </c>
      <c r="B62" s="27" t="s">
        <v>77</v>
      </c>
      <c r="C62" s="28" t="b">
        <v>1</v>
      </c>
    </row>
    <row r="63">
      <c r="A63" s="26" t="s">
        <v>117</v>
      </c>
      <c r="B63" s="27" t="s">
        <v>118</v>
      </c>
      <c r="C63" s="28" t="b">
        <v>0</v>
      </c>
    </row>
    <row r="64">
      <c r="A64" s="26" t="s">
        <v>82</v>
      </c>
      <c r="B64" s="27" t="s">
        <v>83</v>
      </c>
      <c r="C64" s="28" t="b">
        <v>1</v>
      </c>
    </row>
    <row r="65">
      <c r="A65" s="26" t="s">
        <v>277</v>
      </c>
      <c r="B65" s="27" t="s">
        <v>278</v>
      </c>
      <c r="C65" s="28" t="b">
        <v>1</v>
      </c>
    </row>
    <row r="66">
      <c r="A66" s="26" t="s">
        <v>143</v>
      </c>
      <c r="B66" s="27" t="s">
        <v>144</v>
      </c>
      <c r="C66" s="28" t="b">
        <v>1</v>
      </c>
    </row>
    <row r="67">
      <c r="A67" s="26" t="s">
        <v>221</v>
      </c>
      <c r="B67" s="27" t="s">
        <v>222</v>
      </c>
      <c r="C67" s="28" t="b">
        <v>0</v>
      </c>
    </row>
    <row r="68">
      <c r="A68" s="26" t="s">
        <v>203</v>
      </c>
      <c r="B68" s="27" t="s">
        <v>204</v>
      </c>
      <c r="C68" s="28" t="b">
        <v>1</v>
      </c>
    </row>
    <row r="69">
      <c r="A69" s="26" t="s">
        <v>281</v>
      </c>
      <c r="B69" s="27" t="s">
        <v>282</v>
      </c>
      <c r="C69" s="28" t="b">
        <v>1</v>
      </c>
    </row>
    <row r="70">
      <c r="A70" s="26" t="s">
        <v>269</v>
      </c>
      <c r="B70" s="27" t="s">
        <v>270</v>
      </c>
      <c r="C70" s="28" t="b">
        <v>1</v>
      </c>
    </row>
    <row r="71">
      <c r="A71" s="26" t="s">
        <v>261</v>
      </c>
      <c r="B71" s="27" t="s">
        <v>262</v>
      </c>
      <c r="C71" s="28" t="b">
        <v>0</v>
      </c>
    </row>
    <row r="72">
      <c r="A72" s="26" t="s">
        <v>229</v>
      </c>
      <c r="B72" s="27" t="s">
        <v>230</v>
      </c>
      <c r="C72" s="28" t="b">
        <v>1</v>
      </c>
      <c r="D72" s="5" t="s">
        <v>306</v>
      </c>
    </row>
    <row r="73">
      <c r="A73" s="26" t="s">
        <v>238</v>
      </c>
      <c r="B73" s="27" t="s">
        <v>239</v>
      </c>
      <c r="C73" s="28" t="b">
        <v>1</v>
      </c>
    </row>
    <row r="74">
      <c r="A74" s="26" t="s">
        <v>251</v>
      </c>
      <c r="B74" s="27" t="s">
        <v>252</v>
      </c>
      <c r="C74" s="28" t="b">
        <v>1</v>
      </c>
    </row>
    <row r="75">
      <c r="A75" s="26" t="s">
        <v>219</v>
      </c>
      <c r="B75" s="27" t="s">
        <v>220</v>
      </c>
      <c r="C75" s="28" t="b">
        <v>1</v>
      </c>
    </row>
    <row r="76">
      <c r="A76" s="26" t="s">
        <v>78</v>
      </c>
      <c r="B76" s="27" t="s">
        <v>79</v>
      </c>
      <c r="C76" s="28" t="b">
        <v>1</v>
      </c>
    </row>
    <row r="77">
      <c r="A77" s="26" t="s">
        <v>263</v>
      </c>
      <c r="B77" s="27" t="s">
        <v>264</v>
      </c>
      <c r="C77" s="28" t="b">
        <v>1</v>
      </c>
    </row>
    <row r="78">
      <c r="A78" s="26" t="s">
        <v>247</v>
      </c>
      <c r="B78" s="27" t="s">
        <v>248</v>
      </c>
      <c r="C78" s="28" t="b">
        <v>0</v>
      </c>
    </row>
    <row r="79">
      <c r="A79" s="26" t="s">
        <v>213</v>
      </c>
      <c r="B79" s="27" t="s">
        <v>214</v>
      </c>
      <c r="C79" s="28" t="b">
        <v>0</v>
      </c>
    </row>
    <row r="80">
      <c r="A80" s="26" t="s">
        <v>209</v>
      </c>
      <c r="B80" s="27" t="s">
        <v>210</v>
      </c>
      <c r="C80" s="28" t="b">
        <v>0</v>
      </c>
    </row>
    <row r="81">
      <c r="A81" s="26" t="s">
        <v>164</v>
      </c>
      <c r="B81" s="27" t="s">
        <v>165</v>
      </c>
      <c r="C81" s="28" t="b">
        <v>1</v>
      </c>
    </row>
    <row r="82">
      <c r="A82" s="26" t="s">
        <v>145</v>
      </c>
      <c r="B82" s="27" t="s">
        <v>146</v>
      </c>
      <c r="C82" s="28" t="b">
        <v>0</v>
      </c>
    </row>
    <row r="83">
      <c r="A83" s="26" t="s">
        <v>233</v>
      </c>
      <c r="B83" s="27" t="s">
        <v>234</v>
      </c>
      <c r="C83" s="28" t="b">
        <v>1</v>
      </c>
    </row>
    <row r="84">
      <c r="A84" s="26" t="s">
        <v>158</v>
      </c>
      <c r="B84" s="27" t="s">
        <v>159</v>
      </c>
      <c r="C84" s="28" t="b">
        <v>1</v>
      </c>
    </row>
    <row r="85">
      <c r="A85" s="26" t="s">
        <v>188</v>
      </c>
      <c r="B85" s="27" t="s">
        <v>189</v>
      </c>
      <c r="C85" s="28" t="b">
        <v>0</v>
      </c>
    </row>
    <row r="86">
      <c r="A86" s="26" t="s">
        <v>194</v>
      </c>
      <c r="B86" s="27" t="s">
        <v>195</v>
      </c>
      <c r="C86" s="28" t="b">
        <v>1</v>
      </c>
    </row>
    <row r="87">
      <c r="A87" s="26" t="s">
        <v>110</v>
      </c>
      <c r="B87" s="27" t="s">
        <v>111</v>
      </c>
      <c r="C87" s="28" t="b">
        <v>0</v>
      </c>
    </row>
    <row r="88">
      <c r="A88" s="26" t="s">
        <v>253</v>
      </c>
      <c r="B88" s="27" t="s">
        <v>254</v>
      </c>
      <c r="C88" s="28" t="b">
        <v>1</v>
      </c>
    </row>
    <row r="89">
      <c r="A89" s="26" t="s">
        <v>139</v>
      </c>
      <c r="B89" s="27" t="s">
        <v>140</v>
      </c>
      <c r="C89" s="28" t="b">
        <v>1</v>
      </c>
    </row>
    <row r="90">
      <c r="A90" s="26" t="s">
        <v>186</v>
      </c>
      <c r="B90" s="27" t="s">
        <v>187</v>
      </c>
      <c r="C90" s="28" t="b">
        <v>1</v>
      </c>
    </row>
    <row r="91">
      <c r="A91" s="26" t="s">
        <v>192</v>
      </c>
      <c r="B91" s="27" t="s">
        <v>193</v>
      </c>
      <c r="C91" s="28" t="b">
        <v>1</v>
      </c>
    </row>
    <row r="92">
      <c r="A92" s="26" t="s">
        <v>94</v>
      </c>
      <c r="B92" s="27" t="s">
        <v>95</v>
      </c>
      <c r="C92" s="28" t="b">
        <v>0</v>
      </c>
    </row>
    <row r="93">
      <c r="A93" s="26" t="s">
        <v>182</v>
      </c>
      <c r="B93" s="27" t="s">
        <v>183</v>
      </c>
      <c r="C93" s="28" t="b">
        <v>1</v>
      </c>
    </row>
    <row r="94">
      <c r="A94" s="26" t="s">
        <v>171</v>
      </c>
      <c r="B94" s="27" t="s">
        <v>172</v>
      </c>
      <c r="C94" s="28" t="b">
        <v>1</v>
      </c>
    </row>
    <row r="95">
      <c r="A95" s="26" t="s">
        <v>127</v>
      </c>
      <c r="B95" s="27" t="s">
        <v>128</v>
      </c>
      <c r="C95" s="28" t="b">
        <v>0</v>
      </c>
    </row>
    <row r="96">
      <c r="A96" s="26" t="s">
        <v>149</v>
      </c>
      <c r="B96" s="27" t="s">
        <v>150</v>
      </c>
      <c r="C96" s="28" t="b">
        <v>0</v>
      </c>
    </row>
    <row r="97">
      <c r="A97" s="26" t="s">
        <v>242</v>
      </c>
      <c r="B97" s="27" t="s">
        <v>243</v>
      </c>
      <c r="C97" s="28" t="b">
        <v>0</v>
      </c>
    </row>
    <row r="98">
      <c r="A98" s="26" t="s">
        <v>141</v>
      </c>
      <c r="B98" s="27" t="s">
        <v>142</v>
      </c>
      <c r="C98" s="28" t="b">
        <v>1</v>
      </c>
    </row>
    <row r="99">
      <c r="A99" s="26" t="s">
        <v>168</v>
      </c>
      <c r="B99" s="27" t="s">
        <v>169</v>
      </c>
      <c r="C99" s="28" t="b">
        <v>1</v>
      </c>
    </row>
    <row r="100">
      <c r="A100" s="26" t="s">
        <v>255</v>
      </c>
      <c r="B100" s="27" t="s">
        <v>256</v>
      </c>
      <c r="C100" s="28" t="b">
        <v>1</v>
      </c>
    </row>
    <row r="101">
      <c r="A101" s="26" t="s">
        <v>236</v>
      </c>
      <c r="B101" s="27" t="s">
        <v>237</v>
      </c>
      <c r="C101" s="28" t="b">
        <v>1</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1" t="s">
        <v>307</v>
      </c>
      <c r="B1" s="31" t="s">
        <v>308</v>
      </c>
      <c r="C1" s="31" t="s">
        <v>309</v>
      </c>
      <c r="D1" s="31" t="s">
        <v>310</v>
      </c>
      <c r="E1" s="31" t="s">
        <v>311</v>
      </c>
      <c r="F1" s="31" t="s">
        <v>312</v>
      </c>
      <c r="G1" s="31" t="s">
        <v>313</v>
      </c>
      <c r="H1" s="31" t="s">
        <v>314</v>
      </c>
      <c r="I1" s="32" t="s">
        <v>315</v>
      </c>
      <c r="J1" s="31" t="s">
        <v>316</v>
      </c>
      <c r="K1" s="33" t="s">
        <v>317</v>
      </c>
    </row>
    <row r="2">
      <c r="A2" s="34" t="s">
        <v>318</v>
      </c>
      <c r="B2" s="34" t="s">
        <v>190</v>
      </c>
      <c r="C2" s="34" t="s">
        <v>191</v>
      </c>
      <c r="D2" s="35">
        <v>2.0</v>
      </c>
      <c r="E2" s="36">
        <v>8.0</v>
      </c>
      <c r="F2" s="36">
        <v>1.0</v>
      </c>
      <c r="G2" s="36">
        <v>9.0</v>
      </c>
      <c r="H2" s="36">
        <v>0.777777777777777</v>
      </c>
      <c r="I2" s="37" t="b">
        <v>0</v>
      </c>
      <c r="J2" s="12" t="s">
        <v>319</v>
      </c>
      <c r="K2" s="13" t="s">
        <v>320</v>
      </c>
    </row>
    <row r="3">
      <c r="A3" s="34" t="s">
        <v>321</v>
      </c>
      <c r="B3" s="34" t="s">
        <v>158</v>
      </c>
      <c r="C3" s="34" t="s">
        <v>159</v>
      </c>
      <c r="D3" s="35">
        <v>2.0</v>
      </c>
      <c r="E3" s="36">
        <v>3.0</v>
      </c>
      <c r="F3" s="36">
        <v>10.0</v>
      </c>
      <c r="G3" s="36">
        <v>13.0</v>
      </c>
      <c r="H3" s="36">
        <v>0.538461538461538</v>
      </c>
      <c r="I3" s="37" t="b">
        <v>1</v>
      </c>
      <c r="J3" s="12" t="s">
        <v>322</v>
      </c>
      <c r="K3" s="13" t="s">
        <v>320</v>
      </c>
    </row>
    <row r="4">
      <c r="A4" s="34" t="s">
        <v>323</v>
      </c>
      <c r="B4" s="34" t="s">
        <v>87</v>
      </c>
      <c r="C4" s="34" t="s">
        <v>88</v>
      </c>
      <c r="D4" s="35">
        <v>2.0</v>
      </c>
      <c r="E4" s="36">
        <v>5.0</v>
      </c>
      <c r="F4" s="36">
        <v>4.0</v>
      </c>
      <c r="G4" s="36">
        <v>9.0</v>
      </c>
      <c r="H4" s="36">
        <v>0.111111111111111</v>
      </c>
      <c r="I4" s="37" t="b">
        <v>0</v>
      </c>
      <c r="J4" s="12" t="s">
        <v>324</v>
      </c>
      <c r="K4" s="13" t="s">
        <v>320</v>
      </c>
    </row>
    <row r="5">
      <c r="A5" s="34" t="s">
        <v>325</v>
      </c>
      <c r="B5" s="34" t="s">
        <v>261</v>
      </c>
      <c r="C5" s="34" t="s">
        <v>262</v>
      </c>
      <c r="D5" s="35">
        <v>2.0</v>
      </c>
      <c r="E5" s="36">
        <v>9.0</v>
      </c>
      <c r="F5" s="36">
        <v>0.0</v>
      </c>
      <c r="G5" s="36">
        <v>9.0</v>
      </c>
      <c r="H5" s="36">
        <v>1.0</v>
      </c>
      <c r="I5" s="37" t="b">
        <v>0</v>
      </c>
      <c r="J5" s="12" t="s">
        <v>326</v>
      </c>
      <c r="K5" s="13" t="s">
        <v>320</v>
      </c>
    </row>
    <row r="6">
      <c r="A6" s="34" t="s">
        <v>327</v>
      </c>
      <c r="B6" s="34" t="s">
        <v>117</v>
      </c>
      <c r="C6" s="34" t="s">
        <v>118</v>
      </c>
      <c r="D6" s="35">
        <v>2.0</v>
      </c>
      <c r="E6" s="36">
        <v>8.0</v>
      </c>
      <c r="F6" s="36">
        <v>1.0</v>
      </c>
      <c r="G6" s="36">
        <v>9.0</v>
      </c>
      <c r="H6" s="36">
        <v>0.777777777777777</v>
      </c>
      <c r="I6" s="37" t="b">
        <v>0</v>
      </c>
      <c r="J6" s="12" t="s">
        <v>319</v>
      </c>
      <c r="K6" s="13" t="s">
        <v>320</v>
      </c>
    </row>
    <row r="7">
      <c r="A7" s="34" t="s">
        <v>328</v>
      </c>
      <c r="B7" s="34" t="s">
        <v>69</v>
      </c>
      <c r="C7" s="34" t="s">
        <v>70</v>
      </c>
      <c r="D7" s="35">
        <v>2.0</v>
      </c>
      <c r="E7" s="36">
        <v>6.0</v>
      </c>
      <c r="F7" s="36">
        <v>3.0</v>
      </c>
      <c r="G7" s="36">
        <v>9.0</v>
      </c>
      <c r="H7" s="36">
        <v>0.333333333333333</v>
      </c>
      <c r="I7" s="37" t="b">
        <v>0</v>
      </c>
      <c r="J7" s="12" t="s">
        <v>329</v>
      </c>
      <c r="K7" s="13" t="s">
        <v>320</v>
      </c>
    </row>
    <row r="8">
      <c r="A8" s="34" t="s">
        <v>330</v>
      </c>
      <c r="B8" s="34" t="s">
        <v>267</v>
      </c>
      <c r="C8" s="34" t="s">
        <v>268</v>
      </c>
      <c r="D8" s="35">
        <v>2.0</v>
      </c>
      <c r="E8" s="36">
        <v>9.0</v>
      </c>
      <c r="F8" s="36">
        <v>0.0</v>
      </c>
      <c r="G8" s="36">
        <v>9.0</v>
      </c>
      <c r="H8" s="36">
        <v>1.0</v>
      </c>
      <c r="I8" s="37" t="b">
        <v>0</v>
      </c>
      <c r="J8" s="12" t="s">
        <v>326</v>
      </c>
      <c r="K8" s="13" t="s">
        <v>320</v>
      </c>
    </row>
    <row r="9">
      <c r="A9" s="34" t="s">
        <v>318</v>
      </c>
      <c r="B9" s="34" t="s">
        <v>94</v>
      </c>
      <c r="C9" s="34" t="s">
        <v>95</v>
      </c>
      <c r="D9" s="35">
        <v>2.0</v>
      </c>
      <c r="E9" s="36">
        <v>6.0</v>
      </c>
      <c r="F9" s="36">
        <v>4.0</v>
      </c>
      <c r="G9" s="36">
        <v>10.0</v>
      </c>
      <c r="H9" s="36">
        <v>0.2</v>
      </c>
      <c r="I9" s="37" t="b">
        <v>0</v>
      </c>
      <c r="J9" s="12" t="s">
        <v>324</v>
      </c>
      <c r="K9" s="13" t="s">
        <v>320</v>
      </c>
    </row>
    <row r="10">
      <c r="A10" s="34" t="s">
        <v>331</v>
      </c>
      <c r="B10" s="34" t="s">
        <v>171</v>
      </c>
      <c r="C10" s="34" t="s">
        <v>172</v>
      </c>
      <c r="D10" s="35">
        <v>2.0</v>
      </c>
      <c r="E10" s="36">
        <v>98.0</v>
      </c>
      <c r="F10" s="36">
        <v>882.0</v>
      </c>
      <c r="G10" s="36">
        <v>980.0</v>
      </c>
      <c r="H10" s="36">
        <v>0.8</v>
      </c>
      <c r="I10" s="37" t="b">
        <v>1</v>
      </c>
      <c r="J10" s="12" t="s">
        <v>319</v>
      </c>
      <c r="K10" s="13" t="s">
        <v>320</v>
      </c>
    </row>
    <row r="11">
      <c r="A11" s="34" t="s">
        <v>332</v>
      </c>
      <c r="B11" s="34" t="s">
        <v>253</v>
      </c>
      <c r="C11" s="34" t="s">
        <v>254</v>
      </c>
      <c r="D11" s="35">
        <v>2.0</v>
      </c>
      <c r="E11" s="36">
        <v>4.0</v>
      </c>
      <c r="F11" s="36">
        <v>7.0</v>
      </c>
      <c r="G11" s="36">
        <v>11.0</v>
      </c>
      <c r="H11" s="36">
        <v>0.272727272727272</v>
      </c>
      <c r="I11" s="37" t="b">
        <v>1</v>
      </c>
      <c r="J11" s="12" t="s">
        <v>329</v>
      </c>
      <c r="K11" s="13" t="s">
        <v>320</v>
      </c>
    </row>
    <row r="12">
      <c r="A12" s="34" t="s">
        <v>333</v>
      </c>
      <c r="B12" s="34" t="s">
        <v>149</v>
      </c>
      <c r="C12" s="34" t="s">
        <v>150</v>
      </c>
      <c r="D12" s="35">
        <v>2.0</v>
      </c>
      <c r="E12" s="36">
        <v>9.0</v>
      </c>
      <c r="F12" s="36">
        <v>0.0</v>
      </c>
      <c r="G12" s="36">
        <v>9.0</v>
      </c>
      <c r="H12" s="36">
        <v>1.0</v>
      </c>
      <c r="I12" s="37" t="b">
        <v>0</v>
      </c>
      <c r="J12" s="12" t="s">
        <v>326</v>
      </c>
      <c r="K12" s="13" t="s">
        <v>320</v>
      </c>
    </row>
    <row r="13">
      <c r="A13" s="34" t="s">
        <v>334</v>
      </c>
      <c r="B13" s="34" t="s">
        <v>156</v>
      </c>
      <c r="C13" s="34" t="s">
        <v>157</v>
      </c>
      <c r="D13" s="35">
        <v>2.0</v>
      </c>
      <c r="E13" s="36">
        <v>1.0</v>
      </c>
      <c r="F13" s="36">
        <v>9.0</v>
      </c>
      <c r="G13" s="36">
        <v>10.0</v>
      </c>
      <c r="H13" s="36">
        <v>0.8</v>
      </c>
      <c r="I13" s="37" t="b">
        <v>1</v>
      </c>
      <c r="J13" s="12" t="s">
        <v>319</v>
      </c>
      <c r="K13" s="13" t="s">
        <v>320</v>
      </c>
    </row>
    <row r="14">
      <c r="A14" s="34" t="s">
        <v>335</v>
      </c>
      <c r="B14" s="34" t="s">
        <v>257</v>
      </c>
      <c r="C14" s="34" t="s">
        <v>258</v>
      </c>
      <c r="D14" s="35">
        <v>2.0</v>
      </c>
      <c r="E14" s="36">
        <v>3.0</v>
      </c>
      <c r="F14" s="36">
        <v>8.0</v>
      </c>
      <c r="G14" s="36">
        <v>11.0</v>
      </c>
      <c r="H14" s="36">
        <v>0.454545454545454</v>
      </c>
      <c r="I14" s="37" t="b">
        <v>1</v>
      </c>
      <c r="J14" s="12" t="s">
        <v>322</v>
      </c>
      <c r="K14" s="13" t="s">
        <v>320</v>
      </c>
    </row>
    <row r="15">
      <c r="A15" s="34" t="s">
        <v>336</v>
      </c>
      <c r="B15" s="34" t="s">
        <v>269</v>
      </c>
      <c r="C15" s="34" t="s">
        <v>270</v>
      </c>
      <c r="D15" s="35">
        <v>2.0</v>
      </c>
      <c r="E15" s="36">
        <v>5.0</v>
      </c>
      <c r="F15" s="36">
        <v>4.0</v>
      </c>
      <c r="G15" s="36">
        <v>9.0</v>
      </c>
      <c r="H15" s="36">
        <v>0.111111111111111</v>
      </c>
      <c r="I15" s="37" t="b">
        <v>0</v>
      </c>
      <c r="J15" s="12" t="s">
        <v>324</v>
      </c>
      <c r="K15" s="13" t="s">
        <v>320</v>
      </c>
    </row>
    <row r="16">
      <c r="A16" s="34" t="s">
        <v>337</v>
      </c>
      <c r="B16" s="34" t="s">
        <v>162</v>
      </c>
      <c r="C16" s="34" t="s">
        <v>163</v>
      </c>
      <c r="D16" s="35">
        <v>2.0</v>
      </c>
      <c r="E16" s="36">
        <v>7.0</v>
      </c>
      <c r="F16" s="36">
        <v>2.0</v>
      </c>
      <c r="G16" s="36">
        <v>9.0</v>
      </c>
      <c r="H16" s="36">
        <v>0.555555555555555</v>
      </c>
      <c r="I16" s="37" t="b">
        <v>0</v>
      </c>
      <c r="J16" s="12" t="s">
        <v>322</v>
      </c>
      <c r="K16" s="13" t="s">
        <v>320</v>
      </c>
    </row>
    <row r="17">
      <c r="A17" s="34" t="s">
        <v>338</v>
      </c>
      <c r="B17" s="34" t="s">
        <v>217</v>
      </c>
      <c r="C17" s="34" t="s">
        <v>218</v>
      </c>
      <c r="D17" s="35">
        <v>2.0</v>
      </c>
      <c r="E17" s="36">
        <v>8.0</v>
      </c>
      <c r="F17" s="36">
        <v>1.0</v>
      </c>
      <c r="G17" s="36">
        <v>9.0</v>
      </c>
      <c r="H17" s="36">
        <v>0.777777777777777</v>
      </c>
      <c r="I17" s="37" t="b">
        <v>0</v>
      </c>
      <c r="J17" s="12" t="s">
        <v>319</v>
      </c>
      <c r="K17" s="13" t="s">
        <v>320</v>
      </c>
    </row>
    <row r="18">
      <c r="A18" s="34" t="s">
        <v>339</v>
      </c>
      <c r="B18" s="34" t="s">
        <v>213</v>
      </c>
      <c r="C18" s="34" t="s">
        <v>214</v>
      </c>
      <c r="D18" s="35">
        <v>2.0</v>
      </c>
      <c r="E18" s="36">
        <v>8.0</v>
      </c>
      <c r="F18" s="36">
        <v>1.0</v>
      </c>
      <c r="G18" s="36">
        <v>9.0</v>
      </c>
      <c r="H18" s="36">
        <v>0.777777777777777</v>
      </c>
      <c r="I18" s="37" t="b">
        <v>0</v>
      </c>
      <c r="J18" s="12" t="s">
        <v>319</v>
      </c>
      <c r="K18" s="13" t="s">
        <v>320</v>
      </c>
    </row>
    <row r="19">
      <c r="A19" s="34" t="s">
        <v>340</v>
      </c>
      <c r="B19" s="34" t="s">
        <v>131</v>
      </c>
      <c r="C19" s="34" t="s">
        <v>132</v>
      </c>
      <c r="D19" s="35">
        <v>2.0</v>
      </c>
      <c r="E19" s="36">
        <v>7.0</v>
      </c>
      <c r="F19" s="36">
        <v>3.0</v>
      </c>
      <c r="G19" s="36">
        <v>10.0</v>
      </c>
      <c r="H19" s="36">
        <v>0.4</v>
      </c>
      <c r="I19" s="37" t="b">
        <v>0</v>
      </c>
      <c r="J19" s="12" t="s">
        <v>329</v>
      </c>
      <c r="K19" s="13" t="s">
        <v>320</v>
      </c>
    </row>
    <row r="20">
      <c r="A20" s="34" t="s">
        <v>341</v>
      </c>
      <c r="B20" s="34" t="s">
        <v>283</v>
      </c>
      <c r="C20" s="34" t="s">
        <v>284</v>
      </c>
      <c r="D20" s="35">
        <v>2.0</v>
      </c>
      <c r="E20" s="36">
        <v>0.0</v>
      </c>
      <c r="F20" s="36">
        <v>10.0</v>
      </c>
      <c r="G20" s="36">
        <v>10.0</v>
      </c>
      <c r="H20" s="36">
        <v>1.0</v>
      </c>
      <c r="I20" s="37" t="b">
        <v>1</v>
      </c>
      <c r="J20" s="12" t="s">
        <v>326</v>
      </c>
      <c r="K20" s="13" t="s">
        <v>320</v>
      </c>
    </row>
    <row r="21">
      <c r="A21" s="34" t="s">
        <v>342</v>
      </c>
      <c r="B21" s="34" t="s">
        <v>199</v>
      </c>
      <c r="C21" s="34" t="s">
        <v>200</v>
      </c>
      <c r="D21" s="35">
        <v>2.0</v>
      </c>
      <c r="E21" s="36">
        <v>4.0</v>
      </c>
      <c r="F21" s="36">
        <v>5.0</v>
      </c>
      <c r="G21" s="36">
        <v>9.0</v>
      </c>
      <c r="H21" s="36">
        <v>0.111111111111111</v>
      </c>
      <c r="I21" s="37" t="b">
        <v>1</v>
      </c>
      <c r="J21" s="12" t="s">
        <v>324</v>
      </c>
      <c r="K21" s="13" t="s">
        <v>320</v>
      </c>
    </row>
    <row r="22">
      <c r="A22" s="34" t="s">
        <v>343</v>
      </c>
      <c r="B22" s="34" t="s">
        <v>227</v>
      </c>
      <c r="C22" s="34" t="s">
        <v>228</v>
      </c>
      <c r="D22" s="35">
        <v>2.0</v>
      </c>
      <c r="E22" s="36">
        <v>9.0</v>
      </c>
      <c r="F22" s="36">
        <v>0.0</v>
      </c>
      <c r="G22" s="36">
        <v>9.0</v>
      </c>
      <c r="H22" s="36">
        <v>1.0</v>
      </c>
      <c r="I22" s="37" t="b">
        <v>0</v>
      </c>
      <c r="J22" s="12" t="s">
        <v>326</v>
      </c>
      <c r="K22" s="13" t="s">
        <v>320</v>
      </c>
    </row>
    <row r="23">
      <c r="A23" s="34" t="s">
        <v>344</v>
      </c>
      <c r="B23" s="34" t="s">
        <v>238</v>
      </c>
      <c r="C23" s="34" t="s">
        <v>239</v>
      </c>
      <c r="D23" s="35">
        <v>2.0</v>
      </c>
      <c r="E23" s="36">
        <v>3.0</v>
      </c>
      <c r="F23" s="36">
        <v>7.0</v>
      </c>
      <c r="G23" s="36">
        <v>10.0</v>
      </c>
      <c r="H23" s="36">
        <v>0.4</v>
      </c>
      <c r="I23" s="37" t="b">
        <v>1</v>
      </c>
      <c r="J23" s="12" t="s">
        <v>329</v>
      </c>
      <c r="K23" s="13" t="s">
        <v>320</v>
      </c>
    </row>
    <row r="24">
      <c r="A24" s="34" t="s">
        <v>345</v>
      </c>
      <c r="B24" s="34" t="s">
        <v>209</v>
      </c>
      <c r="C24" s="34" t="s">
        <v>210</v>
      </c>
      <c r="D24" s="35">
        <v>2.0</v>
      </c>
      <c r="E24" s="36">
        <v>9.0</v>
      </c>
      <c r="F24" s="36">
        <v>0.0</v>
      </c>
      <c r="G24" s="36">
        <v>9.0</v>
      </c>
      <c r="H24" s="36">
        <v>1.0</v>
      </c>
      <c r="I24" s="37" t="b">
        <v>0</v>
      </c>
      <c r="J24" s="12" t="s">
        <v>326</v>
      </c>
      <c r="K24" s="13" t="s">
        <v>320</v>
      </c>
    </row>
    <row r="25">
      <c r="A25" s="34" t="s">
        <v>321</v>
      </c>
      <c r="B25" s="34" t="s">
        <v>180</v>
      </c>
      <c r="C25" s="34" t="s">
        <v>181</v>
      </c>
      <c r="D25" s="35">
        <v>2.0</v>
      </c>
      <c r="E25" s="36">
        <v>2.0</v>
      </c>
      <c r="F25" s="36">
        <v>8.0</v>
      </c>
      <c r="G25" s="36">
        <v>10.0</v>
      </c>
      <c r="H25" s="36">
        <v>0.6</v>
      </c>
      <c r="I25" s="37" t="b">
        <v>1</v>
      </c>
      <c r="J25" s="12" t="s">
        <v>322</v>
      </c>
      <c r="K25" s="13" t="s">
        <v>320</v>
      </c>
    </row>
    <row r="26">
      <c r="A26" s="34" t="s">
        <v>341</v>
      </c>
      <c r="B26" s="34" t="s">
        <v>229</v>
      </c>
      <c r="C26" s="34" t="s">
        <v>230</v>
      </c>
      <c r="D26" s="35">
        <v>2.0</v>
      </c>
      <c r="E26" s="36">
        <v>4.0</v>
      </c>
      <c r="F26" s="36">
        <v>6.0</v>
      </c>
      <c r="G26" s="36">
        <v>10.0</v>
      </c>
      <c r="H26" s="36">
        <v>0.2</v>
      </c>
      <c r="I26" s="37" t="b">
        <v>1</v>
      </c>
      <c r="J26" s="12" t="s">
        <v>324</v>
      </c>
      <c r="K26" s="13" t="s">
        <v>320</v>
      </c>
    </row>
    <row r="27">
      <c r="A27" s="34" t="s">
        <v>346</v>
      </c>
      <c r="B27" s="34" t="s">
        <v>205</v>
      </c>
      <c r="C27" s="34" t="s">
        <v>206</v>
      </c>
      <c r="D27" s="35">
        <v>2.0</v>
      </c>
      <c r="E27" s="36">
        <v>8.0</v>
      </c>
      <c r="F27" s="36">
        <v>1.0</v>
      </c>
      <c r="G27" s="36">
        <v>9.0</v>
      </c>
      <c r="H27" s="36">
        <v>0.777777777777777</v>
      </c>
      <c r="I27" s="37" t="b">
        <v>0</v>
      </c>
      <c r="J27" s="12" t="s">
        <v>319</v>
      </c>
      <c r="K27" s="13" t="s">
        <v>320</v>
      </c>
    </row>
    <row r="28">
      <c r="A28" s="34" t="s">
        <v>347</v>
      </c>
      <c r="B28" s="34" t="s">
        <v>80</v>
      </c>
      <c r="C28" s="34" t="s">
        <v>81</v>
      </c>
      <c r="D28" s="35">
        <v>2.0</v>
      </c>
      <c r="E28" s="36">
        <v>6.0</v>
      </c>
      <c r="F28" s="36">
        <v>4.0</v>
      </c>
      <c r="G28" s="36">
        <v>10.0</v>
      </c>
      <c r="H28" s="36">
        <v>0.2</v>
      </c>
      <c r="I28" s="37" t="b">
        <v>0</v>
      </c>
      <c r="J28" s="12" t="s">
        <v>324</v>
      </c>
      <c r="K28" s="13" t="s">
        <v>320</v>
      </c>
    </row>
    <row r="29">
      <c r="A29" s="34" t="s">
        <v>328</v>
      </c>
      <c r="B29" s="34" t="s">
        <v>251</v>
      </c>
      <c r="C29" s="34" t="s">
        <v>252</v>
      </c>
      <c r="D29" s="35">
        <v>2.0</v>
      </c>
      <c r="E29" s="36">
        <v>0.0</v>
      </c>
      <c r="F29" s="36">
        <v>10.0</v>
      </c>
      <c r="G29" s="36">
        <v>10.0</v>
      </c>
      <c r="H29" s="36">
        <v>1.0</v>
      </c>
      <c r="I29" s="37" t="b">
        <v>1</v>
      </c>
      <c r="J29" s="12" t="s">
        <v>326</v>
      </c>
      <c r="K29" s="13" t="s">
        <v>320</v>
      </c>
    </row>
    <row r="30">
      <c r="A30" s="34" t="s">
        <v>345</v>
      </c>
      <c r="B30" s="34" t="s">
        <v>240</v>
      </c>
      <c r="C30" s="34" t="s">
        <v>241</v>
      </c>
      <c r="D30" s="35">
        <v>2.0</v>
      </c>
      <c r="E30" s="36">
        <v>3.0</v>
      </c>
      <c r="F30" s="36">
        <v>7.0</v>
      </c>
      <c r="G30" s="36">
        <v>10.0</v>
      </c>
      <c r="H30" s="36">
        <v>0.4</v>
      </c>
      <c r="I30" s="37" t="b">
        <v>1</v>
      </c>
      <c r="J30" s="12" t="s">
        <v>329</v>
      </c>
      <c r="K30" s="13" t="s">
        <v>320</v>
      </c>
    </row>
    <row r="31">
      <c r="A31" s="34" t="s">
        <v>344</v>
      </c>
      <c r="B31" s="34" t="s">
        <v>194</v>
      </c>
      <c r="C31" s="34" t="s">
        <v>195</v>
      </c>
      <c r="D31" s="35">
        <v>2.0</v>
      </c>
      <c r="E31" s="36">
        <v>4.0</v>
      </c>
      <c r="F31" s="36">
        <v>5.0</v>
      </c>
      <c r="G31" s="36">
        <v>9.0</v>
      </c>
      <c r="H31" s="36">
        <v>0.111111111111111</v>
      </c>
      <c r="I31" s="37" t="b">
        <v>1</v>
      </c>
      <c r="J31" s="12" t="s">
        <v>324</v>
      </c>
      <c r="K31" s="13" t="s">
        <v>320</v>
      </c>
    </row>
    <row r="32">
      <c r="A32" s="34" t="s">
        <v>346</v>
      </c>
      <c r="B32" s="34" t="s">
        <v>201</v>
      </c>
      <c r="C32" s="34" t="s">
        <v>202</v>
      </c>
      <c r="D32" s="35">
        <v>2.0</v>
      </c>
      <c r="E32" s="36">
        <v>8.0</v>
      </c>
      <c r="F32" s="36">
        <v>2.0</v>
      </c>
      <c r="G32" s="36">
        <v>10.0</v>
      </c>
      <c r="H32" s="36">
        <v>0.6</v>
      </c>
      <c r="I32" s="37" t="b">
        <v>0</v>
      </c>
      <c r="J32" s="12" t="s">
        <v>322</v>
      </c>
      <c r="K32" s="13" t="s">
        <v>320</v>
      </c>
    </row>
    <row r="33">
      <c r="A33" s="34" t="s">
        <v>330</v>
      </c>
      <c r="B33" s="34" t="s">
        <v>271</v>
      </c>
      <c r="C33" s="34" t="s">
        <v>272</v>
      </c>
      <c r="D33" s="35">
        <v>2.0</v>
      </c>
      <c r="E33" s="36">
        <v>6.0</v>
      </c>
      <c r="F33" s="36">
        <v>3.0</v>
      </c>
      <c r="G33" s="36">
        <v>9.0</v>
      </c>
      <c r="H33" s="36">
        <v>0.333333333333333</v>
      </c>
      <c r="I33" s="37" t="b">
        <v>0</v>
      </c>
      <c r="J33" s="12" t="s">
        <v>329</v>
      </c>
      <c r="K33" s="13" t="s">
        <v>320</v>
      </c>
    </row>
    <row r="34">
      <c r="A34" s="34" t="s">
        <v>344</v>
      </c>
      <c r="B34" s="34" t="s">
        <v>247</v>
      </c>
      <c r="C34" s="34" t="s">
        <v>248</v>
      </c>
      <c r="D34" s="35">
        <v>2.0</v>
      </c>
      <c r="E34" s="36">
        <v>7.0</v>
      </c>
      <c r="F34" s="36">
        <v>2.0</v>
      </c>
      <c r="G34" s="36">
        <v>9.0</v>
      </c>
      <c r="H34" s="36">
        <v>0.555555555555555</v>
      </c>
      <c r="I34" s="37" t="b">
        <v>0</v>
      </c>
      <c r="J34" s="12" t="s">
        <v>322</v>
      </c>
      <c r="K34" s="13" t="s">
        <v>320</v>
      </c>
    </row>
    <row r="35">
      <c r="A35" s="34" t="s">
        <v>348</v>
      </c>
      <c r="B35" s="34" t="s">
        <v>211</v>
      </c>
      <c r="C35" s="34" t="s">
        <v>212</v>
      </c>
      <c r="D35" s="35">
        <v>2.0</v>
      </c>
      <c r="E35" s="36">
        <v>6.0</v>
      </c>
      <c r="F35" s="36">
        <v>3.0</v>
      </c>
      <c r="G35" s="36">
        <v>9.0</v>
      </c>
      <c r="H35" s="36">
        <v>0.333333333333333</v>
      </c>
      <c r="I35" s="37" t="b">
        <v>0</v>
      </c>
      <c r="J35" s="12" t="s">
        <v>329</v>
      </c>
      <c r="K35" s="13" t="s">
        <v>320</v>
      </c>
    </row>
    <row r="36">
      <c r="A36" s="34" t="s">
        <v>345</v>
      </c>
      <c r="B36" s="34" t="s">
        <v>114</v>
      </c>
      <c r="C36" s="34" t="s">
        <v>115</v>
      </c>
      <c r="D36" s="35">
        <v>2.0</v>
      </c>
      <c r="E36" s="36">
        <v>3.0</v>
      </c>
      <c r="F36" s="36">
        <v>7.0</v>
      </c>
      <c r="G36" s="36">
        <v>10.0</v>
      </c>
      <c r="H36" s="36">
        <v>0.4</v>
      </c>
      <c r="I36" s="37" t="b">
        <v>1</v>
      </c>
      <c r="J36" s="12" t="s">
        <v>329</v>
      </c>
      <c r="K36" s="13" t="s">
        <v>320</v>
      </c>
    </row>
    <row r="37">
      <c r="A37" s="34" t="s">
        <v>349</v>
      </c>
      <c r="B37" s="34" t="s">
        <v>242</v>
      </c>
      <c r="C37" s="34" t="s">
        <v>243</v>
      </c>
      <c r="D37" s="35">
        <v>2.0</v>
      </c>
      <c r="E37" s="36">
        <v>6.0</v>
      </c>
      <c r="F37" s="36">
        <v>4.0</v>
      </c>
      <c r="G37" s="36">
        <v>10.0</v>
      </c>
      <c r="H37" s="36">
        <v>0.2</v>
      </c>
      <c r="I37" s="37" t="b">
        <v>0</v>
      </c>
      <c r="J37" s="12" t="s">
        <v>324</v>
      </c>
      <c r="K37" s="13" t="s">
        <v>320</v>
      </c>
    </row>
    <row r="38">
      <c r="A38" s="34" t="s">
        <v>350</v>
      </c>
      <c r="B38" s="34" t="s">
        <v>124</v>
      </c>
      <c r="C38" s="34" t="s">
        <v>125</v>
      </c>
      <c r="D38" s="35">
        <v>2.0</v>
      </c>
      <c r="E38" s="36">
        <v>6.0</v>
      </c>
      <c r="F38" s="36">
        <v>3.0</v>
      </c>
      <c r="G38" s="36">
        <v>9.0</v>
      </c>
      <c r="H38" s="36">
        <v>0.333333333333333</v>
      </c>
      <c r="I38" s="37" t="b">
        <v>0</v>
      </c>
      <c r="J38" s="12" t="s">
        <v>329</v>
      </c>
      <c r="K38" s="13" t="s">
        <v>320</v>
      </c>
    </row>
    <row r="39">
      <c r="A39" s="34" t="s">
        <v>351</v>
      </c>
      <c r="B39" s="34" t="s">
        <v>168</v>
      </c>
      <c r="C39" s="34" t="s">
        <v>169</v>
      </c>
      <c r="D39" s="35">
        <v>2.0</v>
      </c>
      <c r="E39" s="36">
        <v>4.0</v>
      </c>
      <c r="F39" s="36">
        <v>6.0</v>
      </c>
      <c r="G39" s="36">
        <v>10.0</v>
      </c>
      <c r="H39" s="36">
        <v>0.2</v>
      </c>
      <c r="I39" s="37" t="b">
        <v>1</v>
      </c>
      <c r="J39" s="12" t="s">
        <v>324</v>
      </c>
      <c r="K39" s="13" t="s">
        <v>320</v>
      </c>
    </row>
    <row r="40">
      <c r="A40" s="34" t="s">
        <v>341</v>
      </c>
      <c r="B40" s="34" t="s">
        <v>166</v>
      </c>
      <c r="C40" s="34" t="s">
        <v>167</v>
      </c>
      <c r="D40" s="35">
        <v>2.0</v>
      </c>
      <c r="E40" s="36">
        <v>3.0</v>
      </c>
      <c r="F40" s="36">
        <v>8.0</v>
      </c>
      <c r="G40" s="36">
        <v>11.0</v>
      </c>
      <c r="H40" s="36">
        <v>0.454545454545454</v>
      </c>
      <c r="I40" s="37" t="b">
        <v>1</v>
      </c>
      <c r="J40" s="12" t="s">
        <v>322</v>
      </c>
      <c r="K40" s="13" t="s">
        <v>320</v>
      </c>
    </row>
    <row r="41">
      <c r="A41" s="34" t="s">
        <v>352</v>
      </c>
      <c r="B41" s="34" t="s">
        <v>78</v>
      </c>
      <c r="C41" s="34" t="s">
        <v>79</v>
      </c>
      <c r="D41" s="35">
        <v>2.0</v>
      </c>
      <c r="E41" s="36">
        <v>3.0</v>
      </c>
      <c r="F41" s="36">
        <v>7.0</v>
      </c>
      <c r="G41" s="36">
        <v>10.0</v>
      </c>
      <c r="H41" s="36">
        <v>0.4</v>
      </c>
      <c r="I41" s="37" t="b">
        <v>1</v>
      </c>
      <c r="J41" s="12" t="s">
        <v>329</v>
      </c>
      <c r="K41" s="13" t="s">
        <v>320</v>
      </c>
    </row>
    <row r="42">
      <c r="A42" s="34" t="s">
        <v>353</v>
      </c>
      <c r="B42" s="34" t="s">
        <v>84</v>
      </c>
      <c r="C42" s="34" t="s">
        <v>85</v>
      </c>
      <c r="D42" s="35">
        <v>2.0</v>
      </c>
      <c r="E42" s="36">
        <v>1.0</v>
      </c>
      <c r="F42" s="36">
        <v>9.0</v>
      </c>
      <c r="G42" s="36">
        <v>10.0</v>
      </c>
      <c r="H42" s="36">
        <v>0.8</v>
      </c>
      <c r="I42" s="37" t="b">
        <v>1</v>
      </c>
      <c r="J42" s="12" t="s">
        <v>319</v>
      </c>
      <c r="K42" s="13" t="s">
        <v>320</v>
      </c>
    </row>
    <row r="43">
      <c r="A43" s="34" t="s">
        <v>338</v>
      </c>
      <c r="B43" s="34" t="s">
        <v>192</v>
      </c>
      <c r="C43" s="34" t="s">
        <v>193</v>
      </c>
      <c r="D43" s="35">
        <v>2.0</v>
      </c>
      <c r="E43" s="36">
        <v>4.0</v>
      </c>
      <c r="F43" s="36">
        <v>6.0</v>
      </c>
      <c r="G43" s="36">
        <v>10.0</v>
      </c>
      <c r="H43" s="36">
        <v>0.2</v>
      </c>
      <c r="I43" s="37" t="b">
        <v>1</v>
      </c>
      <c r="J43" s="12" t="s">
        <v>324</v>
      </c>
      <c r="K43" s="13" t="s">
        <v>320</v>
      </c>
    </row>
    <row r="44">
      <c r="A44" s="34" t="s">
        <v>354</v>
      </c>
      <c r="B44" s="34" t="s">
        <v>244</v>
      </c>
      <c r="C44" s="34" t="s">
        <v>245</v>
      </c>
      <c r="D44" s="35">
        <v>2.0</v>
      </c>
      <c r="E44" s="36">
        <v>1.0</v>
      </c>
      <c r="F44" s="36">
        <v>9.0</v>
      </c>
      <c r="G44" s="36">
        <v>10.0</v>
      </c>
      <c r="H44" s="36">
        <v>0.8</v>
      </c>
      <c r="I44" s="37" t="b">
        <v>1</v>
      </c>
      <c r="J44" s="12" t="s">
        <v>319</v>
      </c>
      <c r="K44" s="13" t="s">
        <v>320</v>
      </c>
    </row>
    <row r="45">
      <c r="A45" s="34" t="s">
        <v>348</v>
      </c>
      <c r="B45" s="34" t="s">
        <v>99</v>
      </c>
      <c r="C45" s="34" t="s">
        <v>100</v>
      </c>
      <c r="D45" s="35">
        <v>2.0</v>
      </c>
      <c r="E45" s="36">
        <v>1.0</v>
      </c>
      <c r="F45" s="36">
        <v>11.0</v>
      </c>
      <c r="G45" s="36">
        <v>12.0</v>
      </c>
      <c r="H45" s="36">
        <v>0.833333333333333</v>
      </c>
      <c r="I45" s="37" t="b">
        <v>1</v>
      </c>
      <c r="J45" s="12" t="s">
        <v>326</v>
      </c>
      <c r="K45" s="13" t="s">
        <v>320</v>
      </c>
    </row>
    <row r="46">
      <c r="A46" s="34" t="s">
        <v>355</v>
      </c>
      <c r="B46" s="34" t="s">
        <v>160</v>
      </c>
      <c r="C46" s="34" t="s">
        <v>161</v>
      </c>
      <c r="D46" s="35">
        <v>2.0</v>
      </c>
      <c r="E46" s="36">
        <v>1.0</v>
      </c>
      <c r="F46" s="36">
        <v>9.0</v>
      </c>
      <c r="G46" s="36">
        <v>10.0</v>
      </c>
      <c r="H46" s="36">
        <v>0.8</v>
      </c>
      <c r="I46" s="37" t="b">
        <v>1</v>
      </c>
      <c r="J46" s="12" t="s">
        <v>319</v>
      </c>
      <c r="K46" s="13" t="s">
        <v>320</v>
      </c>
    </row>
    <row r="47">
      <c r="A47" s="34" t="s">
        <v>355</v>
      </c>
      <c r="B47" s="34" t="s">
        <v>143</v>
      </c>
      <c r="C47" s="34" t="s">
        <v>144</v>
      </c>
      <c r="D47" s="35">
        <v>2.0</v>
      </c>
      <c r="E47" s="36">
        <v>0.0</v>
      </c>
      <c r="F47" s="36">
        <v>10.0</v>
      </c>
      <c r="G47" s="36">
        <v>10.0</v>
      </c>
      <c r="H47" s="36">
        <v>1.0</v>
      </c>
      <c r="I47" s="37" t="b">
        <v>1</v>
      </c>
      <c r="J47" s="12" t="s">
        <v>326</v>
      </c>
      <c r="K47" s="13" t="s">
        <v>320</v>
      </c>
    </row>
    <row r="48">
      <c r="A48" s="34" t="s">
        <v>351</v>
      </c>
      <c r="B48" s="34" t="s">
        <v>104</v>
      </c>
      <c r="C48" s="34" t="s">
        <v>105</v>
      </c>
      <c r="D48" s="35">
        <v>2.0</v>
      </c>
      <c r="E48" s="36">
        <v>2.0</v>
      </c>
      <c r="F48" s="36">
        <v>8.0</v>
      </c>
      <c r="G48" s="36">
        <v>10.0</v>
      </c>
      <c r="H48" s="36">
        <v>0.6</v>
      </c>
      <c r="I48" s="37" t="b">
        <v>1</v>
      </c>
      <c r="J48" s="12" t="s">
        <v>322</v>
      </c>
      <c r="K48" s="13" t="s">
        <v>320</v>
      </c>
    </row>
    <row r="49">
      <c r="A49" s="34" t="s">
        <v>356</v>
      </c>
      <c r="B49" s="34" t="s">
        <v>122</v>
      </c>
      <c r="C49" s="34" t="s">
        <v>123</v>
      </c>
      <c r="D49" s="35">
        <v>2.0</v>
      </c>
      <c r="E49" s="36">
        <v>7.0</v>
      </c>
      <c r="F49" s="36">
        <v>2.0</v>
      </c>
      <c r="G49" s="36">
        <v>9.0</v>
      </c>
      <c r="H49" s="36">
        <v>0.555555555555555</v>
      </c>
      <c r="I49" s="37" t="b">
        <v>0</v>
      </c>
      <c r="J49" s="12" t="s">
        <v>322</v>
      </c>
      <c r="K49" s="13" t="s">
        <v>320</v>
      </c>
    </row>
    <row r="50">
      <c r="A50" s="34" t="s">
        <v>345</v>
      </c>
      <c r="B50" s="34" t="s">
        <v>178</v>
      </c>
      <c r="C50" s="34" t="s">
        <v>179</v>
      </c>
      <c r="D50" s="35">
        <v>2.0</v>
      </c>
      <c r="E50" s="36">
        <v>0.0</v>
      </c>
      <c r="F50" s="36">
        <v>10.0</v>
      </c>
      <c r="G50" s="36">
        <v>10.0</v>
      </c>
      <c r="H50" s="36">
        <v>1.0</v>
      </c>
      <c r="I50" s="37" t="b">
        <v>1</v>
      </c>
      <c r="J50" s="12" t="s">
        <v>326</v>
      </c>
      <c r="K50" s="13" t="s">
        <v>320</v>
      </c>
    </row>
    <row r="51">
      <c r="A51" s="34" t="s">
        <v>357</v>
      </c>
      <c r="B51" s="34" t="s">
        <v>139</v>
      </c>
      <c r="C51" s="34" t="s">
        <v>140</v>
      </c>
      <c r="D51" s="35">
        <v>2.0</v>
      </c>
      <c r="E51" s="36">
        <v>7.0</v>
      </c>
      <c r="F51" s="36">
        <v>2.0</v>
      </c>
      <c r="G51" s="36">
        <v>9.0</v>
      </c>
      <c r="H51" s="36">
        <v>0.555555555555555</v>
      </c>
      <c r="I51" s="37" t="b">
        <v>0</v>
      </c>
      <c r="J51" s="12" t="s">
        <v>322</v>
      </c>
      <c r="K51" s="13" t="s">
        <v>320</v>
      </c>
    </row>
    <row r="52">
      <c r="A52" s="34" t="s">
        <v>358</v>
      </c>
      <c r="B52" s="34" t="s">
        <v>71</v>
      </c>
      <c r="C52" s="34" t="s">
        <v>72</v>
      </c>
      <c r="D52" s="35">
        <v>2.0</v>
      </c>
      <c r="E52" s="36">
        <v>3.0</v>
      </c>
      <c r="F52" s="36">
        <v>0.0</v>
      </c>
      <c r="G52" s="36">
        <v>3.0</v>
      </c>
      <c r="H52" s="36">
        <v>1.0</v>
      </c>
      <c r="I52" s="37" t="b">
        <v>0</v>
      </c>
      <c r="J52" s="12" t="s">
        <v>326</v>
      </c>
      <c r="K52" s="12" t="s">
        <v>359</v>
      </c>
    </row>
    <row r="53">
      <c r="A53" s="34" t="s">
        <v>360</v>
      </c>
      <c r="B53" s="34" t="s">
        <v>188</v>
      </c>
      <c r="C53" s="34" t="s">
        <v>189</v>
      </c>
      <c r="D53" s="35">
        <v>2.0</v>
      </c>
      <c r="E53" s="36">
        <v>8.0</v>
      </c>
      <c r="F53" s="36">
        <v>1.0</v>
      </c>
      <c r="G53" s="36">
        <v>9.0</v>
      </c>
      <c r="H53" s="36">
        <v>0.777777777777777</v>
      </c>
      <c r="I53" s="37" t="b">
        <v>0</v>
      </c>
      <c r="J53" s="12" t="s">
        <v>319</v>
      </c>
      <c r="K53" s="12" t="s">
        <v>359</v>
      </c>
    </row>
    <row r="54">
      <c r="A54" s="34" t="s">
        <v>361</v>
      </c>
      <c r="B54" s="34" t="s">
        <v>137</v>
      </c>
      <c r="C54" s="34" t="s">
        <v>138</v>
      </c>
      <c r="D54" s="35">
        <v>2.0</v>
      </c>
      <c r="E54" s="36">
        <v>8.0</v>
      </c>
      <c r="F54" s="36">
        <v>1.0</v>
      </c>
      <c r="G54" s="36">
        <v>9.0</v>
      </c>
      <c r="H54" s="36">
        <v>0.777777777777777</v>
      </c>
      <c r="I54" s="37" t="b">
        <v>0</v>
      </c>
      <c r="J54" s="12" t="s">
        <v>319</v>
      </c>
      <c r="K54" s="12" t="s">
        <v>359</v>
      </c>
    </row>
    <row r="55">
      <c r="A55" s="34" t="s">
        <v>344</v>
      </c>
      <c r="B55" s="34" t="s">
        <v>135</v>
      </c>
      <c r="C55" s="34" t="s">
        <v>136</v>
      </c>
      <c r="D55" s="35">
        <v>2.0</v>
      </c>
      <c r="E55" s="36">
        <v>1.0</v>
      </c>
      <c r="F55" s="36">
        <v>8.0</v>
      </c>
      <c r="G55" s="36">
        <v>9.0</v>
      </c>
      <c r="H55" s="36">
        <v>0.777777777777777</v>
      </c>
      <c r="I55" s="37" t="b">
        <v>1</v>
      </c>
      <c r="J55" s="12" t="s">
        <v>319</v>
      </c>
      <c r="K55" s="12" t="s">
        <v>359</v>
      </c>
    </row>
    <row r="56">
      <c r="A56" s="34" t="s">
        <v>362</v>
      </c>
      <c r="B56" s="34" t="s">
        <v>76</v>
      </c>
      <c r="C56" s="34" t="s">
        <v>77</v>
      </c>
      <c r="D56" s="35">
        <v>2.0</v>
      </c>
      <c r="E56" s="36">
        <v>1.0</v>
      </c>
      <c r="F56" s="36">
        <v>8.0</v>
      </c>
      <c r="G56" s="36">
        <v>9.0</v>
      </c>
      <c r="H56" s="36">
        <v>0.777777777777777</v>
      </c>
      <c r="I56" s="37" t="b">
        <v>1</v>
      </c>
      <c r="J56" s="12" t="s">
        <v>319</v>
      </c>
      <c r="K56" s="12" t="s">
        <v>359</v>
      </c>
    </row>
    <row r="57">
      <c r="A57" s="34" t="s">
        <v>321</v>
      </c>
      <c r="B57" s="34" t="s">
        <v>249</v>
      </c>
      <c r="C57" s="34" t="s">
        <v>250</v>
      </c>
      <c r="D57" s="35">
        <v>2.0</v>
      </c>
      <c r="E57" s="36">
        <v>1.0</v>
      </c>
      <c r="F57" s="36">
        <v>5.0</v>
      </c>
      <c r="G57" s="36">
        <v>6.0</v>
      </c>
      <c r="H57" s="36">
        <v>0.666666666666666</v>
      </c>
      <c r="I57" s="37" t="b">
        <v>1</v>
      </c>
      <c r="J57" s="12" t="s">
        <v>319</v>
      </c>
      <c r="K57" s="12" t="s">
        <v>359</v>
      </c>
    </row>
    <row r="58">
      <c r="A58" s="34" t="s">
        <v>363</v>
      </c>
      <c r="B58" s="34" t="s">
        <v>221</v>
      </c>
      <c r="C58" s="34" t="s">
        <v>222</v>
      </c>
      <c r="D58" s="35">
        <v>2.0</v>
      </c>
      <c r="E58" s="36">
        <v>5.0</v>
      </c>
      <c r="F58" s="36">
        <v>1.0</v>
      </c>
      <c r="G58" s="36">
        <v>6.0</v>
      </c>
      <c r="H58" s="36">
        <v>0.666666666666666</v>
      </c>
      <c r="I58" s="37" t="b">
        <v>0</v>
      </c>
      <c r="J58" s="12" t="s">
        <v>319</v>
      </c>
      <c r="K58" s="12" t="s">
        <v>359</v>
      </c>
    </row>
    <row r="59">
      <c r="A59" s="34" t="s">
        <v>364</v>
      </c>
      <c r="B59" s="34" t="s">
        <v>279</v>
      </c>
      <c r="C59" s="34" t="s">
        <v>280</v>
      </c>
      <c r="D59" s="35">
        <v>2.0</v>
      </c>
      <c r="E59" s="36">
        <v>3.0</v>
      </c>
      <c r="F59" s="36">
        <v>6.0</v>
      </c>
      <c r="G59" s="36">
        <v>9.0</v>
      </c>
      <c r="H59" s="36">
        <v>0.333333333333333</v>
      </c>
      <c r="I59" s="37" t="b">
        <v>1</v>
      </c>
      <c r="J59" s="12" t="s">
        <v>329</v>
      </c>
      <c r="K59" s="12" t="s">
        <v>359</v>
      </c>
    </row>
    <row r="60">
      <c r="A60" s="34" t="s">
        <v>352</v>
      </c>
      <c r="B60" s="34" t="s">
        <v>82</v>
      </c>
      <c r="C60" s="34" t="s">
        <v>83</v>
      </c>
      <c r="D60" s="35">
        <v>2.0</v>
      </c>
      <c r="E60" s="36">
        <v>2.0</v>
      </c>
      <c r="F60" s="36">
        <v>1.0</v>
      </c>
      <c r="G60" s="36">
        <v>3.0</v>
      </c>
      <c r="H60" s="36">
        <v>0.333333333333333</v>
      </c>
      <c r="I60" s="37" t="b">
        <v>0</v>
      </c>
      <c r="J60" s="12" t="s">
        <v>329</v>
      </c>
      <c r="K60" s="12" t="s">
        <v>359</v>
      </c>
    </row>
    <row r="61">
      <c r="A61" s="34" t="s">
        <v>365</v>
      </c>
      <c r="B61" s="34" t="s">
        <v>263</v>
      </c>
      <c r="C61" s="34" t="s">
        <v>264</v>
      </c>
      <c r="D61" s="35">
        <v>2.0</v>
      </c>
      <c r="E61" s="36">
        <v>4.0</v>
      </c>
      <c r="F61" s="36">
        <v>5.0</v>
      </c>
      <c r="G61" s="36">
        <v>9.0</v>
      </c>
      <c r="H61" s="36">
        <v>0.111111111111111</v>
      </c>
      <c r="I61" s="37" t="b">
        <v>1</v>
      </c>
      <c r="J61" s="12" t="s">
        <v>324</v>
      </c>
      <c r="K61" s="12" t="s">
        <v>359</v>
      </c>
    </row>
    <row r="62">
      <c r="A62" s="34" t="s">
        <v>352</v>
      </c>
      <c r="B62" s="34" t="s">
        <v>133</v>
      </c>
      <c r="C62" s="34" t="s">
        <v>134</v>
      </c>
      <c r="D62" s="35">
        <v>2.0</v>
      </c>
      <c r="E62" s="36">
        <v>0.0</v>
      </c>
      <c r="F62" s="36">
        <v>3.0</v>
      </c>
      <c r="G62" s="36">
        <v>3.0</v>
      </c>
      <c r="H62" s="36">
        <v>1.0</v>
      </c>
      <c r="I62" s="37" t="b">
        <v>1</v>
      </c>
      <c r="J62" s="12" t="s">
        <v>326</v>
      </c>
      <c r="K62" s="12" t="s">
        <v>246</v>
      </c>
    </row>
    <row r="63">
      <c r="A63" s="34" t="s">
        <v>366</v>
      </c>
      <c r="B63" s="34" t="s">
        <v>108</v>
      </c>
      <c r="C63" s="34" t="s">
        <v>109</v>
      </c>
      <c r="D63" s="35">
        <v>2.0</v>
      </c>
      <c r="E63" s="36">
        <v>7.0</v>
      </c>
      <c r="F63" s="36">
        <v>2.0</v>
      </c>
      <c r="G63" s="36">
        <v>9.0</v>
      </c>
      <c r="H63" s="36">
        <v>0.555555555555555</v>
      </c>
      <c r="I63" s="37" t="b">
        <v>0</v>
      </c>
      <c r="J63" s="12" t="s">
        <v>322</v>
      </c>
      <c r="K63" s="12" t="s">
        <v>246</v>
      </c>
    </row>
    <row r="64">
      <c r="A64" s="34" t="s">
        <v>345</v>
      </c>
      <c r="B64" s="34" t="s">
        <v>274</v>
      </c>
      <c r="C64" s="34" t="s">
        <v>275</v>
      </c>
      <c r="D64" s="35">
        <v>2.0</v>
      </c>
      <c r="E64" s="36">
        <v>7.0</v>
      </c>
      <c r="F64" s="36">
        <v>2.0</v>
      </c>
      <c r="G64" s="36">
        <v>9.0</v>
      </c>
      <c r="H64" s="36">
        <v>0.555555555555555</v>
      </c>
      <c r="I64" s="37" t="b">
        <v>0</v>
      </c>
      <c r="J64" s="12" t="s">
        <v>322</v>
      </c>
      <c r="K64" s="12" t="s">
        <v>246</v>
      </c>
    </row>
    <row r="65">
      <c r="A65" s="34" t="s">
        <v>342</v>
      </c>
      <c r="B65" s="34" t="s">
        <v>90</v>
      </c>
      <c r="C65" s="34" t="s">
        <v>91</v>
      </c>
      <c r="D65" s="35">
        <v>2.0</v>
      </c>
      <c r="E65" s="36">
        <v>1.0</v>
      </c>
      <c r="F65" s="36">
        <v>2.0</v>
      </c>
      <c r="G65" s="36">
        <v>3.0</v>
      </c>
      <c r="H65" s="36">
        <v>0.333333333333333</v>
      </c>
      <c r="I65" s="37" t="b">
        <v>1</v>
      </c>
      <c r="J65" s="12" t="s">
        <v>329</v>
      </c>
      <c r="K65" s="12" t="s">
        <v>246</v>
      </c>
    </row>
    <row r="66">
      <c r="A66" s="34" t="s">
        <v>367</v>
      </c>
      <c r="B66" s="34" t="s">
        <v>207</v>
      </c>
      <c r="C66" s="34" t="s">
        <v>208</v>
      </c>
      <c r="D66" s="35">
        <v>2.0</v>
      </c>
      <c r="E66" s="36">
        <v>3.0</v>
      </c>
      <c r="F66" s="36">
        <v>3.0</v>
      </c>
      <c r="G66" s="36">
        <v>6.0</v>
      </c>
      <c r="H66" s="36">
        <v>0.0</v>
      </c>
      <c r="I66" s="37" t="s">
        <v>368</v>
      </c>
      <c r="J66" s="12" t="s">
        <v>324</v>
      </c>
      <c r="K66" s="12" t="s">
        <v>246</v>
      </c>
    </row>
    <row r="67">
      <c r="A67" s="34" t="s">
        <v>325</v>
      </c>
      <c r="B67" s="34" t="s">
        <v>219</v>
      </c>
      <c r="C67" s="34" t="s">
        <v>220</v>
      </c>
      <c r="D67" s="35">
        <v>2.0</v>
      </c>
      <c r="E67" s="36">
        <v>2.0</v>
      </c>
      <c r="F67" s="36">
        <v>7.0</v>
      </c>
      <c r="G67" s="36">
        <v>9.0</v>
      </c>
      <c r="H67" s="36">
        <v>0.555555555555555</v>
      </c>
      <c r="I67" s="37" t="b">
        <v>1</v>
      </c>
      <c r="J67" s="12" t="s">
        <v>322</v>
      </c>
      <c r="K67" s="12" t="s">
        <v>369</v>
      </c>
    </row>
    <row r="68">
      <c r="A68" s="34" t="s">
        <v>325</v>
      </c>
      <c r="B68" s="34" t="s">
        <v>203</v>
      </c>
      <c r="C68" s="34" t="s">
        <v>204</v>
      </c>
      <c r="D68" s="35">
        <v>2.0</v>
      </c>
      <c r="E68" s="36">
        <v>2.0</v>
      </c>
      <c r="F68" s="36">
        <v>1.0</v>
      </c>
      <c r="G68" s="36">
        <v>3.0</v>
      </c>
      <c r="H68" s="36">
        <v>0.333333333333333</v>
      </c>
      <c r="I68" s="37" t="b">
        <v>0</v>
      </c>
      <c r="J68" s="12" t="s">
        <v>329</v>
      </c>
      <c r="K68" s="12" t="s">
        <v>369</v>
      </c>
    </row>
    <row r="69">
      <c r="A69" s="34" t="s">
        <v>370</v>
      </c>
      <c r="B69" s="34" t="s">
        <v>236</v>
      </c>
      <c r="C69" s="34" t="s">
        <v>237</v>
      </c>
      <c r="D69" s="35">
        <v>2.0</v>
      </c>
      <c r="E69" s="36">
        <v>1.0</v>
      </c>
      <c r="F69" s="36">
        <v>2.0</v>
      </c>
      <c r="G69" s="36">
        <v>3.0</v>
      </c>
      <c r="H69" s="36">
        <v>0.333333333333333</v>
      </c>
      <c r="I69" s="37" t="b">
        <v>1</v>
      </c>
      <c r="J69" s="12" t="s">
        <v>329</v>
      </c>
      <c r="K69" s="12" t="s">
        <v>369</v>
      </c>
    </row>
    <row r="70">
      <c r="A70" s="34" t="s">
        <v>371</v>
      </c>
      <c r="B70" s="34" t="s">
        <v>184</v>
      </c>
      <c r="C70" s="34" t="s">
        <v>185</v>
      </c>
      <c r="D70" s="35">
        <v>2.0</v>
      </c>
      <c r="E70" s="36">
        <v>5.0</v>
      </c>
      <c r="F70" s="36">
        <v>4.0</v>
      </c>
      <c r="G70" s="36">
        <v>9.0</v>
      </c>
      <c r="H70" s="36">
        <v>0.111111111111111</v>
      </c>
      <c r="I70" s="37" t="b">
        <v>0</v>
      </c>
      <c r="J70" s="12" t="s">
        <v>324</v>
      </c>
      <c r="K70" s="12" t="s">
        <v>369</v>
      </c>
    </row>
    <row r="71">
      <c r="A71" s="34" t="s">
        <v>355</v>
      </c>
      <c r="B71" s="34" t="s">
        <v>106</v>
      </c>
      <c r="C71" s="34" t="s">
        <v>107</v>
      </c>
      <c r="D71" s="35">
        <v>2.0</v>
      </c>
      <c r="E71" s="36">
        <v>2.0</v>
      </c>
      <c r="F71" s="36">
        <v>2.0</v>
      </c>
      <c r="G71" s="36">
        <v>4.0</v>
      </c>
      <c r="H71" s="36">
        <v>0.0</v>
      </c>
      <c r="I71" s="37" t="s">
        <v>368</v>
      </c>
      <c r="J71" s="12" t="s">
        <v>324</v>
      </c>
      <c r="K71" s="12" t="s">
        <v>369</v>
      </c>
    </row>
    <row r="72">
      <c r="A72" s="34" t="s">
        <v>365</v>
      </c>
      <c r="B72" s="34" t="s">
        <v>164</v>
      </c>
      <c r="C72" s="34" t="s">
        <v>165</v>
      </c>
      <c r="D72" s="35">
        <v>2.0</v>
      </c>
      <c r="E72" s="36">
        <v>0.0</v>
      </c>
      <c r="F72" s="36">
        <v>4.0</v>
      </c>
      <c r="G72" s="36">
        <v>4.0</v>
      </c>
      <c r="H72" s="36">
        <v>1.0</v>
      </c>
      <c r="I72" s="37" t="b">
        <v>1</v>
      </c>
      <c r="J72" s="12" t="s">
        <v>326</v>
      </c>
      <c r="K72" s="12" t="s">
        <v>101</v>
      </c>
    </row>
    <row r="73">
      <c r="A73" s="34" t="s">
        <v>372</v>
      </c>
      <c r="B73" s="34" t="s">
        <v>154</v>
      </c>
      <c r="C73" s="34" t="s">
        <v>155</v>
      </c>
      <c r="D73" s="35">
        <v>2.0</v>
      </c>
      <c r="E73" s="36">
        <v>3.0</v>
      </c>
      <c r="F73" s="36">
        <v>0.0</v>
      </c>
      <c r="G73" s="36">
        <v>3.0</v>
      </c>
      <c r="H73" s="36">
        <v>1.0</v>
      </c>
      <c r="I73" s="37" t="b">
        <v>0</v>
      </c>
      <c r="J73" s="12" t="s">
        <v>326</v>
      </c>
      <c r="K73" s="12" t="s">
        <v>101</v>
      </c>
    </row>
    <row r="74">
      <c r="A74" s="34" t="s">
        <v>373</v>
      </c>
      <c r="B74" s="34" t="s">
        <v>129</v>
      </c>
      <c r="C74" s="34" t="s">
        <v>130</v>
      </c>
      <c r="D74" s="35">
        <v>2.0</v>
      </c>
      <c r="E74" s="36">
        <v>1.0</v>
      </c>
      <c r="F74" s="36">
        <v>8.0</v>
      </c>
      <c r="G74" s="36">
        <v>9.0</v>
      </c>
      <c r="H74" s="36">
        <v>0.777777777777777</v>
      </c>
      <c r="I74" s="37" t="b">
        <v>1</v>
      </c>
      <c r="J74" s="12" t="s">
        <v>319</v>
      </c>
      <c r="K74" s="12" t="s">
        <v>101</v>
      </c>
    </row>
    <row r="75">
      <c r="A75" s="34" t="s">
        <v>373</v>
      </c>
      <c r="B75" s="34" t="s">
        <v>173</v>
      </c>
      <c r="C75" s="34" t="s">
        <v>174</v>
      </c>
      <c r="D75" s="35">
        <v>2.0</v>
      </c>
      <c r="E75" s="36">
        <v>3.0</v>
      </c>
      <c r="F75" s="36">
        <v>1.0</v>
      </c>
      <c r="G75" s="36">
        <v>4.0</v>
      </c>
      <c r="H75" s="36">
        <v>0.5</v>
      </c>
      <c r="I75" s="37" t="b">
        <v>0</v>
      </c>
      <c r="J75" s="12" t="s">
        <v>322</v>
      </c>
      <c r="K75" s="12" t="s">
        <v>101</v>
      </c>
    </row>
    <row r="76">
      <c r="A76" s="34" t="s">
        <v>374</v>
      </c>
      <c r="B76" s="34" t="s">
        <v>233</v>
      </c>
      <c r="C76" s="34" t="s">
        <v>234</v>
      </c>
      <c r="D76" s="35">
        <v>2.0</v>
      </c>
      <c r="E76" s="36">
        <v>2.0</v>
      </c>
      <c r="F76" s="36">
        <v>2.0</v>
      </c>
      <c r="G76" s="36">
        <v>4.0</v>
      </c>
      <c r="H76" s="36">
        <v>0.0</v>
      </c>
      <c r="I76" s="37" t="s">
        <v>368</v>
      </c>
      <c r="J76" s="12" t="s">
        <v>324</v>
      </c>
      <c r="K76" s="12" t="s">
        <v>101</v>
      </c>
    </row>
    <row r="77">
      <c r="A77" s="34" t="s">
        <v>375</v>
      </c>
      <c r="B77" s="34" t="s">
        <v>74</v>
      </c>
      <c r="C77" s="34" t="s">
        <v>75</v>
      </c>
      <c r="D77" s="35">
        <v>2.0</v>
      </c>
      <c r="E77" s="36">
        <v>3.0</v>
      </c>
      <c r="F77" s="36">
        <v>0.0</v>
      </c>
      <c r="G77" s="36">
        <v>3.0</v>
      </c>
      <c r="H77" s="36">
        <v>1.0</v>
      </c>
      <c r="I77" s="37" t="b">
        <v>0</v>
      </c>
      <c r="J77" s="12" t="s">
        <v>326</v>
      </c>
      <c r="K77" s="12" t="s">
        <v>376</v>
      </c>
    </row>
    <row r="78">
      <c r="A78" s="34" t="s">
        <v>321</v>
      </c>
      <c r="B78" s="34" t="s">
        <v>147</v>
      </c>
      <c r="C78" s="34" t="s">
        <v>148</v>
      </c>
      <c r="D78" s="35">
        <v>2.0</v>
      </c>
      <c r="E78" s="36">
        <v>1.0</v>
      </c>
      <c r="F78" s="36">
        <v>8.0</v>
      </c>
      <c r="G78" s="36">
        <v>9.0</v>
      </c>
      <c r="H78" s="36">
        <v>0.777777777777777</v>
      </c>
      <c r="I78" s="37" t="b">
        <v>1</v>
      </c>
      <c r="J78" s="12" t="s">
        <v>319</v>
      </c>
      <c r="K78" s="12" t="s">
        <v>376</v>
      </c>
    </row>
    <row r="79">
      <c r="A79" s="34" t="s">
        <v>377</v>
      </c>
      <c r="B79" s="34" t="s">
        <v>110</v>
      </c>
      <c r="C79" s="34" t="s">
        <v>111</v>
      </c>
      <c r="D79" s="35">
        <v>2.0</v>
      </c>
      <c r="E79" s="36">
        <v>4.0</v>
      </c>
      <c r="F79" s="36">
        <v>1.0</v>
      </c>
      <c r="G79" s="36">
        <v>5.0</v>
      </c>
      <c r="H79" s="36">
        <v>0.6</v>
      </c>
      <c r="I79" s="37" t="b">
        <v>0</v>
      </c>
      <c r="J79" s="12" t="s">
        <v>322</v>
      </c>
      <c r="K79" s="12" t="s">
        <v>376</v>
      </c>
    </row>
    <row r="80">
      <c r="A80" s="34" t="s">
        <v>353</v>
      </c>
      <c r="B80" s="34" t="s">
        <v>225</v>
      </c>
      <c r="C80" s="34" t="s">
        <v>226</v>
      </c>
      <c r="D80" s="35">
        <v>2.0</v>
      </c>
      <c r="E80" s="36">
        <v>1.0</v>
      </c>
      <c r="F80" s="36">
        <v>2.0</v>
      </c>
      <c r="G80" s="36">
        <v>3.0</v>
      </c>
      <c r="H80" s="36">
        <v>0.333333333333333</v>
      </c>
      <c r="I80" s="37" t="b">
        <v>1</v>
      </c>
      <c r="J80" s="12" t="s">
        <v>329</v>
      </c>
      <c r="K80" s="12" t="s">
        <v>376</v>
      </c>
    </row>
    <row r="81">
      <c r="A81" s="34" t="s">
        <v>366</v>
      </c>
      <c r="B81" s="34" t="s">
        <v>182</v>
      </c>
      <c r="C81" s="34" t="s">
        <v>183</v>
      </c>
      <c r="D81" s="35">
        <v>2.0</v>
      </c>
      <c r="E81" s="36">
        <v>3.0</v>
      </c>
      <c r="F81" s="36">
        <v>3.0</v>
      </c>
      <c r="G81" s="36">
        <v>6.0</v>
      </c>
      <c r="H81" s="36">
        <v>0.0</v>
      </c>
      <c r="I81" s="37" t="s">
        <v>368</v>
      </c>
      <c r="J81" s="12" t="s">
        <v>324</v>
      </c>
      <c r="K81" s="12" t="s">
        <v>376</v>
      </c>
    </row>
    <row r="82">
      <c r="A82" s="34" t="s">
        <v>343</v>
      </c>
      <c r="B82" s="34" t="s">
        <v>215</v>
      </c>
      <c r="C82" s="34" t="s">
        <v>216</v>
      </c>
      <c r="D82" s="35">
        <v>2.0</v>
      </c>
      <c r="E82" s="36">
        <v>3.0</v>
      </c>
      <c r="F82" s="36">
        <v>0.0</v>
      </c>
      <c r="G82" s="36">
        <v>3.0</v>
      </c>
      <c r="H82" s="36">
        <v>1.0</v>
      </c>
      <c r="I82" s="37" t="b">
        <v>0</v>
      </c>
      <c r="J82" s="12" t="s">
        <v>326</v>
      </c>
      <c r="K82" s="12" t="s">
        <v>378</v>
      </c>
    </row>
    <row r="83">
      <c r="A83" s="34" t="s">
        <v>352</v>
      </c>
      <c r="B83" s="34" t="s">
        <v>231</v>
      </c>
      <c r="C83" s="34" t="s">
        <v>232</v>
      </c>
      <c r="D83" s="35">
        <v>2.0</v>
      </c>
      <c r="E83" s="36">
        <v>1.0</v>
      </c>
      <c r="F83" s="36">
        <v>8.0</v>
      </c>
      <c r="G83" s="36">
        <v>9.0</v>
      </c>
      <c r="H83" s="36">
        <v>0.777777777777777</v>
      </c>
      <c r="I83" s="37" t="b">
        <v>1</v>
      </c>
      <c r="J83" s="12" t="s">
        <v>319</v>
      </c>
      <c r="K83" s="12" t="s">
        <v>378</v>
      </c>
    </row>
    <row r="84">
      <c r="A84" s="34" t="s">
        <v>351</v>
      </c>
      <c r="B84" s="34" t="s">
        <v>197</v>
      </c>
      <c r="C84" s="34" t="s">
        <v>198</v>
      </c>
      <c r="D84" s="35">
        <v>2.0</v>
      </c>
      <c r="E84" s="36">
        <v>8.0</v>
      </c>
      <c r="F84" s="36">
        <v>1.0</v>
      </c>
      <c r="G84" s="36">
        <v>9.0</v>
      </c>
      <c r="H84" s="36">
        <v>0.777777777777777</v>
      </c>
      <c r="I84" s="37" t="b">
        <v>0</v>
      </c>
      <c r="J84" s="12" t="s">
        <v>319</v>
      </c>
      <c r="K84" s="12" t="s">
        <v>378</v>
      </c>
    </row>
    <row r="85">
      <c r="A85" s="34" t="s">
        <v>379</v>
      </c>
      <c r="B85" s="34" t="s">
        <v>96</v>
      </c>
      <c r="C85" s="34" t="s">
        <v>97</v>
      </c>
      <c r="D85" s="35">
        <v>2.0</v>
      </c>
      <c r="E85" s="36">
        <v>1.0</v>
      </c>
      <c r="F85" s="36">
        <v>2.0</v>
      </c>
      <c r="G85" s="36">
        <v>3.0</v>
      </c>
      <c r="H85" s="36">
        <v>0.333333333333333</v>
      </c>
      <c r="I85" s="37" t="b">
        <v>1</v>
      </c>
      <c r="J85" s="12" t="s">
        <v>329</v>
      </c>
      <c r="K85" s="12" t="s">
        <v>378</v>
      </c>
    </row>
    <row r="86">
      <c r="A86" s="34" t="s">
        <v>366</v>
      </c>
      <c r="B86" s="34" t="s">
        <v>186</v>
      </c>
      <c r="C86" s="34" t="s">
        <v>187</v>
      </c>
      <c r="D86" s="35">
        <v>2.0</v>
      </c>
      <c r="E86" s="36">
        <v>2.0</v>
      </c>
      <c r="F86" s="36">
        <v>2.0</v>
      </c>
      <c r="G86" s="36">
        <v>4.0</v>
      </c>
      <c r="H86" s="36">
        <v>0.0</v>
      </c>
      <c r="I86" s="37" t="s">
        <v>368</v>
      </c>
      <c r="J86" s="12" t="s">
        <v>324</v>
      </c>
      <c r="K86" s="12" t="s">
        <v>378</v>
      </c>
    </row>
    <row r="87">
      <c r="A87" s="34" t="s">
        <v>341</v>
      </c>
      <c r="B87" s="34" t="s">
        <v>102</v>
      </c>
      <c r="C87" s="34" t="s">
        <v>103</v>
      </c>
      <c r="D87" s="35">
        <v>2.0</v>
      </c>
      <c r="E87" s="36">
        <v>4.0</v>
      </c>
      <c r="F87" s="36">
        <v>0.0</v>
      </c>
      <c r="G87" s="36">
        <v>4.0</v>
      </c>
      <c r="H87" s="36">
        <v>1.0</v>
      </c>
      <c r="I87" s="37" t="b">
        <v>0</v>
      </c>
      <c r="J87" s="12" t="s">
        <v>326</v>
      </c>
      <c r="K87" s="12" t="s">
        <v>153</v>
      </c>
    </row>
    <row r="88">
      <c r="A88" s="34" t="s">
        <v>327</v>
      </c>
      <c r="B88" s="34" t="s">
        <v>259</v>
      </c>
      <c r="C88" s="34" t="s">
        <v>260</v>
      </c>
      <c r="D88" s="35">
        <v>2.0</v>
      </c>
      <c r="E88" s="36">
        <v>2.0</v>
      </c>
      <c r="F88" s="36">
        <v>7.0</v>
      </c>
      <c r="G88" s="36">
        <v>9.0</v>
      </c>
      <c r="H88" s="36">
        <v>0.555555555555555</v>
      </c>
      <c r="I88" s="37" t="b">
        <v>1</v>
      </c>
      <c r="J88" s="12" t="s">
        <v>322</v>
      </c>
      <c r="K88" s="12" t="s">
        <v>153</v>
      </c>
    </row>
    <row r="89">
      <c r="A89" s="34" t="s">
        <v>377</v>
      </c>
      <c r="B89" s="34" t="s">
        <v>176</v>
      </c>
      <c r="C89" s="34" t="s">
        <v>177</v>
      </c>
      <c r="D89" s="35">
        <v>2.0</v>
      </c>
      <c r="E89" s="36">
        <v>2.0</v>
      </c>
      <c r="F89" s="36">
        <v>7.0</v>
      </c>
      <c r="G89" s="36">
        <v>9.0</v>
      </c>
      <c r="H89" s="36">
        <v>0.555555555555555</v>
      </c>
      <c r="I89" s="37" t="b">
        <v>1</v>
      </c>
      <c r="J89" s="12" t="s">
        <v>322</v>
      </c>
      <c r="K89" s="12" t="s">
        <v>153</v>
      </c>
    </row>
    <row r="90">
      <c r="A90" s="34" t="s">
        <v>328</v>
      </c>
      <c r="B90" s="34" t="s">
        <v>141</v>
      </c>
      <c r="C90" s="34" t="s">
        <v>142</v>
      </c>
      <c r="D90" s="35">
        <v>2.0</v>
      </c>
      <c r="E90" s="36">
        <v>2.0</v>
      </c>
      <c r="F90" s="36">
        <v>1.0</v>
      </c>
      <c r="G90" s="36">
        <v>3.0</v>
      </c>
      <c r="H90" s="36">
        <v>0.333333333333333</v>
      </c>
      <c r="I90" s="37" t="b">
        <v>0</v>
      </c>
      <c r="J90" s="12" t="s">
        <v>329</v>
      </c>
      <c r="K90" s="12" t="s">
        <v>153</v>
      </c>
    </row>
    <row r="91">
      <c r="A91" s="34" t="s">
        <v>356</v>
      </c>
      <c r="B91" s="34" t="s">
        <v>151</v>
      </c>
      <c r="C91" s="34" t="s">
        <v>152</v>
      </c>
      <c r="D91" s="35">
        <v>2.0</v>
      </c>
      <c r="E91" s="36">
        <v>2.0</v>
      </c>
      <c r="F91" s="36">
        <v>2.0</v>
      </c>
      <c r="G91" s="36">
        <v>4.0</v>
      </c>
      <c r="H91" s="36">
        <v>0.0</v>
      </c>
      <c r="I91" s="37" t="s">
        <v>368</v>
      </c>
      <c r="J91" s="12" t="s">
        <v>324</v>
      </c>
      <c r="K91" s="12" t="s">
        <v>153</v>
      </c>
    </row>
    <row r="92">
      <c r="A92" s="34" t="s">
        <v>336</v>
      </c>
      <c r="B92" s="34" t="s">
        <v>277</v>
      </c>
      <c r="C92" s="34" t="s">
        <v>278</v>
      </c>
      <c r="D92" s="35">
        <v>2.0</v>
      </c>
      <c r="E92" s="36">
        <v>0.0</v>
      </c>
      <c r="F92" s="36">
        <v>3.0</v>
      </c>
      <c r="G92" s="36">
        <v>3.0</v>
      </c>
      <c r="H92" s="36">
        <v>1.0</v>
      </c>
      <c r="I92" s="37" t="b">
        <v>1</v>
      </c>
      <c r="J92" s="12" t="s">
        <v>326</v>
      </c>
      <c r="K92" s="12" t="s">
        <v>86</v>
      </c>
    </row>
    <row r="93">
      <c r="A93" s="34" t="s">
        <v>346</v>
      </c>
      <c r="B93" s="34" t="s">
        <v>223</v>
      </c>
      <c r="C93" s="34" t="s">
        <v>224</v>
      </c>
      <c r="D93" s="35">
        <v>2.0</v>
      </c>
      <c r="E93" s="36">
        <v>2.0</v>
      </c>
      <c r="F93" s="36">
        <v>7.0</v>
      </c>
      <c r="G93" s="36">
        <v>9.0</v>
      </c>
      <c r="H93" s="36">
        <v>0.555555555555555</v>
      </c>
      <c r="I93" s="37" t="b">
        <v>1</v>
      </c>
      <c r="J93" s="12" t="s">
        <v>322</v>
      </c>
      <c r="K93" s="12" t="s">
        <v>86</v>
      </c>
    </row>
    <row r="94">
      <c r="A94" s="34" t="s">
        <v>346</v>
      </c>
      <c r="B94" s="34" t="s">
        <v>145</v>
      </c>
      <c r="C94" s="34" t="s">
        <v>146</v>
      </c>
      <c r="D94" s="35">
        <v>2.0</v>
      </c>
      <c r="E94" s="36">
        <v>3.0</v>
      </c>
      <c r="F94" s="36">
        <v>1.0</v>
      </c>
      <c r="G94" s="36">
        <v>4.0</v>
      </c>
      <c r="H94" s="36">
        <v>0.5</v>
      </c>
      <c r="I94" s="37" t="b">
        <v>0</v>
      </c>
      <c r="J94" s="12" t="s">
        <v>322</v>
      </c>
      <c r="K94" s="12" t="s">
        <v>86</v>
      </c>
    </row>
    <row r="95">
      <c r="A95" s="34" t="s">
        <v>355</v>
      </c>
      <c r="B95" s="34" t="s">
        <v>92</v>
      </c>
      <c r="C95" s="34" t="s">
        <v>93</v>
      </c>
      <c r="D95" s="35">
        <v>2.0</v>
      </c>
      <c r="E95" s="36">
        <v>6.0</v>
      </c>
      <c r="F95" s="36">
        <v>3.0</v>
      </c>
      <c r="G95" s="36">
        <v>9.0</v>
      </c>
      <c r="H95" s="36">
        <v>0.333333333333333</v>
      </c>
      <c r="I95" s="37" t="b">
        <v>0</v>
      </c>
      <c r="J95" s="12" t="s">
        <v>329</v>
      </c>
      <c r="K95" s="12" t="s">
        <v>86</v>
      </c>
    </row>
    <row r="96">
      <c r="A96" s="34" t="s">
        <v>343</v>
      </c>
      <c r="B96" s="34" t="s">
        <v>112</v>
      </c>
      <c r="C96" s="34" t="s">
        <v>113</v>
      </c>
      <c r="D96" s="35">
        <v>2.0</v>
      </c>
      <c r="E96" s="36">
        <v>2.0</v>
      </c>
      <c r="F96" s="36">
        <v>2.0</v>
      </c>
      <c r="G96" s="36">
        <v>4.0</v>
      </c>
      <c r="H96" s="36">
        <v>0.0</v>
      </c>
      <c r="I96" s="37" t="s">
        <v>368</v>
      </c>
      <c r="J96" s="12" t="s">
        <v>324</v>
      </c>
      <c r="K96" s="12" t="s">
        <v>86</v>
      </c>
    </row>
    <row r="97">
      <c r="A97" s="34" t="s">
        <v>375</v>
      </c>
      <c r="B97" s="34" t="s">
        <v>255</v>
      </c>
      <c r="C97" s="34" t="s">
        <v>256</v>
      </c>
      <c r="D97" s="35">
        <v>2.0</v>
      </c>
      <c r="E97" s="36">
        <v>0.0</v>
      </c>
      <c r="F97" s="36">
        <v>9.0</v>
      </c>
      <c r="G97" s="36">
        <v>9.0</v>
      </c>
      <c r="H97" s="36">
        <v>1.0</v>
      </c>
      <c r="I97" s="37" t="b">
        <v>1</v>
      </c>
      <c r="J97" s="12" t="s">
        <v>326</v>
      </c>
      <c r="K97" s="12" t="s">
        <v>89</v>
      </c>
    </row>
    <row r="98">
      <c r="A98" s="34" t="s">
        <v>380</v>
      </c>
      <c r="B98" s="34" t="s">
        <v>281</v>
      </c>
      <c r="C98" s="34" t="s">
        <v>282</v>
      </c>
      <c r="D98" s="35">
        <v>2.0</v>
      </c>
      <c r="E98" s="36">
        <v>0.0</v>
      </c>
      <c r="F98" s="36">
        <v>9.0</v>
      </c>
      <c r="G98" s="36">
        <v>9.0</v>
      </c>
      <c r="H98" s="36">
        <v>1.0</v>
      </c>
      <c r="I98" s="37" t="b">
        <v>1</v>
      </c>
      <c r="J98" s="12" t="s">
        <v>326</v>
      </c>
      <c r="K98" s="12" t="s">
        <v>89</v>
      </c>
    </row>
    <row r="99">
      <c r="A99" s="34" t="s">
        <v>341</v>
      </c>
      <c r="B99" s="34" t="s">
        <v>127</v>
      </c>
      <c r="C99" s="34" t="s">
        <v>128</v>
      </c>
      <c r="D99" s="35">
        <v>2.0</v>
      </c>
      <c r="E99" s="36">
        <v>8.0</v>
      </c>
      <c r="F99" s="36">
        <v>1.0</v>
      </c>
      <c r="G99" s="36">
        <v>9.0</v>
      </c>
      <c r="H99" s="36">
        <v>0.777777777777777</v>
      </c>
      <c r="I99" s="37" t="b">
        <v>0</v>
      </c>
      <c r="J99" s="12" t="s">
        <v>319</v>
      </c>
      <c r="K99" s="12" t="s">
        <v>89</v>
      </c>
    </row>
    <row r="100">
      <c r="A100" s="34" t="s">
        <v>377</v>
      </c>
      <c r="B100" s="34" t="s">
        <v>120</v>
      </c>
      <c r="C100" s="34" t="s">
        <v>121</v>
      </c>
      <c r="D100" s="35">
        <v>2.0</v>
      </c>
      <c r="E100" s="36">
        <v>2.0</v>
      </c>
      <c r="F100" s="36">
        <v>1.0</v>
      </c>
      <c r="G100" s="36">
        <v>3.0</v>
      </c>
      <c r="H100" s="36">
        <v>0.333333333333333</v>
      </c>
      <c r="I100" s="37" t="b">
        <v>0</v>
      </c>
      <c r="J100" s="12" t="s">
        <v>329</v>
      </c>
      <c r="K100" s="12" t="s">
        <v>89</v>
      </c>
    </row>
    <row r="101">
      <c r="A101" s="34" t="s">
        <v>339</v>
      </c>
      <c r="B101" s="34" t="s">
        <v>265</v>
      </c>
      <c r="C101" s="34" t="s">
        <v>266</v>
      </c>
      <c r="D101" s="35">
        <v>2.0</v>
      </c>
      <c r="E101" s="36">
        <v>2.0</v>
      </c>
      <c r="F101" s="36">
        <v>2.0</v>
      </c>
      <c r="G101" s="36">
        <v>4.0</v>
      </c>
      <c r="H101" s="36">
        <v>0.0</v>
      </c>
      <c r="I101" s="37" t="s">
        <v>368</v>
      </c>
      <c r="J101" s="12" t="s">
        <v>324</v>
      </c>
      <c r="K101" s="12" t="s">
        <v>89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min="9" max="9" width="10.5"/>
    <col customWidth="1" min="10" max="10" width="11.63"/>
    <col customWidth="1" hidden="1" min="11" max="11" width="7.5"/>
    <col customWidth="1" hidden="1" min="12" max="12" width="7.75"/>
    <col customWidth="1" hidden="1" min="13" max="13" width="7.25"/>
    <col customWidth="1" hidden="1" min="14" max="14" width="6.25"/>
    <col customWidth="1" hidden="1" min="15" max="15" width="8.38"/>
    <col customWidth="1" hidden="1" min="16" max="16" width="23.88"/>
    <col customWidth="1" min="17" max="17" width="39.75"/>
  </cols>
  <sheetData>
    <row r="1">
      <c r="A1" s="23" t="s">
        <v>65</v>
      </c>
      <c r="B1" s="24" t="s">
        <v>66</v>
      </c>
      <c r="C1" s="38" t="s">
        <v>381</v>
      </c>
      <c r="D1" s="39" t="s">
        <v>39</v>
      </c>
      <c r="E1" s="38" t="s">
        <v>40</v>
      </c>
      <c r="F1" s="38" t="s">
        <v>41</v>
      </c>
      <c r="G1" s="38" t="s">
        <v>42</v>
      </c>
      <c r="H1" s="39" t="s">
        <v>43</v>
      </c>
      <c r="I1" s="40" t="s">
        <v>382</v>
      </c>
      <c r="J1" s="41" t="s">
        <v>383</v>
      </c>
      <c r="K1" s="39" t="s">
        <v>39</v>
      </c>
      <c r="L1" s="38" t="s">
        <v>40</v>
      </c>
      <c r="M1" s="38" t="s">
        <v>41</v>
      </c>
      <c r="N1" s="38" t="s">
        <v>42</v>
      </c>
      <c r="O1" s="39" t="s">
        <v>43</v>
      </c>
      <c r="P1" s="41" t="s">
        <v>384</v>
      </c>
      <c r="Q1" s="41" t="str">
        <f t="array" ref="Q1:Q101">P:P</f>
        <v>Comments</v>
      </c>
      <c r="R1" s="42" t="s">
        <v>385</v>
      </c>
      <c r="S1" s="18" t="s">
        <v>386</v>
      </c>
      <c r="T1" s="18" t="s">
        <v>387</v>
      </c>
    </row>
    <row r="2">
      <c r="A2" s="34" t="s">
        <v>190</v>
      </c>
      <c r="B2" s="34" t="s">
        <v>191</v>
      </c>
      <c r="C2" s="43"/>
      <c r="D2" s="43" t="b">
        <f t="shared" ref="D2:H2" si="1">VLOOKUP($A2, INDIRECT(D$1&amp;"!A:C"), 3, FALSE)</f>
        <v>0</v>
      </c>
      <c r="E2" s="43" t="b">
        <f t="shared" si="1"/>
        <v>0</v>
      </c>
      <c r="F2" s="43" t="str">
        <f t="shared" si="1"/>
        <v>TO DO</v>
      </c>
      <c r="G2" s="43" t="b">
        <f t="shared" si="1"/>
        <v>0</v>
      </c>
      <c r="H2" s="43" t="b">
        <f t="shared" si="1"/>
        <v>0</v>
      </c>
      <c r="I2" s="7">
        <f t="shared" ref="I2:I101" si="4">COUNTA(D2:H2)-COUNTIF(D2:H2, "TO DO")</f>
        <v>4</v>
      </c>
      <c r="J2" s="44">
        <f t="shared" ref="J2:J101" si="5">IF(COUNTA(D2:H2)=COUNTIF(D2:H2, "TO DO"), 0, ABS((COUNTIF(D2:H2,"TRUE")-COUNTIF(D2:H2, "FALSE")) / (COUNTA(D2:H2)-COUNTIF(D2:H2, "TO DO"))))</f>
        <v>1</v>
      </c>
      <c r="K2" s="45" t="str">
        <f t="shared" ref="K2:O2" si="2">VLOOKUP($A2, INDIRECT(K$1&amp;"!A:D"), 4, FALSE)</f>
        <v/>
      </c>
      <c r="L2" s="45" t="str">
        <f t="shared" si="2"/>
        <v/>
      </c>
      <c r="M2" s="45" t="str">
        <f t="shared" si="2"/>
        <v/>
      </c>
      <c r="N2" s="45" t="str">
        <f t="shared" si="2"/>
        <v/>
      </c>
      <c r="O2" s="45" t="str">
        <f t="shared" si="2"/>
        <v/>
      </c>
      <c r="P2" s="44" t="str">
        <f>IFERROR(__xludf.DUMMYFUNCTION("IF(COUNTA(K2:O2)=0, """", ARRAYFORMULA(""- ""&amp;TEXTJOIN(char(10)&amp;""- "", TRUE, FILTER(K$1:O$1&amp;"": ""&amp;K2:O2, NOT(ISBLANK(K2:O2))))))"),"")</f>
        <v/>
      </c>
      <c r="Q2" s="44" t="s">
        <v>388</v>
      </c>
      <c r="R2" s="46" t="b">
        <f t="shared" ref="R2:R101" si="7">IF(J2=1, D2, "UNDECIDED")</f>
        <v>0</v>
      </c>
    </row>
    <row r="3">
      <c r="A3" s="34" t="s">
        <v>158</v>
      </c>
      <c r="B3" s="34" t="s">
        <v>159</v>
      </c>
      <c r="C3" s="7" t="s">
        <v>389</v>
      </c>
      <c r="D3" s="43" t="b">
        <f t="shared" ref="D3:H3" si="3">VLOOKUP($A3, INDIRECT(D$1&amp;"!A:C"), 3, FALSE)</f>
        <v>1</v>
      </c>
      <c r="E3" s="43" t="str">
        <f t="shared" si="3"/>
        <v>TO DO</v>
      </c>
      <c r="F3" s="43" t="str">
        <f t="shared" si="3"/>
        <v>TO DO</v>
      </c>
      <c r="G3" s="43" t="b">
        <f t="shared" si="3"/>
        <v>0</v>
      </c>
      <c r="H3" s="43" t="b">
        <f t="shared" si="3"/>
        <v>1</v>
      </c>
      <c r="I3" s="7">
        <f t="shared" si="4"/>
        <v>3</v>
      </c>
      <c r="J3" s="44">
        <f t="shared" si="5"/>
        <v>0.3333333333</v>
      </c>
      <c r="K3" s="45" t="str">
        <f t="shared" ref="K3:O3" si="6">VLOOKUP($A3, INDIRECT(K$1&amp;"!A:D"), 4, FALSE)</f>
        <v/>
      </c>
      <c r="L3" s="45" t="str">
        <f t="shared" si="6"/>
        <v/>
      </c>
      <c r="M3" s="45" t="str">
        <f t="shared" si="6"/>
        <v/>
      </c>
      <c r="N3" s="45" t="str">
        <f t="shared" si="6"/>
        <v/>
      </c>
      <c r="O3" s="45" t="str">
        <f t="shared" si="6"/>
        <v/>
      </c>
      <c r="P3" s="44" t="str">
        <f>IFERROR(__xludf.DUMMYFUNCTION("IF(COUNTA(K3:O3)=0, """", ARRAYFORMULA(""- ""&amp;TEXTJOIN(char(10)&amp;""- "", TRUE, FILTER(K$1:O$1&amp;"": ""&amp;K3:O3, NOT(ISBLANK(K3:O3))))))"),"")</f>
        <v/>
      </c>
      <c r="Q3" s="44" t="s">
        <v>388</v>
      </c>
      <c r="R3" s="46" t="str">
        <f t="shared" si="7"/>
        <v>UNDECIDED</v>
      </c>
    </row>
    <row r="4">
      <c r="A4" s="34" t="s">
        <v>87</v>
      </c>
      <c r="B4" s="34" t="s">
        <v>88</v>
      </c>
      <c r="C4" s="43"/>
      <c r="D4" s="43" t="b">
        <f t="shared" ref="D4:H4" si="8">VLOOKUP($A4, INDIRECT(D$1&amp;"!A:C"), 3, FALSE)</f>
        <v>1</v>
      </c>
      <c r="E4" s="43" t="b">
        <f t="shared" si="8"/>
        <v>1</v>
      </c>
      <c r="F4" s="43" t="str">
        <f t="shared" si="8"/>
        <v>TO DO</v>
      </c>
      <c r="G4" s="43" t="b">
        <f t="shared" si="8"/>
        <v>0</v>
      </c>
      <c r="H4" s="43" t="b">
        <f t="shared" si="8"/>
        <v>1</v>
      </c>
      <c r="I4" s="7">
        <f t="shared" si="4"/>
        <v>4</v>
      </c>
      <c r="J4" s="44">
        <f t="shared" si="5"/>
        <v>0.5</v>
      </c>
      <c r="K4" s="45" t="str">
        <f t="shared" ref="K4:O4" si="9">VLOOKUP($A4, INDIRECT(K$1&amp;"!A:D"), 4, FALSE)</f>
        <v>target 2.c</v>
      </c>
      <c r="L4" s="45" t="str">
        <f t="shared" si="9"/>
        <v/>
      </c>
      <c r="M4" s="45" t="str">
        <f t="shared" si="9"/>
        <v/>
      </c>
      <c r="N4" s="45" t="str">
        <f t="shared" si="9"/>
        <v/>
      </c>
      <c r="O4" s="45" t="str">
        <f t="shared" si="9"/>
        <v/>
      </c>
      <c r="P4" s="44" t="str">
        <f>IFERROR(__xludf.DUMMYFUNCTION("IF(COUNTA(K4:O4)=0, """", ARRAYFORMULA(""- ""&amp;TEXTJOIN(char(10)&amp;""- "", TRUE, FILTER(K$1:O$1&amp;"": ""&amp;K4:O4, NOT(ISBLANK(K4:O4))))))"),"- Finn: target 2.c")</f>
        <v>- Finn: target 2.c</v>
      </c>
      <c r="Q4" s="44" t="s">
        <v>390</v>
      </c>
      <c r="R4" s="46" t="str">
        <f t="shared" si="7"/>
        <v>UNDECIDED</v>
      </c>
    </row>
    <row r="5">
      <c r="A5" s="34" t="s">
        <v>261</v>
      </c>
      <c r="B5" s="34" t="s">
        <v>262</v>
      </c>
      <c r="C5" s="7"/>
      <c r="D5" s="43" t="b">
        <f t="shared" ref="D5:H5" si="10">VLOOKUP($A5, INDIRECT(D$1&amp;"!A:C"), 3, FALSE)</f>
        <v>0</v>
      </c>
      <c r="E5" s="43" t="b">
        <f t="shared" si="10"/>
        <v>0</v>
      </c>
      <c r="F5" s="43" t="str">
        <f t="shared" si="10"/>
        <v>TO DO</v>
      </c>
      <c r="G5" s="43" t="b">
        <f t="shared" si="10"/>
        <v>0</v>
      </c>
      <c r="H5" s="43" t="b">
        <f t="shared" si="10"/>
        <v>0</v>
      </c>
      <c r="I5" s="7">
        <f t="shared" si="4"/>
        <v>4</v>
      </c>
      <c r="J5" s="44">
        <f t="shared" si="5"/>
        <v>1</v>
      </c>
      <c r="K5" s="45" t="str">
        <f t="shared" ref="K5:O5" si="11">VLOOKUP($A5, INDIRECT(K$1&amp;"!A:D"), 4, FALSE)</f>
        <v/>
      </c>
      <c r="L5" s="45" t="str">
        <f t="shared" si="11"/>
        <v/>
      </c>
      <c r="M5" s="45" t="str">
        <f t="shared" si="11"/>
        <v/>
      </c>
      <c r="N5" s="45" t="str">
        <f t="shared" si="11"/>
        <v/>
      </c>
      <c r="O5" s="45" t="str">
        <f t="shared" si="11"/>
        <v/>
      </c>
      <c r="P5" s="44" t="str">
        <f>IFERROR(__xludf.DUMMYFUNCTION("IF(COUNTA(K5:O5)=0, """", ARRAYFORMULA(""- ""&amp;TEXTJOIN(char(10)&amp;""- "", TRUE, FILTER(K$1:O$1&amp;"": ""&amp;K5:O5, NOT(ISBLANK(K5:O5))))))"),"")</f>
        <v/>
      </c>
      <c r="Q5" s="44" t="s">
        <v>388</v>
      </c>
      <c r="R5" s="46" t="b">
        <f t="shared" si="7"/>
        <v>0</v>
      </c>
    </row>
    <row r="6">
      <c r="A6" s="34" t="s">
        <v>117</v>
      </c>
      <c r="B6" s="34" t="s">
        <v>118</v>
      </c>
      <c r="C6" s="7"/>
      <c r="D6" s="43" t="b">
        <f t="shared" ref="D6:H6" si="12">VLOOKUP($A6, INDIRECT(D$1&amp;"!A:C"), 3, FALSE)</f>
        <v>0</v>
      </c>
      <c r="E6" s="43" t="b">
        <f t="shared" si="12"/>
        <v>0</v>
      </c>
      <c r="F6" s="43" t="str">
        <f t="shared" si="12"/>
        <v>TO DO</v>
      </c>
      <c r="G6" s="43" t="b">
        <f t="shared" si="12"/>
        <v>0</v>
      </c>
      <c r="H6" s="43" t="b">
        <f t="shared" si="12"/>
        <v>0</v>
      </c>
      <c r="I6" s="7">
        <f t="shared" si="4"/>
        <v>4</v>
      </c>
      <c r="J6" s="44">
        <f t="shared" si="5"/>
        <v>1</v>
      </c>
      <c r="K6" s="45" t="str">
        <f t="shared" ref="K6:O6" si="13">VLOOKUP($A6, INDIRECT(K$1&amp;"!A:D"), 4, FALSE)</f>
        <v>NTB = non-tariff barriers</v>
      </c>
      <c r="L6" s="45" t="str">
        <f t="shared" si="13"/>
        <v/>
      </c>
      <c r="M6" s="45" t="str">
        <f t="shared" si="13"/>
        <v/>
      </c>
      <c r="N6" s="45" t="str">
        <f t="shared" si="13"/>
        <v/>
      </c>
      <c r="O6" s="45" t="str">
        <f t="shared" si="13"/>
        <v/>
      </c>
      <c r="P6" s="44" t="str">
        <f>IFERROR(__xludf.DUMMYFUNCTION("IF(COUNTA(K6:O6)=0, """", ARRAYFORMULA(""- ""&amp;TEXTJOIN(char(10)&amp;""- "", TRUE, FILTER(K$1:O$1&amp;"": ""&amp;K6:O6, NOT(ISBLANK(K6:O6))))))"),"- Finn: NTB = non-tariff barriers")</f>
        <v>- Finn: NTB = non-tariff barriers</v>
      </c>
      <c r="Q6" s="44" t="s">
        <v>391</v>
      </c>
      <c r="R6" s="46" t="b">
        <f t="shared" si="7"/>
        <v>0</v>
      </c>
    </row>
    <row r="7">
      <c r="A7" s="34" t="s">
        <v>69</v>
      </c>
      <c r="B7" s="34" t="s">
        <v>70</v>
      </c>
      <c r="C7" s="7"/>
      <c r="D7" s="43" t="b">
        <f t="shared" ref="D7:H7" si="14">VLOOKUP($A7, INDIRECT(D$1&amp;"!A:C"), 3, FALSE)</f>
        <v>0</v>
      </c>
      <c r="E7" s="43" t="str">
        <f t="shared" si="14"/>
        <v>TO DO</v>
      </c>
      <c r="F7" s="43" t="str">
        <f t="shared" si="14"/>
        <v>TO DO</v>
      </c>
      <c r="G7" s="43" t="b">
        <f t="shared" si="14"/>
        <v>0</v>
      </c>
      <c r="H7" s="43" t="b">
        <f t="shared" si="14"/>
        <v>0</v>
      </c>
      <c r="I7" s="7">
        <f t="shared" si="4"/>
        <v>3</v>
      </c>
      <c r="J7" s="44">
        <f t="shared" si="5"/>
        <v>1</v>
      </c>
      <c r="K7" s="45" t="str">
        <f t="shared" ref="K7:O7" si="15">VLOOKUP($A7, INDIRECT(K$1&amp;"!A:D"), 4, FALSE)</f>
        <v/>
      </c>
      <c r="L7" s="45" t="str">
        <f t="shared" si="15"/>
        <v/>
      </c>
      <c r="M7" s="45" t="str">
        <f t="shared" si="15"/>
        <v/>
      </c>
      <c r="N7" s="45" t="str">
        <f t="shared" si="15"/>
        <v/>
      </c>
      <c r="O7" s="45" t="str">
        <f t="shared" si="15"/>
        <v>very likely on food safety but not explicity stated</v>
      </c>
      <c r="P7" s="44" t="str">
        <f>IFERROR(__xludf.DUMMYFUNCTION("IF(COUNTA(K7:O7)=0, """", ARRAYFORMULA(""- ""&amp;TEXTJOIN(char(10)&amp;""- "", TRUE, FILTER(K$1:O$1&amp;"": ""&amp;K7:O7, NOT(ISBLANK(K7:O7))))))"),"- Steve: very likely on food safety but not explicity stated")</f>
        <v>- Steve: very likely on food safety but not explicity stated</v>
      </c>
      <c r="Q7" s="44" t="s">
        <v>392</v>
      </c>
      <c r="R7" s="46" t="b">
        <f t="shared" si="7"/>
        <v>0</v>
      </c>
    </row>
    <row r="8">
      <c r="A8" s="34" t="s">
        <v>267</v>
      </c>
      <c r="B8" s="34" t="s">
        <v>268</v>
      </c>
      <c r="C8" s="7"/>
      <c r="D8" s="43" t="b">
        <f t="shared" ref="D8:H8" si="16">VLOOKUP($A8, INDIRECT(D$1&amp;"!A:C"), 3, FALSE)</f>
        <v>0</v>
      </c>
      <c r="E8" s="43" t="str">
        <f t="shared" si="16"/>
        <v>TO DO</v>
      </c>
      <c r="F8" s="43" t="str">
        <f t="shared" si="16"/>
        <v>TO DO</v>
      </c>
      <c r="G8" s="43" t="b">
        <f t="shared" si="16"/>
        <v>0</v>
      </c>
      <c r="H8" s="43" t="b">
        <f t="shared" si="16"/>
        <v>0</v>
      </c>
      <c r="I8" s="7">
        <f t="shared" si="4"/>
        <v>3</v>
      </c>
      <c r="J8" s="44">
        <f t="shared" si="5"/>
        <v>1</v>
      </c>
      <c r="K8" s="45" t="str">
        <f t="shared" ref="K8:O8" si="17">VLOOKUP($A8, INDIRECT(K$1&amp;"!A:D"), 4, FALSE)</f>
        <v/>
      </c>
      <c r="L8" s="45" t="str">
        <f t="shared" si="17"/>
        <v/>
      </c>
      <c r="M8" s="45" t="str">
        <f t="shared" si="17"/>
        <v/>
      </c>
      <c r="N8" s="45" t="str">
        <f t="shared" si="17"/>
        <v/>
      </c>
      <c r="O8" s="45" t="str">
        <f t="shared" si="17"/>
        <v>bolsa familia more government programme on rural development in general</v>
      </c>
      <c r="P8" s="44" t="str">
        <f>IFERROR(__xludf.DUMMYFUNCTION("IF(COUNTA(K8:O8)=0, """", ARRAYFORMULA(""- ""&amp;TEXTJOIN(char(10)&amp;""- "", TRUE, FILTER(K$1:O$1&amp;"": ""&amp;K8:O8, NOT(ISBLANK(K8:O8))))))"),"- Steve: bolsa familia more government programme on rural development in general")</f>
        <v>- Steve: bolsa familia more government programme on rural development in general</v>
      </c>
      <c r="Q8" s="44" t="s">
        <v>393</v>
      </c>
      <c r="R8" s="46" t="b">
        <f t="shared" si="7"/>
        <v>0</v>
      </c>
    </row>
    <row r="9">
      <c r="A9" s="34" t="s">
        <v>94</v>
      </c>
      <c r="B9" s="34" t="s">
        <v>95</v>
      </c>
      <c r="C9" s="7"/>
      <c r="D9" s="43" t="b">
        <f t="shared" ref="D9:H9" si="18">VLOOKUP($A9, INDIRECT(D$1&amp;"!A:C"), 3, FALSE)</f>
        <v>0</v>
      </c>
      <c r="E9" s="43" t="b">
        <f t="shared" si="18"/>
        <v>0</v>
      </c>
      <c r="F9" s="43" t="str">
        <f t="shared" si="18"/>
        <v>TO DO</v>
      </c>
      <c r="G9" s="43" t="b">
        <f t="shared" si="18"/>
        <v>0</v>
      </c>
      <c r="H9" s="43" t="b">
        <f t="shared" si="18"/>
        <v>0</v>
      </c>
      <c r="I9" s="7">
        <f t="shared" si="4"/>
        <v>4</v>
      </c>
      <c r="J9" s="44">
        <f t="shared" si="5"/>
        <v>1</v>
      </c>
      <c r="K9" s="45" t="str">
        <f t="shared" ref="K9:O9" si="19">VLOOKUP($A9, INDIRECT(K$1&amp;"!A:D"), 4, FALSE)</f>
        <v/>
      </c>
      <c r="L9" s="45" t="str">
        <f t="shared" si="19"/>
        <v/>
      </c>
      <c r="M9" s="45" t="str">
        <f t="shared" si="19"/>
        <v/>
      </c>
      <c r="N9" s="45" t="str">
        <f t="shared" si="19"/>
        <v/>
      </c>
      <c r="O9" s="45" t="str">
        <f t="shared" si="19"/>
        <v/>
      </c>
      <c r="P9" s="44" t="str">
        <f>IFERROR(__xludf.DUMMYFUNCTION("IF(COUNTA(K9:O9)=0, """", ARRAYFORMULA(""- ""&amp;TEXTJOIN(char(10)&amp;""- "", TRUE, FILTER(K$1:O$1&amp;"": ""&amp;K9:O9, NOT(ISBLANK(K9:O9))))))"),"")</f>
        <v/>
      </c>
      <c r="Q9" s="44" t="s">
        <v>388</v>
      </c>
      <c r="R9" s="46" t="b">
        <f t="shared" si="7"/>
        <v>0</v>
      </c>
    </row>
    <row r="10">
      <c r="A10" s="34" t="s">
        <v>171</v>
      </c>
      <c r="B10" s="34" t="s">
        <v>172</v>
      </c>
      <c r="C10" s="43"/>
      <c r="D10" s="43" t="b">
        <f t="shared" ref="D10:H10" si="20">VLOOKUP($A10, INDIRECT(D$1&amp;"!A:C"), 3, FALSE)</f>
        <v>1</v>
      </c>
      <c r="E10" s="43" t="b">
        <f t="shared" si="20"/>
        <v>1</v>
      </c>
      <c r="F10" s="43" t="str">
        <f t="shared" si="20"/>
        <v>TO DO</v>
      </c>
      <c r="G10" s="43" t="b">
        <f t="shared" si="20"/>
        <v>1</v>
      </c>
      <c r="H10" s="43" t="b">
        <f t="shared" si="20"/>
        <v>1</v>
      </c>
      <c r="I10" s="7">
        <f t="shared" si="4"/>
        <v>4</v>
      </c>
      <c r="J10" s="44">
        <f t="shared" si="5"/>
        <v>1</v>
      </c>
      <c r="K10" s="45" t="str">
        <f t="shared" ref="K10:O10" si="21">VLOOKUP($A10, INDIRECT(K$1&amp;"!A:D"), 4, FALSE)</f>
        <v/>
      </c>
      <c r="L10" s="45" t="str">
        <f t="shared" si="21"/>
        <v/>
      </c>
      <c r="M10" s="45" t="str">
        <f t="shared" si="21"/>
        <v/>
      </c>
      <c r="N10" s="45" t="str">
        <f t="shared" si="21"/>
        <v/>
      </c>
      <c r="O10" s="45" t="str">
        <f t="shared" si="21"/>
        <v/>
      </c>
      <c r="P10" s="44" t="str">
        <f>IFERROR(__xludf.DUMMYFUNCTION("IF(COUNTA(K10:O10)=0, """", ARRAYFORMULA(""- ""&amp;TEXTJOIN(char(10)&amp;""- "", TRUE, FILTER(K$1:O$1&amp;"": ""&amp;K10:O10, NOT(ISBLANK(K10:O10))))))"),"")</f>
        <v/>
      </c>
      <c r="Q10" s="44" t="s">
        <v>388</v>
      </c>
      <c r="R10" s="46" t="b">
        <f t="shared" si="7"/>
        <v>1</v>
      </c>
    </row>
    <row r="11">
      <c r="A11" s="34" t="s">
        <v>253</v>
      </c>
      <c r="B11" s="34" t="s">
        <v>254</v>
      </c>
      <c r="C11" s="47"/>
      <c r="D11" s="43" t="b">
        <f t="shared" ref="D11:H11" si="22">VLOOKUP($A11, INDIRECT(D$1&amp;"!A:C"), 3, FALSE)</f>
        <v>1</v>
      </c>
      <c r="E11" s="43" t="b">
        <f t="shared" si="22"/>
        <v>1</v>
      </c>
      <c r="F11" s="43" t="str">
        <f t="shared" si="22"/>
        <v>TO DO</v>
      </c>
      <c r="G11" s="43" t="b">
        <f t="shared" si="22"/>
        <v>1</v>
      </c>
      <c r="H11" s="43" t="b">
        <f t="shared" si="22"/>
        <v>1</v>
      </c>
      <c r="I11" s="7">
        <f t="shared" si="4"/>
        <v>4</v>
      </c>
      <c r="J11" s="44">
        <f t="shared" si="5"/>
        <v>1</v>
      </c>
      <c r="K11" s="45" t="str">
        <f t="shared" ref="K11:O11" si="23">VLOOKUP($A11, INDIRECT(K$1&amp;"!A:D"), 4, FALSE)</f>
        <v>target 2.1</v>
      </c>
      <c r="L11" s="45" t="str">
        <f t="shared" si="23"/>
        <v/>
      </c>
      <c r="M11" s="45" t="str">
        <f t="shared" si="23"/>
        <v/>
      </c>
      <c r="N11" s="45" t="str">
        <f t="shared" si="23"/>
        <v/>
      </c>
      <c r="O11" s="45" t="str">
        <f t="shared" si="23"/>
        <v/>
      </c>
      <c r="P11" s="44" t="str">
        <f>IFERROR(__xludf.DUMMYFUNCTION("IF(COUNTA(K11:O11)=0, """", ARRAYFORMULA(""- ""&amp;TEXTJOIN(char(10)&amp;""- "", TRUE, FILTER(K$1:O$1&amp;"": ""&amp;K11:O11, NOT(ISBLANK(K11:O11))))))"),"- Finn: target 2.1")</f>
        <v>- Finn: target 2.1</v>
      </c>
      <c r="Q11" s="44" t="s">
        <v>394</v>
      </c>
      <c r="R11" s="46" t="b">
        <f t="shared" si="7"/>
        <v>1</v>
      </c>
    </row>
    <row r="12">
      <c r="A12" s="34" t="s">
        <v>149</v>
      </c>
      <c r="B12" s="34" t="s">
        <v>150</v>
      </c>
      <c r="C12" s="48"/>
      <c r="D12" s="43" t="b">
        <f t="shared" ref="D12:H12" si="24">VLOOKUP($A12, INDIRECT(D$1&amp;"!A:C"), 3, FALSE)</f>
        <v>0</v>
      </c>
      <c r="E12" s="43" t="b">
        <f t="shared" si="24"/>
        <v>0</v>
      </c>
      <c r="F12" s="43" t="str">
        <f t="shared" si="24"/>
        <v>TO DO</v>
      </c>
      <c r="G12" s="43" t="b">
        <f t="shared" si="24"/>
        <v>0</v>
      </c>
      <c r="H12" s="43" t="b">
        <f t="shared" si="24"/>
        <v>0</v>
      </c>
      <c r="I12" s="7">
        <f t="shared" si="4"/>
        <v>4</v>
      </c>
      <c r="J12" s="44">
        <f t="shared" si="5"/>
        <v>1</v>
      </c>
      <c r="K12" s="45" t="str">
        <f t="shared" ref="K12:O12" si="25">VLOOKUP($A12, INDIRECT(K$1&amp;"!A:D"), 4, FALSE)</f>
        <v/>
      </c>
      <c r="L12" s="45" t="str">
        <f t="shared" si="25"/>
        <v/>
      </c>
      <c r="M12" s="45" t="str">
        <f t="shared" si="25"/>
        <v/>
      </c>
      <c r="N12" s="45" t="str">
        <f t="shared" si="25"/>
        <v/>
      </c>
      <c r="O12" s="45" t="str">
        <f t="shared" si="25"/>
        <v/>
      </c>
      <c r="P12" s="44" t="str">
        <f>IFERROR(__xludf.DUMMYFUNCTION("IF(COUNTA(K12:O12)=0, """", ARRAYFORMULA(""- ""&amp;TEXTJOIN(char(10)&amp;""- "", TRUE, FILTER(K$1:O$1&amp;"": ""&amp;K12:O12, NOT(ISBLANK(K12:O12))))))"),"")</f>
        <v/>
      </c>
      <c r="Q12" s="44" t="s">
        <v>388</v>
      </c>
      <c r="R12" s="46" t="b">
        <f t="shared" si="7"/>
        <v>0</v>
      </c>
    </row>
    <row r="13">
      <c r="A13" s="34" t="s">
        <v>156</v>
      </c>
      <c r="B13" s="34" t="s">
        <v>157</v>
      </c>
      <c r="C13" s="47"/>
      <c r="D13" s="43" t="b">
        <f t="shared" ref="D13:H13" si="26">VLOOKUP($A13, INDIRECT(D$1&amp;"!A:C"), 3, FALSE)</f>
        <v>1</v>
      </c>
      <c r="E13" s="43" t="b">
        <f t="shared" si="26"/>
        <v>1</v>
      </c>
      <c r="F13" s="43" t="str">
        <f t="shared" si="26"/>
        <v>TO DO</v>
      </c>
      <c r="G13" s="43" t="b">
        <f t="shared" si="26"/>
        <v>0</v>
      </c>
      <c r="H13" s="43" t="b">
        <f t="shared" si="26"/>
        <v>1</v>
      </c>
      <c r="I13" s="7">
        <f t="shared" si="4"/>
        <v>4</v>
      </c>
      <c r="J13" s="44">
        <f t="shared" si="5"/>
        <v>0.5</v>
      </c>
      <c r="K13" s="45" t="str">
        <f t="shared" ref="K13:O13" si="27">VLOOKUP($A13, INDIRECT(K$1&amp;"!A:D"), 4, FALSE)</f>
        <v>target 2.a</v>
      </c>
      <c r="L13" s="45" t="str">
        <f t="shared" si="27"/>
        <v/>
      </c>
      <c r="M13" s="45" t="str">
        <f t="shared" si="27"/>
        <v/>
      </c>
      <c r="N13" s="45" t="str">
        <f t="shared" si="27"/>
        <v>about agriculture but not how to end hunger</v>
      </c>
      <c r="O13" s="45" t="str">
        <f t="shared" si="27"/>
        <v/>
      </c>
      <c r="P13" s="44" t="str">
        <f>IFERROR(__xludf.DUMMYFUNCTION("IF(COUNTA(K13:O13)=0, """", ARRAYFORMULA(""- ""&amp;TEXTJOIN(char(10)&amp;""- "", TRUE, FILTER(K$1:O$1&amp;"": ""&amp;K13:O13, NOT(ISBLANK(K13:O13))))))"),"- Finn: target 2.a
- Meike: about agriculture but not how to end hunger")</f>
        <v>- Finn: target 2.a
- Meike: about agriculture but not how to end hunger</v>
      </c>
      <c r="Q13" s="44" t="s">
        <v>395</v>
      </c>
      <c r="R13" s="46" t="str">
        <f t="shared" si="7"/>
        <v>UNDECIDED</v>
      </c>
    </row>
    <row r="14">
      <c r="A14" s="34" t="s">
        <v>257</v>
      </c>
      <c r="B14" s="34" t="s">
        <v>258</v>
      </c>
      <c r="C14" s="7" t="s">
        <v>389</v>
      </c>
      <c r="D14" s="43" t="b">
        <f t="shared" ref="D14:H14" si="28">VLOOKUP($A14, INDIRECT(D$1&amp;"!A:C"), 3, FALSE)</f>
        <v>1</v>
      </c>
      <c r="E14" s="43" t="str">
        <f t="shared" si="28"/>
        <v>TO DO</v>
      </c>
      <c r="F14" s="43" t="str">
        <f t="shared" si="28"/>
        <v>TO DO</v>
      </c>
      <c r="G14" s="43" t="b">
        <f t="shared" si="28"/>
        <v>0</v>
      </c>
      <c r="H14" s="43" t="b">
        <f t="shared" si="28"/>
        <v>1</v>
      </c>
      <c r="I14" s="7">
        <f t="shared" si="4"/>
        <v>3</v>
      </c>
      <c r="J14" s="44">
        <f t="shared" si="5"/>
        <v>0.3333333333</v>
      </c>
      <c r="K14" s="45" t="str">
        <f t="shared" ref="K14:O14" si="29">VLOOKUP($A14, INDIRECT(K$1&amp;"!A:D"), 4, FALSE)</f>
        <v>target 2.b</v>
      </c>
      <c r="L14" s="45" t="str">
        <f t="shared" si="29"/>
        <v/>
      </c>
      <c r="M14" s="45" t="str">
        <f t="shared" si="29"/>
        <v/>
      </c>
      <c r="N14" s="45" t="str">
        <f t="shared" si="29"/>
        <v/>
      </c>
      <c r="O14" s="45" t="str">
        <f t="shared" si="29"/>
        <v/>
      </c>
      <c r="P14" s="44" t="str">
        <f>IFERROR(__xludf.DUMMYFUNCTION("IF(COUNTA(K14:O14)=0, """", ARRAYFORMULA(""- ""&amp;TEXTJOIN(char(10)&amp;""- "", TRUE, FILTER(K$1:O$1&amp;"": ""&amp;K14:O14, NOT(ISBLANK(K14:O14))))))"),"- Finn: target 2.b")</f>
        <v>- Finn: target 2.b</v>
      </c>
      <c r="Q14" s="44" t="s">
        <v>396</v>
      </c>
      <c r="R14" s="46" t="str">
        <f t="shared" si="7"/>
        <v>UNDECIDED</v>
      </c>
    </row>
    <row r="15">
      <c r="A15" s="34" t="s">
        <v>269</v>
      </c>
      <c r="B15" s="34" t="s">
        <v>270</v>
      </c>
      <c r="C15" s="47"/>
      <c r="D15" s="43" t="b">
        <f t="shared" ref="D15:H15" si="30">VLOOKUP($A15, INDIRECT(D$1&amp;"!A:C"), 3, FALSE)</f>
        <v>1</v>
      </c>
      <c r="E15" s="43" t="b">
        <f t="shared" si="30"/>
        <v>1</v>
      </c>
      <c r="F15" s="43" t="str">
        <f t="shared" si="30"/>
        <v>TO DO</v>
      </c>
      <c r="G15" s="43" t="b">
        <f t="shared" si="30"/>
        <v>1</v>
      </c>
      <c r="H15" s="43" t="b">
        <f t="shared" si="30"/>
        <v>1</v>
      </c>
      <c r="I15" s="7">
        <f t="shared" si="4"/>
        <v>4</v>
      </c>
      <c r="J15" s="44">
        <f t="shared" si="5"/>
        <v>1</v>
      </c>
      <c r="K15" s="45" t="str">
        <f t="shared" ref="K15:O15" si="31">VLOOKUP($A15, INDIRECT(K$1&amp;"!A:D"), 4, FALSE)</f>
        <v/>
      </c>
      <c r="L15" s="45" t="str">
        <f t="shared" si="31"/>
        <v>Could be false.
The passage gives an example of an event that was against 2b.</v>
      </c>
      <c r="M15" s="45" t="str">
        <f t="shared" si="31"/>
        <v/>
      </c>
      <c r="N15" s="45" t="str">
        <f t="shared" si="31"/>
        <v/>
      </c>
      <c r="O15" s="45" t="str">
        <f t="shared" si="31"/>
        <v/>
      </c>
      <c r="P15" s="44" t="str">
        <f>IFERROR(__xludf.DUMMYFUNCTION("IF(COUNTA(K15:O15)=0, """", ARRAYFORMULA(""- ""&amp;TEXTJOIN(char(10)&amp;""- "", TRUE, FILTER(K$1:O$1&amp;"": ""&amp;K15:O15, NOT(ISBLANK(K15:O15))))))"),"- Gib: Could be false.
The passage gives an example of an event that was against 2b.")</f>
        <v>- Gib: Could be false.
The passage gives an example of an event that was against 2b.</v>
      </c>
      <c r="Q15" s="44" t="s">
        <v>397</v>
      </c>
      <c r="R15" s="46" t="b">
        <f t="shared" si="7"/>
        <v>1</v>
      </c>
    </row>
    <row r="16">
      <c r="A16" s="34" t="s">
        <v>162</v>
      </c>
      <c r="B16" s="34" t="s">
        <v>163</v>
      </c>
      <c r="C16" s="7" t="s">
        <v>389</v>
      </c>
      <c r="D16" s="43" t="b">
        <f t="shared" ref="D16:H16" si="32">VLOOKUP($A16, INDIRECT(D$1&amp;"!A:C"), 3, FALSE)</f>
        <v>0</v>
      </c>
      <c r="E16" s="43" t="b">
        <f t="shared" si="32"/>
        <v>0</v>
      </c>
      <c r="F16" s="43" t="str">
        <f t="shared" si="32"/>
        <v>TO DO</v>
      </c>
      <c r="G16" s="43" t="b">
        <f t="shared" si="32"/>
        <v>1</v>
      </c>
      <c r="H16" s="43" t="b">
        <f t="shared" si="32"/>
        <v>1</v>
      </c>
      <c r="I16" s="7">
        <f t="shared" si="4"/>
        <v>4</v>
      </c>
      <c r="J16" s="44">
        <f t="shared" si="5"/>
        <v>0</v>
      </c>
      <c r="K16" s="45" t="str">
        <f t="shared" ref="K16:O16" si="33">VLOOKUP($A16, INDIRECT(K$1&amp;"!A:D"), 4, FALSE)</f>
        <v/>
      </c>
      <c r="L16" s="45" t="str">
        <f t="shared" si="33"/>
        <v/>
      </c>
      <c r="M16" s="45" t="str">
        <f t="shared" si="33"/>
        <v/>
      </c>
      <c r="N16" s="45" t="str">
        <f t="shared" si="33"/>
        <v/>
      </c>
      <c r="O16" s="45" t="str">
        <f t="shared" si="33"/>
        <v>hunger mentioned</v>
      </c>
      <c r="P16" s="44" t="str">
        <f>IFERROR(__xludf.DUMMYFUNCTION("IF(COUNTA(K16:O16)=0, """", ARRAYFORMULA(""- ""&amp;TEXTJOIN(char(10)&amp;""- "", TRUE, FILTER(K$1:O$1&amp;"": ""&amp;K16:O16, NOT(ISBLANK(K16:O16))))))"),"- Steve: hunger mentioned")</f>
        <v>- Steve: hunger mentioned</v>
      </c>
      <c r="Q16" s="44" t="s">
        <v>398</v>
      </c>
      <c r="R16" s="46" t="str">
        <f t="shared" si="7"/>
        <v>UNDECIDED</v>
      </c>
    </row>
    <row r="17">
      <c r="A17" s="34" t="s">
        <v>217</v>
      </c>
      <c r="B17" s="34" t="s">
        <v>218</v>
      </c>
      <c r="C17" s="7" t="s">
        <v>389</v>
      </c>
      <c r="D17" s="43" t="b">
        <f t="shared" ref="D17:H17" si="34">VLOOKUP($A17, INDIRECT(D$1&amp;"!A:C"), 3, FALSE)</f>
        <v>0</v>
      </c>
      <c r="E17" s="43" t="str">
        <f t="shared" si="34"/>
        <v>TO DO</v>
      </c>
      <c r="F17" s="43" t="str">
        <f t="shared" si="34"/>
        <v>TO DO</v>
      </c>
      <c r="G17" s="43" t="b">
        <f t="shared" si="34"/>
        <v>0</v>
      </c>
      <c r="H17" s="43" t="b">
        <f t="shared" si="34"/>
        <v>1</v>
      </c>
      <c r="I17" s="7">
        <f t="shared" si="4"/>
        <v>3</v>
      </c>
      <c r="J17" s="44">
        <f t="shared" si="5"/>
        <v>0.3333333333</v>
      </c>
      <c r="K17" s="45" t="str">
        <f t="shared" ref="K17:O17" si="35">VLOOKUP($A17, INDIRECT(K$1&amp;"!A:D"), 4, FALSE)</f>
        <v/>
      </c>
      <c r="L17" s="45" t="str">
        <f t="shared" si="35"/>
        <v/>
      </c>
      <c r="M17" s="45" t="str">
        <f t="shared" si="35"/>
        <v/>
      </c>
      <c r="N17" s="45" t="str">
        <f t="shared" si="35"/>
        <v/>
      </c>
      <c r="O17" s="45" t="str">
        <f t="shared" si="35"/>
        <v>Biofuels are considered an agricultural commodity</v>
      </c>
      <c r="P17" s="44" t="str">
        <f>IFERROR(__xludf.DUMMYFUNCTION("IF(COUNTA(K17:O17)=0, """", ARRAYFORMULA(""- ""&amp;TEXTJOIN(char(10)&amp;""- "", TRUE, FILTER(K$1:O$1&amp;"": ""&amp;K17:O17, NOT(ISBLANK(K17:O17))))))"),"- Steve: Biofuels are considered an agricultural commodity")</f>
        <v>- Steve: Biofuels are considered an agricultural commodity</v>
      </c>
      <c r="Q17" s="44" t="s">
        <v>399</v>
      </c>
      <c r="R17" s="46" t="str">
        <f t="shared" si="7"/>
        <v>UNDECIDED</v>
      </c>
    </row>
    <row r="18">
      <c r="A18" s="34" t="s">
        <v>213</v>
      </c>
      <c r="B18" s="34" t="s">
        <v>214</v>
      </c>
      <c r="C18" s="7"/>
      <c r="D18" s="43" t="b">
        <f t="shared" ref="D18:H18" si="36">VLOOKUP($A18, INDIRECT(D$1&amp;"!A:C"), 3, FALSE)</f>
        <v>0</v>
      </c>
      <c r="E18" s="43" t="str">
        <f t="shared" si="36"/>
        <v>TO DO</v>
      </c>
      <c r="F18" s="43" t="str">
        <f t="shared" si="36"/>
        <v>TO DO</v>
      </c>
      <c r="G18" s="43" t="b">
        <f t="shared" si="36"/>
        <v>0</v>
      </c>
      <c r="H18" s="43" t="b">
        <f t="shared" si="36"/>
        <v>0</v>
      </c>
      <c r="I18" s="7">
        <f t="shared" si="4"/>
        <v>3</v>
      </c>
      <c r="J18" s="44">
        <f t="shared" si="5"/>
        <v>1</v>
      </c>
      <c r="K18" s="45" t="str">
        <f t="shared" ref="K18:O18" si="37">VLOOKUP($A18, INDIRECT(K$1&amp;"!A:D"), 4, FALSE)</f>
        <v/>
      </c>
      <c r="L18" s="45" t="str">
        <f t="shared" si="37"/>
        <v/>
      </c>
      <c r="M18" s="45" t="str">
        <f t="shared" si="37"/>
        <v/>
      </c>
      <c r="N18" s="45" t="str">
        <f t="shared" si="37"/>
        <v/>
      </c>
      <c r="O18" s="45" t="str">
        <f t="shared" si="37"/>
        <v/>
      </c>
      <c r="P18" s="44" t="str">
        <f>IFERROR(__xludf.DUMMYFUNCTION("IF(COUNTA(K18:O18)=0, """", ARRAYFORMULA(""- ""&amp;TEXTJOIN(char(10)&amp;""- "", TRUE, FILTER(K$1:O$1&amp;"": ""&amp;K18:O18, NOT(ISBLANK(K18:O18))))))"),"")</f>
        <v/>
      </c>
      <c r="Q18" s="44" t="s">
        <v>388</v>
      </c>
      <c r="R18" s="46" t="b">
        <f t="shared" si="7"/>
        <v>0</v>
      </c>
    </row>
    <row r="19">
      <c r="A19" s="34" t="s">
        <v>131</v>
      </c>
      <c r="B19" s="34" t="s">
        <v>132</v>
      </c>
      <c r="C19" s="7" t="s">
        <v>389</v>
      </c>
      <c r="D19" s="43" t="b">
        <f t="shared" ref="D19:H19" si="38">VLOOKUP($A19, INDIRECT(D$1&amp;"!A:C"), 3, FALSE)</f>
        <v>1</v>
      </c>
      <c r="E19" s="43" t="b">
        <f t="shared" si="38"/>
        <v>0</v>
      </c>
      <c r="F19" s="43" t="str">
        <f t="shared" si="38"/>
        <v>TO DO</v>
      </c>
      <c r="G19" s="43" t="b">
        <f t="shared" si="38"/>
        <v>1</v>
      </c>
      <c r="H19" s="43" t="b">
        <f t="shared" si="38"/>
        <v>1</v>
      </c>
      <c r="I19" s="7">
        <f t="shared" si="4"/>
        <v>4</v>
      </c>
      <c r="J19" s="44">
        <f t="shared" si="5"/>
        <v>0.5</v>
      </c>
      <c r="K19" s="45" t="str">
        <f t="shared" ref="K19:O19" si="39">VLOOKUP($A19, INDIRECT(K$1&amp;"!A:D"), 4, FALSE)</f>
        <v>target 2.c</v>
      </c>
      <c r="L19" s="45" t="str">
        <f t="shared" si="39"/>
        <v/>
      </c>
      <c r="M19" s="45" t="str">
        <f t="shared" si="39"/>
        <v/>
      </c>
      <c r="N19" s="45" t="str">
        <f t="shared" si="39"/>
        <v/>
      </c>
      <c r="O19" s="45" t="str">
        <f t="shared" si="39"/>
        <v/>
      </c>
      <c r="P19" s="44" t="str">
        <f>IFERROR(__xludf.DUMMYFUNCTION("IF(COUNTA(K19:O19)=0, """", ARRAYFORMULA(""- ""&amp;TEXTJOIN(char(10)&amp;""- "", TRUE, FILTER(K$1:O$1&amp;"": ""&amp;K19:O19, NOT(ISBLANK(K19:O19))))))"),"- Finn: target 2.c")</f>
        <v>- Finn: target 2.c</v>
      </c>
      <c r="Q19" s="44" t="s">
        <v>390</v>
      </c>
      <c r="R19" s="46" t="str">
        <f t="shared" si="7"/>
        <v>UNDECIDED</v>
      </c>
    </row>
    <row r="20">
      <c r="A20" s="34" t="s">
        <v>283</v>
      </c>
      <c r="B20" s="34" t="s">
        <v>284</v>
      </c>
      <c r="C20" s="7"/>
      <c r="D20" s="43" t="b">
        <f t="shared" ref="D20:H20" si="40">VLOOKUP($A20, INDIRECT(D$1&amp;"!A:C"), 3, FALSE)</f>
        <v>1</v>
      </c>
      <c r="E20" s="43" t="b">
        <f t="shared" si="40"/>
        <v>1</v>
      </c>
      <c r="F20" s="43" t="str">
        <f t="shared" si="40"/>
        <v>TO DO</v>
      </c>
      <c r="G20" s="43" t="b">
        <f t="shared" si="40"/>
        <v>1</v>
      </c>
      <c r="H20" s="43" t="b">
        <f t="shared" si="40"/>
        <v>1</v>
      </c>
      <c r="I20" s="7">
        <f t="shared" si="4"/>
        <v>4</v>
      </c>
      <c r="J20" s="44">
        <f t="shared" si="5"/>
        <v>1</v>
      </c>
      <c r="K20" s="45" t="str">
        <f t="shared" ref="K20:O20" si="41">VLOOKUP($A20, INDIRECT(K$1&amp;"!A:D"), 4, FALSE)</f>
        <v>- target 2.3</v>
      </c>
      <c r="L20" s="45" t="str">
        <f t="shared" si="41"/>
        <v>Could be False.
The passage calls for considering off-farm income when estimating farmers' income, probably for SDG 2.3</v>
      </c>
      <c r="M20" s="45" t="str">
        <f t="shared" si="41"/>
        <v/>
      </c>
      <c r="N20" s="45" t="str">
        <f t="shared" si="41"/>
        <v/>
      </c>
      <c r="O20" s="45" t="str">
        <f t="shared" si="41"/>
        <v/>
      </c>
      <c r="P20" s="44" t="str">
        <f>IFERROR(__xludf.DUMMYFUNCTION("IF(COUNTA(K20:O20)=0, """", ARRAYFORMULA(""- ""&amp;TEXTJOIN(char(10)&amp;""- "", TRUE, FILTER(K$1:O$1&amp;"": ""&amp;K20:O20, NOT(ISBLANK(K20:O20))))))"),"- Finn: - target 2.3
- Gib: Could be False.
The passage calls for considering off-farm income when estimating farmers' income, probably for SDG 2.3")</f>
        <v>- Finn: - target 2.3
- Gib: Could be False.
The passage calls for considering off-farm income when estimating farmers' income, probably for SDG 2.3</v>
      </c>
      <c r="Q20" s="44" t="s">
        <v>400</v>
      </c>
      <c r="R20" s="46" t="b">
        <f t="shared" si="7"/>
        <v>1</v>
      </c>
    </row>
    <row r="21">
      <c r="A21" s="34" t="s">
        <v>199</v>
      </c>
      <c r="B21" s="34" t="s">
        <v>200</v>
      </c>
      <c r="C21" s="7" t="s">
        <v>389</v>
      </c>
      <c r="D21" s="43" t="b">
        <f t="shared" ref="D21:H21" si="42">VLOOKUP($A21, INDIRECT(D$1&amp;"!A:C"), 3, FALSE)</f>
        <v>1</v>
      </c>
      <c r="E21" s="43" t="str">
        <f t="shared" si="42"/>
        <v>TO DO</v>
      </c>
      <c r="F21" s="43" t="str">
        <f t="shared" si="42"/>
        <v>TO DO</v>
      </c>
      <c r="G21" s="43" t="b">
        <f t="shared" si="42"/>
        <v>0</v>
      </c>
      <c r="H21" s="43" t="b">
        <f t="shared" si="42"/>
        <v>1</v>
      </c>
      <c r="I21" s="7">
        <f t="shared" si="4"/>
        <v>3</v>
      </c>
      <c r="J21" s="44">
        <f t="shared" si="5"/>
        <v>0.3333333333</v>
      </c>
      <c r="K21" s="45" t="str">
        <f t="shared" ref="K21:O21" si="43">VLOOKUP($A21, INDIRECT(K$1&amp;"!A:D"), 4, FALSE)</f>
        <v>target 2.3 + 2.a</v>
      </c>
      <c r="L21" s="45" t="str">
        <f t="shared" si="43"/>
        <v/>
      </c>
      <c r="M21" s="45" t="str">
        <f t="shared" si="43"/>
        <v/>
      </c>
      <c r="N21" s="45" t="str">
        <f t="shared" si="43"/>
        <v/>
      </c>
      <c r="O21" s="45" t="str">
        <f t="shared" si="43"/>
        <v/>
      </c>
      <c r="P21" s="44" t="str">
        <f>IFERROR(__xludf.DUMMYFUNCTION("IF(COUNTA(K21:O21)=0, """", ARRAYFORMULA(""- ""&amp;TEXTJOIN(char(10)&amp;""- "", TRUE, FILTER(K$1:O$1&amp;"": ""&amp;K21:O21, NOT(ISBLANK(K21:O21))))))"),"- Finn: target 2.3 + 2.a")</f>
        <v>- Finn: target 2.3 + 2.a</v>
      </c>
      <c r="Q21" s="44" t="s">
        <v>401</v>
      </c>
      <c r="R21" s="46" t="str">
        <f t="shared" si="7"/>
        <v>UNDECIDED</v>
      </c>
    </row>
    <row r="22">
      <c r="A22" s="34" t="s">
        <v>227</v>
      </c>
      <c r="B22" s="34" t="s">
        <v>228</v>
      </c>
      <c r="C22" s="48"/>
      <c r="D22" s="43" t="b">
        <f t="shared" ref="D22:H22" si="44">VLOOKUP($A22, INDIRECT(D$1&amp;"!A:C"), 3, FALSE)</f>
        <v>0</v>
      </c>
      <c r="E22" s="43" t="b">
        <f t="shared" si="44"/>
        <v>0</v>
      </c>
      <c r="F22" s="43" t="str">
        <f t="shared" si="44"/>
        <v>TO DO</v>
      </c>
      <c r="G22" s="43" t="b">
        <f t="shared" si="44"/>
        <v>0</v>
      </c>
      <c r="H22" s="43" t="b">
        <f t="shared" si="44"/>
        <v>0</v>
      </c>
      <c r="I22" s="7">
        <f t="shared" si="4"/>
        <v>4</v>
      </c>
      <c r="J22" s="44">
        <f t="shared" si="5"/>
        <v>1</v>
      </c>
      <c r="K22" s="45" t="str">
        <f t="shared" ref="K22:O22" si="45">VLOOKUP($A22, INDIRECT(K$1&amp;"!A:D"), 4, FALSE)</f>
        <v/>
      </c>
      <c r="L22" s="45" t="str">
        <f t="shared" si="45"/>
        <v/>
      </c>
      <c r="M22" s="45" t="str">
        <f t="shared" si="45"/>
        <v/>
      </c>
      <c r="N22" s="45" t="str">
        <f t="shared" si="45"/>
        <v/>
      </c>
      <c r="O22" s="45" t="str">
        <f t="shared" si="45"/>
        <v/>
      </c>
      <c r="P22" s="44" t="str">
        <f>IFERROR(__xludf.DUMMYFUNCTION("IF(COUNTA(K22:O22)=0, """", ARRAYFORMULA(""- ""&amp;TEXTJOIN(char(10)&amp;""- "", TRUE, FILTER(K$1:O$1&amp;"": ""&amp;K22:O22, NOT(ISBLANK(K22:O22))))))"),"")</f>
        <v/>
      </c>
      <c r="Q22" s="44" t="s">
        <v>388</v>
      </c>
      <c r="R22" s="46" t="b">
        <f t="shared" si="7"/>
        <v>0</v>
      </c>
    </row>
    <row r="23">
      <c r="A23" s="34" t="s">
        <v>238</v>
      </c>
      <c r="B23" s="34" t="s">
        <v>239</v>
      </c>
      <c r="C23" s="43"/>
      <c r="D23" s="43" t="b">
        <f t="shared" ref="D23:H23" si="46">VLOOKUP($A23, INDIRECT(D$1&amp;"!A:C"), 3, FALSE)</f>
        <v>1</v>
      </c>
      <c r="E23" s="43" t="str">
        <f t="shared" si="46"/>
        <v>TO DO</v>
      </c>
      <c r="F23" s="43" t="str">
        <f t="shared" si="46"/>
        <v>TO DO</v>
      </c>
      <c r="G23" s="43" t="b">
        <f t="shared" si="46"/>
        <v>1</v>
      </c>
      <c r="H23" s="43" t="b">
        <f t="shared" si="46"/>
        <v>1</v>
      </c>
      <c r="I23" s="7">
        <f t="shared" si="4"/>
        <v>3</v>
      </c>
      <c r="J23" s="44">
        <f t="shared" si="5"/>
        <v>1</v>
      </c>
      <c r="K23" s="45" t="str">
        <f t="shared" ref="K23:O23" si="47">VLOOKUP($A23, INDIRECT(K$1&amp;"!A:D"), 4, FALSE)</f>
        <v>target 2.c</v>
      </c>
      <c r="L23" s="45" t="str">
        <f t="shared" si="47"/>
        <v/>
      </c>
      <c r="M23" s="45" t="str">
        <f t="shared" si="47"/>
        <v/>
      </c>
      <c r="N23" s="45" t="str">
        <f t="shared" si="47"/>
        <v/>
      </c>
      <c r="O23" s="45" t="str">
        <f t="shared" si="47"/>
        <v/>
      </c>
      <c r="P23" s="44" t="str">
        <f>IFERROR(__xludf.DUMMYFUNCTION("IF(COUNTA(K23:O23)=0, """", ARRAYFORMULA(""- ""&amp;TEXTJOIN(char(10)&amp;""- "", TRUE, FILTER(K$1:O$1&amp;"": ""&amp;K23:O23, NOT(ISBLANK(K23:O23))))))"),"- Finn: target 2.c")</f>
        <v>- Finn: target 2.c</v>
      </c>
      <c r="Q23" s="44" t="s">
        <v>390</v>
      </c>
      <c r="R23" s="46" t="b">
        <f t="shared" si="7"/>
        <v>1</v>
      </c>
    </row>
    <row r="24">
      <c r="A24" s="34" t="s">
        <v>209</v>
      </c>
      <c r="B24" s="34" t="s">
        <v>210</v>
      </c>
      <c r="C24" s="43"/>
      <c r="D24" s="43" t="b">
        <f t="shared" ref="D24:H24" si="48">VLOOKUP($A24, INDIRECT(D$1&amp;"!A:C"), 3, FALSE)</f>
        <v>0</v>
      </c>
      <c r="E24" s="43" t="str">
        <f t="shared" si="48"/>
        <v>TO DO</v>
      </c>
      <c r="F24" s="43" t="str">
        <f t="shared" si="48"/>
        <v>TO DO</v>
      </c>
      <c r="G24" s="43" t="b">
        <f t="shared" si="48"/>
        <v>1</v>
      </c>
      <c r="H24" s="43" t="b">
        <f t="shared" si="48"/>
        <v>0</v>
      </c>
      <c r="I24" s="7">
        <f t="shared" si="4"/>
        <v>3</v>
      </c>
      <c r="J24" s="44">
        <f t="shared" si="5"/>
        <v>0.3333333333</v>
      </c>
      <c r="K24" s="45" t="str">
        <f t="shared" ref="K24:O24" si="49">VLOOKUP($A24, INDIRECT(K$1&amp;"!A:D"), 4, FALSE)</f>
        <v/>
      </c>
      <c r="L24" s="45" t="str">
        <f t="shared" si="49"/>
        <v/>
      </c>
      <c r="M24" s="45" t="str">
        <f t="shared" si="49"/>
        <v/>
      </c>
      <c r="N24" s="45" t="str">
        <f t="shared" si="49"/>
        <v/>
      </c>
      <c r="O24" s="45" t="str">
        <f t="shared" si="49"/>
        <v/>
      </c>
      <c r="P24" s="44" t="str">
        <f>IFERROR(__xludf.DUMMYFUNCTION("IF(COUNTA(K24:O24)=0, """", ARRAYFORMULA(""- ""&amp;TEXTJOIN(char(10)&amp;""- "", TRUE, FILTER(K$1:O$1&amp;"": ""&amp;K24:O24, NOT(ISBLANK(K24:O24))))))"),"")</f>
        <v/>
      </c>
      <c r="Q24" s="44" t="s">
        <v>388</v>
      </c>
      <c r="R24" s="46" t="str">
        <f t="shared" si="7"/>
        <v>UNDECIDED</v>
      </c>
    </row>
    <row r="25">
      <c r="A25" s="34" t="s">
        <v>180</v>
      </c>
      <c r="B25" s="34" t="s">
        <v>181</v>
      </c>
      <c r="C25" s="47"/>
      <c r="D25" s="43" t="b">
        <f t="shared" ref="D25:H25" si="50">VLOOKUP($A25, INDIRECT(D$1&amp;"!A:C"), 3, FALSE)</f>
        <v>1</v>
      </c>
      <c r="E25" s="43" t="str">
        <f t="shared" si="50"/>
        <v>TO DO</v>
      </c>
      <c r="F25" s="43" t="str">
        <f t="shared" si="50"/>
        <v>TO DO</v>
      </c>
      <c r="G25" s="43" t="b">
        <f t="shared" si="50"/>
        <v>1</v>
      </c>
      <c r="H25" s="43" t="b">
        <f t="shared" si="50"/>
        <v>1</v>
      </c>
      <c r="I25" s="7">
        <f t="shared" si="4"/>
        <v>3</v>
      </c>
      <c r="J25" s="44">
        <f t="shared" si="5"/>
        <v>1</v>
      </c>
      <c r="K25" s="45" t="str">
        <f t="shared" ref="K25:O25" si="51">VLOOKUP($A25, INDIRECT(K$1&amp;"!A:D"), 4, FALSE)</f>
        <v/>
      </c>
      <c r="L25" s="45" t="str">
        <f t="shared" si="51"/>
        <v/>
      </c>
      <c r="M25" s="45" t="str">
        <f t="shared" si="51"/>
        <v/>
      </c>
      <c r="N25" s="45" t="str">
        <f t="shared" si="51"/>
        <v/>
      </c>
      <c r="O25" s="45" t="str">
        <f t="shared" si="51"/>
        <v/>
      </c>
      <c r="P25" s="44" t="str">
        <f>IFERROR(__xludf.DUMMYFUNCTION("IF(COUNTA(K25:O25)=0, """", ARRAYFORMULA(""- ""&amp;TEXTJOIN(char(10)&amp;""- "", TRUE, FILTER(K$1:O$1&amp;"": ""&amp;K25:O25, NOT(ISBLANK(K25:O25))))))"),"")</f>
        <v/>
      </c>
      <c r="Q25" s="44" t="s">
        <v>388</v>
      </c>
      <c r="R25" s="46" t="b">
        <f t="shared" si="7"/>
        <v>1</v>
      </c>
    </row>
    <row r="26">
      <c r="A26" s="34" t="s">
        <v>229</v>
      </c>
      <c r="B26" s="34" t="s">
        <v>230</v>
      </c>
      <c r="C26" s="7" t="s">
        <v>402</v>
      </c>
      <c r="D26" s="43" t="b">
        <f t="shared" ref="D26:H26" si="52">VLOOKUP($A26, INDIRECT(D$1&amp;"!A:C"), 3, FALSE)</f>
        <v>0</v>
      </c>
      <c r="E26" s="43" t="str">
        <f t="shared" si="52"/>
        <v>TO DO</v>
      </c>
      <c r="F26" s="43" t="str">
        <f t="shared" si="52"/>
        <v>TO DO</v>
      </c>
      <c r="G26" s="43" t="b">
        <f t="shared" si="52"/>
        <v>1</v>
      </c>
      <c r="H26" s="43" t="b">
        <f t="shared" si="52"/>
        <v>1</v>
      </c>
      <c r="I26" s="7">
        <f t="shared" si="4"/>
        <v>3</v>
      </c>
      <c r="J26" s="44">
        <f t="shared" si="5"/>
        <v>0.3333333333</v>
      </c>
      <c r="K26" s="45" t="str">
        <f t="shared" ref="K26:O26" si="53">VLOOKUP($A26, INDIRECT(K$1&amp;"!A:D"), 4, FALSE)</f>
        <v/>
      </c>
      <c r="L26" s="45" t="str">
        <f t="shared" si="53"/>
        <v/>
      </c>
      <c r="M26" s="45" t="str">
        <f t="shared" si="53"/>
        <v/>
      </c>
      <c r="N26" s="45" t="str">
        <f t="shared" si="53"/>
        <v/>
      </c>
      <c r="O26" s="45" t="str">
        <f t="shared" si="53"/>
        <v>small-scale producer incomes?</v>
      </c>
      <c r="P26" s="44" t="str">
        <f>IFERROR(__xludf.DUMMYFUNCTION("IF(COUNTA(K26:O26)=0, """", ARRAYFORMULA(""- ""&amp;TEXTJOIN(char(10)&amp;""- "", TRUE, FILTER(K$1:O$1&amp;"": ""&amp;K26:O26, NOT(ISBLANK(K26:O26))))))"),"- Steve: small-scale producer incomes?")</f>
        <v>- Steve: small-scale producer incomes?</v>
      </c>
      <c r="Q26" s="44" t="s">
        <v>403</v>
      </c>
      <c r="R26" s="46" t="str">
        <f t="shared" si="7"/>
        <v>UNDECIDED</v>
      </c>
    </row>
    <row r="27">
      <c r="A27" s="34" t="s">
        <v>205</v>
      </c>
      <c r="B27" s="34" t="s">
        <v>206</v>
      </c>
      <c r="C27" s="7" t="s">
        <v>389</v>
      </c>
      <c r="D27" s="43" t="b">
        <f t="shared" ref="D27:H27" si="54">VLOOKUP($A27, INDIRECT(D$1&amp;"!A:C"), 3, FALSE)</f>
        <v>0</v>
      </c>
      <c r="E27" s="43" t="str">
        <f t="shared" si="54"/>
        <v>TO DO</v>
      </c>
      <c r="F27" s="43" t="str">
        <f t="shared" si="54"/>
        <v>TO DO</v>
      </c>
      <c r="G27" s="43" t="b">
        <f t="shared" si="54"/>
        <v>0</v>
      </c>
      <c r="H27" s="43" t="b">
        <f t="shared" si="54"/>
        <v>1</v>
      </c>
      <c r="I27" s="7">
        <f t="shared" si="4"/>
        <v>3</v>
      </c>
      <c r="J27" s="44">
        <f t="shared" si="5"/>
        <v>0.3333333333</v>
      </c>
      <c r="K27" s="45" t="str">
        <f t="shared" ref="K27:O27" si="55">VLOOKUP($A27, INDIRECT(K$1&amp;"!A:D"), 4, FALSE)</f>
        <v/>
      </c>
      <c r="L27" s="45" t="str">
        <f t="shared" si="55"/>
        <v/>
      </c>
      <c r="M27" s="45" t="str">
        <f t="shared" si="55"/>
        <v/>
      </c>
      <c r="N27" s="45" t="str">
        <f t="shared" si="55"/>
        <v/>
      </c>
      <c r="O27" s="45" t="str">
        <f t="shared" si="55"/>
        <v>Biofuels are considered an agricultural commodity</v>
      </c>
      <c r="P27" s="44" t="str">
        <f>IFERROR(__xludf.DUMMYFUNCTION("IF(COUNTA(K27:O27)=0, """", ARRAYFORMULA(""- ""&amp;TEXTJOIN(char(10)&amp;""- "", TRUE, FILTER(K$1:O$1&amp;"": ""&amp;K27:O27, NOT(ISBLANK(K27:O27))))))"),"- Steve: Biofuels are considered an agricultural commodity")</f>
        <v>- Steve: Biofuels are considered an agricultural commodity</v>
      </c>
      <c r="Q27" s="44" t="s">
        <v>399</v>
      </c>
      <c r="R27" s="46" t="str">
        <f t="shared" si="7"/>
        <v>UNDECIDED</v>
      </c>
    </row>
    <row r="28">
      <c r="A28" s="34" t="s">
        <v>80</v>
      </c>
      <c r="B28" s="34" t="s">
        <v>81</v>
      </c>
      <c r="C28" s="47"/>
      <c r="D28" s="43" t="b">
        <f t="shared" ref="D28:H28" si="56">VLOOKUP($A28, INDIRECT(D$1&amp;"!A:C"), 3, FALSE)</f>
        <v>0</v>
      </c>
      <c r="E28" s="43" t="b">
        <f t="shared" si="56"/>
        <v>0</v>
      </c>
      <c r="F28" s="43" t="str">
        <f t="shared" si="56"/>
        <v>TO DO</v>
      </c>
      <c r="G28" s="43" t="b">
        <f t="shared" si="56"/>
        <v>0</v>
      </c>
      <c r="H28" s="43" t="b">
        <f t="shared" si="56"/>
        <v>0</v>
      </c>
      <c r="I28" s="7">
        <f t="shared" si="4"/>
        <v>4</v>
      </c>
      <c r="J28" s="44">
        <f t="shared" si="5"/>
        <v>1</v>
      </c>
      <c r="K28" s="45" t="str">
        <f t="shared" ref="K28:O28" si="57">VLOOKUP($A28, INDIRECT(K$1&amp;"!A:D"), 4, FALSE)</f>
        <v/>
      </c>
      <c r="L28" s="45" t="str">
        <f t="shared" si="57"/>
        <v/>
      </c>
      <c r="M28" s="45" t="str">
        <f t="shared" si="57"/>
        <v/>
      </c>
      <c r="N28" s="45" t="str">
        <f t="shared" si="57"/>
        <v/>
      </c>
      <c r="O28" s="45" t="str">
        <f t="shared" si="57"/>
        <v/>
      </c>
      <c r="P28" s="44" t="str">
        <f>IFERROR(__xludf.DUMMYFUNCTION("IF(COUNTA(K28:O28)=0, """", ARRAYFORMULA(""- ""&amp;TEXTJOIN(char(10)&amp;""- "", TRUE, FILTER(K$1:O$1&amp;"": ""&amp;K28:O28, NOT(ISBLANK(K28:O28))))))"),"")</f>
        <v/>
      </c>
      <c r="Q28" s="44" t="s">
        <v>388</v>
      </c>
      <c r="R28" s="46" t="b">
        <f t="shared" si="7"/>
        <v>0</v>
      </c>
    </row>
    <row r="29">
      <c r="A29" s="34" t="s">
        <v>251</v>
      </c>
      <c r="B29" s="34" t="s">
        <v>252</v>
      </c>
      <c r="C29" s="47"/>
      <c r="D29" s="43" t="b">
        <f t="shared" ref="D29:H29" si="58">VLOOKUP($A29, INDIRECT(D$1&amp;"!A:C"), 3, FALSE)</f>
        <v>1</v>
      </c>
      <c r="E29" s="43" t="b">
        <f t="shared" si="58"/>
        <v>1</v>
      </c>
      <c r="F29" s="43" t="str">
        <f t="shared" si="58"/>
        <v>TO DO</v>
      </c>
      <c r="G29" s="43" t="b">
        <f t="shared" si="58"/>
        <v>1</v>
      </c>
      <c r="H29" s="43" t="b">
        <f t="shared" si="58"/>
        <v>1</v>
      </c>
      <c r="I29" s="7">
        <f t="shared" si="4"/>
        <v>4</v>
      </c>
      <c r="J29" s="44">
        <f t="shared" si="5"/>
        <v>1</v>
      </c>
      <c r="K29" s="45" t="str">
        <f t="shared" ref="K29:O29" si="59">VLOOKUP($A29, INDIRECT(K$1&amp;"!A:D"), 4, FALSE)</f>
        <v/>
      </c>
      <c r="L29" s="45" t="str">
        <f t="shared" si="59"/>
        <v/>
      </c>
      <c r="M29" s="45" t="str">
        <f t="shared" si="59"/>
        <v/>
      </c>
      <c r="N29" s="45" t="str">
        <f t="shared" si="59"/>
        <v/>
      </c>
      <c r="O29" s="45" t="str">
        <f t="shared" si="59"/>
        <v/>
      </c>
      <c r="P29" s="44" t="str">
        <f>IFERROR(__xludf.DUMMYFUNCTION("IF(COUNTA(K29:O29)=0, """", ARRAYFORMULA(""- ""&amp;TEXTJOIN(char(10)&amp;""- "", TRUE, FILTER(K$1:O$1&amp;"": ""&amp;K29:O29, NOT(ISBLANK(K29:O29))))))"),"")</f>
        <v/>
      </c>
      <c r="Q29" s="44" t="s">
        <v>388</v>
      </c>
      <c r="R29" s="46" t="b">
        <f t="shared" si="7"/>
        <v>1</v>
      </c>
    </row>
    <row r="30">
      <c r="A30" s="34" t="s">
        <v>240</v>
      </c>
      <c r="B30" s="34" t="s">
        <v>241</v>
      </c>
      <c r="C30" s="7"/>
      <c r="D30" s="43" t="b">
        <f t="shared" ref="D30:H30" si="60">VLOOKUP($A30, INDIRECT(D$1&amp;"!A:C"), 3, FALSE)</f>
        <v>0</v>
      </c>
      <c r="E30" s="43" t="b">
        <f t="shared" si="60"/>
        <v>0</v>
      </c>
      <c r="F30" s="43" t="str">
        <f t="shared" si="60"/>
        <v>TO DO</v>
      </c>
      <c r="G30" s="43" t="b">
        <f t="shared" si="60"/>
        <v>0</v>
      </c>
      <c r="H30" s="43" t="b">
        <f t="shared" si="60"/>
        <v>0</v>
      </c>
      <c r="I30" s="7">
        <f t="shared" si="4"/>
        <v>4</v>
      </c>
      <c r="J30" s="44">
        <f t="shared" si="5"/>
        <v>1</v>
      </c>
      <c r="K30" s="45" t="str">
        <f t="shared" ref="K30:O30" si="61">VLOOKUP($A30, INDIRECT(K$1&amp;"!A:D"), 4, FALSE)</f>
        <v/>
      </c>
      <c r="L30" s="45" t="str">
        <f t="shared" si="61"/>
        <v/>
      </c>
      <c r="M30" s="45" t="str">
        <f t="shared" si="61"/>
        <v/>
      </c>
      <c r="N30" s="45" t="str">
        <f t="shared" si="61"/>
        <v/>
      </c>
      <c r="O30" s="45" t="str">
        <f t="shared" si="61"/>
        <v/>
      </c>
      <c r="P30" s="44" t="str">
        <f>IFERROR(__xludf.DUMMYFUNCTION("IF(COUNTA(K30:O30)=0, """", ARRAYFORMULA(""- ""&amp;TEXTJOIN(char(10)&amp;""- "", TRUE, FILTER(K$1:O$1&amp;"": ""&amp;K30:O30, NOT(ISBLANK(K30:O30))))))"),"")</f>
        <v/>
      </c>
      <c r="Q30" s="44" t="s">
        <v>388</v>
      </c>
      <c r="R30" s="46" t="b">
        <f t="shared" si="7"/>
        <v>0</v>
      </c>
    </row>
    <row r="31">
      <c r="A31" s="34" t="s">
        <v>194</v>
      </c>
      <c r="B31" s="34" t="s">
        <v>195</v>
      </c>
      <c r="C31" s="43"/>
      <c r="D31" s="43" t="b">
        <f t="shared" ref="D31:H31" si="62">VLOOKUP($A31, INDIRECT(D$1&amp;"!A:C"), 3, FALSE)</f>
        <v>1</v>
      </c>
      <c r="E31" s="43" t="str">
        <f t="shared" si="62"/>
        <v>TO DO</v>
      </c>
      <c r="F31" s="43" t="str">
        <f t="shared" si="62"/>
        <v>TO DO</v>
      </c>
      <c r="G31" s="43" t="b">
        <f t="shared" si="62"/>
        <v>1</v>
      </c>
      <c r="H31" s="43" t="b">
        <f t="shared" si="62"/>
        <v>1</v>
      </c>
      <c r="I31" s="7">
        <f t="shared" si="4"/>
        <v>3</v>
      </c>
      <c r="J31" s="44">
        <f t="shared" si="5"/>
        <v>1</v>
      </c>
      <c r="K31" s="45" t="str">
        <f t="shared" ref="K31:O31" si="63">VLOOKUP($A31, INDIRECT(K$1&amp;"!A:D"), 4, FALSE)</f>
        <v>target 2.3 + 2.a</v>
      </c>
      <c r="L31" s="45" t="str">
        <f t="shared" si="63"/>
        <v/>
      </c>
      <c r="M31" s="45" t="str">
        <f t="shared" si="63"/>
        <v/>
      </c>
      <c r="N31" s="45" t="str">
        <f t="shared" si="63"/>
        <v/>
      </c>
      <c r="O31" s="45" t="str">
        <f t="shared" si="63"/>
        <v/>
      </c>
      <c r="P31" s="44" t="str">
        <f>IFERROR(__xludf.DUMMYFUNCTION("IF(COUNTA(K31:O31)=0, """", ARRAYFORMULA(""- ""&amp;TEXTJOIN(char(10)&amp;""- "", TRUE, FILTER(K$1:O$1&amp;"": ""&amp;K31:O31, NOT(ISBLANK(K31:O31))))))"),"- Finn: target 2.3 + 2.a")</f>
        <v>- Finn: target 2.3 + 2.a</v>
      </c>
      <c r="Q31" s="44" t="s">
        <v>401</v>
      </c>
      <c r="R31" s="46" t="b">
        <f t="shared" si="7"/>
        <v>1</v>
      </c>
    </row>
    <row r="32">
      <c r="A32" s="34" t="s">
        <v>201</v>
      </c>
      <c r="B32" s="34" t="s">
        <v>202</v>
      </c>
      <c r="C32" s="47"/>
      <c r="D32" s="43" t="b">
        <f t="shared" ref="D32:H32" si="64">VLOOKUP($A32, INDIRECT(D$1&amp;"!A:C"), 3, FALSE)</f>
        <v>0</v>
      </c>
      <c r="E32" s="43" t="b">
        <f t="shared" si="64"/>
        <v>0</v>
      </c>
      <c r="F32" s="43" t="str">
        <f t="shared" si="64"/>
        <v>TO DO</v>
      </c>
      <c r="G32" s="43" t="b">
        <f t="shared" si="64"/>
        <v>0</v>
      </c>
      <c r="H32" s="43" t="b">
        <f t="shared" si="64"/>
        <v>0</v>
      </c>
      <c r="I32" s="7">
        <f t="shared" si="4"/>
        <v>4</v>
      </c>
      <c r="J32" s="44">
        <f t="shared" si="5"/>
        <v>1</v>
      </c>
      <c r="K32" s="45" t="str">
        <f t="shared" ref="K32:O32" si="65">VLOOKUP($A32, INDIRECT(K$1&amp;"!A:D"), 4, FALSE)</f>
        <v/>
      </c>
      <c r="L32" s="45" t="str">
        <f t="shared" si="65"/>
        <v/>
      </c>
      <c r="M32" s="45" t="str">
        <f t="shared" si="65"/>
        <v/>
      </c>
      <c r="N32" s="45" t="str">
        <f t="shared" si="65"/>
        <v/>
      </c>
      <c r="O32" s="45" t="str">
        <f t="shared" si="65"/>
        <v/>
      </c>
      <c r="P32" s="44" t="str">
        <f>IFERROR(__xludf.DUMMYFUNCTION("IF(COUNTA(K32:O32)=0, """", ARRAYFORMULA(""- ""&amp;TEXTJOIN(char(10)&amp;""- "", TRUE, FILTER(K$1:O$1&amp;"": ""&amp;K32:O32, NOT(ISBLANK(K32:O32))))))"),"")</f>
        <v/>
      </c>
      <c r="Q32" s="44" t="s">
        <v>388</v>
      </c>
      <c r="R32" s="46" t="b">
        <f t="shared" si="7"/>
        <v>0</v>
      </c>
    </row>
    <row r="33">
      <c r="A33" s="34" t="s">
        <v>271</v>
      </c>
      <c r="B33" s="34" t="s">
        <v>272</v>
      </c>
      <c r="C33" s="47"/>
      <c r="D33" s="43" t="b">
        <f t="shared" ref="D33:H33" si="66">VLOOKUP($A33, INDIRECT(D$1&amp;"!A:C"), 3, FALSE)</f>
        <v>0</v>
      </c>
      <c r="E33" s="43" t="b">
        <f t="shared" si="66"/>
        <v>0</v>
      </c>
      <c r="F33" s="43" t="str">
        <f t="shared" si="66"/>
        <v>TO DO</v>
      </c>
      <c r="G33" s="43" t="b">
        <f t="shared" si="66"/>
        <v>0</v>
      </c>
      <c r="H33" s="43" t="b">
        <f t="shared" si="66"/>
        <v>0</v>
      </c>
      <c r="I33" s="7">
        <f t="shared" si="4"/>
        <v>4</v>
      </c>
      <c r="J33" s="44">
        <f t="shared" si="5"/>
        <v>1</v>
      </c>
      <c r="K33" s="45" t="str">
        <f t="shared" ref="K33:O33" si="67">VLOOKUP($A33, INDIRECT(K$1&amp;"!A:D"), 4, FALSE)</f>
        <v>- could also be target 2.3</v>
      </c>
      <c r="L33" s="45" t="str">
        <f t="shared" si="67"/>
        <v/>
      </c>
      <c r="M33" s="45" t="str">
        <f t="shared" si="67"/>
        <v/>
      </c>
      <c r="N33" s="45" t="str">
        <f t="shared" si="67"/>
        <v/>
      </c>
      <c r="O33" s="45" t="str">
        <f t="shared" si="67"/>
        <v/>
      </c>
      <c r="P33" s="44" t="str">
        <f>IFERROR(__xludf.DUMMYFUNCTION("IF(COUNTA(K33:O33)=0, """", ARRAYFORMULA(""- ""&amp;TEXTJOIN(char(10)&amp;""- "", TRUE, FILTER(K$1:O$1&amp;"": ""&amp;K33:O33, NOT(ISBLANK(K33:O33))))))"),"- Finn: - could also be target 2.3")</f>
        <v>- Finn: - could also be target 2.3</v>
      </c>
      <c r="Q33" s="44" t="s">
        <v>404</v>
      </c>
      <c r="R33" s="46" t="b">
        <f t="shared" si="7"/>
        <v>0</v>
      </c>
    </row>
    <row r="34">
      <c r="A34" s="34" t="s">
        <v>247</v>
      </c>
      <c r="B34" s="34" t="s">
        <v>248</v>
      </c>
      <c r="C34" s="47"/>
      <c r="D34" s="43" t="b">
        <f t="shared" ref="D34:H34" si="68">VLOOKUP($A34, INDIRECT(D$1&amp;"!A:C"), 3, FALSE)</f>
        <v>0</v>
      </c>
      <c r="E34" s="43" t="str">
        <f t="shared" si="68"/>
        <v>TO DO</v>
      </c>
      <c r="F34" s="43" t="str">
        <f t="shared" si="68"/>
        <v>TO DO</v>
      </c>
      <c r="G34" s="43" t="b">
        <f t="shared" si="68"/>
        <v>0</v>
      </c>
      <c r="H34" s="43" t="b">
        <f t="shared" si="68"/>
        <v>0</v>
      </c>
      <c r="I34" s="7">
        <f t="shared" si="4"/>
        <v>3</v>
      </c>
      <c r="J34" s="44">
        <f t="shared" si="5"/>
        <v>1</v>
      </c>
      <c r="K34" s="45" t="str">
        <f t="shared" ref="K34:O34" si="69">VLOOKUP($A34, INDIRECT(K$1&amp;"!A:D"), 4, FALSE)</f>
        <v/>
      </c>
      <c r="L34" s="45" t="str">
        <f t="shared" si="69"/>
        <v/>
      </c>
      <c r="M34" s="45" t="str">
        <f t="shared" si="69"/>
        <v/>
      </c>
      <c r="N34" s="45" t="str">
        <f t="shared" si="69"/>
        <v/>
      </c>
      <c r="O34" s="45" t="str">
        <f t="shared" si="69"/>
        <v/>
      </c>
      <c r="P34" s="44" t="str">
        <f>IFERROR(__xludf.DUMMYFUNCTION("IF(COUNTA(K34:O34)=0, """", ARRAYFORMULA(""- ""&amp;TEXTJOIN(char(10)&amp;""- "", TRUE, FILTER(K$1:O$1&amp;"": ""&amp;K34:O34, NOT(ISBLANK(K34:O34))))))"),"")</f>
        <v/>
      </c>
      <c r="Q34" s="44" t="s">
        <v>388</v>
      </c>
      <c r="R34" s="46" t="b">
        <f t="shared" si="7"/>
        <v>0</v>
      </c>
    </row>
    <row r="35">
      <c r="A35" s="34" t="s">
        <v>211</v>
      </c>
      <c r="B35" s="34" t="s">
        <v>212</v>
      </c>
      <c r="C35" s="7" t="s">
        <v>389</v>
      </c>
      <c r="D35" s="43" t="b">
        <f t="shared" ref="D35:H35" si="70">VLOOKUP($A35, INDIRECT(D$1&amp;"!A:C"), 3, FALSE)</f>
        <v>1</v>
      </c>
      <c r="E35" s="43" t="b">
        <f t="shared" si="70"/>
        <v>0</v>
      </c>
      <c r="F35" s="43" t="str">
        <f t="shared" si="70"/>
        <v>TO DO</v>
      </c>
      <c r="G35" s="43" t="b">
        <f t="shared" si="70"/>
        <v>0</v>
      </c>
      <c r="H35" s="43" t="b">
        <f t="shared" si="70"/>
        <v>1</v>
      </c>
      <c r="I35" s="7">
        <f t="shared" si="4"/>
        <v>4</v>
      </c>
      <c r="J35" s="44">
        <f t="shared" si="5"/>
        <v>0</v>
      </c>
      <c r="K35" s="45" t="str">
        <f t="shared" ref="K35:O35" si="71">VLOOKUP($A35, INDIRECT(K$1&amp;"!A:D"), 4, FALSE)</f>
        <v>target 2.3</v>
      </c>
      <c r="L35" s="45" t="str">
        <f t="shared" si="71"/>
        <v/>
      </c>
      <c r="M35" s="45" t="str">
        <f t="shared" si="71"/>
        <v/>
      </c>
      <c r="N35" s="45" t="str">
        <f t="shared" si="71"/>
        <v>indirect about land for smallscale farmers but too implicit</v>
      </c>
      <c r="O35" s="45" t="str">
        <f t="shared" si="71"/>
        <v/>
      </c>
      <c r="P35" s="44" t="str">
        <f>IFERROR(__xludf.DUMMYFUNCTION("IF(COUNTA(K35:O35)=0, """", ARRAYFORMULA(""- ""&amp;TEXTJOIN(char(10)&amp;""- "", TRUE, FILTER(K$1:O$1&amp;"": ""&amp;K35:O35, NOT(ISBLANK(K35:O35))))))"),"- Finn: target 2.3
- Meike: indirect about land for smallscale farmers but too implicit")</f>
        <v>- Finn: target 2.3
- Meike: indirect about land for smallscale farmers but too implicit</v>
      </c>
      <c r="Q35" s="44" t="s">
        <v>405</v>
      </c>
      <c r="R35" s="46" t="str">
        <f t="shared" si="7"/>
        <v>UNDECIDED</v>
      </c>
    </row>
    <row r="36">
      <c r="A36" s="34" t="s">
        <v>114</v>
      </c>
      <c r="B36" s="34" t="s">
        <v>115</v>
      </c>
      <c r="C36" s="43"/>
      <c r="D36" s="43" t="b">
        <f t="shared" ref="D36:H36" si="72">VLOOKUP($A36, INDIRECT(D$1&amp;"!A:C"), 3, FALSE)</f>
        <v>1</v>
      </c>
      <c r="E36" s="43" t="str">
        <f t="shared" si="72"/>
        <v>TO DO</v>
      </c>
      <c r="F36" s="43" t="str">
        <f t="shared" si="72"/>
        <v>TO DO</v>
      </c>
      <c r="G36" s="43" t="b">
        <f t="shared" si="72"/>
        <v>1</v>
      </c>
      <c r="H36" s="43" t="b">
        <f t="shared" si="72"/>
        <v>1</v>
      </c>
      <c r="I36" s="7">
        <f t="shared" si="4"/>
        <v>3</v>
      </c>
      <c r="J36" s="44">
        <f t="shared" si="5"/>
        <v>1</v>
      </c>
      <c r="K36" s="45" t="str">
        <f t="shared" ref="K36:O36" si="73">VLOOKUP($A36, INDIRECT(K$1&amp;"!A:D"), 4, FALSE)</f>
        <v>farm productivity (target 2.3)</v>
      </c>
      <c r="L36" s="45" t="str">
        <f t="shared" si="73"/>
        <v/>
      </c>
      <c r="M36" s="45" t="str">
        <f t="shared" si="73"/>
        <v/>
      </c>
      <c r="N36" s="45" t="str">
        <f t="shared" si="73"/>
        <v/>
      </c>
      <c r="O36" s="45" t="str">
        <f t="shared" si="73"/>
        <v/>
      </c>
      <c r="P36" s="44" t="str">
        <f>IFERROR(__xludf.DUMMYFUNCTION("IF(COUNTA(K36:O36)=0, """", ARRAYFORMULA(""- ""&amp;TEXTJOIN(char(10)&amp;""- "", TRUE, FILTER(K$1:O$1&amp;"": ""&amp;K36:O36, NOT(ISBLANK(K36:O36))))))"),"- Finn: farm productivity (target 2.3)")</f>
        <v>- Finn: farm productivity (target 2.3)</v>
      </c>
      <c r="Q36" s="44" t="s">
        <v>406</v>
      </c>
      <c r="R36" s="46" t="b">
        <f t="shared" si="7"/>
        <v>1</v>
      </c>
    </row>
    <row r="37">
      <c r="A37" s="34" t="s">
        <v>242</v>
      </c>
      <c r="B37" s="34" t="s">
        <v>243</v>
      </c>
      <c r="C37" s="7" t="s">
        <v>389</v>
      </c>
      <c r="D37" s="43" t="b">
        <f t="shared" ref="D37:H37" si="74">VLOOKUP($A37, INDIRECT(D$1&amp;"!A:C"), 3, FALSE)</f>
        <v>0</v>
      </c>
      <c r="E37" s="43" t="b">
        <f t="shared" si="74"/>
        <v>1</v>
      </c>
      <c r="F37" s="43" t="str">
        <f t="shared" si="74"/>
        <v>TO DO</v>
      </c>
      <c r="G37" s="43" t="b">
        <f t="shared" si="74"/>
        <v>0</v>
      </c>
      <c r="H37" s="43" t="b">
        <f t="shared" si="74"/>
        <v>0</v>
      </c>
      <c r="I37" s="7">
        <f t="shared" si="4"/>
        <v>4</v>
      </c>
      <c r="J37" s="44">
        <f t="shared" si="5"/>
        <v>0.5</v>
      </c>
      <c r="K37" s="45" t="str">
        <f t="shared" ref="K37:O37" si="75">VLOOKUP($A37, INDIRECT(K$1&amp;"!A:D"), 4, FALSE)</f>
        <v/>
      </c>
      <c r="L37" s="45" t="str">
        <f t="shared" si="75"/>
        <v>"Embrapa" makes it highly related to SDG 2. Without the term, the passage will not sound relevant.</v>
      </c>
      <c r="M37" s="45" t="str">
        <f t="shared" si="75"/>
        <v/>
      </c>
      <c r="N37" s="45" t="str">
        <f t="shared" si="75"/>
        <v/>
      </c>
      <c r="O37" s="45" t="str">
        <f t="shared" si="75"/>
        <v/>
      </c>
      <c r="P37" s="44" t="str">
        <f>IFERROR(__xludf.DUMMYFUNCTION("IF(COUNTA(K37:O37)=0, """", ARRAYFORMULA(""- ""&amp;TEXTJOIN(char(10)&amp;""- "", TRUE, FILTER(K$1:O$1&amp;"": ""&amp;K37:O37, NOT(ISBLANK(K37:O37))))))"),"- Gib: ""Embrapa"" makes it highly related to SDG 2. Without the term, the passage will not sound relevant.")</f>
        <v>- Gib: "Embrapa" makes it highly related to SDG 2. Without the term, the passage will not sound relevant.</v>
      </c>
      <c r="Q37" s="44" t="s">
        <v>407</v>
      </c>
      <c r="R37" s="46" t="str">
        <f t="shared" si="7"/>
        <v>UNDECIDED</v>
      </c>
    </row>
    <row r="38">
      <c r="A38" s="34" t="s">
        <v>124</v>
      </c>
      <c r="B38" s="34" t="s">
        <v>125</v>
      </c>
      <c r="C38" s="7"/>
      <c r="D38" s="43" t="b">
        <f t="shared" ref="D38:H38" si="76">VLOOKUP($A38, INDIRECT(D$1&amp;"!A:C"), 3, FALSE)</f>
        <v>1</v>
      </c>
      <c r="E38" s="43" t="str">
        <f t="shared" si="76"/>
        <v>TO DO</v>
      </c>
      <c r="F38" s="43" t="str">
        <f t="shared" si="76"/>
        <v>TO DO</v>
      </c>
      <c r="G38" s="43" t="b">
        <f t="shared" si="76"/>
        <v>1</v>
      </c>
      <c r="H38" s="43" t="b">
        <f t="shared" si="76"/>
        <v>1</v>
      </c>
      <c r="I38" s="7">
        <f t="shared" si="4"/>
        <v>3</v>
      </c>
      <c r="J38" s="44">
        <f t="shared" si="5"/>
        <v>1</v>
      </c>
      <c r="K38" s="45" t="str">
        <f t="shared" ref="K38:O38" si="77">VLOOKUP($A38, INDIRECT(K$1&amp;"!A:D"), 4, FALSE)</f>
        <v>- ECIRS provides interest rate subsidies to farm enterprises and small businesses that are viable in the long term but are in financial difficulties</v>
      </c>
      <c r="L38" s="45" t="str">
        <f t="shared" si="77"/>
        <v/>
      </c>
      <c r="M38" s="45" t="str">
        <f t="shared" si="77"/>
        <v/>
      </c>
      <c r="N38" s="45" t="str">
        <f t="shared" si="77"/>
        <v/>
      </c>
      <c r="O38" s="45" t="str">
        <f t="shared" si="77"/>
        <v/>
      </c>
      <c r="P38" s="44" t="str">
        <f>IFERROR(__xludf.DUMMYFUNCTION("IF(COUNTA(K38:O38)=0, """", ARRAYFORMULA(""- ""&amp;TEXTJOIN(char(10)&amp;""- "", TRUE, FILTER(K$1:O$1&amp;"": ""&amp;K38:O38, NOT(ISBLANK(K38:O38))))))"),"- Finn: - ECIRS provides interest rate subsidies to farm enterprises and small businesses that are viable in the long term but are in financial difficulties")</f>
        <v>- Finn: - ECIRS provides interest rate subsidies to farm enterprises and small businesses that are viable in the long term but are in financial difficulties</v>
      </c>
      <c r="Q38" s="44" t="s">
        <v>408</v>
      </c>
      <c r="R38" s="46" t="b">
        <f t="shared" si="7"/>
        <v>1</v>
      </c>
    </row>
    <row r="39">
      <c r="A39" s="34" t="s">
        <v>168</v>
      </c>
      <c r="B39" s="34" t="s">
        <v>169</v>
      </c>
      <c r="C39" s="47"/>
      <c r="D39" s="43" t="b">
        <f t="shared" ref="D39:H39" si="78">VLOOKUP($A39, INDIRECT(D$1&amp;"!A:C"), 3, FALSE)</f>
        <v>1</v>
      </c>
      <c r="E39" s="43" t="b">
        <f t="shared" si="78"/>
        <v>1</v>
      </c>
      <c r="F39" s="43" t="str">
        <f t="shared" si="78"/>
        <v>TO DO</v>
      </c>
      <c r="G39" s="43" t="b">
        <f t="shared" si="78"/>
        <v>1</v>
      </c>
      <c r="H39" s="43" t="b">
        <f t="shared" si="78"/>
        <v>1</v>
      </c>
      <c r="I39" s="7">
        <f t="shared" si="4"/>
        <v>4</v>
      </c>
      <c r="J39" s="44">
        <f t="shared" si="5"/>
        <v>1</v>
      </c>
      <c r="K39" s="45" t="str">
        <f t="shared" ref="K39:O39" si="79">VLOOKUP($A39, INDIRECT(K$1&amp;"!A:D"), 4, FALSE)</f>
        <v>typo</v>
      </c>
      <c r="L39" s="45" t="str">
        <f t="shared" si="79"/>
        <v/>
      </c>
      <c r="M39" s="45" t="str">
        <f t="shared" si="79"/>
        <v/>
      </c>
      <c r="N39" s="45" t="str">
        <f t="shared" si="79"/>
        <v/>
      </c>
      <c r="O39" s="45" t="str">
        <f t="shared" si="79"/>
        <v/>
      </c>
      <c r="P39" s="44" t="str">
        <f>IFERROR(__xludf.DUMMYFUNCTION("IF(COUNTA(K39:O39)=0, """", ARRAYFORMULA(""- ""&amp;TEXTJOIN(char(10)&amp;""- "", TRUE, FILTER(K$1:O$1&amp;"": ""&amp;K39:O39, NOT(ISBLANK(K39:O39))))))"),"- Finn: typo")</f>
        <v>- Finn: typo</v>
      </c>
      <c r="Q39" s="44" t="s">
        <v>409</v>
      </c>
      <c r="R39" s="46" t="b">
        <f t="shared" si="7"/>
        <v>1</v>
      </c>
    </row>
    <row r="40">
      <c r="A40" s="34" t="s">
        <v>166</v>
      </c>
      <c r="B40" s="34" t="s">
        <v>167</v>
      </c>
      <c r="C40" s="48" t="s">
        <v>410</v>
      </c>
      <c r="D40" s="43" t="b">
        <f t="shared" ref="D40:H40" si="80">VLOOKUP($A40, INDIRECT(D$1&amp;"!A:C"), 3, FALSE)</f>
        <v>1</v>
      </c>
      <c r="E40" s="43" t="b">
        <f t="shared" si="80"/>
        <v>1</v>
      </c>
      <c r="F40" s="43" t="str">
        <f t="shared" si="80"/>
        <v>TO DO</v>
      </c>
      <c r="G40" s="43" t="b">
        <f t="shared" si="80"/>
        <v>0</v>
      </c>
      <c r="H40" s="43" t="b">
        <f t="shared" si="80"/>
        <v>1</v>
      </c>
      <c r="I40" s="7">
        <f t="shared" si="4"/>
        <v>4</v>
      </c>
      <c r="J40" s="44">
        <f t="shared" si="5"/>
        <v>0.5</v>
      </c>
      <c r="K40" s="45" t="str">
        <f t="shared" ref="K40:O40" si="81">VLOOKUP($A40, INDIRECT(K$1&amp;"!A:D"), 4, FALSE)</f>
        <v/>
      </c>
      <c r="L40" s="45" t="str">
        <f t="shared" si="81"/>
        <v/>
      </c>
      <c r="M40" s="45" t="str">
        <f t="shared" si="81"/>
        <v/>
      </c>
      <c r="N40" s="45" t="str">
        <f t="shared" si="81"/>
        <v/>
      </c>
      <c r="O40" s="45" t="str">
        <f t="shared" si="81"/>
        <v/>
      </c>
      <c r="P40" s="44" t="str">
        <f>IFERROR(__xludf.DUMMYFUNCTION("IF(COUNTA(K40:O40)=0, """", ARRAYFORMULA(""- ""&amp;TEXTJOIN(char(10)&amp;""- "", TRUE, FILTER(K$1:O$1&amp;"": ""&amp;K40:O40, NOT(ISBLANK(K40:O40))))))"),"")</f>
        <v/>
      </c>
      <c r="Q40" s="44" t="s">
        <v>388</v>
      </c>
      <c r="R40" s="46" t="str">
        <f t="shared" si="7"/>
        <v>UNDECIDED</v>
      </c>
    </row>
    <row r="41">
      <c r="A41" s="34" t="s">
        <v>78</v>
      </c>
      <c r="B41" s="34" t="s">
        <v>79</v>
      </c>
      <c r="C41" s="7"/>
      <c r="D41" s="43" t="b">
        <f t="shared" ref="D41:H41" si="82">VLOOKUP($A41, INDIRECT(D$1&amp;"!A:C"), 3, FALSE)</f>
        <v>1</v>
      </c>
      <c r="E41" s="43" t="str">
        <f t="shared" si="82"/>
        <v>TO DO</v>
      </c>
      <c r="F41" s="43" t="str">
        <f t="shared" si="82"/>
        <v>TO DO</v>
      </c>
      <c r="G41" s="43" t="b">
        <f t="shared" si="82"/>
        <v>1</v>
      </c>
      <c r="H41" s="43" t="b">
        <f t="shared" si="82"/>
        <v>1</v>
      </c>
      <c r="I41" s="7">
        <f t="shared" si="4"/>
        <v>3</v>
      </c>
      <c r="J41" s="44">
        <f t="shared" si="5"/>
        <v>1</v>
      </c>
      <c r="K41" s="45" t="str">
        <f t="shared" ref="K41:O41" si="83">VLOOKUP($A41, INDIRECT(K$1&amp;"!A:D"), 4, FALSE)</f>
        <v/>
      </c>
      <c r="L41" s="45" t="str">
        <f t="shared" si="83"/>
        <v/>
      </c>
      <c r="M41" s="45" t="str">
        <f t="shared" si="83"/>
        <v/>
      </c>
      <c r="N41" s="45" t="str">
        <f t="shared" si="83"/>
        <v/>
      </c>
      <c r="O41" s="45" t="str">
        <f t="shared" si="83"/>
        <v/>
      </c>
      <c r="P41" s="44" t="str">
        <f>IFERROR(__xludf.DUMMYFUNCTION("IF(COUNTA(K41:O41)=0, """", ARRAYFORMULA(""- ""&amp;TEXTJOIN(char(10)&amp;""- "", TRUE, FILTER(K$1:O$1&amp;"": ""&amp;K41:O41, NOT(ISBLANK(K41:O41))))))"),"")</f>
        <v/>
      </c>
      <c r="Q41" s="44" t="s">
        <v>388</v>
      </c>
      <c r="R41" s="46" t="b">
        <f t="shared" si="7"/>
        <v>1</v>
      </c>
    </row>
    <row r="42">
      <c r="A42" s="34" t="s">
        <v>84</v>
      </c>
      <c r="B42" s="34" t="s">
        <v>85</v>
      </c>
      <c r="C42" s="7" t="s">
        <v>389</v>
      </c>
      <c r="D42" s="43" t="b">
        <f t="shared" ref="D42:H42" si="84">VLOOKUP($A42, INDIRECT(D$1&amp;"!A:C"), 3, FALSE)</f>
        <v>1</v>
      </c>
      <c r="E42" s="43" t="str">
        <f t="shared" si="84"/>
        <v>TO DO</v>
      </c>
      <c r="F42" s="43" t="str">
        <f t="shared" si="84"/>
        <v>TO DO</v>
      </c>
      <c r="G42" s="43" t="b">
        <f t="shared" si="84"/>
        <v>0</v>
      </c>
      <c r="H42" s="43" t="b">
        <f t="shared" si="84"/>
        <v>1</v>
      </c>
      <c r="I42" s="7">
        <f t="shared" si="4"/>
        <v>3</v>
      </c>
      <c r="J42" s="44">
        <f t="shared" si="5"/>
        <v>0.3333333333</v>
      </c>
      <c r="K42" s="45" t="str">
        <f t="shared" ref="K42:O42" si="85">VLOOKUP($A42, INDIRECT(K$1&amp;"!A:D"), 4, FALSE)</f>
        <v>target 2.b</v>
      </c>
      <c r="L42" s="45" t="str">
        <f t="shared" si="85"/>
        <v/>
      </c>
      <c r="M42" s="45" t="str">
        <f t="shared" si="85"/>
        <v/>
      </c>
      <c r="N42" s="45" t="str">
        <f t="shared" si="85"/>
        <v/>
      </c>
      <c r="O42" s="45" t="str">
        <f t="shared" si="85"/>
        <v/>
      </c>
      <c r="P42" s="44" t="str">
        <f>IFERROR(__xludf.DUMMYFUNCTION("IF(COUNTA(K42:O42)=0, """", ARRAYFORMULA(""- ""&amp;TEXTJOIN(char(10)&amp;""- "", TRUE, FILTER(K$1:O$1&amp;"": ""&amp;K42:O42, NOT(ISBLANK(K42:O42))))))"),"- Finn: target 2.b")</f>
        <v>- Finn: target 2.b</v>
      </c>
      <c r="Q42" s="44" t="s">
        <v>396</v>
      </c>
      <c r="R42" s="46" t="str">
        <f t="shared" si="7"/>
        <v>UNDECIDED</v>
      </c>
    </row>
    <row r="43">
      <c r="A43" s="34" t="s">
        <v>192</v>
      </c>
      <c r="B43" s="34" t="s">
        <v>193</v>
      </c>
      <c r="C43" s="48" t="s">
        <v>410</v>
      </c>
      <c r="D43" s="43" t="b">
        <f t="shared" ref="D43:H43" si="86">VLOOKUP($A43, INDIRECT(D$1&amp;"!A:C"), 3, FALSE)</f>
        <v>1</v>
      </c>
      <c r="E43" s="43" t="b">
        <f t="shared" si="86"/>
        <v>0</v>
      </c>
      <c r="F43" s="43" t="str">
        <f t="shared" si="86"/>
        <v>TO DO</v>
      </c>
      <c r="G43" s="43" t="b">
        <f t="shared" si="86"/>
        <v>1</v>
      </c>
      <c r="H43" s="43" t="b">
        <f t="shared" si="86"/>
        <v>1</v>
      </c>
      <c r="I43" s="7">
        <f t="shared" si="4"/>
        <v>4</v>
      </c>
      <c r="J43" s="44">
        <f t="shared" si="5"/>
        <v>0.5</v>
      </c>
      <c r="K43" s="45" t="str">
        <f t="shared" ref="K43:O43" si="87">VLOOKUP($A43, INDIRECT(K$1&amp;"!A:D"), 4, FALSE)</f>
        <v/>
      </c>
      <c r="L43" s="45" t="str">
        <f t="shared" si="87"/>
        <v>Just paper title. The content is likely to be highly relevant</v>
      </c>
      <c r="M43" s="45" t="str">
        <f t="shared" si="87"/>
        <v/>
      </c>
      <c r="N43" s="45" t="str">
        <f t="shared" si="87"/>
        <v/>
      </c>
      <c r="O43" s="45" t="str">
        <f t="shared" si="87"/>
        <v/>
      </c>
      <c r="P43" s="44" t="str">
        <f>IFERROR(__xludf.DUMMYFUNCTION("IF(COUNTA(K43:O43)=0, """", ARRAYFORMULA(""- ""&amp;TEXTJOIN(char(10)&amp;""- "", TRUE, FILTER(K$1:O$1&amp;"": ""&amp;K43:O43, NOT(ISBLANK(K43:O43))))))"),"- Gib: Just paper title. The content is likely to be highly relevant")</f>
        <v>- Gib: Just paper title. The content is likely to be highly relevant</v>
      </c>
      <c r="Q43" s="44" t="s">
        <v>411</v>
      </c>
      <c r="R43" s="46" t="str">
        <f t="shared" si="7"/>
        <v>UNDECIDED</v>
      </c>
    </row>
    <row r="44">
      <c r="A44" s="34" t="s">
        <v>244</v>
      </c>
      <c r="B44" s="34" t="s">
        <v>245</v>
      </c>
      <c r="C44" s="7" t="s">
        <v>389</v>
      </c>
      <c r="D44" s="43" t="b">
        <f t="shared" ref="D44:H44" si="88">VLOOKUP($A44, INDIRECT(D$1&amp;"!A:C"), 3, FALSE)</f>
        <v>1</v>
      </c>
      <c r="E44" s="43" t="str">
        <f t="shared" si="88"/>
        <v>TO DO</v>
      </c>
      <c r="F44" s="43" t="str">
        <f t="shared" si="88"/>
        <v>TO DO</v>
      </c>
      <c r="G44" s="43" t="b">
        <f t="shared" si="88"/>
        <v>1</v>
      </c>
      <c r="H44" s="43" t="b">
        <f t="shared" si="88"/>
        <v>1</v>
      </c>
      <c r="I44" s="7">
        <f t="shared" si="4"/>
        <v>3</v>
      </c>
      <c r="J44" s="44">
        <f t="shared" si="5"/>
        <v>1</v>
      </c>
      <c r="K44" s="45" t="str">
        <f t="shared" ref="K44:O44" si="89">VLOOKUP($A44, INDIRECT(K$1&amp;"!A:D"), 4, FALSE)</f>
        <v>target 2.1</v>
      </c>
      <c r="L44" s="45" t="str">
        <f t="shared" si="89"/>
        <v/>
      </c>
      <c r="M44" s="45" t="str">
        <f t="shared" si="89"/>
        <v/>
      </c>
      <c r="N44" s="45" t="str">
        <f t="shared" si="89"/>
        <v/>
      </c>
      <c r="O44" s="45" t="str">
        <f t="shared" si="89"/>
        <v/>
      </c>
      <c r="P44" s="44" t="str">
        <f>IFERROR(__xludf.DUMMYFUNCTION("IF(COUNTA(K44:O44)=0, """", ARRAYFORMULA(""- ""&amp;TEXTJOIN(char(10)&amp;""- "", TRUE, FILTER(K$1:O$1&amp;"": ""&amp;K44:O44, NOT(ISBLANK(K44:O44))))))"),"- Finn: target 2.1")</f>
        <v>- Finn: target 2.1</v>
      </c>
      <c r="Q44" s="44" t="s">
        <v>394</v>
      </c>
      <c r="R44" s="46" t="b">
        <f t="shared" si="7"/>
        <v>1</v>
      </c>
    </row>
    <row r="45">
      <c r="A45" s="34" t="s">
        <v>99</v>
      </c>
      <c r="B45" s="34" t="s">
        <v>100</v>
      </c>
      <c r="C45" s="48"/>
      <c r="D45" s="43" t="b">
        <f t="shared" ref="D45:H45" si="90">VLOOKUP($A45, INDIRECT(D$1&amp;"!A:C"), 3, FALSE)</f>
        <v>1</v>
      </c>
      <c r="E45" s="43" t="b">
        <f t="shared" si="90"/>
        <v>1</v>
      </c>
      <c r="F45" s="43" t="str">
        <f t="shared" si="90"/>
        <v>TO DO</v>
      </c>
      <c r="G45" s="43" t="b">
        <f t="shared" si="90"/>
        <v>1</v>
      </c>
      <c r="H45" s="43" t="b">
        <f t="shared" si="90"/>
        <v>1</v>
      </c>
      <c r="I45" s="7">
        <f t="shared" si="4"/>
        <v>4</v>
      </c>
      <c r="J45" s="44">
        <f t="shared" si="5"/>
        <v>1</v>
      </c>
      <c r="K45" s="45" t="str">
        <f t="shared" ref="K45:O45" si="91">VLOOKUP($A45, INDIRECT(K$1&amp;"!A:D"), 4, FALSE)</f>
        <v>target 2.3</v>
      </c>
      <c r="L45" s="45" t="str">
        <f t="shared" si="91"/>
        <v/>
      </c>
      <c r="M45" s="45" t="str">
        <f t="shared" si="91"/>
        <v/>
      </c>
      <c r="N45" s="45" t="str">
        <f t="shared" si="91"/>
        <v/>
      </c>
      <c r="O45" s="45" t="str">
        <f t="shared" si="91"/>
        <v/>
      </c>
      <c r="P45" s="44" t="str">
        <f>IFERROR(__xludf.DUMMYFUNCTION("IF(COUNTA(K45:O45)=0, """", ARRAYFORMULA(""- ""&amp;TEXTJOIN(char(10)&amp;""- "", TRUE, FILTER(K$1:O$1&amp;"": ""&amp;K45:O45, NOT(ISBLANK(K45:O45))))))"),"- Finn: target 2.3")</f>
        <v>- Finn: target 2.3</v>
      </c>
      <c r="Q45" s="44" t="s">
        <v>412</v>
      </c>
      <c r="R45" s="46" t="b">
        <f t="shared" si="7"/>
        <v>1</v>
      </c>
    </row>
    <row r="46">
      <c r="A46" s="34" t="s">
        <v>160</v>
      </c>
      <c r="B46" s="34" t="s">
        <v>161</v>
      </c>
      <c r="C46" s="7" t="s">
        <v>389</v>
      </c>
      <c r="D46" s="43" t="b">
        <f t="shared" ref="D46:H46" si="92">VLOOKUP($A46, INDIRECT(D$1&amp;"!A:C"), 3, FALSE)</f>
        <v>0</v>
      </c>
      <c r="E46" s="43" t="str">
        <f t="shared" si="92"/>
        <v>TO DO</v>
      </c>
      <c r="F46" s="43" t="str">
        <f t="shared" si="92"/>
        <v>TO DO</v>
      </c>
      <c r="G46" s="43" t="b">
        <f t="shared" si="92"/>
        <v>0</v>
      </c>
      <c r="H46" s="43" t="b">
        <f t="shared" si="92"/>
        <v>1</v>
      </c>
      <c r="I46" s="7">
        <f t="shared" si="4"/>
        <v>3</v>
      </c>
      <c r="J46" s="44">
        <f t="shared" si="5"/>
        <v>0.3333333333</v>
      </c>
      <c r="K46" s="45" t="str">
        <f t="shared" ref="K46:O46" si="93">VLOOKUP($A46, INDIRECT(K$1&amp;"!A:D"), 4, FALSE)</f>
        <v/>
      </c>
      <c r="L46" s="45" t="str">
        <f t="shared" si="93"/>
        <v/>
      </c>
      <c r="M46" s="45" t="str">
        <f t="shared" si="93"/>
        <v/>
      </c>
      <c r="N46" s="45" t="str">
        <f t="shared" si="93"/>
        <v/>
      </c>
      <c r="O46" s="45" t="str">
        <f t="shared" si="93"/>
        <v/>
      </c>
      <c r="P46" s="44" t="str">
        <f>IFERROR(__xludf.DUMMYFUNCTION("IF(COUNTA(K46:O46)=0, """", ARRAYFORMULA(""- ""&amp;TEXTJOIN(char(10)&amp;""- "", TRUE, FILTER(K$1:O$1&amp;"": ""&amp;K46:O46, NOT(ISBLANK(K46:O46))))))"),"")</f>
        <v/>
      </c>
      <c r="Q46" s="44" t="s">
        <v>388</v>
      </c>
      <c r="R46" s="46" t="str">
        <f t="shared" si="7"/>
        <v>UNDECIDED</v>
      </c>
    </row>
    <row r="47">
      <c r="A47" s="34" t="s">
        <v>143</v>
      </c>
      <c r="B47" s="34" t="s">
        <v>144</v>
      </c>
      <c r="C47" s="7"/>
      <c r="D47" s="43" t="b">
        <f t="shared" ref="D47:H47" si="94">VLOOKUP($A47, INDIRECT(D$1&amp;"!A:C"), 3, FALSE)</f>
        <v>1</v>
      </c>
      <c r="E47" s="43" t="b">
        <f t="shared" si="94"/>
        <v>1</v>
      </c>
      <c r="F47" s="43" t="str">
        <f t="shared" si="94"/>
        <v>TO DO</v>
      </c>
      <c r="G47" s="43" t="b">
        <f t="shared" si="94"/>
        <v>1</v>
      </c>
      <c r="H47" s="43" t="b">
        <f t="shared" si="94"/>
        <v>1</v>
      </c>
      <c r="I47" s="7">
        <f t="shared" si="4"/>
        <v>4</v>
      </c>
      <c r="J47" s="44">
        <f t="shared" si="5"/>
        <v>1</v>
      </c>
      <c r="K47" s="45" t="str">
        <f t="shared" ref="K47:O47" si="95">VLOOKUP($A47, INDIRECT(K$1&amp;"!A:D"), 4, FALSE)</f>
        <v>target 2.3</v>
      </c>
      <c r="L47" s="45" t="str">
        <f t="shared" si="95"/>
        <v/>
      </c>
      <c r="M47" s="45" t="str">
        <f t="shared" si="95"/>
        <v/>
      </c>
      <c r="N47" s="45" t="str">
        <f t="shared" si="95"/>
        <v/>
      </c>
      <c r="O47" s="45" t="str">
        <f t="shared" si="95"/>
        <v/>
      </c>
      <c r="P47" s="44" t="str">
        <f>IFERROR(__xludf.DUMMYFUNCTION("IF(COUNTA(K47:O47)=0, """", ARRAYFORMULA(""- ""&amp;TEXTJOIN(char(10)&amp;""- "", TRUE, FILTER(K$1:O$1&amp;"": ""&amp;K47:O47, NOT(ISBLANK(K47:O47))))))"),"- Finn: target 2.3")</f>
        <v>- Finn: target 2.3</v>
      </c>
      <c r="Q47" s="44" t="s">
        <v>412</v>
      </c>
      <c r="R47" s="46" t="b">
        <f t="shared" si="7"/>
        <v>1</v>
      </c>
    </row>
    <row r="48">
      <c r="A48" s="34" t="s">
        <v>104</v>
      </c>
      <c r="B48" s="34" t="s">
        <v>105</v>
      </c>
      <c r="C48" s="7"/>
      <c r="D48" s="43" t="b">
        <f t="shared" ref="D48:H48" si="96">VLOOKUP($A48, INDIRECT(D$1&amp;"!A:C"), 3, FALSE)</f>
        <v>1</v>
      </c>
      <c r="E48" s="43" t="b">
        <f t="shared" si="96"/>
        <v>1</v>
      </c>
      <c r="F48" s="43" t="str">
        <f t="shared" si="96"/>
        <v>TO DO</v>
      </c>
      <c r="G48" s="43" t="b">
        <f t="shared" si="96"/>
        <v>1</v>
      </c>
      <c r="H48" s="43" t="b">
        <f t="shared" si="96"/>
        <v>1</v>
      </c>
      <c r="I48" s="7">
        <f t="shared" si="4"/>
        <v>4</v>
      </c>
      <c r="J48" s="44">
        <f t="shared" si="5"/>
        <v>1</v>
      </c>
      <c r="K48" s="45" t="str">
        <f t="shared" ref="K48:O48" si="97">VLOOKUP($A48, INDIRECT(K$1&amp;"!A:D"), 4, FALSE)</f>
        <v>target 2.3</v>
      </c>
      <c r="L48" s="45" t="str">
        <f t="shared" si="97"/>
        <v/>
      </c>
      <c r="M48" s="45" t="str">
        <f t="shared" si="97"/>
        <v/>
      </c>
      <c r="N48" s="45" t="str">
        <f t="shared" si="97"/>
        <v/>
      </c>
      <c r="O48" s="45" t="str">
        <f t="shared" si="97"/>
        <v/>
      </c>
      <c r="P48" s="44" t="str">
        <f>IFERROR(__xludf.DUMMYFUNCTION("IF(COUNTA(K48:O48)=0, """", ARRAYFORMULA(""- ""&amp;TEXTJOIN(char(10)&amp;""- "", TRUE, FILTER(K$1:O$1&amp;"": ""&amp;K48:O48, NOT(ISBLANK(K48:O48))))))"),"- Finn: target 2.3")</f>
        <v>- Finn: target 2.3</v>
      </c>
      <c r="Q48" s="44" t="s">
        <v>412</v>
      </c>
      <c r="R48" s="46" t="b">
        <f t="shared" si="7"/>
        <v>1</v>
      </c>
    </row>
    <row r="49">
      <c r="A49" s="34" t="s">
        <v>122</v>
      </c>
      <c r="B49" s="34" t="s">
        <v>123</v>
      </c>
      <c r="C49" s="7"/>
      <c r="D49" s="43" t="b">
        <f t="shared" ref="D49:H49" si="98">VLOOKUP($A49, INDIRECT(D$1&amp;"!A:C"), 3, FALSE)</f>
        <v>0</v>
      </c>
      <c r="E49" s="43" t="str">
        <f t="shared" si="98"/>
        <v>TO DO</v>
      </c>
      <c r="F49" s="43" t="str">
        <f t="shared" si="98"/>
        <v>TO DO</v>
      </c>
      <c r="G49" s="43" t="b">
        <f t="shared" si="98"/>
        <v>0</v>
      </c>
      <c r="H49" s="43" t="b">
        <f t="shared" si="98"/>
        <v>0</v>
      </c>
      <c r="I49" s="7">
        <f t="shared" si="4"/>
        <v>3</v>
      </c>
      <c r="J49" s="44">
        <f t="shared" si="5"/>
        <v>1</v>
      </c>
      <c r="K49" s="45" t="str">
        <f t="shared" ref="K49:O49" si="99">VLOOKUP($A49, INDIRECT(K$1&amp;"!A:D"), 4, FALSE)</f>
        <v/>
      </c>
      <c r="L49" s="45" t="str">
        <f t="shared" si="99"/>
        <v/>
      </c>
      <c r="M49" s="45" t="str">
        <f t="shared" si="99"/>
        <v/>
      </c>
      <c r="N49" s="45" t="str">
        <f t="shared" si="99"/>
        <v/>
      </c>
      <c r="O49" s="45" t="str">
        <f t="shared" si="99"/>
        <v/>
      </c>
      <c r="P49" s="44" t="str">
        <f>IFERROR(__xludf.DUMMYFUNCTION("IF(COUNTA(K49:O49)=0, """", ARRAYFORMULA(""- ""&amp;TEXTJOIN(char(10)&amp;""- "", TRUE, FILTER(K$1:O$1&amp;"": ""&amp;K49:O49, NOT(ISBLANK(K49:O49))))))"),"")</f>
        <v/>
      </c>
      <c r="Q49" s="44" t="s">
        <v>388</v>
      </c>
      <c r="R49" s="46" t="b">
        <f t="shared" si="7"/>
        <v>0</v>
      </c>
    </row>
    <row r="50">
      <c r="A50" s="34" t="s">
        <v>178</v>
      </c>
      <c r="B50" s="34" t="s">
        <v>179</v>
      </c>
      <c r="C50" s="47"/>
      <c r="D50" s="43" t="b">
        <f t="shared" ref="D50:H50" si="100">VLOOKUP($A50, INDIRECT(D$1&amp;"!A:C"), 3, FALSE)</f>
        <v>1</v>
      </c>
      <c r="E50" s="43" t="str">
        <f t="shared" si="100"/>
        <v>TO DO</v>
      </c>
      <c r="F50" s="43" t="str">
        <f t="shared" si="100"/>
        <v>TO DO</v>
      </c>
      <c r="G50" s="43" t="b">
        <f t="shared" si="100"/>
        <v>1</v>
      </c>
      <c r="H50" s="43" t="b">
        <f t="shared" si="100"/>
        <v>1</v>
      </c>
      <c r="I50" s="7">
        <f t="shared" si="4"/>
        <v>3</v>
      </c>
      <c r="J50" s="44">
        <f t="shared" si="5"/>
        <v>1</v>
      </c>
      <c r="K50" s="45" t="str">
        <f t="shared" ref="K50:O50" si="101">VLOOKUP($A50, INDIRECT(K$1&amp;"!A:D"), 4, FALSE)</f>
        <v/>
      </c>
      <c r="L50" s="45" t="str">
        <f t="shared" si="101"/>
        <v/>
      </c>
      <c r="M50" s="45" t="str">
        <f t="shared" si="101"/>
        <v/>
      </c>
      <c r="N50" s="45" t="str">
        <f t="shared" si="101"/>
        <v/>
      </c>
      <c r="O50" s="45" t="str">
        <f t="shared" si="101"/>
        <v/>
      </c>
      <c r="P50" s="44" t="str">
        <f>IFERROR(__xludf.DUMMYFUNCTION("IF(COUNTA(K50:O50)=0, """", ARRAYFORMULA(""- ""&amp;TEXTJOIN(char(10)&amp;""- "", TRUE, FILTER(K$1:O$1&amp;"": ""&amp;K50:O50, NOT(ISBLANK(K50:O50))))))"),"")</f>
        <v/>
      </c>
      <c r="Q50" s="44" t="s">
        <v>388</v>
      </c>
      <c r="R50" s="46" t="b">
        <f t="shared" si="7"/>
        <v>1</v>
      </c>
    </row>
    <row r="51">
      <c r="A51" s="34" t="s">
        <v>139</v>
      </c>
      <c r="B51" s="34" t="s">
        <v>140</v>
      </c>
      <c r="C51" s="43"/>
      <c r="D51" s="43" t="b">
        <f t="shared" ref="D51:H51" si="102">VLOOKUP($A51, INDIRECT(D$1&amp;"!A:C"), 3, FALSE)</f>
        <v>1</v>
      </c>
      <c r="E51" s="43" t="b">
        <f t="shared" si="102"/>
        <v>1</v>
      </c>
      <c r="F51" s="43" t="str">
        <f t="shared" si="102"/>
        <v>TO DO</v>
      </c>
      <c r="G51" s="43" t="b">
        <f t="shared" si="102"/>
        <v>1</v>
      </c>
      <c r="H51" s="43" t="b">
        <f t="shared" si="102"/>
        <v>1</v>
      </c>
      <c r="I51" s="7">
        <f t="shared" si="4"/>
        <v>4</v>
      </c>
      <c r="J51" s="44">
        <f t="shared" si="5"/>
        <v>1</v>
      </c>
      <c r="K51" s="45" t="str">
        <f t="shared" ref="K51:O51" si="103">VLOOKUP($A51, INDIRECT(K$1&amp;"!A:D"), 4, FALSE)</f>
        <v/>
      </c>
      <c r="L51" s="45" t="str">
        <f t="shared" si="103"/>
        <v/>
      </c>
      <c r="M51" s="45" t="str">
        <f t="shared" si="103"/>
        <v/>
      </c>
      <c r="N51" s="45" t="str">
        <f t="shared" si="103"/>
        <v/>
      </c>
      <c r="O51" s="45" t="str">
        <f t="shared" si="103"/>
        <v/>
      </c>
      <c r="P51" s="44" t="str">
        <f>IFERROR(__xludf.DUMMYFUNCTION("IF(COUNTA(K51:O51)=0, """", ARRAYFORMULA(""- ""&amp;TEXTJOIN(char(10)&amp;""- "", TRUE, FILTER(K$1:O$1&amp;"": ""&amp;K51:O51, NOT(ISBLANK(K51:O51))))))"),"")</f>
        <v/>
      </c>
      <c r="Q51" s="44" t="s">
        <v>388</v>
      </c>
      <c r="R51" s="46" t="b">
        <f t="shared" si="7"/>
        <v>1</v>
      </c>
    </row>
    <row r="52">
      <c r="A52" s="34" t="s">
        <v>71</v>
      </c>
      <c r="B52" s="34" t="s">
        <v>72</v>
      </c>
      <c r="C52" s="47"/>
      <c r="D52" s="43" t="b">
        <f t="shared" ref="D52:H52" si="104">VLOOKUP($A52, INDIRECT(D$1&amp;"!A:C"), 3, FALSE)</f>
        <v>1</v>
      </c>
      <c r="E52" s="43" t="str">
        <f t="shared" si="104"/>
        <v>TO DO</v>
      </c>
      <c r="F52" s="43" t="str">
        <f t="shared" si="104"/>
        <v>TO DO</v>
      </c>
      <c r="G52" s="43" t="b">
        <f t="shared" si="104"/>
        <v>1</v>
      </c>
      <c r="H52" s="43" t="b">
        <f t="shared" si="104"/>
        <v>1</v>
      </c>
      <c r="I52" s="7">
        <f t="shared" si="4"/>
        <v>3</v>
      </c>
      <c r="J52" s="44">
        <f t="shared" si="5"/>
        <v>1</v>
      </c>
      <c r="K52" s="45" t="str">
        <f t="shared" ref="K52:O52" si="105">VLOOKUP($A52, INDIRECT(K$1&amp;"!A:D"), 4, FALSE)</f>
        <v>sustainable agriculture (overarching)</v>
      </c>
      <c r="L52" s="45" t="str">
        <f t="shared" si="105"/>
        <v/>
      </c>
      <c r="M52" s="45" t="str">
        <f t="shared" si="105"/>
        <v/>
      </c>
      <c r="N52" s="45" t="str">
        <f t="shared" si="105"/>
        <v/>
      </c>
      <c r="O52" s="45" t="str">
        <f t="shared" si="105"/>
        <v/>
      </c>
      <c r="P52" s="44" t="str">
        <f>IFERROR(__xludf.DUMMYFUNCTION("IF(COUNTA(K52:O52)=0, """", ARRAYFORMULA(""- ""&amp;TEXTJOIN(char(10)&amp;""- "", TRUE, FILTER(K$1:O$1&amp;"": ""&amp;K52:O52, NOT(ISBLANK(K52:O52))))))"),"- Finn: sustainable agriculture (overarching)")</f>
        <v>- Finn: sustainable agriculture (overarching)</v>
      </c>
      <c r="Q52" s="44" t="s">
        <v>413</v>
      </c>
      <c r="R52" s="46" t="b">
        <f t="shared" si="7"/>
        <v>1</v>
      </c>
    </row>
    <row r="53">
      <c r="A53" s="34" t="s">
        <v>188</v>
      </c>
      <c r="B53" s="34" t="s">
        <v>189</v>
      </c>
      <c r="C53" s="7"/>
      <c r="D53" s="43" t="b">
        <f t="shared" ref="D53:H53" si="106">VLOOKUP($A53, INDIRECT(D$1&amp;"!A:C"), 3, FALSE)</f>
        <v>0</v>
      </c>
      <c r="E53" s="43" t="str">
        <f t="shared" si="106"/>
        <v>TO DO</v>
      </c>
      <c r="F53" s="43" t="str">
        <f t="shared" si="106"/>
        <v>TO DO</v>
      </c>
      <c r="G53" s="43" t="b">
        <f t="shared" si="106"/>
        <v>0</v>
      </c>
      <c r="H53" s="43" t="b">
        <f t="shared" si="106"/>
        <v>0</v>
      </c>
      <c r="I53" s="7">
        <f t="shared" si="4"/>
        <v>3</v>
      </c>
      <c r="J53" s="44">
        <f t="shared" si="5"/>
        <v>1</v>
      </c>
      <c r="K53" s="45" t="str">
        <f t="shared" ref="K53:O53" si="107">VLOOKUP($A53, INDIRECT(K$1&amp;"!A:D"), 4, FALSE)</f>
        <v/>
      </c>
      <c r="L53" s="45" t="str">
        <f t="shared" si="107"/>
        <v/>
      </c>
      <c r="M53" s="45" t="str">
        <f t="shared" si="107"/>
        <v/>
      </c>
      <c r="N53" s="45" t="str">
        <f t="shared" si="107"/>
        <v/>
      </c>
      <c r="O53" s="45" t="str">
        <f t="shared" si="107"/>
        <v/>
      </c>
      <c r="P53" s="44" t="str">
        <f>IFERROR(__xludf.DUMMYFUNCTION("IF(COUNTA(K53:O53)=0, """", ARRAYFORMULA(""- ""&amp;TEXTJOIN(char(10)&amp;""- "", TRUE, FILTER(K$1:O$1&amp;"": ""&amp;K53:O53, NOT(ISBLANK(K53:O53))))))"),"")</f>
        <v/>
      </c>
      <c r="Q53" s="44" t="s">
        <v>388</v>
      </c>
      <c r="R53" s="46" t="b">
        <f t="shared" si="7"/>
        <v>0</v>
      </c>
    </row>
    <row r="54">
      <c r="A54" s="34" t="s">
        <v>137</v>
      </c>
      <c r="B54" s="34" t="s">
        <v>138</v>
      </c>
      <c r="C54" s="47"/>
      <c r="D54" s="43" t="b">
        <f t="shared" ref="D54:H54" si="108">VLOOKUP($A54, INDIRECT(D$1&amp;"!A:C"), 3, FALSE)</f>
        <v>0</v>
      </c>
      <c r="E54" s="43" t="b">
        <f t="shared" si="108"/>
        <v>0</v>
      </c>
      <c r="F54" s="43" t="str">
        <f t="shared" si="108"/>
        <v>TO DO</v>
      </c>
      <c r="G54" s="43" t="b">
        <f t="shared" si="108"/>
        <v>0</v>
      </c>
      <c r="H54" s="43" t="b">
        <f t="shared" si="108"/>
        <v>0</v>
      </c>
      <c r="I54" s="7">
        <f t="shared" si="4"/>
        <v>4</v>
      </c>
      <c r="J54" s="44">
        <f t="shared" si="5"/>
        <v>1</v>
      </c>
      <c r="K54" s="45" t="str">
        <f t="shared" ref="K54:O54" si="109">VLOOKUP($A54, INDIRECT(K$1&amp;"!A:D"), 4, FALSE)</f>
        <v/>
      </c>
      <c r="L54" s="45" t="str">
        <f t="shared" si="109"/>
        <v/>
      </c>
      <c r="M54" s="45" t="str">
        <f t="shared" si="109"/>
        <v/>
      </c>
      <c r="N54" s="45" t="str">
        <f t="shared" si="109"/>
        <v/>
      </c>
      <c r="O54" s="45" t="str">
        <f t="shared" si="109"/>
        <v/>
      </c>
      <c r="P54" s="44" t="str">
        <f>IFERROR(__xludf.DUMMYFUNCTION("IF(COUNTA(K54:O54)=0, """", ARRAYFORMULA(""- ""&amp;TEXTJOIN(char(10)&amp;""- "", TRUE, FILTER(K$1:O$1&amp;"": ""&amp;K54:O54, NOT(ISBLANK(K54:O54))))))"),"")</f>
        <v/>
      </c>
      <c r="Q54" s="44" t="s">
        <v>388</v>
      </c>
      <c r="R54" s="46" t="b">
        <f t="shared" si="7"/>
        <v>0</v>
      </c>
    </row>
    <row r="55">
      <c r="A55" s="34" t="s">
        <v>135</v>
      </c>
      <c r="B55" s="34" t="s">
        <v>136</v>
      </c>
      <c r="C55" s="48" t="s">
        <v>410</v>
      </c>
      <c r="D55" s="43" t="b">
        <f t="shared" ref="D55:H55" si="110">VLOOKUP($A55, INDIRECT(D$1&amp;"!A:C"), 3, FALSE)</f>
        <v>0</v>
      </c>
      <c r="E55" s="43" t="b">
        <f t="shared" si="110"/>
        <v>0</v>
      </c>
      <c r="F55" s="43" t="str">
        <f t="shared" si="110"/>
        <v>TO DO</v>
      </c>
      <c r="G55" s="43" t="b">
        <f t="shared" si="110"/>
        <v>0</v>
      </c>
      <c r="H55" s="43" t="b">
        <f t="shared" si="110"/>
        <v>1</v>
      </c>
      <c r="I55" s="7">
        <f t="shared" si="4"/>
        <v>4</v>
      </c>
      <c r="J55" s="44">
        <f t="shared" si="5"/>
        <v>0.5</v>
      </c>
      <c r="K55" s="45" t="str">
        <f t="shared" ref="K55:O55" si="111">VLOOKUP($A55, INDIRECT(K$1&amp;"!A:D"), 4, FALSE)</f>
        <v/>
      </c>
      <c r="L55" s="45" t="str">
        <f t="shared" si="111"/>
        <v/>
      </c>
      <c r="M55" s="45" t="str">
        <f t="shared" si="111"/>
        <v/>
      </c>
      <c r="N55" s="45" t="str">
        <f t="shared" si="111"/>
        <v/>
      </c>
      <c r="O55" s="45" t="str">
        <f t="shared" si="111"/>
        <v/>
      </c>
      <c r="P55" s="44" t="str">
        <f>IFERROR(__xludf.DUMMYFUNCTION("IF(COUNTA(K55:O55)=0, """", ARRAYFORMULA(""- ""&amp;TEXTJOIN(char(10)&amp;""- "", TRUE, FILTER(K$1:O$1&amp;"": ""&amp;K55:O55, NOT(ISBLANK(K55:O55))))))"),"")</f>
        <v/>
      </c>
      <c r="Q55" s="44" t="s">
        <v>388</v>
      </c>
      <c r="R55" s="46" t="str">
        <f t="shared" si="7"/>
        <v>UNDECIDED</v>
      </c>
    </row>
    <row r="56">
      <c r="A56" s="34" t="s">
        <v>76</v>
      </c>
      <c r="B56" s="34" t="s">
        <v>77</v>
      </c>
      <c r="C56" s="43"/>
      <c r="D56" s="43" t="b">
        <f t="shared" ref="D56:H56" si="112">VLOOKUP($A56, INDIRECT(D$1&amp;"!A:C"), 3, FALSE)</f>
        <v>1</v>
      </c>
      <c r="E56" s="43" t="b">
        <f t="shared" si="112"/>
        <v>1</v>
      </c>
      <c r="F56" s="43" t="str">
        <f t="shared" si="112"/>
        <v>TO DO</v>
      </c>
      <c r="G56" s="43" t="b">
        <f t="shared" si="112"/>
        <v>1</v>
      </c>
      <c r="H56" s="43" t="b">
        <f t="shared" si="112"/>
        <v>1</v>
      </c>
      <c r="I56" s="7">
        <f t="shared" si="4"/>
        <v>4</v>
      </c>
      <c r="J56" s="44">
        <f t="shared" si="5"/>
        <v>1</v>
      </c>
      <c r="K56" s="45" t="str">
        <f t="shared" ref="K56:O56" si="113">VLOOKUP($A56, INDIRECT(K$1&amp;"!A:D"), 4, FALSE)</f>
        <v/>
      </c>
      <c r="L56" s="45" t="str">
        <f t="shared" si="113"/>
        <v/>
      </c>
      <c r="M56" s="45" t="str">
        <f t="shared" si="113"/>
        <v/>
      </c>
      <c r="N56" s="45" t="str">
        <f t="shared" si="113"/>
        <v/>
      </c>
      <c r="O56" s="45" t="str">
        <f t="shared" si="113"/>
        <v/>
      </c>
      <c r="P56" s="44" t="str">
        <f>IFERROR(__xludf.DUMMYFUNCTION("IF(COUNTA(K56:O56)=0, """", ARRAYFORMULA(""- ""&amp;TEXTJOIN(char(10)&amp;""- "", TRUE, FILTER(K$1:O$1&amp;"": ""&amp;K56:O56, NOT(ISBLANK(K56:O56))))))"),"")</f>
        <v/>
      </c>
      <c r="Q56" s="44" t="s">
        <v>388</v>
      </c>
      <c r="R56" s="46" t="b">
        <f t="shared" si="7"/>
        <v>1</v>
      </c>
    </row>
    <row r="57">
      <c r="A57" s="34" t="s">
        <v>249</v>
      </c>
      <c r="B57" s="34" t="s">
        <v>250</v>
      </c>
      <c r="C57" s="43"/>
      <c r="D57" s="43" t="b">
        <f t="shared" ref="D57:H57" si="114">VLOOKUP($A57, INDIRECT(D$1&amp;"!A:C"), 3, FALSE)</f>
        <v>1</v>
      </c>
      <c r="E57" s="43" t="str">
        <f t="shared" si="114"/>
        <v>TO DO</v>
      </c>
      <c r="F57" s="43" t="str">
        <f t="shared" si="114"/>
        <v>TO DO</v>
      </c>
      <c r="G57" s="43" t="b">
        <f t="shared" si="114"/>
        <v>1</v>
      </c>
      <c r="H57" s="43" t="b">
        <f t="shared" si="114"/>
        <v>1</v>
      </c>
      <c r="I57" s="7">
        <f t="shared" si="4"/>
        <v>3</v>
      </c>
      <c r="J57" s="44">
        <f t="shared" si="5"/>
        <v>1</v>
      </c>
      <c r="K57" s="45" t="str">
        <f t="shared" ref="K57:O57" si="115">VLOOKUP($A57, INDIRECT(K$1&amp;"!A:D"), 4, FALSE)</f>
        <v/>
      </c>
      <c r="L57" s="45" t="str">
        <f t="shared" si="115"/>
        <v/>
      </c>
      <c r="M57" s="45" t="str">
        <f t="shared" si="115"/>
        <v/>
      </c>
      <c r="N57" s="45" t="str">
        <f t="shared" si="115"/>
        <v/>
      </c>
      <c r="O57" s="45" t="str">
        <f t="shared" si="115"/>
        <v/>
      </c>
      <c r="P57" s="44" t="str">
        <f>IFERROR(__xludf.DUMMYFUNCTION("IF(COUNTA(K57:O57)=0, """", ARRAYFORMULA(""- ""&amp;TEXTJOIN(char(10)&amp;""- "", TRUE, FILTER(K$1:O$1&amp;"": ""&amp;K57:O57, NOT(ISBLANK(K57:O57))))))"),"")</f>
        <v/>
      </c>
      <c r="Q57" s="44" t="s">
        <v>388</v>
      </c>
      <c r="R57" s="46" t="b">
        <f t="shared" si="7"/>
        <v>1</v>
      </c>
    </row>
    <row r="58">
      <c r="A58" s="34" t="s">
        <v>221</v>
      </c>
      <c r="B58" s="34" t="s">
        <v>222</v>
      </c>
      <c r="C58" s="7"/>
      <c r="D58" s="43" t="b">
        <f t="shared" ref="D58:H58" si="116">VLOOKUP($A58, INDIRECT(D$1&amp;"!A:C"), 3, FALSE)</f>
        <v>0</v>
      </c>
      <c r="E58" s="43" t="b">
        <f t="shared" si="116"/>
        <v>0</v>
      </c>
      <c r="F58" s="43" t="str">
        <f t="shared" si="116"/>
        <v>TO DO</v>
      </c>
      <c r="G58" s="43" t="b">
        <f t="shared" si="116"/>
        <v>0</v>
      </c>
      <c r="H58" s="43" t="b">
        <f t="shared" si="116"/>
        <v>0</v>
      </c>
      <c r="I58" s="7">
        <f t="shared" si="4"/>
        <v>4</v>
      </c>
      <c r="J58" s="44">
        <f t="shared" si="5"/>
        <v>1</v>
      </c>
      <c r="K58" s="45" t="str">
        <f t="shared" ref="K58:O58" si="117">VLOOKUP($A58, INDIRECT(K$1&amp;"!A:D"), 4, FALSE)</f>
        <v/>
      </c>
      <c r="L58" s="45" t="str">
        <f t="shared" si="117"/>
        <v/>
      </c>
      <c r="M58" s="45" t="str">
        <f t="shared" si="117"/>
        <v/>
      </c>
      <c r="N58" s="45" t="str">
        <f t="shared" si="117"/>
        <v/>
      </c>
      <c r="O58" s="45" t="str">
        <f t="shared" si="117"/>
        <v/>
      </c>
      <c r="P58" s="44" t="str">
        <f>IFERROR(__xludf.DUMMYFUNCTION("IF(COUNTA(K58:O58)=0, """", ARRAYFORMULA(""- ""&amp;TEXTJOIN(char(10)&amp;""- "", TRUE, FILTER(K$1:O$1&amp;"": ""&amp;K58:O58, NOT(ISBLANK(K58:O58))))))"),"")</f>
        <v/>
      </c>
      <c r="Q58" s="44" t="s">
        <v>388</v>
      </c>
      <c r="R58" s="46" t="b">
        <f t="shared" si="7"/>
        <v>0</v>
      </c>
    </row>
    <row r="59">
      <c r="A59" s="34" t="s">
        <v>279</v>
      </c>
      <c r="B59" s="34" t="s">
        <v>280</v>
      </c>
      <c r="C59" s="48" t="s">
        <v>410</v>
      </c>
      <c r="D59" s="43" t="b">
        <f t="shared" ref="D59:H59" si="118">VLOOKUP($A59, INDIRECT(D$1&amp;"!A:C"), 3, FALSE)</f>
        <v>1</v>
      </c>
      <c r="E59" s="43" t="b">
        <f t="shared" si="118"/>
        <v>0</v>
      </c>
      <c r="F59" s="43" t="str">
        <f t="shared" si="118"/>
        <v>TO DO</v>
      </c>
      <c r="G59" s="43" t="b">
        <f t="shared" si="118"/>
        <v>1</v>
      </c>
      <c r="H59" s="43" t="b">
        <f t="shared" si="118"/>
        <v>1</v>
      </c>
      <c r="I59" s="7">
        <f t="shared" si="4"/>
        <v>4</v>
      </c>
      <c r="J59" s="44">
        <f t="shared" si="5"/>
        <v>0.5</v>
      </c>
      <c r="K59" s="45" t="str">
        <f t="shared" ref="K59:O59" si="119">VLOOKUP($A59, INDIRECT(K$1&amp;"!A:D"), 4, FALSE)</f>
        <v/>
      </c>
      <c r="L59" s="45" t="str">
        <f t="shared" si="119"/>
        <v>addressing hunger-environmental degradation is an example use-case of suggested method. This is too vague to be about SDG 2.</v>
      </c>
      <c r="M59" s="45" t="str">
        <f t="shared" si="119"/>
        <v/>
      </c>
      <c r="N59" s="45" t="str">
        <f t="shared" si="119"/>
        <v/>
      </c>
      <c r="O59" s="45" t="str">
        <f t="shared" si="119"/>
        <v/>
      </c>
      <c r="P59" s="44" t="str">
        <f>IFERROR(__xludf.DUMMYFUNCTION("IF(COUNTA(K59:O59)=0, """", ARRAYFORMULA(""- ""&amp;TEXTJOIN(char(10)&amp;""- "", TRUE, FILTER(K$1:O$1&amp;"": ""&amp;K59:O59, NOT(ISBLANK(K59:O59))))))"),"- Gib: addressing hunger-environmental degradation is an example use-case of suggested method. This is too vague to be about SDG 2.")</f>
        <v>- Gib: addressing hunger-environmental degradation is an example use-case of suggested method. This is too vague to be about SDG 2.</v>
      </c>
      <c r="Q59" s="44" t="s">
        <v>414</v>
      </c>
      <c r="R59" s="46" t="str">
        <f t="shared" si="7"/>
        <v>UNDECIDED</v>
      </c>
    </row>
    <row r="60">
      <c r="A60" s="34" t="s">
        <v>82</v>
      </c>
      <c r="B60" s="34" t="s">
        <v>83</v>
      </c>
      <c r="C60" s="7"/>
      <c r="D60" s="43" t="b">
        <f t="shared" ref="D60:H60" si="120">VLOOKUP($A60, INDIRECT(D$1&amp;"!A:C"), 3, FALSE)</f>
        <v>1</v>
      </c>
      <c r="E60" s="43" t="str">
        <f t="shared" si="120"/>
        <v>TO DO</v>
      </c>
      <c r="F60" s="43" t="str">
        <f t="shared" si="120"/>
        <v>TO DO</v>
      </c>
      <c r="G60" s="43" t="b">
        <f t="shared" si="120"/>
        <v>1</v>
      </c>
      <c r="H60" s="43" t="b">
        <f t="shared" si="120"/>
        <v>1</v>
      </c>
      <c r="I60" s="7">
        <f t="shared" si="4"/>
        <v>3</v>
      </c>
      <c r="J60" s="44">
        <f t="shared" si="5"/>
        <v>1</v>
      </c>
      <c r="K60" s="45" t="str">
        <f t="shared" ref="K60:O60" si="121">VLOOKUP($A60, INDIRECT(K$1&amp;"!A:D"), 4, FALSE)</f>
        <v/>
      </c>
      <c r="L60" s="45" t="str">
        <f t="shared" si="121"/>
        <v/>
      </c>
      <c r="M60" s="45" t="str">
        <f t="shared" si="121"/>
        <v/>
      </c>
      <c r="N60" s="45" t="str">
        <f t="shared" si="121"/>
        <v/>
      </c>
      <c r="O60" s="45" t="str">
        <f t="shared" si="121"/>
        <v/>
      </c>
      <c r="P60" s="44" t="str">
        <f>IFERROR(__xludf.DUMMYFUNCTION("IF(COUNTA(K60:O60)=0, """", ARRAYFORMULA(""- ""&amp;TEXTJOIN(char(10)&amp;""- "", TRUE, FILTER(K$1:O$1&amp;"": ""&amp;K60:O60, NOT(ISBLANK(K60:O60))))))"),"")</f>
        <v/>
      </c>
      <c r="Q60" s="44" t="s">
        <v>388</v>
      </c>
      <c r="R60" s="46" t="b">
        <f t="shared" si="7"/>
        <v>1</v>
      </c>
    </row>
    <row r="61">
      <c r="A61" s="34" t="s">
        <v>263</v>
      </c>
      <c r="B61" s="34" t="s">
        <v>264</v>
      </c>
      <c r="C61" s="47"/>
      <c r="D61" s="43" t="b">
        <f t="shared" ref="D61:H61" si="122">VLOOKUP($A61, INDIRECT(D$1&amp;"!A:C"), 3, FALSE)</f>
        <v>1</v>
      </c>
      <c r="E61" s="43" t="str">
        <f t="shared" si="122"/>
        <v>TO DO</v>
      </c>
      <c r="F61" s="43" t="str">
        <f t="shared" si="122"/>
        <v>TO DO</v>
      </c>
      <c r="G61" s="43" t="b">
        <f t="shared" si="122"/>
        <v>1</v>
      </c>
      <c r="H61" s="43" t="b">
        <f t="shared" si="122"/>
        <v>1</v>
      </c>
      <c r="I61" s="7">
        <f t="shared" si="4"/>
        <v>3</v>
      </c>
      <c r="J61" s="44">
        <f t="shared" si="5"/>
        <v>1</v>
      </c>
      <c r="K61" s="45" t="str">
        <f t="shared" ref="K61:O61" si="123">VLOOKUP($A61, INDIRECT(K$1&amp;"!A:D"), 4, FALSE)</f>
        <v/>
      </c>
      <c r="L61" s="45" t="str">
        <f t="shared" si="123"/>
        <v/>
      </c>
      <c r="M61" s="45" t="str">
        <f t="shared" si="123"/>
        <v/>
      </c>
      <c r="N61" s="45" t="str">
        <f t="shared" si="123"/>
        <v/>
      </c>
      <c r="O61" s="45" t="str">
        <f t="shared" si="123"/>
        <v/>
      </c>
      <c r="P61" s="44" t="str">
        <f>IFERROR(__xludf.DUMMYFUNCTION("IF(COUNTA(K61:O61)=0, """", ARRAYFORMULA(""- ""&amp;TEXTJOIN(char(10)&amp;""- "", TRUE, FILTER(K$1:O$1&amp;"": ""&amp;K61:O61, NOT(ISBLANK(K61:O61))))))"),"")</f>
        <v/>
      </c>
      <c r="Q61" s="44" t="s">
        <v>388</v>
      </c>
      <c r="R61" s="46" t="b">
        <f t="shared" si="7"/>
        <v>1</v>
      </c>
    </row>
    <row r="62">
      <c r="A62" s="34" t="s">
        <v>133</v>
      </c>
      <c r="B62" s="34" t="s">
        <v>134</v>
      </c>
      <c r="C62" s="47"/>
      <c r="D62" s="43" t="b">
        <f t="shared" ref="D62:H62" si="124">VLOOKUP($A62, INDIRECT(D$1&amp;"!A:C"), 3, FALSE)</f>
        <v>1</v>
      </c>
      <c r="E62" s="43" t="str">
        <f t="shared" si="124"/>
        <v>TO DO</v>
      </c>
      <c r="F62" s="43" t="str">
        <f t="shared" si="124"/>
        <v>TO DO</v>
      </c>
      <c r="G62" s="43" t="b">
        <f t="shared" si="124"/>
        <v>1</v>
      </c>
      <c r="H62" s="43" t="b">
        <f t="shared" si="124"/>
        <v>1</v>
      </c>
      <c r="I62" s="7">
        <f t="shared" si="4"/>
        <v>3</v>
      </c>
      <c r="J62" s="44">
        <f t="shared" si="5"/>
        <v>1</v>
      </c>
      <c r="K62" s="45" t="str">
        <f t="shared" ref="K62:O62" si="125">VLOOKUP($A62, INDIRECT(K$1&amp;"!A:D"), 4, FALSE)</f>
        <v/>
      </c>
      <c r="L62" s="45" t="str">
        <f t="shared" si="125"/>
        <v/>
      </c>
      <c r="M62" s="45" t="str">
        <f t="shared" si="125"/>
        <v/>
      </c>
      <c r="N62" s="45" t="str">
        <f t="shared" si="125"/>
        <v/>
      </c>
      <c r="O62" s="45" t="str">
        <f t="shared" si="125"/>
        <v/>
      </c>
      <c r="P62" s="44" t="str">
        <f>IFERROR(__xludf.DUMMYFUNCTION("IF(COUNTA(K62:O62)=0, """", ARRAYFORMULA(""- ""&amp;TEXTJOIN(char(10)&amp;""- "", TRUE, FILTER(K$1:O$1&amp;"": ""&amp;K62:O62, NOT(ISBLANK(K62:O62))))))"),"")</f>
        <v/>
      </c>
      <c r="Q62" s="44" t="s">
        <v>388</v>
      </c>
      <c r="R62" s="46" t="b">
        <f t="shared" si="7"/>
        <v>1</v>
      </c>
    </row>
    <row r="63">
      <c r="A63" s="34" t="s">
        <v>108</v>
      </c>
      <c r="B63" s="34" t="s">
        <v>109</v>
      </c>
      <c r="C63" s="48" t="s">
        <v>410</v>
      </c>
      <c r="D63" s="43" t="b">
        <f t="shared" ref="D63:H63" si="126">VLOOKUP($A63, INDIRECT(D$1&amp;"!A:C"), 3, FALSE)</f>
        <v>1</v>
      </c>
      <c r="E63" s="43" t="b">
        <f t="shared" si="126"/>
        <v>0</v>
      </c>
      <c r="F63" s="43" t="str">
        <f t="shared" si="126"/>
        <v>TO DO</v>
      </c>
      <c r="G63" s="43" t="b">
        <f t="shared" si="126"/>
        <v>0</v>
      </c>
      <c r="H63" s="43" t="b">
        <f t="shared" si="126"/>
        <v>0</v>
      </c>
      <c r="I63" s="7">
        <f t="shared" si="4"/>
        <v>4</v>
      </c>
      <c r="J63" s="44">
        <f t="shared" si="5"/>
        <v>0.5</v>
      </c>
      <c r="K63" s="45" t="str">
        <f t="shared" ref="K63:O63" si="127">VLOOKUP($A63, INDIRECT(K$1&amp;"!A:D"), 4, FALSE)</f>
        <v/>
      </c>
      <c r="L63" s="45" t="str">
        <f t="shared" si="127"/>
        <v>Could be SDG 2.4
The clause "which can have impacts on food production" makes it vaguely relevant to SDG 2, but it is more like fact-stating to support argument on negative impacts of deforestation and forest fires.</v>
      </c>
      <c r="M63" s="45" t="str">
        <f t="shared" si="127"/>
        <v/>
      </c>
      <c r="N63" s="45" t="str">
        <f t="shared" si="127"/>
        <v/>
      </c>
      <c r="O63" s="45" t="str">
        <f t="shared" si="127"/>
        <v/>
      </c>
      <c r="P63" s="44" t="str">
        <f>IFERROR(__xludf.DUMMYFUNCTION("IF(COUNTA(K63:O63)=0, """", ARRAYFORMULA(""- ""&amp;TEXTJOIN(char(10)&amp;""- "", TRUE, FILTER(K$1:O$1&amp;"": ""&amp;K63:O63, NOT(ISBLANK(K63:O63))))))"),"- Gib: Could be SDG 2.4
The clause ""which can have impacts on food production"" makes it vaguely relevant to SDG 2, but it is more like fact-stating to support argument on negative impacts of deforestation and forest fires.")</f>
        <v>- Gib: Could be SDG 2.4
The clause "which can have impacts on food production" makes it vaguely relevant to SDG 2, but it is more like fact-stating to support argument on negative impacts of deforestation and forest fires.</v>
      </c>
      <c r="Q63" s="44" t="s">
        <v>415</v>
      </c>
      <c r="R63" s="46" t="str">
        <f t="shared" si="7"/>
        <v>UNDECIDED</v>
      </c>
    </row>
    <row r="64">
      <c r="A64" s="34" t="s">
        <v>274</v>
      </c>
      <c r="B64" s="34" t="s">
        <v>275</v>
      </c>
      <c r="C64" s="43"/>
      <c r="D64" s="43" t="b">
        <f t="shared" ref="D64:H64" si="128">VLOOKUP($A64, INDIRECT(D$1&amp;"!A:C"), 3, FALSE)</f>
        <v>1</v>
      </c>
      <c r="E64" s="43" t="str">
        <f t="shared" si="128"/>
        <v>TO DO</v>
      </c>
      <c r="F64" s="43" t="str">
        <f t="shared" si="128"/>
        <v>TO DO</v>
      </c>
      <c r="G64" s="43" t="b">
        <f t="shared" si="128"/>
        <v>0</v>
      </c>
      <c r="H64" s="43" t="b">
        <f t="shared" si="128"/>
        <v>1</v>
      </c>
      <c r="I64" s="7">
        <f t="shared" si="4"/>
        <v>3</v>
      </c>
      <c r="J64" s="44">
        <f t="shared" si="5"/>
        <v>0.3333333333</v>
      </c>
      <c r="K64" s="45" t="str">
        <f t="shared" ref="K64:O64" si="129">VLOOKUP($A64, INDIRECT(K$1&amp;"!A:D"), 4, FALSE)</f>
        <v>safe food -&gt; target 1.1 (first sentence only)</v>
      </c>
      <c r="L64" s="45" t="str">
        <f t="shared" si="129"/>
        <v/>
      </c>
      <c r="M64" s="45" t="str">
        <f t="shared" si="129"/>
        <v/>
      </c>
      <c r="N64" s="45" t="str">
        <f t="shared" si="129"/>
        <v>food safety not part of targets but security is</v>
      </c>
      <c r="O64" s="45" t="str">
        <f t="shared" si="129"/>
        <v/>
      </c>
      <c r="P64" s="44" t="str">
        <f>IFERROR(__xludf.DUMMYFUNCTION("IF(COUNTA(K64:O64)=0, """", ARRAYFORMULA(""- ""&amp;TEXTJOIN(char(10)&amp;""- "", TRUE, FILTER(K$1:O$1&amp;"": ""&amp;K64:O64, NOT(ISBLANK(K64:O64))))))"),"- Finn: safe food -&gt; target 1.1 (first sentence only)
- Meike: food safety not part of targets but security is")</f>
        <v>- Finn: safe food -&gt; target 1.1 (first sentence only)
- Meike: food safety not part of targets but security is</v>
      </c>
      <c r="Q64" s="44" t="s">
        <v>416</v>
      </c>
      <c r="R64" s="46" t="str">
        <f t="shared" si="7"/>
        <v>UNDECIDED</v>
      </c>
    </row>
    <row r="65">
      <c r="A65" s="34" t="s">
        <v>90</v>
      </c>
      <c r="B65" s="34" t="s">
        <v>91</v>
      </c>
      <c r="C65" s="7"/>
      <c r="D65" s="43" t="b">
        <f t="shared" ref="D65:H65" si="130">VLOOKUP($A65, INDIRECT(D$1&amp;"!A:C"), 3, FALSE)</f>
        <v>1</v>
      </c>
      <c r="E65" s="43" t="b">
        <f t="shared" si="130"/>
        <v>1</v>
      </c>
      <c r="F65" s="43" t="str">
        <f t="shared" si="130"/>
        <v>TO DO</v>
      </c>
      <c r="G65" s="43" t="b">
        <f t="shared" si="130"/>
        <v>1</v>
      </c>
      <c r="H65" s="43" t="b">
        <f t="shared" si="130"/>
        <v>1</v>
      </c>
      <c r="I65" s="7">
        <f t="shared" si="4"/>
        <v>4</v>
      </c>
      <c r="J65" s="44">
        <f t="shared" si="5"/>
        <v>1</v>
      </c>
      <c r="K65" s="45" t="str">
        <f t="shared" ref="K65:O65" si="131">VLOOKUP($A65, INDIRECT(K$1&amp;"!A:D"), 4, FALSE)</f>
        <v/>
      </c>
      <c r="L65" s="45" t="str">
        <f t="shared" si="131"/>
        <v/>
      </c>
      <c r="M65" s="45" t="str">
        <f t="shared" si="131"/>
        <v/>
      </c>
      <c r="N65" s="45" t="str">
        <f t="shared" si="131"/>
        <v/>
      </c>
      <c r="O65" s="45" t="str">
        <f t="shared" si="131"/>
        <v/>
      </c>
      <c r="P65" s="44" t="str">
        <f>IFERROR(__xludf.DUMMYFUNCTION("IF(COUNTA(K65:O65)=0, """", ARRAYFORMULA(""- ""&amp;TEXTJOIN(char(10)&amp;""- "", TRUE, FILTER(K$1:O$1&amp;"": ""&amp;K65:O65, NOT(ISBLANK(K65:O65))))))"),"")</f>
        <v/>
      </c>
      <c r="Q65" s="44" t="s">
        <v>388</v>
      </c>
      <c r="R65" s="46" t="b">
        <f t="shared" si="7"/>
        <v>1</v>
      </c>
    </row>
    <row r="66">
      <c r="A66" s="34" t="s">
        <v>207</v>
      </c>
      <c r="B66" s="34" t="s">
        <v>208</v>
      </c>
      <c r="C66" s="48"/>
      <c r="D66" s="43" t="b">
        <f t="shared" ref="D66:H66" si="132">VLOOKUP($A66, INDIRECT(D$1&amp;"!A:C"), 3, FALSE)</f>
        <v>1</v>
      </c>
      <c r="E66" s="43" t="str">
        <f t="shared" si="132"/>
        <v>TO DO</v>
      </c>
      <c r="F66" s="43" t="str">
        <f t="shared" si="132"/>
        <v>TO DO</v>
      </c>
      <c r="G66" s="43" t="b">
        <f t="shared" si="132"/>
        <v>1</v>
      </c>
      <c r="H66" s="43" t="b">
        <f t="shared" si="132"/>
        <v>1</v>
      </c>
      <c r="I66" s="7">
        <f t="shared" si="4"/>
        <v>3</v>
      </c>
      <c r="J66" s="44">
        <f t="shared" si="5"/>
        <v>1</v>
      </c>
      <c r="K66" s="45" t="str">
        <f t="shared" ref="K66:O66" si="133">VLOOKUP($A66, INDIRECT(K$1&amp;"!A:D"), 4, FALSE)</f>
        <v/>
      </c>
      <c r="L66" s="45" t="str">
        <f t="shared" si="133"/>
        <v/>
      </c>
      <c r="M66" s="45" t="str">
        <f t="shared" si="133"/>
        <v/>
      </c>
      <c r="N66" s="45" t="str">
        <f t="shared" si="133"/>
        <v/>
      </c>
      <c r="O66" s="45" t="str">
        <f t="shared" si="133"/>
        <v/>
      </c>
      <c r="P66" s="44" t="str">
        <f>IFERROR(__xludf.DUMMYFUNCTION("IF(COUNTA(K66:O66)=0, """", ARRAYFORMULA(""- ""&amp;TEXTJOIN(char(10)&amp;""- "", TRUE, FILTER(K$1:O$1&amp;"": ""&amp;K66:O66, NOT(ISBLANK(K66:O66))))))"),"")</f>
        <v/>
      </c>
      <c r="Q66" s="44" t="s">
        <v>388</v>
      </c>
      <c r="R66" s="46" t="b">
        <f t="shared" si="7"/>
        <v>1</v>
      </c>
    </row>
    <row r="67">
      <c r="A67" s="34" t="s">
        <v>219</v>
      </c>
      <c r="B67" s="34" t="s">
        <v>220</v>
      </c>
      <c r="C67" s="47"/>
      <c r="D67" s="43" t="b">
        <f t="shared" ref="D67:H67" si="134">VLOOKUP($A67, INDIRECT(D$1&amp;"!A:C"), 3, FALSE)</f>
        <v>1</v>
      </c>
      <c r="E67" s="43" t="str">
        <f t="shared" si="134"/>
        <v>TO DO</v>
      </c>
      <c r="F67" s="43" t="str">
        <f t="shared" si="134"/>
        <v>TO DO</v>
      </c>
      <c r="G67" s="43" t="b">
        <f t="shared" si="134"/>
        <v>1</v>
      </c>
      <c r="H67" s="43" t="b">
        <f t="shared" si="134"/>
        <v>1</v>
      </c>
      <c r="I67" s="7">
        <f t="shared" si="4"/>
        <v>3</v>
      </c>
      <c r="J67" s="44">
        <f t="shared" si="5"/>
        <v>1</v>
      </c>
      <c r="K67" s="45" t="str">
        <f t="shared" ref="K67:O67" si="135">VLOOKUP($A67, INDIRECT(K$1&amp;"!A:D"), 4, FALSE)</f>
        <v/>
      </c>
      <c r="L67" s="45" t="str">
        <f t="shared" si="135"/>
        <v/>
      </c>
      <c r="M67" s="45" t="str">
        <f t="shared" si="135"/>
        <v/>
      </c>
      <c r="N67" s="45" t="str">
        <f t="shared" si="135"/>
        <v/>
      </c>
      <c r="O67" s="45" t="str">
        <f t="shared" si="135"/>
        <v/>
      </c>
      <c r="P67" s="44" t="str">
        <f>IFERROR(__xludf.DUMMYFUNCTION("IF(COUNTA(K67:O67)=0, """", ARRAYFORMULA(""- ""&amp;TEXTJOIN(char(10)&amp;""- "", TRUE, FILTER(K$1:O$1&amp;"": ""&amp;K67:O67, NOT(ISBLANK(K67:O67))))))"),"")</f>
        <v/>
      </c>
      <c r="Q67" s="44" t="s">
        <v>388</v>
      </c>
      <c r="R67" s="46" t="b">
        <f t="shared" si="7"/>
        <v>1</v>
      </c>
    </row>
    <row r="68">
      <c r="A68" s="34" t="s">
        <v>203</v>
      </c>
      <c r="B68" s="34" t="s">
        <v>204</v>
      </c>
      <c r="C68" s="7" t="s">
        <v>389</v>
      </c>
      <c r="D68" s="43" t="b">
        <f t="shared" ref="D68:H68" si="136">VLOOKUP($A68, INDIRECT(D$1&amp;"!A:C"), 3, FALSE)</f>
        <v>1</v>
      </c>
      <c r="E68" s="43" t="str">
        <f t="shared" si="136"/>
        <v>TO DO</v>
      </c>
      <c r="F68" s="43" t="str">
        <f t="shared" si="136"/>
        <v>TO DO</v>
      </c>
      <c r="G68" s="43" t="b">
        <f t="shared" si="136"/>
        <v>0</v>
      </c>
      <c r="H68" s="43" t="b">
        <f t="shared" si="136"/>
        <v>1</v>
      </c>
      <c r="I68" s="7">
        <f t="shared" si="4"/>
        <v>3</v>
      </c>
      <c r="J68" s="44">
        <f t="shared" si="5"/>
        <v>0.3333333333</v>
      </c>
      <c r="K68" s="45" t="str">
        <f t="shared" ref="K68:O68" si="137">VLOOKUP($A68, INDIRECT(K$1&amp;"!A:D"), 4, FALSE)</f>
        <v/>
      </c>
      <c r="L68" s="45" t="str">
        <f t="shared" si="137"/>
        <v/>
      </c>
      <c r="M68" s="45" t="str">
        <f t="shared" si="137"/>
        <v/>
      </c>
      <c r="N68" s="45" t="str">
        <f t="shared" si="137"/>
        <v/>
      </c>
      <c r="O68" s="45" t="str">
        <f t="shared" si="137"/>
        <v/>
      </c>
      <c r="P68" s="44" t="str">
        <f>IFERROR(__xludf.DUMMYFUNCTION("IF(COUNTA(K68:O68)=0, """", ARRAYFORMULA(""- ""&amp;TEXTJOIN(char(10)&amp;""- "", TRUE, FILTER(K$1:O$1&amp;"": ""&amp;K68:O68, NOT(ISBLANK(K68:O68))))))"),"")</f>
        <v/>
      </c>
      <c r="Q68" s="44" t="s">
        <v>388</v>
      </c>
      <c r="R68" s="46" t="str">
        <f t="shared" si="7"/>
        <v>UNDECIDED</v>
      </c>
    </row>
    <row r="69">
      <c r="A69" s="34" t="s">
        <v>236</v>
      </c>
      <c r="B69" s="34" t="s">
        <v>237</v>
      </c>
      <c r="C69" s="48"/>
      <c r="D69" s="43" t="b">
        <f t="shared" ref="D69:H69" si="138">VLOOKUP($A69, INDIRECT(D$1&amp;"!A:C"), 3, FALSE)</f>
        <v>1</v>
      </c>
      <c r="E69" s="43" t="str">
        <f t="shared" si="138"/>
        <v>TO DO</v>
      </c>
      <c r="F69" s="43" t="str">
        <f t="shared" si="138"/>
        <v>TO DO</v>
      </c>
      <c r="G69" s="43" t="b">
        <f t="shared" si="138"/>
        <v>1</v>
      </c>
      <c r="H69" s="43" t="b">
        <f t="shared" si="138"/>
        <v>1</v>
      </c>
      <c r="I69" s="7">
        <f t="shared" si="4"/>
        <v>3</v>
      </c>
      <c r="J69" s="44">
        <f t="shared" si="5"/>
        <v>1</v>
      </c>
      <c r="K69" s="45" t="str">
        <f t="shared" ref="K69:O69" si="139">VLOOKUP($A69, INDIRECT(K$1&amp;"!A:D"), 4, FALSE)</f>
        <v/>
      </c>
      <c r="L69" s="45" t="str">
        <f t="shared" si="139"/>
        <v/>
      </c>
      <c r="M69" s="45" t="str">
        <f t="shared" si="139"/>
        <v/>
      </c>
      <c r="N69" s="45" t="str">
        <f t="shared" si="139"/>
        <v/>
      </c>
      <c r="O69" s="45" t="str">
        <f t="shared" si="139"/>
        <v/>
      </c>
      <c r="P69" s="44" t="str">
        <f>IFERROR(__xludf.DUMMYFUNCTION("IF(COUNTA(K69:O69)=0, """", ARRAYFORMULA(""- ""&amp;TEXTJOIN(char(10)&amp;""- "", TRUE, FILTER(K$1:O$1&amp;"": ""&amp;K69:O69, NOT(ISBLANK(K69:O69))))))"),"")</f>
        <v/>
      </c>
      <c r="Q69" s="44" t="s">
        <v>388</v>
      </c>
      <c r="R69" s="46" t="b">
        <f t="shared" si="7"/>
        <v>1</v>
      </c>
    </row>
    <row r="70">
      <c r="A70" s="34" t="s">
        <v>184</v>
      </c>
      <c r="B70" s="34" t="s">
        <v>185</v>
      </c>
      <c r="C70" s="7"/>
      <c r="D70" s="43" t="b">
        <f t="shared" ref="D70:H70" si="140">VLOOKUP($A70, INDIRECT(D$1&amp;"!A:C"), 3, FALSE)</f>
        <v>1</v>
      </c>
      <c r="E70" s="43" t="str">
        <f t="shared" si="140"/>
        <v>TO DO</v>
      </c>
      <c r="F70" s="43" t="str">
        <f t="shared" si="140"/>
        <v>TO DO</v>
      </c>
      <c r="G70" s="43" t="b">
        <f t="shared" si="140"/>
        <v>0</v>
      </c>
      <c r="H70" s="43" t="b">
        <f t="shared" si="140"/>
        <v>1</v>
      </c>
      <c r="I70" s="7">
        <f t="shared" si="4"/>
        <v>3</v>
      </c>
      <c r="J70" s="44">
        <f t="shared" si="5"/>
        <v>0.3333333333</v>
      </c>
      <c r="K70" s="45" t="str">
        <f t="shared" ref="K70:O70" si="141">VLOOKUP($A70, INDIRECT(K$1&amp;"!A:D"), 4, FALSE)</f>
        <v/>
      </c>
      <c r="L70" s="45" t="str">
        <f t="shared" si="141"/>
        <v/>
      </c>
      <c r="M70" s="45" t="str">
        <f t="shared" si="141"/>
        <v/>
      </c>
      <c r="N70" s="45" t="str">
        <f t="shared" si="141"/>
        <v/>
      </c>
      <c r="O70" s="45" t="str">
        <f t="shared" si="141"/>
        <v/>
      </c>
      <c r="P70" s="44" t="str">
        <f>IFERROR(__xludf.DUMMYFUNCTION("IF(COUNTA(K70:O70)=0, """", ARRAYFORMULA(""- ""&amp;TEXTJOIN(char(10)&amp;""- "", TRUE, FILTER(K$1:O$1&amp;"": ""&amp;K70:O70, NOT(ISBLANK(K70:O70))))))"),"")</f>
        <v/>
      </c>
      <c r="Q70" s="44" t="s">
        <v>388</v>
      </c>
      <c r="R70" s="46" t="str">
        <f t="shared" si="7"/>
        <v>UNDECIDED</v>
      </c>
    </row>
    <row r="71">
      <c r="A71" s="34" t="s">
        <v>106</v>
      </c>
      <c r="B71" s="34" t="s">
        <v>107</v>
      </c>
      <c r="C71" s="47"/>
      <c r="D71" s="43" t="b">
        <f t="shared" ref="D71:H71" si="142">VLOOKUP($A71, INDIRECT(D$1&amp;"!A:C"), 3, FALSE)</f>
        <v>1</v>
      </c>
      <c r="E71" s="43" t="b">
        <f t="shared" si="142"/>
        <v>1</v>
      </c>
      <c r="F71" s="43" t="str">
        <f t="shared" si="142"/>
        <v>TO DO</v>
      </c>
      <c r="G71" s="43" t="b">
        <f t="shared" si="142"/>
        <v>1</v>
      </c>
      <c r="H71" s="43" t="b">
        <f t="shared" si="142"/>
        <v>1</v>
      </c>
      <c r="I71" s="7">
        <f t="shared" si="4"/>
        <v>4</v>
      </c>
      <c r="J71" s="44">
        <f t="shared" si="5"/>
        <v>1</v>
      </c>
      <c r="K71" s="45" t="str">
        <f t="shared" ref="K71:O71" si="143">VLOOKUP($A71, INDIRECT(K$1&amp;"!A:D"), 4, FALSE)</f>
        <v/>
      </c>
      <c r="L71" s="45" t="str">
        <f t="shared" si="143"/>
        <v/>
      </c>
      <c r="M71" s="45" t="str">
        <f t="shared" si="143"/>
        <v/>
      </c>
      <c r="N71" s="45" t="str">
        <f t="shared" si="143"/>
        <v/>
      </c>
      <c r="O71" s="45" t="str">
        <f t="shared" si="143"/>
        <v/>
      </c>
      <c r="P71" s="44" t="str">
        <f>IFERROR(__xludf.DUMMYFUNCTION("IF(COUNTA(K71:O71)=0, """", ARRAYFORMULA(""- ""&amp;TEXTJOIN(char(10)&amp;""- "", TRUE, FILTER(K$1:O$1&amp;"": ""&amp;K71:O71, NOT(ISBLANK(K71:O71))))))"),"")</f>
        <v/>
      </c>
      <c r="Q71" s="44" t="s">
        <v>388</v>
      </c>
      <c r="R71" s="46" t="b">
        <f t="shared" si="7"/>
        <v>1</v>
      </c>
    </row>
    <row r="72">
      <c r="A72" s="34" t="s">
        <v>164</v>
      </c>
      <c r="B72" s="34" t="s">
        <v>165</v>
      </c>
      <c r="C72" s="48"/>
      <c r="D72" s="43" t="b">
        <f t="shared" ref="D72:H72" si="144">VLOOKUP($A72, INDIRECT(D$1&amp;"!A:C"), 3, FALSE)</f>
        <v>1</v>
      </c>
      <c r="E72" s="43" t="str">
        <f t="shared" si="144"/>
        <v>TO DO</v>
      </c>
      <c r="F72" s="43" t="str">
        <f t="shared" si="144"/>
        <v>TO DO</v>
      </c>
      <c r="G72" s="43" t="b">
        <f t="shared" si="144"/>
        <v>1</v>
      </c>
      <c r="H72" s="43" t="b">
        <f t="shared" si="144"/>
        <v>1</v>
      </c>
      <c r="I72" s="7">
        <f t="shared" si="4"/>
        <v>3</v>
      </c>
      <c r="J72" s="44">
        <f t="shared" si="5"/>
        <v>1</v>
      </c>
      <c r="K72" s="45" t="str">
        <f t="shared" ref="K72:O72" si="145">VLOOKUP($A72, INDIRECT(K$1&amp;"!A:D"), 4, FALSE)</f>
        <v/>
      </c>
      <c r="L72" s="45" t="str">
        <f t="shared" si="145"/>
        <v/>
      </c>
      <c r="M72" s="45" t="str">
        <f t="shared" si="145"/>
        <v/>
      </c>
      <c r="N72" s="45" t="str">
        <f t="shared" si="145"/>
        <v/>
      </c>
      <c r="O72" s="45" t="str">
        <f t="shared" si="145"/>
        <v/>
      </c>
      <c r="P72" s="44" t="str">
        <f>IFERROR(__xludf.DUMMYFUNCTION("IF(COUNTA(K72:O72)=0, """", ARRAYFORMULA(""- ""&amp;TEXTJOIN(char(10)&amp;""- "", TRUE, FILTER(K$1:O$1&amp;"": ""&amp;K72:O72, NOT(ISBLANK(K72:O72))))))"),"")</f>
        <v/>
      </c>
      <c r="Q72" s="44" t="s">
        <v>388</v>
      </c>
      <c r="R72" s="46" t="b">
        <f t="shared" si="7"/>
        <v>1</v>
      </c>
    </row>
    <row r="73">
      <c r="A73" s="34" t="s">
        <v>154</v>
      </c>
      <c r="B73" s="34" t="s">
        <v>155</v>
      </c>
      <c r="C73" s="47"/>
      <c r="D73" s="43" t="b">
        <f t="shared" ref="D73:H73" si="146">VLOOKUP($A73, INDIRECT(D$1&amp;"!A:C"), 3, FALSE)</f>
        <v>1</v>
      </c>
      <c r="E73" s="43" t="str">
        <f t="shared" si="146"/>
        <v>TO DO</v>
      </c>
      <c r="F73" s="43" t="str">
        <f t="shared" si="146"/>
        <v>TO DO</v>
      </c>
      <c r="G73" s="43" t="b">
        <f t="shared" si="146"/>
        <v>1</v>
      </c>
      <c r="H73" s="43" t="b">
        <f t="shared" si="146"/>
        <v>1</v>
      </c>
      <c r="I73" s="7">
        <f t="shared" si="4"/>
        <v>3</v>
      </c>
      <c r="J73" s="44">
        <f t="shared" si="5"/>
        <v>1</v>
      </c>
      <c r="K73" s="45" t="str">
        <f t="shared" ref="K73:O73" si="147">VLOOKUP($A73, INDIRECT(K$1&amp;"!A:D"), 4, FALSE)</f>
        <v/>
      </c>
      <c r="L73" s="45" t="str">
        <f t="shared" si="147"/>
        <v/>
      </c>
      <c r="M73" s="45" t="str">
        <f t="shared" si="147"/>
        <v/>
      </c>
      <c r="N73" s="45" t="str">
        <f t="shared" si="147"/>
        <v/>
      </c>
      <c r="O73" s="45" t="str">
        <f t="shared" si="147"/>
        <v/>
      </c>
      <c r="P73" s="44" t="str">
        <f>IFERROR(__xludf.DUMMYFUNCTION("IF(COUNTA(K73:O73)=0, """", ARRAYFORMULA(""- ""&amp;TEXTJOIN(char(10)&amp;""- "", TRUE, FILTER(K$1:O$1&amp;"": ""&amp;K73:O73, NOT(ISBLANK(K73:O73))))))"),"")</f>
        <v/>
      </c>
      <c r="Q73" s="44" t="s">
        <v>388</v>
      </c>
      <c r="R73" s="46" t="b">
        <f t="shared" si="7"/>
        <v>1</v>
      </c>
    </row>
    <row r="74">
      <c r="A74" s="34" t="s">
        <v>129</v>
      </c>
      <c r="B74" s="34" t="s">
        <v>130</v>
      </c>
      <c r="C74" s="47"/>
      <c r="D74" s="43" t="b">
        <f t="shared" ref="D74:H74" si="148">VLOOKUP($A74, INDIRECT(D$1&amp;"!A:C"), 3, FALSE)</f>
        <v>1</v>
      </c>
      <c r="E74" s="43" t="str">
        <f t="shared" si="148"/>
        <v>TO DO</v>
      </c>
      <c r="F74" s="43" t="str">
        <f t="shared" si="148"/>
        <v>TO DO</v>
      </c>
      <c r="G74" s="43" t="b">
        <f t="shared" si="148"/>
        <v>1</v>
      </c>
      <c r="H74" s="43" t="b">
        <f t="shared" si="148"/>
        <v>1</v>
      </c>
      <c r="I74" s="7">
        <f t="shared" si="4"/>
        <v>3</v>
      </c>
      <c r="J74" s="44">
        <f t="shared" si="5"/>
        <v>1</v>
      </c>
      <c r="K74" s="45" t="str">
        <f t="shared" ref="K74:O74" si="149">VLOOKUP($A74, INDIRECT(K$1&amp;"!A:D"), 4, FALSE)</f>
        <v>target 2.b</v>
      </c>
      <c r="L74" s="45" t="str">
        <f t="shared" si="149"/>
        <v/>
      </c>
      <c r="M74" s="45" t="str">
        <f t="shared" si="149"/>
        <v/>
      </c>
      <c r="N74" s="45" t="str">
        <f t="shared" si="149"/>
        <v/>
      </c>
      <c r="O74" s="45" t="str">
        <f t="shared" si="149"/>
        <v/>
      </c>
      <c r="P74" s="44" t="str">
        <f>IFERROR(__xludf.DUMMYFUNCTION("IF(COUNTA(K74:O74)=0, """", ARRAYFORMULA(""- ""&amp;TEXTJOIN(char(10)&amp;""- "", TRUE, FILTER(K$1:O$1&amp;"": ""&amp;K74:O74, NOT(ISBLANK(K74:O74))))))"),"- Finn: target 2.b")</f>
        <v>- Finn: target 2.b</v>
      </c>
      <c r="Q74" s="44" t="s">
        <v>396</v>
      </c>
      <c r="R74" s="46" t="b">
        <f t="shared" si="7"/>
        <v>1</v>
      </c>
    </row>
    <row r="75">
      <c r="A75" s="34" t="s">
        <v>173</v>
      </c>
      <c r="B75" s="34" t="s">
        <v>174</v>
      </c>
      <c r="C75" s="48"/>
      <c r="D75" s="43" t="b">
        <f t="shared" ref="D75:H75" si="150">VLOOKUP($A75, INDIRECT(D$1&amp;"!A:C"), 3, FALSE)</f>
        <v>1</v>
      </c>
      <c r="E75" s="43" t="str">
        <f t="shared" si="150"/>
        <v>TO DO</v>
      </c>
      <c r="F75" s="43" t="str">
        <f t="shared" si="150"/>
        <v>TO DO</v>
      </c>
      <c r="G75" s="43" t="b">
        <f t="shared" si="150"/>
        <v>1</v>
      </c>
      <c r="H75" s="43" t="b">
        <f t="shared" si="150"/>
        <v>1</v>
      </c>
      <c r="I75" s="7">
        <f t="shared" si="4"/>
        <v>3</v>
      </c>
      <c r="J75" s="44">
        <f t="shared" si="5"/>
        <v>1</v>
      </c>
      <c r="K75" s="45" t="str">
        <f t="shared" ref="K75:O75" si="151">VLOOKUP($A75, INDIRECT(K$1&amp;"!A:D"), 4, FALSE)</f>
        <v>the last sentence makes it a "yes"</v>
      </c>
      <c r="L75" s="45" t="str">
        <f t="shared" si="151"/>
        <v/>
      </c>
      <c r="M75" s="45" t="str">
        <f t="shared" si="151"/>
        <v/>
      </c>
      <c r="N75" s="45" t="str">
        <f t="shared" si="151"/>
        <v/>
      </c>
      <c r="O75" s="45" t="str">
        <f t="shared" si="151"/>
        <v/>
      </c>
      <c r="P75" s="44" t="str">
        <f>IFERROR(__xludf.DUMMYFUNCTION("IF(COUNTA(K75:O75)=0, """", ARRAYFORMULA(""- ""&amp;TEXTJOIN(char(10)&amp;""- "", TRUE, FILTER(K$1:O$1&amp;"": ""&amp;K75:O75, NOT(ISBLANK(K75:O75))))))"),"- Finn: the last sentence makes it a ""yes""")</f>
        <v>- Finn: the last sentence makes it a "yes"</v>
      </c>
      <c r="Q75" s="44" t="s">
        <v>417</v>
      </c>
      <c r="R75" s="46" t="b">
        <f t="shared" si="7"/>
        <v>1</v>
      </c>
    </row>
    <row r="76">
      <c r="A76" s="34" t="s">
        <v>233</v>
      </c>
      <c r="B76" s="34" t="s">
        <v>234</v>
      </c>
      <c r="C76" s="7" t="s">
        <v>389</v>
      </c>
      <c r="D76" s="43" t="b">
        <f t="shared" ref="D76:H76" si="152">VLOOKUP($A76, INDIRECT(D$1&amp;"!A:C"), 3, FALSE)</f>
        <v>0</v>
      </c>
      <c r="E76" s="43" t="b">
        <f t="shared" si="152"/>
        <v>1</v>
      </c>
      <c r="F76" s="43" t="str">
        <f t="shared" si="152"/>
        <v>TO DO</v>
      </c>
      <c r="G76" s="43" t="b">
        <f t="shared" si="152"/>
        <v>0</v>
      </c>
      <c r="H76" s="43" t="b">
        <f t="shared" si="152"/>
        <v>1</v>
      </c>
      <c r="I76" s="7">
        <f t="shared" si="4"/>
        <v>4</v>
      </c>
      <c r="J76" s="44">
        <f t="shared" si="5"/>
        <v>0</v>
      </c>
      <c r="K76" s="45" t="str">
        <f t="shared" ref="K76:O76" si="153">VLOOKUP($A76, INDIRECT(K$1&amp;"!A:D"), 4, FALSE)</f>
        <v>not about adaptation</v>
      </c>
      <c r="L76" s="45" t="str">
        <f t="shared" si="153"/>
        <v/>
      </c>
      <c r="M76" s="45" t="str">
        <f t="shared" si="153"/>
        <v/>
      </c>
      <c r="N76" s="45" t="str">
        <f t="shared" si="153"/>
        <v/>
      </c>
      <c r="O76" s="45" t="str">
        <f t="shared" si="153"/>
        <v/>
      </c>
      <c r="P76" s="44" t="str">
        <f>IFERROR(__xludf.DUMMYFUNCTION("IF(COUNTA(K76:O76)=0, """", ARRAYFORMULA(""- ""&amp;TEXTJOIN(char(10)&amp;""- "", TRUE, FILTER(K$1:O$1&amp;"": ""&amp;K76:O76, NOT(ISBLANK(K76:O76))))))"),"- Finn: not about adaptation")</f>
        <v>- Finn: not about adaptation</v>
      </c>
      <c r="Q76" s="44" t="s">
        <v>418</v>
      </c>
      <c r="R76" s="46" t="str">
        <f t="shared" si="7"/>
        <v>UNDECIDED</v>
      </c>
    </row>
    <row r="77">
      <c r="A77" s="34" t="s">
        <v>74</v>
      </c>
      <c r="B77" s="34" t="s">
        <v>75</v>
      </c>
      <c r="C77" s="48"/>
      <c r="D77" s="43" t="b">
        <f t="shared" ref="D77:H77" si="154">VLOOKUP($A77, INDIRECT(D$1&amp;"!A:C"), 3, FALSE)</f>
        <v>1</v>
      </c>
      <c r="E77" s="43" t="str">
        <f t="shared" si="154"/>
        <v>TO DO</v>
      </c>
      <c r="F77" s="43" t="str">
        <f t="shared" si="154"/>
        <v>TO DO</v>
      </c>
      <c r="G77" s="43" t="b">
        <f t="shared" si="154"/>
        <v>1</v>
      </c>
      <c r="H77" s="43" t="b">
        <f t="shared" si="154"/>
        <v>1</v>
      </c>
      <c r="I77" s="7">
        <f t="shared" si="4"/>
        <v>3</v>
      </c>
      <c r="J77" s="44">
        <f t="shared" si="5"/>
        <v>1</v>
      </c>
      <c r="K77" s="45" t="str">
        <f t="shared" ref="K77:O77" si="155">VLOOKUP($A77, INDIRECT(K$1&amp;"!A:D"), 4, FALSE)</f>
        <v/>
      </c>
      <c r="L77" s="45" t="str">
        <f t="shared" si="155"/>
        <v/>
      </c>
      <c r="M77" s="45" t="str">
        <f t="shared" si="155"/>
        <v/>
      </c>
      <c r="N77" s="45" t="str">
        <f t="shared" si="155"/>
        <v/>
      </c>
      <c r="O77" s="45" t="str">
        <f t="shared" si="155"/>
        <v/>
      </c>
      <c r="P77" s="44" t="str">
        <f>IFERROR(__xludf.DUMMYFUNCTION("IF(COUNTA(K77:O77)=0, """", ARRAYFORMULA(""- ""&amp;TEXTJOIN(char(10)&amp;""- "", TRUE, FILTER(K$1:O$1&amp;"": ""&amp;K77:O77, NOT(ISBLANK(K77:O77))))))"),"")</f>
        <v/>
      </c>
      <c r="Q77" s="44" t="s">
        <v>388</v>
      </c>
      <c r="R77" s="46" t="b">
        <f t="shared" si="7"/>
        <v>1</v>
      </c>
    </row>
    <row r="78">
      <c r="A78" s="34" t="s">
        <v>147</v>
      </c>
      <c r="B78" s="34" t="s">
        <v>148</v>
      </c>
      <c r="C78" s="48"/>
      <c r="D78" s="43" t="b">
        <f t="shared" ref="D78:H78" si="156">VLOOKUP($A78, INDIRECT(D$1&amp;"!A:C"), 3, FALSE)</f>
        <v>1</v>
      </c>
      <c r="E78" s="43" t="str">
        <f t="shared" si="156"/>
        <v>TO DO</v>
      </c>
      <c r="F78" s="43" t="str">
        <f t="shared" si="156"/>
        <v>TO DO</v>
      </c>
      <c r="G78" s="43" t="b">
        <f t="shared" si="156"/>
        <v>1</v>
      </c>
      <c r="H78" s="43" t="b">
        <f t="shared" si="156"/>
        <v>1</v>
      </c>
      <c r="I78" s="7">
        <f t="shared" si="4"/>
        <v>3</v>
      </c>
      <c r="J78" s="44">
        <f t="shared" si="5"/>
        <v>1</v>
      </c>
      <c r="K78" s="45" t="str">
        <f t="shared" ref="K78:O78" si="157">VLOOKUP($A78, INDIRECT(K$1&amp;"!A:D"), 4, FALSE)</f>
        <v/>
      </c>
      <c r="L78" s="45" t="str">
        <f t="shared" si="157"/>
        <v/>
      </c>
      <c r="M78" s="45" t="str">
        <f t="shared" si="157"/>
        <v/>
      </c>
      <c r="N78" s="45" t="str">
        <f t="shared" si="157"/>
        <v/>
      </c>
      <c r="O78" s="45" t="str">
        <f t="shared" si="157"/>
        <v/>
      </c>
      <c r="P78" s="44" t="str">
        <f>IFERROR(__xludf.DUMMYFUNCTION("IF(COUNTA(K78:O78)=0, """", ARRAYFORMULA(""- ""&amp;TEXTJOIN(char(10)&amp;""- "", TRUE, FILTER(K$1:O$1&amp;"": ""&amp;K78:O78, NOT(ISBLANK(K78:O78))))))"),"")</f>
        <v/>
      </c>
      <c r="Q78" s="44" t="s">
        <v>388</v>
      </c>
      <c r="R78" s="46" t="b">
        <f t="shared" si="7"/>
        <v>1</v>
      </c>
    </row>
    <row r="79">
      <c r="A79" s="34" t="s">
        <v>110</v>
      </c>
      <c r="B79" s="34" t="s">
        <v>111</v>
      </c>
      <c r="C79" s="48" t="s">
        <v>419</v>
      </c>
      <c r="D79" s="43" t="b">
        <f t="shared" ref="D79:H79" si="158">VLOOKUP($A79, INDIRECT(D$1&amp;"!A:C"), 3, FALSE)</f>
        <v>1</v>
      </c>
      <c r="E79" s="43" t="b">
        <f t="shared" si="158"/>
        <v>1</v>
      </c>
      <c r="F79" s="43" t="str">
        <f t="shared" si="158"/>
        <v>TO DO</v>
      </c>
      <c r="G79" s="43" t="b">
        <f t="shared" si="158"/>
        <v>0</v>
      </c>
      <c r="H79" s="43" t="b">
        <f t="shared" si="158"/>
        <v>0</v>
      </c>
      <c r="I79" s="7">
        <f t="shared" si="4"/>
        <v>4</v>
      </c>
      <c r="J79" s="44">
        <f t="shared" si="5"/>
        <v>0</v>
      </c>
      <c r="K79" s="45" t="str">
        <f t="shared" ref="K79:O79" si="159">VLOOKUP($A79, INDIRECT(K$1&amp;"!A:D"), 4, FALSE)</f>
        <v>sustainable agriculture</v>
      </c>
      <c r="L79" s="45" t="str">
        <f t="shared" si="159"/>
        <v/>
      </c>
      <c r="M79" s="45" t="str">
        <f t="shared" si="159"/>
        <v/>
      </c>
      <c r="N79" s="45" t="str">
        <f t="shared" si="159"/>
        <v>is about water access but not so explicitly related to food security</v>
      </c>
      <c r="O79" s="45" t="str">
        <f t="shared" si="159"/>
        <v/>
      </c>
      <c r="P79" s="44" t="str">
        <f>IFERROR(__xludf.DUMMYFUNCTION("IF(COUNTA(K79:O79)=0, """", ARRAYFORMULA(""- ""&amp;TEXTJOIN(char(10)&amp;""- "", TRUE, FILTER(K$1:O$1&amp;"": ""&amp;K79:O79, NOT(ISBLANK(K79:O79))))))"),"- Finn: sustainable agriculture
- Meike: is about water access but not so explicitly related to food security")</f>
        <v>- Finn: sustainable agriculture
- Meike: is about water access but not so explicitly related to food security</v>
      </c>
      <c r="Q79" s="44" t="s">
        <v>420</v>
      </c>
      <c r="R79" s="46" t="str">
        <f t="shared" si="7"/>
        <v>UNDECIDED</v>
      </c>
    </row>
    <row r="80">
      <c r="A80" s="34" t="s">
        <v>225</v>
      </c>
      <c r="B80" s="34" t="s">
        <v>226</v>
      </c>
      <c r="C80" s="47"/>
      <c r="D80" s="43" t="b">
        <f t="shared" ref="D80:H80" si="160">VLOOKUP($A80, INDIRECT(D$1&amp;"!A:C"), 3, FALSE)</f>
        <v>1</v>
      </c>
      <c r="E80" s="43" t="b">
        <f t="shared" si="160"/>
        <v>1</v>
      </c>
      <c r="F80" s="43" t="str">
        <f t="shared" si="160"/>
        <v>TO DO</v>
      </c>
      <c r="G80" s="43" t="b">
        <f t="shared" si="160"/>
        <v>1</v>
      </c>
      <c r="H80" s="43" t="b">
        <f t="shared" si="160"/>
        <v>1</v>
      </c>
      <c r="I80" s="7">
        <f t="shared" si="4"/>
        <v>4</v>
      </c>
      <c r="J80" s="44">
        <f t="shared" si="5"/>
        <v>1</v>
      </c>
      <c r="K80" s="45" t="str">
        <f t="shared" ref="K80:O80" si="161">VLOOKUP($A80, INDIRECT(K$1&amp;"!A:D"), 4, FALSE)</f>
        <v/>
      </c>
      <c r="L80" s="45" t="str">
        <f t="shared" si="161"/>
        <v/>
      </c>
      <c r="M80" s="45" t="str">
        <f t="shared" si="161"/>
        <v/>
      </c>
      <c r="N80" s="45" t="str">
        <f t="shared" si="161"/>
        <v/>
      </c>
      <c r="O80" s="45" t="str">
        <f t="shared" si="161"/>
        <v/>
      </c>
      <c r="P80" s="44" t="str">
        <f>IFERROR(__xludf.DUMMYFUNCTION("IF(COUNTA(K80:O80)=0, """", ARRAYFORMULA(""- ""&amp;TEXTJOIN(char(10)&amp;""- "", TRUE, FILTER(K$1:O$1&amp;"": ""&amp;K80:O80, NOT(ISBLANK(K80:O80))))))"),"")</f>
        <v/>
      </c>
      <c r="Q80" s="44" t="s">
        <v>388</v>
      </c>
      <c r="R80" s="46" t="b">
        <f t="shared" si="7"/>
        <v>1</v>
      </c>
    </row>
    <row r="81">
      <c r="A81" s="34" t="s">
        <v>182</v>
      </c>
      <c r="B81" s="34" t="s">
        <v>183</v>
      </c>
      <c r="C81" s="7"/>
      <c r="D81" s="43" t="b">
        <f t="shared" ref="D81:H81" si="162">VLOOKUP($A81, INDIRECT(D$1&amp;"!A:C"), 3, FALSE)</f>
        <v>1</v>
      </c>
      <c r="E81" s="43" t="b">
        <f t="shared" si="162"/>
        <v>1</v>
      </c>
      <c r="F81" s="43" t="str">
        <f t="shared" si="162"/>
        <v>TO DO</v>
      </c>
      <c r="G81" s="43" t="b">
        <f t="shared" si="162"/>
        <v>1</v>
      </c>
      <c r="H81" s="43" t="b">
        <f t="shared" si="162"/>
        <v>1</v>
      </c>
      <c r="I81" s="7">
        <f t="shared" si="4"/>
        <v>4</v>
      </c>
      <c r="J81" s="44">
        <f t="shared" si="5"/>
        <v>1</v>
      </c>
      <c r="K81" s="45" t="str">
        <f t="shared" ref="K81:O81" si="163">VLOOKUP($A81, INDIRECT(K$1&amp;"!A:D"), 4, FALSE)</f>
        <v/>
      </c>
      <c r="L81" s="45" t="str">
        <f t="shared" si="163"/>
        <v/>
      </c>
      <c r="M81" s="45" t="str">
        <f t="shared" si="163"/>
        <v/>
      </c>
      <c r="N81" s="45" t="str">
        <f t="shared" si="163"/>
        <v/>
      </c>
      <c r="O81" s="45" t="str">
        <f t="shared" si="163"/>
        <v/>
      </c>
      <c r="P81" s="44" t="str">
        <f>IFERROR(__xludf.DUMMYFUNCTION("IF(COUNTA(K81:O81)=0, """", ARRAYFORMULA(""- ""&amp;TEXTJOIN(char(10)&amp;""- "", TRUE, FILTER(K$1:O$1&amp;"": ""&amp;K81:O81, NOT(ISBLANK(K81:O81))))))"),"")</f>
        <v/>
      </c>
      <c r="Q81" s="44" t="s">
        <v>388</v>
      </c>
      <c r="R81" s="46" t="b">
        <f t="shared" si="7"/>
        <v>1</v>
      </c>
    </row>
    <row r="82">
      <c r="A82" s="34" t="s">
        <v>215</v>
      </c>
      <c r="B82" s="34" t="s">
        <v>216</v>
      </c>
      <c r="C82" s="47"/>
      <c r="D82" s="43" t="b">
        <f t="shared" ref="D82:H82" si="164">VLOOKUP($A82, INDIRECT(D$1&amp;"!A:C"), 3, FALSE)</f>
        <v>0</v>
      </c>
      <c r="E82" s="43" t="b">
        <f t="shared" si="164"/>
        <v>0</v>
      </c>
      <c r="F82" s="43" t="str">
        <f t="shared" si="164"/>
        <v>TO DO</v>
      </c>
      <c r="G82" s="43" t="b">
        <f t="shared" si="164"/>
        <v>0</v>
      </c>
      <c r="H82" s="43" t="b">
        <f t="shared" si="164"/>
        <v>0</v>
      </c>
      <c r="I82" s="7">
        <f t="shared" si="4"/>
        <v>4</v>
      </c>
      <c r="J82" s="44">
        <f t="shared" si="5"/>
        <v>1</v>
      </c>
      <c r="K82" s="45" t="str">
        <f t="shared" ref="K82:O82" si="165">VLOOKUP($A82, INDIRECT(K$1&amp;"!A:D"), 4, FALSE)</f>
        <v/>
      </c>
      <c r="L82" s="45" t="str">
        <f t="shared" si="165"/>
        <v/>
      </c>
      <c r="M82" s="45" t="str">
        <f t="shared" si="165"/>
        <v/>
      </c>
      <c r="N82" s="45" t="str">
        <f t="shared" si="165"/>
        <v/>
      </c>
      <c r="O82" s="45" t="str">
        <f t="shared" si="165"/>
        <v/>
      </c>
      <c r="P82" s="44" t="str">
        <f>IFERROR(__xludf.DUMMYFUNCTION("IF(COUNTA(K82:O82)=0, """", ARRAYFORMULA(""- ""&amp;TEXTJOIN(char(10)&amp;""- "", TRUE, FILTER(K$1:O$1&amp;"": ""&amp;K82:O82, NOT(ISBLANK(K82:O82))))))"),"")</f>
        <v/>
      </c>
      <c r="Q82" s="44" t="s">
        <v>388</v>
      </c>
      <c r="R82" s="46" t="b">
        <f t="shared" si="7"/>
        <v>0</v>
      </c>
    </row>
    <row r="83">
      <c r="A83" s="34" t="s">
        <v>231</v>
      </c>
      <c r="B83" s="34" t="s">
        <v>232</v>
      </c>
      <c r="C83" s="47"/>
      <c r="D83" s="43" t="b">
        <f t="shared" ref="D83:H83" si="166">VLOOKUP($A83, INDIRECT(D$1&amp;"!A:C"), 3, FALSE)</f>
        <v>1</v>
      </c>
      <c r="E83" s="43" t="b">
        <f t="shared" si="166"/>
        <v>1</v>
      </c>
      <c r="F83" s="43" t="str">
        <f t="shared" si="166"/>
        <v>TO DO</v>
      </c>
      <c r="G83" s="43" t="b">
        <f t="shared" si="166"/>
        <v>1</v>
      </c>
      <c r="H83" s="43" t="b">
        <f t="shared" si="166"/>
        <v>1</v>
      </c>
      <c r="I83" s="7">
        <f t="shared" si="4"/>
        <v>4</v>
      </c>
      <c r="J83" s="44">
        <f t="shared" si="5"/>
        <v>1</v>
      </c>
      <c r="K83" s="45" t="str">
        <f t="shared" ref="K83:O83" si="167">VLOOKUP($A83, INDIRECT(K$1&amp;"!A:D"), 4, FALSE)</f>
        <v/>
      </c>
      <c r="L83" s="45" t="str">
        <f t="shared" si="167"/>
        <v/>
      </c>
      <c r="M83" s="45" t="str">
        <f t="shared" si="167"/>
        <v/>
      </c>
      <c r="N83" s="45" t="str">
        <f t="shared" si="167"/>
        <v/>
      </c>
      <c r="O83" s="45" t="str">
        <f t="shared" si="167"/>
        <v/>
      </c>
      <c r="P83" s="44" t="str">
        <f>IFERROR(__xludf.DUMMYFUNCTION("IF(COUNTA(K83:O83)=0, """", ARRAYFORMULA(""- ""&amp;TEXTJOIN(char(10)&amp;""- "", TRUE, FILTER(K$1:O$1&amp;"": ""&amp;K83:O83, NOT(ISBLANK(K83:O83))))))"),"")</f>
        <v/>
      </c>
      <c r="Q83" s="44" t="s">
        <v>388</v>
      </c>
      <c r="R83" s="46" t="b">
        <f t="shared" si="7"/>
        <v>1</v>
      </c>
    </row>
    <row r="84">
      <c r="A84" s="34" t="s">
        <v>197</v>
      </c>
      <c r="B84" s="34" t="s">
        <v>198</v>
      </c>
      <c r="C84" s="48"/>
      <c r="D84" s="43" t="b">
        <f t="shared" ref="D84:H84" si="168">VLOOKUP($A84, INDIRECT(D$1&amp;"!A:C"), 3, FALSE)</f>
        <v>1</v>
      </c>
      <c r="E84" s="43" t="str">
        <f t="shared" si="168"/>
        <v>TO DO</v>
      </c>
      <c r="F84" s="43" t="str">
        <f t="shared" si="168"/>
        <v>TO DO</v>
      </c>
      <c r="G84" s="43" t="b">
        <f t="shared" si="168"/>
        <v>1</v>
      </c>
      <c r="H84" s="43" t="b">
        <f t="shared" si="168"/>
        <v>1</v>
      </c>
      <c r="I84" s="7">
        <f t="shared" si="4"/>
        <v>3</v>
      </c>
      <c r="J84" s="44">
        <f t="shared" si="5"/>
        <v>1</v>
      </c>
      <c r="K84" s="45" t="str">
        <f t="shared" ref="K84:O84" si="169">VLOOKUP($A84, INDIRECT(K$1&amp;"!A:D"), 4, FALSE)</f>
        <v>target 2.3</v>
      </c>
      <c r="L84" s="45" t="str">
        <f t="shared" si="169"/>
        <v/>
      </c>
      <c r="M84" s="45" t="str">
        <f t="shared" si="169"/>
        <v/>
      </c>
      <c r="N84" s="45" t="str">
        <f t="shared" si="169"/>
        <v/>
      </c>
      <c r="O84" s="45" t="str">
        <f t="shared" si="169"/>
        <v>right to land</v>
      </c>
      <c r="P84" s="44" t="str">
        <f>IFERROR(__xludf.DUMMYFUNCTION("IF(COUNTA(K84:O84)=0, """", ARRAYFORMULA(""- ""&amp;TEXTJOIN(char(10)&amp;""- "", TRUE, FILTER(K$1:O$1&amp;"": ""&amp;K84:O84, NOT(ISBLANK(K84:O84))))))"),"- Finn: target 2.3
- Steve: right to land")</f>
        <v>- Finn: target 2.3
- Steve: right to land</v>
      </c>
      <c r="Q84" s="44" t="s">
        <v>421</v>
      </c>
      <c r="R84" s="46" t="b">
        <f t="shared" si="7"/>
        <v>1</v>
      </c>
    </row>
    <row r="85">
      <c r="A85" s="34" t="s">
        <v>96</v>
      </c>
      <c r="B85" s="34" t="s">
        <v>97</v>
      </c>
      <c r="C85" s="48"/>
      <c r="D85" s="43" t="b">
        <f t="shared" ref="D85:H85" si="170">VLOOKUP($A85, INDIRECT(D$1&amp;"!A:C"), 3, FALSE)</f>
        <v>1</v>
      </c>
      <c r="E85" s="43" t="str">
        <f t="shared" si="170"/>
        <v>TO DO</v>
      </c>
      <c r="F85" s="43" t="str">
        <f t="shared" si="170"/>
        <v>TO DO</v>
      </c>
      <c r="G85" s="43" t="b">
        <f t="shared" si="170"/>
        <v>1</v>
      </c>
      <c r="H85" s="43" t="b">
        <f t="shared" si="170"/>
        <v>1</v>
      </c>
      <c r="I85" s="7">
        <f t="shared" si="4"/>
        <v>3</v>
      </c>
      <c r="J85" s="44">
        <f t="shared" si="5"/>
        <v>1</v>
      </c>
      <c r="K85" s="45" t="str">
        <f t="shared" ref="K85:O85" si="171">VLOOKUP($A85, INDIRECT(K$1&amp;"!A:D"), 4, FALSE)</f>
        <v>sustainable agriculture</v>
      </c>
      <c r="L85" s="45" t="str">
        <f t="shared" si="171"/>
        <v/>
      </c>
      <c r="M85" s="45" t="str">
        <f t="shared" si="171"/>
        <v/>
      </c>
      <c r="N85" s="45" t="str">
        <f t="shared" si="171"/>
        <v/>
      </c>
      <c r="O85" s="45" t="str">
        <f t="shared" si="171"/>
        <v/>
      </c>
      <c r="P85" s="44" t="str">
        <f>IFERROR(__xludf.DUMMYFUNCTION("IF(COUNTA(K85:O85)=0, """", ARRAYFORMULA(""- ""&amp;TEXTJOIN(char(10)&amp;""- "", TRUE, FILTER(K$1:O$1&amp;"": ""&amp;K85:O85, NOT(ISBLANK(K85:O85))))))"),"- Finn: sustainable agriculture")</f>
        <v>- Finn: sustainable agriculture</v>
      </c>
      <c r="Q85" s="44" t="s">
        <v>422</v>
      </c>
      <c r="R85" s="46" t="b">
        <f t="shared" si="7"/>
        <v>1</v>
      </c>
    </row>
    <row r="86">
      <c r="A86" s="34" t="s">
        <v>186</v>
      </c>
      <c r="B86" s="34" t="s">
        <v>187</v>
      </c>
      <c r="C86" s="7" t="s">
        <v>389</v>
      </c>
      <c r="D86" s="43" t="b">
        <f t="shared" ref="D86:H86" si="172">VLOOKUP($A86, INDIRECT(D$1&amp;"!A:C"), 3, FALSE)</f>
        <v>1</v>
      </c>
      <c r="E86" s="43" t="b">
        <f t="shared" si="172"/>
        <v>0</v>
      </c>
      <c r="F86" s="43" t="str">
        <f t="shared" si="172"/>
        <v>TO DO</v>
      </c>
      <c r="G86" s="43" t="b">
        <f t="shared" si="172"/>
        <v>1</v>
      </c>
      <c r="H86" s="43" t="b">
        <f t="shared" si="172"/>
        <v>1</v>
      </c>
      <c r="I86" s="7">
        <f t="shared" si="4"/>
        <v>4</v>
      </c>
      <c r="J86" s="44">
        <f t="shared" si="5"/>
        <v>0.5</v>
      </c>
      <c r="K86" s="45" t="str">
        <f t="shared" ref="K86:O86" si="173">VLOOKUP($A86, INDIRECT(K$1&amp;"!A:D"), 4, FALSE)</f>
        <v/>
      </c>
      <c r="L86" s="45" t="str">
        <f t="shared" si="173"/>
        <v/>
      </c>
      <c r="M86" s="45" t="str">
        <f t="shared" si="173"/>
        <v/>
      </c>
      <c r="N86" s="45" t="str">
        <f t="shared" si="173"/>
        <v/>
      </c>
      <c r="O86" s="45" t="str">
        <f t="shared" si="173"/>
        <v/>
      </c>
      <c r="P86" s="44" t="str">
        <f>IFERROR(__xludf.DUMMYFUNCTION("IF(COUNTA(K86:O86)=0, """", ARRAYFORMULA(""- ""&amp;TEXTJOIN(char(10)&amp;""- "", TRUE, FILTER(K$1:O$1&amp;"": ""&amp;K86:O86, NOT(ISBLANK(K86:O86))))))"),"")</f>
        <v/>
      </c>
      <c r="Q86" s="44" t="s">
        <v>388</v>
      </c>
      <c r="R86" s="46" t="str">
        <f t="shared" si="7"/>
        <v>UNDECIDED</v>
      </c>
    </row>
    <row r="87">
      <c r="A87" s="34" t="s">
        <v>102</v>
      </c>
      <c r="B87" s="34" t="s">
        <v>103</v>
      </c>
      <c r="C87" s="7"/>
      <c r="D87" s="43" t="b">
        <f t="shared" ref="D87:H87" si="174">VLOOKUP($A87, INDIRECT(D$1&amp;"!A:C"), 3, FALSE)</f>
        <v>0</v>
      </c>
      <c r="E87" s="43" t="b">
        <f t="shared" si="174"/>
        <v>0</v>
      </c>
      <c r="F87" s="43" t="str">
        <f t="shared" si="174"/>
        <v>TO DO</v>
      </c>
      <c r="G87" s="43" t="b">
        <f t="shared" si="174"/>
        <v>0</v>
      </c>
      <c r="H87" s="43" t="b">
        <f t="shared" si="174"/>
        <v>0</v>
      </c>
      <c r="I87" s="7">
        <f t="shared" si="4"/>
        <v>4</v>
      </c>
      <c r="J87" s="44">
        <f t="shared" si="5"/>
        <v>1</v>
      </c>
      <c r="K87" s="45" t="str">
        <f t="shared" ref="K87:O87" si="175">VLOOKUP($A87, INDIRECT(K$1&amp;"!A:D"), 4, FALSE)</f>
        <v/>
      </c>
      <c r="L87" s="45" t="str">
        <f t="shared" si="175"/>
        <v/>
      </c>
      <c r="M87" s="45" t="str">
        <f t="shared" si="175"/>
        <v/>
      </c>
      <c r="N87" s="45" t="str">
        <f t="shared" si="175"/>
        <v/>
      </c>
      <c r="O87" s="45" t="str">
        <f t="shared" si="175"/>
        <v/>
      </c>
      <c r="P87" s="44" t="str">
        <f>IFERROR(__xludf.DUMMYFUNCTION("IF(COUNTA(K87:O87)=0, """", ARRAYFORMULA(""- ""&amp;TEXTJOIN(char(10)&amp;""- "", TRUE, FILTER(K$1:O$1&amp;"": ""&amp;K87:O87, NOT(ISBLANK(K87:O87))))))"),"")</f>
        <v/>
      </c>
      <c r="Q87" s="44" t="s">
        <v>388</v>
      </c>
      <c r="R87" s="46" t="b">
        <f t="shared" si="7"/>
        <v>0</v>
      </c>
    </row>
    <row r="88">
      <c r="A88" s="34" t="s">
        <v>259</v>
      </c>
      <c r="B88" s="34" t="s">
        <v>260</v>
      </c>
      <c r="C88" s="48" t="s">
        <v>419</v>
      </c>
      <c r="D88" s="43" t="b">
        <f t="shared" ref="D88:H88" si="176">VLOOKUP($A88, INDIRECT(D$1&amp;"!A:C"), 3, FALSE)</f>
        <v>0</v>
      </c>
      <c r="E88" s="43" t="b">
        <f t="shared" si="176"/>
        <v>1</v>
      </c>
      <c r="F88" s="43" t="str">
        <f t="shared" si="176"/>
        <v>TO DO</v>
      </c>
      <c r="G88" s="43" t="b">
        <f t="shared" si="176"/>
        <v>0</v>
      </c>
      <c r="H88" s="43" t="b">
        <f t="shared" si="176"/>
        <v>1</v>
      </c>
      <c r="I88" s="7">
        <f t="shared" si="4"/>
        <v>4</v>
      </c>
      <c r="J88" s="44">
        <f t="shared" si="5"/>
        <v>0</v>
      </c>
      <c r="K88" s="45" t="str">
        <f t="shared" ref="K88:O88" si="177">VLOOKUP($A88, INDIRECT(K$1&amp;"!A:D"), 4, FALSE)</f>
        <v/>
      </c>
      <c r="L88" s="45" t="str">
        <f t="shared" si="177"/>
        <v/>
      </c>
      <c r="M88" s="45" t="str">
        <f t="shared" si="177"/>
        <v/>
      </c>
      <c r="N88" s="45" t="str">
        <f t="shared" si="177"/>
        <v>implicit about reducing food insecurity</v>
      </c>
      <c r="O88" s="45" t="str">
        <f t="shared" si="177"/>
        <v/>
      </c>
      <c r="P88" s="44" t="str">
        <f>IFERROR(__xludf.DUMMYFUNCTION("IF(COUNTA(K88:O88)=0, """", ARRAYFORMULA(""- ""&amp;TEXTJOIN(char(10)&amp;""- "", TRUE, FILTER(K$1:O$1&amp;"": ""&amp;K88:O88, NOT(ISBLANK(K88:O88))))))"),"- Meike: implicit about reducing food insecurity")</f>
        <v>- Meike: implicit about reducing food insecurity</v>
      </c>
      <c r="Q88" s="44" t="s">
        <v>423</v>
      </c>
      <c r="R88" s="46" t="str">
        <f t="shared" si="7"/>
        <v>UNDECIDED</v>
      </c>
    </row>
    <row r="89">
      <c r="A89" s="34" t="s">
        <v>176</v>
      </c>
      <c r="B89" s="34" t="s">
        <v>177</v>
      </c>
      <c r="C89" s="7" t="s">
        <v>389</v>
      </c>
      <c r="D89" s="43" t="b">
        <f t="shared" ref="D89:H89" si="178">VLOOKUP($A89, INDIRECT(D$1&amp;"!A:C"), 3, FALSE)</f>
        <v>1</v>
      </c>
      <c r="E89" s="43" t="str">
        <f t="shared" si="178"/>
        <v>TO DO</v>
      </c>
      <c r="F89" s="43" t="str">
        <f t="shared" si="178"/>
        <v>TO DO</v>
      </c>
      <c r="G89" s="43" t="b">
        <f t="shared" si="178"/>
        <v>0</v>
      </c>
      <c r="H89" s="43" t="b">
        <f t="shared" si="178"/>
        <v>1</v>
      </c>
      <c r="I89" s="7">
        <f t="shared" si="4"/>
        <v>3</v>
      </c>
      <c r="J89" s="44">
        <f t="shared" si="5"/>
        <v>0.3333333333</v>
      </c>
      <c r="K89" s="45" t="str">
        <f t="shared" ref="K89:O89" si="179">VLOOKUP($A89, INDIRECT(K$1&amp;"!A:D"), 4, FALSE)</f>
        <v/>
      </c>
      <c r="L89" s="45" t="str">
        <f t="shared" si="179"/>
        <v/>
      </c>
      <c r="M89" s="45" t="str">
        <f t="shared" si="179"/>
        <v/>
      </c>
      <c r="N89" s="45" t="str">
        <f t="shared" si="179"/>
        <v/>
      </c>
      <c r="O89" s="45" t="str">
        <f t="shared" si="179"/>
        <v/>
      </c>
      <c r="P89" s="44" t="str">
        <f>IFERROR(__xludf.DUMMYFUNCTION("IF(COUNTA(K89:O89)=0, """", ARRAYFORMULA(""- ""&amp;TEXTJOIN(char(10)&amp;""- "", TRUE, FILTER(K$1:O$1&amp;"": ""&amp;K89:O89, NOT(ISBLANK(K89:O89))))))"),"")</f>
        <v/>
      </c>
      <c r="Q89" s="44" t="s">
        <v>388</v>
      </c>
      <c r="R89" s="46" t="str">
        <f t="shared" si="7"/>
        <v>UNDECIDED</v>
      </c>
    </row>
    <row r="90">
      <c r="A90" s="34" t="s">
        <v>141</v>
      </c>
      <c r="B90" s="34" t="s">
        <v>142</v>
      </c>
      <c r="C90" s="48"/>
      <c r="D90" s="43" t="b">
        <f t="shared" ref="D90:H90" si="180">VLOOKUP($A90, INDIRECT(D$1&amp;"!A:C"), 3, FALSE)</f>
        <v>1</v>
      </c>
      <c r="E90" s="43" t="str">
        <f t="shared" si="180"/>
        <v>TO DO</v>
      </c>
      <c r="F90" s="43" t="str">
        <f t="shared" si="180"/>
        <v>TO DO</v>
      </c>
      <c r="G90" s="43" t="b">
        <f t="shared" si="180"/>
        <v>0</v>
      </c>
      <c r="H90" s="43" t="b">
        <f t="shared" si="180"/>
        <v>1</v>
      </c>
      <c r="I90" s="7">
        <f t="shared" si="4"/>
        <v>3</v>
      </c>
      <c r="J90" s="44">
        <f t="shared" si="5"/>
        <v>0.3333333333</v>
      </c>
      <c r="K90" s="45" t="str">
        <f t="shared" ref="K90:O90" si="181">VLOOKUP($A90, INDIRECT(K$1&amp;"!A:D"), 4, FALSE)</f>
        <v/>
      </c>
      <c r="L90" s="45" t="str">
        <f t="shared" si="181"/>
        <v/>
      </c>
      <c r="M90" s="45" t="str">
        <f t="shared" si="181"/>
        <v/>
      </c>
      <c r="N90" s="45" t="str">
        <f t="shared" si="181"/>
        <v/>
      </c>
      <c r="O90" s="45" t="str">
        <f t="shared" si="181"/>
        <v/>
      </c>
      <c r="P90" s="44" t="str">
        <f>IFERROR(__xludf.DUMMYFUNCTION("IF(COUNTA(K90:O90)=0, """", ARRAYFORMULA(""- ""&amp;TEXTJOIN(char(10)&amp;""- "", TRUE, FILTER(K$1:O$1&amp;"": ""&amp;K90:O90, NOT(ISBLANK(K90:O90))))))"),"")</f>
        <v/>
      </c>
      <c r="Q90" s="44" t="s">
        <v>388</v>
      </c>
      <c r="R90" s="46" t="str">
        <f t="shared" si="7"/>
        <v>UNDECIDED</v>
      </c>
    </row>
    <row r="91">
      <c r="A91" s="34" t="s">
        <v>151</v>
      </c>
      <c r="B91" s="34" t="s">
        <v>152</v>
      </c>
      <c r="C91" s="48"/>
      <c r="D91" s="43" t="b">
        <f t="shared" ref="D91:H91" si="182">VLOOKUP($A91, INDIRECT(D$1&amp;"!A:C"), 3, FALSE)</f>
        <v>1</v>
      </c>
      <c r="E91" s="43" t="str">
        <f t="shared" si="182"/>
        <v>TO DO</v>
      </c>
      <c r="F91" s="43" t="str">
        <f t="shared" si="182"/>
        <v>TO DO</v>
      </c>
      <c r="G91" s="43" t="b">
        <f t="shared" si="182"/>
        <v>1</v>
      </c>
      <c r="H91" s="43" t="b">
        <f t="shared" si="182"/>
        <v>1</v>
      </c>
      <c r="I91" s="7">
        <f t="shared" si="4"/>
        <v>3</v>
      </c>
      <c r="J91" s="44">
        <f t="shared" si="5"/>
        <v>1</v>
      </c>
      <c r="K91" s="45" t="str">
        <f t="shared" ref="K91:O91" si="183">VLOOKUP($A91, INDIRECT(K$1&amp;"!A:D"), 4, FALSE)</f>
        <v>target 2.a</v>
      </c>
      <c r="L91" s="45" t="str">
        <f t="shared" si="183"/>
        <v/>
      </c>
      <c r="M91" s="45" t="str">
        <f t="shared" si="183"/>
        <v/>
      </c>
      <c r="N91" s="45" t="str">
        <f t="shared" si="183"/>
        <v/>
      </c>
      <c r="O91" s="45" t="str">
        <f t="shared" si="183"/>
        <v/>
      </c>
      <c r="P91" s="44" t="str">
        <f>IFERROR(__xludf.DUMMYFUNCTION("IF(COUNTA(K91:O91)=0, """", ARRAYFORMULA(""- ""&amp;TEXTJOIN(char(10)&amp;""- "", TRUE, FILTER(K$1:O$1&amp;"": ""&amp;K91:O91, NOT(ISBLANK(K91:O91))))))"),"- Finn: target 2.a")</f>
        <v>- Finn: target 2.a</v>
      </c>
      <c r="Q91" s="44" t="s">
        <v>424</v>
      </c>
      <c r="R91" s="46" t="b">
        <f t="shared" si="7"/>
        <v>1</v>
      </c>
    </row>
    <row r="92">
      <c r="A92" s="34" t="s">
        <v>277</v>
      </c>
      <c r="B92" s="34" t="s">
        <v>278</v>
      </c>
      <c r="C92" s="43"/>
      <c r="D92" s="43" t="b">
        <f t="shared" ref="D92:H92" si="184">VLOOKUP($A92, INDIRECT(D$1&amp;"!A:C"), 3, FALSE)</f>
        <v>1</v>
      </c>
      <c r="E92" s="43" t="b">
        <f t="shared" si="184"/>
        <v>1</v>
      </c>
      <c r="F92" s="43" t="str">
        <f t="shared" si="184"/>
        <v>TO DO</v>
      </c>
      <c r="G92" s="43" t="b">
        <f t="shared" si="184"/>
        <v>1</v>
      </c>
      <c r="H92" s="43" t="b">
        <f t="shared" si="184"/>
        <v>1</v>
      </c>
      <c r="I92" s="7">
        <f t="shared" si="4"/>
        <v>4</v>
      </c>
      <c r="J92" s="44">
        <f t="shared" si="5"/>
        <v>1</v>
      </c>
      <c r="K92" s="45" t="str">
        <f t="shared" ref="K92:O92" si="185">VLOOKUP($A92, INDIRECT(K$1&amp;"!A:D"), 4, FALSE)</f>
        <v/>
      </c>
      <c r="L92" s="45" t="str">
        <f t="shared" si="185"/>
        <v/>
      </c>
      <c r="M92" s="45" t="str">
        <f t="shared" si="185"/>
        <v/>
      </c>
      <c r="N92" s="45" t="str">
        <f t="shared" si="185"/>
        <v/>
      </c>
      <c r="O92" s="45" t="str">
        <f t="shared" si="185"/>
        <v/>
      </c>
      <c r="P92" s="44" t="str">
        <f>IFERROR(__xludf.DUMMYFUNCTION("IF(COUNTA(K92:O92)=0, """", ARRAYFORMULA(""- ""&amp;TEXTJOIN(char(10)&amp;""- "", TRUE, FILTER(K$1:O$1&amp;"": ""&amp;K92:O92, NOT(ISBLANK(K92:O92))))))"),"")</f>
        <v/>
      </c>
      <c r="Q92" s="44" t="s">
        <v>388</v>
      </c>
      <c r="R92" s="46" t="b">
        <f t="shared" si="7"/>
        <v>1</v>
      </c>
    </row>
    <row r="93">
      <c r="A93" s="34" t="s">
        <v>223</v>
      </c>
      <c r="B93" s="34" t="s">
        <v>224</v>
      </c>
      <c r="C93" s="7" t="s">
        <v>389</v>
      </c>
      <c r="D93" s="43" t="b">
        <f t="shared" ref="D93:H93" si="186">VLOOKUP($A93, INDIRECT(D$1&amp;"!A:C"), 3, FALSE)</f>
        <v>0</v>
      </c>
      <c r="E93" s="43" t="b">
        <f t="shared" si="186"/>
        <v>1</v>
      </c>
      <c r="F93" s="43" t="str">
        <f t="shared" si="186"/>
        <v>TO DO</v>
      </c>
      <c r="G93" s="43" t="b">
        <f t="shared" si="186"/>
        <v>0</v>
      </c>
      <c r="H93" s="43" t="b">
        <f t="shared" si="186"/>
        <v>1</v>
      </c>
      <c r="I93" s="7">
        <f t="shared" si="4"/>
        <v>4</v>
      </c>
      <c r="J93" s="44">
        <f t="shared" si="5"/>
        <v>0</v>
      </c>
      <c r="K93" s="45" t="str">
        <f t="shared" ref="K93:O93" si="187">VLOOKUP($A93, INDIRECT(K$1&amp;"!A:D"), 4, FALSE)</f>
        <v/>
      </c>
      <c r="L93" s="45" t="str">
        <f t="shared" si="187"/>
        <v>Status about trade gain-loss in agricultural products</v>
      </c>
      <c r="M93" s="45" t="str">
        <f t="shared" si="187"/>
        <v/>
      </c>
      <c r="N93" s="45" t="str">
        <f t="shared" si="187"/>
        <v/>
      </c>
      <c r="O93" s="45" t="str">
        <f t="shared" si="187"/>
        <v>2.b</v>
      </c>
      <c r="P93" s="44" t="str">
        <f>IFERROR(__xludf.DUMMYFUNCTION("IF(COUNTA(K93:O93)=0, """", ARRAYFORMULA(""- ""&amp;TEXTJOIN(char(10)&amp;""- "", TRUE, FILTER(K$1:O$1&amp;"": ""&amp;K93:O93, NOT(ISBLANK(K93:O93))))))"),"- Gib: Status about trade gain-loss in agricultural products
- Steve: 2.b")</f>
        <v>- Gib: Status about trade gain-loss in agricultural products
- Steve: 2.b</v>
      </c>
      <c r="Q93" s="44" t="s">
        <v>425</v>
      </c>
      <c r="R93" s="46" t="str">
        <f t="shared" si="7"/>
        <v>UNDECIDED</v>
      </c>
    </row>
    <row r="94">
      <c r="A94" s="34" t="s">
        <v>145</v>
      </c>
      <c r="B94" s="34" t="s">
        <v>146</v>
      </c>
      <c r="C94" s="43"/>
      <c r="D94" s="43" t="b">
        <f t="shared" ref="D94:H94" si="188">VLOOKUP($A94, INDIRECT(D$1&amp;"!A:C"), 3, FALSE)</f>
        <v>0</v>
      </c>
      <c r="E94" s="43" t="b">
        <f t="shared" si="188"/>
        <v>0</v>
      </c>
      <c r="F94" s="43" t="str">
        <f t="shared" si="188"/>
        <v>TO DO</v>
      </c>
      <c r="G94" s="43" t="b">
        <f t="shared" si="188"/>
        <v>0</v>
      </c>
      <c r="H94" s="43" t="b">
        <f t="shared" si="188"/>
        <v>0</v>
      </c>
      <c r="I94" s="7">
        <f t="shared" si="4"/>
        <v>4</v>
      </c>
      <c r="J94" s="44">
        <f t="shared" si="5"/>
        <v>1</v>
      </c>
      <c r="K94" s="45" t="str">
        <f t="shared" ref="K94:O94" si="189">VLOOKUP($A94, INDIRECT(K$1&amp;"!A:D"), 4, FALSE)</f>
        <v/>
      </c>
      <c r="L94" s="45" t="str">
        <f t="shared" si="189"/>
        <v>Could be True.
This is not directly related to food, but more on agricultural production: ethanol.</v>
      </c>
      <c r="M94" s="45" t="str">
        <f t="shared" si="189"/>
        <v/>
      </c>
      <c r="N94" s="45" t="str">
        <f t="shared" si="189"/>
        <v/>
      </c>
      <c r="O94" s="45" t="str">
        <f t="shared" si="189"/>
        <v/>
      </c>
      <c r="P94" s="44" t="str">
        <f>IFERROR(__xludf.DUMMYFUNCTION("IF(COUNTA(K94:O94)=0, """", ARRAYFORMULA(""- ""&amp;TEXTJOIN(char(10)&amp;""- "", TRUE, FILTER(K$1:O$1&amp;"": ""&amp;K94:O94, NOT(ISBLANK(K94:O94))))))"),"- Gib: Could be True.
This is not directly related to food, but more on agricultural production: ethanol.")</f>
        <v>- Gib: Could be True.
This is not directly related to food, but more on agricultural production: ethanol.</v>
      </c>
      <c r="Q94" s="44" t="s">
        <v>426</v>
      </c>
      <c r="R94" s="46" t="b">
        <f t="shared" si="7"/>
        <v>0</v>
      </c>
    </row>
    <row r="95">
      <c r="A95" s="34" t="s">
        <v>92</v>
      </c>
      <c r="B95" s="34" t="s">
        <v>93</v>
      </c>
      <c r="C95" s="7"/>
      <c r="D95" s="43" t="b">
        <f t="shared" ref="D95:H95" si="190">VLOOKUP($A95, INDIRECT(D$1&amp;"!A:C"), 3, FALSE)</f>
        <v>0</v>
      </c>
      <c r="E95" s="43" t="str">
        <f t="shared" si="190"/>
        <v>TO DO</v>
      </c>
      <c r="F95" s="43" t="str">
        <f t="shared" si="190"/>
        <v>TO DO</v>
      </c>
      <c r="G95" s="43" t="b">
        <f t="shared" si="190"/>
        <v>0</v>
      </c>
      <c r="H95" s="43" t="b">
        <f t="shared" si="190"/>
        <v>0</v>
      </c>
      <c r="I95" s="7">
        <f t="shared" si="4"/>
        <v>3</v>
      </c>
      <c r="J95" s="44">
        <f t="shared" si="5"/>
        <v>1</v>
      </c>
      <c r="K95" s="45" t="str">
        <f t="shared" ref="K95:O95" si="191">VLOOKUP($A95, INDIRECT(K$1&amp;"!A:D"), 4, FALSE)</f>
        <v/>
      </c>
      <c r="L95" s="45" t="str">
        <f t="shared" si="191"/>
        <v/>
      </c>
      <c r="M95" s="45" t="str">
        <f t="shared" si="191"/>
        <v/>
      </c>
      <c r="N95" s="45" t="str">
        <f t="shared" si="191"/>
        <v/>
      </c>
      <c r="O95" s="45" t="str">
        <f t="shared" si="191"/>
        <v/>
      </c>
      <c r="P95" s="44" t="str">
        <f>IFERROR(__xludf.DUMMYFUNCTION("IF(COUNTA(K95:O95)=0, """", ARRAYFORMULA(""- ""&amp;TEXTJOIN(char(10)&amp;""- "", TRUE, FILTER(K$1:O$1&amp;"": ""&amp;K95:O95, NOT(ISBLANK(K95:O95))))))"),"")</f>
        <v/>
      </c>
      <c r="Q95" s="44" t="s">
        <v>388</v>
      </c>
      <c r="R95" s="46" t="b">
        <f t="shared" si="7"/>
        <v>0</v>
      </c>
    </row>
    <row r="96">
      <c r="A96" s="34" t="s">
        <v>112</v>
      </c>
      <c r="B96" s="34" t="s">
        <v>113</v>
      </c>
      <c r="C96" s="48"/>
      <c r="D96" s="43" t="b">
        <f t="shared" ref="D96:H96" si="192">VLOOKUP($A96, INDIRECT(D$1&amp;"!A:C"), 3, FALSE)</f>
        <v>0</v>
      </c>
      <c r="E96" s="43" t="b">
        <f t="shared" si="192"/>
        <v>0</v>
      </c>
      <c r="F96" s="43" t="str">
        <f t="shared" si="192"/>
        <v>TO DO</v>
      </c>
      <c r="G96" s="43" t="b">
        <f t="shared" si="192"/>
        <v>0</v>
      </c>
      <c r="H96" s="43" t="b">
        <f t="shared" si="192"/>
        <v>0</v>
      </c>
      <c r="I96" s="7">
        <f t="shared" si="4"/>
        <v>4</v>
      </c>
      <c r="J96" s="44">
        <f t="shared" si="5"/>
        <v>1</v>
      </c>
      <c r="K96" s="45" t="str">
        <f t="shared" ref="K96:O96" si="193">VLOOKUP($A96, INDIRECT(K$1&amp;"!A:D"), 4, FALSE)</f>
        <v/>
      </c>
      <c r="L96" s="45" t="str">
        <f t="shared" si="193"/>
        <v/>
      </c>
      <c r="M96" s="45" t="str">
        <f t="shared" si="193"/>
        <v/>
      </c>
      <c r="N96" s="45" t="str">
        <f t="shared" si="193"/>
        <v/>
      </c>
      <c r="O96" s="45" t="str">
        <f t="shared" si="193"/>
        <v/>
      </c>
      <c r="P96" s="44" t="str">
        <f>IFERROR(__xludf.DUMMYFUNCTION("IF(COUNTA(K96:O96)=0, """", ARRAYFORMULA(""- ""&amp;TEXTJOIN(char(10)&amp;""- "", TRUE, FILTER(K$1:O$1&amp;"": ""&amp;K96:O96, NOT(ISBLANK(K96:O96))))))"),"")</f>
        <v/>
      </c>
      <c r="Q96" s="44" t="s">
        <v>388</v>
      </c>
      <c r="R96" s="46" t="b">
        <f t="shared" si="7"/>
        <v>0</v>
      </c>
    </row>
    <row r="97">
      <c r="A97" s="34" t="s">
        <v>255</v>
      </c>
      <c r="B97" s="34" t="s">
        <v>256</v>
      </c>
      <c r="C97" s="47"/>
      <c r="D97" s="43" t="b">
        <f t="shared" ref="D97:H97" si="194">VLOOKUP($A97, INDIRECT(D$1&amp;"!A:C"), 3, FALSE)</f>
        <v>1</v>
      </c>
      <c r="E97" s="43" t="str">
        <f t="shared" si="194"/>
        <v>TO DO</v>
      </c>
      <c r="F97" s="43" t="str">
        <f t="shared" si="194"/>
        <v>TO DO</v>
      </c>
      <c r="G97" s="43" t="b">
        <f t="shared" si="194"/>
        <v>1</v>
      </c>
      <c r="H97" s="43" t="b">
        <f t="shared" si="194"/>
        <v>1</v>
      </c>
      <c r="I97" s="7">
        <f t="shared" si="4"/>
        <v>3</v>
      </c>
      <c r="J97" s="44">
        <f t="shared" si="5"/>
        <v>1</v>
      </c>
      <c r="K97" s="45" t="str">
        <f t="shared" ref="K97:O97" si="195">VLOOKUP($A97, INDIRECT(K$1&amp;"!A:D"), 4, FALSE)</f>
        <v/>
      </c>
      <c r="L97" s="45" t="str">
        <f t="shared" si="195"/>
        <v/>
      </c>
      <c r="M97" s="45" t="str">
        <f t="shared" si="195"/>
        <v/>
      </c>
      <c r="N97" s="45" t="str">
        <f t="shared" si="195"/>
        <v/>
      </c>
      <c r="O97" s="45" t="str">
        <f t="shared" si="195"/>
        <v/>
      </c>
      <c r="P97" s="44" t="str">
        <f>IFERROR(__xludf.DUMMYFUNCTION("IF(COUNTA(K97:O97)=0, """", ARRAYFORMULA(""- ""&amp;TEXTJOIN(char(10)&amp;""- "", TRUE, FILTER(K$1:O$1&amp;"": ""&amp;K97:O97, NOT(ISBLANK(K97:O97))))))"),"")</f>
        <v/>
      </c>
      <c r="Q97" s="44" t="s">
        <v>388</v>
      </c>
      <c r="R97" s="46" t="b">
        <f t="shared" si="7"/>
        <v>1</v>
      </c>
    </row>
    <row r="98">
      <c r="A98" s="34" t="s">
        <v>281</v>
      </c>
      <c r="B98" s="34" t="s">
        <v>282</v>
      </c>
      <c r="C98" s="48"/>
      <c r="D98" s="43" t="b">
        <f t="shared" ref="D98:H98" si="196">VLOOKUP($A98, INDIRECT(D$1&amp;"!A:C"), 3, FALSE)</f>
        <v>1</v>
      </c>
      <c r="E98" s="43" t="b">
        <f t="shared" si="196"/>
        <v>1</v>
      </c>
      <c r="F98" s="43" t="str">
        <f t="shared" si="196"/>
        <v>TO DO</v>
      </c>
      <c r="G98" s="43" t="b">
        <f t="shared" si="196"/>
        <v>1</v>
      </c>
      <c r="H98" s="43" t="b">
        <f t="shared" si="196"/>
        <v>1</v>
      </c>
      <c r="I98" s="7">
        <f t="shared" si="4"/>
        <v>4</v>
      </c>
      <c r="J98" s="44">
        <f t="shared" si="5"/>
        <v>1</v>
      </c>
      <c r="K98" s="45" t="str">
        <f t="shared" ref="K98:O98" si="197">VLOOKUP($A98, INDIRECT(K$1&amp;"!A:D"), 4, FALSE)</f>
        <v/>
      </c>
      <c r="L98" s="45" t="str">
        <f t="shared" si="197"/>
        <v/>
      </c>
      <c r="M98" s="45" t="str">
        <f t="shared" si="197"/>
        <v/>
      </c>
      <c r="N98" s="45" t="str">
        <f t="shared" si="197"/>
        <v/>
      </c>
      <c r="O98" s="45" t="str">
        <f t="shared" si="197"/>
        <v/>
      </c>
      <c r="P98" s="44" t="str">
        <f>IFERROR(__xludf.DUMMYFUNCTION("IF(COUNTA(K98:O98)=0, """", ARRAYFORMULA(""- ""&amp;TEXTJOIN(char(10)&amp;""- "", TRUE, FILTER(K$1:O$1&amp;"": ""&amp;K98:O98, NOT(ISBLANK(K98:O98))))))"),"")</f>
        <v/>
      </c>
      <c r="Q98" s="44" t="s">
        <v>388</v>
      </c>
      <c r="R98" s="46" t="b">
        <f t="shared" si="7"/>
        <v>1</v>
      </c>
    </row>
    <row r="99">
      <c r="A99" s="34" t="s">
        <v>127</v>
      </c>
      <c r="B99" s="34" t="s">
        <v>128</v>
      </c>
      <c r="C99" s="47"/>
      <c r="D99" s="43" t="b">
        <f t="shared" ref="D99:H99" si="198">VLOOKUP($A99, INDIRECT(D$1&amp;"!A:C"), 3, FALSE)</f>
        <v>0</v>
      </c>
      <c r="E99" s="43" t="b">
        <f t="shared" si="198"/>
        <v>0</v>
      </c>
      <c r="F99" s="43" t="str">
        <f t="shared" si="198"/>
        <v>TO DO</v>
      </c>
      <c r="G99" s="43" t="b">
        <f t="shared" si="198"/>
        <v>0</v>
      </c>
      <c r="H99" s="43" t="b">
        <f t="shared" si="198"/>
        <v>0</v>
      </c>
      <c r="I99" s="7">
        <f t="shared" si="4"/>
        <v>4</v>
      </c>
      <c r="J99" s="44">
        <f t="shared" si="5"/>
        <v>1</v>
      </c>
      <c r="K99" s="45" t="str">
        <f t="shared" ref="K99:O99" si="199">VLOOKUP($A99, INDIRECT(K$1&amp;"!A:D"), 4, FALSE)</f>
        <v/>
      </c>
      <c r="L99" s="45" t="str">
        <f t="shared" si="199"/>
        <v/>
      </c>
      <c r="M99" s="45" t="str">
        <f t="shared" si="199"/>
        <v/>
      </c>
      <c r="N99" s="45" t="str">
        <f t="shared" si="199"/>
        <v/>
      </c>
      <c r="O99" s="45" t="str">
        <f t="shared" si="199"/>
        <v/>
      </c>
      <c r="P99" s="44" t="str">
        <f>IFERROR(__xludf.DUMMYFUNCTION("IF(COUNTA(K99:O99)=0, """", ARRAYFORMULA(""- ""&amp;TEXTJOIN(char(10)&amp;""- "", TRUE, FILTER(K$1:O$1&amp;"": ""&amp;K99:O99, NOT(ISBLANK(K99:O99))))))"),"")</f>
        <v/>
      </c>
      <c r="Q99" s="44" t="s">
        <v>388</v>
      </c>
      <c r="R99" s="46" t="b">
        <f t="shared" si="7"/>
        <v>0</v>
      </c>
    </row>
    <row r="100">
      <c r="A100" s="34" t="s">
        <v>120</v>
      </c>
      <c r="B100" s="34" t="s">
        <v>121</v>
      </c>
      <c r="C100" s="7"/>
      <c r="D100" s="43" t="b">
        <f t="shared" ref="D100:H100" si="200">VLOOKUP($A100, INDIRECT(D$1&amp;"!A:C"), 3, FALSE)</f>
        <v>1</v>
      </c>
      <c r="E100" s="43" t="b">
        <f t="shared" si="200"/>
        <v>1</v>
      </c>
      <c r="F100" s="43" t="str">
        <f t="shared" si="200"/>
        <v>TO DO</v>
      </c>
      <c r="G100" s="43" t="b">
        <f t="shared" si="200"/>
        <v>1</v>
      </c>
      <c r="H100" s="43" t="b">
        <f t="shared" si="200"/>
        <v>1</v>
      </c>
      <c r="I100" s="7">
        <f t="shared" si="4"/>
        <v>4</v>
      </c>
      <c r="J100" s="44">
        <f t="shared" si="5"/>
        <v>1</v>
      </c>
      <c r="K100" s="45" t="str">
        <f t="shared" ref="K100:O100" si="201">VLOOKUP($A100, INDIRECT(K$1&amp;"!A:D"), 4, FALSE)</f>
        <v/>
      </c>
      <c r="L100" s="45" t="str">
        <f t="shared" si="201"/>
        <v/>
      </c>
      <c r="M100" s="45" t="str">
        <f t="shared" si="201"/>
        <v/>
      </c>
      <c r="N100" s="45" t="str">
        <f t="shared" si="201"/>
        <v/>
      </c>
      <c r="O100" s="45" t="str">
        <f t="shared" si="201"/>
        <v/>
      </c>
      <c r="P100" s="44" t="str">
        <f>IFERROR(__xludf.DUMMYFUNCTION("IF(COUNTA(K100:O100)=0, """", ARRAYFORMULA(""- ""&amp;TEXTJOIN(char(10)&amp;""- "", TRUE, FILTER(K$1:O$1&amp;"": ""&amp;K100:O100, NOT(ISBLANK(K100:O100))))))"),"")</f>
        <v/>
      </c>
      <c r="Q100" s="44" t="s">
        <v>388</v>
      </c>
      <c r="R100" s="46" t="b">
        <f t="shared" si="7"/>
        <v>1</v>
      </c>
    </row>
    <row r="101">
      <c r="A101" s="34" t="s">
        <v>265</v>
      </c>
      <c r="B101" s="34" t="s">
        <v>266</v>
      </c>
      <c r="C101" s="7" t="s">
        <v>402</v>
      </c>
      <c r="D101" s="43" t="b">
        <f t="shared" ref="D101:H101" si="202">VLOOKUP($A101, INDIRECT(D$1&amp;"!A:C"), 3, FALSE)</f>
        <v>1</v>
      </c>
      <c r="E101" s="43" t="str">
        <f t="shared" si="202"/>
        <v>TO DO</v>
      </c>
      <c r="F101" s="43" t="str">
        <f t="shared" si="202"/>
        <v>TO DO</v>
      </c>
      <c r="G101" s="43" t="b">
        <f t="shared" si="202"/>
        <v>1</v>
      </c>
      <c r="H101" s="43" t="b">
        <f t="shared" si="202"/>
        <v>0</v>
      </c>
      <c r="I101" s="7">
        <f t="shared" si="4"/>
        <v>3</v>
      </c>
      <c r="J101" s="44">
        <f t="shared" si="5"/>
        <v>0.3333333333</v>
      </c>
      <c r="K101" s="45" t="str">
        <f t="shared" ref="K101:O101" si="203">VLOOKUP($A101, INDIRECT(K$1&amp;"!A:D"), 4, FALSE)</f>
        <v/>
      </c>
      <c r="L101" s="45" t="str">
        <f t="shared" si="203"/>
        <v/>
      </c>
      <c r="M101" s="45" t="str">
        <f t="shared" si="203"/>
        <v/>
      </c>
      <c r="N101" s="45" t="str">
        <f t="shared" si="203"/>
        <v/>
      </c>
      <c r="O101" s="45" t="str">
        <f t="shared" si="203"/>
        <v/>
      </c>
      <c r="P101" s="44" t="str">
        <f>IFERROR(__xludf.DUMMYFUNCTION("IF(COUNTA(K101:O101)=0, """", ARRAYFORMULA(""- ""&amp;TEXTJOIN(char(10)&amp;""- "", TRUE, FILTER(K$1:O$1&amp;"": ""&amp;K101:O101, NOT(ISBLANK(K101:O101))))))"),"")</f>
        <v/>
      </c>
      <c r="Q101" s="44" t="s">
        <v>388</v>
      </c>
      <c r="R101" s="46" t="str">
        <f t="shared" si="7"/>
        <v>UNDECIDED</v>
      </c>
    </row>
  </sheetData>
  <autoFilter ref="$A$1:$T$101"/>
  <conditionalFormatting sqref="C2:H101 J2:Q101">
    <cfRule type="cellIs" dxfId="0" priority="1" operator="equal">
      <formula>"TRUE"</formula>
    </cfRule>
  </conditionalFormatting>
  <conditionalFormatting sqref="C2:H101 J2:Q101">
    <cfRule type="beginsWith" dxfId="1" priority="2" operator="beginsWith" text="FALSE">
      <formula>LEFT((C2),LEN("FALSE"))=("FALSE")</formula>
    </cfRule>
  </conditionalFormatting>
  <conditionalFormatting sqref="C2:H101 J2:Q101">
    <cfRule type="cellIs" dxfId="2" priority="3" operator="equal">
      <formula>"TO DO"</formula>
    </cfRule>
  </conditionalFormatting>
  <conditionalFormatting sqref="C2:H101 J2:Q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8" t="s">
        <v>427</v>
      </c>
      <c r="B1" s="18" t="s">
        <v>309</v>
      </c>
      <c r="C1" s="18" t="s">
        <v>310</v>
      </c>
      <c r="D1" s="18" t="s">
        <v>315</v>
      </c>
      <c r="E1" s="18" t="s">
        <v>428</v>
      </c>
      <c r="F1" s="18" t="s">
        <v>307</v>
      </c>
      <c r="G1" s="18" t="s">
        <v>429</v>
      </c>
    </row>
    <row r="2">
      <c r="A2" s="19" t="str">
        <f t="shared" ref="A2:A70" si="1">LEFT(MD5_HASH(B2), 7)</f>
        <v>#NAME?</v>
      </c>
      <c r="B2" s="34" t="s">
        <v>191</v>
      </c>
      <c r="C2" s="5">
        <v>2.0</v>
      </c>
      <c r="D2" s="7" t="b">
        <v>0</v>
      </c>
      <c r="E2" s="34" t="s">
        <v>190</v>
      </c>
      <c r="F2" s="19" t="str">
        <f t="array" ref="F2">VLOOKUP(E2,{Source!B:B,Source!A:A},2,FALSE)</f>
        <v>10.1787/5jlpl4mh1hxn-en</v>
      </c>
    </row>
    <row r="3">
      <c r="A3" s="19" t="str">
        <f t="shared" si="1"/>
        <v>#NAME?</v>
      </c>
      <c r="B3" s="34" t="s">
        <v>262</v>
      </c>
      <c r="C3" s="5">
        <v>2.0</v>
      </c>
      <c r="D3" s="7" t="b">
        <v>0</v>
      </c>
      <c r="E3" s="34" t="s">
        <v>261</v>
      </c>
      <c r="F3" s="19" t="str">
        <f t="array" ref="F3">VLOOKUP(E3,{Source!B:B,Source!A:A},2,FALSE)</f>
        <v>10.18356/11e28764-en</v>
      </c>
    </row>
    <row r="4">
      <c r="A4" s="19" t="str">
        <f t="shared" si="1"/>
        <v>#NAME?</v>
      </c>
      <c r="B4" s="34" t="s">
        <v>118</v>
      </c>
      <c r="C4" s="5">
        <v>2.0</v>
      </c>
      <c r="D4" s="7" t="b">
        <v>0</v>
      </c>
      <c r="E4" s="34" t="s">
        <v>117</v>
      </c>
      <c r="F4" s="19" t="str">
        <f t="array" ref="F4">VLOOKUP(E4,{Source!B:B,Source!A:A},2,FALSE)</f>
        <v>10.1787/9789264179011-7-en</v>
      </c>
    </row>
    <row r="5">
      <c r="A5" s="19" t="str">
        <f t="shared" si="1"/>
        <v>#NAME?</v>
      </c>
      <c r="B5" s="34" t="s">
        <v>70</v>
      </c>
      <c r="C5" s="5">
        <v>2.0</v>
      </c>
      <c r="D5" s="7" t="b">
        <v>0</v>
      </c>
      <c r="E5" s="34" t="s">
        <v>69</v>
      </c>
      <c r="F5" s="19" t="str">
        <f t="array" ref="F5">VLOOKUP(E5,{Source!B:B,Source!A:A},2,FALSE)</f>
        <v>10.1787/agr/pol-2014-4-en</v>
      </c>
    </row>
    <row r="6">
      <c r="A6" s="19" t="str">
        <f t="shared" si="1"/>
        <v>#NAME?</v>
      </c>
      <c r="B6" s="34" t="s">
        <v>268</v>
      </c>
      <c r="C6" s="5">
        <v>2.0</v>
      </c>
      <c r="D6" s="7" t="b">
        <v>0</v>
      </c>
      <c r="E6" s="34" t="s">
        <v>267</v>
      </c>
      <c r="F6" s="19" t="str">
        <f t="array" ref="F6">VLOOKUP(E6,{Source!B:B,Source!A:A},2,FALSE)</f>
        <v>10.1787/9789264237056-8-en</v>
      </c>
    </row>
    <row r="7">
      <c r="A7" s="19" t="str">
        <f t="shared" si="1"/>
        <v>#NAME?</v>
      </c>
      <c r="B7" s="34" t="s">
        <v>95</v>
      </c>
      <c r="C7" s="5">
        <v>2.0</v>
      </c>
      <c r="D7" s="7" t="b">
        <v>0</v>
      </c>
      <c r="E7" s="34" t="s">
        <v>94</v>
      </c>
      <c r="F7" s="19" t="str">
        <f t="array" ref="F7">VLOOKUP(E7,{Source!B:B,Source!A:A},2,FALSE)</f>
        <v>10.1787/5jlpl4mh1hxn-en</v>
      </c>
    </row>
    <row r="8">
      <c r="A8" s="19" t="str">
        <f t="shared" si="1"/>
        <v>#NAME?</v>
      </c>
      <c r="B8" s="34" t="s">
        <v>172</v>
      </c>
      <c r="C8" s="5">
        <v>2.0</v>
      </c>
      <c r="D8" s="7" t="b">
        <v>1</v>
      </c>
      <c r="E8" s="34" t="s">
        <v>171</v>
      </c>
      <c r="F8" s="19" t="str">
        <f t="array" ref="F8">VLOOKUP(E8,{Source!B:B,Source!A:A},2,FALSE)</f>
        <v>10.18356/56317379-en</v>
      </c>
    </row>
    <row r="9">
      <c r="A9" s="19" t="str">
        <f t="shared" si="1"/>
        <v>#NAME?</v>
      </c>
      <c r="B9" s="34" t="s">
        <v>254</v>
      </c>
      <c r="C9" s="5">
        <v>2.0</v>
      </c>
      <c r="D9" s="7" t="b">
        <v>1</v>
      </c>
      <c r="E9" s="34" t="s">
        <v>253</v>
      </c>
      <c r="F9" s="19" t="str">
        <f t="array" ref="F9">VLOOKUP(E9,{Source!B:B,Source!A:A},2,FALSE)</f>
        <v>10.1787/9789264264120-10-en</v>
      </c>
    </row>
    <row r="10">
      <c r="A10" s="19" t="str">
        <f t="shared" si="1"/>
        <v>#NAME?</v>
      </c>
      <c r="B10" s="49" t="s">
        <v>430</v>
      </c>
      <c r="C10" s="5">
        <v>2.0</v>
      </c>
      <c r="D10" s="7" t="b">
        <v>0</v>
      </c>
      <c r="E10" s="34" t="s">
        <v>149</v>
      </c>
      <c r="F10" s="19" t="str">
        <f t="array" ref="F10">VLOOKUP(E10,{Source!B:B,Source!A:A},2,FALSE)</f>
        <v>10.1787/9789264233911-3-en</v>
      </c>
      <c r="G10" s="5" t="s">
        <v>431</v>
      </c>
    </row>
    <row r="11">
      <c r="A11" s="19" t="str">
        <f t="shared" si="1"/>
        <v>#NAME?</v>
      </c>
      <c r="B11" s="34" t="s">
        <v>270</v>
      </c>
      <c r="C11" s="5">
        <v>2.0</v>
      </c>
      <c r="D11" s="7" t="b">
        <v>1</v>
      </c>
      <c r="E11" s="34" t="s">
        <v>269</v>
      </c>
      <c r="F11" s="19" t="str">
        <f t="array" ref="F11">VLOOKUP(E11,{Source!B:B,Source!A:A},2,FALSE)</f>
        <v>10.1787/5js65xn790nv-en</v>
      </c>
    </row>
    <row r="12">
      <c r="A12" s="19" t="str">
        <f t="shared" si="1"/>
        <v>#NAME?</v>
      </c>
      <c r="B12" s="34" t="s">
        <v>214</v>
      </c>
      <c r="C12" s="5">
        <v>2.0</v>
      </c>
      <c r="D12" s="7" t="b">
        <v>0</v>
      </c>
      <c r="E12" s="34" t="s">
        <v>213</v>
      </c>
      <c r="F12" s="19" t="str">
        <f t="array" ref="F12">VLOOKUP(E12,{Source!B:B,Source!A:A},2,FALSE)</f>
        <v>10.1787/9789264235151-6-en</v>
      </c>
    </row>
    <row r="13">
      <c r="A13" s="19" t="str">
        <f t="shared" si="1"/>
        <v>#NAME?</v>
      </c>
      <c r="B13" s="34" t="s">
        <v>284</v>
      </c>
      <c r="C13" s="5">
        <v>2.0</v>
      </c>
      <c r="D13" s="7" t="b">
        <v>1</v>
      </c>
      <c r="E13" s="34" t="s">
        <v>283</v>
      </c>
      <c r="F13" s="19" t="str">
        <f t="array" ref="F13">VLOOKUP(E13,{Source!B:B,Source!A:A},2,FALSE)</f>
        <v>10.1787/5kgj0d3vzcth-en</v>
      </c>
    </row>
    <row r="14">
      <c r="A14" s="19" t="str">
        <f t="shared" si="1"/>
        <v>#NAME?</v>
      </c>
      <c r="B14" s="34" t="s">
        <v>228</v>
      </c>
      <c r="C14" s="5">
        <v>2.0</v>
      </c>
      <c r="D14" s="7" t="b">
        <v>0</v>
      </c>
      <c r="E14" s="34" t="s">
        <v>227</v>
      </c>
      <c r="F14" s="19" t="str">
        <f t="array" ref="F14">VLOOKUP(E14,{Source!B:B,Source!A:A},2,FALSE)</f>
        <v>10.1787/9789264187443-7-en</v>
      </c>
    </row>
    <row r="15">
      <c r="A15" s="19" t="str">
        <f t="shared" si="1"/>
        <v>#NAME?</v>
      </c>
      <c r="B15" s="34" t="s">
        <v>239</v>
      </c>
      <c r="C15" s="5">
        <v>2.0</v>
      </c>
      <c r="D15" s="7" t="b">
        <v>1</v>
      </c>
      <c r="E15" s="34" t="s">
        <v>238</v>
      </c>
      <c r="F15" s="19" t="str">
        <f t="array" ref="F15">VLOOKUP(E15,{Source!B:B,Source!A:A},2,FALSE)</f>
        <v>10.1787/agr/pol-2011-7-en</v>
      </c>
    </row>
    <row r="16">
      <c r="A16" s="19" t="str">
        <f t="shared" si="1"/>
        <v>#NAME?</v>
      </c>
      <c r="B16" s="34" t="s">
        <v>181</v>
      </c>
      <c r="C16" s="5">
        <v>2.0</v>
      </c>
      <c r="D16" s="7" t="b">
        <v>1</v>
      </c>
      <c r="E16" s="34" t="s">
        <v>180</v>
      </c>
      <c r="F16" s="19" t="str">
        <f t="array" ref="F16">VLOOKUP(E16,{Source!B:B,Source!A:A},2,FALSE)</f>
        <v>10.1787/9789264191761-en</v>
      </c>
    </row>
    <row r="17">
      <c r="A17" s="19" t="str">
        <f t="shared" si="1"/>
        <v>#NAME?</v>
      </c>
      <c r="B17" s="49" t="s">
        <v>432</v>
      </c>
      <c r="C17" s="5">
        <v>2.0</v>
      </c>
      <c r="D17" s="7" t="b">
        <v>0</v>
      </c>
      <c r="E17" s="34" t="s">
        <v>80</v>
      </c>
      <c r="F17" s="19" t="str">
        <f t="array" ref="F17">VLOOKUP(E17,{Source!B:B,Source!A:A},2,FALSE)</f>
        <v>10.1787/9789264237056-4-en</v>
      </c>
      <c r="G17" s="5" t="s">
        <v>431</v>
      </c>
    </row>
    <row r="18">
      <c r="A18" s="19" t="str">
        <f t="shared" si="1"/>
        <v>#NAME?</v>
      </c>
      <c r="B18" s="34" t="s">
        <v>252</v>
      </c>
      <c r="C18" s="5">
        <v>2.0</v>
      </c>
      <c r="D18" s="7" t="b">
        <v>1</v>
      </c>
      <c r="E18" s="34" t="s">
        <v>251</v>
      </c>
      <c r="F18" s="19" t="str">
        <f t="array" ref="F18">VLOOKUP(E18,{Source!B:B,Source!A:A},2,FALSE)</f>
        <v>10.1787/agr/pol-2014-4-en</v>
      </c>
    </row>
    <row r="19">
      <c r="A19" s="19" t="str">
        <f t="shared" si="1"/>
        <v>#NAME?</v>
      </c>
      <c r="B19" s="34" t="s">
        <v>241</v>
      </c>
      <c r="C19" s="5">
        <v>2.0</v>
      </c>
      <c r="D19" s="7" t="b">
        <v>0</v>
      </c>
      <c r="E19" s="34" t="s">
        <v>240</v>
      </c>
      <c r="F19" s="19" t="str">
        <f t="array" ref="F19">VLOOKUP(E19,{Source!B:B,Source!A:A},2,FALSE)</f>
        <v>10.1787/5js1j18znzs4-en</v>
      </c>
    </row>
    <row r="20">
      <c r="A20" s="19" t="str">
        <f t="shared" si="1"/>
        <v>#NAME?</v>
      </c>
      <c r="B20" s="34" t="s">
        <v>195</v>
      </c>
      <c r="C20" s="5">
        <v>2.0</v>
      </c>
      <c r="D20" s="7" t="b">
        <v>1</v>
      </c>
      <c r="E20" s="34" t="s">
        <v>194</v>
      </c>
      <c r="F20" s="19" t="str">
        <f t="array" ref="F20">VLOOKUP(E20,{Source!B:B,Source!A:A},2,FALSE)</f>
        <v>10.1787/agr/pol-2011-7-en</v>
      </c>
    </row>
    <row r="21">
      <c r="A21" s="19" t="str">
        <f t="shared" si="1"/>
        <v>#NAME?</v>
      </c>
      <c r="B21" s="34" t="s">
        <v>202</v>
      </c>
      <c r="C21" s="5">
        <v>2.0</v>
      </c>
      <c r="D21" s="7" t="b">
        <v>0</v>
      </c>
      <c r="E21" s="34" t="s">
        <v>201</v>
      </c>
      <c r="F21" s="19" t="str">
        <f t="array" ref="F21">VLOOKUP(E21,{Source!B:B,Source!A:A},2,FALSE)</f>
        <v>10.1787/agr/outlook-2010-3-en</v>
      </c>
    </row>
    <row r="22">
      <c r="A22" s="19" t="str">
        <f t="shared" si="1"/>
        <v>#NAME?</v>
      </c>
      <c r="B22" s="34" t="s">
        <v>272</v>
      </c>
      <c r="C22" s="5">
        <v>2.0</v>
      </c>
      <c r="D22" s="7" t="b">
        <v>0</v>
      </c>
      <c r="E22" s="34" t="s">
        <v>271</v>
      </c>
      <c r="F22" s="19" t="str">
        <f t="array" ref="F22">VLOOKUP(E22,{Source!B:B,Source!A:A},2,FALSE)</f>
        <v>10.1787/9789264237056-8-en</v>
      </c>
    </row>
    <row r="23">
      <c r="A23" s="19" t="str">
        <f t="shared" si="1"/>
        <v>#NAME?</v>
      </c>
      <c r="B23" s="34" t="s">
        <v>248</v>
      </c>
      <c r="C23" s="5">
        <v>2.0</v>
      </c>
      <c r="D23" s="7" t="b">
        <v>0</v>
      </c>
      <c r="E23" s="34" t="s">
        <v>247</v>
      </c>
      <c r="F23" s="19" t="str">
        <f t="array" ref="F23">VLOOKUP(E23,{Source!B:B,Source!A:A},2,FALSE)</f>
        <v>10.1787/agr/pol-2011-7-en</v>
      </c>
    </row>
    <row r="24">
      <c r="A24" s="19" t="str">
        <f t="shared" si="1"/>
        <v>#NAME?</v>
      </c>
      <c r="B24" s="34" t="s">
        <v>115</v>
      </c>
      <c r="C24" s="5">
        <v>2.0</v>
      </c>
      <c r="D24" s="7" t="b">
        <v>1</v>
      </c>
      <c r="E24" s="34" t="s">
        <v>114</v>
      </c>
      <c r="F24" s="19" t="str">
        <f t="array" ref="F24">VLOOKUP(E24,{Source!B:B,Source!A:A},2,FALSE)</f>
        <v>10.1787/5js1j18znzs4-en</v>
      </c>
    </row>
    <row r="25">
      <c r="A25" s="19" t="str">
        <f t="shared" si="1"/>
        <v>#NAME?</v>
      </c>
      <c r="B25" s="34" t="s">
        <v>125</v>
      </c>
      <c r="C25" s="5">
        <v>2.0</v>
      </c>
      <c r="D25" s="7" t="b">
        <v>1</v>
      </c>
      <c r="E25" s="34" t="s">
        <v>124</v>
      </c>
      <c r="F25" s="19" t="str">
        <f t="array" ref="F25">VLOOKUP(E25,{Source!B:B,Source!A:A},2,FALSE)</f>
        <v>10.1787/5kmd6b5rl5kd-en</v>
      </c>
    </row>
    <row r="26">
      <c r="A26" s="19" t="str">
        <f t="shared" si="1"/>
        <v>#NAME?</v>
      </c>
      <c r="B26" s="49" t="s">
        <v>433</v>
      </c>
      <c r="C26" s="5">
        <v>2.0</v>
      </c>
      <c r="D26" s="7" t="b">
        <v>1</v>
      </c>
      <c r="E26" s="34" t="s">
        <v>168</v>
      </c>
      <c r="F26" s="19" t="str">
        <f t="array" ref="F26">VLOOKUP(E26,{Source!B:B,Source!A:A},2,FALSE)</f>
        <v>10.1787/9789264206441-14-en</v>
      </c>
      <c r="G26" s="5" t="s">
        <v>431</v>
      </c>
    </row>
    <row r="27">
      <c r="A27" s="19" t="str">
        <f t="shared" si="1"/>
        <v>#NAME?</v>
      </c>
      <c r="B27" s="49" t="s">
        <v>434</v>
      </c>
      <c r="C27" s="5">
        <v>2.0</v>
      </c>
      <c r="D27" s="7" t="b">
        <v>1</v>
      </c>
      <c r="E27" s="34" t="s">
        <v>78</v>
      </c>
      <c r="F27" s="19" t="str">
        <f t="array" ref="F27">VLOOKUP(E27,{Source!B:B,Source!A:A},2,FALSE)</f>
        <v>10.18356/127a6106-en</v>
      </c>
      <c r="G27" s="5" t="s">
        <v>435</v>
      </c>
    </row>
    <row r="28">
      <c r="A28" s="19" t="str">
        <f t="shared" si="1"/>
        <v>#NAME?</v>
      </c>
      <c r="B28" s="34" t="s">
        <v>245</v>
      </c>
      <c r="C28" s="5">
        <v>2.0</v>
      </c>
      <c r="D28" s="7" t="b">
        <v>1</v>
      </c>
      <c r="E28" s="34" t="s">
        <v>244</v>
      </c>
      <c r="F28" s="19" t="str">
        <f t="array" ref="F28">VLOOKUP(E28,{Source!B:B,Source!A:A},2,FALSE)</f>
        <v>10.18356/78349259-en</v>
      </c>
    </row>
    <row r="29">
      <c r="A29" s="19" t="str">
        <f t="shared" si="1"/>
        <v>#NAME?</v>
      </c>
      <c r="B29" s="34" t="s">
        <v>100</v>
      </c>
      <c r="C29" s="5">
        <v>2.0</v>
      </c>
      <c r="D29" s="7" t="b">
        <v>1</v>
      </c>
      <c r="E29" s="34" t="s">
        <v>99</v>
      </c>
      <c r="F29" s="19" t="str">
        <f t="array" ref="F29">VLOOKUP(E29,{Source!B:B,Source!A:A},2,FALSE)</f>
        <v>10.1787/9789264235151-4-en</v>
      </c>
    </row>
    <row r="30">
      <c r="A30" s="19" t="str">
        <f t="shared" si="1"/>
        <v>#NAME?</v>
      </c>
      <c r="B30" s="34" t="s">
        <v>144</v>
      </c>
      <c r="C30" s="5">
        <v>2.0</v>
      </c>
      <c r="D30" s="7" t="b">
        <v>1</v>
      </c>
      <c r="E30" s="34" t="s">
        <v>143</v>
      </c>
      <c r="F30" s="19" t="str">
        <f t="array" ref="F30">VLOOKUP(E30,{Source!B:B,Source!A:A},2,FALSE)</f>
        <v>10.1787/agr/outlook-2015-5-en</v>
      </c>
    </row>
    <row r="31">
      <c r="A31" s="19" t="str">
        <f t="shared" si="1"/>
        <v>#NAME?</v>
      </c>
      <c r="B31" s="34" t="s">
        <v>105</v>
      </c>
      <c r="C31" s="5">
        <v>2.0</v>
      </c>
      <c r="D31" s="7" t="b">
        <v>1</v>
      </c>
      <c r="E31" s="34" t="s">
        <v>104</v>
      </c>
      <c r="F31" s="19" t="str">
        <f t="array" ref="F31">VLOOKUP(E31,{Source!B:B,Source!A:A},2,FALSE)</f>
        <v>10.1787/9789264206441-14-en</v>
      </c>
    </row>
    <row r="32">
      <c r="A32" s="19" t="str">
        <f t="shared" si="1"/>
        <v>#NAME?</v>
      </c>
      <c r="B32" s="34" t="s">
        <v>123</v>
      </c>
      <c r="C32" s="5">
        <v>2.0</v>
      </c>
      <c r="D32" s="7" t="b">
        <v>0</v>
      </c>
      <c r="E32" s="34" t="s">
        <v>122</v>
      </c>
      <c r="F32" s="19" t="str">
        <f t="array" ref="F32">VLOOKUP(E32,{Source!B:B,Source!A:A},2,FALSE)</f>
        <v>10.1787/5km91nfsnkwg-en</v>
      </c>
    </row>
    <row r="33">
      <c r="A33" s="19" t="str">
        <f t="shared" si="1"/>
        <v>#NAME?</v>
      </c>
      <c r="B33" s="34" t="s">
        <v>179</v>
      </c>
      <c r="C33" s="5">
        <v>2.0</v>
      </c>
      <c r="D33" s="7" t="b">
        <v>1</v>
      </c>
      <c r="E33" s="34" t="s">
        <v>178</v>
      </c>
      <c r="F33" s="19" t="str">
        <f t="array" ref="F33">VLOOKUP(E33,{Source!B:B,Source!A:A},2,FALSE)</f>
        <v>10.1787/5js1j18znzs4-en</v>
      </c>
    </row>
    <row r="34">
      <c r="A34" s="19" t="str">
        <f t="shared" si="1"/>
        <v>#NAME?</v>
      </c>
      <c r="B34" s="34" t="s">
        <v>140</v>
      </c>
      <c r="C34" s="5">
        <v>2.0</v>
      </c>
      <c r="D34" s="7" t="b">
        <v>1</v>
      </c>
      <c r="E34" s="34" t="s">
        <v>139</v>
      </c>
      <c r="F34" s="19" t="str">
        <f t="array" ref="F34">VLOOKUP(E34,{Source!B:B,Source!A:A},2,FALSE)</f>
        <v>10.1787/5jxrclljnbxq-en</v>
      </c>
    </row>
    <row r="35">
      <c r="A35" s="19" t="str">
        <f t="shared" si="1"/>
        <v>#NAME?</v>
      </c>
      <c r="B35" s="34" t="s">
        <v>72</v>
      </c>
      <c r="C35" s="5">
        <v>2.0</v>
      </c>
      <c r="D35" s="7" t="b">
        <v>1</v>
      </c>
      <c r="E35" s="34" t="s">
        <v>71</v>
      </c>
      <c r="F35" s="19" t="str">
        <f t="array" ref="F35">VLOOKUP(E35,{Source!B:B,Source!A:A},2,FALSE)</f>
        <v>10.18356/868e7d6f-en</v>
      </c>
    </row>
    <row r="36">
      <c r="A36" s="19" t="str">
        <f t="shared" si="1"/>
        <v>#NAME?</v>
      </c>
      <c r="B36" s="34" t="s">
        <v>189</v>
      </c>
      <c r="C36" s="5">
        <v>2.0</v>
      </c>
      <c r="D36" s="7" t="b">
        <v>0</v>
      </c>
      <c r="E36" s="34" t="s">
        <v>188</v>
      </c>
      <c r="F36" s="19" t="str">
        <f t="array" ref="F36">VLOOKUP(E36,{Source!B:B,Source!A:A},2,FALSE)</f>
        <v>10.18356/a6267136-en</v>
      </c>
    </row>
    <row r="37">
      <c r="A37" s="19" t="str">
        <f t="shared" si="1"/>
        <v>#NAME?</v>
      </c>
      <c r="B37" s="34" t="s">
        <v>138</v>
      </c>
      <c r="C37" s="5">
        <v>2.0</v>
      </c>
      <c r="D37" s="7" t="b">
        <v>0</v>
      </c>
      <c r="E37" s="34" t="s">
        <v>137</v>
      </c>
      <c r="F37" s="19" t="str">
        <f t="array" ref="F37">VLOOKUP(E37,{Source!B:B,Source!A:A},2,FALSE)</f>
        <v>10.1787/9789264187443-8-en</v>
      </c>
    </row>
    <row r="38">
      <c r="A38" s="19" t="str">
        <f t="shared" si="1"/>
        <v>#NAME?</v>
      </c>
      <c r="B38" s="34" t="s">
        <v>77</v>
      </c>
      <c r="C38" s="5">
        <v>2.0</v>
      </c>
      <c r="D38" s="7" t="b">
        <v>1</v>
      </c>
      <c r="E38" s="34" t="s">
        <v>76</v>
      </c>
      <c r="F38" s="19" t="str">
        <f t="array" ref="F38">VLOOKUP(E38,{Source!B:B,Source!A:A},2,FALSE)</f>
        <v>10.18356/124f66e3-en</v>
      </c>
    </row>
    <row r="39">
      <c r="A39" s="19" t="str">
        <f t="shared" si="1"/>
        <v>#NAME?</v>
      </c>
      <c r="B39" s="34" t="s">
        <v>250</v>
      </c>
      <c r="C39" s="5">
        <v>2.0</v>
      </c>
      <c r="D39" s="7" t="b">
        <v>1</v>
      </c>
      <c r="E39" s="34" t="s">
        <v>249</v>
      </c>
      <c r="F39" s="19" t="str">
        <f t="array" ref="F39">VLOOKUP(E39,{Source!B:B,Source!A:A},2,FALSE)</f>
        <v>10.1787/9789264191761-en</v>
      </c>
    </row>
    <row r="40">
      <c r="A40" s="19" t="str">
        <f t="shared" si="1"/>
        <v>#NAME?</v>
      </c>
      <c r="B40" s="34" t="s">
        <v>222</v>
      </c>
      <c r="C40" s="5">
        <v>2.0</v>
      </c>
      <c r="D40" s="7" t="b">
        <v>0</v>
      </c>
      <c r="E40" s="34" t="s">
        <v>221</v>
      </c>
      <c r="F40" s="19" t="str">
        <f t="array" ref="F40">VLOOKUP(E40,{Source!B:B,Source!A:A},2,FALSE)</f>
        <v>10.18356/f171d8d1-en</v>
      </c>
    </row>
    <row r="41">
      <c r="A41" s="19" t="str">
        <f t="shared" si="1"/>
        <v>#NAME?</v>
      </c>
      <c r="B41" s="49" t="s">
        <v>436</v>
      </c>
      <c r="C41" s="5">
        <v>2.0</v>
      </c>
      <c r="D41" s="7" t="b">
        <v>1</v>
      </c>
      <c r="E41" s="34" t="s">
        <v>82</v>
      </c>
      <c r="F41" s="19" t="str">
        <f t="array" ref="F41">VLOOKUP(E41,{Source!B:B,Source!A:A},2,FALSE)</f>
        <v>10.18356/127a6106-en</v>
      </c>
      <c r="G41" s="5" t="s">
        <v>431</v>
      </c>
    </row>
    <row r="42">
      <c r="A42" s="19" t="str">
        <f t="shared" si="1"/>
        <v>#NAME?</v>
      </c>
      <c r="B42" s="34" t="s">
        <v>264</v>
      </c>
      <c r="C42" s="5">
        <v>2.0</v>
      </c>
      <c r="D42" s="7" t="b">
        <v>1</v>
      </c>
      <c r="E42" s="34" t="s">
        <v>263</v>
      </c>
      <c r="F42" s="19" t="str">
        <f t="array" ref="F42">VLOOKUP(E42,{Source!B:B,Source!A:A},2,FALSE)</f>
        <v>10.18356/0cf73767-en</v>
      </c>
    </row>
    <row r="43">
      <c r="A43" s="19" t="str">
        <f t="shared" si="1"/>
        <v>#NAME?</v>
      </c>
      <c r="B43" s="34" t="s">
        <v>134</v>
      </c>
      <c r="C43" s="5">
        <v>2.0</v>
      </c>
      <c r="D43" s="7" t="b">
        <v>1</v>
      </c>
      <c r="E43" s="34" t="s">
        <v>133</v>
      </c>
      <c r="F43" s="19" t="str">
        <f t="array" ref="F43">VLOOKUP(E43,{Source!B:B,Source!A:A},2,FALSE)</f>
        <v>10.18356/127a6106-en</v>
      </c>
    </row>
    <row r="44">
      <c r="A44" s="19" t="str">
        <f t="shared" si="1"/>
        <v>#NAME?</v>
      </c>
      <c r="B44" s="34" t="s">
        <v>91</v>
      </c>
      <c r="C44" s="5">
        <v>2.0</v>
      </c>
      <c r="D44" s="7" t="b">
        <v>1</v>
      </c>
      <c r="E44" s="34" t="s">
        <v>90</v>
      </c>
      <c r="F44" s="19" t="str">
        <f t="array" ref="F44">VLOOKUP(E44,{Source!B:B,Source!A:A},2,FALSE)</f>
        <v>10.18356/c55a8bce-en</v>
      </c>
    </row>
    <row r="45">
      <c r="A45" s="19" t="str">
        <f t="shared" si="1"/>
        <v>#NAME?</v>
      </c>
      <c r="B45" s="34" t="s">
        <v>208</v>
      </c>
      <c r="C45" s="5">
        <v>2.0</v>
      </c>
      <c r="D45" s="7" t="b">
        <v>1</v>
      </c>
      <c r="E45" s="34" t="s">
        <v>207</v>
      </c>
      <c r="F45" s="19" t="str">
        <f t="array" ref="F45">VLOOKUP(E45,{Source!B:B,Source!A:A},2,FALSE)</f>
        <v>10.18356/51c574fd-en</v>
      </c>
    </row>
    <row r="46">
      <c r="A46" s="19" t="str">
        <f t="shared" si="1"/>
        <v>#NAME?</v>
      </c>
      <c r="B46" s="34" t="s">
        <v>220</v>
      </c>
      <c r="C46" s="5">
        <v>2.0</v>
      </c>
      <c r="D46" s="7" t="b">
        <v>1</v>
      </c>
      <c r="E46" s="34" t="s">
        <v>219</v>
      </c>
      <c r="F46" s="19" t="str">
        <f t="array" ref="F46">VLOOKUP(E46,{Source!B:B,Source!A:A},2,FALSE)</f>
        <v>10.18356/11e28764-en</v>
      </c>
    </row>
    <row r="47">
      <c r="A47" s="19" t="str">
        <f t="shared" si="1"/>
        <v>#NAME?</v>
      </c>
      <c r="B47" s="34" t="s">
        <v>237</v>
      </c>
      <c r="C47" s="5">
        <v>2.0</v>
      </c>
      <c r="D47" s="7" t="b">
        <v>1</v>
      </c>
      <c r="E47" s="34" t="s">
        <v>236</v>
      </c>
      <c r="F47" s="19" t="str">
        <f t="array" ref="F47">VLOOKUP(E47,{Source!B:B,Source!A:A},2,FALSE)</f>
        <v>10.18356/18376853-en</v>
      </c>
    </row>
    <row r="48">
      <c r="A48" s="19" t="str">
        <f t="shared" si="1"/>
        <v>#NAME?</v>
      </c>
      <c r="B48" s="34" t="s">
        <v>107</v>
      </c>
      <c r="C48" s="5">
        <v>2.0</v>
      </c>
      <c r="D48" s="7" t="b">
        <v>1</v>
      </c>
      <c r="E48" s="34" t="s">
        <v>106</v>
      </c>
      <c r="F48" s="19" t="str">
        <f t="array" ref="F48">VLOOKUP(E48,{Source!B:B,Source!A:A},2,FALSE)</f>
        <v>10.1787/agr/outlook-2015-5-en</v>
      </c>
    </row>
    <row r="49">
      <c r="A49" s="19" t="str">
        <f t="shared" si="1"/>
        <v>#NAME?</v>
      </c>
      <c r="B49" s="34" t="s">
        <v>165</v>
      </c>
      <c r="C49" s="5">
        <v>2.0</v>
      </c>
      <c r="D49" s="7" t="b">
        <v>1</v>
      </c>
      <c r="E49" s="34" t="s">
        <v>164</v>
      </c>
      <c r="F49" s="19" t="str">
        <f t="array" ref="F49">VLOOKUP(E49,{Source!B:B,Source!A:A},2,FALSE)</f>
        <v>10.18356/0cf73767-en</v>
      </c>
    </row>
    <row r="50">
      <c r="A50" s="19" t="str">
        <f t="shared" si="1"/>
        <v>#NAME?</v>
      </c>
      <c r="B50" s="34" t="s">
        <v>155</v>
      </c>
      <c r="C50" s="5">
        <v>2.0</v>
      </c>
      <c r="D50" s="7" t="b">
        <v>1</v>
      </c>
      <c r="E50" s="34" t="s">
        <v>154</v>
      </c>
      <c r="F50" s="19" t="str">
        <f t="array" ref="F50">VLOOKUP(E50,{Source!B:B,Source!A:A},2,FALSE)</f>
        <v>10.1787/9789264179011-4-en</v>
      </c>
    </row>
    <row r="51">
      <c r="A51" s="19" t="str">
        <f t="shared" si="1"/>
        <v>#NAME?</v>
      </c>
      <c r="B51" s="34" t="s">
        <v>130</v>
      </c>
      <c r="C51" s="5">
        <v>2.0</v>
      </c>
      <c r="D51" s="7" t="b">
        <v>1</v>
      </c>
      <c r="E51" s="34" t="s">
        <v>129</v>
      </c>
      <c r="F51" s="19" t="str">
        <f t="array" ref="F51">VLOOKUP(E51,{Source!B:B,Source!A:A},2,FALSE)</f>
        <v>10.1787/5jrs8sv4jt6k-en</v>
      </c>
    </row>
    <row r="52">
      <c r="A52" s="19" t="str">
        <f t="shared" si="1"/>
        <v>#NAME?</v>
      </c>
      <c r="B52" s="34" t="s">
        <v>174</v>
      </c>
      <c r="C52" s="5">
        <v>2.0</v>
      </c>
      <c r="D52" s="7" t="b">
        <v>1</v>
      </c>
      <c r="E52" s="34" t="s">
        <v>173</v>
      </c>
      <c r="F52" s="19" t="str">
        <f t="array" ref="F52">VLOOKUP(E52,{Source!B:B,Source!A:A},2,FALSE)</f>
        <v>10.1787/5jrs8sv4jt6k-en</v>
      </c>
    </row>
    <row r="53">
      <c r="A53" s="19" t="str">
        <f t="shared" si="1"/>
        <v>#NAME?</v>
      </c>
      <c r="B53" s="49" t="s">
        <v>437</v>
      </c>
      <c r="C53" s="5">
        <v>2.0</v>
      </c>
      <c r="D53" s="7" t="b">
        <v>1</v>
      </c>
      <c r="E53" s="34" t="s">
        <v>74</v>
      </c>
      <c r="F53" s="19" t="str">
        <f t="array" ref="F53">VLOOKUP(E53,{Source!B:B,Source!A:A},2,FALSE)</f>
        <v>10.18356/c607b535-en</v>
      </c>
      <c r="G53" s="5" t="s">
        <v>435</v>
      </c>
    </row>
    <row r="54">
      <c r="A54" s="19" t="str">
        <f t="shared" si="1"/>
        <v>#NAME?</v>
      </c>
      <c r="B54" s="34" t="s">
        <v>148</v>
      </c>
      <c r="C54" s="5">
        <v>2.0</v>
      </c>
      <c r="D54" s="7" t="b">
        <v>1</v>
      </c>
      <c r="E54" s="34" t="s">
        <v>147</v>
      </c>
      <c r="F54" s="19" t="str">
        <f t="array" ref="F54">VLOOKUP(E54,{Source!B:B,Source!A:A},2,FALSE)</f>
        <v>10.1787/9789264191761-en</v>
      </c>
    </row>
    <row r="55">
      <c r="A55" s="19" t="str">
        <f t="shared" si="1"/>
        <v>#NAME?</v>
      </c>
      <c r="B55" s="49" t="s">
        <v>438</v>
      </c>
      <c r="C55" s="5">
        <v>2.0</v>
      </c>
      <c r="D55" s="7" t="b">
        <v>1</v>
      </c>
      <c r="E55" s="34" t="s">
        <v>225</v>
      </c>
      <c r="F55" s="19" t="str">
        <f t="array" ref="F55">VLOOKUP(E55,{Source!B:B,Source!A:A},2,FALSE)</f>
        <v>10.1787/9789264298576-19-en</v>
      </c>
      <c r="G55" s="5" t="s">
        <v>431</v>
      </c>
    </row>
    <row r="56">
      <c r="A56" s="19" t="str">
        <f t="shared" si="1"/>
        <v>#NAME?</v>
      </c>
      <c r="B56" s="49" t="s">
        <v>439</v>
      </c>
      <c r="C56" s="5">
        <v>2.0</v>
      </c>
      <c r="D56" s="7" t="b">
        <v>1</v>
      </c>
      <c r="E56" s="34" t="s">
        <v>182</v>
      </c>
      <c r="F56" s="19" t="str">
        <f t="array" ref="F56">VLOOKUP(E56,{Source!B:B,Source!A:A},2,FALSE)</f>
        <v>10.18356/63fef40d-en</v>
      </c>
      <c r="G56" s="5" t="s">
        <v>431</v>
      </c>
    </row>
    <row r="57">
      <c r="A57" s="19" t="str">
        <f t="shared" si="1"/>
        <v>#NAME?</v>
      </c>
      <c r="B57" s="34" t="s">
        <v>216</v>
      </c>
      <c r="C57" s="5">
        <v>2.0</v>
      </c>
      <c r="D57" s="7" t="b">
        <v>0</v>
      </c>
      <c r="E57" s="34" t="s">
        <v>215</v>
      </c>
      <c r="F57" s="19" t="str">
        <f t="array" ref="F57">VLOOKUP(E57,{Source!B:B,Source!A:A},2,FALSE)</f>
        <v>10.1787/9789264187443-7-en</v>
      </c>
    </row>
    <row r="58">
      <c r="A58" s="19" t="str">
        <f t="shared" si="1"/>
        <v>#NAME?</v>
      </c>
      <c r="B58" s="49" t="s">
        <v>440</v>
      </c>
      <c r="C58" s="5">
        <v>2.0</v>
      </c>
      <c r="D58" s="7" t="b">
        <v>1</v>
      </c>
      <c r="E58" s="34" t="s">
        <v>231</v>
      </c>
      <c r="F58" s="19" t="str">
        <f t="array" ref="F58">VLOOKUP(E58,{Source!B:B,Source!A:A},2,FALSE)</f>
        <v>10.18356/127a6106-en</v>
      </c>
      <c r="G58" s="5" t="s">
        <v>431</v>
      </c>
    </row>
    <row r="59">
      <c r="A59" s="19" t="str">
        <f t="shared" si="1"/>
        <v>#NAME?</v>
      </c>
      <c r="B59" s="34" t="s">
        <v>198</v>
      </c>
      <c r="C59" s="5">
        <v>2.0</v>
      </c>
      <c r="D59" s="7" t="b">
        <v>1</v>
      </c>
      <c r="E59" s="34" t="s">
        <v>197</v>
      </c>
      <c r="F59" s="19" t="str">
        <f t="array" ref="F59">VLOOKUP(E59,{Source!B:B,Source!A:A},2,FALSE)</f>
        <v>10.1787/9789264206441-14-en</v>
      </c>
    </row>
    <row r="60">
      <c r="A60" s="19" t="str">
        <f t="shared" si="1"/>
        <v>#NAME?</v>
      </c>
      <c r="B60" s="49" t="s">
        <v>441</v>
      </c>
      <c r="C60" s="5">
        <v>2.0</v>
      </c>
      <c r="D60" s="7" t="b">
        <v>1</v>
      </c>
      <c r="E60" s="34" t="s">
        <v>96</v>
      </c>
      <c r="F60" s="19" t="str">
        <f t="array" ref="F60">VLOOKUP(E60,{Source!B:B,Source!A:A},2,FALSE)</f>
        <v>10.18356/cac71849-en</v>
      </c>
      <c r="G60" s="5" t="s">
        <v>431</v>
      </c>
    </row>
    <row r="61">
      <c r="A61" s="19" t="str">
        <f t="shared" si="1"/>
        <v>#NAME?</v>
      </c>
      <c r="B61" s="34" t="s">
        <v>103</v>
      </c>
      <c r="C61" s="5">
        <v>2.0</v>
      </c>
      <c r="D61" s="7" t="b">
        <v>0</v>
      </c>
      <c r="E61" s="34" t="s">
        <v>102</v>
      </c>
      <c r="F61" s="19" t="str">
        <f t="array" ref="F61">VLOOKUP(E61,{Source!B:B,Source!A:A},2,FALSE)</f>
        <v>10.1787/5kgj0d3vzcth-en</v>
      </c>
    </row>
    <row r="62">
      <c r="A62" s="19" t="str">
        <f t="shared" si="1"/>
        <v>#NAME?</v>
      </c>
      <c r="B62" s="34" t="s">
        <v>152</v>
      </c>
      <c r="C62" s="5">
        <v>2.0</v>
      </c>
      <c r="D62" s="7" t="b">
        <v>1</v>
      </c>
      <c r="E62" s="34" t="s">
        <v>151</v>
      </c>
      <c r="F62" s="19" t="str">
        <f t="array" ref="F62">VLOOKUP(E62,{Source!B:B,Source!A:A},2,FALSE)</f>
        <v>10.1787/5km91nfsnkwg-en</v>
      </c>
    </row>
    <row r="63">
      <c r="A63" s="19" t="str">
        <f t="shared" si="1"/>
        <v>#NAME?</v>
      </c>
      <c r="B63" s="34" t="s">
        <v>278</v>
      </c>
      <c r="C63" s="5">
        <v>2.0</v>
      </c>
      <c r="D63" s="7" t="b">
        <v>1</v>
      </c>
      <c r="E63" s="34" t="s">
        <v>277</v>
      </c>
      <c r="F63" s="19" t="str">
        <f t="array" ref="F63">VLOOKUP(E63,{Source!B:B,Source!A:A},2,FALSE)</f>
        <v>10.1787/5js65xn790nv-en</v>
      </c>
    </row>
    <row r="64">
      <c r="A64" s="19" t="str">
        <f t="shared" si="1"/>
        <v>#NAME?</v>
      </c>
      <c r="B64" s="34" t="s">
        <v>146</v>
      </c>
      <c r="C64" s="5">
        <v>2.0</v>
      </c>
      <c r="D64" s="7" t="b">
        <v>0</v>
      </c>
      <c r="E64" s="34" t="s">
        <v>145</v>
      </c>
      <c r="F64" s="19" t="str">
        <f t="array" ref="F64">VLOOKUP(E64,{Source!B:B,Source!A:A},2,FALSE)</f>
        <v>10.1787/agr/outlook-2010-3-en</v>
      </c>
    </row>
    <row r="65">
      <c r="A65" s="19" t="str">
        <f t="shared" si="1"/>
        <v>#NAME?</v>
      </c>
      <c r="B65" s="34" t="s">
        <v>93</v>
      </c>
      <c r="C65" s="5">
        <v>2.0</v>
      </c>
      <c r="D65" s="7" t="b">
        <v>0</v>
      </c>
      <c r="E65" s="34" t="s">
        <v>92</v>
      </c>
      <c r="F65" s="19" t="str">
        <f t="array" ref="F65">VLOOKUP(E65,{Source!B:B,Source!A:A},2,FALSE)</f>
        <v>10.1787/agr/outlook-2015-5-en</v>
      </c>
    </row>
    <row r="66">
      <c r="A66" s="19" t="str">
        <f t="shared" si="1"/>
        <v>#NAME?</v>
      </c>
      <c r="B66" s="34" t="s">
        <v>113</v>
      </c>
      <c r="C66" s="5">
        <v>2.0</v>
      </c>
      <c r="D66" s="7" t="b">
        <v>0</v>
      </c>
      <c r="E66" s="34" t="s">
        <v>112</v>
      </c>
      <c r="F66" s="19" t="str">
        <f t="array" ref="F66">VLOOKUP(E66,{Source!B:B,Source!A:A},2,FALSE)</f>
        <v>10.1787/9789264187443-7-en</v>
      </c>
    </row>
    <row r="67">
      <c r="A67" s="19" t="str">
        <f t="shared" si="1"/>
        <v>#NAME?</v>
      </c>
      <c r="B67" s="49" t="s">
        <v>442</v>
      </c>
      <c r="C67" s="5">
        <v>2.0</v>
      </c>
      <c r="D67" s="7" t="b">
        <v>1</v>
      </c>
      <c r="E67" s="34" t="s">
        <v>255</v>
      </c>
      <c r="F67" s="19" t="str">
        <f t="array" ref="F67">VLOOKUP(E67,{Source!B:B,Source!A:A},2,FALSE)</f>
        <v>10.18356/c607b535-en</v>
      </c>
      <c r="G67" s="5" t="s">
        <v>443</v>
      </c>
    </row>
    <row r="68">
      <c r="A68" s="19" t="str">
        <f t="shared" si="1"/>
        <v>#NAME?</v>
      </c>
      <c r="B68" s="34" t="s">
        <v>282</v>
      </c>
      <c r="C68" s="5">
        <v>2.0</v>
      </c>
      <c r="D68" s="7" t="b">
        <v>1</v>
      </c>
      <c r="E68" s="34" t="s">
        <v>281</v>
      </c>
      <c r="F68" s="19" t="str">
        <f t="array" ref="F68">VLOOKUP(E68,{Source!B:B,Source!A:A},2,FALSE)</f>
        <v>10.18356/9206b37d-en</v>
      </c>
    </row>
    <row r="69">
      <c r="A69" s="19" t="str">
        <f t="shared" si="1"/>
        <v>#NAME?</v>
      </c>
      <c r="B69" s="34" t="s">
        <v>128</v>
      </c>
      <c r="C69" s="5">
        <v>2.0</v>
      </c>
      <c r="D69" s="7" t="b">
        <v>0</v>
      </c>
      <c r="E69" s="34" t="s">
        <v>127</v>
      </c>
      <c r="F69" s="19" t="str">
        <f t="array" ref="F69">VLOOKUP(E69,{Source!B:B,Source!A:A},2,FALSE)</f>
        <v>10.1787/5kgj0d3vzcth-en</v>
      </c>
    </row>
    <row r="70">
      <c r="A70" s="19" t="str">
        <f t="shared" si="1"/>
        <v>#NAME?</v>
      </c>
      <c r="B70" s="34" t="s">
        <v>121</v>
      </c>
      <c r="C70" s="5">
        <v>2.0</v>
      </c>
      <c r="D70" s="7" t="b">
        <v>1</v>
      </c>
      <c r="E70" s="34" t="s">
        <v>120</v>
      </c>
      <c r="F70" s="19" t="str">
        <f t="array" ref="F70">VLOOKUP(E70,{Source!B:B,Source!A:A},2,FALSE)</f>
        <v>10.18356/0e3c4bbb-en</v>
      </c>
    </row>
    <row r="71">
      <c r="B71" s="49"/>
      <c r="E71" s="12"/>
    </row>
    <row r="72">
      <c r="B72" s="12"/>
      <c r="E72" s="12"/>
    </row>
    <row r="73">
      <c r="B73" s="12"/>
      <c r="E73" s="12"/>
    </row>
    <row r="74">
      <c r="B74" s="12"/>
      <c r="E74" s="12"/>
    </row>
    <row r="75">
      <c r="B75" s="49"/>
      <c r="E75" s="12"/>
    </row>
    <row r="76">
      <c r="B76" s="12"/>
      <c r="E76" s="12"/>
    </row>
    <row r="77">
      <c r="B77" s="12"/>
      <c r="E77" s="12"/>
    </row>
    <row r="78">
      <c r="B78" s="49"/>
      <c r="E78" s="12"/>
    </row>
    <row r="79">
      <c r="B79" s="12"/>
      <c r="E79" s="12"/>
    </row>
    <row r="80">
      <c r="B80" s="12"/>
      <c r="E80" s="12"/>
    </row>
    <row r="81">
      <c r="B81" s="12"/>
      <c r="E81" s="12"/>
    </row>
    <row r="82">
      <c r="B82" s="12"/>
      <c r="E82" s="12"/>
    </row>
    <row r="83">
      <c r="B83" s="49"/>
      <c r="E83" s="12"/>
    </row>
    <row r="84">
      <c r="B84" s="12"/>
      <c r="E84" s="12"/>
    </row>
    <row r="85">
      <c r="B85" s="12"/>
      <c r="E85" s="12"/>
    </row>
    <row r="86">
      <c r="B86" s="49"/>
      <c r="E86" s="12"/>
    </row>
  </sheetData>
  <autoFilter ref="$A$1:$G$961"/>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row>
  </sheetData>
  <drawing r:id="rId1"/>
</worksheet>
</file>